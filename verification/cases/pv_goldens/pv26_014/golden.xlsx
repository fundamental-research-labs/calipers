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bookViews>
    <workbookView xWindow="7448" yWindow="-16695" windowWidth="28994" windowHeight="15675" activeTab="1" xr2:uid="{00000000-000D-0000-FFFF-FFFF00000000}"/>
  </bookViews>
  <sheets>
    <sheet name="Inputs" sheetId="28" r:id="rId1"/>
    <sheet name="S&amp;U" sheetId="24" r:id="rId2"/>
    <sheet name="OpMod" sheetId="26" r:id="rId3"/>
    <sheet name="Calcs" sheetId="32" r:id="rId4"/>
    <sheet name="BS" sheetId="31" r:id="rId5"/>
    <sheet name="FS" sheetId="35" r:id="rId6"/>
    <sheet name="Debt" sheetId="21" r:id="rId7"/>
    <sheet name="Returns" sheetId="25" r:id="rId8"/>
    <sheet name="Sensitivity" sheetId="30" r:id="rId9"/>
  </sheets>
  <definedNames>
    <definedName name="Ccy">Inputs!$C$17</definedName>
    <definedName name="circ">Inputs!$C$20</definedName>
    <definedName name="CoName">Inputs!$C$15</definedName>
    <definedName name="ExitMultiple">Sensitivity!$E$6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Sensitivity!$E$5</definedName>
    <definedName name="Premium">Sensitivity!$E$4</definedName>
    <definedName name="Units">Inputs!$C$18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0" l="1"/>
  <c r="E5" i="30"/>
  <c r="E6" i="30"/>
  <c r="E9" i="24" l="1"/>
  <c r="D12" i="30" s="1"/>
  <c r="C32" i="30"/>
  <c r="C33" i="30" s="1"/>
  <c r="C31" i="30"/>
  <c r="C30" i="30" s="1"/>
  <c r="C29" i="30" s="1"/>
  <c r="C19" i="30"/>
  <c r="C20" i="30" s="1"/>
  <c r="C21" i="30" s="1"/>
  <c r="C22" i="30" s="1"/>
  <c r="C23" i="30" s="1"/>
  <c r="C24" i="30" s="1"/>
  <c r="C39" i="24"/>
  <c r="D37" i="30" l="1"/>
  <c r="D28" i="30"/>
  <c r="C18" i="30"/>
  <c r="C17" i="30" s="1"/>
  <c r="C16" i="30" s="1"/>
  <c r="C15" i="30" s="1"/>
  <c r="C14" i="30" s="1"/>
  <c r="C13" i="30" s="1"/>
  <c r="E6" i="25" l="1"/>
  <c r="F95" i="21"/>
  <c r="G95" i="21"/>
  <c r="H95" i="21"/>
  <c r="I95" i="21"/>
  <c r="J95" i="21"/>
  <c r="K95" i="21"/>
  <c r="L95" i="21"/>
  <c r="M95" i="21"/>
  <c r="N95" i="21"/>
  <c r="O95" i="21"/>
  <c r="O89" i="21"/>
  <c r="N89" i="21"/>
  <c r="M89" i="21"/>
  <c r="L89" i="21"/>
  <c r="K89" i="21"/>
  <c r="J89" i="21"/>
  <c r="I89" i="21"/>
  <c r="H89" i="21"/>
  <c r="G89" i="21"/>
  <c r="F89" i="21"/>
  <c r="F93" i="21"/>
  <c r="G93" i="21"/>
  <c r="H93" i="21"/>
  <c r="I93" i="21"/>
  <c r="J93" i="21"/>
  <c r="K93" i="21"/>
  <c r="L93" i="21"/>
  <c r="M93" i="21"/>
  <c r="N93" i="21"/>
  <c r="O93" i="21"/>
  <c r="E49" i="35"/>
  <c r="E43" i="35"/>
  <c r="F43" i="35" s="1"/>
  <c r="G43" i="35" s="1"/>
  <c r="H43" i="35" s="1"/>
  <c r="I43" i="35" s="1"/>
  <c r="J43" i="35" s="1"/>
  <c r="K43" i="35" s="1"/>
  <c r="L43" i="35" s="1"/>
  <c r="M43" i="35" s="1"/>
  <c r="N43" i="35" s="1"/>
  <c r="O43" i="35" s="1"/>
  <c r="E40" i="35"/>
  <c r="E39" i="35"/>
  <c r="E37" i="35"/>
  <c r="F37" i="35" s="1"/>
  <c r="G37" i="35" s="1"/>
  <c r="H37" i="35" s="1"/>
  <c r="E33" i="35"/>
  <c r="E31" i="35"/>
  <c r="E27" i="35"/>
  <c r="E28" i="35"/>
  <c r="E8" i="35"/>
  <c r="E62" i="35" s="1"/>
  <c r="D8" i="35"/>
  <c r="D62" i="35" s="1"/>
  <c r="C8" i="35"/>
  <c r="C62" i="35" s="1"/>
  <c r="D6" i="35"/>
  <c r="E6" i="35"/>
  <c r="C6" i="35"/>
  <c r="E2" i="35"/>
  <c r="F2" i="35" s="1"/>
  <c r="G2" i="35" s="1"/>
  <c r="H2" i="35" s="1"/>
  <c r="I2" i="35" s="1"/>
  <c r="J2" i="35" s="1"/>
  <c r="K2" i="35" s="1"/>
  <c r="L2" i="35" s="1"/>
  <c r="M2" i="35" s="1"/>
  <c r="N2" i="35" s="1"/>
  <c r="O2" i="35" s="1"/>
  <c r="A2" i="35"/>
  <c r="A1" i="35"/>
  <c r="I37" i="35" l="1"/>
  <c r="D2" i="35"/>
  <c r="C2" i="35" s="1"/>
  <c r="H25" i="26"/>
  <c r="E94" i="26"/>
  <c r="E21" i="26" s="1"/>
  <c r="E44" i="26" s="1"/>
  <c r="E67" i="26" s="1"/>
  <c r="E93" i="26"/>
  <c r="E20" i="26" s="1"/>
  <c r="E43" i="26" s="1"/>
  <c r="E66" i="26" s="1"/>
  <c r="E92" i="26"/>
  <c r="E19" i="26" s="1"/>
  <c r="E42" i="26" s="1"/>
  <c r="E65" i="26" s="1"/>
  <c r="E91" i="26"/>
  <c r="E18" i="26" s="1"/>
  <c r="E41" i="26" s="1"/>
  <c r="E64" i="26" s="1"/>
  <c r="C33" i="24" l="1"/>
  <c r="J37" i="35"/>
  <c r="G20" i="26"/>
  <c r="L24" i="26"/>
  <c r="K18" i="26"/>
  <c r="I21" i="26"/>
  <c r="O25" i="26"/>
  <c r="M18" i="26"/>
  <c r="J24" i="26"/>
  <c r="N25" i="26"/>
  <c r="M19" i="26"/>
  <c r="O18" i="26"/>
  <c r="K20" i="26"/>
  <c r="F24" i="26"/>
  <c r="N24" i="26"/>
  <c r="L25" i="26"/>
  <c r="J25" i="26"/>
  <c r="G18" i="26"/>
  <c r="I19" i="26"/>
  <c r="O20" i="26"/>
  <c r="H24" i="26"/>
  <c r="F25" i="26"/>
  <c r="I18" i="26"/>
  <c r="G19" i="26"/>
  <c r="O19" i="26"/>
  <c r="M20" i="26"/>
  <c r="M21" i="26"/>
  <c r="G24" i="26"/>
  <c r="K24" i="26"/>
  <c r="O24" i="26"/>
  <c r="I25" i="26"/>
  <c r="M25" i="26"/>
  <c r="K19" i="26"/>
  <c r="I20" i="26"/>
  <c r="G21" i="26"/>
  <c r="L21" i="26"/>
  <c r="I24" i="26"/>
  <c r="M24" i="26"/>
  <c r="G25" i="26"/>
  <c r="K25" i="26"/>
  <c r="H18" i="26"/>
  <c r="L18" i="26"/>
  <c r="F19" i="26"/>
  <c r="J19" i="26"/>
  <c r="N19" i="26"/>
  <c r="H20" i="26"/>
  <c r="L20" i="26"/>
  <c r="F21" i="26"/>
  <c r="J21" i="26"/>
  <c r="N21" i="26"/>
  <c r="K21" i="26"/>
  <c r="O21" i="26"/>
  <c r="F18" i="26"/>
  <c r="J18" i="26"/>
  <c r="N18" i="26"/>
  <c r="H19" i="26"/>
  <c r="L19" i="26"/>
  <c r="F20" i="26"/>
  <c r="J20" i="26"/>
  <c r="N20" i="26"/>
  <c r="H21" i="26"/>
  <c r="E95" i="26"/>
  <c r="K37" i="35" l="1"/>
  <c r="L37" i="35" l="1"/>
  <c r="M37" i="35" l="1"/>
  <c r="N37" i="35" l="1"/>
  <c r="O37" i="35" l="1"/>
  <c r="C32" i="24" l="1"/>
  <c r="C31" i="24"/>
  <c r="E19" i="24"/>
  <c r="K19" i="24"/>
  <c r="J19" i="24"/>
  <c r="E11" i="32"/>
  <c r="E10" i="32"/>
  <c r="E9" i="32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A2" i="32"/>
  <c r="A1" i="32"/>
  <c r="E34" i="31"/>
  <c r="E24" i="31"/>
  <c r="C36" i="31"/>
  <c r="E19" i="31"/>
  <c r="E18" i="31"/>
  <c r="F30" i="31"/>
  <c r="F24" i="31"/>
  <c r="F21" i="31"/>
  <c r="F20" i="31"/>
  <c r="F18" i="31"/>
  <c r="F14" i="31"/>
  <c r="F12" i="31"/>
  <c r="F8" i="31"/>
  <c r="F9" i="31"/>
  <c r="D2" i="31"/>
  <c r="E2" i="31"/>
  <c r="F2" i="31"/>
  <c r="C2" i="31"/>
  <c r="C22" i="31"/>
  <c r="C31" i="31" s="1"/>
  <c r="C10" i="31"/>
  <c r="C15" i="31" s="1"/>
  <c r="A2" i="31"/>
  <c r="A1" i="31"/>
  <c r="E22" i="31" l="1"/>
  <c r="E31" i="31" s="1"/>
  <c r="C38" i="31"/>
  <c r="C40" i="31" s="1"/>
  <c r="O15" i="26" l="1"/>
  <c r="N15" i="26"/>
  <c r="M15" i="26"/>
  <c r="L15" i="26"/>
  <c r="K15" i="26"/>
  <c r="J15" i="26"/>
  <c r="I15" i="26"/>
  <c r="H15" i="26"/>
  <c r="G15" i="26"/>
  <c r="F15" i="26"/>
  <c r="O14" i="26"/>
  <c r="N14" i="26"/>
  <c r="M14" i="26"/>
  <c r="L14" i="26"/>
  <c r="K14" i="26"/>
  <c r="J14" i="26"/>
  <c r="I14" i="26"/>
  <c r="H14" i="26"/>
  <c r="G14" i="26"/>
  <c r="F14" i="26"/>
  <c r="O11" i="26"/>
  <c r="N11" i="26"/>
  <c r="M11" i="26"/>
  <c r="L11" i="26"/>
  <c r="K11" i="26"/>
  <c r="J11" i="26"/>
  <c r="I11" i="26"/>
  <c r="H11" i="26"/>
  <c r="G11" i="26"/>
  <c r="F11" i="26"/>
  <c r="O10" i="26"/>
  <c r="N10" i="26"/>
  <c r="M10" i="26"/>
  <c r="L10" i="26"/>
  <c r="K10" i="26"/>
  <c r="J10" i="26"/>
  <c r="I10" i="26"/>
  <c r="H10" i="26"/>
  <c r="G10" i="26"/>
  <c r="F10" i="26"/>
  <c r="O9" i="26"/>
  <c r="N9" i="26"/>
  <c r="M9" i="26"/>
  <c r="L9" i="26"/>
  <c r="K9" i="26"/>
  <c r="J9" i="26"/>
  <c r="I9" i="26"/>
  <c r="H9" i="26"/>
  <c r="G9" i="26"/>
  <c r="F9" i="26"/>
  <c r="F76" i="26" s="1"/>
  <c r="F6" i="35" s="1"/>
  <c r="D34" i="31"/>
  <c r="F34" i="31" s="1"/>
  <c r="E53" i="35" s="1"/>
  <c r="F53" i="35" s="1"/>
  <c r="G53" i="35" s="1"/>
  <c r="H53" i="35" s="1"/>
  <c r="I53" i="35" s="1"/>
  <c r="J53" i="35" s="1"/>
  <c r="K53" i="35" s="1"/>
  <c r="L53" i="35" s="1"/>
  <c r="M53" i="35" s="1"/>
  <c r="N53" i="35" s="1"/>
  <c r="O53" i="35" s="1"/>
  <c r="F91" i="26" l="1"/>
  <c r="F27" i="35" s="1"/>
  <c r="F92" i="26"/>
  <c r="F28" i="35" s="1"/>
  <c r="F93" i="26"/>
  <c r="F39" i="35" s="1"/>
  <c r="F94" i="26"/>
  <c r="F40" i="35" s="1"/>
  <c r="G76" i="26"/>
  <c r="G6" i="35" s="1"/>
  <c r="F78" i="26"/>
  <c r="D26" i="31"/>
  <c r="F26" i="31" s="1"/>
  <c r="E45" i="35" s="1"/>
  <c r="D27" i="31"/>
  <c r="F27" i="31" s="1"/>
  <c r="E46" i="35" s="1"/>
  <c r="D25" i="31"/>
  <c r="F25" i="31" s="1"/>
  <c r="E44" i="35" s="1"/>
  <c r="D19" i="31"/>
  <c r="D28" i="31"/>
  <c r="F28" i="31" s="1"/>
  <c r="E47" i="35" s="1"/>
  <c r="F8" i="35" l="1"/>
  <c r="F62" i="35" s="1"/>
  <c r="F95" i="26"/>
  <c r="G94" i="26"/>
  <c r="G40" i="35" s="1"/>
  <c r="G92" i="26"/>
  <c r="G28" i="35" s="1"/>
  <c r="G91" i="26"/>
  <c r="G27" i="35" s="1"/>
  <c r="G93" i="26"/>
  <c r="G39" i="35" s="1"/>
  <c r="G78" i="26"/>
  <c r="H76" i="26"/>
  <c r="H6" i="35" s="1"/>
  <c r="D22" i="31"/>
  <c r="F19" i="31"/>
  <c r="E23" i="24"/>
  <c r="H44" i="24" l="1"/>
  <c r="H42" i="24"/>
  <c r="H41" i="24"/>
  <c r="H43" i="24"/>
  <c r="F64" i="35"/>
  <c r="G8" i="35"/>
  <c r="G62" i="35" s="1"/>
  <c r="F22" i="31"/>
  <c r="E38" i="35"/>
  <c r="G95" i="26"/>
  <c r="G64" i="35" s="1"/>
  <c r="H93" i="26"/>
  <c r="H39" i="35" s="1"/>
  <c r="H91" i="26"/>
  <c r="H27" i="35" s="1"/>
  <c r="H92" i="26"/>
  <c r="H28" i="35" s="1"/>
  <c r="H94" i="26"/>
  <c r="H40" i="35" s="1"/>
  <c r="H78" i="26"/>
  <c r="I76" i="26"/>
  <c r="I6" i="35" s="1"/>
  <c r="H8" i="35" l="1"/>
  <c r="H62" i="35" s="1"/>
  <c r="E41" i="35"/>
  <c r="H95" i="26"/>
  <c r="I92" i="26"/>
  <c r="I28" i="35" s="1"/>
  <c r="I94" i="26"/>
  <c r="I40" i="35" s="1"/>
  <c r="I91" i="26"/>
  <c r="I27" i="35" s="1"/>
  <c r="I93" i="26"/>
  <c r="I39" i="35" s="1"/>
  <c r="J76" i="26"/>
  <c r="J6" i="35" s="1"/>
  <c r="I78" i="26"/>
  <c r="H64" i="35" l="1"/>
  <c r="I8" i="35"/>
  <c r="I62" i="35" s="1"/>
  <c r="I95" i="26"/>
  <c r="J91" i="26"/>
  <c r="J27" i="35" s="1"/>
  <c r="J94" i="26"/>
  <c r="J40" i="35" s="1"/>
  <c r="J92" i="26"/>
  <c r="J28" i="35" s="1"/>
  <c r="J93" i="26"/>
  <c r="J39" i="35" s="1"/>
  <c r="K76" i="26"/>
  <c r="K6" i="35" s="1"/>
  <c r="J78" i="26"/>
  <c r="F121" i="21"/>
  <c r="G121" i="21" s="1"/>
  <c r="H121" i="21" s="1"/>
  <c r="I121" i="21" s="1"/>
  <c r="J121" i="21" s="1"/>
  <c r="K121" i="21" s="1"/>
  <c r="L121" i="21" s="1"/>
  <c r="M121" i="21" s="1"/>
  <c r="N121" i="21" s="1"/>
  <c r="O121" i="21" s="1"/>
  <c r="E25" i="25"/>
  <c r="E37" i="25" l="1"/>
  <c r="E60" i="25"/>
  <c r="I64" i="35"/>
  <c r="J8" i="35"/>
  <c r="J62" i="35" s="1"/>
  <c r="K94" i="26"/>
  <c r="K40" i="35" s="1"/>
  <c r="K92" i="26"/>
  <c r="K28" i="35" s="1"/>
  <c r="K93" i="26"/>
  <c r="K39" i="35" s="1"/>
  <c r="K91" i="26"/>
  <c r="K27" i="35" s="1"/>
  <c r="J95" i="26"/>
  <c r="K78" i="26"/>
  <c r="L76" i="26"/>
  <c r="L6" i="35" s="1"/>
  <c r="E67" i="25" l="1"/>
  <c r="E64" i="25"/>
  <c r="E63" i="25"/>
  <c r="E65" i="25"/>
  <c r="E66" i="25"/>
  <c r="J64" i="35"/>
  <c r="K8" i="35"/>
  <c r="K62" i="35" s="1"/>
  <c r="L93" i="26"/>
  <c r="L39" i="35" s="1"/>
  <c r="L91" i="26"/>
  <c r="L27" i="35" s="1"/>
  <c r="L92" i="26"/>
  <c r="L28" i="35" s="1"/>
  <c r="L94" i="26"/>
  <c r="L40" i="35" s="1"/>
  <c r="K95" i="26"/>
  <c r="L78" i="26"/>
  <c r="M76" i="26"/>
  <c r="M6" i="35" s="1"/>
  <c r="G75" i="21"/>
  <c r="H75" i="21"/>
  <c r="I75" i="21"/>
  <c r="J75" i="21"/>
  <c r="K75" i="21"/>
  <c r="L75" i="21"/>
  <c r="M75" i="21"/>
  <c r="N75" i="21"/>
  <c r="O75" i="21"/>
  <c r="F75" i="21"/>
  <c r="E36" i="21"/>
  <c r="C14" i="26"/>
  <c r="C37" i="26" s="1"/>
  <c r="C60" i="26" s="1"/>
  <c r="C10" i="26"/>
  <c r="C33" i="26" s="1"/>
  <c r="D9" i="26"/>
  <c r="D32" i="26" s="1"/>
  <c r="D55" i="26" s="1"/>
  <c r="C56" i="26"/>
  <c r="A50" i="26"/>
  <c r="A27" i="26"/>
  <c r="A4" i="26" s="1"/>
  <c r="E25" i="26"/>
  <c r="E48" i="26" s="1"/>
  <c r="E71" i="26" s="1"/>
  <c r="K64" i="35" l="1"/>
  <c r="L8" i="35"/>
  <c r="L62" i="35" s="1"/>
  <c r="M92" i="26"/>
  <c r="M28" i="35" s="1"/>
  <c r="M93" i="26"/>
  <c r="M39" i="35" s="1"/>
  <c r="M94" i="26"/>
  <c r="M40" i="35" s="1"/>
  <c r="M91" i="26"/>
  <c r="M27" i="35" s="1"/>
  <c r="L95" i="26"/>
  <c r="N76" i="26"/>
  <c r="N6" i="35" s="1"/>
  <c r="M78" i="26"/>
  <c r="F34" i="21"/>
  <c r="E81" i="21"/>
  <c r="E47" i="24"/>
  <c r="E46" i="24"/>
  <c r="E45" i="24"/>
  <c r="K44" i="24"/>
  <c r="E44" i="24"/>
  <c r="E43" i="24"/>
  <c r="K42" i="24"/>
  <c r="E42" i="24"/>
  <c r="K41" i="24"/>
  <c r="E41" i="24"/>
  <c r="K40" i="24"/>
  <c r="E40" i="24"/>
  <c r="E39" i="24"/>
  <c r="G94" i="21" l="1"/>
  <c r="K94" i="21"/>
  <c r="O94" i="21"/>
  <c r="N94" i="21"/>
  <c r="H94" i="21"/>
  <c r="L94" i="21"/>
  <c r="J94" i="21"/>
  <c r="I94" i="21"/>
  <c r="M94" i="21"/>
  <c r="F94" i="21"/>
  <c r="I91" i="21"/>
  <c r="M91" i="21"/>
  <c r="L91" i="21"/>
  <c r="F91" i="21"/>
  <c r="J91" i="21"/>
  <c r="N91" i="21"/>
  <c r="G91" i="21"/>
  <c r="K91" i="21"/>
  <c r="O91" i="21"/>
  <c r="H91" i="21"/>
  <c r="G92" i="21"/>
  <c r="K92" i="21"/>
  <c r="O92" i="21"/>
  <c r="J92" i="21"/>
  <c r="H92" i="21"/>
  <c r="L92" i="21"/>
  <c r="F92" i="21"/>
  <c r="I92" i="21"/>
  <c r="M92" i="21"/>
  <c r="N92" i="21"/>
  <c r="H90" i="21"/>
  <c r="L90" i="21"/>
  <c r="F90" i="21"/>
  <c r="F99" i="21" s="1"/>
  <c r="K90" i="21"/>
  <c r="I90" i="21"/>
  <c r="M90" i="21"/>
  <c r="O90" i="21"/>
  <c r="J90" i="21"/>
  <c r="N90" i="21"/>
  <c r="G90" i="21"/>
  <c r="E14" i="25"/>
  <c r="L64" i="35"/>
  <c r="M8" i="35"/>
  <c r="M62" i="35" s="1"/>
  <c r="N91" i="26"/>
  <c r="N27" i="35" s="1"/>
  <c r="N93" i="26"/>
  <c r="N39" i="35" s="1"/>
  <c r="N92" i="26"/>
  <c r="N28" i="35" s="1"/>
  <c r="N94" i="26"/>
  <c r="N40" i="35" s="1"/>
  <c r="M95" i="26"/>
  <c r="M64" i="35" s="1"/>
  <c r="O76" i="26"/>
  <c r="O6" i="35" s="1"/>
  <c r="N78" i="26"/>
  <c r="G69" i="21"/>
  <c r="K69" i="21"/>
  <c r="O69" i="21"/>
  <c r="N69" i="21"/>
  <c r="H69" i="21"/>
  <c r="L69" i="21"/>
  <c r="F69" i="21"/>
  <c r="I69" i="21"/>
  <c r="M69" i="21"/>
  <c r="J69" i="21"/>
  <c r="N8" i="35" l="1"/>
  <c r="N62" i="35" s="1"/>
  <c r="O78" i="26"/>
  <c r="O94" i="26"/>
  <c r="O40" i="35" s="1"/>
  <c r="O92" i="26"/>
  <c r="O28" i="35" s="1"/>
  <c r="O91" i="26"/>
  <c r="O27" i="35" s="1"/>
  <c r="O93" i="26"/>
  <c r="O39" i="35" s="1"/>
  <c r="N95" i="26"/>
  <c r="N64" i="35" s="1"/>
  <c r="E68" i="21"/>
  <c r="E62" i="21"/>
  <c r="E57" i="21"/>
  <c r="E49" i="21"/>
  <c r="O8" i="35" l="1"/>
  <c r="O62" i="35" s="1"/>
  <c r="O95" i="26"/>
  <c r="O64" i="35" s="1"/>
  <c r="E83" i="21"/>
  <c r="F101" i="21" s="1"/>
  <c r="E84" i="21"/>
  <c r="E82" i="21"/>
  <c r="F100" i="21" s="1"/>
  <c r="F65" i="21"/>
  <c r="F66" i="21" s="1"/>
  <c r="E85" i="21"/>
  <c r="F60" i="21"/>
  <c r="F61" i="21" s="1"/>
  <c r="F54" i="21"/>
  <c r="F55" i="21" s="1"/>
  <c r="F46" i="21"/>
  <c r="F47" i="21" s="1"/>
  <c r="F102" i="21" l="1"/>
  <c r="F15" i="35" s="1"/>
  <c r="F103" i="21"/>
  <c r="F16" i="35" s="1"/>
  <c r="E18" i="25"/>
  <c r="E48" i="25" s="1"/>
  <c r="E17" i="25"/>
  <c r="E16" i="25"/>
  <c r="E15" i="25"/>
  <c r="D29" i="31"/>
  <c r="F29" i="31" s="1"/>
  <c r="E19" i="32"/>
  <c r="E115" i="21"/>
  <c r="F24" i="21"/>
  <c r="E113" i="21"/>
  <c r="E114" i="21" s="1"/>
  <c r="F67" i="21"/>
  <c r="F81" i="35" s="1"/>
  <c r="F23" i="21"/>
  <c r="F22" i="21"/>
  <c r="F62" i="21"/>
  <c r="E53" i="25" l="1"/>
  <c r="E52" i="25"/>
  <c r="E54" i="25"/>
  <c r="E55" i="25"/>
  <c r="E56" i="25"/>
  <c r="F31" i="31"/>
  <c r="E48" i="35"/>
  <c r="E50" i="35" s="1"/>
  <c r="D31" i="31"/>
  <c r="F17" i="32"/>
  <c r="F18" i="32" s="1"/>
  <c r="F25" i="21"/>
  <c r="G60" i="21"/>
  <c r="G61" i="21" s="1"/>
  <c r="G24" i="21" s="1"/>
  <c r="F84" i="21"/>
  <c r="F68" i="21"/>
  <c r="A2" i="26"/>
  <c r="A2" i="21"/>
  <c r="A2" i="25"/>
  <c r="A2" i="30"/>
  <c r="A2" i="24"/>
  <c r="G102" i="21" l="1"/>
  <c r="G15" i="35" s="1"/>
  <c r="F74" i="35"/>
  <c r="F46" i="35"/>
  <c r="F80" i="35" s="1"/>
  <c r="F17" i="25"/>
  <c r="F19" i="32"/>
  <c r="F10" i="35"/>
  <c r="G65" i="21"/>
  <c r="G66" i="21" s="1"/>
  <c r="F85" i="21"/>
  <c r="G62" i="21"/>
  <c r="A1" i="24"/>
  <c r="G103" i="21" l="1"/>
  <c r="G16" i="35" s="1"/>
  <c r="F18" i="25"/>
  <c r="F48" i="25" s="1"/>
  <c r="F47" i="35"/>
  <c r="G17" i="32"/>
  <c r="G18" i="32" s="1"/>
  <c r="G10" i="35" s="1"/>
  <c r="F48" i="35"/>
  <c r="G67" i="21"/>
  <c r="G81" i="35" s="1"/>
  <c r="H60" i="21"/>
  <c r="G84" i="21"/>
  <c r="H102" i="21" l="1"/>
  <c r="H15" i="35" s="1"/>
  <c r="G74" i="35"/>
  <c r="G46" i="35"/>
  <c r="G80" i="35" s="1"/>
  <c r="G17" i="25"/>
  <c r="G19" i="32"/>
  <c r="G25" i="21"/>
  <c r="G68" i="21"/>
  <c r="H61" i="21"/>
  <c r="H24" i="21" s="1"/>
  <c r="E10" i="25"/>
  <c r="F85" i="26"/>
  <c r="D10" i="26"/>
  <c r="D33" i="26" s="1"/>
  <c r="D56" i="26" s="1"/>
  <c r="F87" i="26"/>
  <c r="F79" i="26" s="1"/>
  <c r="F9" i="35" s="1"/>
  <c r="E24" i="26"/>
  <c r="E47" i="26" s="1"/>
  <c r="E70" i="26" s="1"/>
  <c r="H17" i="32" l="1"/>
  <c r="H18" i="32" s="1"/>
  <c r="H10" i="35" s="1"/>
  <c r="G48" i="35"/>
  <c r="F80" i="26"/>
  <c r="F81" i="26" s="1"/>
  <c r="H62" i="21"/>
  <c r="I60" i="21" s="1"/>
  <c r="H65" i="21"/>
  <c r="G85" i="21"/>
  <c r="E9" i="26"/>
  <c r="E32" i="26" s="1"/>
  <c r="E55" i="26" s="1"/>
  <c r="D14" i="26"/>
  <c r="D37" i="26" s="1"/>
  <c r="D60" i="26" s="1"/>
  <c r="E14" i="26"/>
  <c r="E37" i="26" s="1"/>
  <c r="E60" i="26" s="1"/>
  <c r="E10" i="26"/>
  <c r="E33" i="26" s="1"/>
  <c r="E56" i="26" s="1"/>
  <c r="E15" i="26"/>
  <c r="E38" i="26" s="1"/>
  <c r="E61" i="26" s="1"/>
  <c r="K9" i="24"/>
  <c r="F7" i="24"/>
  <c r="F9" i="24"/>
  <c r="F12" i="24"/>
  <c r="H103" i="21" l="1"/>
  <c r="H16" i="35" s="1"/>
  <c r="G18" i="25"/>
  <c r="G48" i="25" s="1"/>
  <c r="G47" i="35"/>
  <c r="H19" i="32"/>
  <c r="I17" i="32" s="1"/>
  <c r="F82" i="26"/>
  <c r="F10" i="21"/>
  <c r="H84" i="21"/>
  <c r="I61" i="21"/>
  <c r="I24" i="21" s="1"/>
  <c r="H66" i="21"/>
  <c r="F99" i="26"/>
  <c r="F98" i="26"/>
  <c r="F33" i="35" s="1"/>
  <c r="F86" i="26"/>
  <c r="F67" i="35" s="1"/>
  <c r="J9" i="24"/>
  <c r="E13" i="24" s="1"/>
  <c r="A1" i="30"/>
  <c r="I102" i="21" l="1"/>
  <c r="I15" i="35" s="1"/>
  <c r="H74" i="35"/>
  <c r="H46" i="35"/>
  <c r="H80" i="35" s="1"/>
  <c r="H48" i="35"/>
  <c r="I18" i="32"/>
  <c r="I10" i="35" s="1"/>
  <c r="F49" i="35"/>
  <c r="H17" i="25"/>
  <c r="E14" i="24"/>
  <c r="E15" i="24" s="1"/>
  <c r="E18" i="24" s="1"/>
  <c r="F88" i="26"/>
  <c r="I62" i="21"/>
  <c r="I84" i="21" s="1"/>
  <c r="H67" i="21"/>
  <c r="H81" i="35" s="1"/>
  <c r="F10" i="25"/>
  <c r="F12" i="25" s="1"/>
  <c r="G10" i="21"/>
  <c r="G98" i="26"/>
  <c r="G33" i="35" s="1"/>
  <c r="G86" i="26"/>
  <c r="G67" i="35" s="1"/>
  <c r="E20" i="24" l="1"/>
  <c r="J102" i="21"/>
  <c r="J15" i="35" s="1"/>
  <c r="I74" i="35"/>
  <c r="I46" i="35"/>
  <c r="I80" i="35" s="1"/>
  <c r="F66" i="35"/>
  <c r="F65" i="35"/>
  <c r="I19" i="32"/>
  <c r="G65" i="35"/>
  <c r="I17" i="25"/>
  <c r="H25" i="21"/>
  <c r="G87" i="26"/>
  <c r="G79" i="26" s="1"/>
  <c r="G9" i="35" s="1"/>
  <c r="F31" i="35"/>
  <c r="G99" i="26"/>
  <c r="G85" i="26"/>
  <c r="E6" i="32"/>
  <c r="E13" i="32" s="1"/>
  <c r="E13" i="31" s="1"/>
  <c r="F13" i="31" s="1"/>
  <c r="E32" i="35" s="1"/>
  <c r="J60" i="21"/>
  <c r="H68" i="21"/>
  <c r="I65" i="21" s="1"/>
  <c r="H10" i="21"/>
  <c r="H98" i="26"/>
  <c r="H33" i="35" s="1"/>
  <c r="H86" i="26"/>
  <c r="H67" i="35" s="1"/>
  <c r="G10" i="25"/>
  <c r="G12" i="25" s="1"/>
  <c r="H32" i="35" l="1"/>
  <c r="L32" i="35"/>
  <c r="O32" i="35"/>
  <c r="I32" i="35"/>
  <c r="N32" i="35"/>
  <c r="K32" i="35"/>
  <c r="J32" i="35"/>
  <c r="G32" i="35"/>
  <c r="F32" i="35"/>
  <c r="M32" i="35"/>
  <c r="I48" i="35"/>
  <c r="J17" i="32"/>
  <c r="G49" i="35"/>
  <c r="G88" i="26"/>
  <c r="G80" i="26"/>
  <c r="G81" i="26" s="1"/>
  <c r="C29" i="24"/>
  <c r="C34" i="24"/>
  <c r="J61" i="21"/>
  <c r="J62" i="21" s="1"/>
  <c r="K60" i="21" s="1"/>
  <c r="K61" i="21" s="1"/>
  <c r="K24" i="21" s="1"/>
  <c r="H85" i="21"/>
  <c r="I66" i="21"/>
  <c r="I10" i="21"/>
  <c r="I98" i="26"/>
  <c r="I33" i="35" s="1"/>
  <c r="H10" i="25"/>
  <c r="H12" i="25" s="1"/>
  <c r="I86" i="26"/>
  <c r="I67" i="35" s="1"/>
  <c r="I103" i="21" l="1"/>
  <c r="I16" i="35" s="1"/>
  <c r="H18" i="25"/>
  <c r="H48" i="25" s="1"/>
  <c r="H47" i="35"/>
  <c r="G66" i="35"/>
  <c r="H65" i="35"/>
  <c r="J18" i="32"/>
  <c r="J10" i="35" s="1"/>
  <c r="I65" i="35"/>
  <c r="H85" i="26"/>
  <c r="G31" i="35"/>
  <c r="G82" i="26"/>
  <c r="H87" i="26"/>
  <c r="H79" i="26" s="1"/>
  <c r="H9" i="35" s="1"/>
  <c r="H99" i="26"/>
  <c r="C35" i="24"/>
  <c r="C45" i="24" s="1"/>
  <c r="C47" i="24" s="1"/>
  <c r="E35" i="31"/>
  <c r="J84" i="21"/>
  <c r="J24" i="21"/>
  <c r="I67" i="21"/>
  <c r="I81" i="35" s="1"/>
  <c r="K62" i="21"/>
  <c r="J10" i="21"/>
  <c r="J98" i="26"/>
  <c r="J33" i="35" s="1"/>
  <c r="I10" i="25"/>
  <c r="I12" i="25" s="1"/>
  <c r="J86" i="26"/>
  <c r="J67" i="35" s="1"/>
  <c r="G42" i="24" l="1"/>
  <c r="G46" i="24"/>
  <c r="G40" i="24"/>
  <c r="G44" i="24"/>
  <c r="G45" i="24"/>
  <c r="G39" i="24"/>
  <c r="G43" i="24"/>
  <c r="G41" i="24"/>
  <c r="K102" i="21"/>
  <c r="K15" i="35" s="1"/>
  <c r="J74" i="35"/>
  <c r="J46" i="35"/>
  <c r="J80" i="35" s="1"/>
  <c r="J19" i="32"/>
  <c r="K17" i="32" s="1"/>
  <c r="K18" i="32" s="1"/>
  <c r="H49" i="35"/>
  <c r="H88" i="26"/>
  <c r="H80" i="26"/>
  <c r="H81" i="26" s="1"/>
  <c r="D33" i="31"/>
  <c r="E36" i="31"/>
  <c r="E38" i="31" s="1"/>
  <c r="F35" i="31"/>
  <c r="J17" i="25"/>
  <c r="I25" i="21"/>
  <c r="I68" i="21"/>
  <c r="L60" i="21"/>
  <c r="L61" i="21" s="1"/>
  <c r="L24" i="21" s="1"/>
  <c r="K84" i="21"/>
  <c r="K10" i="21"/>
  <c r="K98" i="26"/>
  <c r="K33" i="35" s="1"/>
  <c r="J10" i="25"/>
  <c r="J12" i="25" s="1"/>
  <c r="K86" i="26"/>
  <c r="K67" i="35" s="1"/>
  <c r="E2" i="21"/>
  <c r="F2" i="21" s="1"/>
  <c r="A1" i="21"/>
  <c r="E2" i="26"/>
  <c r="A1" i="26"/>
  <c r="E2" i="25"/>
  <c r="A1" i="25"/>
  <c r="K74" i="35" l="1"/>
  <c r="E25" i="32"/>
  <c r="F23" i="32" s="1"/>
  <c r="E54" i="35"/>
  <c r="L102" i="21"/>
  <c r="L15" i="35" s="1"/>
  <c r="E35" i="25"/>
  <c r="E59" i="25"/>
  <c r="E47" i="25"/>
  <c r="E23" i="25"/>
  <c r="K46" i="35"/>
  <c r="K80" i="35" s="1"/>
  <c r="H66" i="35"/>
  <c r="J65" i="35"/>
  <c r="J48" i="35"/>
  <c r="K19" i="32"/>
  <c r="K10" i="35"/>
  <c r="K17" i="25"/>
  <c r="I85" i="26"/>
  <c r="H31" i="35"/>
  <c r="I87" i="26"/>
  <c r="I79" i="26" s="1"/>
  <c r="I9" i="35" s="1"/>
  <c r="H82" i="26"/>
  <c r="I99" i="26"/>
  <c r="G47" i="24"/>
  <c r="D36" i="31"/>
  <c r="D38" i="31" s="1"/>
  <c r="F33" i="31"/>
  <c r="D7" i="31"/>
  <c r="E74" i="21"/>
  <c r="J65" i="21"/>
  <c r="I85" i="21"/>
  <c r="L62" i="21"/>
  <c r="L10" i="21"/>
  <c r="L98" i="26"/>
  <c r="L33" i="35" s="1"/>
  <c r="K10" i="25"/>
  <c r="K12" i="25" s="1"/>
  <c r="L86" i="26"/>
  <c r="L67" i="35" s="1"/>
  <c r="F2" i="25"/>
  <c r="F59" i="25" s="1"/>
  <c r="E9" i="25"/>
  <c r="G2" i="21"/>
  <c r="F2" i="26"/>
  <c r="G2" i="26" s="1"/>
  <c r="H2" i="26" s="1"/>
  <c r="I2" i="26" s="1"/>
  <c r="J2" i="26" s="1"/>
  <c r="K2" i="26" s="1"/>
  <c r="L2" i="26" s="1"/>
  <c r="M2" i="26" s="1"/>
  <c r="N2" i="26" s="1"/>
  <c r="O2" i="26" s="1"/>
  <c r="D2" i="26"/>
  <c r="C2" i="26" s="1"/>
  <c r="J103" i="21" l="1"/>
  <c r="J16" i="35" s="1"/>
  <c r="F47" i="25"/>
  <c r="F35" i="25"/>
  <c r="I18" i="25"/>
  <c r="I48" i="25" s="1"/>
  <c r="I47" i="35"/>
  <c r="K65" i="35"/>
  <c r="L17" i="32"/>
  <c r="K48" i="35"/>
  <c r="L65" i="35"/>
  <c r="I49" i="35"/>
  <c r="I88" i="26"/>
  <c r="I80" i="26"/>
  <c r="I81" i="26" s="1"/>
  <c r="F36" i="31"/>
  <c r="F38" i="31" s="1"/>
  <c r="E52" i="35"/>
  <c r="E7" i="31"/>
  <c r="D10" i="31"/>
  <c r="D15" i="31" s="1"/>
  <c r="D40" i="31" s="1"/>
  <c r="F72" i="21"/>
  <c r="F73" i="21" s="1"/>
  <c r="E86" i="21"/>
  <c r="F23" i="25"/>
  <c r="J66" i="21"/>
  <c r="F29" i="21"/>
  <c r="M60" i="21"/>
  <c r="L84" i="21"/>
  <c r="M10" i="21"/>
  <c r="M98" i="26"/>
  <c r="M33" i="35" s="1"/>
  <c r="L10" i="25"/>
  <c r="L12" i="25" s="1"/>
  <c r="M86" i="26"/>
  <c r="M67" i="35" s="1"/>
  <c r="G2" i="25"/>
  <c r="G59" i="25" s="1"/>
  <c r="F9" i="25"/>
  <c r="H2" i="21"/>
  <c r="G6" i="24"/>
  <c r="F13" i="24"/>
  <c r="L7" i="24"/>
  <c r="L8" i="24"/>
  <c r="L9" i="24"/>
  <c r="F14" i="24"/>
  <c r="M102" i="21" l="1"/>
  <c r="M15" i="35" s="1"/>
  <c r="L74" i="35"/>
  <c r="F104" i="21"/>
  <c r="F17" i="35" s="1"/>
  <c r="G47" i="25"/>
  <c r="G35" i="25"/>
  <c r="E19" i="25"/>
  <c r="L46" i="35"/>
  <c r="L80" i="35" s="1"/>
  <c r="I66" i="35"/>
  <c r="L18" i="32"/>
  <c r="L10" i="35" s="1"/>
  <c r="L17" i="25"/>
  <c r="M65" i="35"/>
  <c r="J87" i="26"/>
  <c r="J79" i="26" s="1"/>
  <c r="J9" i="35" s="1"/>
  <c r="I31" i="35"/>
  <c r="J85" i="26"/>
  <c r="I82" i="26"/>
  <c r="E55" i="35"/>
  <c r="E57" i="35" s="1"/>
  <c r="F74" i="21"/>
  <c r="G72" i="21" s="1"/>
  <c r="G73" i="21" s="1"/>
  <c r="J99" i="26"/>
  <c r="E10" i="31"/>
  <c r="E15" i="31" s="1"/>
  <c r="E40" i="31" s="1"/>
  <c r="F7" i="31"/>
  <c r="J67" i="21"/>
  <c r="J81" i="35" s="1"/>
  <c r="G9" i="25"/>
  <c r="M61" i="21"/>
  <c r="M24" i="21" s="1"/>
  <c r="N10" i="21"/>
  <c r="N98" i="26"/>
  <c r="N33" i="35" s="1"/>
  <c r="N86" i="26"/>
  <c r="N67" i="35" s="1"/>
  <c r="M10" i="25"/>
  <c r="M12" i="25" s="1"/>
  <c r="H2" i="25"/>
  <c r="H59" i="25" s="1"/>
  <c r="G23" i="25"/>
  <c r="I2" i="21"/>
  <c r="E24" i="25" l="1"/>
  <c r="E36" i="25"/>
  <c r="H47" i="25"/>
  <c r="H35" i="25"/>
  <c r="L19" i="32"/>
  <c r="J68" i="21"/>
  <c r="K65" i="21" s="1"/>
  <c r="J80" i="26"/>
  <c r="J81" i="26" s="1"/>
  <c r="J88" i="26"/>
  <c r="K87" i="26" s="1"/>
  <c r="K79" i="26" s="1"/>
  <c r="K9" i="35" s="1"/>
  <c r="J49" i="35"/>
  <c r="F10" i="31"/>
  <c r="F15" i="31" s="1"/>
  <c r="F40" i="31" s="1"/>
  <c r="E26" i="35"/>
  <c r="F86" i="21"/>
  <c r="J25" i="21"/>
  <c r="M62" i="21"/>
  <c r="M84" i="21" s="1"/>
  <c r="I2" i="25"/>
  <c r="I59" i="25" s="1"/>
  <c r="G74" i="21"/>
  <c r="G86" i="21" s="1"/>
  <c r="O10" i="21"/>
  <c r="O98" i="26"/>
  <c r="O33" i="35" s="1"/>
  <c r="O86" i="26"/>
  <c r="O67" i="35" s="1"/>
  <c r="N10" i="25"/>
  <c r="N12" i="25" s="1"/>
  <c r="H9" i="25"/>
  <c r="H23" i="25"/>
  <c r="J2" i="21"/>
  <c r="N102" i="21" l="1"/>
  <c r="N15" i="35" s="1"/>
  <c r="M74" i="35"/>
  <c r="H104" i="21"/>
  <c r="H17" i="35" s="1"/>
  <c r="G104" i="21"/>
  <c r="G17" i="35" s="1"/>
  <c r="E42" i="25"/>
  <c r="E41" i="25"/>
  <c r="E44" i="25"/>
  <c r="E43" i="25"/>
  <c r="E40" i="25"/>
  <c r="E32" i="25"/>
  <c r="E28" i="25"/>
  <c r="E31" i="25"/>
  <c r="E30" i="25"/>
  <c r="E29" i="25"/>
  <c r="I47" i="25"/>
  <c r="I35" i="25"/>
  <c r="G52" i="35"/>
  <c r="M46" i="35"/>
  <c r="M80" i="35" s="1"/>
  <c r="F19" i="25"/>
  <c r="F52" i="35"/>
  <c r="E29" i="35"/>
  <c r="E34" i="35" s="1"/>
  <c r="E59" i="35" s="1"/>
  <c r="E83" i="35"/>
  <c r="J66" i="35"/>
  <c r="N65" i="35"/>
  <c r="J85" i="21"/>
  <c r="M17" i="32"/>
  <c r="L48" i="35"/>
  <c r="M17" i="25"/>
  <c r="O65" i="35"/>
  <c r="J82" i="26"/>
  <c r="K85" i="26"/>
  <c r="K88" i="26" s="1"/>
  <c r="J31" i="35"/>
  <c r="K80" i="26"/>
  <c r="K81" i="26" s="1"/>
  <c r="K99" i="26"/>
  <c r="G19" i="25"/>
  <c r="N60" i="21"/>
  <c r="I9" i="25"/>
  <c r="J2" i="25"/>
  <c r="J59" i="25" s="1"/>
  <c r="I23" i="25"/>
  <c r="K66" i="21"/>
  <c r="H72" i="21"/>
  <c r="H73" i="21" s="1"/>
  <c r="O10" i="25"/>
  <c r="O12" i="25" s="1"/>
  <c r="K2" i="21"/>
  <c r="K103" i="21" l="1"/>
  <c r="K16" i="35" s="1"/>
  <c r="J47" i="25"/>
  <c r="J35" i="25"/>
  <c r="G24" i="25"/>
  <c r="G36" i="25"/>
  <c r="F24" i="25"/>
  <c r="F36" i="25"/>
  <c r="J18" i="25"/>
  <c r="J48" i="25" s="1"/>
  <c r="J47" i="35"/>
  <c r="E13" i="25"/>
  <c r="E80" i="21"/>
  <c r="F98" i="21" s="1"/>
  <c r="F8" i="21"/>
  <c r="M18" i="32"/>
  <c r="M10" i="35" s="1"/>
  <c r="L85" i="26"/>
  <c r="K31" i="35"/>
  <c r="K49" i="35"/>
  <c r="K82" i="26"/>
  <c r="N61" i="21"/>
  <c r="N24" i="21" s="1"/>
  <c r="J23" i="25"/>
  <c r="K2" i="25"/>
  <c r="K59" i="25" s="1"/>
  <c r="J9" i="25"/>
  <c r="K67" i="21"/>
  <c r="K81" i="35" s="1"/>
  <c r="L87" i="26"/>
  <c r="L79" i="26" s="1"/>
  <c r="L9" i="35" s="1"/>
  <c r="L2" i="21"/>
  <c r="K47" i="25" l="1"/>
  <c r="K35" i="25"/>
  <c r="K66" i="35"/>
  <c r="M19" i="32"/>
  <c r="L80" i="26"/>
  <c r="L81" i="26" s="1"/>
  <c r="L99" i="26"/>
  <c r="N62" i="21"/>
  <c r="K9" i="25"/>
  <c r="L2" i="25"/>
  <c r="L59" i="25" s="1"/>
  <c r="K23" i="25"/>
  <c r="K25" i="21"/>
  <c r="K68" i="21"/>
  <c r="H74" i="21"/>
  <c r="L88" i="26"/>
  <c r="M2" i="21"/>
  <c r="E24" i="24"/>
  <c r="E4" i="25" s="1"/>
  <c r="L47" i="25" l="1"/>
  <c r="L35" i="25"/>
  <c r="M48" i="35"/>
  <c r="N17" i="32"/>
  <c r="M87" i="26"/>
  <c r="M79" i="26" s="1"/>
  <c r="M9" i="35" s="1"/>
  <c r="L31" i="35"/>
  <c r="L49" i="35"/>
  <c r="L82" i="26"/>
  <c r="M99" i="26"/>
  <c r="M85" i="26"/>
  <c r="O60" i="21"/>
  <c r="N84" i="21"/>
  <c r="L23" i="25"/>
  <c r="L9" i="25"/>
  <c r="M2" i="25"/>
  <c r="M59" i="25" s="1"/>
  <c r="K85" i="21"/>
  <c r="L65" i="21"/>
  <c r="H86" i="21"/>
  <c r="I72" i="21"/>
  <c r="N2" i="21"/>
  <c r="L103" i="21" l="1"/>
  <c r="L16" i="35" s="1"/>
  <c r="O102" i="21"/>
  <c r="O15" i="35" s="1"/>
  <c r="N74" i="35"/>
  <c r="I104" i="21"/>
  <c r="I17" i="35" s="1"/>
  <c r="M47" i="25"/>
  <c r="M35" i="25"/>
  <c r="N46" i="35"/>
  <c r="N80" i="35" s="1"/>
  <c r="H19" i="25"/>
  <c r="H52" i="35"/>
  <c r="K18" i="25"/>
  <c r="K48" i="25" s="1"/>
  <c r="K47" i="35"/>
  <c r="L66" i="35"/>
  <c r="N18" i="32"/>
  <c r="N10" i="35" s="1"/>
  <c r="N17" i="25"/>
  <c r="M80" i="26"/>
  <c r="M81" i="26" s="1"/>
  <c r="M88" i="26"/>
  <c r="M31" i="35" s="1"/>
  <c r="M49" i="35"/>
  <c r="N99" i="26"/>
  <c r="O61" i="21"/>
  <c r="M9" i="25"/>
  <c r="M23" i="25"/>
  <c r="N2" i="25"/>
  <c r="N59" i="25" s="1"/>
  <c r="L66" i="21"/>
  <c r="I73" i="21"/>
  <c r="O2" i="21"/>
  <c r="N47" i="25" l="1"/>
  <c r="N35" i="25"/>
  <c r="H24" i="25"/>
  <c r="H36" i="25"/>
  <c r="M66" i="35"/>
  <c r="N87" i="26"/>
  <c r="N79" i="26" s="1"/>
  <c r="N9" i="35" s="1"/>
  <c r="M82" i="26"/>
  <c r="N19" i="32"/>
  <c r="N85" i="26"/>
  <c r="N49" i="35"/>
  <c r="N66" i="35" s="1"/>
  <c r="O24" i="21"/>
  <c r="O62" i="21"/>
  <c r="O84" i="21" s="1"/>
  <c r="O2" i="25"/>
  <c r="O59" i="25" s="1"/>
  <c r="N9" i="25"/>
  <c r="N23" i="25"/>
  <c r="L67" i="21"/>
  <c r="L81" i="35" s="1"/>
  <c r="O47" i="25" l="1"/>
  <c r="O35" i="25"/>
  <c r="O74" i="35"/>
  <c r="O46" i="35"/>
  <c r="O80" i="35" s="1"/>
  <c r="N80" i="26"/>
  <c r="N81" i="26" s="1"/>
  <c r="N88" i="26"/>
  <c r="O85" i="26" s="1"/>
  <c r="O17" i="32"/>
  <c r="N48" i="35"/>
  <c r="O99" i="26"/>
  <c r="M43" i="24"/>
  <c r="O17" i="25"/>
  <c r="O9" i="25"/>
  <c r="O23" i="25"/>
  <c r="L25" i="21"/>
  <c r="L68" i="21"/>
  <c r="I74" i="21"/>
  <c r="N82" i="26" l="1"/>
  <c r="N31" i="35"/>
  <c r="O87" i="26"/>
  <c r="O18" i="32"/>
  <c r="O10" i="35" s="1"/>
  <c r="O49" i="35"/>
  <c r="O66" i="35" s="1"/>
  <c r="L85" i="21"/>
  <c r="M65" i="21"/>
  <c r="J72" i="21"/>
  <c r="I86" i="21"/>
  <c r="M103" i="21" l="1"/>
  <c r="M16" i="35" s="1"/>
  <c r="J104" i="21"/>
  <c r="J17" i="35" s="1"/>
  <c r="I19" i="25"/>
  <c r="I52" i="35"/>
  <c r="L18" i="25"/>
  <c r="L48" i="25" s="1"/>
  <c r="L47" i="35"/>
  <c r="O79" i="26"/>
  <c r="O88" i="26"/>
  <c r="O31" i="35" s="1"/>
  <c r="O19" i="32"/>
  <c r="O48" i="35" s="1"/>
  <c r="M66" i="21"/>
  <c r="J73" i="21"/>
  <c r="I24" i="25" l="1"/>
  <c r="I36" i="25"/>
  <c r="O9" i="35"/>
  <c r="O80" i="26"/>
  <c r="M67" i="21"/>
  <c r="M81" i="35" s="1"/>
  <c r="O81" i="26" l="1"/>
  <c r="O82" i="26" s="1"/>
  <c r="M68" i="21"/>
  <c r="N65" i="21" s="1"/>
  <c r="M25" i="21"/>
  <c r="J74" i="21"/>
  <c r="M85" i="21" l="1"/>
  <c r="N66" i="21"/>
  <c r="K72" i="21"/>
  <c r="J86" i="21"/>
  <c r="K104" i="21" l="1"/>
  <c r="K17" i="35" s="1"/>
  <c r="N103" i="21"/>
  <c r="N16" i="35" s="1"/>
  <c r="J52" i="35"/>
  <c r="M18" i="25"/>
  <c r="M48" i="25" s="1"/>
  <c r="M47" i="35"/>
  <c r="J19" i="25"/>
  <c r="J36" i="25" s="1"/>
  <c r="N67" i="21"/>
  <c r="N81" i="35" s="1"/>
  <c r="K73" i="21"/>
  <c r="J24" i="25" l="1"/>
  <c r="N25" i="21"/>
  <c r="N68" i="21"/>
  <c r="K74" i="21"/>
  <c r="O65" i="21" l="1"/>
  <c r="N85" i="21"/>
  <c r="K86" i="21"/>
  <c r="L72" i="21"/>
  <c r="L104" i="21" l="1"/>
  <c r="L17" i="35" s="1"/>
  <c r="O103" i="21"/>
  <c r="O16" i="35" s="1"/>
  <c r="K52" i="35"/>
  <c r="N18" i="25"/>
  <c r="N48" i="25" s="1"/>
  <c r="N47" i="35"/>
  <c r="K19" i="25"/>
  <c r="O66" i="21"/>
  <c r="L73" i="21"/>
  <c r="K24" i="25" l="1"/>
  <c r="K36" i="25"/>
  <c r="O67" i="21"/>
  <c r="O81" i="35" s="1"/>
  <c r="O25" i="21" l="1"/>
  <c r="O68" i="21"/>
  <c r="O85" i="21" s="1"/>
  <c r="L74" i="21"/>
  <c r="O18" i="25" l="1"/>
  <c r="O48" i="25" s="1"/>
  <c r="O47" i="35"/>
  <c r="M44" i="24"/>
  <c r="M72" i="21"/>
  <c r="L86" i="21"/>
  <c r="M104" i="21" l="1"/>
  <c r="M17" i="35" s="1"/>
  <c r="L52" i="35"/>
  <c r="L19" i="25"/>
  <c r="M73" i="21"/>
  <c r="L24" i="25" l="1"/>
  <c r="L36" i="25"/>
  <c r="M74" i="21"/>
  <c r="M86" i="21" l="1"/>
  <c r="N72" i="21"/>
  <c r="N73" i="21" s="1"/>
  <c r="N104" i="21" l="1"/>
  <c r="N17" i="35" s="1"/>
  <c r="M52" i="35"/>
  <c r="M19" i="25"/>
  <c r="N74" i="21"/>
  <c r="M24" i="25" l="1"/>
  <c r="M36" i="25"/>
  <c r="N86" i="21"/>
  <c r="O72" i="21"/>
  <c r="O73" i="21" s="1"/>
  <c r="O104" i="21" l="1"/>
  <c r="O17" i="35" s="1"/>
  <c r="N52" i="35"/>
  <c r="N19" i="25"/>
  <c r="N24" i="25" l="1"/>
  <c r="N36" i="25"/>
  <c r="O74" i="21"/>
  <c r="O86" i="21" s="1"/>
  <c r="O19" i="25" l="1"/>
  <c r="O52" i="35"/>
  <c r="O24" i="25" l="1"/>
  <c r="O36" i="25"/>
  <c r="G23" i="32" l="1"/>
  <c r="H23" i="32"/>
  <c r="I23" i="32"/>
  <c r="J23" i="32"/>
  <c r="K23" i="32"/>
  <c r="L23" i="32"/>
  <c r="M23" i="32"/>
  <c r="N23" i="32"/>
  <c r="O23" i="32"/>
  <c r="F24" i="32"/>
  <c r="G24" i="32"/>
  <c r="H24" i="32"/>
  <c r="I24" i="32"/>
  <c r="J24" i="32"/>
  <c r="K24" i="32"/>
  <c r="L24" i="32"/>
  <c r="M24" i="32"/>
  <c r="N24" i="32"/>
  <c r="O24" i="32"/>
  <c r="F25" i="32"/>
  <c r="G25" i="32"/>
  <c r="H25" i="32"/>
  <c r="I25" i="32"/>
  <c r="J25" i="32"/>
  <c r="K25" i="32"/>
  <c r="L25" i="32"/>
  <c r="M25" i="32"/>
  <c r="N25" i="32"/>
  <c r="O25" i="32"/>
  <c r="G8" i="21"/>
  <c r="H8" i="21"/>
  <c r="I8" i="21"/>
  <c r="J8" i="21"/>
  <c r="K8" i="21"/>
  <c r="L8" i="21"/>
  <c r="M8" i="21"/>
  <c r="N8" i="21"/>
  <c r="O8" i="21"/>
  <c r="F9" i="21"/>
  <c r="G9" i="21"/>
  <c r="H9" i="21"/>
  <c r="I9" i="21"/>
  <c r="J9" i="21"/>
  <c r="K9" i="21"/>
  <c r="L9" i="21"/>
  <c r="M9" i="21"/>
  <c r="N9" i="21"/>
  <c r="O9" i="21"/>
  <c r="F11" i="21"/>
  <c r="G11" i="21"/>
  <c r="H11" i="21"/>
  <c r="I11" i="21"/>
  <c r="J11" i="21"/>
  <c r="K11" i="21"/>
  <c r="L11" i="21"/>
  <c r="M11" i="21"/>
  <c r="N11" i="21"/>
  <c r="O11" i="21"/>
  <c r="G22" i="21"/>
  <c r="H22" i="21"/>
  <c r="I22" i="21"/>
  <c r="J22" i="21"/>
  <c r="K22" i="21"/>
  <c r="L22" i="21"/>
  <c r="M22" i="21"/>
  <c r="N22" i="21"/>
  <c r="O22" i="21"/>
  <c r="G23" i="21"/>
  <c r="H23" i="21"/>
  <c r="I23" i="21"/>
  <c r="J23" i="21"/>
  <c r="K23" i="21"/>
  <c r="L23" i="21"/>
  <c r="M23" i="21"/>
  <c r="N23" i="21"/>
  <c r="O23" i="21"/>
  <c r="F28" i="21"/>
  <c r="G28" i="21"/>
  <c r="H28" i="21"/>
  <c r="I28" i="21"/>
  <c r="J28" i="21"/>
  <c r="K28" i="21"/>
  <c r="L28" i="21"/>
  <c r="M28" i="21"/>
  <c r="N28" i="21"/>
  <c r="O28" i="21"/>
  <c r="G29" i="21"/>
  <c r="H29" i="21"/>
  <c r="I29" i="21"/>
  <c r="J29" i="21"/>
  <c r="K29" i="21"/>
  <c r="L29" i="21"/>
  <c r="M29" i="21"/>
  <c r="N29" i="21"/>
  <c r="O29" i="21"/>
  <c r="F30" i="21"/>
  <c r="G30" i="21"/>
  <c r="H30" i="21"/>
  <c r="I30" i="21"/>
  <c r="J30" i="21"/>
  <c r="K30" i="21"/>
  <c r="L30" i="21"/>
  <c r="M30" i="21"/>
  <c r="N30" i="21"/>
  <c r="O30" i="21"/>
  <c r="G34" i="21"/>
  <c r="H34" i="21"/>
  <c r="I34" i="21"/>
  <c r="J34" i="21"/>
  <c r="K34" i="21"/>
  <c r="L34" i="21"/>
  <c r="M34" i="21"/>
  <c r="N34" i="21"/>
  <c r="O34" i="21"/>
  <c r="F35" i="21"/>
  <c r="G35" i="21"/>
  <c r="H35" i="21"/>
  <c r="I35" i="21"/>
  <c r="J35" i="21"/>
  <c r="K35" i="21"/>
  <c r="L35" i="21"/>
  <c r="M35" i="21"/>
  <c r="N35" i="21"/>
  <c r="O35" i="21"/>
  <c r="F36" i="21"/>
  <c r="G36" i="21"/>
  <c r="H36" i="21"/>
  <c r="I36" i="21"/>
  <c r="J36" i="21"/>
  <c r="K36" i="21"/>
  <c r="L36" i="21"/>
  <c r="M36" i="21"/>
  <c r="N36" i="21"/>
  <c r="O36" i="21"/>
  <c r="F40" i="21"/>
  <c r="G40" i="21"/>
  <c r="H40" i="21"/>
  <c r="I40" i="21"/>
  <c r="J40" i="21"/>
  <c r="K40" i="21"/>
  <c r="L40" i="21"/>
  <c r="M40" i="21"/>
  <c r="N40" i="21"/>
  <c r="O40" i="21"/>
  <c r="F42" i="21"/>
  <c r="G42" i="21"/>
  <c r="H42" i="21"/>
  <c r="I42" i="21"/>
  <c r="J42" i="21"/>
  <c r="K42" i="21"/>
  <c r="L42" i="21"/>
  <c r="M42" i="21"/>
  <c r="N42" i="21"/>
  <c r="O42" i="21"/>
  <c r="G46" i="21"/>
  <c r="H46" i="21"/>
  <c r="I46" i="21"/>
  <c r="J46" i="21"/>
  <c r="K46" i="21"/>
  <c r="L46" i="21"/>
  <c r="M46" i="21"/>
  <c r="N46" i="21"/>
  <c r="O46" i="21"/>
  <c r="G47" i="21"/>
  <c r="H47" i="21"/>
  <c r="I47" i="21"/>
  <c r="J47" i="21"/>
  <c r="K47" i="21"/>
  <c r="L47" i="21"/>
  <c r="M47" i="21"/>
  <c r="N47" i="21"/>
  <c r="O47" i="21"/>
  <c r="F48" i="21"/>
  <c r="G48" i="21"/>
  <c r="H48" i="21"/>
  <c r="I48" i="21"/>
  <c r="J48" i="21"/>
  <c r="K48" i="21"/>
  <c r="L48" i="21"/>
  <c r="M48" i="21"/>
  <c r="N48" i="21"/>
  <c r="O48" i="21"/>
  <c r="F49" i="21"/>
  <c r="G49" i="21"/>
  <c r="H49" i="21"/>
  <c r="I49" i="21"/>
  <c r="J49" i="21"/>
  <c r="K49" i="21"/>
  <c r="L49" i="21"/>
  <c r="M49" i="21"/>
  <c r="N49" i="21"/>
  <c r="O49" i="21"/>
  <c r="F51" i="21"/>
  <c r="G51" i="21"/>
  <c r="H51" i="21"/>
  <c r="I51" i="21"/>
  <c r="J51" i="21"/>
  <c r="K51" i="21"/>
  <c r="L51" i="21"/>
  <c r="M51" i="21"/>
  <c r="N51" i="21"/>
  <c r="O51" i="21"/>
  <c r="G54" i="21"/>
  <c r="H54" i="21"/>
  <c r="I54" i="21"/>
  <c r="J54" i="21"/>
  <c r="K54" i="21"/>
  <c r="L54" i="21"/>
  <c r="M54" i="21"/>
  <c r="N54" i="21"/>
  <c r="O54" i="21"/>
  <c r="G55" i="21"/>
  <c r="H55" i="21"/>
  <c r="I55" i="21"/>
  <c r="J55" i="21"/>
  <c r="K55" i="21"/>
  <c r="L55" i="21"/>
  <c r="M55" i="21"/>
  <c r="N55" i="21"/>
  <c r="O55" i="21"/>
  <c r="F56" i="21"/>
  <c r="G56" i="21"/>
  <c r="H56" i="21"/>
  <c r="I56" i="21"/>
  <c r="J56" i="21"/>
  <c r="K56" i="21"/>
  <c r="L56" i="21"/>
  <c r="M56" i="21"/>
  <c r="N56" i="21"/>
  <c r="O56" i="21"/>
  <c r="F57" i="21"/>
  <c r="G57" i="21"/>
  <c r="H57" i="21"/>
  <c r="I57" i="21"/>
  <c r="J57" i="21"/>
  <c r="K57" i="21"/>
  <c r="L57" i="21"/>
  <c r="M57" i="21"/>
  <c r="N57" i="21"/>
  <c r="O57" i="21"/>
  <c r="F80" i="21"/>
  <c r="G80" i="21"/>
  <c r="H80" i="21"/>
  <c r="I80" i="21"/>
  <c r="J80" i="21"/>
  <c r="K80" i="21"/>
  <c r="L80" i="21"/>
  <c r="M80" i="21"/>
  <c r="N80" i="21"/>
  <c r="O80" i="21"/>
  <c r="F81" i="21"/>
  <c r="G81" i="21"/>
  <c r="H81" i="21"/>
  <c r="I81" i="21"/>
  <c r="J81" i="21"/>
  <c r="K81" i="21"/>
  <c r="L81" i="21"/>
  <c r="M81" i="21"/>
  <c r="N81" i="21"/>
  <c r="O81" i="21"/>
  <c r="F82" i="21"/>
  <c r="G82" i="21"/>
  <c r="H82" i="21"/>
  <c r="I82" i="21"/>
  <c r="J82" i="21"/>
  <c r="K82" i="21"/>
  <c r="L82" i="21"/>
  <c r="M82" i="21"/>
  <c r="N82" i="21"/>
  <c r="O82" i="21"/>
  <c r="F83" i="21"/>
  <c r="G83" i="21"/>
  <c r="H83" i="21"/>
  <c r="I83" i="21"/>
  <c r="J83" i="21"/>
  <c r="K83" i="21"/>
  <c r="L83" i="21"/>
  <c r="M83" i="21"/>
  <c r="N83" i="21"/>
  <c r="O83" i="21"/>
  <c r="G98" i="21"/>
  <c r="H98" i="21"/>
  <c r="I98" i="21"/>
  <c r="J98" i="21"/>
  <c r="K98" i="21"/>
  <c r="L98" i="21"/>
  <c r="M98" i="21"/>
  <c r="N98" i="21"/>
  <c r="O98" i="21"/>
  <c r="G99" i="21"/>
  <c r="H99" i="21"/>
  <c r="I99" i="21"/>
  <c r="J99" i="21"/>
  <c r="K99" i="21"/>
  <c r="L99" i="21"/>
  <c r="M99" i="21"/>
  <c r="N99" i="21"/>
  <c r="O99" i="21"/>
  <c r="G100" i="21"/>
  <c r="H100" i="21"/>
  <c r="I100" i="21"/>
  <c r="J100" i="21"/>
  <c r="K100" i="21"/>
  <c r="L100" i="21"/>
  <c r="M100" i="21"/>
  <c r="N100" i="21"/>
  <c r="O100" i="21"/>
  <c r="G101" i="21"/>
  <c r="H101" i="21"/>
  <c r="I101" i="21"/>
  <c r="J101" i="21"/>
  <c r="K101" i="21"/>
  <c r="L101" i="21"/>
  <c r="M101" i="21"/>
  <c r="N101" i="21"/>
  <c r="O101" i="21"/>
  <c r="F107" i="21"/>
  <c r="G107" i="21"/>
  <c r="H107" i="21"/>
  <c r="I107" i="21"/>
  <c r="J107" i="21"/>
  <c r="K107" i="21"/>
  <c r="L107" i="21"/>
  <c r="M107" i="21"/>
  <c r="N107" i="21"/>
  <c r="O107" i="21"/>
  <c r="F108" i="21"/>
  <c r="G108" i="21"/>
  <c r="H108" i="21"/>
  <c r="I108" i="21"/>
  <c r="J108" i="21"/>
  <c r="K108" i="21"/>
  <c r="L108" i="21"/>
  <c r="M108" i="21"/>
  <c r="N108" i="21"/>
  <c r="O108" i="21"/>
  <c r="F109" i="21"/>
  <c r="G109" i="21"/>
  <c r="H109" i="21"/>
  <c r="I109" i="21"/>
  <c r="J109" i="21"/>
  <c r="K109" i="21"/>
  <c r="L109" i="21"/>
  <c r="M109" i="21"/>
  <c r="N109" i="21"/>
  <c r="O109" i="21"/>
  <c r="F110" i="21"/>
  <c r="G110" i="21"/>
  <c r="H110" i="21"/>
  <c r="I110" i="21"/>
  <c r="J110" i="21"/>
  <c r="K110" i="21"/>
  <c r="L110" i="21"/>
  <c r="M110" i="21"/>
  <c r="N110" i="21"/>
  <c r="O110" i="21"/>
  <c r="F113" i="21"/>
  <c r="G113" i="21"/>
  <c r="H113" i="21"/>
  <c r="I113" i="21"/>
  <c r="J113" i="21"/>
  <c r="K113" i="21"/>
  <c r="L113" i="21"/>
  <c r="M113" i="21"/>
  <c r="N113" i="21"/>
  <c r="O113" i="21"/>
  <c r="F114" i="21"/>
  <c r="G114" i="21"/>
  <c r="H114" i="21"/>
  <c r="I114" i="21"/>
  <c r="J114" i="21"/>
  <c r="K114" i="21"/>
  <c r="L114" i="21"/>
  <c r="M114" i="21"/>
  <c r="N114" i="21"/>
  <c r="O114" i="21"/>
  <c r="F115" i="21"/>
  <c r="G115" i="21"/>
  <c r="H115" i="21"/>
  <c r="I115" i="21"/>
  <c r="J115" i="21"/>
  <c r="K115" i="21"/>
  <c r="L115" i="21"/>
  <c r="M115" i="21"/>
  <c r="N115" i="21"/>
  <c r="O115" i="21"/>
  <c r="F116" i="21"/>
  <c r="G116" i="21"/>
  <c r="H116" i="21"/>
  <c r="I116" i="21"/>
  <c r="J116" i="21"/>
  <c r="K116" i="21"/>
  <c r="L116" i="21"/>
  <c r="M116" i="21"/>
  <c r="N116" i="21"/>
  <c r="O116" i="21"/>
  <c r="F117" i="21"/>
  <c r="G117" i="21"/>
  <c r="H117" i="21"/>
  <c r="I117" i="21"/>
  <c r="J117" i="21"/>
  <c r="K117" i="21"/>
  <c r="L117" i="21"/>
  <c r="M117" i="21"/>
  <c r="N117" i="21"/>
  <c r="O117" i="21"/>
  <c r="F118" i="21"/>
  <c r="G118" i="21"/>
  <c r="H118" i="21"/>
  <c r="I118" i="21"/>
  <c r="J118" i="21"/>
  <c r="K118" i="21"/>
  <c r="L118" i="21"/>
  <c r="M118" i="21"/>
  <c r="N118" i="21"/>
  <c r="O118" i="21"/>
  <c r="F120" i="21"/>
  <c r="G120" i="21"/>
  <c r="H120" i="21"/>
  <c r="I120" i="21"/>
  <c r="J120" i="21"/>
  <c r="K120" i="21"/>
  <c r="L120" i="21"/>
  <c r="M120" i="21"/>
  <c r="N120" i="21"/>
  <c r="O120" i="21"/>
  <c r="F11" i="35"/>
  <c r="G11" i="35"/>
  <c r="H11" i="35"/>
  <c r="I11" i="35"/>
  <c r="J11" i="35"/>
  <c r="K11" i="35"/>
  <c r="L11" i="35"/>
  <c r="M11" i="35"/>
  <c r="N11" i="35"/>
  <c r="O11" i="35"/>
  <c r="F12" i="35"/>
  <c r="G12" i="35"/>
  <c r="H12" i="35"/>
  <c r="I12" i="35"/>
  <c r="J12" i="35"/>
  <c r="K12" i="35"/>
  <c r="L12" i="35"/>
  <c r="M12" i="35"/>
  <c r="N12" i="35"/>
  <c r="O12" i="35"/>
  <c r="F13" i="35"/>
  <c r="G13" i="35"/>
  <c r="H13" i="35"/>
  <c r="I13" i="35"/>
  <c r="J13" i="35"/>
  <c r="K13" i="35"/>
  <c r="L13" i="35"/>
  <c r="M13" i="35"/>
  <c r="N13" i="35"/>
  <c r="O13" i="35"/>
  <c r="F14" i="35"/>
  <c r="G14" i="35"/>
  <c r="H14" i="35"/>
  <c r="I14" i="35"/>
  <c r="J14" i="35"/>
  <c r="K14" i="35"/>
  <c r="L14" i="35"/>
  <c r="M14" i="35"/>
  <c r="N14" i="35"/>
  <c r="O14" i="35"/>
  <c r="F18" i="35"/>
  <c r="G18" i="35"/>
  <c r="H18" i="35"/>
  <c r="I18" i="35"/>
  <c r="J18" i="35"/>
  <c r="K18" i="35"/>
  <c r="L18" i="35"/>
  <c r="M18" i="35"/>
  <c r="N18" i="35"/>
  <c r="O18" i="35"/>
  <c r="F20" i="35"/>
  <c r="G20" i="35"/>
  <c r="H20" i="35"/>
  <c r="I20" i="35"/>
  <c r="J20" i="35"/>
  <c r="K20" i="35"/>
  <c r="L20" i="35"/>
  <c r="M20" i="35"/>
  <c r="N20" i="35"/>
  <c r="O20" i="35"/>
  <c r="F21" i="35"/>
  <c r="G21" i="35"/>
  <c r="H21" i="35"/>
  <c r="I21" i="35"/>
  <c r="J21" i="35"/>
  <c r="K21" i="35"/>
  <c r="L21" i="35"/>
  <c r="M21" i="35"/>
  <c r="N21" i="35"/>
  <c r="O21" i="35"/>
  <c r="F26" i="35"/>
  <c r="G26" i="35"/>
  <c r="H26" i="35"/>
  <c r="I26" i="35"/>
  <c r="J26" i="35"/>
  <c r="K26" i="35"/>
  <c r="L26" i="35"/>
  <c r="M26" i="35"/>
  <c r="N26" i="35"/>
  <c r="O26" i="35"/>
  <c r="F29" i="35"/>
  <c r="G29" i="35"/>
  <c r="H29" i="35"/>
  <c r="I29" i="35"/>
  <c r="J29" i="35"/>
  <c r="K29" i="35"/>
  <c r="L29" i="35"/>
  <c r="M29" i="35"/>
  <c r="N29" i="35"/>
  <c r="O29" i="35"/>
  <c r="F34" i="35"/>
  <c r="G34" i="35"/>
  <c r="H34" i="35"/>
  <c r="I34" i="35"/>
  <c r="J34" i="35"/>
  <c r="K34" i="35"/>
  <c r="L34" i="35"/>
  <c r="M34" i="35"/>
  <c r="N34" i="35"/>
  <c r="O34" i="35"/>
  <c r="F38" i="35"/>
  <c r="G38" i="35"/>
  <c r="H38" i="35"/>
  <c r="I38" i="35"/>
  <c r="J38" i="35"/>
  <c r="K38" i="35"/>
  <c r="L38" i="35"/>
  <c r="M38" i="35"/>
  <c r="N38" i="35"/>
  <c r="O38" i="35"/>
  <c r="F41" i="35"/>
  <c r="G41" i="35"/>
  <c r="H41" i="35"/>
  <c r="I41" i="35"/>
  <c r="J41" i="35"/>
  <c r="K41" i="35"/>
  <c r="L41" i="35"/>
  <c r="M41" i="35"/>
  <c r="N41" i="35"/>
  <c r="O41" i="35"/>
  <c r="F44" i="35"/>
  <c r="G44" i="35"/>
  <c r="H44" i="35"/>
  <c r="I44" i="35"/>
  <c r="J44" i="35"/>
  <c r="K44" i="35"/>
  <c r="L44" i="35"/>
  <c r="M44" i="35"/>
  <c r="N44" i="35"/>
  <c r="O44" i="35"/>
  <c r="F45" i="35"/>
  <c r="G45" i="35"/>
  <c r="H45" i="35"/>
  <c r="I45" i="35"/>
  <c r="J45" i="35"/>
  <c r="K45" i="35"/>
  <c r="L45" i="35"/>
  <c r="M45" i="35"/>
  <c r="N45" i="35"/>
  <c r="O45" i="35"/>
  <c r="F50" i="35"/>
  <c r="G50" i="35"/>
  <c r="H50" i="35"/>
  <c r="I50" i="35"/>
  <c r="J50" i="35"/>
  <c r="K50" i="35"/>
  <c r="L50" i="35"/>
  <c r="M50" i="35"/>
  <c r="N50" i="35"/>
  <c r="O50" i="35"/>
  <c r="F54" i="35"/>
  <c r="G54" i="35"/>
  <c r="H54" i="35"/>
  <c r="I54" i="35"/>
  <c r="J54" i="35"/>
  <c r="K54" i="35"/>
  <c r="L54" i="35"/>
  <c r="M54" i="35"/>
  <c r="N54" i="35"/>
  <c r="O54" i="35"/>
  <c r="F55" i="35"/>
  <c r="G55" i="35"/>
  <c r="H55" i="35"/>
  <c r="I55" i="35"/>
  <c r="J55" i="35"/>
  <c r="K55" i="35"/>
  <c r="L55" i="35"/>
  <c r="M55" i="35"/>
  <c r="N55" i="35"/>
  <c r="O55" i="35"/>
  <c r="F57" i="35"/>
  <c r="G57" i="35"/>
  <c r="H57" i="35"/>
  <c r="I57" i="35"/>
  <c r="J57" i="35"/>
  <c r="K57" i="35"/>
  <c r="L57" i="35"/>
  <c r="M57" i="35"/>
  <c r="N57" i="35"/>
  <c r="O57" i="35"/>
  <c r="F59" i="35"/>
  <c r="G59" i="35"/>
  <c r="H59" i="35"/>
  <c r="I59" i="35"/>
  <c r="J59" i="35"/>
  <c r="K59" i="35"/>
  <c r="L59" i="35"/>
  <c r="M59" i="35"/>
  <c r="N59" i="35"/>
  <c r="O59" i="35"/>
  <c r="F63" i="35"/>
  <c r="G63" i="35"/>
  <c r="H63" i="35"/>
  <c r="I63" i="35"/>
  <c r="J63" i="35"/>
  <c r="K63" i="35"/>
  <c r="L63" i="35"/>
  <c r="M63" i="35"/>
  <c r="N63" i="35"/>
  <c r="O63" i="35"/>
  <c r="F68" i="35"/>
  <c r="G68" i="35"/>
  <c r="H68" i="35"/>
  <c r="I68" i="35"/>
  <c r="J68" i="35"/>
  <c r="K68" i="35"/>
  <c r="L68" i="35"/>
  <c r="M68" i="35"/>
  <c r="N68" i="35"/>
  <c r="O68" i="35"/>
  <c r="F70" i="35"/>
  <c r="G70" i="35"/>
  <c r="H70" i="35"/>
  <c r="I70" i="35"/>
  <c r="J70" i="35"/>
  <c r="K70" i="35"/>
  <c r="L70" i="35"/>
  <c r="M70" i="35"/>
  <c r="N70" i="35"/>
  <c r="O70" i="35"/>
  <c r="F71" i="35"/>
  <c r="G71" i="35"/>
  <c r="H71" i="35"/>
  <c r="I71" i="35"/>
  <c r="J71" i="35"/>
  <c r="K71" i="35"/>
  <c r="L71" i="35"/>
  <c r="M71" i="35"/>
  <c r="N71" i="35"/>
  <c r="O71" i="35"/>
  <c r="F72" i="35"/>
  <c r="G72" i="35"/>
  <c r="H72" i="35"/>
  <c r="I72" i="35"/>
  <c r="J72" i="35"/>
  <c r="K72" i="35"/>
  <c r="L72" i="35"/>
  <c r="M72" i="35"/>
  <c r="N72" i="35"/>
  <c r="O72" i="35"/>
  <c r="F73" i="35"/>
  <c r="G73" i="35"/>
  <c r="H73" i="35"/>
  <c r="I73" i="35"/>
  <c r="J73" i="35"/>
  <c r="K73" i="35"/>
  <c r="L73" i="35"/>
  <c r="M73" i="35"/>
  <c r="N73" i="35"/>
  <c r="O73" i="35"/>
  <c r="F75" i="35"/>
  <c r="G75" i="35"/>
  <c r="H75" i="35"/>
  <c r="I75" i="35"/>
  <c r="J75" i="35"/>
  <c r="K75" i="35"/>
  <c r="L75" i="35"/>
  <c r="M75" i="35"/>
  <c r="N75" i="35"/>
  <c r="O75" i="35"/>
  <c r="F77" i="35"/>
  <c r="G77" i="35"/>
  <c r="H77" i="35"/>
  <c r="I77" i="35"/>
  <c r="J77" i="35"/>
  <c r="K77" i="35"/>
  <c r="L77" i="35"/>
  <c r="M77" i="35"/>
  <c r="N77" i="35"/>
  <c r="O77" i="35"/>
  <c r="F78" i="35"/>
  <c r="G78" i="35"/>
  <c r="H78" i="35"/>
  <c r="I78" i="35"/>
  <c r="J78" i="35"/>
  <c r="K78" i="35"/>
  <c r="L78" i="35"/>
  <c r="M78" i="35"/>
  <c r="N78" i="35"/>
  <c r="O78" i="35"/>
  <c r="F79" i="35"/>
  <c r="G79" i="35"/>
  <c r="H79" i="35"/>
  <c r="I79" i="35"/>
  <c r="J79" i="35"/>
  <c r="K79" i="35"/>
  <c r="L79" i="35"/>
  <c r="M79" i="35"/>
  <c r="N79" i="35"/>
  <c r="O79" i="35"/>
  <c r="F82" i="35"/>
  <c r="G82" i="35"/>
  <c r="H82" i="35"/>
  <c r="I82" i="35"/>
  <c r="J82" i="35"/>
  <c r="K82" i="35"/>
  <c r="L82" i="35"/>
  <c r="M82" i="35"/>
  <c r="N82" i="35"/>
  <c r="O82" i="35"/>
  <c r="F83" i="35"/>
  <c r="G83" i="35"/>
  <c r="H83" i="35"/>
  <c r="I83" i="35"/>
  <c r="J83" i="35"/>
  <c r="K83" i="35"/>
  <c r="L83" i="35"/>
  <c r="M83" i="35"/>
  <c r="N83" i="35"/>
  <c r="O83" i="35"/>
  <c r="F13" i="25"/>
  <c r="G13" i="25"/>
  <c r="H13" i="25"/>
  <c r="I13" i="25"/>
  <c r="J13" i="25"/>
  <c r="K13" i="25"/>
  <c r="L13" i="25"/>
  <c r="M13" i="25"/>
  <c r="N13" i="25"/>
  <c r="O13" i="25"/>
  <c r="F14" i="25"/>
  <c r="G14" i="25"/>
  <c r="H14" i="25"/>
  <c r="I14" i="25"/>
  <c r="J14" i="25"/>
  <c r="K14" i="25"/>
  <c r="L14" i="25"/>
  <c r="M14" i="25"/>
  <c r="N14" i="25"/>
  <c r="O14" i="25"/>
  <c r="F15" i="25"/>
  <c r="G15" i="25"/>
  <c r="H15" i="25"/>
  <c r="I15" i="25"/>
  <c r="J15" i="25"/>
  <c r="K15" i="25"/>
  <c r="L15" i="25"/>
  <c r="M15" i="25"/>
  <c r="N15" i="25"/>
  <c r="O15" i="25"/>
  <c r="F16" i="25"/>
  <c r="G16" i="25"/>
  <c r="H16" i="25"/>
  <c r="I16" i="25"/>
  <c r="J16" i="25"/>
  <c r="K16" i="25"/>
  <c r="L16" i="25"/>
  <c r="M16" i="25"/>
  <c r="N16" i="25"/>
  <c r="O16" i="25"/>
  <c r="F20" i="25"/>
  <c r="G20" i="25"/>
  <c r="H20" i="25"/>
  <c r="I20" i="25"/>
  <c r="J20" i="25"/>
  <c r="K20" i="25"/>
  <c r="L20" i="25"/>
  <c r="M20" i="25"/>
  <c r="N20" i="25"/>
  <c r="O20" i="25"/>
  <c r="F25" i="25"/>
  <c r="G25" i="25"/>
  <c r="H25" i="25"/>
  <c r="I25" i="25"/>
  <c r="J25" i="25"/>
  <c r="K25" i="25"/>
  <c r="L25" i="25"/>
  <c r="M25" i="25"/>
  <c r="N25" i="25"/>
  <c r="O25" i="25"/>
  <c r="C28" i="25"/>
  <c r="D28" i="25"/>
  <c r="F28" i="25"/>
  <c r="C29" i="25"/>
  <c r="D29" i="25"/>
  <c r="G29" i="25"/>
  <c r="C30" i="25"/>
  <c r="D30" i="25"/>
  <c r="H30" i="25"/>
  <c r="C31" i="25"/>
  <c r="D31" i="25"/>
  <c r="I31" i="25"/>
  <c r="C32" i="25"/>
  <c r="D32" i="25"/>
  <c r="J32" i="25"/>
  <c r="F37" i="25"/>
  <c r="G37" i="25"/>
  <c r="H37" i="25"/>
  <c r="I37" i="25"/>
  <c r="J37" i="25"/>
  <c r="K37" i="25"/>
  <c r="L37" i="25"/>
  <c r="M37" i="25"/>
  <c r="N37" i="25"/>
  <c r="O37" i="25"/>
  <c r="C40" i="25"/>
  <c r="D40" i="25"/>
  <c r="F40" i="25"/>
  <c r="C41" i="25"/>
  <c r="D41" i="25"/>
  <c r="G41" i="25"/>
  <c r="C42" i="25"/>
  <c r="D42" i="25"/>
  <c r="H42" i="25"/>
  <c r="C43" i="25"/>
  <c r="D43" i="25"/>
  <c r="I43" i="25"/>
  <c r="C44" i="25"/>
  <c r="D44" i="25"/>
  <c r="J44" i="25"/>
  <c r="F49" i="25"/>
  <c r="G49" i="25"/>
  <c r="H49" i="25"/>
  <c r="I49" i="25"/>
  <c r="J49" i="25"/>
  <c r="K49" i="25"/>
  <c r="L49" i="25"/>
  <c r="M49" i="25"/>
  <c r="N49" i="25"/>
  <c r="O49" i="25"/>
  <c r="C52" i="25"/>
  <c r="D52" i="25"/>
  <c r="F52" i="25"/>
  <c r="C53" i="25"/>
  <c r="D53" i="25"/>
  <c r="G53" i="25"/>
  <c r="C54" i="25"/>
  <c r="D54" i="25"/>
  <c r="H54" i="25"/>
  <c r="C55" i="25"/>
  <c r="D55" i="25"/>
  <c r="I55" i="25"/>
  <c r="C56" i="25"/>
  <c r="D56" i="25"/>
  <c r="J56" i="25"/>
  <c r="F60" i="25"/>
  <c r="G60" i="25"/>
  <c r="H60" i="25"/>
  <c r="I60" i="25"/>
  <c r="J60" i="25"/>
  <c r="K60" i="25"/>
  <c r="L60" i="25"/>
  <c r="M60" i="25"/>
  <c r="N60" i="25"/>
  <c r="O60" i="25"/>
  <c r="C63" i="25"/>
  <c r="D63" i="25"/>
  <c r="F63" i="25"/>
  <c r="C64" i="25"/>
  <c r="D64" i="25"/>
  <c r="G64" i="25"/>
  <c r="C65" i="25"/>
  <c r="D65" i="25"/>
  <c r="H65" i="25"/>
  <c r="C66" i="25"/>
  <c r="D66" i="25"/>
  <c r="I66" i="25"/>
  <c r="C67" i="25"/>
  <c r="D67" i="25"/>
  <c r="J67" i="25"/>
  <c r="L41" i="24"/>
  <c r="M41" i="24"/>
  <c r="M42" i="24"/>
  <c r="E12" i="30"/>
  <c r="F12" i="30"/>
  <c r="G12" i="30"/>
  <c r="H12" i="30"/>
  <c r="E28" i="30"/>
  <c r="F28" i="30"/>
  <c r="G28" i="30"/>
  <c r="H28" i="30"/>
  <c r="E37" i="30"/>
  <c r="F37" i="30"/>
  <c r="G37" i="30"/>
  <c r="H3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E12" authorId="0" shapeId="0" xr:uid="{AE26BE66-043F-4811-8491-BDF03ABD9D0A}">
      <text>
        <r>
          <rPr>
            <sz val="9"/>
            <color indexed="81"/>
            <rFont val="Tahoma"/>
            <family val="2"/>
          </rPr>
          <t xml:space="preserve">
10Q June 2016</t>
        </r>
      </text>
    </comment>
    <comment ref="J12" authorId="1" shapeId="0" xr:uid="{D28E41DC-B4F0-401B-A1DD-86C5A699D597}">
      <text>
        <r>
          <rPr>
            <sz val="9"/>
            <color indexed="81"/>
            <rFont val="Tahoma"/>
            <family val="2"/>
          </rPr>
          <t xml:space="preserve">
This model ignores financing fee amortization</t>
        </r>
      </text>
    </comment>
    <comment ref="B45" authorId="1" shapeId="0" xr:uid="{0AC6BB96-BCB5-466C-8322-3F7B1333B818}">
      <text>
        <r>
          <rPr>
            <sz val="9"/>
            <color indexed="81"/>
            <rFont val="Tahoma"/>
            <family val="2"/>
          </rPr>
          <t xml:space="preserve">
Non tax deductible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66" authorId="0" shapeId="0" xr:uid="{DFA5AC6F-3022-410A-96DA-EE392D73E4D7}">
      <text>
        <r>
          <rPr>
            <sz val="9"/>
            <color indexed="81"/>
            <rFont val="Tahoma"/>
            <family val="2"/>
          </rPr>
          <t xml:space="preserve">
Equal to interest expense</t>
        </r>
      </text>
    </comment>
    <comment ref="B73" authorId="0" shapeId="0" xr:uid="{0BF01A10-76FB-4C86-92ED-B903A9F94067}">
      <text>
        <r>
          <rPr>
            <sz val="9"/>
            <color indexed="81"/>
            <rFont val="Tahoma"/>
            <family val="2"/>
          </rPr>
          <t xml:space="preserve">
Equal to interest expense</t>
        </r>
      </text>
    </comment>
    <comment ref="B118" authorId="1" shapeId="0" xr:uid="{ECE9DF19-1F5B-43E0-BD53-30F82691D9FB}">
      <text>
        <r>
          <rPr>
            <sz val="9"/>
            <color indexed="81"/>
            <rFont val="Tahoma"/>
            <family val="2"/>
          </rPr>
          <t xml:space="preserve">
EBITDA to SUM (interest, mandatory debt repayments)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Is this a realistic assumption - discuss</t>
        </r>
      </text>
    </comment>
  </commentList>
</comments>
</file>

<file path=xl/sharedStrings.xml><?xml version="1.0" encoding="utf-8"?>
<sst xmlns="http://schemas.openxmlformats.org/spreadsheetml/2006/main" count="541" uniqueCount="255">
  <si>
    <t>Deal Structuring Training</t>
  </si>
  <si>
    <t>LBO modeling</t>
  </si>
  <si>
    <t>Special features</t>
  </si>
  <si>
    <t>Integrated LBO model</t>
  </si>
  <si>
    <t>Circular reference switch</t>
  </si>
  <si>
    <t>Sources and uses of funds</t>
  </si>
  <si>
    <t>Debt schedule</t>
  </si>
  <si>
    <t>Income statement, balance sheet, and cash flow statement</t>
  </si>
  <si>
    <t>Sensitivity analysis</t>
  </si>
  <si>
    <t>Model information</t>
  </si>
  <si>
    <t>Company name</t>
  </si>
  <si>
    <t>Company2272</t>
  </si>
  <si>
    <t>Latest BS date</t>
  </si>
  <si>
    <t>Currency</t>
  </si>
  <si>
    <t>$</t>
  </si>
  <si>
    <t>Units</t>
  </si>
  <si>
    <t>m</t>
  </si>
  <si>
    <t>Analyst name</t>
  </si>
  <si>
    <t>Your name</t>
  </si>
  <si>
    <t>Circular switch</t>
  </si>
  <si>
    <t>Acquisition analysis and assumptions</t>
  </si>
  <si>
    <t>Offer price</t>
  </si>
  <si>
    <t>Options</t>
  </si>
  <si>
    <t>RSU</t>
  </si>
  <si>
    <t>Unaffected share price</t>
  </si>
  <si>
    <t>Options outstanding</t>
  </si>
  <si>
    <t>Premium paid</t>
  </si>
  <si>
    <t>Options strike price</t>
  </si>
  <si>
    <t>Acquisition price</t>
  </si>
  <si>
    <t>Net new shares</t>
  </si>
  <si>
    <t>Acquisition equity value</t>
  </si>
  <si>
    <t>Fee assumptions</t>
  </si>
  <si>
    <t>Basic shares outstanding</t>
  </si>
  <si>
    <t>Debt financing fees % debt issued</t>
  </si>
  <si>
    <t>Net shares to dilutive instruments</t>
  </si>
  <si>
    <t>Debt financing fees amortization (yrs)</t>
  </si>
  <si>
    <t>Diluted shares outstanding</t>
  </si>
  <si>
    <t>Advisory fees % acquisition EV</t>
  </si>
  <si>
    <t>Ownership structure</t>
  </si>
  <si>
    <t>% on entry</t>
  </si>
  <si>
    <t>% on exit</t>
  </si>
  <si>
    <t>Acquisition valuation bridge</t>
  </si>
  <si>
    <t>Mezzanine</t>
  </si>
  <si>
    <t>Management</t>
  </si>
  <si>
    <t>Existing net debt (from latest balance sheet)</t>
  </si>
  <si>
    <t>Institutions</t>
  </si>
  <si>
    <t>Acquisition enterprise value</t>
  </si>
  <si>
    <t>Acquisition multiples</t>
  </si>
  <si>
    <t>LTM EBITDA</t>
  </si>
  <si>
    <t>LTM EBITDA multiple</t>
  </si>
  <si>
    <t>Uses of funds</t>
  </si>
  <si>
    <t>Refinanced debt</t>
  </si>
  <si>
    <t>Short-term debt</t>
  </si>
  <si>
    <t>Long-term debt</t>
  </si>
  <si>
    <t>Financing fees</t>
  </si>
  <si>
    <t>Advisory fees</t>
  </si>
  <si>
    <t>Total uses of funds</t>
  </si>
  <si>
    <t>Sources of funds</t>
  </si>
  <si>
    <t>Analysis of sources of funds</t>
  </si>
  <si>
    <t>% of total</t>
  </si>
  <si>
    <t>Debt/EBITDA</t>
  </si>
  <si>
    <t>Swap rate</t>
  </si>
  <si>
    <t>Spread</t>
  </si>
  <si>
    <t>Interest rate</t>
  </si>
  <si>
    <t>Average life</t>
  </si>
  <si>
    <t>Year paid off</t>
  </si>
  <si>
    <t>Target cash</t>
  </si>
  <si>
    <t>Revolver</t>
  </si>
  <si>
    <t>Term debt A</t>
  </si>
  <si>
    <t>Term debt B</t>
  </si>
  <si>
    <t>High yield</t>
  </si>
  <si>
    <t>Mezzanine (PIK)</t>
  </si>
  <si>
    <t>Shareholder Loan (PIK)</t>
  </si>
  <si>
    <t>Ordinary shares</t>
  </si>
  <si>
    <t xml:space="preserve"> Total sources</t>
  </si>
  <si>
    <t>Hist.</t>
  </si>
  <si>
    <t>Proj.</t>
  </si>
  <si>
    <t>Case</t>
  </si>
  <si>
    <t>Income statement</t>
  </si>
  <si>
    <t>Sales growth</t>
  </si>
  <si>
    <t>EBITDA margin</t>
  </si>
  <si>
    <t>Tax rate</t>
  </si>
  <si>
    <t>Property, plant &amp; equipment</t>
  </si>
  <si>
    <t>Capital expenditure % of sales</t>
  </si>
  <si>
    <t>Depreciation % of beginning PP&amp;E</t>
  </si>
  <si>
    <t>Operating working capital</t>
  </si>
  <si>
    <t>Inventories % of sales</t>
  </si>
  <si>
    <t>Trade and other receivables % of sales</t>
  </si>
  <si>
    <t>Trade and other payables % of sales</t>
  </si>
  <si>
    <t>Other current liabilities % of sales</t>
  </si>
  <si>
    <t>Other operating items</t>
  </si>
  <si>
    <t>Other long-term assets % of sales</t>
  </si>
  <si>
    <t>Other long-term liabilities % of sales</t>
  </si>
  <si>
    <t>Base case</t>
  </si>
  <si>
    <t>Management case</t>
  </si>
  <si>
    <t>Operating model calculations</t>
  </si>
  <si>
    <t>Unlevered net income</t>
  </si>
  <si>
    <t>Sales</t>
  </si>
  <si>
    <t>EBITDA</t>
  </si>
  <si>
    <t>Depreciation and amortization expense</t>
  </si>
  <si>
    <t>EBIT</t>
  </si>
  <si>
    <t>Tax on EBIT</t>
  </si>
  <si>
    <t>PP&amp;E - Beginning balance</t>
  </si>
  <si>
    <t>Capital expenditure</t>
  </si>
  <si>
    <t>Depreciation</t>
  </si>
  <si>
    <t>PP&amp;E - Ending balance</t>
  </si>
  <si>
    <t>Inventories</t>
  </si>
  <si>
    <t>Trade and other receivables</t>
  </si>
  <si>
    <t>Trade and other payables</t>
  </si>
  <si>
    <t>Other current liabilities</t>
  </si>
  <si>
    <t>OWC</t>
  </si>
  <si>
    <t>Other long-term assets</t>
  </si>
  <si>
    <t>Other long-term liabilities</t>
  </si>
  <si>
    <t>Goodwill</t>
  </si>
  <si>
    <t>Purchase price</t>
  </si>
  <si>
    <t>Fair value of net assets acquired</t>
  </si>
  <si>
    <t>Book value of net assets acquired</t>
  </si>
  <si>
    <t>Deduct existing goodwill of target</t>
  </si>
  <si>
    <t xml:space="preserve">Debt issuance fees </t>
  </si>
  <si>
    <t>Beginning debt issuance fees</t>
  </si>
  <si>
    <t>Amortization</t>
  </si>
  <si>
    <t>Ending debt issuance fees</t>
  </si>
  <si>
    <t>Retained earnings</t>
  </si>
  <si>
    <t>Beginning retained earnings</t>
  </si>
  <si>
    <t>Net income</t>
  </si>
  <si>
    <t>Ending retained earnings</t>
  </si>
  <si>
    <t>Op Co</t>
  </si>
  <si>
    <t>New Co</t>
  </si>
  <si>
    <t>Adj.</t>
  </si>
  <si>
    <t>Combo</t>
  </si>
  <si>
    <t>Balance sheet</t>
  </si>
  <si>
    <t>Assets</t>
  </si>
  <si>
    <t>Cash and financial investments</t>
  </si>
  <si>
    <t>Total current assets</t>
  </si>
  <si>
    <t>Property, plant and equipment</t>
  </si>
  <si>
    <t>Other LT assets</t>
  </si>
  <si>
    <t>Total assets</t>
  </si>
  <si>
    <t>Liabilities and equity</t>
  </si>
  <si>
    <t>Total current liabilities</t>
  </si>
  <si>
    <t>Debt financing fees</t>
  </si>
  <si>
    <t>Other LT liabilities</t>
  </si>
  <si>
    <t>Total liabilities</t>
  </si>
  <si>
    <t>Shareholder loan</t>
  </si>
  <si>
    <t>Ordinary equity</t>
  </si>
  <si>
    <t>Retained earnings (deficit)</t>
  </si>
  <si>
    <t>Shareholders equity</t>
  </si>
  <si>
    <t>Total liabilities &amp; equity</t>
  </si>
  <si>
    <t>Check</t>
  </si>
  <si>
    <t>Amortization of debt financing fees</t>
  </si>
  <si>
    <t>Interest income on cash</t>
  </si>
  <si>
    <t>Interest expense on revolver</t>
  </si>
  <si>
    <t>Interest expense on Term debt A</t>
  </si>
  <si>
    <t>Interest expense on Term debt B</t>
  </si>
  <si>
    <t>Interest expense on high yield bond</t>
  </si>
  <si>
    <t>Interest expense on mezzanine finance</t>
  </si>
  <si>
    <t>Interest expense on shareholder loan</t>
  </si>
  <si>
    <t>Income before tax</t>
  </si>
  <si>
    <t>Tax expense</t>
  </si>
  <si>
    <t>Cash flow statement</t>
  </si>
  <si>
    <t>Cash taxes</t>
  </si>
  <si>
    <t>(Increase) decrease in operating working capital</t>
  </si>
  <si>
    <t>Change in other long-term assets</t>
  </si>
  <si>
    <t>Change in other long term liabilities</t>
  </si>
  <si>
    <t>(Capital expenditure)</t>
  </si>
  <si>
    <t>Cash flow available for debt service</t>
  </si>
  <si>
    <t/>
  </si>
  <si>
    <t>Term debt A interest expense</t>
  </si>
  <si>
    <t>Term debt B interest expense</t>
  </si>
  <si>
    <t>Interest on high yield bond</t>
  </si>
  <si>
    <t>Cash flow available for debt repayment</t>
  </si>
  <si>
    <t>Issuance (repayment) of revolver</t>
  </si>
  <si>
    <t>Repayment of term debt A</t>
  </si>
  <si>
    <t>Repayment of term debt B</t>
  </si>
  <si>
    <t>Repayment of high yield bond</t>
  </si>
  <si>
    <t>Repayment of mezzanine</t>
  </si>
  <si>
    <t>Net cash flow</t>
  </si>
  <si>
    <t>Cash balance</t>
  </si>
  <si>
    <t>Cash available for debt repayment</t>
  </si>
  <si>
    <t>Minimum cash as % of sales</t>
  </si>
  <si>
    <t>Beginning cash</t>
  </si>
  <si>
    <t>Minimum cash required</t>
  </si>
  <si>
    <t>Mandated repayments</t>
  </si>
  <si>
    <t>Mandated repayment terms</t>
  </si>
  <si>
    <t>High Yield</t>
  </si>
  <si>
    <t>Mandated repayment amounts</t>
  </si>
  <si>
    <t>Cash available after mandated repayment</t>
  </si>
  <si>
    <t>Mandated payment amount</t>
  </si>
  <si>
    <t>Revolving credit facility</t>
  </si>
  <si>
    <t>Beginning balance</t>
  </si>
  <si>
    <t>Issuance (repayment)</t>
  </si>
  <si>
    <t>Ending balance</t>
  </si>
  <si>
    <t>Cash sweep</t>
  </si>
  <si>
    <t>Cash flow available for accelerated repayment after servicing revolver</t>
  </si>
  <si>
    <t>% of surplus cash used to sweep debt</t>
  </si>
  <si>
    <t>Cash used in sweep</t>
  </si>
  <si>
    <t>Debt balances and accelerated repayments</t>
  </si>
  <si>
    <t>Mandated repayment</t>
  </si>
  <si>
    <t>Accelerated repayment</t>
  </si>
  <si>
    <t>Cash available for term debt B accelerated repayment</t>
  </si>
  <si>
    <t>Interest accrued</t>
  </si>
  <si>
    <t>Shareholder loan (PIK)</t>
  </si>
  <si>
    <t>Debt and interest summary</t>
  </si>
  <si>
    <t>Debt and cash balances</t>
  </si>
  <si>
    <t>Cash</t>
  </si>
  <si>
    <t>Interest rates</t>
  </si>
  <si>
    <t>Opening balance driven interest income and expense</t>
  </si>
  <si>
    <t>Average balance driven interest income and expense</t>
  </si>
  <si>
    <t>Debt ratios</t>
  </si>
  <si>
    <t xml:space="preserve">Total debt  </t>
  </si>
  <si>
    <t>Total debt / EBITDA</t>
  </si>
  <si>
    <t>Senior Debt / EBITDA</t>
  </si>
  <si>
    <t>EBITDA / total debt interest</t>
  </si>
  <si>
    <t>EBITDA / Cash interest</t>
  </si>
  <si>
    <t xml:space="preserve">Fixed charge ratio </t>
  </si>
  <si>
    <t>Interest expense as a % of EBITDA</t>
  </si>
  <si>
    <t>Cap</t>
  </si>
  <si>
    <t>Entry EBITDA multiple</t>
  </si>
  <si>
    <t>Exit EBITDA multiple</t>
  </si>
  <si>
    <t>Basis of interest calcuations:</t>
  </si>
  <si>
    <t>Sources and uses of funds at exit</t>
  </si>
  <si>
    <t>Year</t>
  </si>
  <si>
    <t>Enterprise value on exit</t>
  </si>
  <si>
    <t>Equity value on exit</t>
  </si>
  <si>
    <t>Total equity returns</t>
  </si>
  <si>
    <t>Exit year</t>
  </si>
  <si>
    <t>MOIC</t>
  </si>
  <si>
    <t>IRR</t>
  </si>
  <si>
    <t>Investment</t>
  </si>
  <si>
    <t>Return</t>
  </si>
  <si>
    <t>Year 1</t>
  </si>
  <si>
    <t>Year 2</t>
  </si>
  <si>
    <t>Year 3</t>
  </si>
  <si>
    <t>Year 4</t>
  </si>
  <si>
    <t>Year 5</t>
  </si>
  <si>
    <t>Returns to institutional investors</t>
  </si>
  <si>
    <t>Returns to mezzanine investors</t>
  </si>
  <si>
    <t>Mezzanine loan plus accrued interest</t>
  </si>
  <si>
    <t>Value of warrants at exit</t>
  </si>
  <si>
    <t>Returns to management</t>
  </si>
  <si>
    <t>Premium paid (clone assumption)</t>
  </si>
  <si>
    <t>Operating case (clone assumption)</t>
  </si>
  <si>
    <t>Exit multiple (clone assumption)</t>
  </si>
  <si>
    <t>Sensitvity of returns to</t>
  </si>
  <si>
    <t>Premium</t>
  </si>
  <si>
    <t>Institutional</t>
  </si>
  <si>
    <t>Mgmt</t>
  </si>
  <si>
    <t>paid</t>
  </si>
  <si>
    <t>Year 3 IRR</t>
  </si>
  <si>
    <t>Exit</t>
  </si>
  <si>
    <t>Exit multiple</t>
  </si>
  <si>
    <t>mulitple</t>
  </si>
  <si>
    <t>Operating</t>
  </si>
  <si>
    <t>Operating case</t>
  </si>
  <si>
    <t>case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</si>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</sst>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"/>
    <numFmt numFmtId="167" formatCode="0.0%_);\(0.0%\)"/>
    <numFmt numFmtId="168" formatCode="#,##0_);\(#,##0\);0_);@_)"/>
    <numFmt numFmtId="169" formatCode="&quot;Yes&quot;;;&quot;No&quot;"/>
    <numFmt numFmtId="170" formatCode="#,##0.0_)\x;\(#,##0.0\)\x"/>
    <numFmt numFmtId="171" formatCode=";;;"/>
    <numFmt numFmtId="172" formatCode="#,##0.0_);\(#,##0.0\);0.0_);@_)"/>
    <numFmt numFmtId="173" formatCode="[$-409]d\-mmm\-yy;@"/>
    <numFmt numFmtId="174" formatCode="\$#,##0.00_);\(\$#,##0.00\)"/>
    <numFmt numFmtId="175" formatCode="#,##0.000_);\(#,##0.000\)"/>
    <numFmt numFmtId="176" formatCode="#,##0.0%_);\(#,##0.0\)%;0.0_);@_)"/>
    <numFmt numFmtId="177" formatCode="#,##0.0\x_);\(#,##0.0\)\x;0.0\x_)"/>
    <numFmt numFmtId="178" formatCode="#,##0.0%_);\(#,##0.0\)%;0.0%_);@_)"/>
    <numFmt numFmtId="179" formatCode="#,##0.00_);\(#,##0.00\);0.00_);@_)"/>
    <numFmt numFmtId="180" formatCode="#,##0.00%_);\(#,##0.00\)%;0.00%_);@_)"/>
  </numFmts>
  <fonts count="48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24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sz val="16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FA7D00"/>
      <name val="Calibri"/>
      <family val="2"/>
      <scheme val="minor"/>
    </font>
    <font>
      <sz val="16"/>
      <color rgb="FF9C6500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2"/>
      <color rgb="FF0000FF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2"/>
      <name val="Arial"/>
      <family val="2"/>
    </font>
    <font>
      <b/>
      <sz val="24"/>
      <color rgb="FF0000FF"/>
      <name val="Arial"/>
      <family val="2"/>
    </font>
    <font>
      <b/>
      <sz val="10"/>
      <color rgb="FF0000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sz val="10"/>
      <color rgb="FF00B050"/>
      <name val="Arial"/>
      <family val="2"/>
    </font>
    <font>
      <sz val="10"/>
      <color theme="0" tint="-0.14999847407452621"/>
      <name val="Arial"/>
      <family val="2"/>
    </font>
    <font>
      <b/>
      <sz val="14"/>
      <color rgb="FF027D07"/>
      <name val="Arial"/>
      <family val="2"/>
    </font>
    <font>
      <b/>
      <sz val="10"/>
      <color rgb="FF027D07"/>
      <name val="Arial"/>
      <family val="2"/>
    </font>
    <font>
      <sz val="11"/>
      <color rgb="FF027D07"/>
      <name val="Arial"/>
      <family val="2"/>
    </font>
    <font>
      <sz val="10"/>
      <color rgb="FF027D07"/>
      <name val="Arial"/>
      <family val="2"/>
    </font>
    <font>
      <b/>
      <sz val="11"/>
      <color rgb="FF027D07"/>
      <name val="Arial"/>
      <family val="2"/>
    </font>
    <font>
      <sz val="7"/>
      <color indexed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4"/>
        <bgColor indexed="64"/>
      </patternFill>
    </fill>
    <fill>
      <patternFill patternType="lightUp">
        <bgColor rgb="FFE1E1E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</borders>
  <cellStyleXfs count="65">
    <xf numFmtId="172" fontId="0" fillId="0" borderId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167" fontId="29" fillId="33" borderId="1" applyNumberFormat="0" applyFill="0" applyBorder="0" applyAlignment="0" applyProtection="0"/>
    <xf numFmtId="0" fontId="12" fillId="27" borderId="2" applyNumberFormat="0" applyAlignment="0" applyProtection="0"/>
    <xf numFmtId="0" fontId="13" fillId="28" borderId="3" applyNumberFormat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5" fontId="2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29" borderId="0" applyNumberFormat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66" fontId="29" fillId="34" borderId="1" applyNumberFormat="0" applyAlignment="0" applyProtection="0"/>
    <xf numFmtId="0" fontId="19" fillId="0" borderId="7" applyNumberFormat="0" applyFill="0" applyAlignment="0" applyProtection="0"/>
    <xf numFmtId="178" fontId="1" fillId="0" borderId="0" applyFont="0" applyFill="0" applyBorder="0" applyAlignment="0" applyProtection="0"/>
    <xf numFmtId="0" fontId="20" fillId="30" borderId="0" applyNumberFormat="0" applyBorder="0" applyAlignment="0" applyProtection="0"/>
    <xf numFmtId="169" fontId="2" fillId="0" borderId="0" applyFont="0" applyFill="0" applyBorder="0" applyAlignment="0" applyProtection="0"/>
    <xf numFmtId="0" fontId="6" fillId="31" borderId="8" applyNumberFormat="0" applyFont="0" applyAlignment="0" applyProtection="0"/>
    <xf numFmtId="0" fontId="21" fillId="27" borderId="9" applyNumberFormat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166" fontId="27" fillId="0" borderId="0" applyNumberFormat="0" applyFill="0" applyBorder="0" applyAlignment="0" applyProtection="0"/>
    <xf numFmtId="166" fontId="30" fillId="0" borderId="11" applyNumberFormat="0" applyAlignment="0" applyProtection="0"/>
    <xf numFmtId="166" fontId="31" fillId="32" borderId="0" applyNumberFormat="0" applyBorder="0" applyProtection="0">
      <alignment horizontal="left" vertical="center"/>
    </xf>
    <xf numFmtId="166" fontId="33" fillId="0" borderId="0" applyNumberFormat="0" applyFill="0" applyBorder="0" applyAlignment="0" applyProtection="0"/>
    <xf numFmtId="171" fontId="1" fillId="0" borderId="0"/>
    <xf numFmtId="176" fontId="29" fillId="34" borderId="1" applyAlignment="0" applyProtection="0"/>
    <xf numFmtId="166" fontId="32" fillId="32" borderId="0" applyNumberFormat="0" applyBorder="0" applyAlignment="0" applyProtection="0">
      <alignment horizontal="left" vertical="center"/>
    </xf>
    <xf numFmtId="166" fontId="34" fillId="0" borderId="0" applyNumberFormat="0" applyFill="0" applyBorder="0" applyProtection="0">
      <alignment horizontal="left"/>
    </xf>
    <xf numFmtId="172" fontId="1" fillId="0" borderId="0">
      <protection locked="0"/>
    </xf>
    <xf numFmtId="172" fontId="47" fillId="0" borderId="0" applyNumberFormat="0" applyFill="0" applyBorder="0" applyProtection="0">
      <alignment vertical="center"/>
      <protection hidden="1"/>
    </xf>
  </cellStyleXfs>
  <cellXfs count="75">
    <xf numFmtId="172" fontId="0" fillId="0" borderId="0" xfId="0"/>
    <xf numFmtId="172" fontId="28" fillId="0" borderId="0" xfId="0" applyFont="1"/>
    <xf numFmtId="178" fontId="28" fillId="0" borderId="0" xfId="44" applyFont="1"/>
    <xf numFmtId="172" fontId="1" fillId="0" borderId="0" xfId="0" applyFont="1"/>
    <xf numFmtId="166" fontId="1" fillId="0" borderId="0" xfId="26" applyNumberFormat="1" applyFont="1" applyFill="1" applyBorder="1"/>
    <xf numFmtId="172" fontId="1" fillId="0" borderId="0" xfId="0" applyFont="1" applyAlignment="1">
      <alignment horizontal="left" indent="1"/>
    </xf>
    <xf numFmtId="39" fontId="1" fillId="0" borderId="0" xfId="0" applyNumberFormat="1" applyFont="1"/>
    <xf numFmtId="166" fontId="1" fillId="0" borderId="0" xfId="0" applyNumberFormat="1" applyFont="1"/>
    <xf numFmtId="170" fontId="1" fillId="0" borderId="0" xfId="49" applyNumberFormat="1" applyFont="1"/>
    <xf numFmtId="178" fontId="1" fillId="0" borderId="0" xfId="44" applyFont="1"/>
    <xf numFmtId="37" fontId="1" fillId="0" borderId="0" xfId="0" applyNumberFormat="1" applyFont="1"/>
    <xf numFmtId="166" fontId="32" fillId="32" borderId="0" xfId="57" applyFont="1">
      <alignment horizontal="left" vertical="center"/>
    </xf>
    <xf numFmtId="172" fontId="36" fillId="0" borderId="0" xfId="0" applyFont="1"/>
    <xf numFmtId="178" fontId="29" fillId="34" borderId="1" xfId="44" applyFont="1" applyFill="1" applyBorder="1"/>
    <xf numFmtId="172" fontId="37" fillId="0" borderId="0" xfId="0" applyFont="1"/>
    <xf numFmtId="166" fontId="35" fillId="0" borderId="0" xfId="26" applyNumberFormat="1" applyFont="1" applyFill="1" applyBorder="1"/>
    <xf numFmtId="172" fontId="28" fillId="0" borderId="0" xfId="0" applyFont="1" applyAlignment="1">
      <alignment horizontal="left" indent="1"/>
    </xf>
    <xf numFmtId="166" fontId="38" fillId="32" borderId="0" xfId="57" applyFont="1">
      <alignment horizontal="left" vertical="center"/>
    </xf>
    <xf numFmtId="172" fontId="1" fillId="0" borderId="0" xfId="0" applyFont="1" applyAlignment="1">
      <alignment horizontal="left"/>
    </xf>
    <xf numFmtId="172" fontId="39" fillId="0" borderId="0" xfId="0" applyFont="1"/>
    <xf numFmtId="177" fontId="1" fillId="0" borderId="0" xfId="49" applyFont="1"/>
    <xf numFmtId="172" fontId="1" fillId="0" borderId="0" xfId="0" applyFont="1" applyAlignment="1">
      <alignment horizontal="right"/>
    </xf>
    <xf numFmtId="166" fontId="32" fillId="32" borderId="0" xfId="57" applyFont="1" applyAlignment="1">
      <alignment horizontal="center" vertical="center"/>
    </xf>
    <xf numFmtId="172" fontId="28" fillId="0" borderId="1" xfId="0" applyFont="1" applyBorder="1"/>
    <xf numFmtId="177" fontId="40" fillId="0" borderId="0" xfId="49" applyFont="1" applyAlignment="1">
      <alignment horizontal="left"/>
    </xf>
    <xf numFmtId="179" fontId="41" fillId="0" borderId="0" xfId="0" applyNumberFormat="1" applyFont="1"/>
    <xf numFmtId="178" fontId="41" fillId="0" borderId="0" xfId="44" applyFont="1"/>
    <xf numFmtId="177" fontId="41" fillId="0" borderId="0" xfId="49" applyFont="1"/>
    <xf numFmtId="180" fontId="1" fillId="0" borderId="0" xfId="44" applyNumberFormat="1" applyFont="1"/>
    <xf numFmtId="180" fontId="1" fillId="0" borderId="0" xfId="0" applyNumberFormat="1" applyFont="1"/>
    <xf numFmtId="180" fontId="29" fillId="34" borderId="1" xfId="44" applyNumberFormat="1" applyFont="1" applyFill="1" applyBorder="1"/>
    <xf numFmtId="166" fontId="31" fillId="32" borderId="0" xfId="57">
      <alignment horizontal="left" vertical="center"/>
    </xf>
    <xf numFmtId="166" fontId="29" fillId="0" borderId="0" xfId="26" applyNumberFormat="1" applyFill="1" applyBorder="1"/>
    <xf numFmtId="166" fontId="29" fillId="34" borderId="1" xfId="42" applyAlignment="1">
      <alignment horizontal="center"/>
    </xf>
    <xf numFmtId="15" fontId="29" fillId="34" borderId="1" xfId="42" applyNumberFormat="1" applyAlignment="1">
      <alignment horizontal="center"/>
    </xf>
    <xf numFmtId="168" fontId="29" fillId="34" borderId="1" xfId="42" applyNumberFormat="1" applyAlignment="1">
      <alignment horizontal="center"/>
    </xf>
    <xf numFmtId="172" fontId="42" fillId="0" borderId="0" xfId="56" applyNumberFormat="1" applyFont="1" applyBorder="1"/>
    <xf numFmtId="172" fontId="43" fillId="0" borderId="0" xfId="56" applyNumberFormat="1" applyFont="1" applyBorder="1" applyAlignment="1">
      <alignment horizontal="center"/>
    </xf>
    <xf numFmtId="172" fontId="44" fillId="0" borderId="0" xfId="0" applyFont="1"/>
    <xf numFmtId="172" fontId="42" fillId="0" borderId="11" xfId="56" applyNumberFormat="1" applyFont="1"/>
    <xf numFmtId="173" fontId="43" fillId="0" borderId="11" xfId="56" applyNumberFormat="1" applyFont="1" applyAlignment="1">
      <alignment horizontal="center" vertical="center"/>
    </xf>
    <xf numFmtId="172" fontId="42" fillId="0" borderId="0" xfId="62" applyNumberFormat="1" applyFont="1" applyBorder="1">
      <alignment horizontal="left"/>
    </xf>
    <xf numFmtId="37" fontId="43" fillId="0" borderId="11" xfId="56" applyNumberFormat="1" applyFont="1"/>
    <xf numFmtId="172" fontId="33" fillId="0" borderId="0" xfId="58" applyNumberFormat="1"/>
    <xf numFmtId="166" fontId="33" fillId="0" borderId="0" xfId="58"/>
    <xf numFmtId="166" fontId="33" fillId="0" borderId="0" xfId="58" applyBorder="1" applyAlignment="1">
      <alignment horizontal="center"/>
    </xf>
    <xf numFmtId="166" fontId="33" fillId="0" borderId="0" xfId="58" applyAlignment="1">
      <alignment horizontal="center"/>
    </xf>
    <xf numFmtId="179" fontId="29" fillId="34" borderId="1" xfId="42" applyNumberFormat="1" applyAlignment="1">
      <alignment horizontal="right"/>
    </xf>
    <xf numFmtId="175" fontId="29" fillId="34" borderId="1" xfId="42" applyNumberFormat="1" applyAlignment="1">
      <alignment horizontal="right"/>
    </xf>
    <xf numFmtId="39" fontId="29" fillId="34" borderId="1" xfId="42" applyNumberFormat="1"/>
    <xf numFmtId="167" fontId="29" fillId="34" borderId="1" xfId="42" applyNumberFormat="1"/>
    <xf numFmtId="174" fontId="29" fillId="34" borderId="1" xfId="42" applyNumberFormat="1" applyAlignment="1">
      <alignment horizontal="right"/>
    </xf>
    <xf numFmtId="172" fontId="29" fillId="34" borderId="1" xfId="42" applyNumberFormat="1"/>
    <xf numFmtId="172" fontId="33" fillId="0" borderId="0" xfId="58" applyNumberFormat="1" applyAlignment="1">
      <alignment horizontal="center"/>
    </xf>
    <xf numFmtId="178" fontId="29" fillId="34" borderId="1" xfId="42" applyNumberFormat="1"/>
    <xf numFmtId="166" fontId="33" fillId="0" borderId="0" xfId="58" applyAlignment="1"/>
    <xf numFmtId="180" fontId="29" fillId="34" borderId="1" xfId="42" applyNumberFormat="1"/>
    <xf numFmtId="172" fontId="45" fillId="0" borderId="0" xfId="0" applyFont="1"/>
    <xf numFmtId="172" fontId="30" fillId="0" borderId="0" xfId="56" applyNumberFormat="1" applyBorder="1"/>
    <xf numFmtId="172" fontId="29" fillId="0" borderId="0" xfId="26" applyNumberFormat="1" applyFill="1" applyBorder="1"/>
    <xf numFmtId="172" fontId="1" fillId="0" borderId="1" xfId="0" applyFont="1" applyBorder="1"/>
    <xf numFmtId="172" fontId="31" fillId="32" borderId="0" xfId="57" applyNumberFormat="1">
      <alignment horizontal="left" vertical="center"/>
    </xf>
    <xf numFmtId="178" fontId="29" fillId="36" borderId="1" xfId="42" applyNumberFormat="1" applyFill="1"/>
    <xf numFmtId="169" fontId="29" fillId="34" borderId="1" xfId="42" applyNumberFormat="1" applyAlignment="1">
      <alignment horizontal="center"/>
    </xf>
    <xf numFmtId="170" fontId="29" fillId="34" borderId="1" xfId="42" applyNumberFormat="1"/>
    <xf numFmtId="178" fontId="1" fillId="0" borderId="1" xfId="44" applyFont="1" applyBorder="1"/>
    <xf numFmtId="168" fontId="1" fillId="0" borderId="1" xfId="0" applyNumberFormat="1" applyFont="1" applyBorder="1"/>
    <xf numFmtId="177" fontId="1" fillId="0" borderId="1" xfId="49" applyFont="1" applyBorder="1"/>
    <xf numFmtId="179" fontId="1" fillId="0" borderId="0" xfId="0" applyNumberFormat="1" applyFont="1"/>
    <xf numFmtId="178" fontId="1" fillId="35" borderId="0" xfId="44" applyFont="1" applyFill="1"/>
    <xf numFmtId="179" fontId="1" fillId="35" borderId="0" xfId="0" applyNumberFormat="1" applyFont="1" applyFill="1"/>
    <xf numFmtId="177" fontId="1" fillId="35" borderId="0" xfId="49" applyFont="1" applyFill="1"/>
    <xf numFmtId="168" fontId="1" fillId="0" borderId="0" xfId="0" applyNumberFormat="1" applyFont="1"/>
    <xf numFmtId="172" fontId="46" fillId="0" borderId="0" xfId="56" applyNumberFormat="1" applyFont="1" applyBorder="1" applyAlignment="1">
      <alignment horizontal="center"/>
    </xf>
    <xf numFmtId="173" fontId="46" fillId="0" borderId="11" xfId="56" applyNumberFormat="1" applyFont="1" applyAlignment="1">
      <alignment horizontal="center" vertical="center"/>
    </xf>
  </cellXfs>
  <cellStyles count="65">
    <cellStyle name="20% - Accent1" xfId="1" builtinId="30" hidden="1"/>
    <cellStyle name="20% - Accent2" xfId="2" builtinId="34" hidden="1"/>
    <cellStyle name="20% - Accent3" xfId="3" builtinId="38" hidden="1"/>
    <cellStyle name="20% - Accent4" xfId="4" builtinId="42" hidden="1"/>
    <cellStyle name="20% - Accent5" xfId="5" builtinId="46" hidden="1"/>
    <cellStyle name="20% - Accent6" xfId="6" builtinId="50" hidden="1"/>
    <cellStyle name="40% - Accent1" xfId="7" builtinId="31" hidden="1"/>
    <cellStyle name="40% - Accent2" xfId="8" builtinId="35" hidden="1"/>
    <cellStyle name="40% - Accent3" xfId="9" builtinId="39" hidden="1"/>
    <cellStyle name="40% - Accent4" xfId="10" builtinId="43" hidden="1"/>
    <cellStyle name="40% - Accent5" xfId="11" builtinId="47" hidden="1"/>
    <cellStyle name="40% - Accent6" xfId="12" builtinId="51" hidden="1"/>
    <cellStyle name="60% - Accent1" xfId="13" builtinId="32" hidden="1"/>
    <cellStyle name="60% - Accent2" xfId="14" builtinId="36" hidden="1"/>
    <cellStyle name="60% - Accent3" xfId="15" builtinId="40" hidden="1"/>
    <cellStyle name="60% - Accent4" xfId="16" builtinId="44" hidden="1"/>
    <cellStyle name="60% - Accent5" xfId="17" builtinId="48" hidden="1"/>
    <cellStyle name="60% - Accent6" xfId="18" builtinId="52" hidden="1"/>
    <cellStyle name="Accent1" xfId="19" builtinId="29" hidden="1"/>
    <cellStyle name="Accent2" xfId="20" builtinId="33" hidden="1"/>
    <cellStyle name="Accent3" xfId="21" builtinId="37" hidden="1"/>
    <cellStyle name="Accent4" xfId="22" builtinId="41" hidden="1"/>
    <cellStyle name="Accent5" xfId="23" builtinId="45" hidden="1"/>
    <cellStyle name="Accent6" xfId="24" builtinId="49" hidden="1"/>
    <cellStyle name="Bad" xfId="25" builtinId="27" hidden="1"/>
    <cellStyle name="Blank" xfId="59" xr:uid="{00000000-0005-0000-0000-000019000000}"/>
    <cellStyle name="Blue" xfId="26" xr:uid="{00000000-0005-0000-0000-00001A000000}"/>
    <cellStyle name="Calculation" xfId="27" builtinId="22" hidden="1"/>
    <cellStyle name="Check Cell" xfId="28" builtinId="23" hidden="1"/>
    <cellStyle name="Comma" xfId="29" builtinId="3" hidden="1"/>
    <cellStyle name="Comma [0]" xfId="30" builtinId="6" hidden="1"/>
    <cellStyle name="Currency" xfId="31" builtinId="4" hidden="1"/>
    <cellStyle name="Currency [0]" xfId="32" builtinId="7" hidden="1"/>
    <cellStyle name="Date" xfId="33" xr:uid="{00000000-0005-0000-0000-000022000000}"/>
    <cellStyle name="Explanatory Text" xfId="34" builtinId="53" hidden="1"/>
    <cellStyle name="Followed Hyperlink" xfId="55" builtinId="9" hidden="1"/>
    <cellStyle name="Followed Hyperlink" xfId="35" builtinId="9" hidden="1"/>
    <cellStyle name="Good" xfId="36" builtinId="26" hidden="1"/>
    <cellStyle name="Header" xfId="56" xr:uid="{00000000-0005-0000-0000-000028000000}"/>
    <cellStyle name="Heading 1" xfId="37" builtinId="16" hidden="1"/>
    <cellStyle name="Heading 2" xfId="38" builtinId="17" hidden="1"/>
    <cellStyle name="Heading 3" xfId="39" builtinId="18" hidden="1"/>
    <cellStyle name="Heading 4" xfId="40" builtinId="19" hidden="1"/>
    <cellStyle name="Hyperlink" xfId="54" builtinId="8" hidden="1"/>
    <cellStyle name="Hyperlink" xfId="41" builtinId="8" hidden="1"/>
    <cellStyle name="Input" xfId="42" builtinId="20" customBuiltin="1"/>
    <cellStyle name="Input %" xfId="60" xr:uid="{00000000-0005-0000-0000-000032000000}"/>
    <cellStyle name="Linked Cell" xfId="43" builtinId="24" hidden="1"/>
    <cellStyle name="Multiple" xfId="49" xr:uid="{00000000-0005-0000-0000-000035000000}"/>
    <cellStyle name="Neutral" xfId="45" builtinId="28" hidden="1"/>
    <cellStyle name="Normal" xfId="0" builtinId="0" customBuiltin="1"/>
    <cellStyle name="Normal 2" xfId="63" xr:uid="{F7C4701C-F5BB-4871-8619-DA2601B83781}"/>
    <cellStyle name="Note" xfId="47" builtinId="10" hidden="1"/>
    <cellStyle name="Output" xfId="48" builtinId="21" hidden="1"/>
    <cellStyle name="Percent" xfId="50" builtinId="5" hidden="1"/>
    <cellStyle name="Percent" xfId="44" builtinId="5" customBuiltin="1"/>
    <cellStyle name="SubHeader" xfId="57" xr:uid="{00000000-0005-0000-0000-00003F000000}"/>
    <cellStyle name="SubHeader2" xfId="58" xr:uid="{00000000-0005-0000-0000-000041000000}"/>
    <cellStyle name="SubHeader3" xfId="61" xr:uid="{48BD9096-A94A-4051-8CD0-0301B4471E37}"/>
    <cellStyle name="SuperHeader" xfId="62" xr:uid="{8216CBE6-9FBA-4B5F-AEA1-6765C044B1E0}"/>
    <cellStyle name="Title" xfId="51" builtinId="15" hidden="1"/>
    <cellStyle name="Total" xfId="52" builtinId="25" hidden="1"/>
    <cellStyle name="Warning Text" xfId="53" builtinId="11" hidden="1"/>
    <cellStyle name="xGuides" xfId="64" xr:uid="{D5E50AB1-6DF1-4E48-A029-8C84468C9A71}"/>
    <cellStyle name="YesNo" xfId="46" xr:uid="{00000000-0005-0000-0000-000045000000}"/>
  </cellStyles>
  <dxfs count="7">
    <dxf>
      <font>
        <color rgb="FFFF0000"/>
      </font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21DDB0"/>
      </a:hlink>
      <a:folHlink>
        <a:srgbClr val="D2001E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showGridLines="0" zoomScaleNormal="100" workbookViewId="0"/>
  </sheetViews>
  <sheetFormatPr defaultColWidth="9" defaultRowHeight="13.8" x14ac:dyDescent="0.25"/>
  <cols>
    <col min="1" max="1" width="2.44140625" style="12" customWidth="1"/>
    <col min="2" max="2" width="30.77734375" style="12" customWidth="1"/>
    <col min="3" max="3" width="13.44140625" style="3" customWidth="1"/>
    <col min="4" max="4" width="14" style="3" customWidth="1"/>
    <col min="5" max="10" width="13.44140625" style="3" customWidth="1"/>
    <col min="11" max="11" width="13.109375" style="12" customWidth="1"/>
    <col min="12" max="16384" width="9" style="12"/>
  </cols>
  <sheetData>
    <row r="1" spans="1:10" s="38" customFormat="1" ht="17.399999999999999" x14ac:dyDescent="0.3">
      <c r="A1" s="41" t="s">
        <v>0</v>
      </c>
      <c r="B1" s="36"/>
      <c r="C1" s="37"/>
      <c r="D1" s="37"/>
      <c r="E1" s="37"/>
      <c r="F1" s="37"/>
      <c r="G1" s="37"/>
      <c r="H1" s="37"/>
      <c r="I1" s="37"/>
      <c r="J1" s="37"/>
    </row>
    <row r="2" spans="1:10" s="38" customFormat="1" ht="18" thickBot="1" x14ac:dyDescent="0.35">
      <c r="A2" s="42" t="s">
        <v>1</v>
      </c>
      <c r="B2" s="39"/>
      <c r="C2" s="40"/>
      <c r="D2" s="40"/>
      <c r="E2" s="40"/>
      <c r="F2" s="40"/>
      <c r="G2" s="40"/>
      <c r="H2" s="40"/>
      <c r="I2" s="40"/>
      <c r="J2" s="40"/>
    </row>
    <row r="3" spans="1:10" ht="14.4" thickTop="1" x14ac:dyDescent="0.25"/>
    <row r="4" spans="1:10" ht="15.6" x14ac:dyDescent="0.25">
      <c r="A4" s="31" t="s">
        <v>2</v>
      </c>
      <c r="B4" s="31"/>
      <c r="C4" s="11"/>
      <c r="D4" s="11"/>
      <c r="E4" s="11"/>
      <c r="F4" s="11"/>
      <c r="G4" s="11"/>
      <c r="H4" s="11"/>
      <c r="I4" s="11"/>
      <c r="J4" s="11"/>
    </row>
    <row r="6" spans="1:10" x14ac:dyDescent="0.25">
      <c r="B6" s="4" t="s">
        <v>3</v>
      </c>
    </row>
    <row r="7" spans="1:10" x14ac:dyDescent="0.25">
      <c r="B7" s="4" t="s">
        <v>4</v>
      </c>
    </row>
    <row r="8" spans="1:10" x14ac:dyDescent="0.25">
      <c r="B8" s="4" t="s">
        <v>5</v>
      </c>
    </row>
    <row r="9" spans="1:10" x14ac:dyDescent="0.25">
      <c r="B9" s="4" t="s">
        <v>6</v>
      </c>
    </row>
    <row r="10" spans="1:10" x14ac:dyDescent="0.25">
      <c r="B10" s="4" t="s">
        <v>7</v>
      </c>
    </row>
    <row r="11" spans="1:10" x14ac:dyDescent="0.25">
      <c r="B11" s="4" t="s">
        <v>8</v>
      </c>
    </row>
    <row r="13" spans="1:10" ht="15.6" x14ac:dyDescent="0.25">
      <c r="A13" s="31" t="s">
        <v>9</v>
      </c>
      <c r="B13" s="31"/>
      <c r="C13" s="11"/>
      <c r="D13" s="11"/>
      <c r="E13" s="11"/>
      <c r="F13" s="11"/>
      <c r="G13" s="11"/>
      <c r="H13" s="11"/>
      <c r="I13" s="11"/>
      <c r="J13" s="11"/>
    </row>
    <row r="15" spans="1:10" x14ac:dyDescent="0.25">
      <c r="B15" s="3" t="s">
        <v>10</v>
      </c>
      <c r="C15" s="33" t="s">
        <v>11</v>
      </c>
    </row>
    <row r="16" spans="1:10" x14ac:dyDescent="0.25">
      <c r="B16" s="3" t="s">
        <v>12</v>
      </c>
      <c r="C16" s="34">
        <v>42369</v>
      </c>
    </row>
    <row r="17" spans="2:3" x14ac:dyDescent="0.25">
      <c r="B17" s="3" t="s">
        <v>13</v>
      </c>
      <c r="C17" s="33" t="s">
        <v>14</v>
      </c>
    </row>
    <row r="18" spans="2:3" x14ac:dyDescent="0.25">
      <c r="B18" s="3" t="s">
        <v>15</v>
      </c>
      <c r="C18" s="33" t="s">
        <v>16</v>
      </c>
    </row>
    <row r="19" spans="2:3" x14ac:dyDescent="0.25">
      <c r="B19" s="3" t="s">
        <v>17</v>
      </c>
      <c r="C19" s="33" t="s">
        <v>18</v>
      </c>
    </row>
    <row r="20" spans="2:3" x14ac:dyDescent="0.25">
      <c r="B20" s="3" t="s">
        <v>19</v>
      </c>
      <c r="C20" s="35">
        <v>1</v>
      </c>
    </row>
  </sheetData>
  <pageMargins left="0.74803149606299213" right="0.74803149606299213" top="0.98425196850393704" bottom="0.98425196850393704" header="0.51181102362204722" footer="0.51181102362204722"/>
  <pageSetup paperSize="9" scale="93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N48"/>
  <sheetViews>
    <sheetView showGridLines="0" tabSelected="1" zoomScaleNormal="100" workbookViewId="0">
      <pane ySplit="2" topLeftCell="A3" activePane="bottomLeft" state="frozen"/>
      <selection pane="bottomLeft" activeCell="C12" sqref="C12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3" width="11.44140625" style="3" customWidth="1"/>
    <col min="14" max="14" width="13.109375" style="3" customWidth="1"/>
    <col min="15" max="16384" width="9" style="3"/>
  </cols>
  <sheetData>
    <row r="1" spans="1:14" s="38" customFormat="1" ht="17.399999999999999" x14ac:dyDescent="0.3">
      <c r="A1" s="41" t="str">
        <f>CoName</f>
        <v>Company2272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57"/>
    </row>
    <row r="2" spans="1:14" s="38" customFormat="1" ht="18" thickBot="1" x14ac:dyDescent="0.35">
      <c r="A2" s="42" t="str">
        <f>Ccy&amp;Units&amp;" unless otherwise stated"</f>
        <v>$m unless otherwise stated</v>
      </c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57"/>
    </row>
    <row r="3" spans="1:14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s="12" customFormat="1" ht="15.6" x14ac:dyDescent="0.25">
      <c r="A4" s="31" t="s">
        <v>20</v>
      </c>
      <c r="B4" s="17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3"/>
    </row>
    <row r="6" spans="1:14" x14ac:dyDescent="0.25">
      <c r="A6" s="43" t="s">
        <v>21</v>
      </c>
      <c r="G6" s="44" t="str">
        <f>B13</f>
        <v>Net shares to dilutive instruments</v>
      </c>
      <c r="H6" s="44"/>
      <c r="I6" s="44"/>
      <c r="J6" s="45" t="s">
        <v>22</v>
      </c>
      <c r="K6" s="46" t="s">
        <v>23</v>
      </c>
    </row>
    <row r="7" spans="1:14" s="12" customFormat="1" ht="13.8" x14ac:dyDescent="0.25">
      <c r="A7" s="44"/>
      <c r="B7" s="3" t="s">
        <v>24</v>
      </c>
      <c r="C7" s="3"/>
      <c r="D7" s="3"/>
      <c r="E7" s="47">
        <v>23.19</v>
      </c>
      <c r="F7" s="3" t="str">
        <f>Ccy</f>
        <v>$</v>
      </c>
      <c r="G7" s="5" t="s">
        <v>25</v>
      </c>
      <c r="H7" s="3"/>
      <c r="I7" s="3"/>
      <c r="J7" s="48">
        <v>4.5</v>
      </c>
      <c r="K7" s="49">
        <v>5.4</v>
      </c>
      <c r="L7" s="3" t="str">
        <f>Units</f>
        <v>m</v>
      </c>
      <c r="M7" s="3"/>
      <c r="N7" s="3"/>
    </row>
    <row r="8" spans="1:14" x14ac:dyDescent="0.25">
      <c r="A8" s="44"/>
      <c r="B8" s="3" t="s">
        <v>26</v>
      </c>
      <c r="E8" s="50">
        <v>0.38</v>
      </c>
      <c r="G8" s="5" t="s">
        <v>27</v>
      </c>
      <c r="J8" s="51">
        <v>37.340000000000003</v>
      </c>
      <c r="K8" s="49">
        <v>0</v>
      </c>
      <c r="L8" s="3" t="str">
        <f>Ccy</f>
        <v>$</v>
      </c>
    </row>
    <row r="9" spans="1:14" s="12" customFormat="1" ht="13.8" x14ac:dyDescent="0.25">
      <c r="A9" s="44"/>
      <c r="B9" s="3" t="s">
        <v>28</v>
      </c>
      <c r="C9" s="3"/>
      <c r="D9" s="3"/>
      <c r="E9" s="6">
        <f>E7*(1+Premium)</f>
        <v>32.002200000000002</v>
      </c>
      <c r="F9" s="3" t="str">
        <f>Ccy</f>
        <v>$</v>
      </c>
      <c r="G9" s="5" t="s">
        <v>29</v>
      </c>
      <c r="H9" s="3"/>
      <c r="I9" s="3"/>
      <c r="J9" s="3">
        <f>MAX(0,$E$9-J8)*J7/$E$9</f>
        <v>0</v>
      </c>
      <c r="K9" s="3">
        <f>MAX(0,$E$9-K8)*K7/$E$9</f>
        <v>5.4</v>
      </c>
      <c r="L9" s="3" t="str">
        <f>Units</f>
        <v>m</v>
      </c>
      <c r="M9" s="3"/>
      <c r="N9" s="3"/>
    </row>
    <row r="10" spans="1:14" s="12" customFormat="1" ht="13.8" x14ac:dyDescent="0.25">
      <c r="A10" s="4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s="12" customFormat="1" ht="13.8" x14ac:dyDescent="0.25">
      <c r="A11" s="44" t="s">
        <v>30</v>
      </c>
      <c r="B11" s="3"/>
      <c r="C11" s="3"/>
      <c r="D11" s="3"/>
      <c r="E11" s="3"/>
      <c r="F11" s="3"/>
      <c r="G11" s="44" t="s">
        <v>31</v>
      </c>
      <c r="H11" s="3"/>
      <c r="I11" s="3"/>
      <c r="J11" s="3"/>
      <c r="K11" s="3"/>
      <c r="L11" s="3"/>
      <c r="M11" s="3"/>
      <c r="N11" s="3"/>
    </row>
    <row r="12" spans="1:14" s="12" customFormat="1" ht="13.8" x14ac:dyDescent="0.25">
      <c r="A12" s="44"/>
      <c r="B12" s="3" t="s">
        <v>32</v>
      </c>
      <c r="C12" s="3"/>
      <c r="D12" s="3"/>
      <c r="E12" s="52">
        <v>125.80522000000001</v>
      </c>
      <c r="F12" s="3" t="str">
        <f>Units</f>
        <v>m</v>
      </c>
      <c r="G12" s="5" t="s">
        <v>33</v>
      </c>
      <c r="H12" s="3"/>
      <c r="I12" s="3"/>
      <c r="J12" s="50">
        <v>0.02</v>
      </c>
      <c r="K12" s="3"/>
      <c r="L12" s="3"/>
      <c r="M12" s="3"/>
      <c r="N12" s="3"/>
    </row>
    <row r="13" spans="1:14" s="12" customFormat="1" ht="13.8" x14ac:dyDescent="0.25">
      <c r="A13" s="44"/>
      <c r="B13" s="3" t="s">
        <v>34</v>
      </c>
      <c r="C13" s="3"/>
      <c r="D13" s="3"/>
      <c r="E13" s="7">
        <f>SUM(J9:K9)</f>
        <v>5.4</v>
      </c>
      <c r="F13" s="3" t="str">
        <f>Units</f>
        <v>m</v>
      </c>
      <c r="G13" s="5" t="s">
        <v>35</v>
      </c>
      <c r="J13" s="52">
        <v>6</v>
      </c>
      <c r="M13" s="3"/>
      <c r="N13" s="3"/>
    </row>
    <row r="14" spans="1:14" s="12" customFormat="1" ht="13.8" x14ac:dyDescent="0.25">
      <c r="A14" s="44"/>
      <c r="B14" s="3" t="s">
        <v>36</v>
      </c>
      <c r="C14" s="3"/>
      <c r="D14" s="3"/>
      <c r="E14" s="3">
        <f>SUM(E12:E13)</f>
        <v>131.20522</v>
      </c>
      <c r="F14" s="3" t="str">
        <f>Units</f>
        <v>m</v>
      </c>
      <c r="G14" s="5" t="s">
        <v>37</v>
      </c>
      <c r="H14" s="3"/>
      <c r="I14" s="3"/>
      <c r="J14" s="50">
        <v>1.4999999999999999E-2</v>
      </c>
      <c r="K14" s="3"/>
      <c r="L14" s="3"/>
      <c r="M14" s="3"/>
      <c r="N14" s="3"/>
    </row>
    <row r="15" spans="1:14" s="12" customFormat="1" ht="13.8" x14ac:dyDescent="0.25">
      <c r="A15" s="44"/>
      <c r="B15" s="3" t="s">
        <v>30</v>
      </c>
      <c r="C15" s="3"/>
      <c r="D15" s="3"/>
      <c r="E15" s="3">
        <f>E9*E14</f>
        <v>4198.8556914840001</v>
      </c>
      <c r="F15" s="3"/>
      <c r="L15" s="3"/>
      <c r="M15" s="3"/>
      <c r="N15" s="3"/>
    </row>
    <row r="16" spans="1:14" s="12" customFormat="1" ht="13.8" x14ac:dyDescent="0.25">
      <c r="G16" s="43" t="s">
        <v>38</v>
      </c>
      <c r="H16" s="3"/>
      <c r="I16" s="3"/>
      <c r="J16" s="53" t="s">
        <v>39</v>
      </c>
      <c r="K16" s="53" t="s">
        <v>40</v>
      </c>
      <c r="L16" s="3"/>
      <c r="M16" s="3"/>
      <c r="N16" s="3"/>
    </row>
    <row r="17" spans="1:14" s="12" customFormat="1" ht="13.8" x14ac:dyDescent="0.25">
      <c r="A17" s="44" t="s">
        <v>41</v>
      </c>
      <c r="B17" s="3"/>
      <c r="C17" s="3"/>
      <c r="D17" s="3"/>
      <c r="G17" s="5" t="s">
        <v>42</v>
      </c>
      <c r="H17" s="3"/>
      <c r="I17" s="3"/>
      <c r="J17" s="54">
        <v>0</v>
      </c>
      <c r="K17" s="54">
        <v>0.01</v>
      </c>
      <c r="L17" s="3"/>
      <c r="M17" s="3"/>
      <c r="N17" s="3"/>
    </row>
    <row r="18" spans="1:14" s="12" customFormat="1" ht="13.8" x14ac:dyDescent="0.25">
      <c r="B18" s="18" t="s">
        <v>30</v>
      </c>
      <c r="C18" s="3"/>
      <c r="E18" s="3">
        <f>E15</f>
        <v>4198.8556914840001</v>
      </c>
      <c r="G18" s="5" t="s">
        <v>43</v>
      </c>
      <c r="H18" s="3"/>
      <c r="I18" s="3"/>
      <c r="J18" s="54">
        <v>0.01</v>
      </c>
      <c r="K18" s="54">
        <v>0.03</v>
      </c>
      <c r="L18" s="3"/>
      <c r="M18" s="3"/>
      <c r="N18" s="3"/>
    </row>
    <row r="19" spans="1:14" s="12" customFormat="1" ht="13.8" x14ac:dyDescent="0.25">
      <c r="B19" s="18" t="s">
        <v>44</v>
      </c>
      <c r="C19" s="3"/>
      <c r="E19" s="3">
        <f>BS!C18+BS!C19+BS!C24-BS!C7</f>
        <v>9.5999999999999659</v>
      </c>
      <c r="G19" s="5" t="s">
        <v>45</v>
      </c>
      <c r="H19" s="3"/>
      <c r="I19" s="3"/>
      <c r="J19" s="9">
        <f>1-SUM(J17:J18)</f>
        <v>0.99</v>
      </c>
      <c r="K19" s="9">
        <f>1-SUM(K17:K18)</f>
        <v>0.96</v>
      </c>
      <c r="L19" s="3"/>
      <c r="M19" s="3"/>
      <c r="N19" s="3"/>
    </row>
    <row r="20" spans="1:14" s="12" customFormat="1" ht="12.75" customHeight="1" x14ac:dyDescent="0.25">
      <c r="B20" s="18" t="s">
        <v>46</v>
      </c>
      <c r="C20" s="3"/>
      <c r="E20" s="3">
        <f>E18+E19</f>
        <v>4208.4556914840005</v>
      </c>
      <c r="F20" s="3"/>
      <c r="G20" s="3"/>
      <c r="H20" s="3"/>
      <c r="I20" s="3"/>
      <c r="J20" s="3"/>
      <c r="K20" s="3"/>
      <c r="L20" s="3"/>
      <c r="M20" s="3"/>
      <c r="N20" s="3"/>
    </row>
    <row r="21" spans="1:14" s="12" customFormat="1" ht="12.75" customHeight="1" x14ac:dyDescent="0.25">
      <c r="B21" s="18"/>
      <c r="C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s="12" customFormat="1" ht="13.8" x14ac:dyDescent="0.25">
      <c r="A22" s="44" t="s">
        <v>47</v>
      </c>
      <c r="B22" s="3"/>
      <c r="C22" s="3"/>
      <c r="D22" s="3"/>
      <c r="E22" s="3"/>
      <c r="F22" s="3"/>
      <c r="L22" s="3"/>
      <c r="M22" s="3"/>
      <c r="N22" s="3"/>
    </row>
    <row r="23" spans="1:14" s="12" customFormat="1" ht="13.8" x14ac:dyDescent="0.25">
      <c r="B23" s="3" t="s">
        <v>48</v>
      </c>
      <c r="C23" s="3"/>
      <c r="D23" s="3"/>
      <c r="E23" s="4">
        <f>OpMod!E78</f>
        <v>599.9</v>
      </c>
      <c r="F23" s="3"/>
      <c r="L23" s="3"/>
      <c r="M23" s="3"/>
      <c r="N23" s="3"/>
    </row>
    <row r="24" spans="1:14" s="12" customFormat="1" ht="13.8" x14ac:dyDescent="0.25">
      <c r="B24" s="3" t="s">
        <v>49</v>
      </c>
      <c r="C24" s="3"/>
      <c r="D24" s="3"/>
      <c r="E24" s="8">
        <f>$E$20/E23</f>
        <v>7.0152620294782473</v>
      </c>
      <c r="F24" s="3"/>
      <c r="L24" s="3"/>
      <c r="M24" s="3"/>
      <c r="N24" s="3"/>
    </row>
    <row r="25" spans="1:14" s="12" customFormat="1" ht="13.8" x14ac:dyDescent="0.25">
      <c r="B25" s="3"/>
      <c r="C25" s="3"/>
      <c r="D25" s="3"/>
      <c r="E25" s="3"/>
      <c r="F25" s="8"/>
      <c r="G25" s="3"/>
      <c r="H25" s="3"/>
      <c r="I25" s="3"/>
      <c r="J25" s="3"/>
      <c r="K25" s="3"/>
      <c r="L25" s="3"/>
      <c r="M25" s="3"/>
      <c r="N25" s="3"/>
    </row>
    <row r="26" spans="1:14" s="12" customFormat="1" ht="15.6" x14ac:dyDescent="0.25">
      <c r="A26" s="31" t="s">
        <v>5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3"/>
    </row>
    <row r="27" spans="1:14" s="12" customFormat="1" ht="13.8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s="14" customFormat="1" ht="13.8" x14ac:dyDescent="0.25">
      <c r="A28" s="55" t="s">
        <v>50</v>
      </c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"/>
    </row>
    <row r="29" spans="1:14" s="14" customFormat="1" ht="13.8" x14ac:dyDescent="0.25">
      <c r="A29" s="19"/>
      <c r="B29" s="3" t="s">
        <v>30</v>
      </c>
      <c r="C29" s="3">
        <f>E18</f>
        <v>4198.8556914840001</v>
      </c>
      <c r="D29" s="3"/>
      <c r="E29" s="1"/>
      <c r="F29" s="1"/>
      <c r="G29" s="1"/>
      <c r="H29" s="1"/>
      <c r="I29" s="1"/>
      <c r="J29" s="1"/>
      <c r="K29" s="1"/>
      <c r="L29" s="1"/>
      <c r="M29" s="1"/>
      <c r="N29" s="3"/>
    </row>
    <row r="30" spans="1:14" s="14" customFormat="1" ht="13.8" x14ac:dyDescent="0.25">
      <c r="A30" s="19"/>
      <c r="B30" s="3" t="s">
        <v>51</v>
      </c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3"/>
    </row>
    <row r="31" spans="1:14" s="14" customFormat="1" ht="13.8" x14ac:dyDescent="0.25">
      <c r="A31" s="19"/>
      <c r="B31" s="5" t="s">
        <v>52</v>
      </c>
      <c r="C31" s="3">
        <f>BS!C18+BS!C19</f>
        <v>1.7</v>
      </c>
      <c r="D31" s="3"/>
      <c r="E31" s="1"/>
      <c r="F31" s="1"/>
      <c r="G31" s="1"/>
      <c r="H31" s="1"/>
      <c r="I31" s="1"/>
      <c r="J31" s="1"/>
      <c r="K31" s="1"/>
      <c r="L31" s="1"/>
      <c r="M31" s="1"/>
      <c r="N31" s="3"/>
    </row>
    <row r="32" spans="1:14" s="14" customFormat="1" ht="13.8" x14ac:dyDescent="0.25">
      <c r="A32" s="19"/>
      <c r="B32" s="5" t="s">
        <v>53</v>
      </c>
      <c r="C32" s="3">
        <f>BS!C24</f>
        <v>492.59999999999997</v>
      </c>
      <c r="D32" s="3"/>
      <c r="E32" s="1"/>
      <c r="F32" s="1"/>
      <c r="G32" s="1"/>
      <c r="H32" s="1"/>
      <c r="I32" s="1"/>
      <c r="J32" s="1"/>
      <c r="K32" s="1"/>
      <c r="L32" s="1"/>
      <c r="M32" s="1"/>
      <c r="N32" s="3"/>
    </row>
    <row r="33" spans="1:14" s="12" customFormat="1" ht="13.8" x14ac:dyDescent="0.25">
      <c r="B33" s="3" t="s">
        <v>54</v>
      </c>
      <c r="C33" s="3">
        <f>SUM('S&amp;U'!C41:C44)*J12</f>
        <v>64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s="14" customFormat="1" ht="13.8" x14ac:dyDescent="0.25">
      <c r="A34" s="12"/>
      <c r="B34" s="3" t="s">
        <v>55</v>
      </c>
      <c r="C34" s="3">
        <f>E20*J14</f>
        <v>63.126835372260004</v>
      </c>
      <c r="D34" s="3"/>
      <c r="E34" s="1"/>
      <c r="F34" s="1"/>
      <c r="G34" s="1"/>
      <c r="H34" s="1"/>
      <c r="I34" s="1"/>
      <c r="J34" s="1"/>
      <c r="K34" s="1"/>
      <c r="L34" s="1"/>
      <c r="M34" s="1"/>
      <c r="N34" s="3"/>
    </row>
    <row r="35" spans="1:14" s="12" customFormat="1" ht="13.8" x14ac:dyDescent="0.25">
      <c r="B35" s="1" t="s">
        <v>56</v>
      </c>
      <c r="C35" s="1">
        <f>SUM(C29:C34)</f>
        <v>4820.2825268562601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s="14" customFormat="1" ht="13.8" x14ac:dyDescent="0.25">
      <c r="B36" s="3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</row>
    <row r="37" spans="1:14" s="12" customFormat="1" ht="13.8" x14ac:dyDescent="0.25">
      <c r="A37" s="55" t="s">
        <v>57</v>
      </c>
      <c r="B37" s="3"/>
      <c r="C37" s="3"/>
      <c r="D37" s="1"/>
      <c r="E37" s="55" t="s">
        <v>58</v>
      </c>
      <c r="F37" s="3"/>
      <c r="G37" s="3"/>
      <c r="H37" s="3"/>
      <c r="I37" s="3"/>
      <c r="J37" s="3"/>
      <c r="K37" s="3"/>
      <c r="L37" s="3"/>
      <c r="M37" s="3"/>
      <c r="N37" s="3"/>
    </row>
    <row r="38" spans="1:14" s="12" customFormat="1" ht="13.8" x14ac:dyDescent="0.25">
      <c r="B38" s="3"/>
      <c r="C38" s="3"/>
      <c r="D38" s="1"/>
      <c r="E38" s="1"/>
      <c r="F38" s="3"/>
      <c r="G38" s="46" t="s">
        <v>59</v>
      </c>
      <c r="H38" s="46" t="s">
        <v>60</v>
      </c>
      <c r="I38" s="46" t="s">
        <v>61</v>
      </c>
      <c r="J38" s="46" t="s">
        <v>62</v>
      </c>
      <c r="K38" s="46" t="s">
        <v>63</v>
      </c>
      <c r="L38" s="46" t="s">
        <v>64</v>
      </c>
      <c r="M38" s="46" t="s">
        <v>65</v>
      </c>
      <c r="N38" s="3"/>
    </row>
    <row r="39" spans="1:14" s="12" customFormat="1" ht="13.8" x14ac:dyDescent="0.25">
      <c r="A39" s="3"/>
      <c r="B39" s="3" t="s">
        <v>66</v>
      </c>
      <c r="C39" s="3">
        <f>BS!C7</f>
        <v>484.7</v>
      </c>
      <c r="D39" s="3"/>
      <c r="E39" s="3" t="str">
        <f t="shared" ref="E39:E47" si="0">B39</f>
        <v>Target cash</v>
      </c>
      <c r="F39" s="3"/>
      <c r="G39" s="9">
        <f t="shared" ref="G39:G46" si="1">C39/$C$35</f>
        <v>0.10055427193312598</v>
      </c>
      <c r="H39" s="3"/>
      <c r="I39" s="3"/>
      <c r="J39" s="29"/>
      <c r="K39" s="56">
        <v>0.01</v>
      </c>
      <c r="L39" s="3"/>
      <c r="M39" s="3"/>
      <c r="N39" s="3"/>
    </row>
    <row r="40" spans="1:14" s="12" customFormat="1" ht="13.8" x14ac:dyDescent="0.25">
      <c r="A40" s="3"/>
      <c r="B40" s="3" t="s">
        <v>67</v>
      </c>
      <c r="C40" s="52">
        <v>0</v>
      </c>
      <c r="D40" s="3"/>
      <c r="E40" s="3" t="str">
        <f t="shared" si="0"/>
        <v>Revolver</v>
      </c>
      <c r="F40" s="3"/>
      <c r="G40" s="9">
        <f t="shared" si="1"/>
        <v>0</v>
      </c>
      <c r="H40" s="3"/>
      <c r="I40" s="56">
        <v>5.4999999999999997E-3</v>
      </c>
      <c r="J40" s="56">
        <v>0.03</v>
      </c>
      <c r="K40" s="28">
        <f>I40+J40</f>
        <v>3.5499999999999997E-2</v>
      </c>
      <c r="L40" s="3"/>
      <c r="M40" s="3"/>
      <c r="N40" s="3"/>
    </row>
    <row r="41" spans="1:14" s="12" customFormat="1" ht="13.8" x14ac:dyDescent="0.25">
      <c r="A41" s="3"/>
      <c r="B41" s="3" t="s">
        <v>68</v>
      </c>
      <c r="C41" s="52">
        <v>1200</v>
      </c>
      <c r="D41" s="3"/>
      <c r="E41" s="3" t="str">
        <f t="shared" si="0"/>
        <v>Term debt A</v>
      </c>
      <c r="F41" s="3"/>
      <c r="G41" s="9">
        <f t="shared" si="1"/>
        <v>0.24894806337889658</v>
      </c>
      <c r="H41" s="20">
        <f>SUM($C$41:C41)/$E$23</f>
        <v>2.0003333888981496</v>
      </c>
      <c r="I41" s="56">
        <v>1.84E-2</v>
      </c>
      <c r="J41" s="56">
        <v>0.04</v>
      </c>
      <c r="K41" s="28">
        <f>I41+J41</f>
        <v>5.8400000000000001E-2</v>
      </c>
      <c r="L41" s="21">
        <f ca="1">IFERROR(SUMPRODUCT(FS!F78:O78,Returns!F9:O9)/-'S&amp;U'!C41,"nm")</f>
        <v>4.8544874220332943</v>
      </c>
      <c r="M41" s="3">
        <f ca="1">COUNTIF(Debt!E82:O82,"&gt;0")</f>
        <v>7</v>
      </c>
      <c r="N41" s="3"/>
    </row>
    <row r="42" spans="1:14" s="12" customFormat="1" ht="13.8" x14ac:dyDescent="0.25">
      <c r="A42" s="3"/>
      <c r="B42" s="3" t="s">
        <v>69</v>
      </c>
      <c r="C42" s="52">
        <v>900</v>
      </c>
      <c r="D42" s="3"/>
      <c r="E42" s="3" t="str">
        <f t="shared" si="0"/>
        <v>Term debt B</v>
      </c>
      <c r="F42" s="3"/>
      <c r="G42" s="9">
        <f t="shared" si="1"/>
        <v>0.18671104753417245</v>
      </c>
      <c r="H42" s="20">
        <f>SUM($C$41:C42)/$E$23</f>
        <v>3.500583430571762</v>
      </c>
      <c r="I42" s="56">
        <v>2.3599999999999999E-2</v>
      </c>
      <c r="J42" s="56">
        <v>4.4999999999999998E-2</v>
      </c>
      <c r="K42" s="28">
        <f>I42+J42</f>
        <v>6.8599999999999994E-2</v>
      </c>
      <c r="L42" s="3"/>
      <c r="M42" s="3">
        <f ca="1">COUNTIF(Debt!E83:O83,"&gt;0")</f>
        <v>8</v>
      </c>
      <c r="N42" s="3"/>
    </row>
    <row r="43" spans="1:14" s="12" customFormat="1" ht="13.8" x14ac:dyDescent="0.25">
      <c r="A43" s="3"/>
      <c r="B43" s="3" t="s">
        <v>70</v>
      </c>
      <c r="C43" s="52">
        <v>600</v>
      </c>
      <c r="D43" s="3"/>
      <c r="E43" s="3" t="str">
        <f t="shared" si="0"/>
        <v>High yield</v>
      </c>
      <c r="F43" s="3"/>
      <c r="G43" s="9">
        <f t="shared" si="1"/>
        <v>0.12447403168944829</v>
      </c>
      <c r="H43" s="20">
        <f>SUM($C$41:C43)/$E$23</f>
        <v>4.5007501250208373</v>
      </c>
      <c r="I43" s="28"/>
      <c r="J43" s="28"/>
      <c r="K43" s="30">
        <v>8.6249999999999993E-2</v>
      </c>
      <c r="L43" s="3"/>
      <c r="M43" s="3">
        <f>COUNTIF(Debt!E84:O84,"&gt;0")</f>
        <v>10</v>
      </c>
      <c r="N43" s="3"/>
    </row>
    <row r="44" spans="1:14" s="12" customFormat="1" ht="13.8" x14ac:dyDescent="0.25">
      <c r="A44" s="3"/>
      <c r="B44" s="3" t="s">
        <v>71</v>
      </c>
      <c r="C44" s="52">
        <v>500</v>
      </c>
      <c r="D44" s="3"/>
      <c r="E44" s="3" t="str">
        <f t="shared" si="0"/>
        <v>Mezzanine (PIK)</v>
      </c>
      <c r="F44" s="3"/>
      <c r="G44" s="9">
        <f t="shared" si="1"/>
        <v>0.10372835974120691</v>
      </c>
      <c r="H44" s="20">
        <f>SUM($C$41:C44)/$E$23</f>
        <v>5.3342223703950662</v>
      </c>
      <c r="I44" s="56">
        <v>2.81E-2</v>
      </c>
      <c r="J44" s="56">
        <v>0.1</v>
      </c>
      <c r="K44" s="28">
        <f>I44+J44</f>
        <v>0.12809999999999999</v>
      </c>
      <c r="L44" s="3"/>
      <c r="M44" s="3">
        <f>COUNTIF(Debt!E85:O85,"&gt;0")</f>
        <v>10</v>
      </c>
      <c r="N44" s="3"/>
    </row>
    <row r="45" spans="1:14" s="12" customFormat="1" ht="13.8" x14ac:dyDescent="0.25">
      <c r="A45" s="3"/>
      <c r="B45" s="3" t="s">
        <v>72</v>
      </c>
      <c r="C45" s="3">
        <f>C35-SUM(C39:C44,C46)</f>
        <v>535.5825268562603</v>
      </c>
      <c r="D45" s="3"/>
      <c r="E45" s="3" t="str">
        <f t="shared" si="0"/>
        <v>Shareholder Loan (PIK)</v>
      </c>
      <c r="F45" s="3"/>
      <c r="G45" s="9">
        <f t="shared" si="1"/>
        <v>0.11111019403370155</v>
      </c>
      <c r="H45" s="3"/>
      <c r="I45" s="3"/>
      <c r="J45" s="29"/>
      <c r="K45" s="56">
        <v>0.15</v>
      </c>
      <c r="L45" s="3"/>
      <c r="M45" s="3"/>
      <c r="N45" s="3"/>
    </row>
    <row r="46" spans="1:14" s="12" customFormat="1" ht="13.8" x14ac:dyDescent="0.25">
      <c r="A46" s="3"/>
      <c r="B46" s="3" t="s">
        <v>73</v>
      </c>
      <c r="C46" s="52">
        <v>600</v>
      </c>
      <c r="D46" s="3"/>
      <c r="E46" s="3" t="str">
        <f t="shared" si="0"/>
        <v>Ordinary shares</v>
      </c>
      <c r="F46" s="3"/>
      <c r="G46" s="9">
        <f t="shared" si="1"/>
        <v>0.12447403168944829</v>
      </c>
      <c r="H46" s="3"/>
      <c r="I46" s="3"/>
      <c r="J46" s="3"/>
      <c r="K46" s="3"/>
      <c r="L46" s="3"/>
      <c r="M46" s="3"/>
      <c r="N46" s="3"/>
    </row>
    <row r="47" spans="1:14" s="14" customFormat="1" ht="13.8" x14ac:dyDescent="0.25">
      <c r="A47" s="1"/>
      <c r="B47" s="1" t="s">
        <v>74</v>
      </c>
      <c r="C47" s="1">
        <f>SUM(C39:C46)</f>
        <v>4820.2825268562601</v>
      </c>
      <c r="D47" s="1"/>
      <c r="E47" s="1" t="str">
        <f t="shared" si="0"/>
        <v xml:space="preserve"> Total sources</v>
      </c>
      <c r="F47" s="1"/>
      <c r="G47" s="2">
        <f>SUM(G39:G46)</f>
        <v>1</v>
      </c>
      <c r="H47" s="1"/>
      <c r="I47" s="1"/>
      <c r="J47" s="1"/>
      <c r="K47" s="1"/>
      <c r="L47" s="1"/>
      <c r="M47" s="1"/>
      <c r="N47" s="1"/>
    </row>
    <row r="48" spans="1:14" s="12" customFormat="1" ht="13.8" x14ac:dyDescent="0.2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</sheetData>
  <conditionalFormatting sqref="G6:L9 A6:F15">
    <cfRule type="expression" dxfId="6" priority="3">
      <formula>#REF!="EV"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fitToPage="1"/>
  </sheetPr>
  <dimension ref="A1:P99"/>
  <sheetViews>
    <sheetView showGridLines="0" zoomScaleNormal="100" workbookViewId="0">
      <pane ySplit="2" topLeftCell="A3" activePane="bottomLeft" state="frozen"/>
      <selection activeCell="A6" sqref="A6"/>
      <selection pane="bottomLeft"/>
    </sheetView>
  </sheetViews>
  <sheetFormatPr defaultColWidth="9" defaultRowHeight="13.8" x14ac:dyDescent="0.25"/>
  <cols>
    <col min="1" max="1" width="2.44140625" style="12" customWidth="1"/>
    <col min="2" max="2" width="30.44140625" style="12" customWidth="1"/>
    <col min="3" max="15" width="10.44140625" style="3" customWidth="1"/>
    <col min="16" max="16" width="9" style="3"/>
    <col min="17" max="16384" width="9" style="12"/>
  </cols>
  <sheetData>
    <row r="1" spans="1:16" s="38" customFormat="1" ht="17.399999999999999" x14ac:dyDescent="0.3">
      <c r="A1" s="41" t="str">
        <f>CoName</f>
        <v>Company2272</v>
      </c>
      <c r="B1" s="36"/>
      <c r="C1" s="37" t="s">
        <v>75</v>
      </c>
      <c r="D1" s="37" t="s">
        <v>75</v>
      </c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  <c r="P1" s="57"/>
    </row>
    <row r="2" spans="1:16" s="38" customFormat="1" ht="18" thickBot="1" x14ac:dyDescent="0.35">
      <c r="A2" s="42" t="str">
        <f>Ccy&amp;Units&amp;" unless otherwise stated"</f>
        <v>$m unless otherwise stated</v>
      </c>
      <c r="B2" s="39"/>
      <c r="C2" s="40">
        <f>DATE(YEAR(D2)-1,MONTH(D2),DAY(D2))</f>
        <v>41639</v>
      </c>
      <c r="D2" s="40">
        <f>DATE(YEAR(E2)-1,MONTH(E2),DAY(E2))</f>
        <v>42004</v>
      </c>
      <c r="E2" s="40">
        <f>Inputs!C16</f>
        <v>42369</v>
      </c>
      <c r="F2" s="40">
        <f t="shared" ref="F2:O2" si="0">DATE(YEAR(E2)+1,MONTH(E2),DAY(E2))</f>
        <v>42735</v>
      </c>
      <c r="G2" s="40">
        <f t="shared" si="0"/>
        <v>43100</v>
      </c>
      <c r="H2" s="40">
        <f t="shared" si="0"/>
        <v>43465</v>
      </c>
      <c r="I2" s="40">
        <f t="shared" si="0"/>
        <v>43830</v>
      </c>
      <c r="J2" s="40">
        <f t="shared" si="0"/>
        <v>44196</v>
      </c>
      <c r="K2" s="40">
        <f t="shared" si="0"/>
        <v>44561</v>
      </c>
      <c r="L2" s="40">
        <f t="shared" si="0"/>
        <v>44926</v>
      </c>
      <c r="M2" s="40">
        <f t="shared" si="0"/>
        <v>45291</v>
      </c>
      <c r="N2" s="40">
        <f t="shared" si="0"/>
        <v>45657</v>
      </c>
      <c r="O2" s="40">
        <f t="shared" si="0"/>
        <v>46022</v>
      </c>
      <c r="P2" s="57"/>
    </row>
    <row r="3" spans="1:16" ht="14.4" thickTop="1" x14ac:dyDescent="0.25"/>
    <row r="4" spans="1:16" ht="15.6" x14ac:dyDescent="0.25">
      <c r="A4" s="31" t="str">
        <f>CHOOSE(OpCase,A27,A50)</f>
        <v>Operating model assumptions - Base case</v>
      </c>
      <c r="B4" s="3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6" s="3" customFormat="1" ht="13.2" x14ac:dyDescent="0.25"/>
    <row r="6" spans="1:16" s="3" customFormat="1" ht="13.2" x14ac:dyDescent="0.25">
      <c r="A6" s="43" t="s">
        <v>77</v>
      </c>
      <c r="C6" s="52">
        <v>1</v>
      </c>
    </row>
    <row r="7" spans="1:16" s="3" customFormat="1" ht="13.2" x14ac:dyDescent="0.25"/>
    <row r="8" spans="1:16" s="3" customFormat="1" ht="13.2" x14ac:dyDescent="0.25">
      <c r="A8" s="44" t="s">
        <v>78</v>
      </c>
    </row>
    <row r="9" spans="1:16" s="3" customFormat="1" ht="13.2" x14ac:dyDescent="0.25">
      <c r="B9" s="3" t="s">
        <v>79</v>
      </c>
      <c r="D9" s="9">
        <f>D76/C76-1</f>
        <v>0.16914255929111288</v>
      </c>
      <c r="E9" s="9">
        <f>E76/D76-1</f>
        <v>0.11530316540347751</v>
      </c>
      <c r="F9" s="9">
        <f t="shared" ref="F9:O9" si="1">CHOOSE(OpCase,F32,F55)</f>
        <v>0.115</v>
      </c>
      <c r="G9" s="9">
        <f t="shared" si="1"/>
        <v>0.1</v>
      </c>
      <c r="H9" s="9">
        <f t="shared" si="1"/>
        <v>0.09</v>
      </c>
      <c r="I9" s="9">
        <f t="shared" si="1"/>
        <v>0.08</v>
      </c>
      <c r="J9" s="9">
        <f t="shared" si="1"/>
        <v>7.0000000000000007E-2</v>
      </c>
      <c r="K9" s="9">
        <f t="shared" si="1"/>
        <v>0.06</v>
      </c>
      <c r="L9" s="9">
        <f t="shared" si="1"/>
        <v>0.05</v>
      </c>
      <c r="M9" s="9">
        <f t="shared" si="1"/>
        <v>0.04</v>
      </c>
      <c r="N9" s="9">
        <f t="shared" si="1"/>
        <v>0.03</v>
      </c>
      <c r="O9" s="9">
        <f t="shared" si="1"/>
        <v>0.03</v>
      </c>
    </row>
    <row r="10" spans="1:16" s="3" customFormat="1" ht="13.2" x14ac:dyDescent="0.25">
      <c r="B10" s="3" t="s">
        <v>80</v>
      </c>
      <c r="C10" s="9">
        <f>C78/C76</f>
        <v>0.28922335157675272</v>
      </c>
      <c r="D10" s="9">
        <f>D78/D76</f>
        <v>0.29547481052162283</v>
      </c>
      <c r="E10" s="9">
        <f>E78/E76</f>
        <v>0.29975515914655476</v>
      </c>
      <c r="F10" s="9">
        <f t="shared" ref="F10:O10" si="2">CHOOSE(OpCase,F33,F56)</f>
        <v>0.33</v>
      </c>
      <c r="G10" s="9">
        <f t="shared" si="2"/>
        <v>0.33</v>
      </c>
      <c r="H10" s="9">
        <f t="shared" si="2"/>
        <v>0.33</v>
      </c>
      <c r="I10" s="9">
        <f t="shared" si="2"/>
        <v>0.33</v>
      </c>
      <c r="J10" s="9">
        <f t="shared" si="2"/>
        <v>0.33</v>
      </c>
      <c r="K10" s="9">
        <f t="shared" si="2"/>
        <v>0.33</v>
      </c>
      <c r="L10" s="9">
        <f t="shared" si="2"/>
        <v>0.33</v>
      </c>
      <c r="M10" s="9">
        <f t="shared" si="2"/>
        <v>0.33</v>
      </c>
      <c r="N10" s="9">
        <f t="shared" si="2"/>
        <v>0.33</v>
      </c>
      <c r="O10" s="9">
        <f t="shared" si="2"/>
        <v>0.33</v>
      </c>
    </row>
    <row r="11" spans="1:16" s="3" customFormat="1" ht="13.2" x14ac:dyDescent="0.25">
      <c r="B11" s="3" t="s">
        <v>81</v>
      </c>
      <c r="F11" s="9">
        <f t="shared" ref="F11:O11" si="3">CHOOSE(OpCase,F34,F57)</f>
        <v>0.35</v>
      </c>
      <c r="G11" s="9">
        <f t="shared" si="3"/>
        <v>0.35</v>
      </c>
      <c r="H11" s="9">
        <f t="shared" si="3"/>
        <v>0.35</v>
      </c>
      <c r="I11" s="9">
        <f t="shared" si="3"/>
        <v>0.35</v>
      </c>
      <c r="J11" s="9">
        <f t="shared" si="3"/>
        <v>0.35</v>
      </c>
      <c r="K11" s="9">
        <f t="shared" si="3"/>
        <v>0.35</v>
      </c>
      <c r="L11" s="9">
        <f t="shared" si="3"/>
        <v>0.35</v>
      </c>
      <c r="M11" s="9">
        <f t="shared" si="3"/>
        <v>0.35</v>
      </c>
      <c r="N11" s="9">
        <f t="shared" si="3"/>
        <v>0.35</v>
      </c>
      <c r="O11" s="9">
        <f t="shared" si="3"/>
        <v>0.35</v>
      </c>
    </row>
    <row r="12" spans="1:16" s="3" customFormat="1" ht="13.2" x14ac:dyDescent="0.25"/>
    <row r="13" spans="1:16" s="3" customFormat="1" ht="13.2" x14ac:dyDescent="0.25">
      <c r="A13" s="44" t="s">
        <v>82</v>
      </c>
    </row>
    <row r="14" spans="1:16" s="3" customFormat="1" ht="13.2" x14ac:dyDescent="0.25">
      <c r="B14" s="3" t="s">
        <v>83</v>
      </c>
      <c r="C14" s="9">
        <f>C86/C76</f>
        <v>0.29489184258535317</v>
      </c>
      <c r="D14" s="9">
        <f>D86/D76</f>
        <v>0.23980160499331252</v>
      </c>
      <c r="E14" s="9">
        <f>E86/E76</f>
        <v>0.23729575775745765</v>
      </c>
      <c r="F14" s="9">
        <f t="shared" ref="F14:O14" si="4">CHOOSE(OpCase,F37,F60)</f>
        <v>0.23</v>
      </c>
      <c r="G14" s="9">
        <f t="shared" si="4"/>
        <v>0.22</v>
      </c>
      <c r="H14" s="9">
        <f t="shared" si="4"/>
        <v>0.21</v>
      </c>
      <c r="I14" s="9">
        <f t="shared" si="4"/>
        <v>0.2</v>
      </c>
      <c r="J14" s="9">
        <f t="shared" si="4"/>
        <v>0.2</v>
      </c>
      <c r="K14" s="9">
        <f t="shared" si="4"/>
        <v>0.2</v>
      </c>
      <c r="L14" s="9">
        <f t="shared" si="4"/>
        <v>0.2</v>
      </c>
      <c r="M14" s="9">
        <f t="shared" si="4"/>
        <v>0.2</v>
      </c>
      <c r="N14" s="9">
        <f t="shared" si="4"/>
        <v>0.2</v>
      </c>
      <c r="O14" s="9">
        <f t="shared" si="4"/>
        <v>0.2</v>
      </c>
    </row>
    <row r="15" spans="1:16" s="3" customFormat="1" ht="13.2" x14ac:dyDescent="0.25">
      <c r="B15" s="3" t="s">
        <v>84</v>
      </c>
      <c r="D15" s="9"/>
      <c r="E15" s="9">
        <f>E87/D88</f>
        <v>-0.37808452302165069</v>
      </c>
      <c r="F15" s="9">
        <f t="shared" ref="F15:O15" si="5">CHOOSE(OpCase,F38,F61)</f>
        <v>-0.38</v>
      </c>
      <c r="G15" s="9">
        <f t="shared" si="5"/>
        <v>-0.38</v>
      </c>
      <c r="H15" s="9">
        <f t="shared" si="5"/>
        <v>-0.38</v>
      </c>
      <c r="I15" s="9">
        <f t="shared" si="5"/>
        <v>-0.38</v>
      </c>
      <c r="J15" s="9">
        <f t="shared" si="5"/>
        <v>-0.38</v>
      </c>
      <c r="K15" s="9">
        <f t="shared" si="5"/>
        <v>-0.38</v>
      </c>
      <c r="L15" s="9">
        <f t="shared" si="5"/>
        <v>-0.38</v>
      </c>
      <c r="M15" s="9">
        <f t="shared" si="5"/>
        <v>-0.38</v>
      </c>
      <c r="N15" s="9">
        <f t="shared" si="5"/>
        <v>-0.38</v>
      </c>
      <c r="O15" s="9">
        <f t="shared" si="5"/>
        <v>-0.38</v>
      </c>
    </row>
    <row r="16" spans="1:16" s="3" customFormat="1" ht="13.2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s="3" customFormat="1" ht="13.2" x14ac:dyDescent="0.25">
      <c r="A17" s="43" t="s">
        <v>85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s="3" customFormat="1" ht="13.2" x14ac:dyDescent="0.25">
      <c r="B18" s="3" t="s">
        <v>86</v>
      </c>
      <c r="D18" s="9"/>
      <c r="E18" s="9">
        <f>E91/E$76</f>
        <v>0</v>
      </c>
      <c r="F18" s="9">
        <f t="shared" ref="F18:O18" si="6">CHOOSE(OpCase,F41,F64)</f>
        <v>0</v>
      </c>
      <c r="G18" s="9">
        <f t="shared" si="6"/>
        <v>0</v>
      </c>
      <c r="H18" s="9">
        <f t="shared" si="6"/>
        <v>0</v>
      </c>
      <c r="I18" s="9">
        <f t="shared" si="6"/>
        <v>0</v>
      </c>
      <c r="J18" s="9">
        <f t="shared" si="6"/>
        <v>0</v>
      </c>
      <c r="K18" s="9">
        <f t="shared" si="6"/>
        <v>0</v>
      </c>
      <c r="L18" s="9">
        <f t="shared" si="6"/>
        <v>0</v>
      </c>
      <c r="M18" s="9">
        <f t="shared" si="6"/>
        <v>0</v>
      </c>
      <c r="N18" s="9">
        <f t="shared" si="6"/>
        <v>0</v>
      </c>
      <c r="O18" s="9">
        <f t="shared" si="6"/>
        <v>0</v>
      </c>
    </row>
    <row r="19" spans="1:15" s="3" customFormat="1" ht="13.2" x14ac:dyDescent="0.25">
      <c r="B19" s="3" t="s">
        <v>87</v>
      </c>
      <c r="D19" s="9"/>
      <c r="E19" s="9">
        <f t="shared" ref="E19:E21" si="7">E92/E$76</f>
        <v>0.1167740968370559</v>
      </c>
      <c r="F19" s="9">
        <f t="shared" ref="F19:O19" si="8">CHOOSE(OpCase,F42,F65)</f>
        <v>0.12</v>
      </c>
      <c r="G19" s="9">
        <f t="shared" si="8"/>
        <v>0.12</v>
      </c>
      <c r="H19" s="9">
        <f t="shared" si="8"/>
        <v>0.12</v>
      </c>
      <c r="I19" s="9">
        <f t="shared" si="8"/>
        <v>0.12</v>
      </c>
      <c r="J19" s="9">
        <f t="shared" si="8"/>
        <v>0.12</v>
      </c>
      <c r="K19" s="9">
        <f t="shared" si="8"/>
        <v>0.12</v>
      </c>
      <c r="L19" s="9">
        <f t="shared" si="8"/>
        <v>0.12</v>
      </c>
      <c r="M19" s="9">
        <f t="shared" si="8"/>
        <v>0.12</v>
      </c>
      <c r="N19" s="9">
        <f t="shared" si="8"/>
        <v>0.12</v>
      </c>
      <c r="O19" s="9">
        <f t="shared" si="8"/>
        <v>0.12</v>
      </c>
    </row>
    <row r="20" spans="1:15" s="3" customFormat="1" ht="13.2" x14ac:dyDescent="0.25">
      <c r="B20" s="3" t="s">
        <v>88</v>
      </c>
      <c r="D20" s="9"/>
      <c r="E20" s="9">
        <f t="shared" si="7"/>
        <v>6.8105731274671469E-2</v>
      </c>
      <c r="F20" s="9">
        <f t="shared" ref="F20:O20" si="9">CHOOSE(OpCase,F43,F66)</f>
        <v>0.08</v>
      </c>
      <c r="G20" s="9">
        <f t="shared" si="9"/>
        <v>0.08</v>
      </c>
      <c r="H20" s="9">
        <f t="shared" si="9"/>
        <v>0.08</v>
      </c>
      <c r="I20" s="9">
        <f t="shared" si="9"/>
        <v>0.08</v>
      </c>
      <c r="J20" s="9">
        <f t="shared" si="9"/>
        <v>0.08</v>
      </c>
      <c r="K20" s="9">
        <f t="shared" si="9"/>
        <v>0.08</v>
      </c>
      <c r="L20" s="9">
        <f t="shared" si="9"/>
        <v>0.08</v>
      </c>
      <c r="M20" s="9">
        <f t="shared" si="9"/>
        <v>0.08</v>
      </c>
      <c r="N20" s="9">
        <f t="shared" si="9"/>
        <v>0.08</v>
      </c>
      <c r="O20" s="9">
        <f t="shared" si="9"/>
        <v>0.08</v>
      </c>
    </row>
    <row r="21" spans="1:15" s="3" customFormat="1" ht="13.2" x14ac:dyDescent="0.25">
      <c r="B21" s="3" t="s">
        <v>89</v>
      </c>
      <c r="D21" s="9"/>
      <c r="E21" s="9">
        <f t="shared" si="7"/>
        <v>4.941787837905362E-2</v>
      </c>
      <c r="F21" s="9">
        <f t="shared" ref="F21:O21" si="10">CHOOSE(OpCase,F44,F67)</f>
        <v>0.05</v>
      </c>
      <c r="G21" s="9">
        <f t="shared" si="10"/>
        <v>0.05</v>
      </c>
      <c r="H21" s="9">
        <f t="shared" si="10"/>
        <v>0.05</v>
      </c>
      <c r="I21" s="9">
        <f t="shared" si="10"/>
        <v>0.05</v>
      </c>
      <c r="J21" s="9">
        <f t="shared" si="10"/>
        <v>0.05</v>
      </c>
      <c r="K21" s="9">
        <f t="shared" si="10"/>
        <v>0.05</v>
      </c>
      <c r="L21" s="9">
        <f t="shared" si="10"/>
        <v>0.05</v>
      </c>
      <c r="M21" s="9">
        <f t="shared" si="10"/>
        <v>0.05</v>
      </c>
      <c r="N21" s="9">
        <f t="shared" si="10"/>
        <v>0.05</v>
      </c>
      <c r="O21" s="9">
        <f t="shared" si="10"/>
        <v>0.05</v>
      </c>
    </row>
    <row r="22" spans="1:15" s="3" customFormat="1" ht="13.2" x14ac:dyDescent="0.25"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s="3" customFormat="1" ht="13.2" x14ac:dyDescent="0.25">
      <c r="A23" s="43" t="s">
        <v>90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s="3" customFormat="1" ht="13.2" x14ac:dyDescent="0.25">
      <c r="B24" s="3" t="s">
        <v>91</v>
      </c>
      <c r="E24" s="9">
        <f>E98/E76</f>
        <v>3.3328336581222209E-2</v>
      </c>
      <c r="F24" s="9">
        <f t="shared" ref="F24:O24" si="11">CHOOSE(OpCase,F47,F70)</f>
        <v>3.3000000000000002E-2</v>
      </c>
      <c r="G24" s="9">
        <f t="shared" si="11"/>
        <v>3.3000000000000002E-2</v>
      </c>
      <c r="H24" s="9">
        <f t="shared" si="11"/>
        <v>3.3000000000000002E-2</v>
      </c>
      <c r="I24" s="9">
        <f t="shared" si="11"/>
        <v>3.3000000000000002E-2</v>
      </c>
      <c r="J24" s="9">
        <f t="shared" si="11"/>
        <v>3.3000000000000002E-2</v>
      </c>
      <c r="K24" s="9">
        <f t="shared" si="11"/>
        <v>3.3000000000000002E-2</v>
      </c>
      <c r="L24" s="9">
        <f t="shared" si="11"/>
        <v>3.3000000000000002E-2</v>
      </c>
      <c r="M24" s="9">
        <f t="shared" si="11"/>
        <v>3.3000000000000002E-2</v>
      </c>
      <c r="N24" s="9">
        <f t="shared" si="11"/>
        <v>3.3000000000000002E-2</v>
      </c>
      <c r="O24" s="9">
        <f t="shared" si="11"/>
        <v>3.3000000000000002E-2</v>
      </c>
    </row>
    <row r="25" spans="1:15" s="3" customFormat="1" ht="13.2" x14ac:dyDescent="0.25">
      <c r="B25" s="3" t="s">
        <v>92</v>
      </c>
      <c r="E25" s="9">
        <f>E99/E76</f>
        <v>0.15819717183830512</v>
      </c>
      <c r="F25" s="9">
        <f t="shared" ref="F25:O25" si="12">CHOOSE(OpCase,F48,F71)</f>
        <v>0.158</v>
      </c>
      <c r="G25" s="9">
        <f t="shared" si="12"/>
        <v>0.158</v>
      </c>
      <c r="H25" s="9">
        <f t="shared" si="12"/>
        <v>0.158</v>
      </c>
      <c r="I25" s="9">
        <f t="shared" si="12"/>
        <v>0.158</v>
      </c>
      <c r="J25" s="9">
        <f t="shared" si="12"/>
        <v>0.158</v>
      </c>
      <c r="K25" s="9">
        <f t="shared" si="12"/>
        <v>0.158</v>
      </c>
      <c r="L25" s="9">
        <f t="shared" si="12"/>
        <v>0.158</v>
      </c>
      <c r="M25" s="9">
        <f t="shared" si="12"/>
        <v>0.158</v>
      </c>
      <c r="N25" s="9">
        <f t="shared" si="12"/>
        <v>0.158</v>
      </c>
      <c r="O25" s="9">
        <f t="shared" si="12"/>
        <v>0.158</v>
      </c>
    </row>
    <row r="26" spans="1:15" s="3" customFormat="1" ht="13.2" x14ac:dyDescent="0.25"/>
    <row r="27" spans="1:15" ht="15.6" x14ac:dyDescent="0.25">
      <c r="A27" s="31" t="str">
        <f>"Operating model assumptions - "&amp;A29</f>
        <v>Operating model assumptions - Base case</v>
      </c>
      <c r="B27" s="3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3" customFormat="1" ht="13.2" x14ac:dyDescent="0.25"/>
    <row r="29" spans="1:15" s="3" customFormat="1" ht="15.6" x14ac:dyDescent="0.3">
      <c r="A29" s="58" t="s">
        <v>93</v>
      </c>
    </row>
    <row r="30" spans="1:15" s="3" customFormat="1" ht="13.2" x14ac:dyDescent="0.25"/>
    <row r="31" spans="1:15" s="3" customFormat="1" ht="13.2" x14ac:dyDescent="0.25">
      <c r="A31" s="44" t="s">
        <v>78</v>
      </c>
    </row>
    <row r="32" spans="1:15" s="3" customFormat="1" ht="13.2" x14ac:dyDescent="0.25">
      <c r="B32" s="3" t="s">
        <v>79</v>
      </c>
      <c r="D32" s="9">
        <f>D9</f>
        <v>0.16914255929111288</v>
      </c>
      <c r="E32" s="9">
        <f>E9</f>
        <v>0.11530316540347751</v>
      </c>
      <c r="F32" s="50">
        <v>0.115</v>
      </c>
      <c r="G32" s="50">
        <v>0.1</v>
      </c>
      <c r="H32" s="50">
        <v>0.09</v>
      </c>
      <c r="I32" s="50">
        <v>0.08</v>
      </c>
      <c r="J32" s="50">
        <v>7.0000000000000007E-2</v>
      </c>
      <c r="K32" s="50">
        <v>0.06</v>
      </c>
      <c r="L32" s="50">
        <v>0.05</v>
      </c>
      <c r="M32" s="50">
        <v>0.04</v>
      </c>
      <c r="N32" s="50">
        <v>0.03</v>
      </c>
      <c r="O32" s="50">
        <v>0.03</v>
      </c>
    </row>
    <row r="33" spans="1:15" s="3" customFormat="1" ht="13.2" x14ac:dyDescent="0.25">
      <c r="B33" s="3" t="s">
        <v>80</v>
      </c>
      <c r="C33" s="9">
        <f>C10</f>
        <v>0.28922335157675272</v>
      </c>
      <c r="D33" s="9">
        <f>D10</f>
        <v>0.29547481052162283</v>
      </c>
      <c r="E33" s="9">
        <f>E10</f>
        <v>0.29975515914655476</v>
      </c>
      <c r="F33" s="50">
        <v>0.33</v>
      </c>
      <c r="G33" s="50">
        <v>0.33</v>
      </c>
      <c r="H33" s="50">
        <v>0.33</v>
      </c>
      <c r="I33" s="50">
        <v>0.33</v>
      </c>
      <c r="J33" s="50">
        <v>0.33</v>
      </c>
      <c r="K33" s="50">
        <v>0.33</v>
      </c>
      <c r="L33" s="50">
        <v>0.33</v>
      </c>
      <c r="M33" s="50">
        <v>0.33</v>
      </c>
      <c r="N33" s="50">
        <v>0.33</v>
      </c>
      <c r="O33" s="50">
        <v>0.33</v>
      </c>
    </row>
    <row r="34" spans="1:15" s="3" customFormat="1" ht="13.2" x14ac:dyDescent="0.25">
      <c r="B34" s="3" t="s">
        <v>81</v>
      </c>
      <c r="F34" s="50">
        <v>0.35</v>
      </c>
      <c r="G34" s="50">
        <v>0.35</v>
      </c>
      <c r="H34" s="50">
        <v>0.35</v>
      </c>
      <c r="I34" s="50">
        <v>0.35</v>
      </c>
      <c r="J34" s="50">
        <v>0.35</v>
      </c>
      <c r="K34" s="50">
        <v>0.35</v>
      </c>
      <c r="L34" s="50">
        <v>0.35</v>
      </c>
      <c r="M34" s="50">
        <v>0.35</v>
      </c>
      <c r="N34" s="50">
        <v>0.35</v>
      </c>
      <c r="O34" s="50">
        <v>0.35</v>
      </c>
    </row>
    <row r="35" spans="1:15" s="3" customFormat="1" ht="13.2" x14ac:dyDescent="0.25"/>
    <row r="36" spans="1:15" s="3" customFormat="1" ht="13.2" x14ac:dyDescent="0.25">
      <c r="A36" s="44" t="s">
        <v>82</v>
      </c>
    </row>
    <row r="37" spans="1:15" s="3" customFormat="1" ht="13.2" x14ac:dyDescent="0.25">
      <c r="B37" s="3" t="s">
        <v>83</v>
      </c>
      <c r="C37" s="9">
        <f>C14</f>
        <v>0.29489184258535317</v>
      </c>
      <c r="D37" s="9">
        <f>D14</f>
        <v>0.23980160499331252</v>
      </c>
      <c r="E37" s="9">
        <f>E14</f>
        <v>0.23729575775745765</v>
      </c>
      <c r="F37" s="50">
        <v>0.23</v>
      </c>
      <c r="G37" s="50">
        <v>0.22</v>
      </c>
      <c r="H37" s="50">
        <v>0.21</v>
      </c>
      <c r="I37" s="50">
        <v>0.2</v>
      </c>
      <c r="J37" s="50">
        <v>0.2</v>
      </c>
      <c r="K37" s="50">
        <v>0.2</v>
      </c>
      <c r="L37" s="50">
        <v>0.2</v>
      </c>
      <c r="M37" s="50">
        <v>0.2</v>
      </c>
      <c r="N37" s="50">
        <v>0.2</v>
      </c>
      <c r="O37" s="50">
        <v>0.2</v>
      </c>
    </row>
    <row r="38" spans="1:15" s="3" customFormat="1" ht="13.2" x14ac:dyDescent="0.25">
      <c r="B38" s="3" t="s">
        <v>84</v>
      </c>
      <c r="D38" s="9"/>
      <c r="E38" s="9">
        <f>E15</f>
        <v>-0.37808452302165069</v>
      </c>
      <c r="F38" s="50">
        <v>-0.38</v>
      </c>
      <c r="G38" s="50">
        <v>-0.38</v>
      </c>
      <c r="H38" s="50">
        <v>-0.38</v>
      </c>
      <c r="I38" s="50">
        <v>-0.38</v>
      </c>
      <c r="J38" s="50">
        <v>-0.38</v>
      </c>
      <c r="K38" s="50">
        <v>-0.38</v>
      </c>
      <c r="L38" s="50">
        <v>-0.38</v>
      </c>
      <c r="M38" s="50">
        <v>-0.38</v>
      </c>
      <c r="N38" s="50">
        <v>-0.38</v>
      </c>
      <c r="O38" s="50">
        <v>-0.38</v>
      </c>
    </row>
    <row r="39" spans="1:15" s="3" customFormat="1" ht="13.2" x14ac:dyDescent="0.25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s="3" customFormat="1" ht="13.2" x14ac:dyDescent="0.25">
      <c r="A40" s="44" t="s">
        <v>85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s="3" customFormat="1" ht="13.2" x14ac:dyDescent="0.25">
      <c r="B41" s="3" t="s">
        <v>86</v>
      </c>
      <c r="D41" s="9"/>
      <c r="E41" s="9">
        <f t="shared" ref="E41:E44" si="13">E18</f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</row>
    <row r="42" spans="1:15" s="3" customFormat="1" ht="13.2" x14ac:dyDescent="0.25">
      <c r="B42" s="3" t="s">
        <v>87</v>
      </c>
      <c r="D42" s="9"/>
      <c r="E42" s="9">
        <f t="shared" si="13"/>
        <v>0.1167740968370559</v>
      </c>
      <c r="F42" s="50">
        <v>0.12</v>
      </c>
      <c r="G42" s="50">
        <v>0.12</v>
      </c>
      <c r="H42" s="50">
        <v>0.12</v>
      </c>
      <c r="I42" s="50">
        <v>0.12</v>
      </c>
      <c r="J42" s="50">
        <v>0.12</v>
      </c>
      <c r="K42" s="50">
        <v>0.12</v>
      </c>
      <c r="L42" s="50">
        <v>0.12</v>
      </c>
      <c r="M42" s="50">
        <v>0.12</v>
      </c>
      <c r="N42" s="50">
        <v>0.12</v>
      </c>
      <c r="O42" s="50">
        <v>0.12</v>
      </c>
    </row>
    <row r="43" spans="1:15" s="3" customFormat="1" ht="13.2" x14ac:dyDescent="0.25">
      <c r="B43" s="3" t="s">
        <v>88</v>
      </c>
      <c r="D43" s="9"/>
      <c r="E43" s="9">
        <f t="shared" si="13"/>
        <v>6.8105731274671469E-2</v>
      </c>
      <c r="F43" s="50">
        <v>0.08</v>
      </c>
      <c r="G43" s="50">
        <v>0.08</v>
      </c>
      <c r="H43" s="50">
        <v>0.08</v>
      </c>
      <c r="I43" s="50">
        <v>0.08</v>
      </c>
      <c r="J43" s="50">
        <v>0.08</v>
      </c>
      <c r="K43" s="50">
        <v>0.08</v>
      </c>
      <c r="L43" s="50">
        <v>0.08</v>
      </c>
      <c r="M43" s="50">
        <v>0.08</v>
      </c>
      <c r="N43" s="50">
        <v>0.08</v>
      </c>
      <c r="O43" s="50">
        <v>0.08</v>
      </c>
    </row>
    <row r="44" spans="1:15" s="3" customFormat="1" ht="13.2" x14ac:dyDescent="0.25">
      <c r="B44" s="3" t="s">
        <v>89</v>
      </c>
      <c r="D44" s="9"/>
      <c r="E44" s="9">
        <f t="shared" si="13"/>
        <v>4.941787837905362E-2</v>
      </c>
      <c r="F44" s="50">
        <v>0.05</v>
      </c>
      <c r="G44" s="50">
        <v>0.05</v>
      </c>
      <c r="H44" s="50">
        <v>0.05</v>
      </c>
      <c r="I44" s="50">
        <v>0.05</v>
      </c>
      <c r="J44" s="50">
        <v>0.05</v>
      </c>
      <c r="K44" s="50">
        <v>0.05</v>
      </c>
      <c r="L44" s="50">
        <v>0.05</v>
      </c>
      <c r="M44" s="50">
        <v>0.05</v>
      </c>
      <c r="N44" s="50">
        <v>0.05</v>
      </c>
      <c r="O44" s="50">
        <v>0.05</v>
      </c>
    </row>
    <row r="45" spans="1:15" s="3" customFormat="1" ht="13.2" x14ac:dyDescent="0.2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s="3" customFormat="1" ht="13.2" x14ac:dyDescent="0.25">
      <c r="A46" s="44" t="s">
        <v>90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s="3" customFormat="1" ht="13.2" x14ac:dyDescent="0.25">
      <c r="B47" s="3" t="s">
        <v>91</v>
      </c>
      <c r="E47" s="9">
        <f>E24</f>
        <v>3.3328336581222209E-2</v>
      </c>
      <c r="F47" s="50">
        <v>3.3000000000000002E-2</v>
      </c>
      <c r="G47" s="50">
        <v>3.3000000000000002E-2</v>
      </c>
      <c r="H47" s="50">
        <v>3.3000000000000002E-2</v>
      </c>
      <c r="I47" s="50">
        <v>3.3000000000000002E-2</v>
      </c>
      <c r="J47" s="50">
        <v>3.3000000000000002E-2</v>
      </c>
      <c r="K47" s="50">
        <v>3.3000000000000002E-2</v>
      </c>
      <c r="L47" s="50">
        <v>3.3000000000000002E-2</v>
      </c>
      <c r="M47" s="50">
        <v>3.3000000000000002E-2</v>
      </c>
      <c r="N47" s="50">
        <v>3.3000000000000002E-2</v>
      </c>
      <c r="O47" s="50">
        <v>3.3000000000000002E-2</v>
      </c>
    </row>
    <row r="48" spans="1:15" s="3" customFormat="1" ht="13.2" x14ac:dyDescent="0.25">
      <c r="B48" s="3" t="s">
        <v>92</v>
      </c>
      <c r="E48" s="9">
        <f>E25</f>
        <v>0.15819717183830512</v>
      </c>
      <c r="F48" s="13">
        <v>0.158</v>
      </c>
      <c r="G48" s="13">
        <v>0.158</v>
      </c>
      <c r="H48" s="13">
        <v>0.158</v>
      </c>
      <c r="I48" s="13">
        <v>0.158</v>
      </c>
      <c r="J48" s="13">
        <v>0.158</v>
      </c>
      <c r="K48" s="13">
        <v>0.158</v>
      </c>
      <c r="L48" s="13">
        <v>0.158</v>
      </c>
      <c r="M48" s="13">
        <v>0.158</v>
      </c>
      <c r="N48" s="13">
        <v>0.158</v>
      </c>
      <c r="O48" s="13">
        <v>0.158</v>
      </c>
    </row>
    <row r="49" spans="1:15" s="3" customFormat="1" ht="13.2" x14ac:dyDescent="0.25"/>
    <row r="50" spans="1:15" ht="15.6" x14ac:dyDescent="0.25">
      <c r="A50" s="31" t="str">
        <f>"Operating model assumptions - "&amp;A52</f>
        <v>Operating model assumptions - Management case</v>
      </c>
      <c r="B50" s="3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3" customFormat="1" ht="13.2" x14ac:dyDescent="0.25"/>
    <row r="52" spans="1:15" s="3" customFormat="1" ht="15.6" x14ac:dyDescent="0.3">
      <c r="A52" s="58" t="s">
        <v>94</v>
      </c>
    </row>
    <row r="53" spans="1:15" s="3" customFormat="1" ht="13.2" x14ac:dyDescent="0.25"/>
    <row r="54" spans="1:15" s="3" customFormat="1" ht="13.2" x14ac:dyDescent="0.25">
      <c r="A54" s="44" t="s">
        <v>78</v>
      </c>
    </row>
    <row r="55" spans="1:15" s="3" customFormat="1" ht="13.2" x14ac:dyDescent="0.25">
      <c r="B55" s="3" t="s">
        <v>79</v>
      </c>
      <c r="D55" s="9">
        <f>D32</f>
        <v>0.16914255929111288</v>
      </c>
      <c r="E55" s="9">
        <f>E32</f>
        <v>0.11530316540347751</v>
      </c>
      <c r="F55" s="50">
        <v>0.12</v>
      </c>
      <c r="G55" s="50">
        <v>0.12</v>
      </c>
      <c r="H55" s="50">
        <v>0.12</v>
      </c>
      <c r="I55" s="50">
        <v>0.12</v>
      </c>
      <c r="J55" s="50">
        <v>0.12</v>
      </c>
      <c r="K55" s="50">
        <v>0.06</v>
      </c>
      <c r="L55" s="50">
        <v>0.05</v>
      </c>
      <c r="M55" s="50">
        <v>0.04</v>
      </c>
      <c r="N55" s="50">
        <v>0.03</v>
      </c>
      <c r="O55" s="50">
        <v>0.03</v>
      </c>
    </row>
    <row r="56" spans="1:15" s="3" customFormat="1" ht="13.2" x14ac:dyDescent="0.25">
      <c r="B56" s="3" t="s">
        <v>80</v>
      </c>
      <c r="C56" s="9">
        <f>C33</f>
        <v>0.28922335157675272</v>
      </c>
      <c r="D56" s="9">
        <f>D33</f>
        <v>0.29547481052162283</v>
      </c>
      <c r="E56" s="9">
        <f>E33</f>
        <v>0.29975515914655476</v>
      </c>
      <c r="F56" s="50">
        <v>0.33</v>
      </c>
      <c r="G56" s="50">
        <v>0.33</v>
      </c>
      <c r="H56" s="50">
        <v>0.33</v>
      </c>
      <c r="I56" s="50">
        <v>0.33</v>
      </c>
      <c r="J56" s="50">
        <v>0.33</v>
      </c>
      <c r="K56" s="50">
        <v>0.33</v>
      </c>
      <c r="L56" s="50">
        <v>0.33</v>
      </c>
      <c r="M56" s="50">
        <v>0.33</v>
      </c>
      <c r="N56" s="50">
        <v>0.33</v>
      </c>
      <c r="O56" s="50">
        <v>0.33</v>
      </c>
    </row>
    <row r="57" spans="1:15" s="3" customFormat="1" ht="13.2" x14ac:dyDescent="0.25">
      <c r="B57" s="3" t="s">
        <v>81</v>
      </c>
      <c r="F57" s="50">
        <v>0.35</v>
      </c>
      <c r="G57" s="50">
        <v>0.35</v>
      </c>
      <c r="H57" s="50">
        <v>0.35</v>
      </c>
      <c r="I57" s="50">
        <v>0.35</v>
      </c>
      <c r="J57" s="50">
        <v>0.35</v>
      </c>
      <c r="K57" s="50">
        <v>0.35</v>
      </c>
      <c r="L57" s="50">
        <v>0.35</v>
      </c>
      <c r="M57" s="50">
        <v>0.35</v>
      </c>
      <c r="N57" s="50">
        <v>0.35</v>
      </c>
      <c r="O57" s="50">
        <v>0.35</v>
      </c>
    </row>
    <row r="58" spans="1:15" s="3" customFormat="1" ht="13.2" x14ac:dyDescent="0.25"/>
    <row r="59" spans="1:15" s="3" customFormat="1" ht="13.2" x14ac:dyDescent="0.25">
      <c r="A59" s="44" t="s">
        <v>82</v>
      </c>
    </row>
    <row r="60" spans="1:15" s="3" customFormat="1" ht="13.2" x14ac:dyDescent="0.25">
      <c r="B60" s="3" t="s">
        <v>83</v>
      </c>
      <c r="C60" s="9">
        <f>C37</f>
        <v>0.29489184258535317</v>
      </c>
      <c r="D60" s="9">
        <f>D37</f>
        <v>0.23980160499331252</v>
      </c>
      <c r="E60" s="9">
        <f>E37</f>
        <v>0.23729575775745765</v>
      </c>
      <c r="F60" s="50">
        <v>0.2</v>
      </c>
      <c r="G60" s="50">
        <v>0.2</v>
      </c>
      <c r="H60" s="50">
        <v>0.2</v>
      </c>
      <c r="I60" s="50">
        <v>0.2</v>
      </c>
      <c r="J60" s="50">
        <v>0.2</v>
      </c>
      <c r="K60" s="50">
        <v>0.2</v>
      </c>
      <c r="L60" s="50">
        <v>0.2</v>
      </c>
      <c r="M60" s="50">
        <v>0.2</v>
      </c>
      <c r="N60" s="50">
        <v>0.2</v>
      </c>
      <c r="O60" s="50">
        <v>0.2</v>
      </c>
    </row>
    <row r="61" spans="1:15" s="3" customFormat="1" ht="13.2" x14ac:dyDescent="0.25">
      <c r="B61" s="3" t="s">
        <v>84</v>
      </c>
      <c r="D61" s="9"/>
      <c r="E61" s="9">
        <f>E38</f>
        <v>-0.37808452302165069</v>
      </c>
      <c r="F61" s="50">
        <v>-0.38</v>
      </c>
      <c r="G61" s="50">
        <v>-0.38</v>
      </c>
      <c r="H61" s="50">
        <v>-0.38</v>
      </c>
      <c r="I61" s="50">
        <v>-0.38</v>
      </c>
      <c r="J61" s="50">
        <v>-0.38</v>
      </c>
      <c r="K61" s="50">
        <v>-0.38</v>
      </c>
      <c r="L61" s="50">
        <v>-0.38</v>
      </c>
      <c r="M61" s="50">
        <v>-0.38</v>
      </c>
      <c r="N61" s="50">
        <v>-0.38</v>
      </c>
      <c r="O61" s="50">
        <v>-0.38</v>
      </c>
    </row>
    <row r="62" spans="1:15" s="3" customFormat="1" ht="13.2" x14ac:dyDescent="0.25"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s="3" customFormat="1" ht="13.2" x14ac:dyDescent="0.25">
      <c r="A63" s="44" t="s">
        <v>85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s="3" customFormat="1" ht="13.2" x14ac:dyDescent="0.25">
      <c r="B64" s="3" t="s">
        <v>86</v>
      </c>
      <c r="D64" s="9"/>
      <c r="E64" s="9">
        <f t="shared" ref="E64:E67" si="14">E41</f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</row>
    <row r="65" spans="1:15" s="3" customFormat="1" ht="13.2" x14ac:dyDescent="0.25">
      <c r="B65" s="3" t="s">
        <v>87</v>
      </c>
      <c r="D65" s="9"/>
      <c r="E65" s="9">
        <f t="shared" si="14"/>
        <v>0.1167740968370559</v>
      </c>
      <c r="F65" s="50">
        <v>0.11700000000000001</v>
      </c>
      <c r="G65" s="50">
        <v>0.11700000000000001</v>
      </c>
      <c r="H65" s="50">
        <v>0.11700000000000001</v>
      </c>
      <c r="I65" s="50">
        <v>0.11700000000000001</v>
      </c>
      <c r="J65" s="50">
        <v>0.11700000000000001</v>
      </c>
      <c r="K65" s="50">
        <v>0.11700000000000001</v>
      </c>
      <c r="L65" s="50">
        <v>0.11700000000000001</v>
      </c>
      <c r="M65" s="50">
        <v>0.11700000000000001</v>
      </c>
      <c r="N65" s="50">
        <v>0.11700000000000001</v>
      </c>
      <c r="O65" s="50">
        <v>0.11700000000000001</v>
      </c>
    </row>
    <row r="66" spans="1:15" s="3" customFormat="1" ht="13.2" x14ac:dyDescent="0.25">
      <c r="B66" s="3" t="s">
        <v>88</v>
      </c>
      <c r="D66" s="9"/>
      <c r="E66" s="9">
        <f t="shared" si="14"/>
        <v>6.8105731274671469E-2</v>
      </c>
      <c r="F66" s="50">
        <v>6.8000000000000005E-2</v>
      </c>
      <c r="G66" s="50">
        <v>6.8000000000000005E-2</v>
      </c>
      <c r="H66" s="50">
        <v>6.8000000000000005E-2</v>
      </c>
      <c r="I66" s="50">
        <v>6.8000000000000005E-2</v>
      </c>
      <c r="J66" s="50">
        <v>6.8000000000000005E-2</v>
      </c>
      <c r="K66" s="50">
        <v>6.8000000000000005E-2</v>
      </c>
      <c r="L66" s="50">
        <v>6.8000000000000005E-2</v>
      </c>
      <c r="M66" s="50">
        <v>6.8000000000000005E-2</v>
      </c>
      <c r="N66" s="50">
        <v>6.8000000000000005E-2</v>
      </c>
      <c r="O66" s="50">
        <v>6.8000000000000005E-2</v>
      </c>
    </row>
    <row r="67" spans="1:15" s="3" customFormat="1" ht="13.2" x14ac:dyDescent="0.25">
      <c r="B67" s="3" t="s">
        <v>89</v>
      </c>
      <c r="D67" s="9"/>
      <c r="E67" s="9">
        <f t="shared" si="14"/>
        <v>4.941787837905362E-2</v>
      </c>
      <c r="F67" s="50">
        <v>4.9000000000000002E-2</v>
      </c>
      <c r="G67" s="50">
        <v>4.9000000000000002E-2</v>
      </c>
      <c r="H67" s="50">
        <v>4.9000000000000002E-2</v>
      </c>
      <c r="I67" s="50">
        <v>4.9000000000000002E-2</v>
      </c>
      <c r="J67" s="50">
        <v>4.9000000000000002E-2</v>
      </c>
      <c r="K67" s="50">
        <v>4.9000000000000002E-2</v>
      </c>
      <c r="L67" s="50">
        <v>4.9000000000000002E-2</v>
      </c>
      <c r="M67" s="50">
        <v>4.9000000000000002E-2</v>
      </c>
      <c r="N67" s="50">
        <v>4.9000000000000002E-2</v>
      </c>
      <c r="O67" s="50">
        <v>4.9000000000000002E-2</v>
      </c>
    </row>
    <row r="68" spans="1:15" s="3" customFormat="1" ht="13.2" x14ac:dyDescent="0.25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s="3" customFormat="1" ht="13.2" x14ac:dyDescent="0.25">
      <c r="A69" s="44" t="s">
        <v>90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s="3" customFormat="1" ht="13.2" x14ac:dyDescent="0.25">
      <c r="B70" s="3" t="s">
        <v>91</v>
      </c>
      <c r="E70" s="9">
        <f>E47</f>
        <v>3.3328336581222209E-2</v>
      </c>
      <c r="F70" s="50">
        <v>3.3000000000000002E-2</v>
      </c>
      <c r="G70" s="50">
        <v>3.3000000000000002E-2</v>
      </c>
      <c r="H70" s="50">
        <v>3.3000000000000002E-2</v>
      </c>
      <c r="I70" s="50">
        <v>3.3000000000000002E-2</v>
      </c>
      <c r="J70" s="50">
        <v>3.3000000000000002E-2</v>
      </c>
      <c r="K70" s="50">
        <v>3.3000000000000002E-2</v>
      </c>
      <c r="L70" s="50">
        <v>3.3000000000000002E-2</v>
      </c>
      <c r="M70" s="50">
        <v>3.3000000000000002E-2</v>
      </c>
      <c r="N70" s="50">
        <v>3.3000000000000002E-2</v>
      </c>
      <c r="O70" s="50">
        <v>3.3000000000000002E-2</v>
      </c>
    </row>
    <row r="71" spans="1:15" s="3" customFormat="1" ht="13.2" x14ac:dyDescent="0.25">
      <c r="B71" s="3" t="s">
        <v>92</v>
      </c>
      <c r="E71" s="9">
        <f>E48</f>
        <v>0.15819717183830512</v>
      </c>
      <c r="F71" s="13">
        <v>0.158</v>
      </c>
      <c r="G71" s="13">
        <v>0.158</v>
      </c>
      <c r="H71" s="13">
        <v>0.158</v>
      </c>
      <c r="I71" s="13">
        <v>0.158</v>
      </c>
      <c r="J71" s="13">
        <v>0.158</v>
      </c>
      <c r="K71" s="13">
        <v>0.158</v>
      </c>
      <c r="L71" s="13">
        <v>0.158</v>
      </c>
      <c r="M71" s="13">
        <v>0.158</v>
      </c>
      <c r="N71" s="13">
        <v>0.158</v>
      </c>
      <c r="O71" s="13">
        <v>0.158</v>
      </c>
    </row>
    <row r="72" spans="1:15" s="3" customFormat="1" ht="13.2" x14ac:dyDescent="0.25"/>
    <row r="73" spans="1:15" ht="15.6" x14ac:dyDescent="0.25">
      <c r="A73" s="31" t="s">
        <v>95</v>
      </c>
      <c r="B73" s="3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5" spans="1:15" s="3" customFormat="1" ht="13.2" x14ac:dyDescent="0.25">
      <c r="A75" s="44" t="s">
        <v>96</v>
      </c>
    </row>
    <row r="76" spans="1:15" s="3" customFormat="1" ht="13.2" x14ac:dyDescent="0.25">
      <c r="B76" s="3" t="s">
        <v>97</v>
      </c>
      <c r="C76" s="32">
        <v>1534.8</v>
      </c>
      <c r="D76" s="32">
        <v>1794.4</v>
      </c>
      <c r="E76" s="32">
        <v>2001.3</v>
      </c>
      <c r="F76" s="3">
        <f t="shared" ref="F76:O76" si="15">E76*(1+F9)</f>
        <v>2231.4494999999997</v>
      </c>
      <c r="G76" s="3">
        <f t="shared" si="15"/>
        <v>2454.5944500000001</v>
      </c>
      <c r="H76" s="3">
        <f t="shared" si="15"/>
        <v>2675.5079505000003</v>
      </c>
      <c r="I76" s="3">
        <f t="shared" si="15"/>
        <v>2889.5485865400005</v>
      </c>
      <c r="J76" s="3">
        <f t="shared" si="15"/>
        <v>3091.8169875978006</v>
      </c>
      <c r="K76" s="3">
        <f t="shared" si="15"/>
        <v>3277.3260068536688</v>
      </c>
      <c r="L76" s="3">
        <f t="shared" si="15"/>
        <v>3441.1923071963524</v>
      </c>
      <c r="M76" s="3">
        <f t="shared" si="15"/>
        <v>3578.8399994842066</v>
      </c>
      <c r="N76" s="3">
        <f t="shared" si="15"/>
        <v>3686.2051994687331</v>
      </c>
      <c r="O76" s="3">
        <f t="shared" si="15"/>
        <v>3796.7913554527954</v>
      </c>
    </row>
    <row r="77" spans="1:15" x14ac:dyDescent="0.25">
      <c r="C77" s="12"/>
      <c r="D77" s="12"/>
      <c r="E77" s="12"/>
    </row>
    <row r="78" spans="1:15" s="1" customFormat="1" ht="13.2" x14ac:dyDescent="0.25">
      <c r="B78" s="1" t="s">
        <v>98</v>
      </c>
      <c r="C78" s="15">
        <v>443.90000000000003</v>
      </c>
      <c r="D78" s="15">
        <v>530.20000000000005</v>
      </c>
      <c r="E78" s="15">
        <v>599.9</v>
      </c>
      <c r="F78" s="1">
        <f t="shared" ref="F78:O78" si="16">F76*F10</f>
        <v>736.37833499999999</v>
      </c>
      <c r="G78" s="1">
        <f t="shared" si="16"/>
        <v>810.01616850000005</v>
      </c>
      <c r="H78" s="1">
        <f t="shared" si="16"/>
        <v>882.91762366500018</v>
      </c>
      <c r="I78" s="1">
        <f t="shared" si="16"/>
        <v>953.55103355820017</v>
      </c>
      <c r="J78" s="1">
        <f t="shared" si="16"/>
        <v>1020.2996059072742</v>
      </c>
      <c r="K78" s="1">
        <f t="shared" si="16"/>
        <v>1081.5175822617107</v>
      </c>
      <c r="L78" s="1">
        <f t="shared" si="16"/>
        <v>1135.5934613747963</v>
      </c>
      <c r="M78" s="1">
        <f t="shared" si="16"/>
        <v>1181.0171998297883</v>
      </c>
      <c r="N78" s="1">
        <f t="shared" si="16"/>
        <v>1216.4477158246821</v>
      </c>
      <c r="O78" s="1">
        <f t="shared" si="16"/>
        <v>1252.9411472994225</v>
      </c>
    </row>
    <row r="79" spans="1:15" s="3" customFormat="1" ht="13.2" x14ac:dyDescent="0.25">
      <c r="B79" s="3" t="s">
        <v>99</v>
      </c>
      <c r="F79" s="3">
        <f t="shared" ref="F79:O79" si="17">F87</f>
        <v>-436.24</v>
      </c>
      <c r="G79" s="3">
        <f t="shared" si="17"/>
        <v>-465.49748629999999</v>
      </c>
      <c r="H79" s="3">
        <f t="shared" si="17"/>
        <v>-493.81253752599997</v>
      </c>
      <c r="I79" s="3">
        <f t="shared" si="17"/>
        <v>-519.66930771602006</v>
      </c>
      <c r="J79" s="3">
        <f t="shared" si="17"/>
        <v>-541.80066336097241</v>
      </c>
      <c r="K79" s="3">
        <f t="shared" si="17"/>
        <v>-570.89450234123569</v>
      </c>
      <c r="L79" s="3">
        <f t="shared" si="17"/>
        <v>-603.03136797244497</v>
      </c>
      <c r="M79" s="3">
        <f t="shared" si="17"/>
        <v>-635.41006348983865</v>
      </c>
      <c r="N79" s="3">
        <f t="shared" si="17"/>
        <v>-665.94607932449969</v>
      </c>
      <c r="O79" s="3">
        <f t="shared" si="17"/>
        <v>-693.03816434081352</v>
      </c>
    </row>
    <row r="80" spans="1:15" s="1" customFormat="1" ht="13.2" x14ac:dyDescent="0.25">
      <c r="B80" s="1" t="s">
        <v>100</v>
      </c>
      <c r="F80" s="1">
        <f t="shared" ref="F80:O80" si="18">SUM(F78:F79)</f>
        <v>300.13833499999998</v>
      </c>
      <c r="G80" s="1">
        <f t="shared" si="18"/>
        <v>344.51868220000006</v>
      </c>
      <c r="H80" s="1">
        <f t="shared" si="18"/>
        <v>389.10508613900021</v>
      </c>
      <c r="I80" s="1">
        <f t="shared" si="18"/>
        <v>433.88172584218012</v>
      </c>
      <c r="J80" s="1">
        <f t="shared" si="18"/>
        <v>478.49894254630181</v>
      </c>
      <c r="K80" s="1">
        <f t="shared" si="18"/>
        <v>510.62307992047499</v>
      </c>
      <c r="L80" s="1">
        <f t="shared" si="18"/>
        <v>532.56209340235137</v>
      </c>
      <c r="M80" s="1">
        <f t="shared" si="18"/>
        <v>545.60713633994965</v>
      </c>
      <c r="N80" s="1">
        <f t="shared" si="18"/>
        <v>550.50163650018237</v>
      </c>
      <c r="O80" s="1">
        <f t="shared" si="18"/>
        <v>559.90298295860896</v>
      </c>
    </row>
    <row r="81" spans="1:15" s="3" customFormat="1" ht="13.2" x14ac:dyDescent="0.25">
      <c r="B81" s="3" t="s">
        <v>101</v>
      </c>
      <c r="F81" s="3">
        <f t="shared" ref="F81:O81" si="19">-F80*F11</f>
        <v>-105.04841724999999</v>
      </c>
      <c r="G81" s="3">
        <f t="shared" si="19"/>
        <v>-120.58153877000001</v>
      </c>
      <c r="H81" s="3">
        <f t="shared" si="19"/>
        <v>-136.18678014865006</v>
      </c>
      <c r="I81" s="3">
        <f t="shared" si="19"/>
        <v>-151.85860404476304</v>
      </c>
      <c r="J81" s="3">
        <f t="shared" si="19"/>
        <v>-167.47462989120561</v>
      </c>
      <c r="K81" s="3">
        <f t="shared" si="19"/>
        <v>-178.71807797216624</v>
      </c>
      <c r="L81" s="3">
        <f t="shared" si="19"/>
        <v>-186.39673269082297</v>
      </c>
      <c r="M81" s="3">
        <f t="shared" si="19"/>
        <v>-190.96249771898238</v>
      </c>
      <c r="N81" s="3">
        <f t="shared" si="19"/>
        <v>-192.67557277506381</v>
      </c>
      <c r="O81" s="3">
        <f t="shared" si="19"/>
        <v>-195.96604403551314</v>
      </c>
    </row>
    <row r="82" spans="1:15" s="1" customFormat="1" ht="13.2" x14ac:dyDescent="0.25">
      <c r="B82" s="1" t="s">
        <v>96</v>
      </c>
      <c r="F82" s="1">
        <f t="shared" ref="F82:O82" si="20">F80+F81</f>
        <v>195.08991774999998</v>
      </c>
      <c r="G82" s="1">
        <f t="shared" si="20"/>
        <v>223.93714343000005</v>
      </c>
      <c r="H82" s="1">
        <f t="shared" si="20"/>
        <v>252.91830599035015</v>
      </c>
      <c r="I82" s="1">
        <f t="shared" si="20"/>
        <v>282.02312179741705</v>
      </c>
      <c r="J82" s="1">
        <f t="shared" si="20"/>
        <v>311.0243126550962</v>
      </c>
      <c r="K82" s="1">
        <f t="shared" si="20"/>
        <v>331.90500194830872</v>
      </c>
      <c r="L82" s="1">
        <f t="shared" si="20"/>
        <v>346.16536071152836</v>
      </c>
      <c r="M82" s="1">
        <f t="shared" si="20"/>
        <v>354.64463862096727</v>
      </c>
      <c r="N82" s="1">
        <f t="shared" si="20"/>
        <v>357.82606372511856</v>
      </c>
      <c r="O82" s="1">
        <f t="shared" si="20"/>
        <v>363.93693892309579</v>
      </c>
    </row>
    <row r="83" spans="1:15" s="1" customFormat="1" ht="13.2" x14ac:dyDescent="0.25"/>
    <row r="84" spans="1:15" s="3" customFormat="1" ht="13.2" x14ac:dyDescent="0.25">
      <c r="A84" s="44" t="s">
        <v>82</v>
      </c>
    </row>
    <row r="85" spans="1:15" s="3" customFormat="1" ht="13.2" x14ac:dyDescent="0.25">
      <c r="B85" s="3" t="s">
        <v>102</v>
      </c>
      <c r="F85" s="3">
        <f t="shared" ref="F85" si="21">E88</f>
        <v>1148</v>
      </c>
      <c r="G85" s="3">
        <f t="shared" ref="G85" si="22">F88</f>
        <v>1224.993385</v>
      </c>
      <c r="H85" s="3">
        <f t="shared" ref="H85" si="23">G88</f>
        <v>1299.5066777</v>
      </c>
      <c r="I85" s="3">
        <f t="shared" ref="I85" si="24">H88</f>
        <v>1367.550809779</v>
      </c>
      <c r="J85" s="3">
        <f t="shared" ref="J85" si="25">I88</f>
        <v>1425.7912193709801</v>
      </c>
      <c r="K85" s="3">
        <f t="shared" ref="K85" si="26">J88</f>
        <v>1502.3539535295677</v>
      </c>
      <c r="L85" s="3">
        <f t="shared" ref="L85" si="27">K88</f>
        <v>1586.9246525590656</v>
      </c>
      <c r="M85" s="3">
        <f t="shared" ref="M85" si="28">L88</f>
        <v>1672.1317460258911</v>
      </c>
      <c r="N85" s="3">
        <f t="shared" ref="N85" si="29">M88</f>
        <v>1752.4896824328939</v>
      </c>
      <c r="O85" s="3">
        <f t="shared" ref="O85" si="30">N88</f>
        <v>1823.7846430021409</v>
      </c>
    </row>
    <row r="86" spans="1:15" s="3" customFormat="1" ht="13.2" x14ac:dyDescent="0.25">
      <c r="B86" s="3" t="s">
        <v>103</v>
      </c>
      <c r="C86" s="59">
        <v>452.6</v>
      </c>
      <c r="D86" s="32">
        <v>430.3</v>
      </c>
      <c r="E86" s="32">
        <v>474.9</v>
      </c>
      <c r="F86" s="3">
        <f t="shared" ref="F86:O86" si="31">F14*F76</f>
        <v>513.233385</v>
      </c>
      <c r="G86" s="3">
        <f t="shared" si="31"/>
        <v>540.01077900000007</v>
      </c>
      <c r="H86" s="3">
        <f t="shared" si="31"/>
        <v>561.85666960500009</v>
      </c>
      <c r="I86" s="3">
        <f t="shared" si="31"/>
        <v>577.90971730800015</v>
      </c>
      <c r="J86" s="3">
        <f t="shared" si="31"/>
        <v>618.36339751956018</v>
      </c>
      <c r="K86" s="3">
        <f t="shared" si="31"/>
        <v>655.46520137073378</v>
      </c>
      <c r="L86" s="3">
        <f t="shared" si="31"/>
        <v>688.23846143927051</v>
      </c>
      <c r="M86" s="3">
        <f t="shared" si="31"/>
        <v>715.76799989684139</v>
      </c>
      <c r="N86" s="3">
        <f t="shared" si="31"/>
        <v>737.24103989374669</v>
      </c>
      <c r="O86" s="3">
        <f t="shared" si="31"/>
        <v>759.35827109055913</v>
      </c>
    </row>
    <row r="87" spans="1:15" s="3" customFormat="1" ht="13.2" x14ac:dyDescent="0.25">
      <c r="B87" s="3" t="s">
        <v>104</v>
      </c>
      <c r="C87" s="32">
        <v>-313.10000000000002</v>
      </c>
      <c r="D87" s="32">
        <v>-371.9</v>
      </c>
      <c r="E87" s="32">
        <v>-399.9</v>
      </c>
      <c r="F87" s="3">
        <f t="shared" ref="F87:O87" si="32">E88*F15</f>
        <v>-436.24</v>
      </c>
      <c r="G87" s="3">
        <f t="shared" si="32"/>
        <v>-465.49748629999999</v>
      </c>
      <c r="H87" s="3">
        <f t="shared" si="32"/>
        <v>-493.81253752599997</v>
      </c>
      <c r="I87" s="3">
        <f t="shared" si="32"/>
        <v>-519.66930771602006</v>
      </c>
      <c r="J87" s="3">
        <f t="shared" si="32"/>
        <v>-541.80066336097241</v>
      </c>
      <c r="K87" s="3">
        <f t="shared" si="32"/>
        <v>-570.89450234123569</v>
      </c>
      <c r="L87" s="3">
        <f t="shared" si="32"/>
        <v>-603.03136797244497</v>
      </c>
      <c r="M87" s="3">
        <f t="shared" si="32"/>
        <v>-635.41006348983865</v>
      </c>
      <c r="N87" s="3">
        <f t="shared" si="32"/>
        <v>-665.94607932449969</v>
      </c>
      <c r="O87" s="3">
        <f t="shared" si="32"/>
        <v>-693.03816434081352</v>
      </c>
    </row>
    <row r="88" spans="1:15" s="1" customFormat="1" ht="13.2" x14ac:dyDescent="0.25">
      <c r="B88" s="1" t="s">
        <v>105</v>
      </c>
      <c r="D88" s="15">
        <v>1057.7</v>
      </c>
      <c r="E88" s="15">
        <v>1148</v>
      </c>
      <c r="F88" s="1">
        <f t="shared" ref="F88" si="33">SUM(F85:F87)</f>
        <v>1224.993385</v>
      </c>
      <c r="G88" s="1">
        <f t="shared" ref="G88:O88" si="34">SUM(G85:G87)</f>
        <v>1299.5066777</v>
      </c>
      <c r="H88" s="1">
        <f t="shared" si="34"/>
        <v>1367.550809779</v>
      </c>
      <c r="I88" s="1">
        <f t="shared" si="34"/>
        <v>1425.7912193709801</v>
      </c>
      <c r="J88" s="1">
        <f t="shared" si="34"/>
        <v>1502.3539535295677</v>
      </c>
      <c r="K88" s="1">
        <f t="shared" si="34"/>
        <v>1586.9246525590656</v>
      </c>
      <c r="L88" s="1">
        <f t="shared" si="34"/>
        <v>1672.1317460258911</v>
      </c>
      <c r="M88" s="1">
        <f t="shared" si="34"/>
        <v>1752.4896824328939</v>
      </c>
      <c r="N88" s="1">
        <f t="shared" si="34"/>
        <v>1823.7846430021409</v>
      </c>
      <c r="O88" s="1">
        <f t="shared" si="34"/>
        <v>1890.1047497518866</v>
      </c>
    </row>
    <row r="89" spans="1:15" s="3" customFormat="1" ht="13.2" x14ac:dyDescent="0.25"/>
    <row r="90" spans="1:15" s="3" customFormat="1" ht="13.2" x14ac:dyDescent="0.25">
      <c r="A90" s="44" t="s">
        <v>85</v>
      </c>
    </row>
    <row r="91" spans="1:15" s="3" customFormat="1" ht="13.2" x14ac:dyDescent="0.25">
      <c r="B91" s="3" t="s">
        <v>106</v>
      </c>
      <c r="E91" s="3">
        <f>BS!C8</f>
        <v>0</v>
      </c>
      <c r="F91" s="3">
        <f t="shared" ref="F91:O91" si="35">F$76*F18</f>
        <v>0</v>
      </c>
      <c r="G91" s="3">
        <f t="shared" si="35"/>
        <v>0</v>
      </c>
      <c r="H91" s="3">
        <f t="shared" si="35"/>
        <v>0</v>
      </c>
      <c r="I91" s="3">
        <f t="shared" si="35"/>
        <v>0</v>
      </c>
      <c r="J91" s="3">
        <f t="shared" si="35"/>
        <v>0</v>
      </c>
      <c r="K91" s="3">
        <f t="shared" si="35"/>
        <v>0</v>
      </c>
      <c r="L91" s="3">
        <f t="shared" si="35"/>
        <v>0</v>
      </c>
      <c r="M91" s="3">
        <f t="shared" si="35"/>
        <v>0</v>
      </c>
      <c r="N91" s="3">
        <f t="shared" si="35"/>
        <v>0</v>
      </c>
      <c r="O91" s="3">
        <f t="shared" si="35"/>
        <v>0</v>
      </c>
    </row>
    <row r="92" spans="1:15" s="3" customFormat="1" ht="13.2" x14ac:dyDescent="0.25">
      <c r="B92" s="3" t="s">
        <v>107</v>
      </c>
      <c r="E92" s="3">
        <f>BS!C9</f>
        <v>233.7</v>
      </c>
      <c r="F92" s="3">
        <f t="shared" ref="F92:O92" si="36">F$76*F19</f>
        <v>267.77393999999998</v>
      </c>
      <c r="G92" s="3">
        <f t="shared" si="36"/>
        <v>294.551334</v>
      </c>
      <c r="H92" s="3">
        <f t="shared" si="36"/>
        <v>321.06095406000003</v>
      </c>
      <c r="I92" s="3">
        <f t="shared" si="36"/>
        <v>346.74583038480006</v>
      </c>
      <c r="J92" s="3">
        <f t="shared" si="36"/>
        <v>371.01803851173605</v>
      </c>
      <c r="K92" s="3">
        <f t="shared" si="36"/>
        <v>393.27912082244023</v>
      </c>
      <c r="L92" s="3">
        <f t="shared" si="36"/>
        <v>412.94307686356228</v>
      </c>
      <c r="M92" s="3">
        <f t="shared" si="36"/>
        <v>429.4607999381048</v>
      </c>
      <c r="N92" s="3">
        <f t="shared" si="36"/>
        <v>442.34462393624796</v>
      </c>
      <c r="O92" s="3">
        <f t="shared" si="36"/>
        <v>455.61496265433544</v>
      </c>
    </row>
    <row r="93" spans="1:15" s="3" customFormat="1" ht="13.2" x14ac:dyDescent="0.25">
      <c r="B93" s="3" t="s">
        <v>108</v>
      </c>
      <c r="E93" s="3">
        <f>BS!C20</f>
        <v>136.30000000000001</v>
      </c>
      <c r="F93" s="3">
        <f t="shared" ref="F93:O93" si="37">F$76*F20</f>
        <v>178.51595999999998</v>
      </c>
      <c r="G93" s="3">
        <f t="shared" si="37"/>
        <v>196.36755600000001</v>
      </c>
      <c r="H93" s="3">
        <f t="shared" si="37"/>
        <v>214.04063604000004</v>
      </c>
      <c r="I93" s="3">
        <f t="shared" si="37"/>
        <v>231.16388692320004</v>
      </c>
      <c r="J93" s="3">
        <f t="shared" si="37"/>
        <v>247.34535900782404</v>
      </c>
      <c r="K93" s="3">
        <f t="shared" si="37"/>
        <v>262.18608054829349</v>
      </c>
      <c r="L93" s="3">
        <f t="shared" si="37"/>
        <v>275.29538457570823</v>
      </c>
      <c r="M93" s="3">
        <f t="shared" si="37"/>
        <v>286.30719995873653</v>
      </c>
      <c r="N93" s="3">
        <f t="shared" si="37"/>
        <v>294.89641595749868</v>
      </c>
      <c r="O93" s="3">
        <f t="shared" si="37"/>
        <v>303.74330843622363</v>
      </c>
    </row>
    <row r="94" spans="1:15" s="3" customFormat="1" ht="13.2" x14ac:dyDescent="0.25">
      <c r="B94" s="3" t="s">
        <v>109</v>
      </c>
      <c r="E94" s="3">
        <f>BS!C21</f>
        <v>98.9</v>
      </c>
      <c r="F94" s="3">
        <f t="shared" ref="F94:O94" si="38">F$76*F21</f>
        <v>111.572475</v>
      </c>
      <c r="G94" s="3">
        <f t="shared" si="38"/>
        <v>122.72972250000001</v>
      </c>
      <c r="H94" s="3">
        <f t="shared" si="38"/>
        <v>133.77539752500002</v>
      </c>
      <c r="I94" s="3">
        <f t="shared" si="38"/>
        <v>144.47742932700004</v>
      </c>
      <c r="J94" s="3">
        <f t="shared" si="38"/>
        <v>154.59084937989005</v>
      </c>
      <c r="K94" s="3">
        <f t="shared" si="38"/>
        <v>163.86630034268345</v>
      </c>
      <c r="L94" s="3">
        <f t="shared" si="38"/>
        <v>172.05961535981763</v>
      </c>
      <c r="M94" s="3">
        <f t="shared" si="38"/>
        <v>178.94199997421035</v>
      </c>
      <c r="N94" s="3">
        <f t="shared" si="38"/>
        <v>184.31025997343667</v>
      </c>
      <c r="O94" s="3">
        <f t="shared" si="38"/>
        <v>189.83956777263978</v>
      </c>
    </row>
    <row r="95" spans="1:15" s="1" customFormat="1" ht="13.2" x14ac:dyDescent="0.25">
      <c r="B95" s="1" t="s">
        <v>110</v>
      </c>
      <c r="E95" s="1">
        <f>SUM(E91:E92)-SUM(E93:E94)</f>
        <v>-1.5000000000000284</v>
      </c>
      <c r="F95" s="1">
        <f>SUM(F91:F92)-SUM(F93:F94)</f>
        <v>-22.314495000000022</v>
      </c>
      <c r="G95" s="1">
        <f t="shared" ref="G95:O95" si="39">SUM(G91:G92)-SUM(G93:G94)</f>
        <v>-24.545944500000019</v>
      </c>
      <c r="H95" s="1">
        <f t="shared" si="39"/>
        <v>-26.755079505000026</v>
      </c>
      <c r="I95" s="1">
        <f t="shared" si="39"/>
        <v>-28.895485865400019</v>
      </c>
      <c r="J95" s="1">
        <f t="shared" si="39"/>
        <v>-30.918169875978037</v>
      </c>
      <c r="K95" s="1">
        <f t="shared" si="39"/>
        <v>-32.773260068536672</v>
      </c>
      <c r="L95" s="1">
        <f t="shared" si="39"/>
        <v>-34.411923071963542</v>
      </c>
      <c r="M95" s="1">
        <f t="shared" si="39"/>
        <v>-35.788399994842109</v>
      </c>
      <c r="N95" s="1">
        <f t="shared" si="39"/>
        <v>-36.86205199468742</v>
      </c>
      <c r="O95" s="1">
        <f t="shared" si="39"/>
        <v>-37.967913554527968</v>
      </c>
    </row>
    <row r="96" spans="1:15" s="3" customFormat="1" ht="13.2" x14ac:dyDescent="0.25"/>
    <row r="97" spans="1:15" s="3" customFormat="1" ht="13.2" x14ac:dyDescent="0.25">
      <c r="A97" s="43" t="s">
        <v>90</v>
      </c>
    </row>
    <row r="98" spans="1:15" s="3" customFormat="1" ht="13.2" x14ac:dyDescent="0.25">
      <c r="B98" s="3" t="s">
        <v>111</v>
      </c>
      <c r="E98" s="32">
        <v>66.7</v>
      </c>
      <c r="F98" s="3">
        <f t="shared" ref="F98:O98" si="40">F24*F76</f>
        <v>73.637833499999999</v>
      </c>
      <c r="G98" s="3">
        <f t="shared" si="40"/>
        <v>81.001616850000005</v>
      </c>
      <c r="H98" s="3">
        <f t="shared" si="40"/>
        <v>88.291762366500009</v>
      </c>
      <c r="I98" s="3">
        <f t="shared" si="40"/>
        <v>95.35510335582002</v>
      </c>
      <c r="J98" s="3">
        <f t="shared" si="40"/>
        <v>102.02996059072743</v>
      </c>
      <c r="K98" s="3">
        <f t="shared" si="40"/>
        <v>108.15175822617107</v>
      </c>
      <c r="L98" s="3">
        <f t="shared" si="40"/>
        <v>113.55934613747964</v>
      </c>
      <c r="M98" s="3">
        <f t="shared" si="40"/>
        <v>118.10171998297882</v>
      </c>
      <c r="N98" s="3">
        <f t="shared" si="40"/>
        <v>121.64477158246819</v>
      </c>
      <c r="O98" s="3">
        <f t="shared" si="40"/>
        <v>125.29411472994225</v>
      </c>
    </row>
    <row r="99" spans="1:15" x14ac:dyDescent="0.25">
      <c r="B99" s="3" t="s">
        <v>112</v>
      </c>
      <c r="D99" s="32"/>
      <c r="E99" s="32">
        <v>316.60000000000002</v>
      </c>
      <c r="F99" s="3">
        <f t="shared" ref="F99:O99" si="41">F25*F76</f>
        <v>352.56902099999996</v>
      </c>
      <c r="G99" s="3">
        <f t="shared" si="41"/>
        <v>387.82592310000001</v>
      </c>
      <c r="H99" s="3">
        <f t="shared" si="41"/>
        <v>422.73025617900004</v>
      </c>
      <c r="I99" s="3">
        <f t="shared" si="41"/>
        <v>456.54867667332007</v>
      </c>
      <c r="J99" s="3">
        <f t="shared" si="41"/>
        <v>488.50708404045247</v>
      </c>
      <c r="K99" s="3">
        <f t="shared" si="41"/>
        <v>517.81750908287972</v>
      </c>
      <c r="L99" s="3">
        <f t="shared" si="41"/>
        <v>543.70838453702368</v>
      </c>
      <c r="M99" s="3">
        <f t="shared" si="41"/>
        <v>565.45671991850463</v>
      </c>
      <c r="N99" s="3">
        <f t="shared" si="41"/>
        <v>582.42042151605983</v>
      </c>
      <c r="O99" s="3">
        <f t="shared" si="41"/>
        <v>599.89303416154166</v>
      </c>
    </row>
  </sheetData>
  <conditionalFormatting sqref="A29:XFD29 A32:XFD34 A37:XFD39 B40:XFD40 A41:XFD44 A45:O45 P45:XFD46 B46:O46 A47:XFD48">
    <cfRule type="expression" dxfId="5" priority="2">
      <formula>$A$4&lt;&gt;$A$27</formula>
    </cfRule>
  </conditionalFormatting>
  <conditionalFormatting sqref="A52:XFD52 A55:XFD57 A60:XFD61 A62:O62 P62:XFD63 B63:O63 A64:XFD67 A68:O68 P68:XFD69 B69:O69 A70:XFD71">
    <cfRule type="expression" dxfId="4" priority="1">
      <formula>$A$4&lt;&gt;$A$50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1559-B553-4AD6-A80B-B3B7EE41DE38}">
  <sheetPr>
    <tabColor theme="9"/>
    <pageSetUpPr fitToPage="1"/>
  </sheetPr>
  <dimension ref="A1:O25"/>
  <sheetViews>
    <sheetView showGridLines="0" zoomScaleNormal="100" workbookViewId="0">
      <pane ySplit="2" topLeftCell="A3" activePane="bottomLeft" state="frozen"/>
      <selection activeCell="A6" sqref="A6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5" s="38" customFormat="1" ht="17.399999999999999" x14ac:dyDescent="0.3">
      <c r="A1" s="41" t="str">
        <f>CoName</f>
        <v>Company2272</v>
      </c>
      <c r="B1" s="36"/>
      <c r="C1" s="37"/>
      <c r="D1" s="37"/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</row>
    <row r="2" spans="1:15" s="38" customFormat="1" ht="18" thickBot="1" x14ac:dyDescent="0.35">
      <c r="A2" s="42" t="str">
        <f>Ccy&amp;Units&amp;" unless otherwise stated"</f>
        <v>$m unless otherwise stated</v>
      </c>
      <c r="B2" s="39"/>
      <c r="C2" s="40"/>
      <c r="D2" s="40"/>
      <c r="E2" s="40">
        <f>Inputs!C16</f>
        <v>42369</v>
      </c>
      <c r="F2" s="40">
        <f>DATE(YEAR(E2)+1,MONTH(E2),DAY(E2))</f>
        <v>42735</v>
      </c>
      <c r="G2" s="40">
        <f t="shared" ref="G2:O2" si="0">DATE(YEAR(F2)+1,MONTH(F2),DAY(F2))</f>
        <v>43100</v>
      </c>
      <c r="H2" s="40">
        <f t="shared" si="0"/>
        <v>43465</v>
      </c>
      <c r="I2" s="40">
        <f t="shared" si="0"/>
        <v>43830</v>
      </c>
      <c r="J2" s="40">
        <f t="shared" si="0"/>
        <v>44196</v>
      </c>
      <c r="K2" s="40">
        <f t="shared" si="0"/>
        <v>44561</v>
      </c>
      <c r="L2" s="40">
        <f t="shared" si="0"/>
        <v>44926</v>
      </c>
      <c r="M2" s="40">
        <f t="shared" si="0"/>
        <v>45291</v>
      </c>
      <c r="N2" s="40">
        <f t="shared" si="0"/>
        <v>45657</v>
      </c>
      <c r="O2" s="40">
        <f t="shared" si="0"/>
        <v>46022</v>
      </c>
    </row>
    <row r="3" spans="1:15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6" x14ac:dyDescent="0.25">
      <c r="A4" s="31" t="s">
        <v>113</v>
      </c>
      <c r="B4" s="3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6" spans="1:15" x14ac:dyDescent="0.25">
      <c r="B6" s="3" t="s">
        <v>114</v>
      </c>
      <c r="E6" s="60">
        <f>'S&amp;U'!E15</f>
        <v>4198.8556914840001</v>
      </c>
    </row>
    <row r="8" spans="1:15" x14ac:dyDescent="0.25">
      <c r="B8" s="3" t="s">
        <v>115</v>
      </c>
    </row>
    <row r="9" spans="1:15" x14ac:dyDescent="0.25">
      <c r="B9" s="5" t="s">
        <v>116</v>
      </c>
      <c r="E9" s="60">
        <f>BS!C15-BS!C31</f>
        <v>968.10000000000014</v>
      </c>
    </row>
    <row r="10" spans="1:15" x14ac:dyDescent="0.25">
      <c r="B10" s="5" t="s">
        <v>117</v>
      </c>
      <c r="E10" s="60">
        <f>-BS!C13</f>
        <v>-81.099999999999994</v>
      </c>
    </row>
    <row r="11" spans="1:15" s="1" customFormat="1" x14ac:dyDescent="0.25">
      <c r="B11" s="16" t="s">
        <v>115</v>
      </c>
      <c r="E11" s="23">
        <f>SUM(E9:E10)</f>
        <v>887.00000000000011</v>
      </c>
    </row>
    <row r="13" spans="1:15" x14ac:dyDescent="0.25">
      <c r="B13" s="3" t="s">
        <v>113</v>
      </c>
      <c r="E13" s="60">
        <f>E6-E11</f>
        <v>3311.8556914840001</v>
      </c>
    </row>
    <row r="15" spans="1:15" ht="15.6" x14ac:dyDescent="0.25">
      <c r="A15" s="31" t="s">
        <v>118</v>
      </c>
      <c r="B15" s="3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7" spans="1:15" x14ac:dyDescent="0.25">
      <c r="B17" s="3" t="s">
        <v>119</v>
      </c>
      <c r="F17" s="3">
        <f>E19</f>
        <v>64</v>
      </c>
      <c r="G17" s="3">
        <f t="shared" ref="G17:O17" si="1">F19</f>
        <v>53.333333333333336</v>
      </c>
      <c r="H17" s="3">
        <f t="shared" si="1"/>
        <v>42.666666666666671</v>
      </c>
      <c r="I17" s="3">
        <f t="shared" si="1"/>
        <v>32.000000000000007</v>
      </c>
      <c r="J17" s="3">
        <f t="shared" si="1"/>
        <v>21.333333333333343</v>
      </c>
      <c r="K17" s="3">
        <f t="shared" si="1"/>
        <v>10.666666666666677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</row>
    <row r="18" spans="1:15" x14ac:dyDescent="0.25">
      <c r="B18" s="3" t="s">
        <v>120</v>
      </c>
      <c r="F18" s="3">
        <f>-MIN(F17,$E$19/'S&amp;U'!$J$13)</f>
        <v>-10.666666666666666</v>
      </c>
      <c r="G18" s="3">
        <f>-MIN(G17,$E$19/'S&amp;U'!$J$13)</f>
        <v>-10.666666666666666</v>
      </c>
      <c r="H18" s="3">
        <f>-MIN(H17,$E$19/'S&amp;U'!$J$13)</f>
        <v>-10.666666666666666</v>
      </c>
      <c r="I18" s="3">
        <f>-MIN(I17,$E$19/'S&amp;U'!$J$13)</f>
        <v>-10.666666666666666</v>
      </c>
      <c r="J18" s="3">
        <f>-MIN(J17,$E$19/'S&amp;U'!$J$13)</f>
        <v>-10.666666666666666</v>
      </c>
      <c r="K18" s="3">
        <f>-MIN(K17,$E$19/'S&amp;U'!$J$13)</f>
        <v>-10.666666666666666</v>
      </c>
      <c r="L18" s="3">
        <f>-MIN(L17,$E$19/'S&amp;U'!$J$13)</f>
        <v>0</v>
      </c>
      <c r="M18" s="3">
        <f>-MIN(M17,$E$19/'S&amp;U'!$J$13)</f>
        <v>0</v>
      </c>
      <c r="N18" s="3">
        <f>-MIN(N17,$E$19/'S&amp;U'!$J$13)</f>
        <v>0</v>
      </c>
      <c r="O18" s="3">
        <f>-MIN(O17,$E$19/'S&amp;U'!$J$13)</f>
        <v>0</v>
      </c>
    </row>
    <row r="19" spans="1:15" x14ac:dyDescent="0.25">
      <c r="B19" s="3" t="s">
        <v>121</v>
      </c>
      <c r="E19" s="3">
        <f>'S&amp;U'!C33</f>
        <v>64</v>
      </c>
      <c r="F19" s="3">
        <f>SUM(F17:F18)</f>
        <v>53.333333333333336</v>
      </c>
      <c r="G19" s="3">
        <f t="shared" ref="G19:O19" si="2">SUM(G17:G18)</f>
        <v>42.666666666666671</v>
      </c>
      <c r="H19" s="3">
        <f t="shared" si="2"/>
        <v>32.000000000000007</v>
      </c>
      <c r="I19" s="3">
        <f t="shared" si="2"/>
        <v>21.333333333333343</v>
      </c>
      <c r="J19" s="3">
        <f t="shared" si="2"/>
        <v>10.666666666666677</v>
      </c>
      <c r="K19" s="3">
        <f t="shared" si="2"/>
        <v>0</v>
      </c>
      <c r="L19" s="3">
        <f t="shared" si="2"/>
        <v>0</v>
      </c>
      <c r="M19" s="3">
        <f t="shared" si="2"/>
        <v>0</v>
      </c>
      <c r="N19" s="3">
        <f t="shared" si="2"/>
        <v>0</v>
      </c>
      <c r="O19" s="3">
        <f t="shared" si="2"/>
        <v>0</v>
      </c>
    </row>
    <row r="21" spans="1:15" ht="15.6" x14ac:dyDescent="0.25">
      <c r="A21" s="31" t="s">
        <v>122</v>
      </c>
      <c r="B21" s="3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3" spans="1:15" x14ac:dyDescent="0.25">
      <c r="B23" s="3" t="s">
        <v>123</v>
      </c>
      <c r="F23" s="3">
        <f>E25</f>
        <v>-63.126835372260018</v>
      </c>
      <c r="G23" s="3">
        <f t="shared" ref="G23:O23" ca="1" si="3">F25</f>
        <v>-114.99288878717947</v>
      </c>
      <c r="H23" s="3">
        <f t="shared" ca="1" si="3"/>
        <v>-152.36979392512134</v>
      </c>
      <c r="I23" s="3">
        <f t="shared" ca="1" si="3"/>
        <v>-176.31329472235325</v>
      </c>
      <c r="J23" s="3">
        <f t="shared" ca="1" si="3"/>
        <v>-187.83276643306135</v>
      </c>
      <c r="K23" s="3">
        <f t="shared" ca="1" si="3"/>
        <v>-188.99530925327326</v>
      </c>
      <c r="L23" s="3">
        <f t="shared" ca="1" si="3"/>
        <v>-190.8141614379565</v>
      </c>
      <c r="M23" s="3">
        <f t="shared" ca="1" si="3"/>
        <v>-196.04803345836973</v>
      </c>
      <c r="N23" s="3">
        <f t="shared" ca="1" si="3"/>
        <v>-213.66287994893634</v>
      </c>
      <c r="O23" s="3">
        <f t="shared" ca="1" si="3"/>
        <v>-255.98155929248995</v>
      </c>
    </row>
    <row r="24" spans="1:15" x14ac:dyDescent="0.25">
      <c r="B24" s="3" t="s">
        <v>124</v>
      </c>
      <c r="F24" s="3">
        <f ca="1">FS!F21</f>
        <v>-51.866053414919449</v>
      </c>
      <c r="G24" s="3">
        <f ca="1">FS!G21</f>
        <v>-37.376905137941876</v>
      </c>
      <c r="H24" s="3">
        <f ca="1">FS!H21</f>
        <v>-23.943500797231913</v>
      </c>
      <c r="I24" s="3">
        <f ca="1">FS!I21</f>
        <v>-11.51947171070811</v>
      </c>
      <c r="J24" s="3">
        <f ca="1">FS!J21</f>
        <v>-1.1625428202119252</v>
      </c>
      <c r="K24" s="3">
        <f ca="1">FS!K21</f>
        <v>-1.8188521846832515</v>
      </c>
      <c r="L24" s="3">
        <f ca="1">FS!L21</f>
        <v>-5.2338720204132301</v>
      </c>
      <c r="M24" s="3">
        <f ca="1">FS!M21</f>
        <v>-17.61484649056662</v>
      </c>
      <c r="N24" s="3">
        <f ca="1">FS!N21</f>
        <v>-42.318679343553612</v>
      </c>
      <c r="O24" s="3">
        <f ca="1">FS!O21</f>
        <v>-105.98469028556414</v>
      </c>
    </row>
    <row r="25" spans="1:15" x14ac:dyDescent="0.25">
      <c r="B25" s="3" t="s">
        <v>125</v>
      </c>
      <c r="E25" s="3">
        <f>BS!F35</f>
        <v>-63.126835372260018</v>
      </c>
      <c r="F25" s="3">
        <f ca="1">SUM(F23:F24)</f>
        <v>-114.99288878717947</v>
      </c>
      <c r="G25" s="3">
        <f t="shared" ref="G25:O25" ca="1" si="4">SUM(G23:G24)</f>
        <v>-152.36979392512134</v>
      </c>
      <c r="H25" s="3">
        <f t="shared" ca="1" si="4"/>
        <v>-176.31329472235325</v>
      </c>
      <c r="I25" s="3">
        <f t="shared" ca="1" si="4"/>
        <v>-187.83276643306135</v>
      </c>
      <c r="J25" s="3">
        <f t="shared" ca="1" si="4"/>
        <v>-188.99530925327326</v>
      </c>
      <c r="K25" s="3">
        <f t="shared" ca="1" si="4"/>
        <v>-190.8141614379565</v>
      </c>
      <c r="L25" s="3">
        <f t="shared" ca="1" si="4"/>
        <v>-196.04803345836973</v>
      </c>
      <c r="M25" s="3">
        <f t="shared" ca="1" si="4"/>
        <v>-213.66287994893634</v>
      </c>
      <c r="N25" s="3">
        <f t="shared" ca="1" si="4"/>
        <v>-255.98155929248995</v>
      </c>
      <c r="O25" s="3">
        <f t="shared" ca="1" si="4"/>
        <v>-361.96624957805409</v>
      </c>
    </row>
  </sheetData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D076-9F0B-4FD0-B78E-63F8FEA5B104}">
  <sheetPr>
    <tabColor theme="9"/>
    <pageSetUpPr fitToPage="1"/>
  </sheetPr>
  <dimension ref="A1:F40"/>
  <sheetViews>
    <sheetView showGridLines="0" zoomScaleNormal="100" workbookViewId="0">
      <pane ySplit="2" topLeftCell="A3" activePane="bottomLeft" state="frozen"/>
      <selection activeCell="N1" sqref="N1:N1048576"/>
      <selection pane="bottomLeft"/>
    </sheetView>
  </sheetViews>
  <sheetFormatPr defaultColWidth="9" defaultRowHeight="13.8" x14ac:dyDescent="0.25"/>
  <cols>
    <col min="1" max="1" width="2.44140625" style="12" customWidth="1"/>
    <col min="2" max="2" width="30.44140625" style="12" customWidth="1"/>
    <col min="3" max="6" width="10.44140625" style="3" customWidth="1"/>
    <col min="7" max="16384" width="9" style="12"/>
  </cols>
  <sheetData>
    <row r="1" spans="1:6" s="38" customFormat="1" ht="17.399999999999999" x14ac:dyDescent="0.3">
      <c r="A1" s="41" t="str">
        <f>CoName</f>
        <v>Company2272</v>
      </c>
      <c r="B1" s="36"/>
      <c r="C1" s="37" t="s">
        <v>126</v>
      </c>
      <c r="D1" s="37" t="s">
        <v>127</v>
      </c>
      <c r="E1" s="37" t="s">
        <v>128</v>
      </c>
      <c r="F1" s="37" t="s">
        <v>129</v>
      </c>
    </row>
    <row r="2" spans="1:6" s="38" customFormat="1" ht="18" thickBot="1" x14ac:dyDescent="0.35">
      <c r="A2" s="42" t="str">
        <f>Ccy&amp;Units&amp;" unless otherwise stated"</f>
        <v>$m unless otherwise stated</v>
      </c>
      <c r="B2" s="39"/>
      <c r="C2" s="40">
        <f>Inputs!$C$16</f>
        <v>42369</v>
      </c>
      <c r="D2" s="40">
        <f>Inputs!$C$16</f>
        <v>42369</v>
      </c>
      <c r="E2" s="40">
        <f>Inputs!$C$16</f>
        <v>42369</v>
      </c>
      <c r="F2" s="40">
        <f>Inputs!$C$16</f>
        <v>42369</v>
      </c>
    </row>
    <row r="3" spans="1:6" ht="14.4" thickTop="1" x14ac:dyDescent="0.25"/>
    <row r="4" spans="1:6" ht="15.6" x14ac:dyDescent="0.25">
      <c r="A4" s="31" t="s">
        <v>130</v>
      </c>
      <c r="B4" s="31"/>
      <c r="C4" s="22" t="s">
        <v>126</v>
      </c>
      <c r="D4" s="22" t="s">
        <v>127</v>
      </c>
      <c r="E4" s="22" t="s">
        <v>128</v>
      </c>
      <c r="F4" s="22" t="s">
        <v>129</v>
      </c>
    </row>
    <row r="5" spans="1:6" s="3" customFormat="1" ht="13.2" x14ac:dyDescent="0.25"/>
    <row r="6" spans="1:6" x14ac:dyDescent="0.25">
      <c r="A6" s="43" t="s">
        <v>131</v>
      </c>
      <c r="B6" s="3"/>
    </row>
    <row r="7" spans="1:6" x14ac:dyDescent="0.25">
      <c r="A7" s="3"/>
      <c r="B7" s="3" t="s">
        <v>132</v>
      </c>
      <c r="C7" s="59">
        <v>484.7</v>
      </c>
      <c r="D7" s="3">
        <f>'S&amp;U'!C47-'S&amp;U'!C39-'S&amp;U'!C33</f>
        <v>4271.5825268562603</v>
      </c>
      <c r="E7" s="3">
        <f>-D7-C7</f>
        <v>-4756.2825268562601</v>
      </c>
      <c r="F7" s="3">
        <f>SUM(C7:E7)</f>
        <v>0</v>
      </c>
    </row>
    <row r="8" spans="1:6" x14ac:dyDescent="0.25">
      <c r="A8" s="3"/>
      <c r="B8" s="3" t="s">
        <v>106</v>
      </c>
      <c r="C8" s="59">
        <v>0</v>
      </c>
      <c r="F8" s="3">
        <f t="shared" ref="F8:F9" si="0">SUM(C8:E8)</f>
        <v>0</v>
      </c>
    </row>
    <row r="9" spans="1:6" x14ac:dyDescent="0.25">
      <c r="A9" s="3"/>
      <c r="B9" s="3" t="s">
        <v>107</v>
      </c>
      <c r="C9" s="59">
        <v>233.7</v>
      </c>
      <c r="F9" s="3">
        <f t="shared" si="0"/>
        <v>233.7</v>
      </c>
    </row>
    <row r="10" spans="1:6" s="14" customFormat="1" x14ac:dyDescent="0.25">
      <c r="A10" s="1"/>
      <c r="B10" s="1" t="s">
        <v>133</v>
      </c>
      <c r="C10" s="1">
        <f>SUM(C7:C9)</f>
        <v>718.4</v>
      </c>
      <c r="D10" s="1">
        <f t="shared" ref="D10:F10" si="1">SUM(D7:D9)</f>
        <v>4271.5825268562603</v>
      </c>
      <c r="E10" s="1">
        <f t="shared" si="1"/>
        <v>-4756.2825268562601</v>
      </c>
      <c r="F10" s="1">
        <f t="shared" si="1"/>
        <v>233.7</v>
      </c>
    </row>
    <row r="11" spans="1:6" x14ac:dyDescent="0.25">
      <c r="A11" s="3"/>
      <c r="B11" s="3"/>
    </row>
    <row r="12" spans="1:6" x14ac:dyDescent="0.25">
      <c r="A12" s="3"/>
      <c r="B12" s="3" t="s">
        <v>134</v>
      </c>
      <c r="C12" s="59">
        <v>1148</v>
      </c>
      <c r="F12" s="3">
        <f t="shared" ref="F12:F14" si="2">SUM(C12:E12)</f>
        <v>1148</v>
      </c>
    </row>
    <row r="13" spans="1:6" x14ac:dyDescent="0.25">
      <c r="A13" s="3"/>
      <c r="B13" s="3" t="s">
        <v>113</v>
      </c>
      <c r="C13" s="59">
        <v>81.099999999999994</v>
      </c>
      <c r="E13" s="3">
        <f>Calcs!E13-BS!C13</f>
        <v>3230.7556914840002</v>
      </c>
      <c r="F13" s="3">
        <f t="shared" si="2"/>
        <v>3311.8556914840001</v>
      </c>
    </row>
    <row r="14" spans="1:6" x14ac:dyDescent="0.25">
      <c r="A14" s="3"/>
      <c r="B14" s="3" t="s">
        <v>135</v>
      </c>
      <c r="C14" s="59">
        <v>66.7</v>
      </c>
      <c r="F14" s="3">
        <f t="shared" si="2"/>
        <v>66.7</v>
      </c>
    </row>
    <row r="15" spans="1:6" s="14" customFormat="1" x14ac:dyDescent="0.25">
      <c r="A15" s="1"/>
      <c r="B15" s="1" t="s">
        <v>136</v>
      </c>
      <c r="C15" s="1">
        <f>SUM(C10,C12:C14)</f>
        <v>2014.2</v>
      </c>
      <c r="D15" s="1">
        <f t="shared" ref="D15:F15" si="3">SUM(D10,D12:D14)</f>
        <v>4271.5825268562603</v>
      </c>
      <c r="E15" s="1">
        <f t="shared" si="3"/>
        <v>-1525.5268353722599</v>
      </c>
      <c r="F15" s="1">
        <f t="shared" si="3"/>
        <v>4760.2556914839997</v>
      </c>
    </row>
    <row r="16" spans="1:6" x14ac:dyDescent="0.25">
      <c r="A16" s="3"/>
      <c r="B16" s="3"/>
    </row>
    <row r="17" spans="1:6" x14ac:dyDescent="0.25">
      <c r="A17" s="43" t="s">
        <v>137</v>
      </c>
      <c r="B17" s="3"/>
    </row>
    <row r="18" spans="1:6" x14ac:dyDescent="0.25">
      <c r="A18" s="3"/>
      <c r="B18" s="3" t="s">
        <v>52</v>
      </c>
      <c r="C18" s="59">
        <v>1.7</v>
      </c>
      <c r="E18" s="3">
        <f>-C18</f>
        <v>-1.7</v>
      </c>
      <c r="F18" s="3">
        <f t="shared" ref="F18:F21" si="4">SUM(C18:E18)</f>
        <v>0</v>
      </c>
    </row>
    <row r="19" spans="1:6" x14ac:dyDescent="0.25">
      <c r="A19" s="3"/>
      <c r="B19" s="3" t="s">
        <v>67</v>
      </c>
      <c r="C19" s="59">
        <v>0</v>
      </c>
      <c r="D19" s="3">
        <f>'S&amp;U'!C40</f>
        <v>0</v>
      </c>
      <c r="E19" s="3">
        <f>-C19</f>
        <v>0</v>
      </c>
      <c r="F19" s="3">
        <f t="shared" si="4"/>
        <v>0</v>
      </c>
    </row>
    <row r="20" spans="1:6" x14ac:dyDescent="0.25">
      <c r="A20" s="3"/>
      <c r="B20" s="3" t="s">
        <v>108</v>
      </c>
      <c r="C20" s="59">
        <v>136.30000000000001</v>
      </c>
      <c r="F20" s="3">
        <f t="shared" si="4"/>
        <v>136.30000000000001</v>
      </c>
    </row>
    <row r="21" spans="1:6" x14ac:dyDescent="0.25">
      <c r="A21" s="3"/>
      <c r="B21" s="3" t="s">
        <v>109</v>
      </c>
      <c r="C21" s="59">
        <v>98.9</v>
      </c>
      <c r="F21" s="3">
        <f t="shared" si="4"/>
        <v>98.9</v>
      </c>
    </row>
    <row r="22" spans="1:6" s="14" customFormat="1" x14ac:dyDescent="0.25">
      <c r="A22" s="1"/>
      <c r="B22" s="1" t="s">
        <v>138</v>
      </c>
      <c r="C22" s="1">
        <f>SUM(C18:C21)</f>
        <v>236.9</v>
      </c>
      <c r="D22" s="1">
        <f t="shared" ref="D22:F22" si="5">SUM(D18:D21)</f>
        <v>0</v>
      </c>
      <c r="E22" s="1">
        <f t="shared" si="5"/>
        <v>-1.7</v>
      </c>
      <c r="F22" s="1">
        <f t="shared" si="5"/>
        <v>235.20000000000002</v>
      </c>
    </row>
    <row r="23" spans="1:6" x14ac:dyDescent="0.25">
      <c r="A23" s="3"/>
      <c r="B23" s="3"/>
    </row>
    <row r="24" spans="1:6" x14ac:dyDescent="0.25">
      <c r="A24" s="3"/>
      <c r="B24" s="3" t="s">
        <v>53</v>
      </c>
      <c r="C24" s="59">
        <v>492.59999999999997</v>
      </c>
      <c r="E24" s="3">
        <f>-C24</f>
        <v>-492.59999999999997</v>
      </c>
      <c r="F24" s="3">
        <f t="shared" ref="F24:F30" si="6">SUM(C24:E24)</f>
        <v>0</v>
      </c>
    </row>
    <row r="25" spans="1:6" x14ac:dyDescent="0.25">
      <c r="A25" s="3"/>
      <c r="B25" s="3" t="s">
        <v>68</v>
      </c>
      <c r="D25" s="3">
        <f>'S&amp;U'!C41</f>
        <v>1200</v>
      </c>
      <c r="F25" s="3">
        <f t="shared" si="6"/>
        <v>1200</v>
      </c>
    </row>
    <row r="26" spans="1:6" x14ac:dyDescent="0.25">
      <c r="A26" s="3"/>
      <c r="B26" s="3" t="s">
        <v>69</v>
      </c>
      <c r="D26" s="3">
        <f>'S&amp;U'!C42</f>
        <v>900</v>
      </c>
      <c r="F26" s="3">
        <f t="shared" si="6"/>
        <v>900</v>
      </c>
    </row>
    <row r="27" spans="1:6" x14ac:dyDescent="0.25">
      <c r="A27" s="3"/>
      <c r="B27" s="3" t="s">
        <v>70</v>
      </c>
      <c r="D27" s="3">
        <f>'S&amp;U'!C43</f>
        <v>600</v>
      </c>
      <c r="F27" s="3">
        <f t="shared" si="6"/>
        <v>600</v>
      </c>
    </row>
    <row r="28" spans="1:6" x14ac:dyDescent="0.25">
      <c r="A28" s="3"/>
      <c r="B28" s="3" t="s">
        <v>71</v>
      </c>
      <c r="D28" s="3">
        <f>'S&amp;U'!C44</f>
        <v>500</v>
      </c>
      <c r="F28" s="3">
        <f t="shared" si="6"/>
        <v>500</v>
      </c>
    </row>
    <row r="29" spans="1:6" x14ac:dyDescent="0.25">
      <c r="A29" s="3"/>
      <c r="B29" s="3" t="s">
        <v>139</v>
      </c>
      <c r="D29" s="3">
        <f>-'S&amp;U'!C33</f>
        <v>-64</v>
      </c>
      <c r="F29" s="3">
        <f t="shared" si="6"/>
        <v>-64</v>
      </c>
    </row>
    <row r="30" spans="1:6" x14ac:dyDescent="0.25">
      <c r="A30" s="3"/>
      <c r="B30" s="3" t="s">
        <v>140</v>
      </c>
      <c r="C30" s="59">
        <v>316.59999999999997</v>
      </c>
      <c r="F30" s="3">
        <f t="shared" si="6"/>
        <v>316.59999999999997</v>
      </c>
    </row>
    <row r="31" spans="1:6" s="14" customFormat="1" x14ac:dyDescent="0.25">
      <c r="A31" s="1"/>
      <c r="B31" s="1" t="s">
        <v>141</v>
      </c>
      <c r="C31" s="1">
        <f>SUM(C22,C24:C30)</f>
        <v>1046.0999999999999</v>
      </c>
      <c r="D31" s="1">
        <f>SUM(D22,D24:D30)</f>
        <v>3136</v>
      </c>
      <c r="E31" s="1">
        <f>SUM(E22,E24:E30)</f>
        <v>-494.29999999999995</v>
      </c>
      <c r="F31" s="1">
        <f>SUM(F22,F24:F30)</f>
        <v>3687.7999999999997</v>
      </c>
    </row>
    <row r="32" spans="1:6" x14ac:dyDescent="0.25">
      <c r="A32" s="3"/>
      <c r="B32" s="3"/>
    </row>
    <row r="33" spans="1:6" x14ac:dyDescent="0.25">
      <c r="A33" s="3"/>
      <c r="B33" s="3" t="s">
        <v>142</v>
      </c>
      <c r="C33" s="59"/>
      <c r="D33" s="3">
        <f>'S&amp;U'!C45</f>
        <v>535.5825268562603</v>
      </c>
      <c r="F33" s="3">
        <f>SUM(C33:E33)</f>
        <v>535.5825268562603</v>
      </c>
    </row>
    <row r="34" spans="1:6" x14ac:dyDescent="0.25">
      <c r="A34" s="3"/>
      <c r="B34" s="3" t="s">
        <v>143</v>
      </c>
      <c r="C34" s="59">
        <v>798.4</v>
      </c>
      <c r="D34" s="3">
        <f>'S&amp;U'!C46</f>
        <v>600</v>
      </c>
      <c r="E34" s="3">
        <f>-C34</f>
        <v>-798.4</v>
      </c>
      <c r="F34" s="3">
        <f>SUM(C34:E34)</f>
        <v>600.00000000000011</v>
      </c>
    </row>
    <row r="35" spans="1:6" x14ac:dyDescent="0.25">
      <c r="A35" s="3"/>
      <c r="B35" s="3" t="s">
        <v>144</v>
      </c>
      <c r="C35" s="59">
        <v>169.7</v>
      </c>
      <c r="E35" s="3">
        <f>-C35-'S&amp;U'!C34</f>
        <v>-232.82683537226001</v>
      </c>
      <c r="F35" s="3">
        <f t="shared" ref="F35" si="7">SUM(C35:E35)</f>
        <v>-63.126835372260018</v>
      </c>
    </row>
    <row r="36" spans="1:6" s="14" customFormat="1" x14ac:dyDescent="0.25">
      <c r="A36" s="1"/>
      <c r="B36" s="1" t="s">
        <v>145</v>
      </c>
      <c r="C36" s="1">
        <f>SUM(C33:C35)</f>
        <v>968.09999999999991</v>
      </c>
      <c r="D36" s="1">
        <f t="shared" ref="D36:F36" si="8">SUM(D33:D35)</f>
        <v>1135.5825268562603</v>
      </c>
      <c r="E36" s="1">
        <f t="shared" si="8"/>
        <v>-1031.22683537226</v>
      </c>
      <c r="F36" s="1">
        <f t="shared" si="8"/>
        <v>1072.4556914840002</v>
      </c>
    </row>
    <row r="37" spans="1:6" x14ac:dyDescent="0.25">
      <c r="A37" s="3"/>
      <c r="B37" s="3"/>
    </row>
    <row r="38" spans="1:6" s="14" customFormat="1" x14ac:dyDescent="0.25">
      <c r="A38" s="1"/>
      <c r="B38" s="1" t="s">
        <v>146</v>
      </c>
      <c r="C38" s="1">
        <f>SUM(C36,C31)</f>
        <v>2014.1999999999998</v>
      </c>
      <c r="D38" s="1">
        <f>SUM(D36,D31)</f>
        <v>4271.5825268562603</v>
      </c>
      <c r="E38" s="1">
        <f>SUM(E36,E31)</f>
        <v>-1525.5268353722599</v>
      </c>
      <c r="F38" s="1">
        <f>SUM(F36,F31)</f>
        <v>4760.2556914839997</v>
      </c>
    </row>
    <row r="39" spans="1:6" x14ac:dyDescent="0.25">
      <c r="A39" s="3"/>
      <c r="B39" s="3"/>
    </row>
    <row r="40" spans="1:6" x14ac:dyDescent="0.25">
      <c r="A40" s="3"/>
      <c r="B40" s="3" t="s">
        <v>147</v>
      </c>
      <c r="C40" s="21" t="str">
        <f>IF(C38=C15,"OK",C15-C38)</f>
        <v>OK</v>
      </c>
      <c r="D40" s="21" t="str">
        <f>IF(D38=D15,"OK",D15-D38)</f>
        <v>OK</v>
      </c>
      <c r="E40" s="21" t="str">
        <f>IF(E38=E15,"OK",E15-E38)</f>
        <v>OK</v>
      </c>
      <c r="F40" s="21" t="str">
        <f>IF(F38=F15,"OK",F15-F38)</f>
        <v>OK</v>
      </c>
    </row>
  </sheetData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ED77-0A7C-46DA-9969-606653D6F895}">
  <sheetPr>
    <tabColor theme="9"/>
    <pageSetUpPr fitToPage="1"/>
  </sheetPr>
  <dimension ref="A1:P83"/>
  <sheetViews>
    <sheetView showGridLines="0" zoomScaleNormal="100" workbookViewId="0">
      <pane ySplit="2" topLeftCell="A3" activePane="bottomLeft" state="frozen"/>
      <selection activeCell="A6" sqref="A6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5" s="38" customFormat="1" ht="17.399999999999999" x14ac:dyDescent="0.3">
      <c r="A1" s="41" t="str">
        <f>CoName</f>
        <v>Company2272</v>
      </c>
      <c r="B1" s="36"/>
      <c r="C1" s="37" t="s">
        <v>75</v>
      </c>
      <c r="D1" s="37" t="s">
        <v>75</v>
      </c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</row>
    <row r="2" spans="1:15" s="38" customFormat="1" ht="18" thickBot="1" x14ac:dyDescent="0.35">
      <c r="A2" s="42" t="str">
        <f>Ccy&amp;Units&amp;" unless otherwise stated"</f>
        <v>$m unless otherwise stated</v>
      </c>
      <c r="B2" s="39"/>
      <c r="C2" s="40">
        <f>DATE(YEAR(D2)-1,MONTH(D2),DAY(D2))</f>
        <v>41639</v>
      </c>
      <c r="D2" s="40">
        <f>DATE(YEAR(E2)-1,MONTH(E2),DAY(E2))</f>
        <v>42004</v>
      </c>
      <c r="E2" s="40">
        <f>Inputs!C16</f>
        <v>42369</v>
      </c>
      <c r="F2" s="40">
        <f>DATE(YEAR(E2)+1,MONTH(E2),DAY(E2))</f>
        <v>42735</v>
      </c>
      <c r="G2" s="40">
        <f t="shared" ref="G2:O2" si="0">DATE(YEAR(F2)+1,MONTH(F2),DAY(F2))</f>
        <v>43100</v>
      </c>
      <c r="H2" s="40">
        <f t="shared" si="0"/>
        <v>43465</v>
      </c>
      <c r="I2" s="40">
        <f t="shared" si="0"/>
        <v>43830</v>
      </c>
      <c r="J2" s="40">
        <f t="shared" si="0"/>
        <v>44196</v>
      </c>
      <c r="K2" s="40">
        <f t="shared" si="0"/>
        <v>44561</v>
      </c>
      <c r="L2" s="40">
        <f t="shared" si="0"/>
        <v>44926</v>
      </c>
      <c r="M2" s="40">
        <f t="shared" si="0"/>
        <v>45291</v>
      </c>
      <c r="N2" s="40">
        <f t="shared" si="0"/>
        <v>45657</v>
      </c>
      <c r="O2" s="40">
        <f t="shared" si="0"/>
        <v>46022</v>
      </c>
    </row>
    <row r="3" spans="1:15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6" x14ac:dyDescent="0.25">
      <c r="A4" s="31" t="s">
        <v>78</v>
      </c>
      <c r="B4" s="3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6" spans="1:15" x14ac:dyDescent="0.25">
      <c r="B6" s="3" t="s">
        <v>97</v>
      </c>
      <c r="C6" s="3">
        <f>OpMod!C76</f>
        <v>1534.8</v>
      </c>
      <c r="D6" s="3">
        <f>OpMod!D76</f>
        <v>1794.4</v>
      </c>
      <c r="E6" s="3">
        <f>OpMod!E76</f>
        <v>2001.3</v>
      </c>
      <c r="F6" s="3">
        <f>OpMod!F76</f>
        <v>2231.4494999999997</v>
      </c>
      <c r="G6" s="3">
        <f>OpMod!G76</f>
        <v>2454.5944500000001</v>
      </c>
      <c r="H6" s="3">
        <f>OpMod!H76</f>
        <v>2675.5079505000003</v>
      </c>
      <c r="I6" s="3">
        <f>OpMod!I76</f>
        <v>2889.5485865400005</v>
      </c>
      <c r="J6" s="3">
        <f>OpMod!J76</f>
        <v>3091.8169875978006</v>
      </c>
      <c r="K6" s="3">
        <f>OpMod!K76</f>
        <v>3277.3260068536688</v>
      </c>
      <c r="L6" s="3">
        <f>OpMod!L76</f>
        <v>3441.1923071963524</v>
      </c>
      <c r="M6" s="3">
        <f>OpMod!M76</f>
        <v>3578.8399994842066</v>
      </c>
      <c r="N6" s="3">
        <f>OpMod!N76</f>
        <v>3686.2051994687331</v>
      </c>
      <c r="O6" s="3">
        <f>OpMod!O76</f>
        <v>3796.7913554527954</v>
      </c>
    </row>
    <row r="8" spans="1:15" s="1" customFormat="1" x14ac:dyDescent="0.25">
      <c r="B8" s="1" t="s">
        <v>98</v>
      </c>
      <c r="C8" s="1">
        <f>OpMod!C78</f>
        <v>443.90000000000003</v>
      </c>
      <c r="D8" s="1">
        <f>OpMod!D78</f>
        <v>530.20000000000005</v>
      </c>
      <c r="E8" s="1">
        <f>OpMod!E78</f>
        <v>599.9</v>
      </c>
      <c r="F8" s="1">
        <f>OpMod!F78</f>
        <v>736.37833499999999</v>
      </c>
      <c r="G8" s="1">
        <f>OpMod!G78</f>
        <v>810.01616850000005</v>
      </c>
      <c r="H8" s="1">
        <f>OpMod!H78</f>
        <v>882.91762366500018</v>
      </c>
      <c r="I8" s="1">
        <f>OpMod!I78</f>
        <v>953.55103355820017</v>
      </c>
      <c r="J8" s="1">
        <f>OpMod!J78</f>
        <v>1020.2996059072742</v>
      </c>
      <c r="K8" s="1">
        <f>OpMod!K78</f>
        <v>1081.5175822617107</v>
      </c>
      <c r="L8" s="1">
        <f>OpMod!L78</f>
        <v>1135.5934613747963</v>
      </c>
      <c r="M8" s="1">
        <f>OpMod!M78</f>
        <v>1181.0171998297883</v>
      </c>
      <c r="N8" s="1">
        <f>OpMod!N78</f>
        <v>1216.4477158246821</v>
      </c>
      <c r="O8" s="1">
        <f>OpMod!O78</f>
        <v>1252.9411472994225</v>
      </c>
    </row>
    <row r="9" spans="1:15" x14ac:dyDescent="0.25">
      <c r="B9" s="3" t="s">
        <v>104</v>
      </c>
      <c r="F9" s="3">
        <f>OpMod!F79</f>
        <v>-436.24</v>
      </c>
      <c r="G9" s="3">
        <f>OpMod!G79</f>
        <v>-465.49748629999999</v>
      </c>
      <c r="H9" s="3">
        <f>OpMod!H79</f>
        <v>-493.81253752599997</v>
      </c>
      <c r="I9" s="3">
        <f>OpMod!I79</f>
        <v>-519.66930771602006</v>
      </c>
      <c r="J9" s="3">
        <f>OpMod!J79</f>
        <v>-541.80066336097241</v>
      </c>
      <c r="K9" s="3">
        <f>OpMod!K79</f>
        <v>-570.89450234123569</v>
      </c>
      <c r="L9" s="3">
        <f>OpMod!L79</f>
        <v>-603.03136797244497</v>
      </c>
      <c r="M9" s="3">
        <f>OpMod!M79</f>
        <v>-635.41006348983865</v>
      </c>
      <c r="N9" s="3">
        <f>OpMod!N79</f>
        <v>-665.94607932449969</v>
      </c>
      <c r="O9" s="3">
        <f>OpMod!O79</f>
        <v>-693.03816434081352</v>
      </c>
    </row>
    <row r="10" spans="1:15" x14ac:dyDescent="0.25">
      <c r="B10" s="3" t="s">
        <v>148</v>
      </c>
      <c r="F10" s="3">
        <f>Calcs!F18</f>
        <v>-10.666666666666666</v>
      </c>
      <c r="G10" s="3">
        <f>Calcs!G18</f>
        <v>-10.666666666666666</v>
      </c>
      <c r="H10" s="3">
        <f>Calcs!H18</f>
        <v>-10.666666666666666</v>
      </c>
      <c r="I10" s="3">
        <f>Calcs!I18</f>
        <v>-10.666666666666666</v>
      </c>
      <c r="J10" s="3">
        <f>Calcs!J18</f>
        <v>-10.666666666666666</v>
      </c>
      <c r="K10" s="3">
        <f>Calcs!K18</f>
        <v>-10.666666666666666</v>
      </c>
      <c r="L10" s="3">
        <f>Calcs!L18</f>
        <v>0</v>
      </c>
      <c r="M10" s="3">
        <f>Calcs!M18</f>
        <v>0</v>
      </c>
      <c r="N10" s="3">
        <f>Calcs!N18</f>
        <v>0</v>
      </c>
      <c r="O10" s="3">
        <f>Calcs!O18</f>
        <v>0</v>
      </c>
    </row>
    <row r="11" spans="1:15" x14ac:dyDescent="0.25">
      <c r="B11" s="3" t="s">
        <v>149</v>
      </c>
      <c r="F11" s="3">
        <f ca="1">IF(circ=1,Debt!F107,Debt!F98)</f>
        <v>5.5786237500000481E-2</v>
      </c>
      <c r="G11" s="3">
        <f ca="1">IF(circ=1,Debt!G107,Debt!G98)</f>
        <v>0.11715109875000025</v>
      </c>
      <c r="H11" s="3">
        <f ca="1">IF(circ=1,Debt!H107,Debt!H98)</f>
        <v>0.12825256001249982</v>
      </c>
      <c r="I11" s="3">
        <f ca="1">IF(circ=1,Debt!I107,Debt!I98)</f>
        <v>0.13912641342600013</v>
      </c>
      <c r="J11" s="3">
        <f ca="1">IF(circ=1,Debt!J107,Debt!J98)</f>
        <v>0.14953413935344487</v>
      </c>
      <c r="K11" s="3">
        <f ca="1">IF(circ=1,Debt!K107,Debt!K98)</f>
        <v>0.15922857486128664</v>
      </c>
      <c r="L11" s="3">
        <f ca="1">IF(circ=1,Debt!L107,Debt!L98)</f>
        <v>0.16796295785125068</v>
      </c>
      <c r="M11" s="3">
        <f ca="1">IF(circ=1,Debt!M107,Debt!M98)</f>
        <v>0.17550080766701398</v>
      </c>
      <c r="N11" s="3">
        <f ca="1">IF(circ=1,Debt!N107,Debt!N98)</f>
        <v>0.18162612997382355</v>
      </c>
      <c r="O11" s="3">
        <f ca="1">IF(circ=1,Debt!O107,Debt!O98)</f>
        <v>0.18707491387303776</v>
      </c>
    </row>
    <row r="12" spans="1:15" x14ac:dyDescent="0.25">
      <c r="B12" s="3" t="s">
        <v>150</v>
      </c>
      <c r="F12" s="3">
        <f ca="1">IF(circ=1,Debt!F108,Debt!F99)</f>
        <v>0</v>
      </c>
      <c r="G12" s="3">
        <f ca="1">IF(circ=1,Debt!G108,Debt!G99)</f>
        <v>0</v>
      </c>
      <c r="H12" s="3">
        <f ca="1">IF(circ=1,Debt!H108,Debt!H99)</f>
        <v>0</v>
      </c>
      <c r="I12" s="3">
        <f ca="1">IF(circ=1,Debt!I108,Debt!I99)</f>
        <v>0</v>
      </c>
      <c r="J12" s="3">
        <f ca="1">IF(circ=1,Debt!J108,Debt!J99)</f>
        <v>0</v>
      </c>
      <c r="K12" s="3">
        <f ca="1">IF(circ=1,Debt!K108,Debt!K99)</f>
        <v>0</v>
      </c>
      <c r="L12" s="3">
        <f ca="1">IF(circ=1,Debt!L108,Debt!L99)</f>
        <v>-0.80749895316349252</v>
      </c>
      <c r="M12" s="3">
        <f ca="1">IF(circ=1,Debt!M108,Debt!M99)</f>
        <v>-12.574909306460924</v>
      </c>
      <c r="N12" s="3">
        <f ca="1">IF(circ=1,Debt!N108,Debt!N99)</f>
        <v>-17.95965048662924</v>
      </c>
      <c r="O12" s="3">
        <f ca="1">IF(circ=1,Debt!O108,Debt!O99)</f>
        <v>-47.081384727830269</v>
      </c>
    </row>
    <row r="13" spans="1:15" x14ac:dyDescent="0.25">
      <c r="B13" s="3" t="s">
        <v>151</v>
      </c>
      <c r="F13" s="3">
        <f ca="1">IF(circ=1,Debt!F109,Debt!F100)</f>
        <v>-68.185415165418561</v>
      </c>
      <c r="G13" s="3">
        <f ca="1">IF(circ=1,Debt!G109,Debt!G100)</f>
        <v>-63.591929717063373</v>
      </c>
      <c r="H13" s="3">
        <f ca="1">IF(circ=1,Debt!H109,Debt!H100)</f>
        <v>-56.946514253571095</v>
      </c>
      <c r="I13" s="3">
        <f ca="1">IF(circ=1,Debt!I109,Debt!I100)</f>
        <v>-47.660273117003207</v>
      </c>
      <c r="J13" s="3">
        <f ca="1">IF(circ=1,Debt!J109,Debt!J100)</f>
        <v>-36.378986582840035</v>
      </c>
      <c r="K13" s="3">
        <f ca="1">IF(circ=1,Debt!K109,Debt!K100)</f>
        <v>-23.809036433980069</v>
      </c>
      <c r="L13" s="3">
        <f ca="1">IF(circ=1,Debt!L109,Debt!L100)</f>
        <v>-8.5903232662169522</v>
      </c>
      <c r="M13" s="3">
        <f ca="1">IF(circ=1,Debt!M109,Debt!M100)</f>
        <v>0</v>
      </c>
      <c r="N13" s="3">
        <f ca="1">IF(circ=1,Debt!N109,Debt!N100)</f>
        <v>0</v>
      </c>
      <c r="O13" s="3">
        <f ca="1">IF(circ=1,Debt!O109,Debt!O100)</f>
        <v>0</v>
      </c>
    </row>
    <row r="14" spans="1:15" x14ac:dyDescent="0.25">
      <c r="B14" s="3" t="s">
        <v>152</v>
      </c>
      <c r="F14" s="3">
        <f ca="1">IF(circ=1,Debt!F110,Debt!F101)</f>
        <v>-61.739999999999995</v>
      </c>
      <c r="G14" s="3">
        <f ca="1">IF(circ=1,Debt!G110,Debt!G101)</f>
        <v>-61.739999999999995</v>
      </c>
      <c r="H14" s="3">
        <f ca="1">IF(circ=1,Debt!H110,Debt!H101)</f>
        <v>-61.739999999999995</v>
      </c>
      <c r="I14" s="3">
        <f ca="1">IF(circ=1,Debt!I110,Debt!I101)</f>
        <v>-61.739999999999995</v>
      </c>
      <c r="J14" s="3">
        <f ca="1">IF(circ=1,Debt!J110,Debt!J101)</f>
        <v>-61.739999999999995</v>
      </c>
      <c r="K14" s="3">
        <f ca="1">IF(circ=1,Debt!K110,Debt!K101)</f>
        <v>-61.739999999999995</v>
      </c>
      <c r="L14" s="3">
        <f ca="1">IF(circ=1,Debt!L110,Debt!L101)</f>
        <v>-61.739999999999995</v>
      </c>
      <c r="M14" s="3">
        <f ca="1">IF(circ=1,Debt!M110,Debt!M101)</f>
        <v>-30.869999999999997</v>
      </c>
      <c r="N14" s="3">
        <f ca="1">IF(circ=1,Debt!N110,Debt!N101)</f>
        <v>0</v>
      </c>
      <c r="O14" s="3">
        <f ca="1">IF(circ=1,Debt!O110,Debt!O101)</f>
        <v>0</v>
      </c>
    </row>
    <row r="15" spans="1:15" x14ac:dyDescent="0.25">
      <c r="B15" s="3" t="s">
        <v>153</v>
      </c>
      <c r="F15" s="3">
        <f>Debt!F102</f>
        <v>-51.749999999999993</v>
      </c>
      <c r="G15" s="3">
        <f>Debt!G102</f>
        <v>-51.749999999999993</v>
      </c>
      <c r="H15" s="3">
        <f>Debt!H102</f>
        <v>-51.749999999999993</v>
      </c>
      <c r="I15" s="3">
        <f>Debt!I102</f>
        <v>-51.749999999999993</v>
      </c>
      <c r="J15" s="3">
        <f>Debt!J102</f>
        <v>-51.749999999999993</v>
      </c>
      <c r="K15" s="3">
        <f>Debt!K102</f>
        <v>-51.749999999999993</v>
      </c>
      <c r="L15" s="3">
        <f>Debt!L102</f>
        <v>-51.749999999999993</v>
      </c>
      <c r="M15" s="3">
        <f>Debt!M102</f>
        <v>-51.749999999999993</v>
      </c>
      <c r="N15" s="3">
        <f>Debt!N102</f>
        <v>-51.749999999999993</v>
      </c>
      <c r="O15" s="3">
        <f>Debt!O102</f>
        <v>-51.749999999999993</v>
      </c>
    </row>
    <row r="16" spans="1:15" x14ac:dyDescent="0.25">
      <c r="B16" s="3" t="s">
        <v>154</v>
      </c>
      <c r="F16" s="3">
        <f>Debt!F103</f>
        <v>-64.05</v>
      </c>
      <c r="G16" s="3">
        <f>Debt!G103</f>
        <v>-72.25480499999999</v>
      </c>
      <c r="H16" s="3">
        <f>Debt!H103</f>
        <v>-81.510645520499992</v>
      </c>
      <c r="I16" s="3">
        <f>Debt!I103</f>
        <v>-91.952159211676047</v>
      </c>
      <c r="J16" s="3">
        <f>Debt!J103</f>
        <v>-103.73123080669176</v>
      </c>
      <c r="K16" s="3">
        <f>Debt!K103</f>
        <v>-117.01920147302897</v>
      </c>
      <c r="L16" s="3">
        <f>Debt!L103</f>
        <v>-132.00936118172396</v>
      </c>
      <c r="M16" s="3">
        <f>Debt!M103</f>
        <v>-148.9197603491028</v>
      </c>
      <c r="N16" s="3">
        <f>Debt!N103</f>
        <v>-167.99638164982287</v>
      </c>
      <c r="O16" s="3">
        <f>Debt!O103</f>
        <v>-189.51671813916519</v>
      </c>
    </row>
    <row r="17" spans="1:15" x14ac:dyDescent="0.25">
      <c r="B17" s="3" t="s">
        <v>155</v>
      </c>
      <c r="F17" s="3">
        <f>Debt!F104</f>
        <v>-80.337379028439045</v>
      </c>
      <c r="G17" s="3">
        <f>Debt!G104</f>
        <v>-92.387985882704896</v>
      </c>
      <c r="H17" s="3">
        <f>Debt!H104</f>
        <v>-106.24618376511064</v>
      </c>
      <c r="I17" s="3">
        <f>Debt!I104</f>
        <v>-122.18311132987724</v>
      </c>
      <c r="J17" s="3">
        <f>Debt!J104</f>
        <v>-140.51057802935881</v>
      </c>
      <c r="K17" s="3">
        <f>Debt!K104</f>
        <v>-161.58716473376262</v>
      </c>
      <c r="L17" s="3">
        <f>Debt!L104</f>
        <v>-185.82523944382703</v>
      </c>
      <c r="M17" s="3">
        <f>Debt!M104</f>
        <v>-213.69902536040107</v>
      </c>
      <c r="N17" s="3">
        <f>Debt!N104</f>
        <v>-245.75387916446124</v>
      </c>
      <c r="O17" s="3">
        <f>Debt!O104</f>
        <v>-282.61696103913044</v>
      </c>
    </row>
    <row r="18" spans="1:15" s="1" customFormat="1" x14ac:dyDescent="0.25">
      <c r="B18" s="1" t="s">
        <v>156</v>
      </c>
      <c r="F18" s="1">
        <f t="shared" ref="F18:O18" ca="1" si="1">SUM(F8:F17)</f>
        <v>-36.535339623024285</v>
      </c>
      <c r="G18" s="1">
        <f t="shared" ca="1" si="1"/>
        <v>-7.755553967684861</v>
      </c>
      <c r="H18" s="1">
        <f t="shared" ca="1" si="1"/>
        <v>20.373328493164323</v>
      </c>
      <c r="I18" s="1">
        <f t="shared" ca="1" si="1"/>
        <v>48.068641930382952</v>
      </c>
      <c r="J18" s="1">
        <f t="shared" ca="1" si="1"/>
        <v>73.871014600097936</v>
      </c>
      <c r="K18" s="1">
        <f t="shared" ca="1" si="1"/>
        <v>84.21023918789794</v>
      </c>
      <c r="L18" s="1">
        <f t="shared" ca="1" si="1"/>
        <v>92.007633515271124</v>
      </c>
      <c r="M18" s="1">
        <f t="shared" ca="1" si="1"/>
        <v>87.968942131651914</v>
      </c>
      <c r="N18" s="1">
        <f t="shared" ca="1" si="1"/>
        <v>67.223351329242803</v>
      </c>
      <c r="O18" s="1">
        <f t="shared" ca="1" si="1"/>
        <v>-10.875006033643842</v>
      </c>
    </row>
    <row r="20" spans="1:15" x14ac:dyDescent="0.25">
      <c r="B20" s="3" t="s">
        <v>157</v>
      </c>
      <c r="F20" s="3">
        <f ca="1">-OpMod!F11*(F18-F17)</f>
        <v>-15.330713791895166</v>
      </c>
      <c r="G20" s="3">
        <f ca="1">-OpMod!G11*(G18-G17)</f>
        <v>-29.621351170257011</v>
      </c>
      <c r="H20" s="3">
        <f ca="1">-OpMod!H11*(H18-H17)</f>
        <v>-44.316829290396235</v>
      </c>
      <c r="I20" s="3">
        <f ca="1">-OpMod!I11*(I18-I17)</f>
        <v>-59.588113641091063</v>
      </c>
      <c r="J20" s="3">
        <f ca="1">-OpMod!J11*(J18-J17)</f>
        <v>-75.033557420309862</v>
      </c>
      <c r="K20" s="3">
        <f ca="1">-OpMod!K11*(K18-K17)</f>
        <v>-86.029091372581192</v>
      </c>
      <c r="L20" s="3">
        <f ca="1">-OpMod!L11*(L18-L17)</f>
        <v>-97.241505535684354</v>
      </c>
      <c r="M20" s="3">
        <f ca="1">-OpMod!M11*(M18-M17)</f>
        <v>-105.58378862221853</v>
      </c>
      <c r="N20" s="3">
        <f ca="1">-OpMod!N11*(N18-N17)</f>
        <v>-109.54203067279641</v>
      </c>
      <c r="O20" s="3">
        <f ca="1">-OpMod!O11*(O18-O17)</f>
        <v>-95.109684251920299</v>
      </c>
    </row>
    <row r="21" spans="1:15" s="1" customFormat="1" x14ac:dyDescent="0.25">
      <c r="B21" s="1" t="s">
        <v>124</v>
      </c>
      <c r="F21" s="1">
        <f ca="1">SUM(F18,F20)</f>
        <v>-51.866053414919449</v>
      </c>
      <c r="G21" s="1">
        <f t="shared" ref="G21:O21" ca="1" si="2">SUM(G18,G20)</f>
        <v>-37.376905137941876</v>
      </c>
      <c r="H21" s="1">
        <f t="shared" ca="1" si="2"/>
        <v>-23.943500797231913</v>
      </c>
      <c r="I21" s="1">
        <f t="shared" ca="1" si="2"/>
        <v>-11.51947171070811</v>
      </c>
      <c r="J21" s="1">
        <f t="shared" ca="1" si="2"/>
        <v>-1.1625428202119252</v>
      </c>
      <c r="K21" s="1">
        <f t="shared" ca="1" si="2"/>
        <v>-1.8188521846832515</v>
      </c>
      <c r="L21" s="1">
        <f t="shared" ca="1" si="2"/>
        <v>-5.2338720204132301</v>
      </c>
      <c r="M21" s="1">
        <f t="shared" ca="1" si="2"/>
        <v>-17.61484649056662</v>
      </c>
      <c r="N21" s="1">
        <f t="shared" ca="1" si="2"/>
        <v>-42.318679343553612</v>
      </c>
      <c r="O21" s="1">
        <f t="shared" ca="1" si="2"/>
        <v>-105.98469028556414</v>
      </c>
    </row>
    <row r="23" spans="1:15" ht="15.6" x14ac:dyDescent="0.25">
      <c r="A23" s="31" t="s">
        <v>130</v>
      </c>
      <c r="B23" s="3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5" spans="1:15" x14ac:dyDescent="0.25">
      <c r="A25" s="43" t="s">
        <v>131</v>
      </c>
    </row>
    <row r="26" spans="1:15" x14ac:dyDescent="0.25">
      <c r="B26" s="3" t="s">
        <v>132</v>
      </c>
      <c r="E26" s="3">
        <f>BS!F7</f>
        <v>0</v>
      </c>
      <c r="F26" s="3">
        <f ca="1">F83</f>
        <v>11.157247500000096</v>
      </c>
      <c r="G26" s="3">
        <f t="shared" ref="G26:O26" ca="1" si="3">G83</f>
        <v>12.272972249999953</v>
      </c>
      <c r="H26" s="3">
        <f t="shared" ca="1" si="3"/>
        <v>13.377539752500013</v>
      </c>
      <c r="I26" s="3">
        <f t="shared" ca="1" si="3"/>
        <v>14.44774293270001</v>
      </c>
      <c r="J26" s="3">
        <f t="shared" ca="1" si="3"/>
        <v>15.459084937988962</v>
      </c>
      <c r="K26" s="3">
        <f t="shared" ca="1" si="3"/>
        <v>16.386630034268364</v>
      </c>
      <c r="L26" s="3">
        <f t="shared" ca="1" si="3"/>
        <v>17.205961535981771</v>
      </c>
      <c r="M26" s="3">
        <f t="shared" ca="1" si="3"/>
        <v>17.894199997421026</v>
      </c>
      <c r="N26" s="3">
        <f t="shared" ca="1" si="3"/>
        <v>18.431025997343681</v>
      </c>
      <c r="O26" s="3">
        <f t="shared" ca="1" si="3"/>
        <v>18.98395677726387</v>
      </c>
    </row>
    <row r="27" spans="1:15" x14ac:dyDescent="0.25">
      <c r="B27" s="3" t="s">
        <v>106</v>
      </c>
      <c r="E27" s="3">
        <f>BS!F8</f>
        <v>0</v>
      </c>
      <c r="F27" s="3">
        <f>OpMod!F91</f>
        <v>0</v>
      </c>
      <c r="G27" s="3">
        <f>OpMod!G91</f>
        <v>0</v>
      </c>
      <c r="H27" s="3">
        <f>OpMod!H91</f>
        <v>0</v>
      </c>
      <c r="I27" s="3">
        <f>OpMod!I91</f>
        <v>0</v>
      </c>
      <c r="J27" s="3">
        <f>OpMod!J91</f>
        <v>0</v>
      </c>
      <c r="K27" s="3">
        <f>OpMod!K91</f>
        <v>0</v>
      </c>
      <c r="L27" s="3">
        <f>OpMod!L91</f>
        <v>0</v>
      </c>
      <c r="M27" s="3">
        <f>OpMod!M91</f>
        <v>0</v>
      </c>
      <c r="N27" s="3">
        <f>OpMod!N91</f>
        <v>0</v>
      </c>
      <c r="O27" s="3">
        <f>OpMod!O91</f>
        <v>0</v>
      </c>
    </row>
    <row r="28" spans="1:15" x14ac:dyDescent="0.25">
      <c r="B28" s="3" t="s">
        <v>107</v>
      </c>
      <c r="E28" s="3">
        <f>BS!F9</f>
        <v>233.7</v>
      </c>
      <c r="F28" s="3">
        <f>OpMod!F92</f>
        <v>267.77393999999998</v>
      </c>
      <c r="G28" s="3">
        <f>OpMod!G92</f>
        <v>294.551334</v>
      </c>
      <c r="H28" s="3">
        <f>OpMod!H92</f>
        <v>321.06095406000003</v>
      </c>
      <c r="I28" s="3">
        <f>OpMod!I92</f>
        <v>346.74583038480006</v>
      </c>
      <c r="J28" s="3">
        <f>OpMod!J92</f>
        <v>371.01803851173605</v>
      </c>
      <c r="K28" s="3">
        <f>OpMod!K92</f>
        <v>393.27912082244023</v>
      </c>
      <c r="L28" s="3">
        <f>OpMod!L92</f>
        <v>412.94307686356228</v>
      </c>
      <c r="M28" s="3">
        <f>OpMod!M92</f>
        <v>429.4607999381048</v>
      </c>
      <c r="N28" s="3">
        <f>OpMod!N92</f>
        <v>442.34462393624796</v>
      </c>
      <c r="O28" s="3">
        <f>OpMod!O92</f>
        <v>455.61496265433544</v>
      </c>
    </row>
    <row r="29" spans="1:15" s="1" customFormat="1" x14ac:dyDescent="0.25">
      <c r="B29" s="1" t="s">
        <v>133</v>
      </c>
      <c r="E29" s="1">
        <f>SUM(E26:E28)</f>
        <v>233.7</v>
      </c>
      <c r="F29" s="1">
        <f ca="1">SUM(F26:F28)</f>
        <v>278.93118750000008</v>
      </c>
      <c r="G29" s="1">
        <f t="shared" ref="G29:O29" ca="1" si="4">SUM(G26:G28)</f>
        <v>306.82430624999995</v>
      </c>
      <c r="H29" s="1">
        <f t="shared" ca="1" si="4"/>
        <v>334.43849381250004</v>
      </c>
      <c r="I29" s="1">
        <f t="shared" ca="1" si="4"/>
        <v>361.19357331750007</v>
      </c>
      <c r="J29" s="1">
        <f t="shared" ca="1" si="4"/>
        <v>386.47712344972501</v>
      </c>
      <c r="K29" s="1">
        <f t="shared" ca="1" si="4"/>
        <v>409.6657508567086</v>
      </c>
      <c r="L29" s="1">
        <f t="shared" ca="1" si="4"/>
        <v>430.14903839954405</v>
      </c>
      <c r="M29" s="1">
        <f t="shared" ca="1" si="4"/>
        <v>447.35499993552583</v>
      </c>
      <c r="N29" s="1">
        <f t="shared" ca="1" si="4"/>
        <v>460.77564993359164</v>
      </c>
      <c r="O29" s="1">
        <f t="shared" ca="1" si="4"/>
        <v>474.59891943159931</v>
      </c>
    </row>
    <row r="31" spans="1:15" x14ac:dyDescent="0.25">
      <c r="B31" s="3" t="s">
        <v>134</v>
      </c>
      <c r="E31" s="3">
        <f>BS!F12</f>
        <v>1148</v>
      </c>
      <c r="F31" s="3">
        <f>OpMod!F88</f>
        <v>1224.993385</v>
      </c>
      <c r="G31" s="3">
        <f>OpMod!G88</f>
        <v>1299.5066777</v>
      </c>
      <c r="H31" s="3">
        <f>OpMod!H88</f>
        <v>1367.550809779</v>
      </c>
      <c r="I31" s="3">
        <f>OpMod!I88</f>
        <v>1425.7912193709801</v>
      </c>
      <c r="J31" s="3">
        <f>OpMod!J88</f>
        <v>1502.3539535295677</v>
      </c>
      <c r="K31" s="3">
        <f>OpMod!K88</f>
        <v>1586.9246525590656</v>
      </c>
      <c r="L31" s="3">
        <f>OpMod!L88</f>
        <v>1672.1317460258911</v>
      </c>
      <c r="M31" s="3">
        <f>OpMod!M88</f>
        <v>1752.4896824328939</v>
      </c>
      <c r="N31" s="3">
        <f>OpMod!N88</f>
        <v>1823.7846430021409</v>
      </c>
      <c r="O31" s="3">
        <f>OpMod!O88</f>
        <v>1890.1047497518866</v>
      </c>
    </row>
    <row r="32" spans="1:15" x14ac:dyDescent="0.25">
      <c r="B32" s="3" t="s">
        <v>113</v>
      </c>
      <c r="E32" s="3">
        <f>BS!F13</f>
        <v>3311.8556914840001</v>
      </c>
      <c r="F32" s="3">
        <f>$E$32</f>
        <v>3311.8556914840001</v>
      </c>
      <c r="G32" s="3">
        <f t="shared" ref="G32:O32" si="5">$E$32</f>
        <v>3311.8556914840001</v>
      </c>
      <c r="H32" s="3">
        <f t="shared" si="5"/>
        <v>3311.8556914840001</v>
      </c>
      <c r="I32" s="3">
        <f t="shared" si="5"/>
        <v>3311.8556914840001</v>
      </c>
      <c r="J32" s="3">
        <f t="shared" si="5"/>
        <v>3311.8556914840001</v>
      </c>
      <c r="K32" s="3">
        <f t="shared" si="5"/>
        <v>3311.8556914840001</v>
      </c>
      <c r="L32" s="3">
        <f t="shared" si="5"/>
        <v>3311.8556914840001</v>
      </c>
      <c r="M32" s="3">
        <f t="shared" si="5"/>
        <v>3311.8556914840001</v>
      </c>
      <c r="N32" s="3">
        <f t="shared" si="5"/>
        <v>3311.8556914840001</v>
      </c>
      <c r="O32" s="3">
        <f t="shared" si="5"/>
        <v>3311.8556914840001</v>
      </c>
    </row>
    <row r="33" spans="1:15" x14ac:dyDescent="0.25">
      <c r="B33" s="3" t="s">
        <v>135</v>
      </c>
      <c r="E33" s="3">
        <f>BS!F14</f>
        <v>66.7</v>
      </c>
      <c r="F33" s="3">
        <f>OpMod!F98</f>
        <v>73.637833499999999</v>
      </c>
      <c r="G33" s="3">
        <f>OpMod!G98</f>
        <v>81.001616850000005</v>
      </c>
      <c r="H33" s="3">
        <f>OpMod!H98</f>
        <v>88.291762366500009</v>
      </c>
      <c r="I33" s="3">
        <f>OpMod!I98</f>
        <v>95.35510335582002</v>
      </c>
      <c r="J33" s="3">
        <f>OpMod!J98</f>
        <v>102.02996059072743</v>
      </c>
      <c r="K33" s="3">
        <f>OpMod!K98</f>
        <v>108.15175822617107</v>
      </c>
      <c r="L33" s="3">
        <f>OpMod!L98</f>
        <v>113.55934613747964</v>
      </c>
      <c r="M33" s="3">
        <f>OpMod!M98</f>
        <v>118.10171998297882</v>
      </c>
      <c r="N33" s="3">
        <f>OpMod!N98</f>
        <v>121.64477158246819</v>
      </c>
      <c r="O33" s="3">
        <f>OpMod!O98</f>
        <v>125.29411472994225</v>
      </c>
    </row>
    <row r="34" spans="1:15" s="1" customFormat="1" x14ac:dyDescent="0.25">
      <c r="B34" s="1" t="s">
        <v>136</v>
      </c>
      <c r="E34" s="1">
        <f>SUM(E29,E31:E33)</f>
        <v>4760.2556914839997</v>
      </c>
      <c r="F34" s="1">
        <f ca="1">SUM(F29,F31:F33)</f>
        <v>4889.4180974840001</v>
      </c>
      <c r="G34" s="1">
        <f t="shared" ref="G34:O34" ca="1" si="6">SUM(G29,G31:G33)</f>
        <v>4999.1882922839995</v>
      </c>
      <c r="H34" s="1">
        <f t="shared" ca="1" si="6"/>
        <v>5102.1367574420001</v>
      </c>
      <c r="I34" s="1">
        <f t="shared" ca="1" si="6"/>
        <v>5194.1955875283002</v>
      </c>
      <c r="J34" s="1">
        <f t="shared" ca="1" si="6"/>
        <v>5302.7167290540201</v>
      </c>
      <c r="K34" s="1">
        <f t="shared" ca="1" si="6"/>
        <v>5416.5978531259461</v>
      </c>
      <c r="L34" s="1">
        <f t="shared" ca="1" si="6"/>
        <v>5527.6958220469151</v>
      </c>
      <c r="M34" s="1">
        <f t="shared" ca="1" si="6"/>
        <v>5629.8020938353984</v>
      </c>
      <c r="N34" s="1">
        <f t="shared" ca="1" si="6"/>
        <v>5718.0607560022008</v>
      </c>
      <c r="O34" s="1">
        <f t="shared" ca="1" si="6"/>
        <v>5801.8534753974291</v>
      </c>
    </row>
    <row r="36" spans="1:15" x14ac:dyDescent="0.25">
      <c r="A36" s="43" t="s">
        <v>137</v>
      </c>
    </row>
    <row r="37" spans="1:15" x14ac:dyDescent="0.25">
      <c r="B37" s="3" t="s">
        <v>52</v>
      </c>
      <c r="E37" s="3">
        <f>BS!F18</f>
        <v>0</v>
      </c>
      <c r="F37" s="3">
        <f>E37</f>
        <v>0</v>
      </c>
      <c r="G37" s="3">
        <f t="shared" ref="G37:O37" si="7">F37</f>
        <v>0</v>
      </c>
      <c r="H37" s="3">
        <f t="shared" si="7"/>
        <v>0</v>
      </c>
      <c r="I37" s="3">
        <f t="shared" si="7"/>
        <v>0</v>
      </c>
      <c r="J37" s="3">
        <f t="shared" si="7"/>
        <v>0</v>
      </c>
      <c r="K37" s="3">
        <f t="shared" si="7"/>
        <v>0</v>
      </c>
      <c r="L37" s="3">
        <f t="shared" si="7"/>
        <v>0</v>
      </c>
      <c r="M37" s="3">
        <f t="shared" si="7"/>
        <v>0</v>
      </c>
      <c r="N37" s="3">
        <f t="shared" si="7"/>
        <v>0</v>
      </c>
      <c r="O37" s="3">
        <f t="shared" si="7"/>
        <v>0</v>
      </c>
    </row>
    <row r="38" spans="1:15" x14ac:dyDescent="0.25">
      <c r="B38" s="3" t="s">
        <v>67</v>
      </c>
      <c r="E38" s="3">
        <f>BS!F19</f>
        <v>0</v>
      </c>
      <c r="F38" s="3">
        <f ca="1">Debt!F81</f>
        <v>0</v>
      </c>
      <c r="G38" s="3">
        <f ca="1">Debt!G81</f>
        <v>0</v>
      </c>
      <c r="H38" s="3">
        <f ca="1">Debt!H81</f>
        <v>0</v>
      </c>
      <c r="I38" s="3">
        <f ca="1">Debt!I81</f>
        <v>0</v>
      </c>
      <c r="J38" s="3">
        <f ca="1">Debt!J81</f>
        <v>0</v>
      </c>
      <c r="K38" s="3">
        <f ca="1">Debt!K81</f>
        <v>0</v>
      </c>
      <c r="L38" s="3">
        <f ca="1">Debt!L81</f>
        <v>45.492898769774229</v>
      </c>
      <c r="M38" s="3">
        <f ca="1">Debt!M81</f>
        <v>662.95269596041874</v>
      </c>
      <c r="N38" s="3">
        <f ca="1">Debt!N81</f>
        <v>348.85859906094697</v>
      </c>
      <c r="O38" s="3">
        <f ca="1">Debt!O81</f>
        <v>2303.6137799717449</v>
      </c>
    </row>
    <row r="39" spans="1:15" x14ac:dyDescent="0.25">
      <c r="B39" s="3" t="s">
        <v>108</v>
      </c>
      <c r="E39" s="3">
        <f>BS!F20</f>
        <v>136.30000000000001</v>
      </c>
      <c r="F39" s="3">
        <f>OpMod!F93</f>
        <v>178.51595999999998</v>
      </c>
      <c r="G39" s="3">
        <f>OpMod!G93</f>
        <v>196.36755600000001</v>
      </c>
      <c r="H39" s="3">
        <f>OpMod!H93</f>
        <v>214.04063604000004</v>
      </c>
      <c r="I39" s="3">
        <f>OpMod!I93</f>
        <v>231.16388692320004</v>
      </c>
      <c r="J39" s="3">
        <f>OpMod!J93</f>
        <v>247.34535900782404</v>
      </c>
      <c r="K39" s="3">
        <f>OpMod!K93</f>
        <v>262.18608054829349</v>
      </c>
      <c r="L39" s="3">
        <f>OpMod!L93</f>
        <v>275.29538457570823</v>
      </c>
      <c r="M39" s="3">
        <f>OpMod!M93</f>
        <v>286.30719995873653</v>
      </c>
      <c r="N39" s="3">
        <f>OpMod!N93</f>
        <v>294.89641595749868</v>
      </c>
      <c r="O39" s="3">
        <f>OpMod!O93</f>
        <v>303.74330843622363</v>
      </c>
    </row>
    <row r="40" spans="1:15" x14ac:dyDescent="0.25">
      <c r="B40" s="3" t="s">
        <v>109</v>
      </c>
      <c r="E40" s="3">
        <f>BS!F21</f>
        <v>98.9</v>
      </c>
      <c r="F40" s="3">
        <f>OpMod!F94</f>
        <v>111.572475</v>
      </c>
      <c r="G40" s="3">
        <f>OpMod!G94</f>
        <v>122.72972250000001</v>
      </c>
      <c r="H40" s="3">
        <f>OpMod!H94</f>
        <v>133.77539752500002</v>
      </c>
      <c r="I40" s="3">
        <f>OpMod!I94</f>
        <v>144.47742932700004</v>
      </c>
      <c r="J40" s="3">
        <f>OpMod!J94</f>
        <v>154.59084937989005</v>
      </c>
      <c r="K40" s="3">
        <f>OpMod!K94</f>
        <v>163.86630034268345</v>
      </c>
      <c r="L40" s="3">
        <f>OpMod!L94</f>
        <v>172.05961535981763</v>
      </c>
      <c r="M40" s="3">
        <f>OpMod!M94</f>
        <v>178.94199997421035</v>
      </c>
      <c r="N40" s="3">
        <f>OpMod!N94</f>
        <v>184.31025997343667</v>
      </c>
      <c r="O40" s="3">
        <f>OpMod!O94</f>
        <v>189.83956777263978</v>
      </c>
    </row>
    <row r="41" spans="1:15" s="1" customFormat="1" x14ac:dyDescent="0.25">
      <c r="B41" s="1" t="s">
        <v>138</v>
      </c>
      <c r="E41" s="1">
        <f>SUM(E37:E40)</f>
        <v>235.20000000000002</v>
      </c>
      <c r="F41" s="1">
        <f ca="1">SUM(F37:F40)</f>
        <v>290.088435</v>
      </c>
      <c r="G41" s="1">
        <f t="shared" ref="G41:O41" ca="1" si="8">SUM(G37:G40)</f>
        <v>319.09727850000002</v>
      </c>
      <c r="H41" s="1">
        <f t="shared" ca="1" si="8"/>
        <v>347.81603356500005</v>
      </c>
      <c r="I41" s="1">
        <f t="shared" ca="1" si="8"/>
        <v>375.64131625020008</v>
      </c>
      <c r="J41" s="1">
        <f t="shared" ca="1" si="8"/>
        <v>401.93620838771409</v>
      </c>
      <c r="K41" s="1">
        <f t="shared" ca="1" si="8"/>
        <v>426.05238089097691</v>
      </c>
      <c r="L41" s="1">
        <f t="shared" ca="1" si="8"/>
        <v>492.84789870530005</v>
      </c>
      <c r="M41" s="1">
        <f t="shared" ca="1" si="8"/>
        <v>1128.2018958933656</v>
      </c>
      <c r="N41" s="1">
        <f t="shared" ca="1" si="8"/>
        <v>828.06527499188235</v>
      </c>
      <c r="O41" s="1">
        <f t="shared" ca="1" si="8"/>
        <v>2797.1966561806084</v>
      </c>
    </row>
    <row r="43" spans="1:15" x14ac:dyDescent="0.25">
      <c r="B43" s="3" t="s">
        <v>53</v>
      </c>
      <c r="E43" s="3">
        <f>BS!F24</f>
        <v>0</v>
      </c>
      <c r="F43" s="3">
        <f>E43</f>
        <v>0</v>
      </c>
      <c r="G43" s="3">
        <f t="shared" ref="G43:O43" si="9">F43</f>
        <v>0</v>
      </c>
      <c r="H43" s="3">
        <f t="shared" si="9"/>
        <v>0</v>
      </c>
      <c r="I43" s="3">
        <f t="shared" si="9"/>
        <v>0</v>
      </c>
      <c r="J43" s="3">
        <f t="shared" si="9"/>
        <v>0</v>
      </c>
      <c r="K43" s="3">
        <f t="shared" si="9"/>
        <v>0</v>
      </c>
      <c r="L43" s="3">
        <f t="shared" si="9"/>
        <v>0</v>
      </c>
      <c r="M43" s="3">
        <f t="shared" si="9"/>
        <v>0</v>
      </c>
      <c r="N43" s="3">
        <f t="shared" si="9"/>
        <v>0</v>
      </c>
      <c r="O43" s="3">
        <f t="shared" si="9"/>
        <v>0</v>
      </c>
    </row>
    <row r="44" spans="1:15" x14ac:dyDescent="0.25">
      <c r="B44" s="3" t="s">
        <v>68</v>
      </c>
      <c r="E44" s="3">
        <f>BS!F25</f>
        <v>1200</v>
      </c>
      <c r="F44" s="3">
        <f ca="1">Debt!F82</f>
        <v>1135.1169577198139</v>
      </c>
      <c r="G44" s="3">
        <f ca="1">Debt!G82</f>
        <v>1042.6888545083839</v>
      </c>
      <c r="H44" s="3">
        <f ca="1">Debt!H82</f>
        <v>907.53423636733862</v>
      </c>
      <c r="I44" s="3">
        <f ca="1">Debt!I82</f>
        <v>724.66689777660679</v>
      </c>
      <c r="J44" s="3">
        <f ca="1">Debt!J82</f>
        <v>521.18880711517522</v>
      </c>
      <c r="K44" s="3">
        <f ca="1">Debt!K82</f>
        <v>294.18915295263537</v>
      </c>
      <c r="L44" s="3">
        <f ca="1">Debt!L82</f>
        <v>0</v>
      </c>
      <c r="M44" s="3">
        <f ca="1">Debt!M82</f>
        <v>0</v>
      </c>
      <c r="N44" s="3">
        <f ca="1">Debt!N82</f>
        <v>0</v>
      </c>
      <c r="O44" s="3">
        <f ca="1">Debt!O82</f>
        <v>0</v>
      </c>
    </row>
    <row r="45" spans="1:15" x14ac:dyDescent="0.25">
      <c r="B45" s="3" t="s">
        <v>69</v>
      </c>
      <c r="E45" s="3">
        <f>BS!F26</f>
        <v>900</v>
      </c>
      <c r="F45" s="3">
        <f ca="1">Debt!F83</f>
        <v>900</v>
      </c>
      <c r="G45" s="3">
        <f ca="1">Debt!G83</f>
        <v>900</v>
      </c>
      <c r="H45" s="3">
        <f ca="1">Debt!H83</f>
        <v>900</v>
      </c>
      <c r="I45" s="3">
        <f ca="1">Debt!I83</f>
        <v>900</v>
      </c>
      <c r="J45" s="3">
        <f ca="1">Debt!J83</f>
        <v>900</v>
      </c>
      <c r="K45" s="3">
        <f ca="1">Debt!K83</f>
        <v>900</v>
      </c>
      <c r="L45" s="3">
        <f ca="1">Debt!L83</f>
        <v>900</v>
      </c>
      <c r="M45" s="3">
        <f ca="1">Debt!M83</f>
        <v>0</v>
      </c>
      <c r="N45" s="3">
        <f ca="1">Debt!N83</f>
        <v>0</v>
      </c>
      <c r="O45" s="3">
        <f ca="1">Debt!O83</f>
        <v>0</v>
      </c>
    </row>
    <row r="46" spans="1:15" x14ac:dyDescent="0.25">
      <c r="B46" s="3" t="s">
        <v>70</v>
      </c>
      <c r="E46" s="3">
        <f>BS!F27</f>
        <v>600</v>
      </c>
      <c r="F46" s="3">
        <f>Debt!F84</f>
        <v>600</v>
      </c>
      <c r="G46" s="3">
        <f>Debt!G84</f>
        <v>600</v>
      </c>
      <c r="H46" s="3">
        <f>Debt!H84</f>
        <v>600</v>
      </c>
      <c r="I46" s="3">
        <f>Debt!I84</f>
        <v>600</v>
      </c>
      <c r="J46" s="3">
        <f>Debt!J84</f>
        <v>600</v>
      </c>
      <c r="K46" s="3">
        <f>Debt!K84</f>
        <v>600</v>
      </c>
      <c r="L46" s="3">
        <f>Debt!L84</f>
        <v>600</v>
      </c>
      <c r="M46" s="3">
        <f>Debt!M84</f>
        <v>600</v>
      </c>
      <c r="N46" s="3">
        <f>Debt!N84</f>
        <v>600</v>
      </c>
      <c r="O46" s="3">
        <f>Debt!O84</f>
        <v>0</v>
      </c>
    </row>
    <row r="47" spans="1:15" x14ac:dyDescent="0.25">
      <c r="B47" s="3" t="s">
        <v>71</v>
      </c>
      <c r="E47" s="3">
        <f>BS!F28</f>
        <v>500</v>
      </c>
      <c r="F47" s="3">
        <f>Debt!F85</f>
        <v>564.04999999999995</v>
      </c>
      <c r="G47" s="3">
        <f>Debt!G85</f>
        <v>636.30480499999999</v>
      </c>
      <c r="H47" s="3">
        <f>Debt!H85</f>
        <v>717.81545052050001</v>
      </c>
      <c r="I47" s="3">
        <f>Debt!I85</f>
        <v>809.76760973217608</v>
      </c>
      <c r="J47" s="3">
        <f>Debt!J85</f>
        <v>913.49884053886785</v>
      </c>
      <c r="K47" s="3">
        <f>Debt!K85</f>
        <v>1030.5180420118968</v>
      </c>
      <c r="L47" s="3">
        <f>Debt!L85</f>
        <v>1162.5274031936208</v>
      </c>
      <c r="M47" s="3">
        <f>Debt!M85</f>
        <v>1311.4471635427235</v>
      </c>
      <c r="N47" s="3">
        <f>Debt!N85</f>
        <v>1479.4435451925465</v>
      </c>
      <c r="O47" s="3">
        <f>Debt!O85</f>
        <v>0</v>
      </c>
    </row>
    <row r="48" spans="1:15" x14ac:dyDescent="0.25">
      <c r="B48" s="3" t="s">
        <v>139</v>
      </c>
      <c r="E48" s="3">
        <f>BS!F29</f>
        <v>-64</v>
      </c>
      <c r="F48" s="3">
        <f>-Calcs!F19</f>
        <v>-53.333333333333336</v>
      </c>
      <c r="G48" s="3">
        <f>-Calcs!G19</f>
        <v>-42.666666666666671</v>
      </c>
      <c r="H48" s="3">
        <f>-Calcs!H19</f>
        <v>-32.000000000000007</v>
      </c>
      <c r="I48" s="3">
        <f>-Calcs!I19</f>
        <v>-21.333333333333343</v>
      </c>
      <c r="J48" s="3">
        <f>-Calcs!J19</f>
        <v>-10.666666666666677</v>
      </c>
      <c r="K48" s="3">
        <f>-Calcs!K19</f>
        <v>0</v>
      </c>
      <c r="L48" s="3">
        <f>-Calcs!L19</f>
        <v>0</v>
      </c>
      <c r="M48" s="3">
        <f>-Calcs!M19</f>
        <v>0</v>
      </c>
      <c r="N48" s="3">
        <f>-Calcs!N19</f>
        <v>0</v>
      </c>
      <c r="O48" s="3">
        <f>-Calcs!O19</f>
        <v>0</v>
      </c>
    </row>
    <row r="49" spans="1:15" x14ac:dyDescent="0.25">
      <c r="B49" s="3" t="s">
        <v>140</v>
      </c>
      <c r="E49" s="3">
        <f>BS!F30</f>
        <v>316.59999999999997</v>
      </c>
      <c r="F49" s="3">
        <f>OpMod!F99</f>
        <v>352.56902099999996</v>
      </c>
      <c r="G49" s="3">
        <f>OpMod!G99</f>
        <v>387.82592310000001</v>
      </c>
      <c r="H49" s="3">
        <f>OpMod!H99</f>
        <v>422.73025617900004</v>
      </c>
      <c r="I49" s="3">
        <f>OpMod!I99</f>
        <v>456.54867667332007</v>
      </c>
      <c r="J49" s="3">
        <f>OpMod!J99</f>
        <v>488.50708404045247</v>
      </c>
      <c r="K49" s="3">
        <f>OpMod!K99</f>
        <v>517.81750908287972</v>
      </c>
      <c r="L49" s="3">
        <f>OpMod!L99</f>
        <v>543.70838453702368</v>
      </c>
      <c r="M49" s="3">
        <f>OpMod!M99</f>
        <v>565.45671991850463</v>
      </c>
      <c r="N49" s="3">
        <f>OpMod!N99</f>
        <v>582.42042151605983</v>
      </c>
      <c r="O49" s="3">
        <f>OpMod!O99</f>
        <v>599.89303416154166</v>
      </c>
    </row>
    <row r="50" spans="1:15" s="1" customFormat="1" x14ac:dyDescent="0.25">
      <c r="B50" s="1" t="s">
        <v>141</v>
      </c>
      <c r="E50" s="1">
        <f>SUM(E41,E43:E49)</f>
        <v>3687.7999999999997</v>
      </c>
      <c r="F50" s="1">
        <f ca="1">SUM(F41,F43:F49)</f>
        <v>3788.4910803864805</v>
      </c>
      <c r="G50" s="1">
        <f t="shared" ref="G50:O50" ca="1" si="10">SUM(G41,G43:G49)</f>
        <v>3843.2501944417177</v>
      </c>
      <c r="H50" s="1">
        <f t="shared" ca="1" si="10"/>
        <v>3863.8959766318394</v>
      </c>
      <c r="I50" s="1">
        <f t="shared" ca="1" si="10"/>
        <v>3845.2911670989697</v>
      </c>
      <c r="J50" s="1">
        <f t="shared" ca="1" si="10"/>
        <v>3814.4642734155427</v>
      </c>
      <c r="K50" s="1">
        <f t="shared" ca="1" si="10"/>
        <v>3768.5770849383889</v>
      </c>
      <c r="L50" s="1">
        <f t="shared" ca="1" si="10"/>
        <v>3699.0836864359444</v>
      </c>
      <c r="M50" s="1">
        <f t="shared" ca="1" si="10"/>
        <v>3605.1057793545942</v>
      </c>
      <c r="N50" s="1">
        <f t="shared" ca="1" si="10"/>
        <v>3489.9292417004885</v>
      </c>
      <c r="O50" s="1">
        <f t="shared" ca="1" si="10"/>
        <v>3397.0896903421499</v>
      </c>
    </row>
    <row r="52" spans="1:15" x14ac:dyDescent="0.25">
      <c r="B52" s="3" t="s">
        <v>142</v>
      </c>
      <c r="E52" s="3">
        <f>BS!F33</f>
        <v>535.5825268562603</v>
      </c>
      <c r="F52" s="3">
        <f>Debt!F86</f>
        <v>615.91990588469935</v>
      </c>
      <c r="G52" s="3">
        <f>Debt!G86</f>
        <v>708.30789176740427</v>
      </c>
      <c r="H52" s="3">
        <f>Debt!H86</f>
        <v>814.55407553251496</v>
      </c>
      <c r="I52" s="3">
        <f>Debt!I86</f>
        <v>936.73718686239215</v>
      </c>
      <c r="J52" s="3">
        <f>Debt!J86</f>
        <v>1077.2477648917509</v>
      </c>
      <c r="K52" s="3">
        <f>Debt!K86</f>
        <v>1238.8349296255135</v>
      </c>
      <c r="L52" s="3">
        <f>Debt!L86</f>
        <v>1424.6601690693406</v>
      </c>
      <c r="M52" s="3">
        <f>Debt!M86</f>
        <v>1638.3591944297416</v>
      </c>
      <c r="N52" s="3">
        <f>Debt!N86</f>
        <v>1884.1130735942029</v>
      </c>
      <c r="O52" s="3">
        <f>Debt!O86</f>
        <v>2166.7300346333332</v>
      </c>
    </row>
    <row r="53" spans="1:15" x14ac:dyDescent="0.25">
      <c r="B53" s="3" t="s">
        <v>143</v>
      </c>
      <c r="E53" s="3">
        <f>BS!F34</f>
        <v>600.00000000000011</v>
      </c>
      <c r="F53" s="3">
        <f>E53</f>
        <v>600.00000000000011</v>
      </c>
      <c r="G53" s="3">
        <f t="shared" ref="G53:O53" si="11">F53</f>
        <v>600.00000000000011</v>
      </c>
      <c r="H53" s="3">
        <f t="shared" si="11"/>
        <v>600.00000000000011</v>
      </c>
      <c r="I53" s="3">
        <f t="shared" si="11"/>
        <v>600.00000000000011</v>
      </c>
      <c r="J53" s="3">
        <f t="shared" si="11"/>
        <v>600.00000000000011</v>
      </c>
      <c r="K53" s="3">
        <f t="shared" si="11"/>
        <v>600.00000000000011</v>
      </c>
      <c r="L53" s="3">
        <f t="shared" si="11"/>
        <v>600.00000000000011</v>
      </c>
      <c r="M53" s="3">
        <f t="shared" si="11"/>
        <v>600.00000000000011</v>
      </c>
      <c r="N53" s="3">
        <f t="shared" si="11"/>
        <v>600.00000000000011</v>
      </c>
      <c r="O53" s="3">
        <f t="shared" si="11"/>
        <v>600.00000000000011</v>
      </c>
    </row>
    <row r="54" spans="1:15" x14ac:dyDescent="0.25">
      <c r="B54" s="3" t="s">
        <v>144</v>
      </c>
      <c r="E54" s="3">
        <f>BS!F35</f>
        <v>-63.126835372260018</v>
      </c>
      <c r="F54" s="3">
        <f ca="1">Calcs!F25</f>
        <v>-114.99288878717947</v>
      </c>
      <c r="G54" s="3">
        <f ca="1">Calcs!G25</f>
        <v>-152.36979392512134</v>
      </c>
      <c r="H54" s="3">
        <f ca="1">Calcs!H25</f>
        <v>-176.31329472235325</v>
      </c>
      <c r="I54" s="3">
        <f ca="1">Calcs!I25</f>
        <v>-187.83276643306135</v>
      </c>
      <c r="J54" s="3">
        <f ca="1">Calcs!J25</f>
        <v>-188.99530925327326</v>
      </c>
      <c r="K54" s="3">
        <f ca="1">Calcs!K25</f>
        <v>-190.8141614379565</v>
      </c>
      <c r="L54" s="3">
        <f ca="1">Calcs!L25</f>
        <v>-196.04803345836973</v>
      </c>
      <c r="M54" s="3">
        <f ca="1">Calcs!M25</f>
        <v>-213.66287994893634</v>
      </c>
      <c r="N54" s="3">
        <f ca="1">Calcs!N25</f>
        <v>-255.98155929248995</v>
      </c>
      <c r="O54" s="3">
        <f ca="1">Calcs!O25</f>
        <v>-361.96624957805409</v>
      </c>
    </row>
    <row r="55" spans="1:15" s="1" customFormat="1" x14ac:dyDescent="0.25">
      <c r="B55" s="1" t="s">
        <v>145</v>
      </c>
      <c r="E55" s="1">
        <f>SUM(E52:E54)</f>
        <v>1072.4556914840002</v>
      </c>
      <c r="F55" s="1">
        <f ca="1">SUM(F52:F54)</f>
        <v>1100.9270170975199</v>
      </c>
      <c r="G55" s="1">
        <f t="shared" ref="G55:O55" ca="1" si="12">SUM(G52:G54)</f>
        <v>1155.938097842283</v>
      </c>
      <c r="H55" s="1">
        <f t="shared" ca="1" si="12"/>
        <v>1238.2407808101618</v>
      </c>
      <c r="I55" s="1">
        <f t="shared" ca="1" si="12"/>
        <v>1348.9044204293309</v>
      </c>
      <c r="J55" s="1">
        <f t="shared" ca="1" si="12"/>
        <v>1488.2524556384778</v>
      </c>
      <c r="K55" s="1">
        <f t="shared" ca="1" si="12"/>
        <v>1648.0207681875572</v>
      </c>
      <c r="L55" s="1">
        <f t="shared" ca="1" si="12"/>
        <v>1828.6121356109709</v>
      </c>
      <c r="M55" s="1">
        <f t="shared" ca="1" si="12"/>
        <v>2024.6963144808055</v>
      </c>
      <c r="N55" s="1">
        <f t="shared" ca="1" si="12"/>
        <v>2228.1315143017127</v>
      </c>
      <c r="O55" s="1">
        <f t="shared" ca="1" si="12"/>
        <v>2404.7637850552792</v>
      </c>
    </row>
    <row r="57" spans="1:15" s="1" customFormat="1" x14ac:dyDescent="0.25">
      <c r="B57" s="1" t="s">
        <v>146</v>
      </c>
      <c r="E57" s="1">
        <f>SUM(E50,E55)</f>
        <v>4760.2556914839997</v>
      </c>
      <c r="F57" s="1">
        <f ca="1">SUM(F50,F55)</f>
        <v>4889.4180974840001</v>
      </c>
      <c r="G57" s="1">
        <f t="shared" ref="G57:O57" ca="1" si="13">SUM(G50,G55)</f>
        <v>4999.1882922840005</v>
      </c>
      <c r="H57" s="1">
        <f t="shared" ca="1" si="13"/>
        <v>5102.136757442001</v>
      </c>
      <c r="I57" s="1">
        <f t="shared" ca="1" si="13"/>
        <v>5194.1955875283002</v>
      </c>
      <c r="J57" s="1">
        <f t="shared" ca="1" si="13"/>
        <v>5302.7167290540201</v>
      </c>
      <c r="K57" s="1">
        <f t="shared" ca="1" si="13"/>
        <v>5416.5978531259461</v>
      </c>
      <c r="L57" s="1">
        <f t="shared" ca="1" si="13"/>
        <v>5527.6958220469151</v>
      </c>
      <c r="M57" s="1">
        <f t="shared" ca="1" si="13"/>
        <v>5629.8020938354002</v>
      </c>
      <c r="N57" s="1">
        <f t="shared" ca="1" si="13"/>
        <v>5718.0607560022017</v>
      </c>
      <c r="O57" s="1">
        <f t="shared" ca="1" si="13"/>
        <v>5801.8534753974291</v>
      </c>
    </row>
    <row r="59" spans="1:15" x14ac:dyDescent="0.25">
      <c r="B59" s="3" t="s">
        <v>147</v>
      </c>
      <c r="E59" s="21" t="str">
        <f>IF(E57=E34,"OK",E57-E34)</f>
        <v>OK</v>
      </c>
      <c r="F59" s="21" t="str">
        <f ca="1">IF(F57=F34,"OK",F57-F34)</f>
        <v>OK</v>
      </c>
      <c r="G59" s="21" t="str">
        <f ca="1">IF(G57=G34,"OK",G57-G34)</f>
        <v>OK</v>
      </c>
      <c r="H59" s="21" t="str">
        <f t="shared" ref="H59:O59" ca="1" si="14">IF(H57=H34,"OK",H57-H34)</f>
        <v>OK</v>
      </c>
      <c r="I59" s="21" t="str">
        <f t="shared" ca="1" si="14"/>
        <v>OK</v>
      </c>
      <c r="J59" s="21" t="str">
        <f t="shared" ca="1" si="14"/>
        <v>OK</v>
      </c>
      <c r="K59" s="21" t="str">
        <f t="shared" ca="1" si="14"/>
        <v>OK</v>
      </c>
      <c r="L59" s="21" t="str">
        <f t="shared" ca="1" si="14"/>
        <v>OK</v>
      </c>
      <c r="M59" s="21" t="str">
        <f t="shared" ca="1" si="14"/>
        <v>OK</v>
      </c>
      <c r="N59" s="21" t="str">
        <f t="shared" ca="1" si="14"/>
        <v>OK</v>
      </c>
      <c r="O59" s="21" t="str">
        <f t="shared" ca="1" si="14"/>
        <v>OK</v>
      </c>
    </row>
    <row r="61" spans="1:15" ht="15.6" x14ac:dyDescent="0.25">
      <c r="A61" s="31" t="s">
        <v>158</v>
      </c>
      <c r="B61" s="3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25">
      <c r="B62" s="3" t="s">
        <v>98</v>
      </c>
      <c r="C62" s="3">
        <f t="shared" ref="C62:O62" si="15">C8</f>
        <v>443.90000000000003</v>
      </c>
      <c r="D62" s="3">
        <f t="shared" si="15"/>
        <v>530.20000000000005</v>
      </c>
      <c r="E62" s="3">
        <f t="shared" si="15"/>
        <v>599.9</v>
      </c>
      <c r="F62" s="3">
        <f t="shared" si="15"/>
        <v>736.37833499999999</v>
      </c>
      <c r="G62" s="3">
        <f t="shared" si="15"/>
        <v>810.01616850000005</v>
      </c>
      <c r="H62" s="3">
        <f t="shared" si="15"/>
        <v>882.91762366500018</v>
      </c>
      <c r="I62" s="3">
        <f t="shared" si="15"/>
        <v>953.55103355820017</v>
      </c>
      <c r="J62" s="3">
        <f t="shared" si="15"/>
        <v>1020.2996059072742</v>
      </c>
      <c r="K62" s="3">
        <f t="shared" si="15"/>
        <v>1081.5175822617107</v>
      </c>
      <c r="L62" s="3">
        <f t="shared" si="15"/>
        <v>1135.5934613747963</v>
      </c>
      <c r="M62" s="3">
        <f t="shared" si="15"/>
        <v>1181.0171998297883</v>
      </c>
      <c r="N62" s="3">
        <f t="shared" si="15"/>
        <v>1216.4477158246821</v>
      </c>
      <c r="O62" s="3">
        <f t="shared" si="15"/>
        <v>1252.9411472994225</v>
      </c>
    </row>
    <row r="63" spans="1:15" x14ac:dyDescent="0.25">
      <c r="B63" s="3" t="s">
        <v>159</v>
      </c>
      <c r="F63" s="3">
        <f ca="1">F20</f>
        <v>-15.330713791895166</v>
      </c>
      <c r="G63" s="3">
        <f t="shared" ref="G63:O63" ca="1" si="16">G20</f>
        <v>-29.621351170257011</v>
      </c>
      <c r="H63" s="3">
        <f t="shared" ca="1" si="16"/>
        <v>-44.316829290396235</v>
      </c>
      <c r="I63" s="3">
        <f t="shared" ca="1" si="16"/>
        <v>-59.588113641091063</v>
      </c>
      <c r="J63" s="3">
        <f t="shared" ca="1" si="16"/>
        <v>-75.033557420309862</v>
      </c>
      <c r="K63" s="3">
        <f t="shared" ca="1" si="16"/>
        <v>-86.029091372581192</v>
      </c>
      <c r="L63" s="3">
        <f t="shared" ca="1" si="16"/>
        <v>-97.241505535684354</v>
      </c>
      <c r="M63" s="3">
        <f t="shared" ca="1" si="16"/>
        <v>-105.58378862221853</v>
      </c>
      <c r="N63" s="3">
        <f t="shared" ca="1" si="16"/>
        <v>-109.54203067279641</v>
      </c>
      <c r="O63" s="3">
        <f t="shared" ca="1" si="16"/>
        <v>-95.109684251920299</v>
      </c>
    </row>
    <row r="64" spans="1:15" x14ac:dyDescent="0.25">
      <c r="B64" s="3" t="s">
        <v>160</v>
      </c>
      <c r="F64" s="3">
        <f>OpMod!E95-OpMod!F95</f>
        <v>20.814494999999994</v>
      </c>
      <c r="G64" s="3">
        <f>OpMod!F95-OpMod!G95</f>
        <v>2.2314494999999965</v>
      </c>
      <c r="H64" s="3">
        <f>OpMod!G95-OpMod!H95</f>
        <v>2.2091350050000074</v>
      </c>
      <c r="I64" s="3">
        <f>OpMod!H95-OpMod!I95</f>
        <v>2.140406360399993</v>
      </c>
      <c r="J64" s="3">
        <f>OpMod!I95-OpMod!J95</f>
        <v>2.0226840105780184</v>
      </c>
      <c r="K64" s="3">
        <f>OpMod!J95-OpMod!K95</f>
        <v>1.8550901925586345</v>
      </c>
      <c r="L64" s="3">
        <f>OpMod!K95-OpMod!L95</f>
        <v>1.6386630034268705</v>
      </c>
      <c r="M64" s="3">
        <f>OpMod!L95-OpMod!M95</f>
        <v>1.3764769228785667</v>
      </c>
      <c r="N64" s="3">
        <f>OpMod!M95-OpMod!N95</f>
        <v>1.0736519998453105</v>
      </c>
      <c r="O64" s="3">
        <f>OpMod!N95-OpMod!O95</f>
        <v>1.1058615598405481</v>
      </c>
    </row>
    <row r="65" spans="1:16" x14ac:dyDescent="0.25">
      <c r="B65" s="3" t="s">
        <v>161</v>
      </c>
      <c r="F65" s="3">
        <f>E33-F33</f>
        <v>-6.9378334999999964</v>
      </c>
      <c r="G65" s="3">
        <f t="shared" ref="G65:O65" si="17">F33-G33</f>
        <v>-7.3637833500000056</v>
      </c>
      <c r="H65" s="3">
        <f t="shared" si="17"/>
        <v>-7.2901455165000044</v>
      </c>
      <c r="I65" s="3">
        <f t="shared" si="17"/>
        <v>-7.063340989320011</v>
      </c>
      <c r="J65" s="3">
        <f t="shared" si="17"/>
        <v>-6.6748572349074067</v>
      </c>
      <c r="K65" s="3">
        <f t="shared" si="17"/>
        <v>-6.1217976354436416</v>
      </c>
      <c r="L65" s="3">
        <f t="shared" si="17"/>
        <v>-5.4075879113085676</v>
      </c>
      <c r="M65" s="3">
        <f t="shared" si="17"/>
        <v>-4.5423738454991849</v>
      </c>
      <c r="N65" s="3">
        <f t="shared" si="17"/>
        <v>-3.5430515994893739</v>
      </c>
      <c r="O65" s="3">
        <f t="shared" si="17"/>
        <v>-3.6493431474740561</v>
      </c>
    </row>
    <row r="66" spans="1:16" x14ac:dyDescent="0.25">
      <c r="B66" s="3" t="s">
        <v>162</v>
      </c>
      <c r="F66" s="3">
        <f>F49-E49</f>
        <v>35.969020999999998</v>
      </c>
      <c r="G66" s="3">
        <f t="shared" ref="G66:O66" si="18">G49-F49</f>
        <v>35.256902100000048</v>
      </c>
      <c r="H66" s="3">
        <f t="shared" si="18"/>
        <v>34.904333079000025</v>
      </c>
      <c r="I66" s="3">
        <f t="shared" si="18"/>
        <v>33.818420494320037</v>
      </c>
      <c r="J66" s="3">
        <f t="shared" si="18"/>
        <v>31.958407367132395</v>
      </c>
      <c r="K66" s="3">
        <f t="shared" si="18"/>
        <v>29.310425042427255</v>
      </c>
      <c r="L66" s="3">
        <f t="shared" si="18"/>
        <v>25.890875454143952</v>
      </c>
      <c r="M66" s="3">
        <f t="shared" si="18"/>
        <v>21.748335381480956</v>
      </c>
      <c r="N66" s="3">
        <f t="shared" si="18"/>
        <v>16.9637015975552</v>
      </c>
      <c r="O66" s="3">
        <f t="shared" si="18"/>
        <v>17.472612645481831</v>
      </c>
    </row>
    <row r="67" spans="1:16" x14ac:dyDescent="0.25">
      <c r="B67" s="3" t="s">
        <v>163</v>
      </c>
      <c r="F67" s="3">
        <f>-OpMod!F86</f>
        <v>-513.233385</v>
      </c>
      <c r="G67" s="3">
        <f>-OpMod!G86</f>
        <v>-540.01077900000007</v>
      </c>
      <c r="H67" s="3">
        <f>-OpMod!H86</f>
        <v>-561.85666960500009</v>
      </c>
      <c r="I67" s="3">
        <f>-OpMod!I86</f>
        <v>-577.90971730800015</v>
      </c>
      <c r="J67" s="3">
        <f>-OpMod!J86</f>
        <v>-618.36339751956018</v>
      </c>
      <c r="K67" s="3">
        <f>-OpMod!K86</f>
        <v>-655.46520137073378</v>
      </c>
      <c r="L67" s="3">
        <f>-OpMod!L86</f>
        <v>-688.23846143927051</v>
      </c>
      <c r="M67" s="3">
        <f>-OpMod!M86</f>
        <v>-715.76799989684139</v>
      </c>
      <c r="N67" s="3">
        <f>-OpMod!N86</f>
        <v>-737.24103989374669</v>
      </c>
      <c r="O67" s="3">
        <f>-OpMod!O86</f>
        <v>-759.35827109055913</v>
      </c>
    </row>
    <row r="68" spans="1:16" s="1" customFormat="1" ht="13.8" x14ac:dyDescent="0.25">
      <c r="A68" s="14"/>
      <c r="B68" s="1" t="s">
        <v>164</v>
      </c>
      <c r="F68" s="1">
        <f t="shared" ref="F68:O68" ca="1" si="19">SUM(F62:F67)</f>
        <v>257.65991870810478</v>
      </c>
      <c r="G68" s="1">
        <f t="shared" ca="1" si="19"/>
        <v>270.50860657974317</v>
      </c>
      <c r="H68" s="1">
        <f t="shared" ca="1" si="19"/>
        <v>306.56744733710389</v>
      </c>
      <c r="I68" s="1">
        <f t="shared" ca="1" si="19"/>
        <v>344.94868847450903</v>
      </c>
      <c r="J68" s="1">
        <f t="shared" ca="1" si="19"/>
        <v>354.20888511020712</v>
      </c>
      <c r="K68" s="1">
        <f t="shared" ca="1" si="19"/>
        <v>365.06700711793803</v>
      </c>
      <c r="L68" s="1">
        <f t="shared" ca="1" si="19"/>
        <v>372.23544494610371</v>
      </c>
      <c r="M68" s="1">
        <f t="shared" ca="1" si="19"/>
        <v>378.2478497695887</v>
      </c>
      <c r="N68" s="1">
        <f t="shared" ca="1" si="19"/>
        <v>384.15894725604983</v>
      </c>
      <c r="O68" s="1">
        <f t="shared" ca="1" si="19"/>
        <v>413.40232301479136</v>
      </c>
      <c r="P68" s="3"/>
    </row>
    <row r="69" spans="1:16" x14ac:dyDescent="0.25">
      <c r="P69" s="3" t="s">
        <v>165</v>
      </c>
    </row>
    <row r="70" spans="1:16" s="12" customFormat="1" ht="13.8" x14ac:dyDescent="0.25">
      <c r="B70" s="3" t="s">
        <v>149</v>
      </c>
      <c r="C70" s="3"/>
      <c r="D70" s="3"/>
      <c r="E70" s="3"/>
      <c r="F70" s="3">
        <f t="shared" ref="F70:O70" ca="1" si="20">F11</f>
        <v>5.5786237500000481E-2</v>
      </c>
      <c r="G70" s="3">
        <f t="shared" ca="1" si="20"/>
        <v>0.11715109875000025</v>
      </c>
      <c r="H70" s="3">
        <f t="shared" ca="1" si="20"/>
        <v>0.12825256001249982</v>
      </c>
      <c r="I70" s="3">
        <f t="shared" ca="1" si="20"/>
        <v>0.13912641342600013</v>
      </c>
      <c r="J70" s="3">
        <f t="shared" ca="1" si="20"/>
        <v>0.14953413935344487</v>
      </c>
      <c r="K70" s="3">
        <f t="shared" ca="1" si="20"/>
        <v>0.15922857486128664</v>
      </c>
      <c r="L70" s="3">
        <f t="shared" ca="1" si="20"/>
        <v>0.16796295785125068</v>
      </c>
      <c r="M70" s="3">
        <f t="shared" ca="1" si="20"/>
        <v>0.17550080766701398</v>
      </c>
      <c r="N70" s="3">
        <f t="shared" ca="1" si="20"/>
        <v>0.18162612997382355</v>
      </c>
      <c r="O70" s="3">
        <f t="shared" ca="1" si="20"/>
        <v>0.18707491387303776</v>
      </c>
    </row>
    <row r="71" spans="1:16" s="12" customFormat="1" ht="13.8" x14ac:dyDescent="0.25">
      <c r="B71" s="3" t="s">
        <v>150</v>
      </c>
      <c r="C71" s="3"/>
      <c r="D71" s="3"/>
      <c r="E71" s="3"/>
      <c r="F71" s="3">
        <f ca="1">F12</f>
        <v>0</v>
      </c>
      <c r="G71" s="3">
        <f t="shared" ref="G71:O71" ca="1" si="21">G12</f>
        <v>0</v>
      </c>
      <c r="H71" s="3">
        <f t="shared" ca="1" si="21"/>
        <v>0</v>
      </c>
      <c r="I71" s="3">
        <f t="shared" ca="1" si="21"/>
        <v>0</v>
      </c>
      <c r="J71" s="3">
        <f t="shared" ca="1" si="21"/>
        <v>0</v>
      </c>
      <c r="K71" s="3">
        <f t="shared" ca="1" si="21"/>
        <v>0</v>
      </c>
      <c r="L71" s="3">
        <f t="shared" ca="1" si="21"/>
        <v>-0.80749895316349252</v>
      </c>
      <c r="M71" s="3">
        <f t="shared" ca="1" si="21"/>
        <v>-12.574909306460924</v>
      </c>
      <c r="N71" s="3">
        <f t="shared" ca="1" si="21"/>
        <v>-17.95965048662924</v>
      </c>
      <c r="O71" s="3">
        <f t="shared" ca="1" si="21"/>
        <v>-47.081384727830269</v>
      </c>
    </row>
    <row r="72" spans="1:16" s="12" customFormat="1" ht="13.8" x14ac:dyDescent="0.25">
      <c r="B72" s="3" t="s">
        <v>166</v>
      </c>
      <c r="C72" s="3"/>
      <c r="D72" s="3"/>
      <c r="E72" s="3"/>
      <c r="F72" s="3">
        <f t="shared" ref="F72:O72" ca="1" si="22">F13</f>
        <v>-68.185415165418561</v>
      </c>
      <c r="G72" s="3">
        <f t="shared" ca="1" si="22"/>
        <v>-63.591929717063373</v>
      </c>
      <c r="H72" s="3">
        <f t="shared" ca="1" si="22"/>
        <v>-56.946514253571095</v>
      </c>
      <c r="I72" s="3">
        <f t="shared" ca="1" si="22"/>
        <v>-47.660273117003207</v>
      </c>
      <c r="J72" s="3">
        <f t="shared" ca="1" si="22"/>
        <v>-36.378986582840035</v>
      </c>
      <c r="K72" s="3">
        <f t="shared" ca="1" si="22"/>
        <v>-23.809036433980069</v>
      </c>
      <c r="L72" s="3">
        <f t="shared" ca="1" si="22"/>
        <v>-8.5903232662169522</v>
      </c>
      <c r="M72" s="3">
        <f t="shared" ca="1" si="22"/>
        <v>0</v>
      </c>
      <c r="N72" s="3">
        <f t="shared" ca="1" si="22"/>
        <v>0</v>
      </c>
      <c r="O72" s="3">
        <f t="shared" ca="1" si="22"/>
        <v>0</v>
      </c>
    </row>
    <row r="73" spans="1:16" s="12" customFormat="1" ht="13.8" x14ac:dyDescent="0.25">
      <c r="B73" s="3" t="s">
        <v>167</v>
      </c>
      <c r="C73" s="3"/>
      <c r="D73" s="3"/>
      <c r="E73" s="3"/>
      <c r="F73" s="3">
        <f t="shared" ref="F73:O73" ca="1" si="23">F14</f>
        <v>-61.739999999999995</v>
      </c>
      <c r="G73" s="3">
        <f t="shared" ca="1" si="23"/>
        <v>-61.739999999999995</v>
      </c>
      <c r="H73" s="3">
        <f t="shared" ca="1" si="23"/>
        <v>-61.739999999999995</v>
      </c>
      <c r="I73" s="3">
        <f t="shared" ca="1" si="23"/>
        <v>-61.739999999999995</v>
      </c>
      <c r="J73" s="3">
        <f t="shared" ca="1" si="23"/>
        <v>-61.739999999999995</v>
      </c>
      <c r="K73" s="3">
        <f t="shared" ca="1" si="23"/>
        <v>-61.739999999999995</v>
      </c>
      <c r="L73" s="3">
        <f t="shared" ca="1" si="23"/>
        <v>-61.739999999999995</v>
      </c>
      <c r="M73" s="3">
        <f t="shared" ca="1" si="23"/>
        <v>-30.869999999999997</v>
      </c>
      <c r="N73" s="3">
        <f t="shared" ca="1" si="23"/>
        <v>0</v>
      </c>
      <c r="O73" s="3">
        <f t="shared" ca="1" si="23"/>
        <v>0</v>
      </c>
    </row>
    <row r="74" spans="1:16" s="12" customFormat="1" ht="13.8" x14ac:dyDescent="0.25">
      <c r="B74" s="3" t="s">
        <v>168</v>
      </c>
      <c r="C74" s="3"/>
      <c r="D74" s="3"/>
      <c r="E74" s="3"/>
      <c r="F74" s="3">
        <f t="shared" ref="F74:O74" si="24">F15</f>
        <v>-51.749999999999993</v>
      </c>
      <c r="G74" s="3">
        <f t="shared" si="24"/>
        <v>-51.749999999999993</v>
      </c>
      <c r="H74" s="3">
        <f t="shared" si="24"/>
        <v>-51.749999999999993</v>
      </c>
      <c r="I74" s="3">
        <f t="shared" si="24"/>
        <v>-51.749999999999993</v>
      </c>
      <c r="J74" s="3">
        <f t="shared" si="24"/>
        <v>-51.749999999999993</v>
      </c>
      <c r="K74" s="3">
        <f t="shared" si="24"/>
        <v>-51.749999999999993</v>
      </c>
      <c r="L74" s="3">
        <f t="shared" si="24"/>
        <v>-51.749999999999993</v>
      </c>
      <c r="M74" s="3">
        <f t="shared" si="24"/>
        <v>-51.749999999999993</v>
      </c>
      <c r="N74" s="3">
        <f t="shared" si="24"/>
        <v>-51.749999999999993</v>
      </c>
      <c r="O74" s="3">
        <f t="shared" si="24"/>
        <v>-51.749999999999993</v>
      </c>
    </row>
    <row r="75" spans="1:16" s="14" customFormat="1" ht="13.8" x14ac:dyDescent="0.25">
      <c r="B75" s="1" t="s">
        <v>169</v>
      </c>
      <c r="C75" s="1"/>
      <c r="D75" s="1"/>
      <c r="E75" s="1"/>
      <c r="F75" s="1">
        <f ca="1">SUM(F68,F70:F74)</f>
        <v>76.040289780186242</v>
      </c>
      <c r="G75" s="1">
        <f t="shared" ref="G75:O75" ca="1" si="25">SUM(G68,G70:G74)</f>
        <v>93.543827961429827</v>
      </c>
      <c r="H75" s="1">
        <f t="shared" ca="1" si="25"/>
        <v>136.25918564354532</v>
      </c>
      <c r="I75" s="1">
        <f t="shared" ca="1" si="25"/>
        <v>183.93754177093183</v>
      </c>
      <c r="J75" s="1">
        <f t="shared" ca="1" si="25"/>
        <v>204.48943266672052</v>
      </c>
      <c r="K75" s="1">
        <f t="shared" ca="1" si="25"/>
        <v>227.92719925881926</v>
      </c>
      <c r="L75" s="1">
        <f t="shared" ca="1" si="25"/>
        <v>249.51558568457455</v>
      </c>
      <c r="M75" s="1">
        <f t="shared" ca="1" si="25"/>
        <v>283.22844127079475</v>
      </c>
      <c r="N75" s="1">
        <f t="shared" ca="1" si="25"/>
        <v>314.63092289939442</v>
      </c>
      <c r="O75" s="1">
        <f t="shared" ca="1" si="25"/>
        <v>314.75801320083417</v>
      </c>
    </row>
    <row r="76" spans="1:16" s="12" customFormat="1" ht="13.8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6" s="12" customFormat="1" ht="13.8" x14ac:dyDescent="0.25">
      <c r="B77" s="3" t="s">
        <v>170</v>
      </c>
      <c r="C77" s="3"/>
      <c r="D77" s="3"/>
      <c r="E77" s="3"/>
      <c r="F77" s="3">
        <f t="shared" ref="F77" ca="1" si="26">F38-E38</f>
        <v>0</v>
      </c>
      <c r="G77" s="3">
        <f t="shared" ref="G77" ca="1" si="27">G38-F38</f>
        <v>0</v>
      </c>
      <c r="H77" s="3">
        <f t="shared" ref="H77" ca="1" si="28">H38-G38</f>
        <v>0</v>
      </c>
      <c r="I77" s="3">
        <f t="shared" ref="I77" ca="1" si="29">I38-H38</f>
        <v>0</v>
      </c>
      <c r="J77" s="3">
        <f t="shared" ref="J77" ca="1" si="30">J38-I38</f>
        <v>0</v>
      </c>
      <c r="K77" s="3">
        <f t="shared" ref="K77" ca="1" si="31">K38-J38</f>
        <v>0</v>
      </c>
      <c r="L77" s="3">
        <f t="shared" ref="L77" ca="1" si="32">L38-K38</f>
        <v>45.492898769774229</v>
      </c>
      <c r="M77" s="3">
        <f t="shared" ref="M77" ca="1" si="33">M38-L38</f>
        <v>617.45979719064451</v>
      </c>
      <c r="N77" s="3">
        <f t="shared" ref="N77" ca="1" si="34">N38-M38</f>
        <v>-314.09409689947177</v>
      </c>
      <c r="O77" s="3">
        <f t="shared" ref="O77" ca="1" si="35">O38-N38</f>
        <v>1954.7551809107979</v>
      </c>
    </row>
    <row r="78" spans="1:16" s="12" customFormat="1" ht="13.8" x14ac:dyDescent="0.25">
      <c r="B78" s="3" t="s">
        <v>171</v>
      </c>
      <c r="C78" s="3"/>
      <c r="D78" s="3"/>
      <c r="E78" s="3"/>
      <c r="F78" s="3">
        <f ca="1">F44-E44</f>
        <v>-64.883042280186146</v>
      </c>
      <c r="G78" s="3">
        <f t="shared" ref="G78:O78" ca="1" si="36">G44-F44</f>
        <v>-92.428103211429971</v>
      </c>
      <c r="H78" s="3">
        <f t="shared" ca="1" si="36"/>
        <v>-135.15461814104526</v>
      </c>
      <c r="I78" s="3">
        <f t="shared" ca="1" si="36"/>
        <v>-182.86733859073183</v>
      </c>
      <c r="J78" s="3">
        <f t="shared" ca="1" si="36"/>
        <v>-203.47809066143157</v>
      </c>
      <c r="K78" s="3">
        <f t="shared" ca="1" si="36"/>
        <v>-226.99965416253985</v>
      </c>
      <c r="L78" s="3">
        <f t="shared" ca="1" si="36"/>
        <v>-294.18915295263537</v>
      </c>
      <c r="M78" s="3">
        <f t="shared" ca="1" si="36"/>
        <v>0</v>
      </c>
      <c r="N78" s="3">
        <f t="shared" ca="1" si="36"/>
        <v>0</v>
      </c>
      <c r="O78" s="3">
        <f t="shared" ca="1" si="36"/>
        <v>0</v>
      </c>
    </row>
    <row r="79" spans="1:16" s="12" customFormat="1" ht="13.8" x14ac:dyDescent="0.25">
      <c r="B79" s="3" t="s">
        <v>172</v>
      </c>
      <c r="C79" s="3"/>
      <c r="D79" s="3"/>
      <c r="E79" s="3"/>
      <c r="F79" s="3">
        <f ca="1">F45-E45</f>
        <v>0</v>
      </c>
      <c r="G79" s="3">
        <f t="shared" ref="G79:O79" ca="1" si="37">G45-F45</f>
        <v>0</v>
      </c>
      <c r="H79" s="3">
        <f t="shared" ca="1" si="37"/>
        <v>0</v>
      </c>
      <c r="I79" s="3">
        <f t="shared" ca="1" si="37"/>
        <v>0</v>
      </c>
      <c r="J79" s="3">
        <f t="shared" ca="1" si="37"/>
        <v>0</v>
      </c>
      <c r="K79" s="3">
        <f t="shared" ca="1" si="37"/>
        <v>0</v>
      </c>
      <c r="L79" s="3">
        <f t="shared" ca="1" si="37"/>
        <v>0</v>
      </c>
      <c r="M79" s="3">
        <f t="shared" ca="1" si="37"/>
        <v>-900</v>
      </c>
      <c r="N79" s="3">
        <f t="shared" ca="1" si="37"/>
        <v>0</v>
      </c>
      <c r="O79" s="3">
        <f t="shared" ca="1" si="37"/>
        <v>0</v>
      </c>
    </row>
    <row r="80" spans="1:16" s="12" customFormat="1" ht="13.8" x14ac:dyDescent="0.25">
      <c r="B80" s="3" t="s">
        <v>173</v>
      </c>
      <c r="C80" s="3"/>
      <c r="D80" s="3"/>
      <c r="E80" s="3"/>
      <c r="F80" s="3">
        <f>F46-E46</f>
        <v>0</v>
      </c>
      <c r="G80" s="3">
        <f t="shared" ref="G80:O80" si="38">G46-F46</f>
        <v>0</v>
      </c>
      <c r="H80" s="3">
        <f t="shared" si="38"/>
        <v>0</v>
      </c>
      <c r="I80" s="3">
        <f t="shared" si="38"/>
        <v>0</v>
      </c>
      <c r="J80" s="3">
        <f t="shared" si="38"/>
        <v>0</v>
      </c>
      <c r="K80" s="3">
        <f t="shared" si="38"/>
        <v>0</v>
      </c>
      <c r="L80" s="3">
        <f t="shared" si="38"/>
        <v>0</v>
      </c>
      <c r="M80" s="3">
        <f t="shared" si="38"/>
        <v>0</v>
      </c>
      <c r="N80" s="3">
        <f t="shared" si="38"/>
        <v>0</v>
      </c>
      <c r="O80" s="3">
        <f t="shared" si="38"/>
        <v>-600</v>
      </c>
    </row>
    <row r="81" spans="2:15" s="12" customFormat="1" ht="13.8" x14ac:dyDescent="0.25">
      <c r="B81" s="3" t="s">
        <v>174</v>
      </c>
      <c r="C81" s="3"/>
      <c r="D81" s="3"/>
      <c r="E81" s="3"/>
      <c r="F81" s="3">
        <f>Debt!F67</f>
        <v>0</v>
      </c>
      <c r="G81" s="3">
        <f>Debt!G67</f>
        <v>0</v>
      </c>
      <c r="H81" s="3">
        <f>Debt!H67</f>
        <v>0</v>
      </c>
      <c r="I81" s="3">
        <f>Debt!I67</f>
        <v>0</v>
      </c>
      <c r="J81" s="3">
        <f>Debt!J67</f>
        <v>0</v>
      </c>
      <c r="K81" s="3">
        <f>Debt!K67</f>
        <v>0</v>
      </c>
      <c r="L81" s="3">
        <f>Debt!L67</f>
        <v>0</v>
      </c>
      <c r="M81" s="3">
        <f>Debt!M67</f>
        <v>0</v>
      </c>
      <c r="N81" s="3">
        <f>Debt!N67</f>
        <v>0</v>
      </c>
      <c r="O81" s="3">
        <f>Debt!O67</f>
        <v>-1668.9602633317118</v>
      </c>
    </row>
    <row r="82" spans="2:15" s="14" customFormat="1" ht="13.8" x14ac:dyDescent="0.25">
      <c r="B82" s="1" t="s">
        <v>175</v>
      </c>
      <c r="C82" s="1"/>
      <c r="D82" s="1"/>
      <c r="E82" s="1"/>
      <c r="F82" s="1">
        <f t="shared" ref="F82:O82" ca="1" si="39">SUM(F75,F77:F81)</f>
        <v>11.157247500000096</v>
      </c>
      <c r="G82" s="1">
        <f t="shared" ca="1" si="39"/>
        <v>1.1157247499998562</v>
      </c>
      <c r="H82" s="1">
        <f t="shared" ca="1" si="39"/>
        <v>1.1045675025000605</v>
      </c>
      <c r="I82" s="1">
        <f t="shared" ca="1" si="39"/>
        <v>1.0702031801999965</v>
      </c>
      <c r="J82" s="1">
        <f t="shared" ca="1" si="39"/>
        <v>1.0113420052889524</v>
      </c>
      <c r="K82" s="1">
        <f t="shared" ca="1" si="39"/>
        <v>0.92754509627940251</v>
      </c>
      <c r="L82" s="1">
        <f t="shared" ca="1" si="39"/>
        <v>0.81933150171340685</v>
      </c>
      <c r="M82" s="1">
        <f t="shared" ca="1" si="39"/>
        <v>0.68823846143925493</v>
      </c>
      <c r="N82" s="1">
        <f t="shared" ca="1" si="39"/>
        <v>0.53682599992265523</v>
      </c>
      <c r="O82" s="1">
        <f t="shared" ca="1" si="39"/>
        <v>0.5529307799201888</v>
      </c>
    </row>
    <row r="83" spans="2:15" s="12" customFormat="1" ht="13.8" x14ac:dyDescent="0.25">
      <c r="B83" s="3" t="s">
        <v>176</v>
      </c>
      <c r="C83" s="3"/>
      <c r="D83" s="3"/>
      <c r="E83" s="3">
        <f>E26</f>
        <v>0</v>
      </c>
      <c r="F83" s="3">
        <f t="shared" ref="F83:O83" ca="1" si="40">E83+F82</f>
        <v>11.157247500000096</v>
      </c>
      <c r="G83" s="3">
        <f t="shared" ca="1" si="40"/>
        <v>12.272972249999953</v>
      </c>
      <c r="H83" s="3">
        <f t="shared" ca="1" si="40"/>
        <v>13.377539752500013</v>
      </c>
      <c r="I83" s="3">
        <f t="shared" ca="1" si="40"/>
        <v>14.44774293270001</v>
      </c>
      <c r="J83" s="3">
        <f t="shared" ca="1" si="40"/>
        <v>15.459084937988962</v>
      </c>
      <c r="K83" s="3">
        <f t="shared" ca="1" si="40"/>
        <v>16.386630034268364</v>
      </c>
      <c r="L83" s="3">
        <f t="shared" ca="1" si="40"/>
        <v>17.205961535981771</v>
      </c>
      <c r="M83" s="3">
        <f t="shared" ca="1" si="40"/>
        <v>17.894199997421026</v>
      </c>
      <c r="N83" s="3">
        <f t="shared" ca="1" si="40"/>
        <v>18.431025997343681</v>
      </c>
      <c r="O83" s="3">
        <f t="shared" ca="1" si="40"/>
        <v>18.98395677726387</v>
      </c>
    </row>
  </sheetData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O12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5" s="38" customFormat="1" ht="17.399999999999999" x14ac:dyDescent="0.3">
      <c r="A1" s="41" t="str">
        <f>CoName</f>
        <v>Company2272</v>
      </c>
      <c r="B1" s="36"/>
      <c r="C1" s="37"/>
      <c r="D1" s="37"/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</row>
    <row r="2" spans="1:15" s="38" customFormat="1" ht="18" thickBot="1" x14ac:dyDescent="0.35">
      <c r="A2" s="42" t="str">
        <f>Ccy&amp;Units&amp;" unless otherwise stated"</f>
        <v>$m unless otherwise stated</v>
      </c>
      <c r="B2" s="39"/>
      <c r="C2" s="40"/>
      <c r="D2" s="40"/>
      <c r="E2" s="40">
        <f>Inputs!C16</f>
        <v>42369</v>
      </c>
      <c r="F2" s="40">
        <f t="shared" ref="F2:O2" si="0">DATE(YEAR(E2)+1,MONTH(E2),DAY(E2))</f>
        <v>42735</v>
      </c>
      <c r="G2" s="40">
        <f t="shared" si="0"/>
        <v>43100</v>
      </c>
      <c r="H2" s="40">
        <f t="shared" si="0"/>
        <v>43465</v>
      </c>
      <c r="I2" s="40">
        <f t="shared" si="0"/>
        <v>43830</v>
      </c>
      <c r="J2" s="40">
        <f t="shared" si="0"/>
        <v>44196</v>
      </c>
      <c r="K2" s="40">
        <f t="shared" si="0"/>
        <v>44561</v>
      </c>
      <c r="L2" s="40">
        <f t="shared" si="0"/>
        <v>44926</v>
      </c>
      <c r="M2" s="40">
        <f t="shared" si="0"/>
        <v>45291</v>
      </c>
      <c r="N2" s="40">
        <f t="shared" si="0"/>
        <v>45657</v>
      </c>
      <c r="O2" s="40">
        <f t="shared" si="0"/>
        <v>46022</v>
      </c>
    </row>
    <row r="3" spans="1:15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6" x14ac:dyDescent="0.25">
      <c r="A4" s="61" t="s">
        <v>177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6" spans="1:15" x14ac:dyDescent="0.25">
      <c r="B6" s="3" t="s">
        <v>178</v>
      </c>
      <c r="F6" s="13">
        <v>5.0000000000000001E-3</v>
      </c>
      <c r="G6" s="13">
        <v>5.0000000000000001E-3</v>
      </c>
      <c r="H6" s="13">
        <v>5.0000000000000001E-3</v>
      </c>
      <c r="I6" s="13">
        <v>5.0000000000000001E-3</v>
      </c>
      <c r="J6" s="13">
        <v>5.0000000000000001E-3</v>
      </c>
      <c r="K6" s="13">
        <v>5.0000000000000001E-3</v>
      </c>
      <c r="L6" s="13">
        <v>5.0000000000000001E-3</v>
      </c>
      <c r="M6" s="13">
        <v>5.0000000000000001E-3</v>
      </c>
      <c r="N6" s="13">
        <v>5.0000000000000001E-3</v>
      </c>
      <c r="O6" s="13">
        <v>5.0000000000000001E-3</v>
      </c>
    </row>
    <row r="7" spans="1:15" s="12" customFormat="1" ht="13.8" x14ac:dyDescent="0.25">
      <c r="A7" s="4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B8" s="3" t="s">
        <v>179</v>
      </c>
      <c r="F8" s="3">
        <f>FS!E83</f>
        <v>0</v>
      </c>
      <c r="G8" s="3">
        <f ca="1">FS!F83</f>
        <v>11.157247500000096</v>
      </c>
      <c r="H8" s="3">
        <f ca="1">FS!G83</f>
        <v>12.272972249999953</v>
      </c>
      <c r="I8" s="3">
        <f ca="1">FS!H83</f>
        <v>13.377539752500013</v>
      </c>
      <c r="J8" s="3">
        <f ca="1">FS!I83</f>
        <v>14.44774293270001</v>
      </c>
      <c r="K8" s="3">
        <f ca="1">FS!J83</f>
        <v>15.459084937988962</v>
      </c>
      <c r="L8" s="3">
        <f ca="1">FS!K83</f>
        <v>16.386630034268364</v>
      </c>
      <c r="M8" s="3">
        <f ca="1">FS!L83</f>
        <v>17.205961535981771</v>
      </c>
      <c r="N8" s="3">
        <f ca="1">FS!M83</f>
        <v>17.894199997421026</v>
      </c>
      <c r="O8" s="3">
        <f ca="1">FS!N83</f>
        <v>18.431025997343681</v>
      </c>
    </row>
    <row r="9" spans="1:15" x14ac:dyDescent="0.25">
      <c r="B9" s="3" t="s">
        <v>169</v>
      </c>
      <c r="F9" s="3">
        <f ca="1">FS!F75</f>
        <v>76.040289780186242</v>
      </c>
      <c r="G9" s="3">
        <f ca="1">FS!G75</f>
        <v>93.543827961429827</v>
      </c>
      <c r="H9" s="3">
        <f ca="1">FS!H75</f>
        <v>136.25918564354532</v>
      </c>
      <c r="I9" s="3">
        <f ca="1">FS!I75</f>
        <v>183.93754177093183</v>
      </c>
      <c r="J9" s="3">
        <f ca="1">FS!J75</f>
        <v>204.48943266672052</v>
      </c>
      <c r="K9" s="3">
        <f ca="1">FS!K75</f>
        <v>227.92719925881926</v>
      </c>
      <c r="L9" s="3">
        <f ca="1">FS!L75</f>
        <v>249.51558568457455</v>
      </c>
      <c r="M9" s="3">
        <f ca="1">FS!M75</f>
        <v>283.22844127079475</v>
      </c>
      <c r="N9" s="3">
        <f ca="1">FS!N75</f>
        <v>314.63092289939442</v>
      </c>
      <c r="O9" s="3">
        <f ca="1">FS!O75</f>
        <v>314.75801320083417</v>
      </c>
    </row>
    <row r="10" spans="1:15" x14ac:dyDescent="0.25">
      <c r="B10" s="3" t="s">
        <v>180</v>
      </c>
      <c r="F10" s="3">
        <f>F6*OpMod!F76</f>
        <v>11.157247499999999</v>
      </c>
      <c r="G10" s="3">
        <f>G6*OpMod!G76</f>
        <v>12.27297225</v>
      </c>
      <c r="H10" s="3">
        <f>H6*OpMod!H76</f>
        <v>13.377539752500002</v>
      </c>
      <c r="I10" s="3">
        <f>I6*OpMod!I76</f>
        <v>14.447742932700002</v>
      </c>
      <c r="J10" s="3">
        <f>J6*OpMod!J76</f>
        <v>15.459084937989003</v>
      </c>
      <c r="K10" s="3">
        <f>K6*OpMod!K76</f>
        <v>16.386630034268343</v>
      </c>
      <c r="L10" s="3">
        <f>L6*OpMod!L76</f>
        <v>17.205961535981764</v>
      </c>
      <c r="M10" s="3">
        <f>M6*OpMod!M76</f>
        <v>17.894199997421033</v>
      </c>
      <c r="N10" s="3">
        <f>N6*OpMod!N76</f>
        <v>18.431025997343667</v>
      </c>
      <c r="O10" s="3">
        <f>O6*OpMod!O76</f>
        <v>18.983956777263977</v>
      </c>
    </row>
    <row r="11" spans="1:15" s="1" customFormat="1" x14ac:dyDescent="0.25">
      <c r="B11" s="1" t="s">
        <v>177</v>
      </c>
      <c r="F11" s="1">
        <f ca="1">F8+F9-F10</f>
        <v>64.883042280186245</v>
      </c>
      <c r="G11" s="1">
        <f t="shared" ref="G11:O11" ca="1" si="1">G8+G9-G10</f>
        <v>92.428103211429928</v>
      </c>
      <c r="H11" s="1">
        <f t="shared" ca="1" si="1"/>
        <v>135.15461814104526</v>
      </c>
      <c r="I11" s="1">
        <f t="shared" ca="1" si="1"/>
        <v>182.86733859073183</v>
      </c>
      <c r="J11" s="1">
        <f t="shared" ca="1" si="1"/>
        <v>203.47809066143154</v>
      </c>
      <c r="K11" s="1">
        <f t="shared" ca="1" si="1"/>
        <v>226.99965416253988</v>
      </c>
      <c r="L11" s="1">
        <f t="shared" ca="1" si="1"/>
        <v>248.69625418286114</v>
      </c>
      <c r="M11" s="1">
        <f t="shared" ca="1" si="1"/>
        <v>282.54020280935549</v>
      </c>
      <c r="N11" s="1">
        <f t="shared" ca="1" si="1"/>
        <v>314.09409689947177</v>
      </c>
      <c r="O11" s="1">
        <f t="shared" ca="1" si="1"/>
        <v>314.20508242091387</v>
      </c>
    </row>
    <row r="12" spans="1:15" s="1" customFormat="1" x14ac:dyDescent="0.25"/>
    <row r="13" spans="1:15" ht="15.6" x14ac:dyDescent="0.25">
      <c r="A13" s="61" t="s">
        <v>181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</row>
    <row r="15" spans="1:15" x14ac:dyDescent="0.25">
      <c r="A15" s="43" t="s">
        <v>182</v>
      </c>
    </row>
    <row r="16" spans="1:15" s="12" customFormat="1" ht="13.8" x14ac:dyDescent="0.25">
      <c r="B16" s="3" t="s">
        <v>68</v>
      </c>
      <c r="C16" s="3"/>
      <c r="D16" s="3"/>
      <c r="E16" s="3"/>
      <c r="F16" s="54">
        <v>2.5000000000000001E-2</v>
      </c>
      <c r="G16" s="54">
        <v>2.5000000000000001E-2</v>
      </c>
      <c r="H16" s="54">
        <v>0.05</v>
      </c>
      <c r="I16" s="54">
        <v>0.05</v>
      </c>
      <c r="J16" s="54">
        <v>0.05</v>
      </c>
      <c r="K16" s="54">
        <v>0.05</v>
      </c>
      <c r="L16" s="54">
        <v>0.75</v>
      </c>
      <c r="M16" s="54">
        <v>0</v>
      </c>
      <c r="N16" s="54">
        <v>0</v>
      </c>
      <c r="O16" s="54">
        <v>0</v>
      </c>
    </row>
    <row r="17" spans="1:15" s="12" customFormat="1" ht="13.8" x14ac:dyDescent="0.25">
      <c r="B17" s="3" t="s">
        <v>69</v>
      </c>
      <c r="C17" s="3"/>
      <c r="D17" s="3"/>
      <c r="E17" s="3"/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1</v>
      </c>
      <c r="N17" s="54">
        <v>0</v>
      </c>
      <c r="O17" s="54">
        <v>0</v>
      </c>
    </row>
    <row r="18" spans="1:15" s="12" customFormat="1" ht="13.8" x14ac:dyDescent="0.25">
      <c r="B18" s="3" t="s">
        <v>183</v>
      </c>
      <c r="C18" s="3"/>
      <c r="D18" s="3"/>
      <c r="E18" s="3"/>
      <c r="F18" s="62"/>
      <c r="G18" s="62"/>
      <c r="H18" s="62"/>
      <c r="I18" s="62"/>
      <c r="J18" s="62"/>
      <c r="K18" s="62"/>
      <c r="L18" s="62"/>
      <c r="M18" s="62"/>
      <c r="N18" s="62"/>
      <c r="O18" s="54">
        <v>1</v>
      </c>
    </row>
    <row r="19" spans="1:15" s="12" customFormat="1" ht="13.8" x14ac:dyDescent="0.25">
      <c r="B19" s="3" t="s">
        <v>71</v>
      </c>
      <c r="C19" s="3"/>
      <c r="D19" s="3"/>
      <c r="E19" s="3"/>
      <c r="F19" s="62"/>
      <c r="G19" s="62"/>
      <c r="H19" s="62"/>
      <c r="I19" s="62"/>
      <c r="J19" s="62"/>
      <c r="K19" s="62"/>
      <c r="L19" s="62"/>
      <c r="M19" s="62"/>
      <c r="N19" s="62"/>
      <c r="O19" s="54">
        <v>1</v>
      </c>
    </row>
    <row r="20" spans="1:15" s="12" customFormat="1" ht="13.8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s="12" customFormat="1" ht="13.8" x14ac:dyDescent="0.25">
      <c r="A21" s="43" t="s">
        <v>184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s="12" customFormat="1" ht="13.8" x14ac:dyDescent="0.25">
      <c r="B22" s="3" t="s">
        <v>68</v>
      </c>
      <c r="C22" s="3"/>
      <c r="D22" s="3"/>
      <c r="E22" s="3"/>
      <c r="F22" s="3">
        <f>F47</f>
        <v>-30</v>
      </c>
      <c r="G22" s="3">
        <f t="shared" ref="G22:O22" ca="1" si="2">G47</f>
        <v>-30</v>
      </c>
      <c r="H22" s="3">
        <f t="shared" ca="1" si="2"/>
        <v>-60</v>
      </c>
      <c r="I22" s="3">
        <f t="shared" ca="1" si="2"/>
        <v>-60</v>
      </c>
      <c r="J22" s="3">
        <f t="shared" ca="1" si="2"/>
        <v>-60</v>
      </c>
      <c r="K22" s="3">
        <f t="shared" ca="1" si="2"/>
        <v>-60</v>
      </c>
      <c r="L22" s="3">
        <f t="shared" ca="1" si="2"/>
        <v>-294.18915295263537</v>
      </c>
      <c r="M22" s="3">
        <f t="shared" ca="1" si="2"/>
        <v>0</v>
      </c>
      <c r="N22" s="3">
        <f t="shared" ca="1" si="2"/>
        <v>0</v>
      </c>
      <c r="O22" s="3">
        <f t="shared" ca="1" si="2"/>
        <v>0</v>
      </c>
    </row>
    <row r="23" spans="1:15" s="12" customFormat="1" ht="13.8" x14ac:dyDescent="0.25">
      <c r="B23" s="3" t="s">
        <v>69</v>
      </c>
      <c r="C23" s="3"/>
      <c r="D23" s="3"/>
      <c r="E23" s="3"/>
      <c r="F23" s="3">
        <f>F55</f>
        <v>0</v>
      </c>
      <c r="G23" s="3">
        <f t="shared" ref="G23:O23" ca="1" si="3">G55</f>
        <v>0</v>
      </c>
      <c r="H23" s="3">
        <f t="shared" ca="1" si="3"/>
        <v>0</v>
      </c>
      <c r="I23" s="3">
        <f t="shared" ca="1" si="3"/>
        <v>0</v>
      </c>
      <c r="J23" s="3">
        <f t="shared" ca="1" si="3"/>
        <v>0</v>
      </c>
      <c r="K23" s="3">
        <f t="shared" ca="1" si="3"/>
        <v>0</v>
      </c>
      <c r="L23" s="3">
        <f t="shared" ca="1" si="3"/>
        <v>0</v>
      </c>
      <c r="M23" s="3">
        <f t="shared" ca="1" si="3"/>
        <v>-900</v>
      </c>
      <c r="N23" s="3">
        <f t="shared" ca="1" si="3"/>
        <v>0</v>
      </c>
      <c r="O23" s="3">
        <f t="shared" ca="1" si="3"/>
        <v>0</v>
      </c>
    </row>
    <row r="24" spans="1:15" s="12" customFormat="1" ht="13.8" x14ac:dyDescent="0.25">
      <c r="B24" s="3" t="s">
        <v>183</v>
      </c>
      <c r="C24" s="3"/>
      <c r="D24" s="3"/>
      <c r="E24" s="3"/>
      <c r="F24" s="3">
        <f>F61</f>
        <v>0</v>
      </c>
      <c r="G24" s="3">
        <f t="shared" ref="G24:O24" si="4">G61</f>
        <v>0</v>
      </c>
      <c r="H24" s="3">
        <f t="shared" si="4"/>
        <v>0</v>
      </c>
      <c r="I24" s="3">
        <f t="shared" si="4"/>
        <v>0</v>
      </c>
      <c r="J24" s="3">
        <f t="shared" si="4"/>
        <v>0</v>
      </c>
      <c r="K24" s="3">
        <f t="shared" si="4"/>
        <v>0</v>
      </c>
      <c r="L24" s="3">
        <f t="shared" si="4"/>
        <v>0</v>
      </c>
      <c r="M24" s="3">
        <f t="shared" si="4"/>
        <v>0</v>
      </c>
      <c r="N24" s="3">
        <f t="shared" si="4"/>
        <v>0</v>
      </c>
      <c r="O24" s="3">
        <f t="shared" si="4"/>
        <v>-600</v>
      </c>
    </row>
    <row r="25" spans="1:15" s="12" customFormat="1" ht="13.8" x14ac:dyDescent="0.25">
      <c r="B25" s="3" t="s">
        <v>71</v>
      </c>
      <c r="C25" s="3"/>
      <c r="D25" s="3"/>
      <c r="E25" s="3"/>
      <c r="F25" s="3">
        <f>F67</f>
        <v>0</v>
      </c>
      <c r="G25" s="3">
        <f t="shared" ref="G25:O25" si="5">G67</f>
        <v>0</v>
      </c>
      <c r="H25" s="3">
        <f t="shared" si="5"/>
        <v>0</v>
      </c>
      <c r="I25" s="3">
        <f t="shared" si="5"/>
        <v>0</v>
      </c>
      <c r="J25" s="3">
        <f t="shared" si="5"/>
        <v>0</v>
      </c>
      <c r="K25" s="3">
        <f t="shared" si="5"/>
        <v>0</v>
      </c>
      <c r="L25" s="3">
        <f t="shared" si="5"/>
        <v>0</v>
      </c>
      <c r="M25" s="3">
        <f t="shared" si="5"/>
        <v>0</v>
      </c>
      <c r="N25" s="3">
        <f t="shared" si="5"/>
        <v>0</v>
      </c>
      <c r="O25" s="3">
        <f t="shared" si="5"/>
        <v>-1668.9602633317118</v>
      </c>
    </row>
    <row r="26" spans="1:15" s="12" customFormat="1" ht="13.8" x14ac:dyDescent="0.2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s="1" customFormat="1" x14ac:dyDescent="0.25">
      <c r="A27" s="43" t="s">
        <v>185</v>
      </c>
    </row>
    <row r="28" spans="1:15" x14ac:dyDescent="0.25">
      <c r="B28" s="3" t="s">
        <v>177</v>
      </c>
      <c r="F28" s="3">
        <f t="shared" ref="F28:O28" ca="1" si="6">F11</f>
        <v>64.883042280186245</v>
      </c>
      <c r="G28" s="3">
        <f t="shared" ca="1" si="6"/>
        <v>92.428103211429928</v>
      </c>
      <c r="H28" s="3">
        <f t="shared" ca="1" si="6"/>
        <v>135.15461814104526</v>
      </c>
      <c r="I28" s="3">
        <f t="shared" ca="1" si="6"/>
        <v>182.86733859073183</v>
      </c>
      <c r="J28" s="3">
        <f t="shared" ca="1" si="6"/>
        <v>203.47809066143154</v>
      </c>
      <c r="K28" s="3">
        <f t="shared" ca="1" si="6"/>
        <v>226.99965416253988</v>
      </c>
      <c r="L28" s="3">
        <f t="shared" ca="1" si="6"/>
        <v>248.69625418286114</v>
      </c>
      <c r="M28" s="3">
        <f t="shared" ca="1" si="6"/>
        <v>282.54020280935549</v>
      </c>
      <c r="N28" s="3">
        <f t="shared" ca="1" si="6"/>
        <v>314.09409689947177</v>
      </c>
      <c r="O28" s="3">
        <f t="shared" ca="1" si="6"/>
        <v>314.20508242091387</v>
      </c>
    </row>
    <row r="29" spans="1:15" x14ac:dyDescent="0.25">
      <c r="B29" s="3" t="s">
        <v>186</v>
      </c>
      <c r="F29" s="3">
        <f t="shared" ref="F29:O29" si="7">SUM(F22:F25)</f>
        <v>-30</v>
      </c>
      <c r="G29" s="3">
        <f t="shared" ca="1" si="7"/>
        <v>-30</v>
      </c>
      <c r="H29" s="3">
        <f t="shared" ca="1" si="7"/>
        <v>-60</v>
      </c>
      <c r="I29" s="3">
        <f t="shared" ca="1" si="7"/>
        <v>-60</v>
      </c>
      <c r="J29" s="3">
        <f t="shared" ca="1" si="7"/>
        <v>-60</v>
      </c>
      <c r="K29" s="3">
        <f t="shared" ca="1" si="7"/>
        <v>-60</v>
      </c>
      <c r="L29" s="3">
        <f t="shared" ca="1" si="7"/>
        <v>-294.18915295263537</v>
      </c>
      <c r="M29" s="3">
        <f t="shared" ca="1" si="7"/>
        <v>-900</v>
      </c>
      <c r="N29" s="3">
        <f t="shared" ca="1" si="7"/>
        <v>0</v>
      </c>
      <c r="O29" s="3">
        <f t="shared" ca="1" si="7"/>
        <v>-2268.9602633317118</v>
      </c>
    </row>
    <row r="30" spans="1:15" s="1" customFormat="1" x14ac:dyDescent="0.25">
      <c r="B30" s="1" t="s">
        <v>185</v>
      </c>
      <c r="F30" s="1">
        <f ca="1">SUM(F28:F29)</f>
        <v>34.883042280186245</v>
      </c>
      <c r="G30" s="1">
        <f t="shared" ref="G30:O30" ca="1" si="8">SUM(G28:G29)</f>
        <v>62.428103211429928</v>
      </c>
      <c r="H30" s="1">
        <f t="shared" ca="1" si="8"/>
        <v>75.154618141045262</v>
      </c>
      <c r="I30" s="1">
        <f t="shared" ca="1" si="8"/>
        <v>122.86733859073183</v>
      </c>
      <c r="J30" s="1">
        <f t="shared" ca="1" si="8"/>
        <v>143.47809066143154</v>
      </c>
      <c r="K30" s="1">
        <f t="shared" ca="1" si="8"/>
        <v>166.99965416253988</v>
      </c>
      <c r="L30" s="1">
        <f t="shared" ca="1" si="8"/>
        <v>-45.492898769774229</v>
      </c>
      <c r="M30" s="1">
        <f t="shared" ca="1" si="8"/>
        <v>-617.45979719064451</v>
      </c>
      <c r="N30" s="1">
        <f t="shared" ca="1" si="8"/>
        <v>314.09409689947177</v>
      </c>
      <c r="O30" s="1">
        <f t="shared" ca="1" si="8"/>
        <v>-1954.7551809107979</v>
      </c>
    </row>
    <row r="32" spans="1:15" ht="15.6" x14ac:dyDescent="0.25">
      <c r="A32" s="61" t="s">
        <v>187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</row>
    <row r="34" spans="1:15" x14ac:dyDescent="0.25">
      <c r="B34" s="3" t="s">
        <v>188</v>
      </c>
      <c r="F34" s="3">
        <f>E36</f>
        <v>0</v>
      </c>
      <c r="G34" s="3">
        <f t="shared" ref="G34:O34" ca="1" si="9">F36</f>
        <v>0</v>
      </c>
      <c r="H34" s="3">
        <f t="shared" ca="1" si="9"/>
        <v>0</v>
      </c>
      <c r="I34" s="3">
        <f t="shared" ca="1" si="9"/>
        <v>0</v>
      </c>
      <c r="J34" s="3">
        <f t="shared" ca="1" si="9"/>
        <v>0</v>
      </c>
      <c r="K34" s="3">
        <f t="shared" ca="1" si="9"/>
        <v>0</v>
      </c>
      <c r="L34" s="3">
        <f t="shared" ca="1" si="9"/>
        <v>0</v>
      </c>
      <c r="M34" s="3">
        <f t="shared" ca="1" si="9"/>
        <v>45.492898769774229</v>
      </c>
      <c r="N34" s="3">
        <f t="shared" ca="1" si="9"/>
        <v>662.95269596041874</v>
      </c>
      <c r="O34" s="3">
        <f t="shared" ca="1" si="9"/>
        <v>348.85859906094697</v>
      </c>
    </row>
    <row r="35" spans="1:15" x14ac:dyDescent="0.25">
      <c r="B35" s="3" t="s">
        <v>189</v>
      </c>
      <c r="F35" s="3">
        <f ca="1">-MIN(F34,F30)</f>
        <v>0</v>
      </c>
      <c r="G35" s="3">
        <f t="shared" ref="G35:O35" ca="1" si="10">-MIN(G34,G30)</f>
        <v>0</v>
      </c>
      <c r="H35" s="3">
        <f t="shared" ca="1" si="10"/>
        <v>0</v>
      </c>
      <c r="I35" s="3">
        <f t="shared" ca="1" si="10"/>
        <v>0</v>
      </c>
      <c r="J35" s="3">
        <f t="shared" ca="1" si="10"/>
        <v>0</v>
      </c>
      <c r="K35" s="3">
        <f t="shared" ca="1" si="10"/>
        <v>0</v>
      </c>
      <c r="L35" s="3">
        <f t="shared" ca="1" si="10"/>
        <v>45.492898769774229</v>
      </c>
      <c r="M35" s="3">
        <f t="shared" ca="1" si="10"/>
        <v>617.45979719064451</v>
      </c>
      <c r="N35" s="3">
        <f t="shared" ca="1" si="10"/>
        <v>-314.09409689947177</v>
      </c>
      <c r="O35" s="3">
        <f t="shared" ca="1" si="10"/>
        <v>1954.7551809107979</v>
      </c>
    </row>
    <row r="36" spans="1:15" s="1" customFormat="1" x14ac:dyDescent="0.25">
      <c r="B36" s="1" t="s">
        <v>190</v>
      </c>
      <c r="E36" s="1">
        <f>'S&amp;U'!C40</f>
        <v>0</v>
      </c>
      <c r="F36" s="1">
        <f ca="1">SUM(F34:F35)</f>
        <v>0</v>
      </c>
      <c r="G36" s="1">
        <f t="shared" ref="G36:O36" ca="1" si="11">SUM(G34:G35)</f>
        <v>0</v>
      </c>
      <c r="H36" s="1">
        <f t="shared" ca="1" si="11"/>
        <v>0</v>
      </c>
      <c r="I36" s="1">
        <f t="shared" ca="1" si="11"/>
        <v>0</v>
      </c>
      <c r="J36" s="1">
        <f t="shared" ca="1" si="11"/>
        <v>0</v>
      </c>
      <c r="K36" s="1">
        <f t="shared" ca="1" si="11"/>
        <v>0</v>
      </c>
      <c r="L36" s="1">
        <f t="shared" ca="1" si="11"/>
        <v>45.492898769774229</v>
      </c>
      <c r="M36" s="1">
        <f t="shared" ca="1" si="11"/>
        <v>662.95269596041874</v>
      </c>
      <c r="N36" s="1">
        <f t="shared" ca="1" si="11"/>
        <v>348.85859906094697</v>
      </c>
      <c r="O36" s="1">
        <f t="shared" ca="1" si="11"/>
        <v>2303.6137799717449</v>
      </c>
    </row>
    <row r="38" spans="1:15" ht="15.6" x14ac:dyDescent="0.25">
      <c r="A38" s="61" t="s">
        <v>191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</row>
    <row r="40" spans="1:15" x14ac:dyDescent="0.25">
      <c r="B40" s="3" t="s">
        <v>192</v>
      </c>
      <c r="F40" s="3">
        <f t="shared" ref="F40:O40" ca="1" si="12">SUM(F30,F35)</f>
        <v>34.883042280186245</v>
      </c>
      <c r="G40" s="3">
        <f t="shared" ca="1" si="12"/>
        <v>62.428103211429928</v>
      </c>
      <c r="H40" s="3">
        <f t="shared" ca="1" si="12"/>
        <v>75.154618141045262</v>
      </c>
      <c r="I40" s="3">
        <f t="shared" ca="1" si="12"/>
        <v>122.86733859073183</v>
      </c>
      <c r="J40" s="3">
        <f t="shared" ca="1" si="12"/>
        <v>143.47809066143154</v>
      </c>
      <c r="K40" s="3">
        <f t="shared" ca="1" si="12"/>
        <v>166.99965416253988</v>
      </c>
      <c r="L40" s="3">
        <f t="shared" ca="1" si="12"/>
        <v>0</v>
      </c>
      <c r="M40" s="3">
        <f t="shared" ca="1" si="12"/>
        <v>0</v>
      </c>
      <c r="N40" s="3">
        <f t="shared" ca="1" si="12"/>
        <v>0</v>
      </c>
      <c r="O40" s="3">
        <f t="shared" ca="1" si="12"/>
        <v>0</v>
      </c>
    </row>
    <row r="41" spans="1:15" x14ac:dyDescent="0.25">
      <c r="B41" s="3" t="s">
        <v>193</v>
      </c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</row>
    <row r="42" spans="1:15" s="1" customFormat="1" x14ac:dyDescent="0.25">
      <c r="B42" s="1" t="s">
        <v>194</v>
      </c>
      <c r="F42" s="1">
        <f ca="1">F40*F41</f>
        <v>34.883042280186245</v>
      </c>
      <c r="G42" s="1">
        <f t="shared" ref="G42:O42" ca="1" si="13">G40*G41</f>
        <v>62.428103211429928</v>
      </c>
      <c r="H42" s="1">
        <f t="shared" ca="1" si="13"/>
        <v>75.154618141045262</v>
      </c>
      <c r="I42" s="1">
        <f t="shared" ca="1" si="13"/>
        <v>122.86733859073183</v>
      </c>
      <c r="J42" s="1">
        <f t="shared" ca="1" si="13"/>
        <v>143.47809066143154</v>
      </c>
      <c r="K42" s="1">
        <f t="shared" ca="1" si="13"/>
        <v>166.99965416253988</v>
      </c>
      <c r="L42" s="1">
        <f t="shared" ca="1" si="13"/>
        <v>0</v>
      </c>
      <c r="M42" s="1">
        <f t="shared" ca="1" si="13"/>
        <v>0</v>
      </c>
      <c r="N42" s="1">
        <f t="shared" ca="1" si="13"/>
        <v>0</v>
      </c>
      <c r="O42" s="1">
        <f t="shared" ca="1" si="13"/>
        <v>0</v>
      </c>
    </row>
    <row r="44" spans="1:15" ht="15.6" x14ac:dyDescent="0.25">
      <c r="A44" s="61" t="s">
        <v>195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</row>
    <row r="45" spans="1:15" x14ac:dyDescent="0.25">
      <c r="A45" s="43" t="s">
        <v>68</v>
      </c>
    </row>
    <row r="46" spans="1:15" x14ac:dyDescent="0.25">
      <c r="B46" s="3" t="s">
        <v>188</v>
      </c>
      <c r="F46" s="3">
        <f>E49</f>
        <v>1200</v>
      </c>
      <c r="G46" s="3">
        <f t="shared" ref="G46:O46" ca="1" si="14">F49</f>
        <v>1135.1169577198139</v>
      </c>
      <c r="H46" s="3">
        <f t="shared" ca="1" si="14"/>
        <v>1042.6888545083839</v>
      </c>
      <c r="I46" s="3">
        <f t="shared" ca="1" si="14"/>
        <v>907.53423636733862</v>
      </c>
      <c r="J46" s="3">
        <f t="shared" ca="1" si="14"/>
        <v>724.66689777660679</v>
      </c>
      <c r="K46" s="3">
        <f t="shared" ca="1" si="14"/>
        <v>521.18880711517522</v>
      </c>
      <c r="L46" s="3">
        <f t="shared" ca="1" si="14"/>
        <v>294.18915295263537</v>
      </c>
      <c r="M46" s="3">
        <f t="shared" ca="1" si="14"/>
        <v>0</v>
      </c>
      <c r="N46" s="3">
        <f t="shared" ca="1" si="14"/>
        <v>0</v>
      </c>
      <c r="O46" s="3">
        <f t="shared" ca="1" si="14"/>
        <v>0</v>
      </c>
    </row>
    <row r="47" spans="1:15" x14ac:dyDescent="0.25">
      <c r="B47" s="3" t="s">
        <v>196</v>
      </c>
      <c r="F47" s="3">
        <f t="shared" ref="F47:O47" si="15">-MIN(F46,F16*$E$49)</f>
        <v>-30</v>
      </c>
      <c r="G47" s="3">
        <f t="shared" ca="1" si="15"/>
        <v>-30</v>
      </c>
      <c r="H47" s="3">
        <f t="shared" ca="1" si="15"/>
        <v>-60</v>
      </c>
      <c r="I47" s="3">
        <f t="shared" ca="1" si="15"/>
        <v>-60</v>
      </c>
      <c r="J47" s="3">
        <f t="shared" ca="1" si="15"/>
        <v>-60</v>
      </c>
      <c r="K47" s="3">
        <f t="shared" ca="1" si="15"/>
        <v>-60</v>
      </c>
      <c r="L47" s="3">
        <f t="shared" ca="1" si="15"/>
        <v>-294.18915295263537</v>
      </c>
      <c r="M47" s="3">
        <f t="shared" ca="1" si="15"/>
        <v>0</v>
      </c>
      <c r="N47" s="3">
        <f t="shared" ca="1" si="15"/>
        <v>0</v>
      </c>
      <c r="O47" s="3">
        <f t="shared" ca="1" si="15"/>
        <v>0</v>
      </c>
    </row>
    <row r="48" spans="1:15" x14ac:dyDescent="0.25">
      <c r="B48" s="3" t="s">
        <v>197</v>
      </c>
      <c r="C48" s="63">
        <v>1</v>
      </c>
      <c r="F48" s="3">
        <f ca="1">-MIN(F46+F47,F42)*$C$48</f>
        <v>-34.883042280186245</v>
      </c>
      <c r="G48" s="3">
        <f t="shared" ref="G48:O48" ca="1" si="16">-MIN(G46+G47,G42)*$C$48</f>
        <v>-62.428103211429928</v>
      </c>
      <c r="H48" s="3">
        <f t="shared" ca="1" si="16"/>
        <v>-75.154618141045262</v>
      </c>
      <c r="I48" s="3">
        <f t="shared" ca="1" si="16"/>
        <v>-122.86733859073183</v>
      </c>
      <c r="J48" s="3">
        <f t="shared" ca="1" si="16"/>
        <v>-143.47809066143154</v>
      </c>
      <c r="K48" s="3">
        <f t="shared" ca="1" si="16"/>
        <v>-166.99965416253988</v>
      </c>
      <c r="L48" s="3">
        <f t="shared" ca="1" si="16"/>
        <v>0</v>
      </c>
      <c r="M48" s="3">
        <f t="shared" ca="1" si="16"/>
        <v>0</v>
      </c>
      <c r="N48" s="3">
        <f t="shared" ca="1" si="16"/>
        <v>0</v>
      </c>
      <c r="O48" s="3">
        <f t="shared" ca="1" si="16"/>
        <v>0</v>
      </c>
    </row>
    <row r="49" spans="1:15" s="1" customFormat="1" x14ac:dyDescent="0.25">
      <c r="B49" s="1" t="s">
        <v>190</v>
      </c>
      <c r="E49" s="1">
        <f>'S&amp;U'!C41</f>
        <v>1200</v>
      </c>
      <c r="F49" s="1">
        <f ca="1">SUM(F46:F48)</f>
        <v>1135.1169577198139</v>
      </c>
      <c r="G49" s="1">
        <f t="shared" ref="G49:O49" ca="1" si="17">SUM(G46:G48)</f>
        <v>1042.6888545083839</v>
      </c>
      <c r="H49" s="1">
        <f t="shared" ca="1" si="17"/>
        <v>907.53423636733862</v>
      </c>
      <c r="I49" s="1">
        <f t="shared" ca="1" si="17"/>
        <v>724.66689777660679</v>
      </c>
      <c r="J49" s="1">
        <f t="shared" ca="1" si="17"/>
        <v>521.18880711517522</v>
      </c>
      <c r="K49" s="1">
        <f t="shared" ca="1" si="17"/>
        <v>294.18915295263537</v>
      </c>
      <c r="L49" s="1">
        <f t="shared" ca="1" si="17"/>
        <v>0</v>
      </c>
      <c r="M49" s="1">
        <f t="shared" ca="1" si="17"/>
        <v>0</v>
      </c>
      <c r="N49" s="1">
        <f t="shared" ca="1" si="17"/>
        <v>0</v>
      </c>
      <c r="O49" s="1">
        <f t="shared" ca="1" si="17"/>
        <v>0</v>
      </c>
    </row>
    <row r="51" spans="1:15" x14ac:dyDescent="0.25">
      <c r="B51" s="1" t="s">
        <v>198</v>
      </c>
      <c r="F51" s="3">
        <f t="shared" ref="F51:O51" ca="1" si="18">SUM(F42,F48)</f>
        <v>0</v>
      </c>
      <c r="G51" s="3">
        <f t="shared" ca="1" si="18"/>
        <v>0</v>
      </c>
      <c r="H51" s="3">
        <f t="shared" ca="1" si="18"/>
        <v>0</v>
      </c>
      <c r="I51" s="3">
        <f t="shared" ca="1" si="18"/>
        <v>0</v>
      </c>
      <c r="J51" s="3">
        <f t="shared" ca="1" si="18"/>
        <v>0</v>
      </c>
      <c r="K51" s="3">
        <f t="shared" ca="1" si="18"/>
        <v>0</v>
      </c>
      <c r="L51" s="3">
        <f t="shared" ca="1" si="18"/>
        <v>0</v>
      </c>
      <c r="M51" s="3">
        <f t="shared" ca="1" si="18"/>
        <v>0</v>
      </c>
      <c r="N51" s="3">
        <f t="shared" ca="1" si="18"/>
        <v>0</v>
      </c>
      <c r="O51" s="3">
        <f t="shared" ca="1" si="18"/>
        <v>0</v>
      </c>
    </row>
    <row r="53" spans="1:15" x14ac:dyDescent="0.25">
      <c r="A53" s="43" t="s">
        <v>69</v>
      </c>
    </row>
    <row r="54" spans="1:15" x14ac:dyDescent="0.25">
      <c r="B54" s="3" t="s">
        <v>188</v>
      </c>
      <c r="F54" s="3">
        <f>E57</f>
        <v>900</v>
      </c>
      <c r="G54" s="3">
        <f t="shared" ref="G54:O54" ca="1" si="19">F57</f>
        <v>900</v>
      </c>
      <c r="H54" s="3">
        <f t="shared" ca="1" si="19"/>
        <v>900</v>
      </c>
      <c r="I54" s="3">
        <f t="shared" ca="1" si="19"/>
        <v>900</v>
      </c>
      <c r="J54" s="3">
        <f t="shared" ca="1" si="19"/>
        <v>900</v>
      </c>
      <c r="K54" s="3">
        <f t="shared" ca="1" si="19"/>
        <v>900</v>
      </c>
      <c r="L54" s="3">
        <f t="shared" ca="1" si="19"/>
        <v>900</v>
      </c>
      <c r="M54" s="3">
        <f t="shared" ca="1" si="19"/>
        <v>900</v>
      </c>
      <c r="N54" s="3">
        <f t="shared" ca="1" si="19"/>
        <v>0</v>
      </c>
      <c r="O54" s="3">
        <f t="shared" ca="1" si="19"/>
        <v>0</v>
      </c>
    </row>
    <row r="55" spans="1:15" x14ac:dyDescent="0.25">
      <c r="B55" s="3" t="s">
        <v>196</v>
      </c>
      <c r="F55" s="3">
        <f t="shared" ref="F55:O55" si="20">-MIN(F54,F17*$E$57)</f>
        <v>0</v>
      </c>
      <c r="G55" s="3">
        <f t="shared" ca="1" si="20"/>
        <v>0</v>
      </c>
      <c r="H55" s="3">
        <f t="shared" ca="1" si="20"/>
        <v>0</v>
      </c>
      <c r="I55" s="3">
        <f t="shared" ca="1" si="20"/>
        <v>0</v>
      </c>
      <c r="J55" s="3">
        <f t="shared" ca="1" si="20"/>
        <v>0</v>
      </c>
      <c r="K55" s="3">
        <f t="shared" ca="1" si="20"/>
        <v>0</v>
      </c>
      <c r="L55" s="3">
        <f t="shared" ca="1" si="20"/>
        <v>0</v>
      </c>
      <c r="M55" s="3">
        <f t="shared" ca="1" si="20"/>
        <v>-900</v>
      </c>
      <c r="N55" s="3">
        <f t="shared" ca="1" si="20"/>
        <v>0</v>
      </c>
      <c r="O55" s="3">
        <f t="shared" ca="1" si="20"/>
        <v>0</v>
      </c>
    </row>
    <row r="56" spans="1:15" x14ac:dyDescent="0.25">
      <c r="B56" s="3" t="s">
        <v>197</v>
      </c>
      <c r="C56" s="63">
        <v>0</v>
      </c>
      <c r="F56" s="3">
        <f ca="1">-MIN(F54+F55,F51)*$C$56</f>
        <v>0</v>
      </c>
      <c r="G56" s="3">
        <f t="shared" ref="G56:O56" ca="1" si="21">-MIN(G54+G55,G51)*$C$56</f>
        <v>0</v>
      </c>
      <c r="H56" s="3">
        <f t="shared" ca="1" si="21"/>
        <v>0</v>
      </c>
      <c r="I56" s="3">
        <f t="shared" ca="1" si="21"/>
        <v>0</v>
      </c>
      <c r="J56" s="3">
        <f t="shared" ca="1" si="21"/>
        <v>0</v>
      </c>
      <c r="K56" s="3">
        <f t="shared" ca="1" si="21"/>
        <v>0</v>
      </c>
      <c r="L56" s="3">
        <f t="shared" ca="1" si="21"/>
        <v>0</v>
      </c>
      <c r="M56" s="3">
        <f t="shared" ca="1" si="21"/>
        <v>0</v>
      </c>
      <c r="N56" s="3">
        <f t="shared" ca="1" si="21"/>
        <v>0</v>
      </c>
      <c r="O56" s="3">
        <f t="shared" ca="1" si="21"/>
        <v>0</v>
      </c>
    </row>
    <row r="57" spans="1:15" s="1" customFormat="1" x14ac:dyDescent="0.25">
      <c r="B57" s="1" t="s">
        <v>190</v>
      </c>
      <c r="E57" s="1">
        <f>'S&amp;U'!C42</f>
        <v>900</v>
      </c>
      <c r="F57" s="1">
        <f ca="1">SUM(F54:F56)</f>
        <v>900</v>
      </c>
      <c r="G57" s="1">
        <f t="shared" ref="G57:O57" ca="1" si="22">SUM(G54:G56)</f>
        <v>900</v>
      </c>
      <c r="H57" s="1">
        <f t="shared" ca="1" si="22"/>
        <v>900</v>
      </c>
      <c r="I57" s="1">
        <f t="shared" ca="1" si="22"/>
        <v>900</v>
      </c>
      <c r="J57" s="1">
        <f t="shared" ca="1" si="22"/>
        <v>900</v>
      </c>
      <c r="K57" s="1">
        <f t="shared" ca="1" si="22"/>
        <v>900</v>
      </c>
      <c r="L57" s="1">
        <f t="shared" ca="1" si="22"/>
        <v>900</v>
      </c>
      <c r="M57" s="1">
        <f t="shared" ca="1" si="22"/>
        <v>0</v>
      </c>
      <c r="N57" s="1">
        <f t="shared" ca="1" si="22"/>
        <v>0</v>
      </c>
      <c r="O57" s="1">
        <f t="shared" ca="1" si="22"/>
        <v>0</v>
      </c>
    </row>
    <row r="59" spans="1:15" x14ac:dyDescent="0.25">
      <c r="A59" s="43" t="s">
        <v>70</v>
      </c>
    </row>
    <row r="60" spans="1:15" x14ac:dyDescent="0.25">
      <c r="B60" s="3" t="s">
        <v>188</v>
      </c>
      <c r="F60" s="3">
        <f>E62</f>
        <v>600</v>
      </c>
      <c r="G60" s="3">
        <f t="shared" ref="G60:O60" si="23">F62</f>
        <v>600</v>
      </c>
      <c r="H60" s="3">
        <f t="shared" si="23"/>
        <v>600</v>
      </c>
      <c r="I60" s="3">
        <f t="shared" si="23"/>
        <v>600</v>
      </c>
      <c r="J60" s="3">
        <f t="shared" si="23"/>
        <v>600</v>
      </c>
      <c r="K60" s="3">
        <f t="shared" si="23"/>
        <v>600</v>
      </c>
      <c r="L60" s="3">
        <f t="shared" si="23"/>
        <v>600</v>
      </c>
      <c r="M60" s="3">
        <f t="shared" si="23"/>
        <v>600</v>
      </c>
      <c r="N60" s="3">
        <f t="shared" si="23"/>
        <v>600</v>
      </c>
      <c r="O60" s="3">
        <f t="shared" si="23"/>
        <v>600</v>
      </c>
    </row>
    <row r="61" spans="1:15" x14ac:dyDescent="0.25">
      <c r="B61" s="3" t="s">
        <v>196</v>
      </c>
      <c r="F61" s="3">
        <f t="shared" ref="F61:O61" si="24">-MIN(F60,F18*$E$62)</f>
        <v>0</v>
      </c>
      <c r="G61" s="3">
        <f t="shared" si="24"/>
        <v>0</v>
      </c>
      <c r="H61" s="3">
        <f t="shared" si="24"/>
        <v>0</v>
      </c>
      <c r="I61" s="3">
        <f t="shared" si="24"/>
        <v>0</v>
      </c>
      <c r="J61" s="3">
        <f t="shared" si="24"/>
        <v>0</v>
      </c>
      <c r="K61" s="3">
        <f t="shared" si="24"/>
        <v>0</v>
      </c>
      <c r="L61" s="3">
        <f t="shared" si="24"/>
        <v>0</v>
      </c>
      <c r="M61" s="3">
        <f t="shared" si="24"/>
        <v>0</v>
      </c>
      <c r="N61" s="3">
        <f t="shared" si="24"/>
        <v>0</v>
      </c>
      <c r="O61" s="3">
        <f t="shared" si="24"/>
        <v>-600</v>
      </c>
    </row>
    <row r="62" spans="1:15" s="1" customFormat="1" x14ac:dyDescent="0.25">
      <c r="B62" s="1" t="s">
        <v>190</v>
      </c>
      <c r="E62" s="1">
        <f>'S&amp;U'!C43</f>
        <v>600</v>
      </c>
      <c r="F62" s="1">
        <f>SUM(F60:F61)</f>
        <v>600</v>
      </c>
      <c r="G62" s="1">
        <f t="shared" ref="G62:O62" si="25">SUM(G60:G61)</f>
        <v>600</v>
      </c>
      <c r="H62" s="1">
        <f t="shared" si="25"/>
        <v>600</v>
      </c>
      <c r="I62" s="1">
        <f t="shared" si="25"/>
        <v>600</v>
      </c>
      <c r="J62" s="1">
        <f t="shared" si="25"/>
        <v>600</v>
      </c>
      <c r="K62" s="1">
        <f t="shared" si="25"/>
        <v>600</v>
      </c>
      <c r="L62" s="1">
        <f t="shared" si="25"/>
        <v>600</v>
      </c>
      <c r="M62" s="1">
        <f t="shared" si="25"/>
        <v>600</v>
      </c>
      <c r="N62" s="1">
        <f t="shared" si="25"/>
        <v>600</v>
      </c>
      <c r="O62" s="1">
        <f t="shared" si="25"/>
        <v>0</v>
      </c>
    </row>
    <row r="64" spans="1:15" x14ac:dyDescent="0.25">
      <c r="A64" s="43" t="s">
        <v>71</v>
      </c>
    </row>
    <row r="65" spans="1:15" x14ac:dyDescent="0.25">
      <c r="B65" s="3" t="s">
        <v>188</v>
      </c>
      <c r="F65" s="3">
        <f>E68</f>
        <v>500</v>
      </c>
      <c r="G65" s="3">
        <f t="shared" ref="G65:O65" si="26">F68</f>
        <v>564.04999999999995</v>
      </c>
      <c r="H65" s="3">
        <f t="shared" si="26"/>
        <v>636.30480499999999</v>
      </c>
      <c r="I65" s="3">
        <f t="shared" si="26"/>
        <v>717.81545052050001</v>
      </c>
      <c r="J65" s="3">
        <f t="shared" si="26"/>
        <v>809.76760973217608</v>
      </c>
      <c r="K65" s="3">
        <f t="shared" si="26"/>
        <v>913.49884053886785</v>
      </c>
      <c r="L65" s="3">
        <f t="shared" si="26"/>
        <v>1030.5180420118968</v>
      </c>
      <c r="M65" s="3">
        <f t="shared" si="26"/>
        <v>1162.5274031936208</v>
      </c>
      <c r="N65" s="3">
        <f t="shared" si="26"/>
        <v>1311.4471635427235</v>
      </c>
      <c r="O65" s="3">
        <f t="shared" si="26"/>
        <v>1479.4435451925465</v>
      </c>
    </row>
    <row r="66" spans="1:15" x14ac:dyDescent="0.25">
      <c r="B66" s="3" t="s">
        <v>199</v>
      </c>
      <c r="F66" s="3">
        <f>F65*F69</f>
        <v>64.05</v>
      </c>
      <c r="G66" s="3">
        <f t="shared" ref="G66:O66" si="27">G65*G69</f>
        <v>72.25480499999999</v>
      </c>
      <c r="H66" s="3">
        <f t="shared" si="27"/>
        <v>81.510645520499992</v>
      </c>
      <c r="I66" s="3">
        <f t="shared" si="27"/>
        <v>91.952159211676047</v>
      </c>
      <c r="J66" s="3">
        <f t="shared" si="27"/>
        <v>103.73123080669176</v>
      </c>
      <c r="K66" s="3">
        <f t="shared" si="27"/>
        <v>117.01920147302897</v>
      </c>
      <c r="L66" s="3">
        <f t="shared" si="27"/>
        <v>132.00936118172396</v>
      </c>
      <c r="M66" s="3">
        <f t="shared" si="27"/>
        <v>148.9197603491028</v>
      </c>
      <c r="N66" s="3">
        <f t="shared" si="27"/>
        <v>167.99638164982287</v>
      </c>
      <c r="O66" s="3">
        <f t="shared" si="27"/>
        <v>189.51671813916519</v>
      </c>
    </row>
    <row r="67" spans="1:15" x14ac:dyDescent="0.25">
      <c r="B67" s="3" t="s">
        <v>196</v>
      </c>
      <c r="F67" s="3">
        <f t="shared" ref="F67:O67" si="28">-SUM(F65:F66)*F19</f>
        <v>0</v>
      </c>
      <c r="G67" s="3">
        <f t="shared" si="28"/>
        <v>0</v>
      </c>
      <c r="H67" s="3">
        <f t="shared" si="28"/>
        <v>0</v>
      </c>
      <c r="I67" s="3">
        <f t="shared" si="28"/>
        <v>0</v>
      </c>
      <c r="J67" s="3">
        <f t="shared" si="28"/>
        <v>0</v>
      </c>
      <c r="K67" s="3">
        <f t="shared" si="28"/>
        <v>0</v>
      </c>
      <c r="L67" s="3">
        <f t="shared" si="28"/>
        <v>0</v>
      </c>
      <c r="M67" s="3">
        <f t="shared" si="28"/>
        <v>0</v>
      </c>
      <c r="N67" s="3">
        <f t="shared" si="28"/>
        <v>0</v>
      </c>
      <c r="O67" s="3">
        <f t="shared" si="28"/>
        <v>-1668.9602633317118</v>
      </c>
    </row>
    <row r="68" spans="1:15" s="1" customFormat="1" x14ac:dyDescent="0.25">
      <c r="B68" s="1" t="s">
        <v>190</v>
      </c>
      <c r="E68" s="1">
        <f>'S&amp;U'!C44</f>
        <v>500</v>
      </c>
      <c r="F68" s="1">
        <f>SUM(F65:F67)</f>
        <v>564.04999999999995</v>
      </c>
      <c r="G68" s="1">
        <f t="shared" ref="G68:O68" si="29">SUM(G65:G67)</f>
        <v>636.30480499999999</v>
      </c>
      <c r="H68" s="1">
        <f t="shared" si="29"/>
        <v>717.81545052050001</v>
      </c>
      <c r="I68" s="1">
        <f t="shared" si="29"/>
        <v>809.76760973217608</v>
      </c>
      <c r="J68" s="1">
        <f t="shared" si="29"/>
        <v>913.49884053886785</v>
      </c>
      <c r="K68" s="1">
        <f t="shared" si="29"/>
        <v>1030.5180420118968</v>
      </c>
      <c r="L68" s="1">
        <f t="shared" si="29"/>
        <v>1162.5274031936208</v>
      </c>
      <c r="M68" s="1">
        <f t="shared" si="29"/>
        <v>1311.4471635427235</v>
      </c>
      <c r="N68" s="1">
        <f t="shared" si="29"/>
        <v>1479.4435451925465</v>
      </c>
      <c r="O68" s="1">
        <f t="shared" si="29"/>
        <v>0</v>
      </c>
    </row>
    <row r="69" spans="1:15" x14ac:dyDescent="0.25">
      <c r="B69" s="3" t="s">
        <v>63</v>
      </c>
      <c r="F69" s="9">
        <f>'S&amp;U'!$K$44</f>
        <v>0.12809999999999999</v>
      </c>
      <c r="G69" s="9">
        <f>'S&amp;U'!$K$44</f>
        <v>0.12809999999999999</v>
      </c>
      <c r="H69" s="9">
        <f>'S&amp;U'!$K$44</f>
        <v>0.12809999999999999</v>
      </c>
      <c r="I69" s="9">
        <f>'S&amp;U'!$K$44</f>
        <v>0.12809999999999999</v>
      </c>
      <c r="J69" s="9">
        <f>'S&amp;U'!$K$44</f>
        <v>0.12809999999999999</v>
      </c>
      <c r="K69" s="9">
        <f>'S&amp;U'!$K$44</f>
        <v>0.12809999999999999</v>
      </c>
      <c r="L69" s="9">
        <f>'S&amp;U'!$K$44</f>
        <v>0.12809999999999999</v>
      </c>
      <c r="M69" s="9">
        <f>'S&amp;U'!$K$44</f>
        <v>0.12809999999999999</v>
      </c>
      <c r="N69" s="9">
        <f>'S&amp;U'!$K$44</f>
        <v>0.12809999999999999</v>
      </c>
      <c r="O69" s="9">
        <f>'S&amp;U'!$K$44</f>
        <v>0.12809999999999999</v>
      </c>
    </row>
    <row r="71" spans="1:15" x14ac:dyDescent="0.25">
      <c r="A71" s="43" t="s">
        <v>200</v>
      </c>
    </row>
    <row r="72" spans="1:15" x14ac:dyDescent="0.25">
      <c r="B72" s="3" t="s">
        <v>188</v>
      </c>
      <c r="F72" s="3">
        <f>E74</f>
        <v>535.5825268562603</v>
      </c>
      <c r="G72" s="3">
        <f t="shared" ref="G72:O72" si="30">F74</f>
        <v>615.91990588469935</v>
      </c>
      <c r="H72" s="3">
        <f t="shared" si="30"/>
        <v>708.30789176740427</v>
      </c>
      <c r="I72" s="3">
        <f t="shared" si="30"/>
        <v>814.55407553251496</v>
      </c>
      <c r="J72" s="3">
        <f t="shared" si="30"/>
        <v>936.73718686239215</v>
      </c>
      <c r="K72" s="3">
        <f t="shared" si="30"/>
        <v>1077.2477648917509</v>
      </c>
      <c r="L72" s="3">
        <f t="shared" si="30"/>
        <v>1238.8349296255135</v>
      </c>
      <c r="M72" s="3">
        <f t="shared" si="30"/>
        <v>1424.6601690693406</v>
      </c>
      <c r="N72" s="3">
        <f t="shared" si="30"/>
        <v>1638.3591944297416</v>
      </c>
      <c r="O72" s="3">
        <f t="shared" si="30"/>
        <v>1884.1130735942029</v>
      </c>
    </row>
    <row r="73" spans="1:15" x14ac:dyDescent="0.25">
      <c r="B73" s="3" t="s">
        <v>199</v>
      </c>
      <c r="F73" s="3">
        <f t="shared" ref="F73:O73" si="31">F72*F75</f>
        <v>80.337379028439045</v>
      </c>
      <c r="G73" s="3">
        <f t="shared" si="31"/>
        <v>92.387985882704896</v>
      </c>
      <c r="H73" s="3">
        <f t="shared" si="31"/>
        <v>106.24618376511064</v>
      </c>
      <c r="I73" s="3">
        <f t="shared" si="31"/>
        <v>122.18311132987724</v>
      </c>
      <c r="J73" s="3">
        <f t="shared" si="31"/>
        <v>140.51057802935881</v>
      </c>
      <c r="K73" s="3">
        <f t="shared" si="31"/>
        <v>161.58716473376262</v>
      </c>
      <c r="L73" s="3">
        <f t="shared" si="31"/>
        <v>185.82523944382703</v>
      </c>
      <c r="M73" s="3">
        <f t="shared" si="31"/>
        <v>213.69902536040107</v>
      </c>
      <c r="N73" s="3">
        <f t="shared" si="31"/>
        <v>245.75387916446124</v>
      </c>
      <c r="O73" s="3">
        <f t="shared" si="31"/>
        <v>282.61696103913044</v>
      </c>
    </row>
    <row r="74" spans="1:15" s="1" customFormat="1" x14ac:dyDescent="0.25">
      <c r="B74" s="1" t="s">
        <v>190</v>
      </c>
      <c r="E74" s="1">
        <f>'S&amp;U'!C45</f>
        <v>535.5825268562603</v>
      </c>
      <c r="F74" s="1">
        <f t="shared" ref="F74:O74" si="32">SUM(F72:F73)</f>
        <v>615.91990588469935</v>
      </c>
      <c r="G74" s="1">
        <f t="shared" si="32"/>
        <v>708.30789176740427</v>
      </c>
      <c r="H74" s="1">
        <f t="shared" si="32"/>
        <v>814.55407553251496</v>
      </c>
      <c r="I74" s="1">
        <f t="shared" si="32"/>
        <v>936.73718686239215</v>
      </c>
      <c r="J74" s="1">
        <f t="shared" si="32"/>
        <v>1077.2477648917509</v>
      </c>
      <c r="K74" s="1">
        <f t="shared" si="32"/>
        <v>1238.8349296255135</v>
      </c>
      <c r="L74" s="1">
        <f t="shared" si="32"/>
        <v>1424.6601690693406</v>
      </c>
      <c r="M74" s="1">
        <f t="shared" si="32"/>
        <v>1638.3591944297416</v>
      </c>
      <c r="N74" s="1">
        <f t="shared" si="32"/>
        <v>1884.1130735942029</v>
      </c>
      <c r="O74" s="1">
        <f t="shared" si="32"/>
        <v>2166.7300346333332</v>
      </c>
    </row>
    <row r="75" spans="1:15" x14ac:dyDescent="0.25">
      <c r="B75" s="3" t="s">
        <v>63</v>
      </c>
      <c r="F75" s="9">
        <f>'S&amp;U'!$K$45</f>
        <v>0.15</v>
      </c>
      <c r="G75" s="9">
        <f>'S&amp;U'!$K$45</f>
        <v>0.15</v>
      </c>
      <c r="H75" s="9">
        <f>'S&amp;U'!$K$45</f>
        <v>0.15</v>
      </c>
      <c r="I75" s="9">
        <f>'S&amp;U'!$K$45</f>
        <v>0.15</v>
      </c>
      <c r="J75" s="9">
        <f>'S&amp;U'!$K$45</f>
        <v>0.15</v>
      </c>
      <c r="K75" s="9">
        <f>'S&amp;U'!$K$45</f>
        <v>0.15</v>
      </c>
      <c r="L75" s="9">
        <f>'S&amp;U'!$K$45</f>
        <v>0.15</v>
      </c>
      <c r="M75" s="9">
        <f>'S&amp;U'!$K$45</f>
        <v>0.15</v>
      </c>
      <c r="N75" s="9">
        <f>'S&amp;U'!$K$45</f>
        <v>0.15</v>
      </c>
      <c r="O75" s="9">
        <f>'S&amp;U'!$K$45</f>
        <v>0.15</v>
      </c>
    </row>
    <row r="77" spans="1:15" ht="15.6" x14ac:dyDescent="0.25">
      <c r="A77" s="61" t="s">
        <v>201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</row>
    <row r="79" spans="1:15" x14ac:dyDescent="0.25">
      <c r="A79" s="43" t="s">
        <v>202</v>
      </c>
    </row>
    <row r="80" spans="1:15" x14ac:dyDescent="0.25">
      <c r="B80" s="3" t="s">
        <v>203</v>
      </c>
      <c r="E80" s="3">
        <f>FS!E83</f>
        <v>0</v>
      </c>
      <c r="F80" s="3">
        <f ca="1">FS!F83</f>
        <v>11.157247500000096</v>
      </c>
      <c r="G80" s="3">
        <f ca="1">FS!G83</f>
        <v>12.272972249999953</v>
      </c>
      <c r="H80" s="3">
        <f ca="1">FS!H83</f>
        <v>13.377539752500013</v>
      </c>
      <c r="I80" s="3">
        <f ca="1">FS!I83</f>
        <v>14.44774293270001</v>
      </c>
      <c r="J80" s="3">
        <f ca="1">FS!J83</f>
        <v>15.459084937988962</v>
      </c>
      <c r="K80" s="3">
        <f ca="1">FS!K83</f>
        <v>16.386630034268364</v>
      </c>
      <c r="L80" s="3">
        <f ca="1">FS!L83</f>
        <v>17.205961535981771</v>
      </c>
      <c r="M80" s="3">
        <f ca="1">FS!M83</f>
        <v>17.894199997421026</v>
      </c>
      <c r="N80" s="3">
        <f ca="1">FS!N83</f>
        <v>18.431025997343681</v>
      </c>
      <c r="O80" s="3">
        <f ca="1">FS!O83</f>
        <v>18.98395677726387</v>
      </c>
    </row>
    <row r="81" spans="1:15" x14ac:dyDescent="0.25">
      <c r="A81" s="43"/>
      <c r="B81" s="3" t="s">
        <v>67</v>
      </c>
      <c r="E81" s="3">
        <f t="shared" ref="E81:O81" si="33">E36</f>
        <v>0</v>
      </c>
      <c r="F81" s="3">
        <f t="shared" ca="1" si="33"/>
        <v>0</v>
      </c>
      <c r="G81" s="3">
        <f t="shared" ca="1" si="33"/>
        <v>0</v>
      </c>
      <c r="H81" s="3">
        <f t="shared" ca="1" si="33"/>
        <v>0</v>
      </c>
      <c r="I81" s="3">
        <f t="shared" ca="1" si="33"/>
        <v>0</v>
      </c>
      <c r="J81" s="3">
        <f t="shared" ca="1" si="33"/>
        <v>0</v>
      </c>
      <c r="K81" s="3">
        <f t="shared" ca="1" si="33"/>
        <v>0</v>
      </c>
      <c r="L81" s="3">
        <f t="shared" ca="1" si="33"/>
        <v>45.492898769774229</v>
      </c>
      <c r="M81" s="3">
        <f t="shared" ca="1" si="33"/>
        <v>662.95269596041874</v>
      </c>
      <c r="N81" s="3">
        <f t="shared" ca="1" si="33"/>
        <v>348.85859906094697</v>
      </c>
      <c r="O81" s="3">
        <f t="shared" ca="1" si="33"/>
        <v>2303.6137799717449</v>
      </c>
    </row>
    <row r="82" spans="1:15" x14ac:dyDescent="0.25">
      <c r="B82" s="3" t="s">
        <v>68</v>
      </c>
      <c r="E82" s="3">
        <f t="shared" ref="E82:O82" si="34">E49</f>
        <v>1200</v>
      </c>
      <c r="F82" s="3">
        <f t="shared" ca="1" si="34"/>
        <v>1135.1169577198139</v>
      </c>
      <c r="G82" s="3">
        <f t="shared" ca="1" si="34"/>
        <v>1042.6888545083839</v>
      </c>
      <c r="H82" s="3">
        <f t="shared" ca="1" si="34"/>
        <v>907.53423636733862</v>
      </c>
      <c r="I82" s="3">
        <f t="shared" ca="1" si="34"/>
        <v>724.66689777660679</v>
      </c>
      <c r="J82" s="3">
        <f t="shared" ca="1" si="34"/>
        <v>521.18880711517522</v>
      </c>
      <c r="K82" s="3">
        <f t="shared" ca="1" si="34"/>
        <v>294.18915295263537</v>
      </c>
      <c r="L82" s="3">
        <f t="shared" ca="1" si="34"/>
        <v>0</v>
      </c>
      <c r="M82" s="3">
        <f t="shared" ca="1" si="34"/>
        <v>0</v>
      </c>
      <c r="N82" s="3">
        <f t="shared" ca="1" si="34"/>
        <v>0</v>
      </c>
      <c r="O82" s="3">
        <f t="shared" ca="1" si="34"/>
        <v>0</v>
      </c>
    </row>
    <row r="83" spans="1:15" x14ac:dyDescent="0.25">
      <c r="B83" s="3" t="s">
        <v>69</v>
      </c>
      <c r="E83" s="3">
        <f t="shared" ref="E83:O83" si="35">E57</f>
        <v>900</v>
      </c>
      <c r="F83" s="3">
        <f t="shared" ca="1" si="35"/>
        <v>900</v>
      </c>
      <c r="G83" s="3">
        <f t="shared" ca="1" si="35"/>
        <v>900</v>
      </c>
      <c r="H83" s="3">
        <f t="shared" ca="1" si="35"/>
        <v>900</v>
      </c>
      <c r="I83" s="3">
        <f t="shared" ca="1" si="35"/>
        <v>900</v>
      </c>
      <c r="J83" s="3">
        <f t="shared" ca="1" si="35"/>
        <v>900</v>
      </c>
      <c r="K83" s="3">
        <f t="shared" ca="1" si="35"/>
        <v>900</v>
      </c>
      <c r="L83" s="3">
        <f t="shared" ca="1" si="35"/>
        <v>900</v>
      </c>
      <c r="M83" s="3">
        <f t="shared" ca="1" si="35"/>
        <v>0</v>
      </c>
      <c r="N83" s="3">
        <f t="shared" ca="1" si="35"/>
        <v>0</v>
      </c>
      <c r="O83" s="3">
        <f t="shared" ca="1" si="35"/>
        <v>0</v>
      </c>
    </row>
    <row r="84" spans="1:15" x14ac:dyDescent="0.25">
      <c r="B84" s="3" t="s">
        <v>183</v>
      </c>
      <c r="E84" s="3">
        <f t="shared" ref="E84:O84" si="36">E62</f>
        <v>600</v>
      </c>
      <c r="F84" s="3">
        <f t="shared" si="36"/>
        <v>600</v>
      </c>
      <c r="G84" s="3">
        <f t="shared" si="36"/>
        <v>600</v>
      </c>
      <c r="H84" s="3">
        <f t="shared" si="36"/>
        <v>600</v>
      </c>
      <c r="I84" s="3">
        <f t="shared" si="36"/>
        <v>600</v>
      </c>
      <c r="J84" s="3">
        <f t="shared" si="36"/>
        <v>600</v>
      </c>
      <c r="K84" s="3">
        <f t="shared" si="36"/>
        <v>600</v>
      </c>
      <c r="L84" s="3">
        <f t="shared" si="36"/>
        <v>600</v>
      </c>
      <c r="M84" s="3">
        <f t="shared" si="36"/>
        <v>600</v>
      </c>
      <c r="N84" s="3">
        <f t="shared" si="36"/>
        <v>600</v>
      </c>
      <c r="O84" s="3">
        <f t="shared" si="36"/>
        <v>0</v>
      </c>
    </row>
    <row r="85" spans="1:15" x14ac:dyDescent="0.25">
      <c r="B85" s="3" t="s">
        <v>71</v>
      </c>
      <c r="E85" s="3">
        <f t="shared" ref="E85:O85" si="37">E68</f>
        <v>500</v>
      </c>
      <c r="F85" s="3">
        <f t="shared" si="37"/>
        <v>564.04999999999995</v>
      </c>
      <c r="G85" s="3">
        <f t="shared" si="37"/>
        <v>636.30480499999999</v>
      </c>
      <c r="H85" s="3">
        <f t="shared" si="37"/>
        <v>717.81545052050001</v>
      </c>
      <c r="I85" s="3">
        <f t="shared" si="37"/>
        <v>809.76760973217608</v>
      </c>
      <c r="J85" s="3">
        <f t="shared" si="37"/>
        <v>913.49884053886785</v>
      </c>
      <c r="K85" s="3">
        <f t="shared" si="37"/>
        <v>1030.5180420118968</v>
      </c>
      <c r="L85" s="3">
        <f t="shared" si="37"/>
        <v>1162.5274031936208</v>
      </c>
      <c r="M85" s="3">
        <f t="shared" si="37"/>
        <v>1311.4471635427235</v>
      </c>
      <c r="N85" s="3">
        <f t="shared" si="37"/>
        <v>1479.4435451925465</v>
      </c>
      <c r="O85" s="3">
        <f t="shared" si="37"/>
        <v>0</v>
      </c>
    </row>
    <row r="86" spans="1:15" x14ac:dyDescent="0.25">
      <c r="B86" s="3" t="s">
        <v>72</v>
      </c>
      <c r="E86" s="3">
        <f t="shared" ref="E86:O86" si="38">E74</f>
        <v>535.5825268562603</v>
      </c>
      <c r="F86" s="3">
        <f t="shared" si="38"/>
        <v>615.91990588469935</v>
      </c>
      <c r="G86" s="3">
        <f t="shared" si="38"/>
        <v>708.30789176740427</v>
      </c>
      <c r="H86" s="3">
        <f t="shared" si="38"/>
        <v>814.55407553251496</v>
      </c>
      <c r="I86" s="3">
        <f t="shared" si="38"/>
        <v>936.73718686239215</v>
      </c>
      <c r="J86" s="3">
        <f t="shared" si="38"/>
        <v>1077.2477648917509</v>
      </c>
      <c r="K86" s="3">
        <f t="shared" si="38"/>
        <v>1238.8349296255135</v>
      </c>
      <c r="L86" s="3">
        <f t="shared" si="38"/>
        <v>1424.6601690693406</v>
      </c>
      <c r="M86" s="3">
        <f t="shared" si="38"/>
        <v>1638.3591944297416</v>
      </c>
      <c r="N86" s="3">
        <f t="shared" si="38"/>
        <v>1884.1130735942029</v>
      </c>
      <c r="O86" s="3">
        <f t="shared" si="38"/>
        <v>2166.7300346333332</v>
      </c>
    </row>
    <row r="88" spans="1:15" x14ac:dyDescent="0.25">
      <c r="A88" s="43" t="s">
        <v>204</v>
      </c>
    </row>
    <row r="89" spans="1:15" x14ac:dyDescent="0.25">
      <c r="A89" s="43"/>
      <c r="B89" s="3" t="s">
        <v>203</v>
      </c>
      <c r="F89" s="9">
        <f>'S&amp;U'!$K39</f>
        <v>0.01</v>
      </c>
      <c r="G89" s="9">
        <f>'S&amp;U'!$K39</f>
        <v>0.01</v>
      </c>
      <c r="H89" s="9">
        <f>'S&amp;U'!$K39</f>
        <v>0.01</v>
      </c>
      <c r="I89" s="9">
        <f>'S&amp;U'!$K39</f>
        <v>0.01</v>
      </c>
      <c r="J89" s="9">
        <f>'S&amp;U'!$K39</f>
        <v>0.01</v>
      </c>
      <c r="K89" s="9">
        <f>'S&amp;U'!$K39</f>
        <v>0.01</v>
      </c>
      <c r="L89" s="9">
        <f>'S&amp;U'!$K39</f>
        <v>0.01</v>
      </c>
      <c r="M89" s="9">
        <f>'S&amp;U'!$K39</f>
        <v>0.01</v>
      </c>
      <c r="N89" s="9">
        <f>'S&amp;U'!$K39</f>
        <v>0.01</v>
      </c>
      <c r="O89" s="9">
        <f>'S&amp;U'!$K39</f>
        <v>0.01</v>
      </c>
    </row>
    <row r="90" spans="1:15" x14ac:dyDescent="0.25">
      <c r="B90" s="3" t="s">
        <v>67</v>
      </c>
      <c r="F90" s="9">
        <f>'S&amp;U'!$K40</f>
        <v>3.5499999999999997E-2</v>
      </c>
      <c r="G90" s="9">
        <f>'S&amp;U'!$K40</f>
        <v>3.5499999999999997E-2</v>
      </c>
      <c r="H90" s="9">
        <f>'S&amp;U'!$K40</f>
        <v>3.5499999999999997E-2</v>
      </c>
      <c r="I90" s="9">
        <f>'S&amp;U'!$K40</f>
        <v>3.5499999999999997E-2</v>
      </c>
      <c r="J90" s="9">
        <f>'S&amp;U'!$K40</f>
        <v>3.5499999999999997E-2</v>
      </c>
      <c r="K90" s="9">
        <f>'S&amp;U'!$K40</f>
        <v>3.5499999999999997E-2</v>
      </c>
      <c r="L90" s="9">
        <f>'S&amp;U'!$K40</f>
        <v>3.5499999999999997E-2</v>
      </c>
      <c r="M90" s="9">
        <f>'S&amp;U'!$K40</f>
        <v>3.5499999999999997E-2</v>
      </c>
      <c r="N90" s="9">
        <f>'S&amp;U'!$K40</f>
        <v>3.5499999999999997E-2</v>
      </c>
      <c r="O90" s="9">
        <f>'S&amp;U'!$K40</f>
        <v>3.5499999999999997E-2</v>
      </c>
    </row>
    <row r="91" spans="1:15" x14ac:dyDescent="0.25">
      <c r="B91" s="3" t="s">
        <v>68</v>
      </c>
      <c r="F91" s="9">
        <f>'S&amp;U'!$K41</f>
        <v>5.8400000000000001E-2</v>
      </c>
      <c r="G91" s="9">
        <f>'S&amp;U'!$K41</f>
        <v>5.8400000000000001E-2</v>
      </c>
      <c r="H91" s="9">
        <f>'S&amp;U'!$K41</f>
        <v>5.8400000000000001E-2</v>
      </c>
      <c r="I91" s="9">
        <f>'S&amp;U'!$K41</f>
        <v>5.8400000000000001E-2</v>
      </c>
      <c r="J91" s="9">
        <f>'S&amp;U'!$K41</f>
        <v>5.8400000000000001E-2</v>
      </c>
      <c r="K91" s="9">
        <f>'S&amp;U'!$K41</f>
        <v>5.8400000000000001E-2</v>
      </c>
      <c r="L91" s="9">
        <f>'S&amp;U'!$K41</f>
        <v>5.8400000000000001E-2</v>
      </c>
      <c r="M91" s="9">
        <f>'S&amp;U'!$K41</f>
        <v>5.8400000000000001E-2</v>
      </c>
      <c r="N91" s="9">
        <f>'S&amp;U'!$K41</f>
        <v>5.8400000000000001E-2</v>
      </c>
      <c r="O91" s="9">
        <f>'S&amp;U'!$K41</f>
        <v>5.8400000000000001E-2</v>
      </c>
    </row>
    <row r="92" spans="1:15" x14ac:dyDescent="0.25">
      <c r="B92" s="3" t="s">
        <v>69</v>
      </c>
      <c r="F92" s="9">
        <f>'S&amp;U'!$K42</f>
        <v>6.8599999999999994E-2</v>
      </c>
      <c r="G92" s="9">
        <f>'S&amp;U'!$K42</f>
        <v>6.8599999999999994E-2</v>
      </c>
      <c r="H92" s="9">
        <f>'S&amp;U'!$K42</f>
        <v>6.8599999999999994E-2</v>
      </c>
      <c r="I92" s="9">
        <f>'S&amp;U'!$K42</f>
        <v>6.8599999999999994E-2</v>
      </c>
      <c r="J92" s="9">
        <f>'S&amp;U'!$K42</f>
        <v>6.8599999999999994E-2</v>
      </c>
      <c r="K92" s="9">
        <f>'S&amp;U'!$K42</f>
        <v>6.8599999999999994E-2</v>
      </c>
      <c r="L92" s="9">
        <f>'S&amp;U'!$K42</f>
        <v>6.8599999999999994E-2</v>
      </c>
      <c r="M92" s="9">
        <f>'S&amp;U'!$K42</f>
        <v>6.8599999999999994E-2</v>
      </c>
      <c r="N92" s="9">
        <f>'S&amp;U'!$K42</f>
        <v>6.8599999999999994E-2</v>
      </c>
      <c r="O92" s="9">
        <f>'S&amp;U'!$K42</f>
        <v>6.8599999999999994E-2</v>
      </c>
    </row>
    <row r="93" spans="1:15" x14ac:dyDescent="0.25">
      <c r="B93" s="3" t="s">
        <v>183</v>
      </c>
      <c r="F93" s="9">
        <f>'S&amp;U'!$K43</f>
        <v>8.6249999999999993E-2</v>
      </c>
      <c r="G93" s="9">
        <f>'S&amp;U'!$K43</f>
        <v>8.6249999999999993E-2</v>
      </c>
      <c r="H93" s="9">
        <f>'S&amp;U'!$K43</f>
        <v>8.6249999999999993E-2</v>
      </c>
      <c r="I93" s="9">
        <f>'S&amp;U'!$K43</f>
        <v>8.6249999999999993E-2</v>
      </c>
      <c r="J93" s="9">
        <f>'S&amp;U'!$K43</f>
        <v>8.6249999999999993E-2</v>
      </c>
      <c r="K93" s="9">
        <f>'S&amp;U'!$K43</f>
        <v>8.6249999999999993E-2</v>
      </c>
      <c r="L93" s="9">
        <f>'S&amp;U'!$K43</f>
        <v>8.6249999999999993E-2</v>
      </c>
      <c r="M93" s="9">
        <f>'S&amp;U'!$K43</f>
        <v>8.6249999999999993E-2</v>
      </c>
      <c r="N93" s="9">
        <f>'S&amp;U'!$K43</f>
        <v>8.6249999999999993E-2</v>
      </c>
      <c r="O93" s="9">
        <f>'S&amp;U'!$K43</f>
        <v>8.6249999999999993E-2</v>
      </c>
    </row>
    <row r="94" spans="1:15" x14ac:dyDescent="0.25">
      <c r="B94" s="3" t="s">
        <v>71</v>
      </c>
      <c r="F94" s="9">
        <f>'S&amp;U'!$K44</f>
        <v>0.12809999999999999</v>
      </c>
      <c r="G94" s="9">
        <f>'S&amp;U'!$K44</f>
        <v>0.12809999999999999</v>
      </c>
      <c r="H94" s="9">
        <f>'S&amp;U'!$K44</f>
        <v>0.12809999999999999</v>
      </c>
      <c r="I94" s="9">
        <f>'S&amp;U'!$K44</f>
        <v>0.12809999999999999</v>
      </c>
      <c r="J94" s="9">
        <f>'S&amp;U'!$K44</f>
        <v>0.12809999999999999</v>
      </c>
      <c r="K94" s="9">
        <f>'S&amp;U'!$K44</f>
        <v>0.12809999999999999</v>
      </c>
      <c r="L94" s="9">
        <f>'S&amp;U'!$K44</f>
        <v>0.12809999999999999</v>
      </c>
      <c r="M94" s="9">
        <f>'S&amp;U'!$K44</f>
        <v>0.12809999999999999</v>
      </c>
      <c r="N94" s="9">
        <f>'S&amp;U'!$K44</f>
        <v>0.12809999999999999</v>
      </c>
      <c r="O94" s="9">
        <f>'S&amp;U'!$K44</f>
        <v>0.12809999999999999</v>
      </c>
    </row>
    <row r="95" spans="1:15" x14ac:dyDescent="0.25">
      <c r="B95" s="3" t="s">
        <v>72</v>
      </c>
      <c r="F95" s="9">
        <f>'S&amp;U'!$K45</f>
        <v>0.15</v>
      </c>
      <c r="G95" s="9">
        <f>'S&amp;U'!$K45</f>
        <v>0.15</v>
      </c>
      <c r="H95" s="9">
        <f>'S&amp;U'!$K45</f>
        <v>0.15</v>
      </c>
      <c r="I95" s="9">
        <f>'S&amp;U'!$K45</f>
        <v>0.15</v>
      </c>
      <c r="J95" s="9">
        <f>'S&amp;U'!$K45</f>
        <v>0.15</v>
      </c>
      <c r="K95" s="9">
        <f>'S&amp;U'!$K45</f>
        <v>0.15</v>
      </c>
      <c r="L95" s="9">
        <f>'S&amp;U'!$K45</f>
        <v>0.15</v>
      </c>
      <c r="M95" s="9">
        <f>'S&amp;U'!$K45</f>
        <v>0.15</v>
      </c>
      <c r="N95" s="9">
        <f>'S&amp;U'!$K45</f>
        <v>0.15</v>
      </c>
      <c r="O95" s="9">
        <f>'S&amp;U'!$K45</f>
        <v>0.15</v>
      </c>
    </row>
    <row r="97" spans="1:15" x14ac:dyDescent="0.25">
      <c r="A97" s="43" t="s">
        <v>205</v>
      </c>
    </row>
    <row r="98" spans="1:15" x14ac:dyDescent="0.25">
      <c r="B98" s="3" t="s">
        <v>203</v>
      </c>
      <c r="F98" s="3">
        <f>F89*E80</f>
        <v>0</v>
      </c>
      <c r="G98" s="3">
        <f t="shared" ref="G98:O98" ca="1" si="39">G89*F80</f>
        <v>0.11157247500000096</v>
      </c>
      <c r="H98" s="3">
        <f t="shared" ca="1" si="39"/>
        <v>0.12272972249999953</v>
      </c>
      <c r="I98" s="3">
        <f t="shared" ca="1" si="39"/>
        <v>0.13377539752500014</v>
      </c>
      <c r="J98" s="3">
        <f t="shared" ca="1" si="39"/>
        <v>0.14447742932700011</v>
      </c>
      <c r="K98" s="3">
        <f t="shared" ca="1" si="39"/>
        <v>0.15459084937988962</v>
      </c>
      <c r="L98" s="3">
        <f t="shared" ca="1" si="39"/>
        <v>0.16386630034268365</v>
      </c>
      <c r="M98" s="3">
        <f t="shared" ca="1" si="39"/>
        <v>0.1720596153598177</v>
      </c>
      <c r="N98" s="3">
        <f t="shared" ca="1" si="39"/>
        <v>0.17894199997421026</v>
      </c>
      <c r="O98" s="3">
        <f t="shared" ca="1" si="39"/>
        <v>0.18431025997343681</v>
      </c>
    </row>
    <row r="99" spans="1:15" x14ac:dyDescent="0.25">
      <c r="B99" s="3" t="s">
        <v>67</v>
      </c>
      <c r="F99" s="3">
        <f>-F90*E81</f>
        <v>0</v>
      </c>
      <c r="G99" s="3">
        <f t="shared" ref="G99:O99" ca="1" si="40">-G90*F81</f>
        <v>0</v>
      </c>
      <c r="H99" s="3">
        <f t="shared" ca="1" si="40"/>
        <v>0</v>
      </c>
      <c r="I99" s="3">
        <f t="shared" ca="1" si="40"/>
        <v>0</v>
      </c>
      <c r="J99" s="3">
        <f t="shared" ca="1" si="40"/>
        <v>0</v>
      </c>
      <c r="K99" s="3">
        <f t="shared" ca="1" si="40"/>
        <v>0</v>
      </c>
      <c r="L99" s="3">
        <f t="shared" ca="1" si="40"/>
        <v>0</v>
      </c>
      <c r="M99" s="3">
        <f t="shared" ca="1" si="40"/>
        <v>-1.614997906326985</v>
      </c>
      <c r="N99" s="3">
        <f t="shared" ca="1" si="40"/>
        <v>-23.534820706594864</v>
      </c>
      <c r="O99" s="3">
        <f t="shared" ca="1" si="40"/>
        <v>-12.384480266663616</v>
      </c>
    </row>
    <row r="100" spans="1:15" x14ac:dyDescent="0.25">
      <c r="B100" s="3" t="s">
        <v>68</v>
      </c>
      <c r="F100" s="3">
        <f t="shared" ref="F100:O100" si="41">-F91*E82</f>
        <v>-70.08</v>
      </c>
      <c r="G100" s="3">
        <f t="shared" ca="1" si="41"/>
        <v>-66.290830330837125</v>
      </c>
      <c r="H100" s="3">
        <f t="shared" ca="1" si="41"/>
        <v>-60.893029103289621</v>
      </c>
      <c r="I100" s="3">
        <f t="shared" ca="1" si="41"/>
        <v>-52.999999403852577</v>
      </c>
      <c r="J100" s="3">
        <f t="shared" ca="1" si="41"/>
        <v>-42.320546830153837</v>
      </c>
      <c r="K100" s="3">
        <f t="shared" ca="1" si="41"/>
        <v>-30.437426335526233</v>
      </c>
      <c r="L100" s="3">
        <f t="shared" ca="1" si="41"/>
        <v>-17.180646532433904</v>
      </c>
      <c r="M100" s="3">
        <f t="shared" ca="1" si="41"/>
        <v>0</v>
      </c>
      <c r="N100" s="3">
        <f t="shared" ca="1" si="41"/>
        <v>0</v>
      </c>
      <c r="O100" s="3">
        <f t="shared" ca="1" si="41"/>
        <v>0</v>
      </c>
    </row>
    <row r="101" spans="1:15" x14ac:dyDescent="0.25">
      <c r="B101" s="3" t="s">
        <v>69</v>
      </c>
      <c r="F101" s="3">
        <f t="shared" ref="F101:O101" si="42">-F92*E83</f>
        <v>-61.739999999999995</v>
      </c>
      <c r="G101" s="3">
        <f t="shared" ca="1" si="42"/>
        <v>-61.739999999999995</v>
      </c>
      <c r="H101" s="3">
        <f t="shared" ca="1" si="42"/>
        <v>-61.739999999999995</v>
      </c>
      <c r="I101" s="3">
        <f t="shared" ca="1" si="42"/>
        <v>-61.739999999999995</v>
      </c>
      <c r="J101" s="3">
        <f t="shared" ca="1" si="42"/>
        <v>-61.739999999999995</v>
      </c>
      <c r="K101" s="3">
        <f t="shared" ca="1" si="42"/>
        <v>-61.739999999999995</v>
      </c>
      <c r="L101" s="3">
        <f t="shared" ca="1" si="42"/>
        <v>-61.739999999999995</v>
      </c>
      <c r="M101" s="3">
        <f t="shared" ca="1" si="42"/>
        <v>-61.739999999999995</v>
      </c>
      <c r="N101" s="3">
        <f t="shared" ca="1" si="42"/>
        <v>0</v>
      </c>
      <c r="O101" s="3">
        <f t="shared" ca="1" si="42"/>
        <v>0</v>
      </c>
    </row>
    <row r="102" spans="1:15" x14ac:dyDescent="0.25">
      <c r="B102" s="3" t="s">
        <v>183</v>
      </c>
      <c r="F102" s="3">
        <f t="shared" ref="F102:O102" si="43">-F93*E84</f>
        <v>-51.749999999999993</v>
      </c>
      <c r="G102" s="3">
        <f t="shared" si="43"/>
        <v>-51.749999999999993</v>
      </c>
      <c r="H102" s="3">
        <f t="shared" si="43"/>
        <v>-51.749999999999993</v>
      </c>
      <c r="I102" s="3">
        <f t="shared" si="43"/>
        <v>-51.749999999999993</v>
      </c>
      <c r="J102" s="3">
        <f t="shared" si="43"/>
        <v>-51.749999999999993</v>
      </c>
      <c r="K102" s="3">
        <f t="shared" si="43"/>
        <v>-51.749999999999993</v>
      </c>
      <c r="L102" s="3">
        <f t="shared" si="43"/>
        <v>-51.749999999999993</v>
      </c>
      <c r="M102" s="3">
        <f t="shared" si="43"/>
        <v>-51.749999999999993</v>
      </c>
      <c r="N102" s="3">
        <f t="shared" si="43"/>
        <v>-51.749999999999993</v>
      </c>
      <c r="O102" s="3">
        <f t="shared" si="43"/>
        <v>-51.749999999999993</v>
      </c>
    </row>
    <row r="103" spans="1:15" x14ac:dyDescent="0.25">
      <c r="B103" s="3" t="s">
        <v>71</v>
      </c>
      <c r="F103" s="3">
        <f t="shared" ref="F103:O103" si="44">-F94*E85</f>
        <v>-64.05</v>
      </c>
      <c r="G103" s="3">
        <f t="shared" si="44"/>
        <v>-72.25480499999999</v>
      </c>
      <c r="H103" s="3">
        <f t="shared" si="44"/>
        <v>-81.510645520499992</v>
      </c>
      <c r="I103" s="3">
        <f t="shared" si="44"/>
        <v>-91.952159211676047</v>
      </c>
      <c r="J103" s="3">
        <f t="shared" si="44"/>
        <v>-103.73123080669176</v>
      </c>
      <c r="K103" s="3">
        <f t="shared" si="44"/>
        <v>-117.01920147302897</v>
      </c>
      <c r="L103" s="3">
        <f t="shared" si="44"/>
        <v>-132.00936118172396</v>
      </c>
      <c r="M103" s="3">
        <f t="shared" si="44"/>
        <v>-148.9197603491028</v>
      </c>
      <c r="N103" s="3">
        <f t="shared" si="44"/>
        <v>-167.99638164982287</v>
      </c>
      <c r="O103" s="3">
        <f t="shared" si="44"/>
        <v>-189.51671813916519</v>
      </c>
    </row>
    <row r="104" spans="1:15" x14ac:dyDescent="0.25">
      <c r="B104" s="3" t="s">
        <v>72</v>
      </c>
      <c r="F104" s="3">
        <f t="shared" ref="F104:O104" si="45">-F95*E86</f>
        <v>-80.337379028439045</v>
      </c>
      <c r="G104" s="3">
        <f t="shared" si="45"/>
        <v>-92.387985882704896</v>
      </c>
      <c r="H104" s="3">
        <f t="shared" si="45"/>
        <v>-106.24618376511064</v>
      </c>
      <c r="I104" s="3">
        <f t="shared" si="45"/>
        <v>-122.18311132987724</v>
      </c>
      <c r="J104" s="3">
        <f t="shared" si="45"/>
        <v>-140.51057802935881</v>
      </c>
      <c r="K104" s="3">
        <f t="shared" si="45"/>
        <v>-161.58716473376262</v>
      </c>
      <c r="L104" s="3">
        <f t="shared" si="45"/>
        <v>-185.82523944382703</v>
      </c>
      <c r="M104" s="3">
        <f t="shared" si="45"/>
        <v>-213.69902536040107</v>
      </c>
      <c r="N104" s="3">
        <f t="shared" si="45"/>
        <v>-245.75387916446124</v>
      </c>
      <c r="O104" s="3">
        <f t="shared" si="45"/>
        <v>-282.61696103913044</v>
      </c>
    </row>
    <row r="106" spans="1:15" x14ac:dyDescent="0.25">
      <c r="A106" s="43" t="s">
        <v>206</v>
      </c>
    </row>
    <row r="107" spans="1:15" x14ac:dyDescent="0.25">
      <c r="B107" s="3" t="s">
        <v>203</v>
      </c>
      <c r="F107" s="3">
        <f ca="1">AVERAGE(E80:F80)*F89</f>
        <v>5.5786237500000481E-2</v>
      </c>
      <c r="G107" s="3">
        <f t="shared" ref="G107:O107" ca="1" si="46">AVERAGE(F80:G80)*G89</f>
        <v>0.11715109875000025</v>
      </c>
      <c r="H107" s="3">
        <f t="shared" ca="1" si="46"/>
        <v>0.12825256001249982</v>
      </c>
      <c r="I107" s="3">
        <f t="shared" ca="1" si="46"/>
        <v>0.13912641342600013</v>
      </c>
      <c r="J107" s="3">
        <f t="shared" ca="1" si="46"/>
        <v>0.14953413935344487</v>
      </c>
      <c r="K107" s="3">
        <f t="shared" ca="1" si="46"/>
        <v>0.15922857486128664</v>
      </c>
      <c r="L107" s="3">
        <f t="shared" ca="1" si="46"/>
        <v>0.16796295785125068</v>
      </c>
      <c r="M107" s="3">
        <f t="shared" ca="1" si="46"/>
        <v>0.17550080766701398</v>
      </c>
      <c r="N107" s="3">
        <f t="shared" ca="1" si="46"/>
        <v>0.18162612997382355</v>
      </c>
      <c r="O107" s="3">
        <f t="shared" ca="1" si="46"/>
        <v>0.18707491387303776</v>
      </c>
    </row>
    <row r="108" spans="1:15" x14ac:dyDescent="0.25">
      <c r="B108" s="3" t="s">
        <v>67</v>
      </c>
      <c r="F108" s="3">
        <f ca="1">-AVERAGE(E81:F81)*F90</f>
        <v>0</v>
      </c>
      <c r="G108" s="3">
        <f t="shared" ref="G108:O108" ca="1" si="47">-AVERAGE(F81:G81)*G90</f>
        <v>0</v>
      </c>
      <c r="H108" s="3">
        <f t="shared" ca="1" si="47"/>
        <v>0</v>
      </c>
      <c r="I108" s="3">
        <f t="shared" ca="1" si="47"/>
        <v>0</v>
      </c>
      <c r="J108" s="3">
        <f t="shared" ca="1" si="47"/>
        <v>0</v>
      </c>
      <c r="K108" s="3">
        <f t="shared" ca="1" si="47"/>
        <v>0</v>
      </c>
      <c r="L108" s="3">
        <f t="shared" ca="1" si="47"/>
        <v>-0.80749895316349252</v>
      </c>
      <c r="M108" s="3">
        <f t="shared" ca="1" si="47"/>
        <v>-12.574909306460924</v>
      </c>
      <c r="N108" s="3">
        <f t="shared" ca="1" si="47"/>
        <v>-17.95965048662924</v>
      </c>
      <c r="O108" s="3">
        <f t="shared" ca="1" si="47"/>
        <v>-47.081384727830269</v>
      </c>
    </row>
    <row r="109" spans="1:15" x14ac:dyDescent="0.25">
      <c r="B109" s="3" t="s">
        <v>68</v>
      </c>
      <c r="F109" s="3">
        <f t="shared" ref="F109:O109" ca="1" si="48">-AVERAGE(E82:F82)*F91</f>
        <v>-68.185415165418561</v>
      </c>
      <c r="G109" s="3">
        <f t="shared" ca="1" si="48"/>
        <v>-63.591929717063373</v>
      </c>
      <c r="H109" s="3">
        <f t="shared" ca="1" si="48"/>
        <v>-56.946514253571095</v>
      </c>
      <c r="I109" s="3">
        <f t="shared" ca="1" si="48"/>
        <v>-47.660273117003207</v>
      </c>
      <c r="J109" s="3">
        <f t="shared" ca="1" si="48"/>
        <v>-36.378986582840035</v>
      </c>
      <c r="K109" s="3">
        <f t="shared" ca="1" si="48"/>
        <v>-23.809036433980069</v>
      </c>
      <c r="L109" s="3">
        <f t="shared" ca="1" si="48"/>
        <v>-8.5903232662169522</v>
      </c>
      <c r="M109" s="3">
        <f t="shared" ca="1" si="48"/>
        <v>0</v>
      </c>
      <c r="N109" s="3">
        <f t="shared" ca="1" si="48"/>
        <v>0</v>
      </c>
      <c r="O109" s="3">
        <f t="shared" ca="1" si="48"/>
        <v>0</v>
      </c>
    </row>
    <row r="110" spans="1:15" x14ac:dyDescent="0.25">
      <c r="B110" s="3" t="s">
        <v>69</v>
      </c>
      <c r="F110" s="3">
        <f t="shared" ref="F110:O110" ca="1" si="49">-AVERAGE(E83:F83)*F92</f>
        <v>-61.739999999999995</v>
      </c>
      <c r="G110" s="3">
        <f t="shared" ca="1" si="49"/>
        <v>-61.739999999999995</v>
      </c>
      <c r="H110" s="3">
        <f t="shared" ca="1" si="49"/>
        <v>-61.739999999999995</v>
      </c>
      <c r="I110" s="3">
        <f t="shared" ca="1" si="49"/>
        <v>-61.739999999999995</v>
      </c>
      <c r="J110" s="3">
        <f t="shared" ca="1" si="49"/>
        <v>-61.739999999999995</v>
      </c>
      <c r="K110" s="3">
        <f t="shared" ca="1" si="49"/>
        <v>-61.739999999999995</v>
      </c>
      <c r="L110" s="3">
        <f t="shared" ca="1" si="49"/>
        <v>-61.739999999999995</v>
      </c>
      <c r="M110" s="3">
        <f t="shared" ca="1" si="49"/>
        <v>-30.869999999999997</v>
      </c>
      <c r="N110" s="3">
        <f t="shared" ca="1" si="49"/>
        <v>0</v>
      </c>
      <c r="O110" s="3">
        <f t="shared" ca="1" si="49"/>
        <v>0</v>
      </c>
    </row>
    <row r="112" spans="1:15" ht="15.6" x14ac:dyDescent="0.25">
      <c r="A112" s="61" t="s">
        <v>207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</row>
    <row r="113" spans="2:15" x14ac:dyDescent="0.25">
      <c r="B113" s="3" t="s">
        <v>208</v>
      </c>
      <c r="E113" s="3">
        <f t="shared" ref="E113:O113" si="50">SUM(E81:E85)</f>
        <v>3200</v>
      </c>
      <c r="F113" s="3">
        <f t="shared" ca="1" si="50"/>
        <v>3199.1669577198136</v>
      </c>
      <c r="G113" s="3">
        <f t="shared" ca="1" si="50"/>
        <v>3178.9936595083836</v>
      </c>
      <c r="H113" s="3">
        <f t="shared" ca="1" si="50"/>
        <v>3125.3496868878383</v>
      </c>
      <c r="I113" s="3">
        <f t="shared" ca="1" si="50"/>
        <v>3034.4345075087826</v>
      </c>
      <c r="J113" s="3">
        <f t="shared" ca="1" si="50"/>
        <v>2934.6876476540428</v>
      </c>
      <c r="K113" s="3">
        <f t="shared" ca="1" si="50"/>
        <v>2824.7071949645324</v>
      </c>
      <c r="L113" s="3">
        <f t="shared" ca="1" si="50"/>
        <v>2708.020301963395</v>
      </c>
      <c r="M113" s="3">
        <f t="shared" ca="1" si="50"/>
        <v>2574.3998595031421</v>
      </c>
      <c r="N113" s="3">
        <f t="shared" ca="1" si="50"/>
        <v>2428.3021442534937</v>
      </c>
      <c r="O113" s="3">
        <f t="shared" ca="1" si="50"/>
        <v>2303.6137799717449</v>
      </c>
    </row>
    <row r="114" spans="2:15" x14ac:dyDescent="0.25">
      <c r="B114" s="3" t="s">
        <v>209</v>
      </c>
      <c r="E114" s="20">
        <f>E113/FS!E62</f>
        <v>5.3342223703950662</v>
      </c>
      <c r="F114" s="20">
        <f ca="1">F113/FS!F62</f>
        <v>4.3444610000915</v>
      </c>
      <c r="G114" s="20">
        <f ca="1">G113/FS!G62</f>
        <v>3.9246051907769832</v>
      </c>
      <c r="H114" s="20">
        <f ca="1">H113/FS!H62</f>
        <v>3.5397976018583472</v>
      </c>
      <c r="I114" s="20">
        <f ca="1">I113/FS!I62</f>
        <v>3.182246571728534</v>
      </c>
      <c r="J114" s="20">
        <f ca="1">J113/FS!J62</f>
        <v>2.8762998933479449</v>
      </c>
      <c r="K114" s="20">
        <f ca="1">K113/FS!K62</f>
        <v>2.6117996057515747</v>
      </c>
      <c r="L114" s="20">
        <f ca="1">L113/FS!L62</f>
        <v>2.3846740881062787</v>
      </c>
      <c r="M114" s="20">
        <f ca="1">M113/FS!M62</f>
        <v>2.1798157214595792</v>
      </c>
      <c r="N114" s="20">
        <f ca="1">N113/FS!N62</f>
        <v>1.9962240157664677</v>
      </c>
      <c r="O114" s="20">
        <f ca="1">O113/FS!O62</f>
        <v>1.8385650315155921</v>
      </c>
    </row>
    <row r="115" spans="2:15" x14ac:dyDescent="0.25">
      <c r="B115" s="3" t="s">
        <v>210</v>
      </c>
      <c r="E115" s="20">
        <f>SUM(E81:E83)/FS!E62</f>
        <v>3.500583430571762</v>
      </c>
      <c r="F115" s="20">
        <f ca="1">SUM(F81:F83)/FS!F62</f>
        <v>2.7636839121832852</v>
      </c>
      <c r="G115" s="20">
        <f ca="1">SUM(G81:G83)/FS!G62</f>
        <v>2.3983334284621551</v>
      </c>
      <c r="H115" s="20">
        <f ca="1">SUM(H81:H83)/FS!H62</f>
        <v>2.0472286291718191</v>
      </c>
      <c r="I115" s="20">
        <f ca="1">SUM(I81:I83)/FS!I62</f>
        <v>1.7038069705762056</v>
      </c>
      <c r="J115" s="20">
        <f ca="1">SUM(J81:J83)/FS!J62</f>
        <v>1.3929132177321788</v>
      </c>
      <c r="K115" s="20">
        <f ca="1">SUM(K81:K83)/FS!K62</f>
        <v>1.1041791391456639</v>
      </c>
      <c r="L115" s="20">
        <f ca="1">SUM(L81:L83)/FS!L62</f>
        <v>0.8325980475663548</v>
      </c>
      <c r="M115" s="20">
        <f ca="1">SUM(M81:M83)/FS!M62</f>
        <v>0.56134042421733188</v>
      </c>
      <c r="N115" s="20">
        <f ca="1">SUM(N81:N83)/FS!N62</f>
        <v>0.28678470477824092</v>
      </c>
      <c r="O115" s="20">
        <f ca="1">SUM(O81:O83)/FS!O62</f>
        <v>1.8385650315155921</v>
      </c>
    </row>
    <row r="116" spans="2:15" x14ac:dyDescent="0.25">
      <c r="B116" s="3" t="s">
        <v>211</v>
      </c>
      <c r="F116" s="20">
        <f ca="1">-FS!F62/SUM(FS!F12:F16)</f>
        <v>2.9967528369187266</v>
      </c>
      <c r="G116" s="20">
        <f ca="1">-FS!G62/SUM(FS!G12:G16)</f>
        <v>3.248683630268808</v>
      </c>
      <c r="H116" s="20">
        <f ca="1">-FS!H62/SUM(FS!H12:H16)</f>
        <v>3.5043761733878647</v>
      </c>
      <c r="I116" s="20">
        <f ca="1">-FS!I62/SUM(FS!I12:I16)</f>
        <v>3.7674510860485024</v>
      </c>
      <c r="J116" s="20">
        <f ca="1">-FS!J62/SUM(FS!J12:J16)</f>
        <v>4.0232599814379757</v>
      </c>
      <c r="K116" s="20">
        <f ca="1">-FS!K62/SUM(FS!K12:K16)</f>
        <v>4.2526151138919319</v>
      </c>
      <c r="L116" s="20">
        <f ca="1">-FS!L62/SUM(FS!L12:L16)</f>
        <v>4.4551040000619953</v>
      </c>
      <c r="M116" s="20">
        <f ca="1">-FS!M62/SUM(FS!M12:M16)</f>
        <v>4.8379607890675214</v>
      </c>
      <c r="N116" s="20">
        <f ca="1">-FS!N62/SUM(FS!N12:N16)</f>
        <v>5.1174457160026794</v>
      </c>
      <c r="O116" s="20">
        <f ca="1">-FS!O62/SUM(FS!O12:O16)</f>
        <v>4.345238046797065</v>
      </c>
    </row>
    <row r="117" spans="2:15" x14ac:dyDescent="0.25">
      <c r="B117" s="3" t="s">
        <v>212</v>
      </c>
      <c r="F117" s="20">
        <f ca="1">-FS!F62/SUM(FS!F71:F74)</f>
        <v>4.053263532269983</v>
      </c>
      <c r="G117" s="20">
        <f ca="1">-FS!G62/SUM(FS!G71:G74)</f>
        <v>4.574245208385868</v>
      </c>
      <c r="H117" s="20">
        <f ca="1">-FS!H62/SUM(FS!H71:H74)</f>
        <v>5.1803313833995563</v>
      </c>
      <c r="I117" s="20">
        <f ca="1">-FS!I62/SUM(FS!I71:I74)</f>
        <v>5.9171543126450317</v>
      </c>
      <c r="J117" s="20">
        <f ca="1">-FS!J62/SUM(FS!J71:J74)</f>
        <v>6.807943585735158</v>
      </c>
      <c r="K117" s="20">
        <f ca="1">-FS!K62/SUM(FS!K71:K74)</f>
        <v>7.8770952102184344</v>
      </c>
      <c r="L117" s="20">
        <f ca="1">-FS!L62/SUM(FS!L71:L74)</f>
        <v>9.2408949956613657</v>
      </c>
      <c r="M117" s="20">
        <f ca="1">-FS!M62/SUM(FS!M71:M74)</f>
        <v>12.406306266102321</v>
      </c>
      <c r="N117" s="20">
        <f ca="1">-FS!N62/SUM(FS!N71:N74)</f>
        <v>17.450205349372748</v>
      </c>
      <c r="O117" s="20">
        <f ca="1">-FS!O62/SUM(FS!O71:O74)</f>
        <v>12.677563415203295</v>
      </c>
    </row>
    <row r="118" spans="2:15" x14ac:dyDescent="0.25">
      <c r="B118" s="3" t="s">
        <v>213</v>
      </c>
      <c r="F118" s="20">
        <f ca="1">FS!F62/(-F29-SUM(FS!F71:F74))</f>
        <v>3.4788089794204042</v>
      </c>
      <c r="G118" s="20">
        <f ca="1">FS!G62/(-G29-SUM(FS!G71:G74))</f>
        <v>3.9115734028880622</v>
      </c>
      <c r="H118" s="20">
        <f ca="1">FS!H62/(-H29-SUM(FS!H71:H74))</f>
        <v>3.8315005177236903</v>
      </c>
      <c r="I118" s="20">
        <f ca="1">FS!I62/(-I29-SUM(FS!I71:I74))</f>
        <v>4.3117786838712533</v>
      </c>
      <c r="J118" s="20">
        <f ca="1">FS!J62/(-J29-SUM(FS!J71:J74))</f>
        <v>4.8616025765414319</v>
      </c>
      <c r="K118" s="20">
        <f ca="1">FS!K62/(-K29-SUM(FS!K71:K74))</f>
        <v>5.4816161386759061</v>
      </c>
      <c r="L118" s="20">
        <f ca="1">FS!L62/(-L29-SUM(FS!L71:L74))</f>
        <v>2.7227431121232275</v>
      </c>
      <c r="M118" s="20">
        <f ca="1">FS!M62/(-M29-SUM(FS!M71:M74))</f>
        <v>1.186719494629273</v>
      </c>
      <c r="N118" s="20">
        <f ca="1">FS!N62/(-N29-SUM(FS!N71:N74))</f>
        <v>17.450205349372748</v>
      </c>
      <c r="O118" s="20">
        <f ca="1">FS!O62/(-O29-SUM(FS!O71:O74))</f>
        <v>0.52916021911228361</v>
      </c>
    </row>
    <row r="120" spans="2:15" x14ac:dyDescent="0.25">
      <c r="B120" s="3" t="s">
        <v>214</v>
      </c>
      <c r="F120" s="9">
        <f ca="1">1/F116</f>
        <v>0.33369452017544565</v>
      </c>
      <c r="G120" s="9">
        <f t="shared" ref="G120:O120" ca="1" si="51">1/G116</f>
        <v>0.30781698491128739</v>
      </c>
      <c r="H120" s="9">
        <f t="shared" ca="1" si="51"/>
        <v>0.28535749318066145</v>
      </c>
      <c r="I120" s="9">
        <f t="shared" ca="1" si="51"/>
        <v>0.26543144878593544</v>
      </c>
      <c r="J120" s="9">
        <f t="shared" ca="1" si="51"/>
        <v>0.24855465582976929</v>
      </c>
      <c r="K120" s="9">
        <f t="shared" ca="1" si="51"/>
        <v>0.23514942528735322</v>
      </c>
      <c r="L120" s="9">
        <f t="shared" ca="1" si="51"/>
        <v>0.2244616511726964</v>
      </c>
      <c r="M120" s="9">
        <f t="shared" ca="1" si="51"/>
        <v>0.20669865747149679</v>
      </c>
      <c r="N120" s="9">
        <f t="shared" ca="1" si="51"/>
        <v>0.1954099868363853</v>
      </c>
      <c r="O120" s="9">
        <f t="shared" ca="1" si="51"/>
        <v>0.23013698886695375</v>
      </c>
    </row>
    <row r="121" spans="2:15" x14ac:dyDescent="0.25">
      <c r="B121" s="3" t="s">
        <v>215</v>
      </c>
      <c r="E121" s="13">
        <v>0.3</v>
      </c>
      <c r="F121" s="9">
        <f>E121</f>
        <v>0.3</v>
      </c>
      <c r="G121" s="9">
        <f t="shared" ref="G121:O121" si="52">F121</f>
        <v>0.3</v>
      </c>
      <c r="H121" s="9">
        <f t="shared" si="52"/>
        <v>0.3</v>
      </c>
      <c r="I121" s="9">
        <f t="shared" si="52"/>
        <v>0.3</v>
      </c>
      <c r="J121" s="9">
        <f t="shared" si="52"/>
        <v>0.3</v>
      </c>
      <c r="K121" s="9">
        <f t="shared" si="52"/>
        <v>0.3</v>
      </c>
      <c r="L121" s="9">
        <f t="shared" si="52"/>
        <v>0.3</v>
      </c>
      <c r="M121" s="9">
        <f t="shared" si="52"/>
        <v>0.3</v>
      </c>
      <c r="N121" s="9">
        <f t="shared" si="52"/>
        <v>0.3</v>
      </c>
      <c r="O121" s="9">
        <f t="shared" si="52"/>
        <v>0.3</v>
      </c>
    </row>
  </sheetData>
  <phoneticPr fontId="0" type="noConversion"/>
  <conditionalFormatting sqref="A97:O104">
    <cfRule type="expression" dxfId="3" priority="2">
      <formula>circ=1</formula>
    </cfRule>
  </conditionalFormatting>
  <conditionalFormatting sqref="A106:O110">
    <cfRule type="expression" dxfId="2" priority="1">
      <formula>circ&lt;&gt;1</formula>
    </cfRule>
  </conditionalFormatting>
  <conditionalFormatting sqref="F120:O120">
    <cfRule type="expression" dxfId="1" priority="4">
      <formula>F$120&gt;F$121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  <pageSetUpPr fitToPage="1"/>
  </sheetPr>
  <dimension ref="A1:P6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9" defaultRowHeight="13.2" x14ac:dyDescent="0.25"/>
  <cols>
    <col min="1" max="1" width="2.44140625" style="3" customWidth="1"/>
    <col min="2" max="2" width="30.44140625" style="3" customWidth="1"/>
    <col min="3" max="15" width="10.44140625" style="3" customWidth="1"/>
    <col min="16" max="16384" width="9" style="3"/>
  </cols>
  <sheetData>
    <row r="1" spans="1:16" s="38" customFormat="1" ht="17.399999999999999" x14ac:dyDescent="0.3">
      <c r="A1" s="41" t="str">
        <f>CoName</f>
        <v>Company2272</v>
      </c>
      <c r="B1" s="36"/>
      <c r="C1" s="37"/>
      <c r="D1" s="37"/>
      <c r="E1" s="37" t="s">
        <v>75</v>
      </c>
      <c r="F1" s="37" t="s">
        <v>76</v>
      </c>
      <c r="G1" s="37" t="s">
        <v>76</v>
      </c>
      <c r="H1" s="37" t="s">
        <v>76</v>
      </c>
      <c r="I1" s="37" t="s">
        <v>76</v>
      </c>
      <c r="J1" s="37" t="s">
        <v>76</v>
      </c>
      <c r="K1" s="37" t="s">
        <v>76</v>
      </c>
      <c r="L1" s="37" t="s">
        <v>76</v>
      </c>
      <c r="M1" s="37" t="s">
        <v>76</v>
      </c>
      <c r="N1" s="37" t="s">
        <v>76</v>
      </c>
      <c r="O1" s="37" t="s">
        <v>76</v>
      </c>
      <c r="P1" s="57"/>
    </row>
    <row r="2" spans="1:16" s="38" customFormat="1" ht="18" thickBot="1" x14ac:dyDescent="0.35">
      <c r="A2" s="42" t="str">
        <f>Ccy&amp;Units&amp;" unless otherwise stated"</f>
        <v>$m unless otherwise stated</v>
      </c>
      <c r="B2" s="39"/>
      <c r="C2" s="40"/>
      <c r="D2" s="40"/>
      <c r="E2" s="40">
        <f>Inputs!C16</f>
        <v>42369</v>
      </c>
      <c r="F2" s="40">
        <f>DATE(YEAR(E2)+1,MONTH(E2),DAY(E2))</f>
        <v>42735</v>
      </c>
      <c r="G2" s="40">
        <f t="shared" ref="G2:O2" si="0">DATE(YEAR(F2)+1,MONTH(F2),DAY(F2))</f>
        <v>43100</v>
      </c>
      <c r="H2" s="40">
        <f t="shared" si="0"/>
        <v>43465</v>
      </c>
      <c r="I2" s="40">
        <f t="shared" si="0"/>
        <v>43830</v>
      </c>
      <c r="J2" s="40">
        <f t="shared" si="0"/>
        <v>44196</v>
      </c>
      <c r="K2" s="40">
        <f t="shared" si="0"/>
        <v>44561</v>
      </c>
      <c r="L2" s="40">
        <f t="shared" si="0"/>
        <v>44926</v>
      </c>
      <c r="M2" s="40">
        <f t="shared" si="0"/>
        <v>45291</v>
      </c>
      <c r="N2" s="40">
        <f t="shared" si="0"/>
        <v>45657</v>
      </c>
      <c r="O2" s="40">
        <f t="shared" si="0"/>
        <v>46022</v>
      </c>
      <c r="P2" s="57"/>
    </row>
    <row r="3" spans="1:16" s="12" customFormat="1" ht="14.4" thickTop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12" customFormat="1" ht="13.8" x14ac:dyDescent="0.25">
      <c r="B4" s="3" t="s">
        <v>216</v>
      </c>
      <c r="C4" s="3"/>
      <c r="D4" s="3"/>
      <c r="E4" s="8">
        <f>'S&amp;U'!E24</f>
        <v>7.0152620294782473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s="12" customFormat="1" ht="13.8" x14ac:dyDescent="0.25">
      <c r="B5" s="3" t="s">
        <v>217</v>
      </c>
      <c r="C5" s="3"/>
      <c r="D5" s="3"/>
      <c r="E5" s="64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12" customFormat="1" ht="13.8" x14ac:dyDescent="0.25">
      <c r="B6" s="3" t="s">
        <v>218</v>
      </c>
      <c r="D6" s="3"/>
      <c r="E6" s="24" t="str">
        <f>IF(circ=1,"Average","Beginning")&amp;" balance driven"</f>
        <v>Average balance driven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12" customFormat="1" ht="13.8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s="12" customFormat="1" ht="15.6" x14ac:dyDescent="0.25">
      <c r="A8" s="31" t="s">
        <v>219</v>
      </c>
      <c r="B8" s="1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3"/>
    </row>
    <row r="9" spans="1:16" s="12" customFormat="1" ht="13.8" x14ac:dyDescent="0.25">
      <c r="A9" s="3"/>
      <c r="B9" s="3" t="s">
        <v>220</v>
      </c>
      <c r="C9" s="3"/>
      <c r="D9" s="3"/>
      <c r="E9" s="10">
        <f>YEAR(E$2)-YEAR($E$2)</f>
        <v>0</v>
      </c>
      <c r="F9" s="10">
        <f>YEAR(F$2)-YEAR($E$2)</f>
        <v>1</v>
      </c>
      <c r="G9" s="10">
        <f t="shared" ref="G9:O9" si="1">YEAR(G$2)-YEAR($E$2)</f>
        <v>2</v>
      </c>
      <c r="H9" s="10">
        <f t="shared" si="1"/>
        <v>3</v>
      </c>
      <c r="I9" s="10">
        <f t="shared" si="1"/>
        <v>4</v>
      </c>
      <c r="J9" s="10">
        <f t="shared" si="1"/>
        <v>5</v>
      </c>
      <c r="K9" s="10">
        <f t="shared" si="1"/>
        <v>6</v>
      </c>
      <c r="L9" s="10">
        <f t="shared" si="1"/>
        <v>7</v>
      </c>
      <c r="M9" s="10">
        <f t="shared" si="1"/>
        <v>8</v>
      </c>
      <c r="N9" s="10">
        <f t="shared" si="1"/>
        <v>9</v>
      </c>
      <c r="O9" s="10">
        <f t="shared" si="1"/>
        <v>10</v>
      </c>
      <c r="P9" s="3"/>
    </row>
    <row r="10" spans="1:16" s="12" customFormat="1" ht="13.8" x14ac:dyDescent="0.25">
      <c r="A10" s="3"/>
      <c r="B10" s="3" t="s">
        <v>98</v>
      </c>
      <c r="C10" s="3"/>
      <c r="D10" s="3"/>
      <c r="E10" s="3">
        <f>OpMod!E78</f>
        <v>599.9</v>
      </c>
      <c r="F10" s="3">
        <f>OpMod!F78</f>
        <v>736.37833499999999</v>
      </c>
      <c r="G10" s="3">
        <f>OpMod!G78</f>
        <v>810.01616850000005</v>
      </c>
      <c r="H10" s="3">
        <f>OpMod!H78</f>
        <v>882.91762366500018</v>
      </c>
      <c r="I10" s="3">
        <f>OpMod!I78</f>
        <v>953.55103355820017</v>
      </c>
      <c r="J10" s="3">
        <f>OpMod!J78</f>
        <v>1020.2996059072742</v>
      </c>
      <c r="K10" s="3">
        <f>OpMod!K78</f>
        <v>1081.5175822617107</v>
      </c>
      <c r="L10" s="3">
        <f>OpMod!L78</f>
        <v>1135.5934613747963</v>
      </c>
      <c r="M10" s="3">
        <f>OpMod!M78</f>
        <v>1181.0171998297883</v>
      </c>
      <c r="N10" s="3">
        <f>OpMod!N78</f>
        <v>1216.4477158246821</v>
      </c>
      <c r="O10" s="3">
        <f>OpMod!O78</f>
        <v>1252.9411472994225</v>
      </c>
      <c r="P10" s="3"/>
    </row>
    <row r="11" spans="1:16" s="12" customFormat="1" ht="13.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s="14" customFormat="1" ht="13.8" x14ac:dyDescent="0.25">
      <c r="A12" s="1"/>
      <c r="B12" s="1" t="s">
        <v>221</v>
      </c>
      <c r="C12" s="1"/>
      <c r="D12" s="1"/>
      <c r="E12" s="1"/>
      <c r="F12" s="1">
        <f t="shared" ref="F12:O12" si="2">F10*ExitMultiple</f>
        <v>5154.6483449999996</v>
      </c>
      <c r="G12" s="1">
        <f t="shared" si="2"/>
        <v>5670.1131795000001</v>
      </c>
      <c r="H12" s="1">
        <f t="shared" si="2"/>
        <v>6180.4233656550014</v>
      </c>
      <c r="I12" s="1">
        <f t="shared" si="2"/>
        <v>6674.8572349074011</v>
      </c>
      <c r="J12" s="1">
        <f t="shared" si="2"/>
        <v>7142.0972413509198</v>
      </c>
      <c r="K12" s="1">
        <f t="shared" si="2"/>
        <v>7570.6230758319743</v>
      </c>
      <c r="L12" s="1">
        <f t="shared" si="2"/>
        <v>7949.1542296235748</v>
      </c>
      <c r="M12" s="1">
        <f t="shared" si="2"/>
        <v>8267.1203988085181</v>
      </c>
      <c r="N12" s="1">
        <f t="shared" si="2"/>
        <v>8515.1340107727738</v>
      </c>
      <c r="O12" s="1">
        <f t="shared" si="2"/>
        <v>8770.5880310959583</v>
      </c>
      <c r="P12" s="1"/>
    </row>
    <row r="13" spans="1:16" s="12" customFormat="1" ht="13.8" x14ac:dyDescent="0.25">
      <c r="A13" s="3"/>
      <c r="B13" s="3" t="s">
        <v>203</v>
      </c>
      <c r="C13" s="3"/>
      <c r="D13" s="3"/>
      <c r="E13" s="3">
        <f>FS!E83</f>
        <v>0</v>
      </c>
      <c r="F13" s="3">
        <f ca="1">Debt!F80</f>
        <v>11.157247500000096</v>
      </c>
      <c r="G13" s="3">
        <f ca="1">Debt!G80</f>
        <v>12.272972249999953</v>
      </c>
      <c r="H13" s="3">
        <f ca="1">Debt!H80</f>
        <v>13.377539752500013</v>
      </c>
      <c r="I13" s="3">
        <f ca="1">Debt!I80</f>
        <v>14.44774293270001</v>
      </c>
      <c r="J13" s="3">
        <f ca="1">Debt!J80</f>
        <v>15.459084937988962</v>
      </c>
      <c r="K13" s="3">
        <f ca="1">Debt!K80</f>
        <v>16.386630034268364</v>
      </c>
      <c r="L13" s="3">
        <f ca="1">Debt!L80</f>
        <v>17.205961535981771</v>
      </c>
      <c r="M13" s="3">
        <f ca="1">Debt!M80</f>
        <v>17.894199997421026</v>
      </c>
      <c r="N13" s="3">
        <f ca="1">Debt!N80</f>
        <v>18.431025997343681</v>
      </c>
      <c r="O13" s="3">
        <f ca="1">Debt!O80</f>
        <v>18.98395677726387</v>
      </c>
      <c r="P13" s="3"/>
    </row>
    <row r="14" spans="1:16" s="12" customFormat="1" ht="13.8" x14ac:dyDescent="0.25">
      <c r="A14" s="3"/>
      <c r="B14" s="3" t="s">
        <v>67</v>
      </c>
      <c r="C14" s="3"/>
      <c r="D14" s="3"/>
      <c r="E14" s="3">
        <f>-Debt!E81</f>
        <v>0</v>
      </c>
      <c r="F14" s="3">
        <f ca="1">-Debt!F81</f>
        <v>0</v>
      </c>
      <c r="G14" s="3">
        <f ca="1">-Debt!G81</f>
        <v>0</v>
      </c>
      <c r="H14" s="3">
        <f ca="1">-Debt!H81</f>
        <v>0</v>
      </c>
      <c r="I14" s="3">
        <f ca="1">-Debt!I81</f>
        <v>0</v>
      </c>
      <c r="J14" s="3">
        <f ca="1">-Debt!J81</f>
        <v>0</v>
      </c>
      <c r="K14" s="3">
        <f ca="1">-Debt!K81</f>
        <v>0</v>
      </c>
      <c r="L14" s="3">
        <f ca="1">-Debt!L81</f>
        <v>-45.492898769774229</v>
      </c>
      <c r="M14" s="3">
        <f ca="1">-Debt!M81</f>
        <v>-662.95269596041874</v>
      </c>
      <c r="N14" s="3">
        <f ca="1">-Debt!N81</f>
        <v>-348.85859906094697</v>
      </c>
      <c r="O14" s="3">
        <f ca="1">-Debt!O81</f>
        <v>-2303.6137799717449</v>
      </c>
      <c r="P14" s="3"/>
    </row>
    <row r="15" spans="1:16" s="12" customFormat="1" ht="13.8" x14ac:dyDescent="0.25">
      <c r="A15" s="3"/>
      <c r="B15" s="3" t="s">
        <v>68</v>
      </c>
      <c r="C15" s="3"/>
      <c r="D15" s="3"/>
      <c r="E15" s="3">
        <f>-Debt!E82</f>
        <v>-1200</v>
      </c>
      <c r="F15" s="3">
        <f ca="1">-Debt!F82</f>
        <v>-1135.1169577198139</v>
      </c>
      <c r="G15" s="3">
        <f ca="1">-Debt!G82</f>
        <v>-1042.6888545083839</v>
      </c>
      <c r="H15" s="3">
        <f ca="1">-Debt!H82</f>
        <v>-907.53423636733862</v>
      </c>
      <c r="I15" s="3">
        <f ca="1">-Debt!I82</f>
        <v>-724.66689777660679</v>
      </c>
      <c r="J15" s="3">
        <f ca="1">-Debt!J82</f>
        <v>-521.18880711517522</v>
      </c>
      <c r="K15" s="3">
        <f ca="1">-Debt!K82</f>
        <v>-294.18915295263537</v>
      </c>
      <c r="L15" s="3">
        <f ca="1">-Debt!L82</f>
        <v>0</v>
      </c>
      <c r="M15" s="3">
        <f ca="1">-Debt!M82</f>
        <v>0</v>
      </c>
      <c r="N15" s="3">
        <f ca="1">-Debt!N82</f>
        <v>0</v>
      </c>
      <c r="O15" s="3">
        <f ca="1">-Debt!O82</f>
        <v>0</v>
      </c>
      <c r="P15" s="3"/>
    </row>
    <row r="16" spans="1:16" s="12" customFormat="1" ht="13.8" x14ac:dyDescent="0.25">
      <c r="A16" s="3"/>
      <c r="B16" s="3" t="s">
        <v>69</v>
      </c>
      <c r="C16" s="3"/>
      <c r="D16" s="3"/>
      <c r="E16" s="3">
        <f>-Debt!E83</f>
        <v>-900</v>
      </c>
      <c r="F16" s="3">
        <f ca="1">-Debt!F83</f>
        <v>-900</v>
      </c>
      <c r="G16" s="3">
        <f ca="1">-Debt!G83</f>
        <v>-900</v>
      </c>
      <c r="H16" s="3">
        <f ca="1">-Debt!H83</f>
        <v>-900</v>
      </c>
      <c r="I16" s="3">
        <f ca="1">-Debt!I83</f>
        <v>-900</v>
      </c>
      <c r="J16" s="3">
        <f ca="1">-Debt!J83</f>
        <v>-900</v>
      </c>
      <c r="K16" s="3">
        <f ca="1">-Debt!K83</f>
        <v>-900</v>
      </c>
      <c r="L16" s="3">
        <f ca="1">-Debt!L83</f>
        <v>-900</v>
      </c>
      <c r="M16" s="3">
        <f ca="1">-Debt!M83</f>
        <v>0</v>
      </c>
      <c r="N16" s="3">
        <f ca="1">-Debt!N83</f>
        <v>0</v>
      </c>
      <c r="O16" s="3">
        <f ca="1">-Debt!O83</f>
        <v>0</v>
      </c>
      <c r="P16" s="3"/>
    </row>
    <row r="17" spans="1:16" s="12" customFormat="1" ht="13.8" x14ac:dyDescent="0.25">
      <c r="A17" s="3"/>
      <c r="B17" s="3" t="s">
        <v>183</v>
      </c>
      <c r="C17" s="3"/>
      <c r="D17" s="3"/>
      <c r="E17" s="3">
        <f>-Debt!E84</f>
        <v>-600</v>
      </c>
      <c r="F17" s="3">
        <f>-Debt!F84</f>
        <v>-600</v>
      </c>
      <c r="G17" s="3">
        <f>-Debt!G84</f>
        <v>-600</v>
      </c>
      <c r="H17" s="3">
        <f>-Debt!H84</f>
        <v>-600</v>
      </c>
      <c r="I17" s="3">
        <f>-Debt!I84</f>
        <v>-600</v>
      </c>
      <c r="J17" s="3">
        <f>-Debt!J84</f>
        <v>-600</v>
      </c>
      <c r="K17" s="3">
        <f>-Debt!K84</f>
        <v>-600</v>
      </c>
      <c r="L17" s="3">
        <f>-Debt!L84</f>
        <v>-600</v>
      </c>
      <c r="M17" s="3">
        <f>-Debt!M84</f>
        <v>-600</v>
      </c>
      <c r="N17" s="3">
        <f>-Debt!N84</f>
        <v>-600</v>
      </c>
      <c r="O17" s="3">
        <f>-Debt!O84</f>
        <v>0</v>
      </c>
      <c r="P17" s="3"/>
    </row>
    <row r="18" spans="1:16" s="12" customFormat="1" ht="13.8" x14ac:dyDescent="0.25">
      <c r="A18" s="3"/>
      <c r="B18" s="3" t="s">
        <v>71</v>
      </c>
      <c r="C18" s="3"/>
      <c r="D18" s="3"/>
      <c r="E18" s="3">
        <f>-Debt!E85</f>
        <v>-500</v>
      </c>
      <c r="F18" s="3">
        <f>-Debt!F85</f>
        <v>-564.04999999999995</v>
      </c>
      <c r="G18" s="3">
        <f>-Debt!G85</f>
        <v>-636.30480499999999</v>
      </c>
      <c r="H18" s="3">
        <f>-Debt!H85</f>
        <v>-717.81545052050001</v>
      </c>
      <c r="I18" s="3">
        <f>-Debt!I85</f>
        <v>-809.76760973217608</v>
      </c>
      <c r="J18" s="3">
        <f>-Debt!J85</f>
        <v>-913.49884053886785</v>
      </c>
      <c r="K18" s="3">
        <f>-Debt!K85</f>
        <v>-1030.5180420118968</v>
      </c>
      <c r="L18" s="3">
        <f>-Debt!L85</f>
        <v>-1162.5274031936208</v>
      </c>
      <c r="M18" s="3">
        <f>-Debt!M85</f>
        <v>-1311.4471635427235</v>
      </c>
      <c r="N18" s="3">
        <f>-Debt!N85</f>
        <v>-1479.4435451925465</v>
      </c>
      <c r="O18" s="3">
        <f>-Debt!O85</f>
        <v>0</v>
      </c>
      <c r="P18" s="3"/>
    </row>
    <row r="19" spans="1:16" s="12" customFormat="1" ht="13.8" x14ac:dyDescent="0.25">
      <c r="A19" s="3"/>
      <c r="B19" s="3" t="s">
        <v>72</v>
      </c>
      <c r="C19" s="3"/>
      <c r="D19" s="3"/>
      <c r="E19" s="3">
        <f>-Debt!E86</f>
        <v>-535.5825268562603</v>
      </c>
      <c r="F19" s="3">
        <f>-Debt!F86</f>
        <v>-615.91990588469935</v>
      </c>
      <c r="G19" s="3">
        <f>-Debt!G86</f>
        <v>-708.30789176740427</v>
      </c>
      <c r="H19" s="3">
        <f>-Debt!H86</f>
        <v>-814.55407553251496</v>
      </c>
      <c r="I19" s="3">
        <f>-Debt!I86</f>
        <v>-936.73718686239215</v>
      </c>
      <c r="J19" s="3">
        <f>-Debt!J86</f>
        <v>-1077.2477648917509</v>
      </c>
      <c r="K19" s="3">
        <f>-Debt!K86</f>
        <v>-1238.8349296255135</v>
      </c>
      <c r="L19" s="3">
        <f>-Debt!L86</f>
        <v>-1424.6601690693406</v>
      </c>
      <c r="M19" s="3">
        <f>-Debt!M86</f>
        <v>-1638.3591944297416</v>
      </c>
      <c r="N19" s="3">
        <f>-Debt!N86</f>
        <v>-1884.1130735942029</v>
      </c>
      <c r="O19" s="3">
        <f>-Debt!O86</f>
        <v>-2166.7300346333332</v>
      </c>
      <c r="P19" s="3"/>
    </row>
    <row r="20" spans="1:16" s="14" customFormat="1" ht="13.8" x14ac:dyDescent="0.25">
      <c r="A20" s="1"/>
      <c r="B20" s="1" t="s">
        <v>222</v>
      </c>
      <c r="C20" s="1"/>
      <c r="D20" s="1"/>
      <c r="E20" s="1"/>
      <c r="F20" s="1">
        <f ca="1">SUM(F12:F19)</f>
        <v>1350.7187288954867</v>
      </c>
      <c r="G20" s="1">
        <f t="shared" ref="G20:O20" ca="1" si="3">SUM(G12:G19)</f>
        <v>1795.084600474212</v>
      </c>
      <c r="H20" s="1">
        <f t="shared" ca="1" si="3"/>
        <v>2253.8971429871467</v>
      </c>
      <c r="I20" s="1">
        <f t="shared" ca="1" si="3"/>
        <v>2718.133283468926</v>
      </c>
      <c r="J20" s="1">
        <f t="shared" ca="1" si="3"/>
        <v>3145.6209137431151</v>
      </c>
      <c r="K20" s="1">
        <f t="shared" ca="1" si="3"/>
        <v>3523.4675812761971</v>
      </c>
      <c r="L20" s="1">
        <f t="shared" ca="1" si="3"/>
        <v>3833.6797201268218</v>
      </c>
      <c r="M20" s="1">
        <f t="shared" ca="1" si="3"/>
        <v>4072.2555448730554</v>
      </c>
      <c r="N20" s="1">
        <f t="shared" ca="1" si="3"/>
        <v>4221.1498189224221</v>
      </c>
      <c r="O20" s="1">
        <f t="shared" ca="1" si="3"/>
        <v>4319.2281732681431</v>
      </c>
      <c r="P20" s="1"/>
    </row>
    <row r="21" spans="1:16" s="12" customFormat="1" ht="13.8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s="12" customFormat="1" ht="15.6" x14ac:dyDescent="0.25">
      <c r="A22" s="31" t="s">
        <v>223</v>
      </c>
      <c r="B22" s="3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"/>
    </row>
    <row r="23" spans="1:16" s="12" customFormat="1" ht="13.8" x14ac:dyDescent="0.25">
      <c r="A23" s="3"/>
      <c r="B23" s="3" t="s">
        <v>220</v>
      </c>
      <c r="C23" s="3"/>
      <c r="D23" s="3"/>
      <c r="E23" s="10">
        <f>YEAR(E$2)-YEAR($E$2)</f>
        <v>0</v>
      </c>
      <c r="F23" s="10">
        <f>YEAR(F$2)-YEAR($E$2)</f>
        <v>1</v>
      </c>
      <c r="G23" s="10">
        <f t="shared" ref="G23:O23" si="4">YEAR(G$2)-YEAR($E$2)</f>
        <v>2</v>
      </c>
      <c r="H23" s="10">
        <f t="shared" si="4"/>
        <v>3</v>
      </c>
      <c r="I23" s="10">
        <f t="shared" si="4"/>
        <v>4</v>
      </c>
      <c r="J23" s="10">
        <f t="shared" si="4"/>
        <v>5</v>
      </c>
      <c r="K23" s="10">
        <f t="shared" si="4"/>
        <v>6</v>
      </c>
      <c r="L23" s="10">
        <f t="shared" si="4"/>
        <v>7</v>
      </c>
      <c r="M23" s="10">
        <f t="shared" si="4"/>
        <v>8</v>
      </c>
      <c r="N23" s="10">
        <f t="shared" si="4"/>
        <v>9</v>
      </c>
      <c r="O23" s="10">
        <f t="shared" si="4"/>
        <v>10</v>
      </c>
      <c r="P23" s="3"/>
    </row>
    <row r="24" spans="1:16" s="12" customFormat="1" ht="13.8" x14ac:dyDescent="0.25">
      <c r="A24" s="3"/>
      <c r="B24" s="3" t="s">
        <v>142</v>
      </c>
      <c r="C24" s="3"/>
      <c r="D24" s="3"/>
      <c r="E24" s="3">
        <f>-E19</f>
        <v>535.5825268562603</v>
      </c>
      <c r="F24" s="3">
        <f>-F19</f>
        <v>615.91990588469935</v>
      </c>
      <c r="G24" s="3">
        <f t="shared" ref="G24:O24" si="5">-G19</f>
        <v>708.30789176740427</v>
      </c>
      <c r="H24" s="3">
        <f t="shared" si="5"/>
        <v>814.55407553251496</v>
      </c>
      <c r="I24" s="3">
        <f t="shared" si="5"/>
        <v>936.73718686239215</v>
      </c>
      <c r="J24" s="3">
        <f t="shared" si="5"/>
        <v>1077.2477648917509</v>
      </c>
      <c r="K24" s="3">
        <f t="shared" si="5"/>
        <v>1238.8349296255135</v>
      </c>
      <c r="L24" s="3">
        <f t="shared" si="5"/>
        <v>1424.6601690693406</v>
      </c>
      <c r="M24" s="3">
        <f t="shared" si="5"/>
        <v>1638.3591944297416</v>
      </c>
      <c r="N24" s="3">
        <f t="shared" si="5"/>
        <v>1884.1130735942029</v>
      </c>
      <c r="O24" s="3">
        <f t="shared" si="5"/>
        <v>2166.7300346333332</v>
      </c>
      <c r="P24" s="3"/>
    </row>
    <row r="25" spans="1:16" s="12" customFormat="1" ht="13.8" x14ac:dyDescent="0.25">
      <c r="A25" s="3"/>
      <c r="B25" s="3" t="s">
        <v>143</v>
      </c>
      <c r="C25" s="3"/>
      <c r="D25" s="3"/>
      <c r="E25" s="3">
        <f>'S&amp;U'!C46</f>
        <v>600</v>
      </c>
      <c r="F25" s="3">
        <f ca="1">F20</f>
        <v>1350.7187288954867</v>
      </c>
      <c r="G25" s="3">
        <f t="shared" ref="G25:O25" ca="1" si="6">G20</f>
        <v>1795.084600474212</v>
      </c>
      <c r="H25" s="3">
        <f t="shared" ca="1" si="6"/>
        <v>2253.8971429871467</v>
      </c>
      <c r="I25" s="3">
        <f t="shared" ca="1" si="6"/>
        <v>2718.133283468926</v>
      </c>
      <c r="J25" s="3">
        <f t="shared" ca="1" si="6"/>
        <v>3145.6209137431151</v>
      </c>
      <c r="K25" s="3">
        <f t="shared" ca="1" si="6"/>
        <v>3523.4675812761971</v>
      </c>
      <c r="L25" s="3">
        <f t="shared" ca="1" si="6"/>
        <v>3833.6797201268218</v>
      </c>
      <c r="M25" s="3">
        <f t="shared" ca="1" si="6"/>
        <v>4072.2555448730554</v>
      </c>
      <c r="N25" s="3">
        <f t="shared" ca="1" si="6"/>
        <v>4221.1498189224221</v>
      </c>
      <c r="O25" s="3">
        <f t="shared" ca="1" si="6"/>
        <v>4319.2281732681431</v>
      </c>
      <c r="P25" s="3"/>
    </row>
    <row r="26" spans="1:16" s="12" customFormat="1" ht="13.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s="12" customFormat="1" ht="13.8" x14ac:dyDescent="0.25">
      <c r="A27" s="3"/>
      <c r="B27" s="43" t="s">
        <v>224</v>
      </c>
      <c r="C27" s="53" t="s">
        <v>225</v>
      </c>
      <c r="D27" s="53" t="s">
        <v>226</v>
      </c>
      <c r="E27" s="53" t="s">
        <v>227</v>
      </c>
      <c r="F27" s="53" t="s">
        <v>228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B28" s="3" t="s">
        <v>229</v>
      </c>
      <c r="C28" s="20">
        <f ca="1">SUM(F28:J28)/-E28</f>
        <v>1.7318324192823011</v>
      </c>
      <c r="D28" s="9">
        <f ca="1">IRR(E28:O28)</f>
        <v>0.73183241928230114</v>
      </c>
      <c r="E28" s="3">
        <f>-SUM(E$24:E$25)</f>
        <v>-1135.5825268562603</v>
      </c>
      <c r="F28" s="3">
        <f ca="1">SUM(F$24:F$25)</f>
        <v>1966.6386347801861</v>
      </c>
    </row>
    <row r="29" spans="1:16" x14ac:dyDescent="0.25">
      <c r="B29" s="3" t="s">
        <v>230</v>
      </c>
      <c r="C29" s="20">
        <f ca="1">SUM(F29:J29)/-E29</f>
        <v>2.2045007148639324</v>
      </c>
      <c r="D29" s="9">
        <f t="shared" ref="D29:D32" ca="1" si="7">IRR(E29:O29)</f>
        <v>0.48475611292357779</v>
      </c>
      <c r="E29" s="3">
        <f t="shared" ref="E29:E32" si="8">-SUM(E$24:E$25)</f>
        <v>-1135.5825268562603</v>
      </c>
      <c r="F29" s="52">
        <v>0</v>
      </c>
      <c r="G29" s="3">
        <f ca="1">SUM(G$24:G$25)</f>
        <v>2503.3924922416163</v>
      </c>
    </row>
    <row r="30" spans="1:16" x14ac:dyDescent="0.25">
      <c r="B30" s="3" t="s">
        <v>231</v>
      </c>
      <c r="C30" s="20">
        <f ca="1">SUM(F30:J30)/-E30</f>
        <v>2.7020944281472374</v>
      </c>
      <c r="D30" s="9">
        <f t="shared" ca="1" si="7"/>
        <v>0.39283661162782724</v>
      </c>
      <c r="E30" s="3">
        <f t="shared" si="8"/>
        <v>-1135.5825268562603</v>
      </c>
      <c r="F30" s="52">
        <v>0</v>
      </c>
      <c r="G30" s="52">
        <v>0</v>
      </c>
      <c r="H30" s="3">
        <f ca="1">SUM(H$24:H$25)</f>
        <v>3068.4512185196618</v>
      </c>
    </row>
    <row r="31" spans="1:16" x14ac:dyDescent="0.25">
      <c r="B31" s="3" t="s">
        <v>232</v>
      </c>
      <c r="C31" s="20">
        <f ca="1">SUM(F31:J31)/-E31</f>
        <v>3.2184983335816546</v>
      </c>
      <c r="D31" s="9">
        <f t="shared" ca="1" si="7"/>
        <v>0.33940933724735234</v>
      </c>
      <c r="E31" s="3">
        <f t="shared" si="8"/>
        <v>-1135.5825268562603</v>
      </c>
      <c r="F31" s="52">
        <v>0</v>
      </c>
      <c r="G31" s="52">
        <v>0</v>
      </c>
      <c r="H31" s="52">
        <v>0</v>
      </c>
      <c r="I31" s="3">
        <f ca="1">SUM(I$24:I$25)</f>
        <v>3654.8704703313183</v>
      </c>
    </row>
    <row r="32" spans="1:16" x14ac:dyDescent="0.25">
      <c r="B32" s="3" t="s">
        <v>233</v>
      </c>
      <c r="C32" s="20">
        <f ca="1">SUM(F32:J32)/-E32</f>
        <v>3.718680570337261</v>
      </c>
      <c r="D32" s="9">
        <f t="shared" ca="1" si="7"/>
        <v>0.30040243765495145</v>
      </c>
      <c r="E32" s="3">
        <f t="shared" si="8"/>
        <v>-1135.5825268562603</v>
      </c>
      <c r="F32" s="52">
        <v>0</v>
      </c>
      <c r="G32" s="52">
        <v>0</v>
      </c>
      <c r="H32" s="52">
        <v>0</v>
      </c>
      <c r="I32" s="52">
        <v>0</v>
      </c>
      <c r="J32" s="3">
        <f ca="1">SUM(J$24:J$25)</f>
        <v>4222.8686786348662</v>
      </c>
    </row>
    <row r="34" spans="1:16" s="12" customFormat="1" ht="15.6" x14ac:dyDescent="0.25">
      <c r="A34" s="31" t="s">
        <v>234</v>
      </c>
      <c r="B34" s="3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3"/>
    </row>
    <row r="35" spans="1:16" s="12" customFormat="1" ht="13.8" x14ac:dyDescent="0.25">
      <c r="A35" s="3"/>
      <c r="B35" s="3" t="s">
        <v>220</v>
      </c>
      <c r="C35" s="3"/>
      <c r="D35" s="3"/>
      <c r="E35" s="10">
        <f>YEAR(E$2)-YEAR($E$2)</f>
        <v>0</v>
      </c>
      <c r="F35" s="10">
        <f>YEAR(F$2)-YEAR($E$2)</f>
        <v>1</v>
      </c>
      <c r="G35" s="10">
        <f t="shared" ref="G35:O35" si="9">YEAR(G$2)-YEAR($E$2)</f>
        <v>2</v>
      </c>
      <c r="H35" s="10">
        <f t="shared" si="9"/>
        <v>3</v>
      </c>
      <c r="I35" s="10">
        <f t="shared" si="9"/>
        <v>4</v>
      </c>
      <c r="J35" s="10">
        <f t="shared" si="9"/>
        <v>5</v>
      </c>
      <c r="K35" s="10">
        <f t="shared" si="9"/>
        <v>6</v>
      </c>
      <c r="L35" s="10">
        <f t="shared" si="9"/>
        <v>7</v>
      </c>
      <c r="M35" s="10">
        <f t="shared" si="9"/>
        <v>8</v>
      </c>
      <c r="N35" s="10">
        <f t="shared" si="9"/>
        <v>9</v>
      </c>
      <c r="O35" s="10">
        <f t="shared" si="9"/>
        <v>10</v>
      </c>
      <c r="P35" s="3"/>
    </row>
    <row r="36" spans="1:16" s="12" customFormat="1" ht="13.8" x14ac:dyDescent="0.25">
      <c r="A36" s="3"/>
      <c r="B36" s="3" t="s">
        <v>142</v>
      </c>
      <c r="C36" s="3"/>
      <c r="D36" s="3"/>
      <c r="E36" s="3">
        <f t="shared" ref="E36:O36" si="10">-E19</f>
        <v>535.5825268562603</v>
      </c>
      <c r="F36" s="3">
        <f t="shared" si="10"/>
        <v>615.91990588469935</v>
      </c>
      <c r="G36" s="3">
        <f t="shared" si="10"/>
        <v>708.30789176740427</v>
      </c>
      <c r="H36" s="3">
        <f t="shared" si="10"/>
        <v>814.55407553251496</v>
      </c>
      <c r="I36" s="3">
        <f t="shared" si="10"/>
        <v>936.73718686239215</v>
      </c>
      <c r="J36" s="3">
        <f t="shared" si="10"/>
        <v>1077.2477648917509</v>
      </c>
      <c r="K36" s="3">
        <f t="shared" si="10"/>
        <v>1238.8349296255135</v>
      </c>
      <c r="L36" s="3">
        <f t="shared" si="10"/>
        <v>1424.6601690693406</v>
      </c>
      <c r="M36" s="3">
        <f t="shared" si="10"/>
        <v>1638.3591944297416</v>
      </c>
      <c r="N36" s="3">
        <f t="shared" si="10"/>
        <v>1884.1130735942029</v>
      </c>
      <c r="O36" s="3">
        <f t="shared" si="10"/>
        <v>2166.7300346333332</v>
      </c>
      <c r="P36" s="3"/>
    </row>
    <row r="37" spans="1:16" s="12" customFormat="1" ht="13.8" x14ac:dyDescent="0.25">
      <c r="A37" s="3"/>
      <c r="B37" s="3" t="s">
        <v>143</v>
      </c>
      <c r="C37" s="3"/>
      <c r="D37" s="3"/>
      <c r="E37" s="3">
        <f>E25*'S&amp;U'!$J$19</f>
        <v>594</v>
      </c>
      <c r="F37" s="3">
        <f ca="1">F25*'S&amp;U'!$K$19</f>
        <v>1296.6899797396673</v>
      </c>
      <c r="G37" s="3">
        <f ca="1">G25*'S&amp;U'!$K$19</f>
        <v>1723.2812164552436</v>
      </c>
      <c r="H37" s="3">
        <f ca="1">H25*'S&amp;U'!$K$19</f>
        <v>2163.7412572676608</v>
      </c>
      <c r="I37" s="3">
        <f ca="1">I25*'S&amp;U'!$K$19</f>
        <v>2609.4079521301687</v>
      </c>
      <c r="J37" s="3">
        <f ca="1">J25*'S&amp;U'!$K$19</f>
        <v>3019.7960771933904</v>
      </c>
      <c r="K37" s="3">
        <f ca="1">K25*'S&amp;U'!$K$19</f>
        <v>3382.528878025149</v>
      </c>
      <c r="L37" s="3">
        <f ca="1">L25*'S&amp;U'!$K$19</f>
        <v>3680.3325313217488</v>
      </c>
      <c r="M37" s="3">
        <f ca="1">M25*'S&amp;U'!$K$19</f>
        <v>3909.3653230781329</v>
      </c>
      <c r="N37" s="3">
        <f ca="1">N25*'S&amp;U'!$K$19</f>
        <v>4052.3038261655252</v>
      </c>
      <c r="O37" s="3">
        <f ca="1">O25*'S&amp;U'!$K$19</f>
        <v>4146.459046337417</v>
      </c>
      <c r="P37" s="3"/>
    </row>
    <row r="38" spans="1:16" s="12" customFormat="1" ht="13.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s="12" customFormat="1" ht="13.8" x14ac:dyDescent="0.25">
      <c r="A39" s="3"/>
      <c r="B39" s="43" t="s">
        <v>224</v>
      </c>
      <c r="C39" s="53" t="s">
        <v>225</v>
      </c>
      <c r="D39" s="53" t="s">
        <v>226</v>
      </c>
      <c r="E39" s="53" t="s">
        <v>227</v>
      </c>
      <c r="F39" s="53" t="s">
        <v>228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B40" s="3" t="s">
        <v>229</v>
      </c>
      <c r="C40" s="20">
        <f ca="1">SUM(F40:J40)/-E40</f>
        <v>1.6932006649813793</v>
      </c>
      <c r="D40" s="9">
        <f t="shared" ref="D40:D44" ca="1" si="11">IRR(E40:O40)</f>
        <v>0.69320066498137911</v>
      </c>
      <c r="E40" s="3">
        <f>-SUM($E$36:$E$37)</f>
        <v>-1129.5825268562603</v>
      </c>
      <c r="F40" s="3">
        <f ca="1">SUM(F$36:F$37)</f>
        <v>1912.6098856243666</v>
      </c>
    </row>
    <row r="41" spans="1:16" x14ac:dyDescent="0.25">
      <c r="B41" s="3" t="s">
        <v>230</v>
      </c>
      <c r="C41" s="20">
        <f ca="1">SUM(F41:J41)/-E41</f>
        <v>2.1526440524801678</v>
      </c>
      <c r="D41" s="9">
        <f t="shared" ca="1" si="11"/>
        <v>0.4671891672446904</v>
      </c>
      <c r="E41" s="3">
        <f t="shared" ref="E41:E44" si="12">-SUM($E$36:$E$37)</f>
        <v>-1129.5825268562603</v>
      </c>
      <c r="F41" s="52">
        <v>0</v>
      </c>
      <c r="G41" s="3">
        <f ca="1">SUM(G$36:G$37)</f>
        <v>2431.5891082226481</v>
      </c>
    </row>
    <row r="42" spans="1:16" x14ac:dyDescent="0.25">
      <c r="B42" s="3" t="s">
        <v>231</v>
      </c>
      <c r="C42" s="20">
        <f ca="1">SUM(F42:J42)/-E42</f>
        <v>2.6366336783635154</v>
      </c>
      <c r="D42" s="9">
        <f t="shared" ca="1" si="11"/>
        <v>0.38149695403651052</v>
      </c>
      <c r="E42" s="3">
        <f t="shared" si="12"/>
        <v>-1129.5825268562603</v>
      </c>
      <c r="F42" s="52">
        <v>0</v>
      </c>
      <c r="G42" s="52">
        <v>0</v>
      </c>
      <c r="H42" s="3">
        <f ca="1">SUM(H$36:H$37)</f>
        <v>2978.2953328001759</v>
      </c>
    </row>
    <row r="43" spans="1:16" x14ac:dyDescent="0.25">
      <c r="B43" s="3" t="s">
        <v>232</v>
      </c>
      <c r="C43" s="20">
        <f ca="1">SUM(F43:J43)/-E43</f>
        <v>3.1393413537139541</v>
      </c>
      <c r="D43" s="9">
        <f t="shared" ca="1" si="11"/>
        <v>0.33109678728362346</v>
      </c>
      <c r="E43" s="3">
        <f t="shared" si="12"/>
        <v>-1129.5825268562603</v>
      </c>
      <c r="F43" s="52">
        <v>0</v>
      </c>
      <c r="G43" s="52">
        <v>0</v>
      </c>
      <c r="H43" s="52">
        <v>0</v>
      </c>
      <c r="I43" s="3">
        <f ca="1">SUM(I$36:I$37)</f>
        <v>3546.145138992561</v>
      </c>
    </row>
    <row r="44" spans="1:16" x14ac:dyDescent="0.25">
      <c r="B44" s="3" t="s">
        <v>233</v>
      </c>
      <c r="C44" s="20">
        <f ca="1">SUM(F44:J44)/-E44</f>
        <v>3.6270425087820888</v>
      </c>
      <c r="D44" s="9">
        <f t="shared" ca="1" si="11"/>
        <v>0.29392924599192893</v>
      </c>
      <c r="E44" s="3">
        <f t="shared" si="12"/>
        <v>-1129.5825268562603</v>
      </c>
      <c r="F44" s="52">
        <v>0</v>
      </c>
      <c r="G44" s="52">
        <v>0</v>
      </c>
      <c r="H44" s="52">
        <v>0</v>
      </c>
      <c r="I44" s="52">
        <v>0</v>
      </c>
      <c r="J44" s="3">
        <f ca="1">SUM(J$36:J$37)</f>
        <v>4097.0438420851415</v>
      </c>
    </row>
    <row r="46" spans="1:16" s="12" customFormat="1" ht="15.6" x14ac:dyDescent="0.25">
      <c r="A46" s="31" t="s">
        <v>235</v>
      </c>
      <c r="B46" s="3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3"/>
    </row>
    <row r="47" spans="1:16" s="12" customFormat="1" ht="13.8" x14ac:dyDescent="0.25">
      <c r="A47" s="3"/>
      <c r="B47" s="3" t="s">
        <v>220</v>
      </c>
      <c r="C47" s="3"/>
      <c r="D47" s="3"/>
      <c r="E47" s="10">
        <f>YEAR(E$2)-YEAR($E$2)</f>
        <v>0</v>
      </c>
      <c r="F47" s="10">
        <f>YEAR(F$2)-YEAR($E$2)</f>
        <v>1</v>
      </c>
      <c r="G47" s="10">
        <f t="shared" ref="G47:O47" si="13">YEAR(G$2)-YEAR($E$2)</f>
        <v>2</v>
      </c>
      <c r="H47" s="10">
        <f t="shared" si="13"/>
        <v>3</v>
      </c>
      <c r="I47" s="10">
        <f t="shared" si="13"/>
        <v>4</v>
      </c>
      <c r="J47" s="10">
        <f t="shared" si="13"/>
        <v>5</v>
      </c>
      <c r="K47" s="10">
        <f t="shared" si="13"/>
        <v>6</v>
      </c>
      <c r="L47" s="10">
        <f t="shared" si="13"/>
        <v>7</v>
      </c>
      <c r="M47" s="10">
        <f t="shared" si="13"/>
        <v>8</v>
      </c>
      <c r="N47" s="10">
        <f t="shared" si="13"/>
        <v>9</v>
      </c>
      <c r="O47" s="10">
        <f t="shared" si="13"/>
        <v>10</v>
      </c>
      <c r="P47" s="3"/>
    </row>
    <row r="48" spans="1:16" s="12" customFormat="1" ht="13.8" x14ac:dyDescent="0.25">
      <c r="A48" s="3"/>
      <c r="B48" s="3" t="s">
        <v>236</v>
      </c>
      <c r="C48" s="3"/>
      <c r="D48" s="3"/>
      <c r="E48" s="3">
        <f>-E18</f>
        <v>500</v>
      </c>
      <c r="F48" s="3">
        <f t="shared" ref="F48:O48" si="14">-F18</f>
        <v>564.04999999999995</v>
      </c>
      <c r="G48" s="3">
        <f t="shared" si="14"/>
        <v>636.30480499999999</v>
      </c>
      <c r="H48" s="3">
        <f t="shared" si="14"/>
        <v>717.81545052050001</v>
      </c>
      <c r="I48" s="3">
        <f t="shared" si="14"/>
        <v>809.76760973217608</v>
      </c>
      <c r="J48" s="3">
        <f t="shared" si="14"/>
        <v>913.49884053886785</v>
      </c>
      <c r="K48" s="3">
        <f t="shared" si="14"/>
        <v>1030.5180420118968</v>
      </c>
      <c r="L48" s="3">
        <f t="shared" si="14"/>
        <v>1162.5274031936208</v>
      </c>
      <c r="M48" s="3">
        <f t="shared" si="14"/>
        <v>1311.4471635427235</v>
      </c>
      <c r="N48" s="3">
        <f t="shared" si="14"/>
        <v>1479.4435451925465</v>
      </c>
      <c r="O48" s="3">
        <f t="shared" si="14"/>
        <v>0</v>
      </c>
      <c r="P48" s="3"/>
    </row>
    <row r="49" spans="1:16" s="12" customFormat="1" ht="13.8" x14ac:dyDescent="0.25">
      <c r="A49" s="3"/>
      <c r="B49" s="3" t="s">
        <v>237</v>
      </c>
      <c r="C49" s="3"/>
      <c r="D49" s="3"/>
      <c r="E49" s="3"/>
      <c r="F49" s="3">
        <f ca="1">'S&amp;U'!$K$17*Returns!F25</f>
        <v>13.507187288954867</v>
      </c>
      <c r="G49" s="3">
        <f ca="1">'S&amp;U'!$K$17*Returns!G25</f>
        <v>17.950846004742122</v>
      </c>
      <c r="H49" s="3">
        <f ca="1">'S&amp;U'!$K$17*Returns!H25</f>
        <v>22.538971429871467</v>
      </c>
      <c r="I49" s="3">
        <f ca="1">'S&amp;U'!$K$17*Returns!I25</f>
        <v>27.181332834689261</v>
      </c>
      <c r="J49" s="3">
        <f ca="1">'S&amp;U'!$K$17*Returns!J25</f>
        <v>31.456209137431152</v>
      </c>
      <c r="K49" s="3">
        <f ca="1">'S&amp;U'!$K$17*Returns!K25</f>
        <v>35.234675812761971</v>
      </c>
      <c r="L49" s="3">
        <f ca="1">'S&amp;U'!$K$17*Returns!L25</f>
        <v>38.336797201268219</v>
      </c>
      <c r="M49" s="3">
        <f ca="1">'S&amp;U'!$K$17*Returns!M25</f>
        <v>40.722555448730553</v>
      </c>
      <c r="N49" s="3">
        <f ca="1">'S&amp;U'!$K$17*Returns!N25</f>
        <v>42.211498189224223</v>
      </c>
      <c r="O49" s="3">
        <f ca="1">'S&amp;U'!$K$17*Returns!O25</f>
        <v>43.19228173268143</v>
      </c>
      <c r="P49" s="3"/>
    </row>
    <row r="50" spans="1:16" s="12" customFormat="1" ht="13.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s="12" customFormat="1" ht="13.8" x14ac:dyDescent="0.25">
      <c r="A51" s="3"/>
      <c r="B51" s="43" t="s">
        <v>224</v>
      </c>
      <c r="C51" s="53" t="s">
        <v>225</v>
      </c>
      <c r="D51" s="53" t="s">
        <v>226</v>
      </c>
      <c r="E51" s="53" t="s">
        <v>227</v>
      </c>
      <c r="F51" s="53" t="s">
        <v>228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B52" s="3" t="s">
        <v>229</v>
      </c>
      <c r="C52" s="20">
        <f ca="1">SUM(F52:J52)/-E52</f>
        <v>1.1551143745779096</v>
      </c>
      <c r="D52" s="9">
        <f ca="1">IRR(E52:O52)</f>
        <v>0.15511437457790955</v>
      </c>
      <c r="E52" s="3">
        <f>-$E$48</f>
        <v>-500</v>
      </c>
      <c r="F52" s="3">
        <f ca="1">SUM(F$48:F$49)</f>
        <v>577.55718728895476</v>
      </c>
    </row>
    <row r="53" spans="1:16" x14ac:dyDescent="0.25">
      <c r="B53" s="3" t="s">
        <v>230</v>
      </c>
      <c r="C53" s="20">
        <f ca="1">SUM(F53:J53)/-E53</f>
        <v>1.3085113020094843</v>
      </c>
      <c r="D53" s="9">
        <f t="shared" ref="D53:D56" ca="1" si="15">IRR(E53:O53)</f>
        <v>0.14390178862057712</v>
      </c>
      <c r="E53" s="3">
        <f t="shared" ref="E53:E56" si="16">-$E$48</f>
        <v>-500</v>
      </c>
      <c r="F53" s="52">
        <v>0</v>
      </c>
      <c r="G53" s="3">
        <f ca="1">SUM(G$48:G$49)</f>
        <v>654.25565100474216</v>
      </c>
    </row>
    <row r="54" spans="1:16" x14ac:dyDescent="0.25">
      <c r="B54" s="3" t="s">
        <v>231</v>
      </c>
      <c r="C54" s="20">
        <f ca="1">SUM(F54:J54)/-E54</f>
        <v>1.480708843900743</v>
      </c>
      <c r="D54" s="9">
        <f t="shared" ca="1" si="15"/>
        <v>0.13978575123407744</v>
      </c>
      <c r="E54" s="3">
        <f t="shared" si="16"/>
        <v>-500</v>
      </c>
      <c r="F54" s="52">
        <v>0</v>
      </c>
      <c r="G54" s="52">
        <v>0</v>
      </c>
      <c r="H54" s="3">
        <f ca="1">SUM(H$48:H$49)</f>
        <v>740.35442195037149</v>
      </c>
    </row>
    <row r="55" spans="1:16" x14ac:dyDescent="0.25">
      <c r="B55" s="3" t="s">
        <v>232</v>
      </c>
      <c r="C55" s="20">
        <f ca="1">SUM(F55:J55)/-E55</f>
        <v>1.6738978851337305</v>
      </c>
      <c r="D55" s="9">
        <f t="shared" ca="1" si="15"/>
        <v>0.13744980389155792</v>
      </c>
      <c r="E55" s="3">
        <f t="shared" si="16"/>
        <v>-500</v>
      </c>
      <c r="F55" s="52">
        <v>0</v>
      </c>
      <c r="G55" s="52">
        <v>0</v>
      </c>
      <c r="H55" s="52">
        <v>0</v>
      </c>
      <c r="I55" s="3">
        <f ca="1">SUM(I$48:I$49)</f>
        <v>836.9489425668653</v>
      </c>
    </row>
    <row r="56" spans="1:16" x14ac:dyDescent="0.25">
      <c r="B56" s="3" t="s">
        <v>233</v>
      </c>
      <c r="C56" s="20">
        <f ca="1">SUM(F56:J56)/-E56</f>
        <v>1.8899100993525981</v>
      </c>
      <c r="D56" s="9">
        <f t="shared" ca="1" si="15"/>
        <v>0.13576434079084021</v>
      </c>
      <c r="E56" s="3">
        <f t="shared" si="16"/>
        <v>-500</v>
      </c>
      <c r="F56" s="52">
        <v>0</v>
      </c>
      <c r="G56" s="52">
        <v>0</v>
      </c>
      <c r="H56" s="52">
        <v>0</v>
      </c>
      <c r="I56" s="52">
        <v>0</v>
      </c>
      <c r="J56" s="3">
        <f ca="1">SUM(J$48:J$49)</f>
        <v>944.95504967629904</v>
      </c>
    </row>
    <row r="58" spans="1:16" s="12" customFormat="1" ht="15.6" x14ac:dyDescent="0.25">
      <c r="A58" s="31" t="s">
        <v>238</v>
      </c>
      <c r="B58" s="3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3"/>
    </row>
    <row r="59" spans="1:16" s="12" customFormat="1" ht="13.8" x14ac:dyDescent="0.25">
      <c r="A59" s="3"/>
      <c r="B59" s="3" t="s">
        <v>220</v>
      </c>
      <c r="C59" s="3"/>
      <c r="D59" s="3"/>
      <c r="E59" s="10">
        <f>YEAR(E$2)-YEAR($E$2)</f>
        <v>0</v>
      </c>
      <c r="F59" s="10">
        <f>YEAR(F$2)-YEAR($E$2)</f>
        <v>1</v>
      </c>
      <c r="G59" s="10">
        <f t="shared" ref="G59:O59" si="17">YEAR(G$2)-YEAR($E$2)</f>
        <v>2</v>
      </c>
      <c r="H59" s="10">
        <f t="shared" si="17"/>
        <v>3</v>
      </c>
      <c r="I59" s="10">
        <f t="shared" si="17"/>
        <v>4</v>
      </c>
      <c r="J59" s="10">
        <f t="shared" si="17"/>
        <v>5</v>
      </c>
      <c r="K59" s="10">
        <f t="shared" si="17"/>
        <v>6</v>
      </c>
      <c r="L59" s="10">
        <f t="shared" si="17"/>
        <v>7</v>
      </c>
      <c r="M59" s="10">
        <f t="shared" si="17"/>
        <v>8</v>
      </c>
      <c r="N59" s="10">
        <f t="shared" si="17"/>
        <v>9</v>
      </c>
      <c r="O59" s="10">
        <f t="shared" si="17"/>
        <v>10</v>
      </c>
      <c r="P59" s="3"/>
    </row>
    <row r="60" spans="1:16" s="12" customFormat="1" ht="13.8" x14ac:dyDescent="0.25">
      <c r="A60" s="3"/>
      <c r="B60" s="3" t="s">
        <v>143</v>
      </c>
      <c r="C60" s="3"/>
      <c r="D60" s="3"/>
      <c r="E60" s="3">
        <f>E25*'S&amp;U'!$J$18</f>
        <v>6</v>
      </c>
      <c r="F60" s="3">
        <f ca="1">F25*'S&amp;U'!$K$18</f>
        <v>40.521561866864602</v>
      </c>
      <c r="G60" s="3">
        <f ca="1">G25*'S&amp;U'!$K$18</f>
        <v>53.852538014226361</v>
      </c>
      <c r="H60" s="3">
        <f ca="1">H25*'S&amp;U'!$K$18</f>
        <v>67.6169142896144</v>
      </c>
      <c r="I60" s="3">
        <f ca="1">I25*'S&amp;U'!$K$18</f>
        <v>81.543998504067773</v>
      </c>
      <c r="J60" s="3">
        <f ca="1">J25*'S&amp;U'!$K$18</f>
        <v>94.368627412293449</v>
      </c>
      <c r="K60" s="3">
        <f ca="1">K25*'S&amp;U'!$K$18</f>
        <v>105.70402743828591</v>
      </c>
      <c r="L60" s="3">
        <f ca="1">L25*'S&amp;U'!$K$18</f>
        <v>115.01039160380465</v>
      </c>
      <c r="M60" s="3">
        <f ca="1">M25*'S&amp;U'!$K$18</f>
        <v>122.16766634619165</v>
      </c>
      <c r="N60" s="3">
        <f ca="1">N25*'S&amp;U'!$K$18</f>
        <v>126.63449456767266</v>
      </c>
      <c r="O60" s="3">
        <f ca="1">O25*'S&amp;U'!$K$18</f>
        <v>129.57684519804428</v>
      </c>
      <c r="P60" s="3"/>
    </row>
    <row r="61" spans="1:16" s="12" customFormat="1" ht="13.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s="12" customFormat="1" ht="13.8" x14ac:dyDescent="0.25">
      <c r="A62" s="3"/>
      <c r="B62" s="43" t="s">
        <v>224</v>
      </c>
      <c r="C62" s="53" t="s">
        <v>225</v>
      </c>
      <c r="D62" s="53" t="s">
        <v>226</v>
      </c>
      <c r="E62" s="53" t="s">
        <v>227</v>
      </c>
      <c r="F62" s="53" t="s">
        <v>228</v>
      </c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s="12" customFormat="1" ht="13.8" x14ac:dyDescent="0.25">
      <c r="A63" s="3"/>
      <c r="B63" s="3" t="s">
        <v>229</v>
      </c>
      <c r="C63" s="20">
        <f ca="1">SUM(F63:J63)/-E63</f>
        <v>6.7535936444774336</v>
      </c>
      <c r="D63" s="9">
        <f ca="1">IRR(E63:J63)</f>
        <v>5.7535936444774354</v>
      </c>
      <c r="E63" s="3">
        <f>-$E$60</f>
        <v>-6</v>
      </c>
      <c r="F63" s="3">
        <f ca="1">F$60</f>
        <v>40.521561866864602</v>
      </c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B64" s="3" t="s">
        <v>230</v>
      </c>
      <c r="C64" s="20">
        <f ca="1">SUM(F64:J64)/-E64</f>
        <v>8.9754230023710608</v>
      </c>
      <c r="D64" s="9">
        <f ca="1">IRR(E64:J64)</f>
        <v>1.9959010334482623</v>
      </c>
      <c r="E64" s="3">
        <f t="shared" ref="E64:E67" si="18">-$E$60</f>
        <v>-6</v>
      </c>
      <c r="F64" s="52">
        <v>0</v>
      </c>
      <c r="G64" s="3">
        <f ca="1">G$60</f>
        <v>53.852538014226361</v>
      </c>
    </row>
    <row r="65" spans="2:10" x14ac:dyDescent="0.25">
      <c r="B65" s="3" t="s">
        <v>231</v>
      </c>
      <c r="C65" s="20">
        <f ca="1">SUM(F65:J65)/-E65</f>
        <v>11.269485714935733</v>
      </c>
      <c r="D65" s="9">
        <f ca="1">IRR(E65:J65)</f>
        <v>1.2419953067201122</v>
      </c>
      <c r="E65" s="3">
        <f t="shared" si="18"/>
        <v>-6</v>
      </c>
      <c r="F65" s="52">
        <v>0</v>
      </c>
      <c r="G65" s="52">
        <v>0</v>
      </c>
      <c r="H65" s="3">
        <f ca="1">H$60</f>
        <v>67.6169142896144</v>
      </c>
    </row>
    <row r="66" spans="2:10" x14ac:dyDescent="0.25">
      <c r="B66" s="3" t="s">
        <v>232</v>
      </c>
      <c r="C66" s="20">
        <f ca="1">SUM(F66:J66)/-E66</f>
        <v>13.590666417344629</v>
      </c>
      <c r="D66" s="9">
        <f ca="1">IRR(E66:J66)</f>
        <v>0.92003961005775858</v>
      </c>
      <c r="E66" s="3">
        <f t="shared" si="18"/>
        <v>-6</v>
      </c>
      <c r="F66" s="52">
        <v>0</v>
      </c>
      <c r="G66" s="52">
        <v>0</v>
      </c>
      <c r="H66" s="52">
        <v>0</v>
      </c>
      <c r="I66" s="3">
        <f ca="1">I$60</f>
        <v>81.543998504067773</v>
      </c>
    </row>
    <row r="67" spans="2:10" x14ac:dyDescent="0.25">
      <c r="B67" s="3" t="s">
        <v>233</v>
      </c>
      <c r="C67" s="20">
        <f ca="1">SUM(F67:J67)/-E67</f>
        <v>15.728104568715574</v>
      </c>
      <c r="D67" s="9">
        <f ca="1">IRR(E67:J67)</f>
        <v>0.73514302019520339</v>
      </c>
      <c r="E67" s="3">
        <f t="shared" si="18"/>
        <v>-6</v>
      </c>
      <c r="F67" s="52">
        <v>0</v>
      </c>
      <c r="G67" s="52">
        <v>0</v>
      </c>
      <c r="H67" s="52">
        <v>0</v>
      </c>
      <c r="I67" s="52">
        <v>0</v>
      </c>
      <c r="J67" s="3">
        <f ca="1">J$60</f>
        <v>94.368627412293449</v>
      </c>
    </row>
  </sheetData>
  <conditionalFormatting sqref="E6">
    <cfRule type="expression" dxfId="0" priority="1">
      <formula>circ&lt;&gt;1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  <pageSetUpPr fitToPage="1"/>
  </sheetPr>
  <dimension ref="A1:H3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9" defaultRowHeight="13.8" x14ac:dyDescent="0.25"/>
  <cols>
    <col min="1" max="1" width="2.44140625" style="12" customWidth="1"/>
    <col min="2" max="2" width="30.77734375" style="12" customWidth="1"/>
    <col min="3" max="8" width="11.44140625" style="12" customWidth="1"/>
    <col min="9" max="11" width="10.44140625" style="12" customWidth="1"/>
    <col min="12" max="16384" width="9" style="12"/>
  </cols>
  <sheetData>
    <row r="1" spans="1:8" s="38" customFormat="1" ht="17.399999999999999" x14ac:dyDescent="0.3">
      <c r="A1" s="41" t="str">
        <f>CoName</f>
        <v>Company2272</v>
      </c>
      <c r="B1" s="36"/>
      <c r="C1" s="73"/>
      <c r="D1" s="73"/>
      <c r="E1" s="73"/>
      <c r="F1" s="73"/>
      <c r="G1" s="73"/>
    </row>
    <row r="2" spans="1:8" s="38" customFormat="1" ht="18" thickBot="1" x14ac:dyDescent="0.35">
      <c r="A2" s="42" t="str">
        <f>Ccy&amp;Units&amp;" unless otherwise stated"</f>
        <v>$m unless otherwise stated</v>
      </c>
      <c r="B2" s="39"/>
      <c r="C2" s="74"/>
      <c r="D2" s="74"/>
      <c r="E2" s="74"/>
      <c r="F2" s="74"/>
      <c r="G2" s="74"/>
      <c r="H2" s="74"/>
    </row>
    <row r="3" spans="1:8" ht="14.4" thickTop="1" x14ac:dyDescent="0.25"/>
    <row r="4" spans="1:8" s="3" customFormat="1" ht="13.2" x14ac:dyDescent="0.25">
      <c r="B4" s="3" t="s">
        <v>239</v>
      </c>
      <c r="E4" s="65">
        <f>'S&amp;U'!E8</f>
        <v>0.38</v>
      </c>
    </row>
    <row r="5" spans="1:8" s="3" customFormat="1" ht="13.2" x14ac:dyDescent="0.25">
      <c r="B5" s="3" t="s">
        <v>240</v>
      </c>
      <c r="E5" s="66">
        <f>OpMod!C6</f>
        <v>1</v>
      </c>
    </row>
    <row r="6" spans="1:8" s="3" customFormat="1" ht="13.2" x14ac:dyDescent="0.25">
      <c r="B6" s="3" t="s">
        <v>241</v>
      </c>
      <c r="E6" s="67">
        <f>Returns!E5</f>
        <v>7</v>
      </c>
    </row>
    <row r="7" spans="1:8" s="3" customFormat="1" ht="13.2" x14ac:dyDescent="0.25"/>
    <row r="8" spans="1:8" s="3" customFormat="1" ht="15.6" x14ac:dyDescent="0.25">
      <c r="A8" s="61" t="s">
        <v>8</v>
      </c>
      <c r="B8" s="61"/>
      <c r="C8" s="61"/>
      <c r="D8" s="61"/>
      <c r="E8" s="61"/>
      <c r="F8" s="61"/>
      <c r="G8" s="61"/>
      <c r="H8" s="61"/>
    </row>
    <row r="9" spans="1:8" s="3" customFormat="1" ht="13.2" x14ac:dyDescent="0.25"/>
    <row r="10" spans="1:8" s="3" customFormat="1" ht="13.2" x14ac:dyDescent="0.25">
      <c r="B10" s="43" t="s">
        <v>242</v>
      </c>
      <c r="C10" s="53" t="s">
        <v>243</v>
      </c>
      <c r="D10" s="53" t="s">
        <v>21</v>
      </c>
      <c r="E10" s="53" t="s">
        <v>227</v>
      </c>
      <c r="F10" s="53" t="s">
        <v>244</v>
      </c>
      <c r="G10" s="53" t="s">
        <v>42</v>
      </c>
      <c r="H10" s="53" t="s">
        <v>245</v>
      </c>
    </row>
    <row r="11" spans="1:8" s="3" customFormat="1" ht="13.2" x14ac:dyDescent="0.25">
      <c r="B11" s="43" t="s">
        <v>26</v>
      </c>
      <c r="C11" s="53" t="s">
        <v>246</v>
      </c>
      <c r="D11" s="53" t="s">
        <v>14</v>
      </c>
      <c r="E11" s="53" t="s">
        <v>247</v>
      </c>
      <c r="F11" s="53" t="s">
        <v>247</v>
      </c>
      <c r="G11" s="53" t="s">
        <v>247</v>
      </c>
      <c r="H11" s="53" t="s">
        <v>225</v>
      </c>
    </row>
    <row r="12" spans="1:8" s="3" customFormat="1" ht="13.2" x14ac:dyDescent="0.25">
      <c r="D12" s="25">
        <f>'S&amp;U'!E9</f>
        <v>32.002200000000002</v>
      </c>
      <c r="E12" s="26">
        <f ca="1">Returns!D30</f>
        <v>0.39283661162782724</v>
      </c>
      <c r="F12" s="26">
        <f ca="1">Returns!D42</f>
        <v>0.38149695403651052</v>
      </c>
      <c r="G12" s="26">
        <f ca="1">Returns!D54</f>
        <v>0.13978575123407744</v>
      </c>
      <c r="H12" s="27">
        <f ca="1">Returns!C65</f>
        <v>11.269485714935733</v>
      </c>
    </row>
    <row r="13" spans="1:8" s="3" customFormat="1" ht="13.2" x14ac:dyDescent="0.25">
      <c r="C13" s="9">
        <f t="shared" ref="C13:C17" si="0">C14-1%</f>
        <v>0.31999999999999995</v>
      </c>
      <c r="D13" s="68">
        <f t="dataTable" ref="D13:H24" dt2D="0" dtr="0" r1="E4" ca="1"/>
        <v>30.610799999999998</v>
      </c>
      <c r="E13" s="9">
        <v>0.47804759580067557</v>
      </c>
      <c r="F13" s="9">
        <v>0.4646681313438219</v>
      </c>
      <c r="G13" s="9">
        <v>0.14123010886445431</v>
      </c>
      <c r="H13" s="20">
        <v>12.678556077877589</v>
      </c>
    </row>
    <row r="14" spans="1:8" s="3" customFormat="1" ht="13.2" x14ac:dyDescent="0.25">
      <c r="C14" s="9">
        <f t="shared" si="0"/>
        <v>0.32999999999999996</v>
      </c>
      <c r="D14" s="68">
        <v>30.842700000000004</v>
      </c>
      <c r="E14" s="9">
        <v>0.46237449165923206</v>
      </c>
      <c r="F14" s="9">
        <v>0.4493460937872511</v>
      </c>
      <c r="G14" s="9">
        <v>0.14098963646374396</v>
      </c>
      <c r="H14" s="20">
        <v>12.443711017387278</v>
      </c>
    </row>
    <row r="15" spans="1:8" s="3" customFormat="1" ht="13.2" x14ac:dyDescent="0.25">
      <c r="C15" s="9">
        <f t="shared" si="0"/>
        <v>0.33999999999999997</v>
      </c>
      <c r="D15" s="68">
        <v>31.074599999999997</v>
      </c>
      <c r="E15" s="9">
        <v>0.44734571115253652</v>
      </c>
      <c r="F15" s="9">
        <v>0.43466393994731711</v>
      </c>
      <c r="G15" s="9">
        <v>0.14074906265743681</v>
      </c>
      <c r="H15" s="20">
        <v>12.208865956896974</v>
      </c>
    </row>
    <row r="16" spans="1:8" s="3" customFormat="1" ht="13.2" x14ac:dyDescent="0.25">
      <c r="C16" s="9">
        <f t="shared" si="0"/>
        <v>0.35</v>
      </c>
      <c r="D16" s="68">
        <v>31.306500000000003</v>
      </c>
      <c r="E16" s="9">
        <v>0.43291628410560823</v>
      </c>
      <c r="F16" s="9">
        <v>0.4205766800084243</v>
      </c>
      <c r="G16" s="9">
        <v>0.14050838733856041</v>
      </c>
      <c r="H16" s="20">
        <v>11.974020896406655</v>
      </c>
    </row>
    <row r="17" spans="2:8" s="3" customFormat="1" ht="13.2" x14ac:dyDescent="0.25">
      <c r="C17" s="9">
        <f t="shared" si="0"/>
        <v>0.36</v>
      </c>
      <c r="D17" s="68">
        <v>31.538399999999999</v>
      </c>
      <c r="E17" s="9">
        <v>0.41904559413176679</v>
      </c>
      <c r="F17" s="9">
        <v>0.40704370712210047</v>
      </c>
      <c r="G17" s="9">
        <v>0.14026761039996161</v>
      </c>
      <c r="H17" s="20">
        <v>11.739175835916358</v>
      </c>
    </row>
    <row r="18" spans="2:8" s="3" customFormat="1" ht="13.2" x14ac:dyDescent="0.25">
      <c r="C18" s="9">
        <f>C19-1%</f>
        <v>0.37</v>
      </c>
      <c r="D18" s="68">
        <v>31.770300000000006</v>
      </c>
      <c r="E18" s="9">
        <v>0.40569684610960577</v>
      </c>
      <c r="F18" s="9">
        <v>0.39402825819047793</v>
      </c>
      <c r="G18" s="9">
        <v>0.14002673173430624</v>
      </c>
      <c r="H18" s="20">
        <v>11.504330775426036</v>
      </c>
    </row>
    <row r="19" spans="2:8" s="3" customFormat="1" ht="13.2" x14ac:dyDescent="0.25">
      <c r="C19" s="69">
        <f>'S&amp;U'!E8</f>
        <v>0.38</v>
      </c>
      <c r="D19" s="70">
        <v>32.002200000000002</v>
      </c>
      <c r="E19" s="69">
        <v>0.39283661162782724</v>
      </c>
      <c r="F19" s="69">
        <v>0.38149695403651052</v>
      </c>
      <c r="G19" s="69">
        <v>0.13978575123407744</v>
      </c>
      <c r="H19" s="71">
        <v>11.269485714935733</v>
      </c>
    </row>
    <row r="20" spans="2:8" s="3" customFormat="1" ht="13.2" x14ac:dyDescent="0.25">
      <c r="C20" s="9">
        <f>C19+1%</f>
        <v>0.39</v>
      </c>
      <c r="D20" s="68">
        <v>32.234100000000005</v>
      </c>
      <c r="E20" s="9">
        <v>0.38043443920375952</v>
      </c>
      <c r="F20" s="9">
        <v>0.36941940545470198</v>
      </c>
      <c r="G20" s="9">
        <v>0.1395446687915789</v>
      </c>
      <c r="H20" s="20">
        <v>11.034640654445417</v>
      </c>
    </row>
    <row r="21" spans="2:8" s="3" customFormat="1" ht="13.2" x14ac:dyDescent="0.25">
      <c r="C21" s="9">
        <f t="shared" ref="C21:C24" si="1">C20+1%</f>
        <v>0.4</v>
      </c>
      <c r="D21" s="68">
        <v>32.466000000000001</v>
      </c>
      <c r="E21" s="9">
        <v>0.36846251859956491</v>
      </c>
      <c r="F21" s="9">
        <v>0.35776787422724055</v>
      </c>
      <c r="G21" s="9">
        <v>0.13930348429892936</v>
      </c>
      <c r="H21" s="20">
        <v>10.799795593955118</v>
      </c>
    </row>
    <row r="22" spans="2:8" s="3" customFormat="1" ht="13.2" x14ac:dyDescent="0.25">
      <c r="C22" s="9">
        <f t="shared" si="1"/>
        <v>0.41000000000000003</v>
      </c>
      <c r="D22" s="68">
        <v>32.697900000000004</v>
      </c>
      <c r="E22" s="9">
        <v>0.35689539054596042</v>
      </c>
      <c r="F22" s="9">
        <v>0.34651698023097688</v>
      </c>
      <c r="G22" s="9">
        <v>0.13906219764806615</v>
      </c>
      <c r="H22" s="20">
        <v>10.564950533464808</v>
      </c>
    </row>
    <row r="23" spans="2:8" s="3" customFormat="1" ht="13.2" x14ac:dyDescent="0.25">
      <c r="C23" s="9">
        <f t="shared" si="1"/>
        <v>0.42000000000000004</v>
      </c>
      <c r="D23" s="68">
        <v>32.9298</v>
      </c>
      <c r="E23" s="9">
        <v>0.34570969475976177</v>
      </c>
      <c r="F23" s="9">
        <v>0.33564344737856411</v>
      </c>
      <c r="G23" s="9">
        <v>0.13882080873074343</v>
      </c>
      <c r="H23" s="20">
        <v>10.330105472974497</v>
      </c>
    </row>
    <row r="24" spans="2:8" s="3" customFormat="1" ht="13.2" x14ac:dyDescent="0.25">
      <c r="C24" s="9">
        <f t="shared" si="1"/>
        <v>0.43000000000000005</v>
      </c>
      <c r="D24" s="68">
        <v>33.161700000000003</v>
      </c>
      <c r="E24" s="9">
        <v>0.33488395040084318</v>
      </c>
      <c r="F24" s="9">
        <v>0.32512588242787666</v>
      </c>
      <c r="G24" s="9">
        <v>0.13857931743853125</v>
      </c>
      <c r="H24" s="20">
        <v>10.095260412484189</v>
      </c>
    </row>
    <row r="26" spans="2:8" x14ac:dyDescent="0.25">
      <c r="B26" s="43" t="s">
        <v>242</v>
      </c>
      <c r="C26" s="53" t="s">
        <v>248</v>
      </c>
      <c r="D26" s="53" t="s">
        <v>21</v>
      </c>
      <c r="E26" s="53" t="s">
        <v>227</v>
      </c>
      <c r="F26" s="53" t="s">
        <v>244</v>
      </c>
      <c r="G26" s="53" t="s">
        <v>42</v>
      </c>
      <c r="H26" s="53" t="s">
        <v>245</v>
      </c>
    </row>
    <row r="27" spans="2:8" x14ac:dyDescent="0.25">
      <c r="B27" s="43" t="s">
        <v>249</v>
      </c>
      <c r="C27" s="53" t="s">
        <v>250</v>
      </c>
      <c r="D27" s="53" t="s">
        <v>14</v>
      </c>
      <c r="E27" s="53" t="s">
        <v>247</v>
      </c>
      <c r="F27" s="53" t="s">
        <v>247</v>
      </c>
      <c r="G27" s="53" t="s">
        <v>247</v>
      </c>
      <c r="H27" s="53" t="s">
        <v>225</v>
      </c>
    </row>
    <row r="28" spans="2:8" x14ac:dyDescent="0.25">
      <c r="D28" s="25">
        <f>'S&amp;U'!$E$9</f>
        <v>32.002200000000002</v>
      </c>
      <c r="E28" s="26">
        <f ca="1">Returns!$D$30</f>
        <v>0.39283661162782724</v>
      </c>
      <c r="F28" s="26">
        <f ca="1">Returns!$D$42</f>
        <v>0.38149695403651052</v>
      </c>
      <c r="G28" s="26">
        <f ca="1">Returns!$D$54</f>
        <v>0.13978575123407744</v>
      </c>
      <c r="H28" s="27">
        <f ca="1">Returns!$C$65</f>
        <v>11.269485714935733</v>
      </c>
    </row>
    <row r="29" spans="2:8" x14ac:dyDescent="0.25">
      <c r="C29" s="20">
        <f>C30-0.5</f>
        <v>6</v>
      </c>
      <c r="D29" s="68">
        <f t="dataTable" ref="D29:H33" dt2D="0" dtr="0" r1="E6" ca="1"/>
        <v>32.002200000000002</v>
      </c>
      <c r="E29" s="9">
        <v>0.243883179437963</v>
      </c>
      <c r="F29" s="9">
        <v>0.23557107790766563</v>
      </c>
      <c r="G29" s="9">
        <v>0.1352367406243109</v>
      </c>
      <c r="H29" s="20">
        <v>6.8548975966107335</v>
      </c>
    </row>
    <row r="30" spans="2:8" x14ac:dyDescent="0.25">
      <c r="C30" s="20">
        <f>C31-0.5</f>
        <v>6.5</v>
      </c>
      <c r="D30" s="68">
        <v>32.002200000000002</v>
      </c>
      <c r="E30" s="9">
        <v>0.32255387409051917</v>
      </c>
      <c r="F30" s="9">
        <v>0.31258979437248846</v>
      </c>
      <c r="G30" s="9">
        <v>0.13751579388767832</v>
      </c>
      <c r="H30" s="20">
        <v>9.0621916557732334</v>
      </c>
    </row>
    <row r="31" spans="2:8" x14ac:dyDescent="0.25">
      <c r="C31" s="71">
        <f>Returns!E5</f>
        <v>7</v>
      </c>
      <c r="D31" s="70">
        <v>32.002200000000002</v>
      </c>
      <c r="E31" s="69">
        <v>0.39283661162782724</v>
      </c>
      <c r="F31" s="69">
        <v>0.38149695403651052</v>
      </c>
      <c r="G31" s="69">
        <v>0.13978575123407744</v>
      </c>
      <c r="H31" s="71">
        <v>11.269485714935733</v>
      </c>
    </row>
    <row r="32" spans="2:8" x14ac:dyDescent="0.25">
      <c r="C32" s="20">
        <f>C31+0.5</f>
        <v>7.5</v>
      </c>
      <c r="D32" s="68">
        <v>32.002200000000002</v>
      </c>
      <c r="E32" s="9">
        <v>0.45666301755549688</v>
      </c>
      <c r="F32" s="9">
        <v>0.44414075381042895</v>
      </c>
      <c r="G32" s="9">
        <v>0.14204670288027499</v>
      </c>
      <c r="H32" s="20">
        <v>13.476779774098233</v>
      </c>
    </row>
    <row r="33" spans="2:8" x14ac:dyDescent="0.25">
      <c r="C33" s="20">
        <f>C32+0.5</f>
        <v>8</v>
      </c>
      <c r="D33" s="68">
        <v>32.002200000000002</v>
      </c>
      <c r="E33" s="9">
        <v>0.51533838046270164</v>
      </c>
      <c r="F33" s="9">
        <v>0.50177570541990857</v>
      </c>
      <c r="G33" s="9">
        <v>0.14429873761976642</v>
      </c>
      <c r="H33" s="20">
        <v>15.684073833260733</v>
      </c>
    </row>
    <row r="35" spans="2:8" x14ac:dyDescent="0.25">
      <c r="B35" s="43" t="s">
        <v>242</v>
      </c>
      <c r="C35" s="53" t="s">
        <v>251</v>
      </c>
      <c r="D35" s="53" t="s">
        <v>21</v>
      </c>
      <c r="E35" s="53" t="s">
        <v>227</v>
      </c>
      <c r="F35" s="53" t="s">
        <v>244</v>
      </c>
      <c r="G35" s="53" t="s">
        <v>42</v>
      </c>
      <c r="H35" s="53" t="s">
        <v>245</v>
      </c>
    </row>
    <row r="36" spans="2:8" x14ac:dyDescent="0.25">
      <c r="B36" s="43" t="s">
        <v>252</v>
      </c>
      <c r="C36" s="53" t="s">
        <v>253</v>
      </c>
      <c r="D36" s="53" t="s">
        <v>14</v>
      </c>
      <c r="E36" s="53" t="s">
        <v>247</v>
      </c>
      <c r="F36" s="53" t="s">
        <v>247</v>
      </c>
      <c r="G36" s="53" t="s">
        <v>247</v>
      </c>
      <c r="H36" s="53" t="s">
        <v>225</v>
      </c>
    </row>
    <row r="37" spans="2:8" x14ac:dyDescent="0.25">
      <c r="D37" s="25">
        <f>'S&amp;U'!$E$9</f>
        <v>32.002200000000002</v>
      </c>
      <c r="E37" s="26">
        <f ca="1">Returns!$D$30</f>
        <v>0.39283661162782724</v>
      </c>
      <c r="F37" s="26">
        <f ca="1">Returns!$D$42</f>
        <v>0.38149695403651052</v>
      </c>
      <c r="G37" s="26">
        <f ca="1">Returns!$D$54</f>
        <v>0.13978575123407744</v>
      </c>
      <c r="H37" s="27">
        <f ca="1">Returns!$C$65</f>
        <v>11.269485714935733</v>
      </c>
    </row>
    <row r="38" spans="2:8" x14ac:dyDescent="0.25">
      <c r="B38" s="21" t="s">
        <v>254</v>
      </c>
      <c r="C38" s="72">
        <v>1</v>
      </c>
      <c r="D38" s="68">
        <f t="dataTable" ref="D38:H39" dt2D="0" dtr="0" r1="E5" ca="1"/>
        <v>32.002200000000002</v>
      </c>
      <c r="E38" s="9">
        <v>0.39283661162782724</v>
      </c>
      <c r="F38" s="9">
        <v>0.38149695403651052</v>
      </c>
      <c r="G38" s="9">
        <v>0.13978575123407744</v>
      </c>
      <c r="H38" s="20">
        <v>11.269485714935733</v>
      </c>
    </row>
    <row r="39" spans="2:8" x14ac:dyDescent="0.25">
      <c r="B39" s="21" t="s">
        <v>43</v>
      </c>
      <c r="C39" s="72">
        <v>2</v>
      </c>
      <c r="D39" s="68">
        <v>32.002200000000002</v>
      </c>
      <c r="E39" s="9">
        <v>0.45635329629831789</v>
      </c>
      <c r="F39" s="9">
        <v>0.44383663643200166</v>
      </c>
      <c r="G39" s="9">
        <v>0.14203526140104827</v>
      </c>
      <c r="H39" s="20">
        <v>13.46558779686845</v>
      </c>
    </row>
  </sheetData>
  <pageMargins left="0.74803149606299213" right="0.74803149606299213" top="0.98425196850393704" bottom="0.98425196850393704" header="0.51181102362204722" footer="0.51181102362204722"/>
  <pageSetup paperSize="9" fitToHeight="4" orientation="landscape" horizontalDpi="4294967292" r:id="rId1"/>
  <headerFooter alignWithMargins="0">
    <oddHeader>&amp;L&amp;F &amp;A</oddHeader>
    <oddFooter>&amp;R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Inputs</vt:lpstr>
      <vt:lpstr>S&amp;U</vt:lpstr>
      <vt:lpstr>OpMod</vt:lpstr>
      <vt:lpstr>Calcs</vt:lpstr>
      <vt:lpstr>BS</vt:lpstr>
      <vt:lpstr>FS</vt:lpstr>
      <vt:lpstr>Debt</vt:lpstr>
      <vt:lpstr>Returns</vt:lpstr>
      <vt:lpstr>Sensitivity</vt:lpstr>
      <vt:lpstr>Ccy</vt:lpstr>
      <vt:lpstr>circ</vt:lpstr>
      <vt:lpstr>CoName</vt:lpstr>
      <vt:lpstr>ExitMultiple</vt:lpstr>
      <vt:lpstr>OpCase</vt:lpstr>
      <vt:lpstr>Premium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