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-120" yWindow="-120" windowWidth="21840" windowHeight="13020" xr2:uid="{F67A62B8-50C0-4628-A839-72A45CEC48E6}"/>
  </bookViews>
  <sheets>
    <sheet name="Liability Summary" sheetId="1" r:id="rId1"/>
    <sheet name="Data File" sheetId="3" r:id="rId2"/>
    <sheet name="Pivot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_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q3" hidden="1">'[1]1601 Detail information'!$H$97:$H$129</definedName>
    <definedName name="_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q3" hidden="1">'[2]1601 Detail information'!$H$97:$H$129</definedName>
    <definedName name="_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q3" hidden="1">'[3]Net Rev Report'!$H$97:$H$129</definedName>
    <definedName name="_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_SRS1" localSheetId="1" hidden="1">#REF!</definedName>
    <definedName name="_____SRS1" hidden="1">#REF!</definedName>
    <definedName name="_____SRS2" localSheetId="1" hidden="1">#REF!</definedName>
    <definedName name="_____SRS2" hidden="1">#REF!</definedName>
    <definedName name="_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q3" hidden="1">'[3]Net Rev Report'!$H$97:$H$129</definedName>
    <definedName name="_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_xlfn.BAHTTEXT" hidden="1">#NAME?</definedName>
    <definedName name="___q3" hidden="1">'[3]Net Rev Report'!$H$97:$H$129</definedName>
    <definedName name="_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_xlfn.BAHTTEXT" hidden="1">#NAME?</definedName>
    <definedName name="__123Graph_A" hidden="1">'[6]A1 - Income Statement'!#REF!</definedName>
    <definedName name="__123Graph_AFITTING" localSheetId="1" hidden="1">#REF!</definedName>
    <definedName name="__123Graph_AFITTING" hidden="1">#REF!</definedName>
    <definedName name="__123Graph_B" hidden="1">'[7]1601 Detail information'!#REF!</definedName>
    <definedName name="__123Graph_BFITTING" localSheetId="1" hidden="1">#REF!</definedName>
    <definedName name="__123Graph_BFITTING" hidden="1">#REF!</definedName>
    <definedName name="__123Graph_C" hidden="1">'[6]A1 - Income Statement'!#REF!</definedName>
    <definedName name="__123Graph_E" hidden="1">'[6]A1 - Income Statement'!#REF!</definedName>
    <definedName name="__123Graph_X" localSheetId="1" hidden="1">#REF!</definedName>
    <definedName name="__123Graph_X" hidden="1">#REF!</definedName>
    <definedName name="__123Graph_XFITTING" localSheetId="1" hidden="1">#REF!</definedName>
    <definedName name="__123Graph_XFITTING" hidden="1">#REF!</definedName>
    <definedName name="__22__123Graph_AChart_1" hidden="1">[8]Total!$D$322:$D$325</definedName>
    <definedName name="__23__123Graph_AChart_2" hidden="1">'[9]sales vol.'!$K$398:$K$401</definedName>
    <definedName name="__24__123Graph_AChart_3" hidden="1">'[9]sales vol.'!$K$211:$K$214</definedName>
    <definedName name="__25__123Graph_AChart_4" hidden="1">'[9]sales vol.'!$J$1121:$J$1122</definedName>
    <definedName name="__26__123Graph_AChart_5" hidden="1">'[9]sales vol.'!$J$1632:$J$1635</definedName>
    <definedName name="__27__123Graph_AChart_6" hidden="1">'[9]sales vol.'!$J$2248:$J$2251</definedName>
    <definedName name="__28__123Graph_XChart_1" hidden="1">[8]Total!$C$322:$C$325</definedName>
    <definedName name="__29__123Graph_XChart_2" hidden="1">'[9]sales vol.'!$J$398:$J$401</definedName>
    <definedName name="__30__123Graph_XChart_3" hidden="1">'[9]sales vol.'!$J$211:$J$214</definedName>
    <definedName name="__31__123Graph_AChart_1" hidden="1">[10]Total!$D$322:$D$325</definedName>
    <definedName name="__31__123Graph_XChart_4" hidden="1">'[9]sales vol.'!$I$1121:$I$1122</definedName>
    <definedName name="__32__123Graph_AChart_2" hidden="1">'[9]sales vol.'!$K$398:$K$401</definedName>
    <definedName name="__32__123Graph_XChart_5" hidden="1">'[9]sales vol.'!$I$1632:$I$1635</definedName>
    <definedName name="__33__123Graph_AChart_3" hidden="1">'[9]sales vol.'!$K$211:$K$214</definedName>
    <definedName name="__33__123Graph_XChart_6" hidden="1">'[9]sales vol.'!$I$2248:$I$2251</definedName>
    <definedName name="__34__123Graph_AChart_4" hidden="1">'[9]sales vol.'!$J$1121:$J$1122</definedName>
    <definedName name="__35__123Graph_AChart_5" hidden="1">'[9]sales vol.'!$J$1632:$J$1635</definedName>
    <definedName name="__36__123Graph_AChart_6" hidden="1">'[9]sales vol.'!$J$2248:$J$2251</definedName>
    <definedName name="__37__123Graph_XChart_1" hidden="1">[10]Total!$C$322:$C$325</definedName>
    <definedName name="__38__123Graph_XChart_2" hidden="1">'[9]sales vol.'!$J$398:$J$401</definedName>
    <definedName name="__39__123Graph_XChart_3" hidden="1">'[9]sales vol.'!$J$211:$J$214</definedName>
    <definedName name="__40__123Graph_XChart_4" hidden="1">'[9]sales vol.'!$I$1121:$I$1122</definedName>
    <definedName name="__41__123Graph_XChart_5" hidden="1">'[9]sales vol.'!$I$1632:$I$1635</definedName>
    <definedName name="__42__123Graph_XChart_6" hidden="1">'[9]sales vol.'!$I$2248:$I$2251</definedName>
    <definedName name="__IntlFixup" hidden="1">TRUE</definedName>
    <definedName name="__IntlFixupTable" localSheetId="1" hidden="1">#REF!</definedName>
    <definedName name="__IntlFixupTable" hidden="1">#REF!</definedName>
    <definedName name="__q3" hidden="1">'[1]1601 Detail information'!$H$97:$H$129</definedName>
    <definedName name="_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_xlfn.BAHTTEXT" hidden="1">#NAME?</definedName>
    <definedName name="_1_MSS_GT_5k_GT_61" localSheetId="1" hidden="1">#REF!</definedName>
    <definedName name="_1_MSS_GT_5k_GT_61" hidden="1">#REF!</definedName>
    <definedName name="_101__123Graph_AChart_1" localSheetId="1" hidden="1">#REF!</definedName>
    <definedName name="_101__123Graph_AChart_1" hidden="1">#REF!</definedName>
    <definedName name="_102__123Graph_AChart_2" hidden="1">[11]names!$K$398:$K$401</definedName>
    <definedName name="_103__123Graph_AChart_3" hidden="1">[11]names!$K$211:$K$214</definedName>
    <definedName name="_104__123Graph_AChart_4" hidden="1">[11]names!$J$1121:$J$1122</definedName>
    <definedName name="_105__123Graph_AChart_5" hidden="1">[11]names!$J$1632:$J$1635</definedName>
    <definedName name="_106__123Graph_AChart_6" hidden="1">[11]names!$J$2248:$J$2251</definedName>
    <definedName name="_107__123Graph_XChart_1" localSheetId="1" hidden="1">#REF!</definedName>
    <definedName name="_107__123Graph_XChart_1" hidden="1">#REF!</definedName>
    <definedName name="_108__123Graph_XChart_2" hidden="1">[11]names!$J$398:$J$401</definedName>
    <definedName name="_109__123Graph_XChart_3" hidden="1">[11]names!$J$211:$J$214</definedName>
    <definedName name="_110__123Graph_XChart_4" hidden="1">[11]names!$I$1121:$I$1122</definedName>
    <definedName name="_111__123Graph_XChart_5" hidden="1">[11]names!$I$1632:$I$1635</definedName>
    <definedName name="_112__123Graph_XChart_6" hidden="1">[11]names!$I$2248:$I$2251</definedName>
    <definedName name="_15__123Graph_AChart_1" localSheetId="1" hidden="1">#REF!</definedName>
    <definedName name="_15__123Graph_AChart_1" hidden="1">#REF!</definedName>
    <definedName name="_16__123Graph_AChart_2" hidden="1">[11]names!$K$398:$K$401</definedName>
    <definedName name="_16_0IS_intconv" hidden="1">[12]consolidated!#REF!</definedName>
    <definedName name="_16_0IS_minor" hidden="1">[13]consolidated!#REF!</definedName>
    <definedName name="_17__123Graph_AChart_1" hidden="1">[10]Total!$D$322:$D$325</definedName>
    <definedName name="_17__123Graph_AChart_3" hidden="1">[11]names!$K$211:$K$214</definedName>
    <definedName name="_18__123Graph_AChart_2" hidden="1">'[9]sales vol.'!$K$398:$K$401</definedName>
    <definedName name="_18__123Graph_AChart_4" hidden="1">[11]names!$J$1121:$J$1122</definedName>
    <definedName name="_19__123Graph_AChart_3" hidden="1">'[9]sales vol.'!$K$211:$K$214</definedName>
    <definedName name="_19__123Graph_AChart_5" hidden="1">[11]names!$J$1632:$J$1635</definedName>
    <definedName name="_20__123Graph_AChart_4" hidden="1">'[9]sales vol.'!$J$1121:$J$1122</definedName>
    <definedName name="_20__123Graph_AChart_6" hidden="1">[11]names!$J$2248:$J$2251</definedName>
    <definedName name="_21__123Graph_AChart_5" hidden="1">'[9]sales vol.'!$J$1632:$J$1635</definedName>
    <definedName name="_21__123Graph_XChart_1" localSheetId="1" hidden="1">#REF!</definedName>
    <definedName name="_21__123Graph_XChart_1" hidden="1">#REF!</definedName>
    <definedName name="_212" localSheetId="1" hidden="1">#REF!</definedName>
    <definedName name="_212" hidden="1">#REF!</definedName>
    <definedName name="_22__123Graph_AChart_1" hidden="1">[14]Total!$D$322:$D$325</definedName>
    <definedName name="_22__123Graph_AChart_6" hidden="1">'[9]sales vol.'!$J$2248:$J$2251</definedName>
    <definedName name="_22__123Graph_XChart_2" hidden="1">[11]names!$J$398:$J$401</definedName>
    <definedName name="_23__123Graph_AChart_2" hidden="1">'[15]sales vol.'!$K$398:$K$401</definedName>
    <definedName name="_23__123Graph_XChart_1" hidden="1">[10]Total!$C$322:$C$325</definedName>
    <definedName name="_23__123Graph_XChart_3" hidden="1">[11]names!$J$211:$J$214</definedName>
    <definedName name="_24__123Graph_AChart_3" hidden="1">'[15]sales vol.'!$K$211:$K$214</definedName>
    <definedName name="_24__123Graph_XChart_2" hidden="1">'[9]sales vol.'!$J$398:$J$401</definedName>
    <definedName name="_24__123Graph_XChart_4" hidden="1">[11]names!$I$1121:$I$1122</definedName>
    <definedName name="_25__123Graph_AChart_4" hidden="1">'[15]sales vol.'!$J$1121:$J$1122</definedName>
    <definedName name="_25__123Graph_XChart_3" hidden="1">'[9]sales vol.'!$J$211:$J$214</definedName>
    <definedName name="_25__123Graph_XChart_5" hidden="1">[11]names!$I$1632:$I$1635</definedName>
    <definedName name="_26__123Graph_AChart_5" hidden="1">'[15]sales vol.'!$J$1632:$J$1635</definedName>
    <definedName name="_26__123Graph_XChart_4" hidden="1">'[9]sales vol.'!$I$1121:$I$1122</definedName>
    <definedName name="_26__123Graph_XChart_6" hidden="1">[11]names!$I$2248:$I$2251</definedName>
    <definedName name="_27__123Graph_AChart_6" hidden="1">'[15]sales vol.'!$J$2248:$J$2251</definedName>
    <definedName name="_27__123Graph_XChart_5" hidden="1">'[9]sales vol.'!$I$1632:$I$1635</definedName>
    <definedName name="_28__123Graph_XChart_1" hidden="1">[14]Total!$C$322:$C$325</definedName>
    <definedName name="_28__123Graph_XChart_6" hidden="1">'[9]sales vol.'!$I$2248:$I$2251</definedName>
    <definedName name="_29__123Graph_XChart_2" hidden="1">'[15]sales vol.'!$J$398:$J$401</definedName>
    <definedName name="_30__123Graph_XChart_3" hidden="1">'[15]sales vol.'!$J$211:$J$214</definedName>
    <definedName name="_31__123Graph_AChart_1" localSheetId="1" hidden="1">#REF!</definedName>
    <definedName name="_31__123Graph_AChart_1" hidden="1">#REF!</definedName>
    <definedName name="_31__123Graph_XChart_4" hidden="1">'[15]sales vol.'!$I$1121:$I$1122</definedName>
    <definedName name="_32__123Graph_AChart_2" hidden="1">[11]names!$K$398:$K$401</definedName>
    <definedName name="_32__123Graph_XChart_5" hidden="1">'[15]sales vol.'!$I$1632:$I$1635</definedName>
    <definedName name="_33__123Graph_AChart_3" hidden="1">[11]names!$K$211:$K$214</definedName>
    <definedName name="_33__123Graph_XChart_6" hidden="1">'[15]sales vol.'!$I$2248:$I$2251</definedName>
    <definedName name="_34__123Graph_AChart_4" hidden="1">[11]names!$J$1121:$J$1122</definedName>
    <definedName name="_35__123Graph_AChart_5" hidden="1">[11]names!$J$1632:$J$1635</definedName>
    <definedName name="_36__123Graph_AChart_6" hidden="1">[11]names!$J$2248:$J$2251</definedName>
    <definedName name="_37__123Graph_XChart_1" localSheetId="1" hidden="1">#REF!</definedName>
    <definedName name="_37__123Graph_XChart_1" hidden="1">#REF!</definedName>
    <definedName name="_38__123Graph_XChart_2" hidden="1">[11]names!$J$398:$J$401</definedName>
    <definedName name="_39__123Graph_XChart_3" hidden="1">[11]names!$J$211:$J$214</definedName>
    <definedName name="_40__123Graph_XChart_4" hidden="1">[11]names!$I$1121:$I$1122</definedName>
    <definedName name="_41__123Graph_XChart_5" hidden="1">[11]names!$I$1632:$I$1635</definedName>
    <definedName name="_42__123Graph_XChart_6" hidden="1">[11]names!$I$2248:$I$2251</definedName>
    <definedName name="_bdm.487ACE5D3A0E451B8E547E75E9B7299A.edm" localSheetId="1" hidden="1">#REF!</definedName>
    <definedName name="_bdm.487ACE5D3A0E451B8E547E75E9B7299A.edm" hidden="1">#REF!</definedName>
    <definedName name="_bdm.97D5E004F62A45D1B8DDF498EA012110.edm" localSheetId="1" hidden="1">#REF!</definedName>
    <definedName name="_bdm.97D5E004F62A45D1B8DDF498EA012110.edm" hidden="1">#REF!</definedName>
    <definedName name="_bdm.FastTrackBookmark.10_22_2007_1_57_28_AM.edm" localSheetId="1" hidden="1">#REF!</definedName>
    <definedName name="_bdm.FastTrackBookmark.10_22_2007_1_57_28_AM.edm" hidden="1">#REF!</definedName>
    <definedName name="_bdm.FastTrackBookmark.10_22_2007_1_57_36_AM.edm" hidden="1">'[16]summary P&amp;L 3yr'!$A$1</definedName>
    <definedName name="_bdm.FastTrackBookmark.10_22_2007_9_11_17_AM.edm" hidden="1">'[17]11. Network Headcount'!$E$166</definedName>
    <definedName name="_bdm.FastTrackBookmark.10_24_2007_9_43_22_AM.edm" hidden="1">'[18]7.  WC REVENUE MODEL 07-10'!$A$1,'[18]7.  WC REVENUE MODEL 07-10'!$A$1</definedName>
    <definedName name="_bdm.FastTrackBookmark.6_24_2008_4_35_21_PM.edm" localSheetId="1" hidden="1">#REF!</definedName>
    <definedName name="_bdm.FastTrackBookmark.6_24_2008_4_35_21_PM.edm" hidden="1">#REF!</definedName>
    <definedName name="_Fill" localSheetId="1" hidden="1">#REF!</definedName>
    <definedName name="_Fill" hidden="1">#REF!</definedName>
    <definedName name="_xlnm._FilterDatabase" localSheetId="1" hidden="1">'Data File'!$A$10:$AJ$392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q3" hidden="1">'[19]1601 Detail information'!$H$97:$H$129</definedName>
    <definedName name="_SEC2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SEC2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_SEC4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4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5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EC5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_Sort" localSheetId="1" hidden="1">#REF!</definedName>
    <definedName name="_Sort" hidden="1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ww2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_www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aaa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aaa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aaaa" localSheetId="1" hidden="1">{"cf1.xls",#N/A,FALSE,"CF";"cfseg1.xls",#N/A,FALSE,"CF";"REV1.xls",#N/A,FALSE,"Rev";"REVANA1.XLS",#N/A,FALSE,"Rev";"IS1.xls",#N/A,FALSE,"IS";"ISQ1.xls",#N/A,FALSE,"IS"}</definedName>
    <definedName name="aaaaa" hidden="1">{"cf1.xls",#N/A,FALSE,"CF";"cfseg1.xls",#N/A,FALSE,"CF";"REV1.xls",#N/A,FALSE,"Rev";"REVANA1.XLS",#N/A,FALSE,"Rev";"IS1.xls",#N/A,FALSE,"IS";"ISQ1.xls",#N/A,FALSE,"IS"}</definedName>
    <definedName name="aaaaaa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aaaaa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bcd" localSheetId="1" hidden="1">{"val",#N/A,FALSE,"Val";#N/A,#N/A,FALSE,"Rev";#N/A,#N/A,FALSE,"IS";#N/A,#N/A,FALSE,"CF";#N/A,#N/A,FALSE,"B";"pops",#N/A,FALSE,"POP's"}</definedName>
    <definedName name="abcd" hidden="1">{"val",#N/A,FALSE,"Val";#N/A,#N/A,FALSE,"Rev";#N/A,#N/A,FALSE,"IS";#N/A,#N/A,FALSE,"CF";#N/A,#N/A,FALSE,"B";"pops",#N/A,FALSE,"POP's"}</definedName>
    <definedName name="AccessDatabase" hidden="1">"C:\redacted\Book2.mdb"</definedName>
    <definedName name="addf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ddf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ADVANCE" localSheetId="1" hidden="1">#REF!</definedName>
    <definedName name="ADVANCE" hidden="1">#REF!</definedName>
    <definedName name="alsdkfjlkadsjfakljdf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lsdkfjlkadsjfakljdf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ARDASD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RDASD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S2DocOpenMode" hidden="1">"AS2DocumentBrowse"</definedName>
    <definedName name="AS2NamedRange" hidden="1">54</definedName>
    <definedName name="AS2ReportLS" hidden="1">1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hidden="1">#REF!</definedName>
    <definedName name="AS2VersionLS" hidden="1">300</definedName>
    <definedName name="asd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s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x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x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bbb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bbb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BG_Del" hidden="1">15</definedName>
    <definedName name="BG_Ins" hidden="1">4</definedName>
    <definedName name="BG_Mod" hidden="1">6</definedName>
    <definedName name="BLPH1" localSheetId="1" hidden="1">#REF!</definedName>
    <definedName name="BLPH1" hidden="1">#REF!</definedName>
    <definedName name="BLPH2" localSheetId="1" hidden="1">#REF!</definedName>
    <definedName name="BLPH2" hidden="1">#REF!</definedName>
    <definedName name="BLPH3" localSheetId="1" hidden="1">#REF!</definedName>
    <definedName name="BLPH3" hidden="1">#REF!</definedName>
    <definedName name="BLPH4" localSheetId="1" hidden="1">#REF!</definedName>
    <definedName name="BLPH4" hidden="1">#REF!</definedName>
    <definedName name="BNE_MESSAGES_HIDDEN" localSheetId="1" hidden="1">#REF!</definedName>
    <definedName name="BNE_MESSAGES_HIDDEN" hidden="1">#REF!</definedName>
    <definedName name="CHARTOFACCOUNTSID1" localSheetId="1" hidden="1">#REF!</definedName>
    <definedName name="CHARTOFACCOUNTSID1" hidden="1">#REF!</definedName>
    <definedName name="da" localSheetId="1" hidden="1">{#N/A,#N/A,FALSE,"Transaction_Sum_debt_Stats";#N/A,#N/A,FALSE,"Earnings Impact";#N/A,#N/A,FALSE,"Sensitivity Table"}</definedName>
    <definedName name="da" hidden="1">{#N/A,#N/A,FALSE,"Transaction_Sum_debt_Stats";#N/A,#N/A,FALSE,"Earnings Impact";#N/A,#N/A,FALSE,"Sensitivity Table"}</definedName>
    <definedName name="dadsfasdf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dadsfasdf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duplicate123A" hidden="1">'[20]A1 - Income Statement'!#REF!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S_93" hidden="1">[21]VRSN!#REF!</definedName>
    <definedName name="EV__LASTREFTIME__" hidden="1">42703.431585648</definedName>
    <definedName name="ewfwe" localSheetId="1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x" localSheetId="1" hidden="1">{"Month",#N/A,FALSE,"IS";"YTD",#N/A,FALSE,"IS"}</definedName>
    <definedName name="ex" hidden="1">{"Month",#N/A,FALSE,"IS";"YTD",#N/A,FALSE,"IS"}</definedName>
    <definedName name="FAAVG" localSheetId="1" hidden="1">#REF!</definedName>
    <definedName name="FAAVG" hidden="1">#REF!</definedName>
    <definedName name="FEB" localSheetId="1" hidden="1">#REF!</definedName>
    <definedName name="FEB" hidden="1">#REF!</definedName>
    <definedName name="FOtherAxes" localSheetId="1" hidden="1">#REF!</definedName>
    <definedName name="FOtherAxes" hidden="1">#REF!</definedName>
    <definedName name="fred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fred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ga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ga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geosell" hidden="1">[22]Assumptions!#REF!</definedName>
    <definedName name="gg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g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hahg" hidden="1">'[23]A1 - Income Statement'!#REF!</definedName>
    <definedName name="Graphics_HTML_design_rate___wk" hidden="1">[24]Control!#REF!</definedName>
    <definedName name="h" localSheetId="1" hidden="1">{"cf1.xls",#N/A,FALSE,"CF";"cfseg1.xls",#N/A,FALSE,"CF";"REV1.xls",#N/A,FALSE,"Rev";"REVANA1.XLS",#N/A,FALSE,"Rev";"IS1.xls",#N/A,FALSE,"IS";"ISQ1.xls",#N/A,FALSE,"IS"}</definedName>
    <definedName name="h" hidden="1">{"cf1.xls",#N/A,FALSE,"CF";"cfseg1.xls",#N/A,FALSE,"CF";"REV1.xls",#N/A,FALSE,"Rev";"REVANA1.XLS",#N/A,FALSE,"Rev";"IS1.xls",#N/A,FALSE,"IS";"ISQ1.xls",#N/A,FALSE,"IS"}</definedName>
    <definedName name="hjhjhj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Q" localSheetId="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1_1" hidden="1">"'[REVREPT2.XLS]Net Rev Report'!$B$1:$M$113"</definedName>
    <definedName name="HTML1_10" hidden="1">""</definedName>
    <definedName name="HTML1_11" hidden="1">1</definedName>
    <definedName name="HTML1_12" hidden="1">"C:\redacted"</definedName>
    <definedName name="HTML1_2" hidden="1">1</definedName>
    <definedName name="HTML1_3" hidden="1">"REVREPT2"</definedName>
    <definedName name="HTML1_4" hidden="1">"February Revenue Report"</definedName>
    <definedName name="HTML1_5" hidden="1">""</definedName>
    <definedName name="HTML1_6" hidden="1">-4146</definedName>
    <definedName name="HTML1_7" hidden="1">-4146</definedName>
    <definedName name="HTML1_8" hidden="1">"3/31/97"</definedName>
    <definedName name="HTML1_9" hidden="1">"Person0976 P. Person1179"</definedName>
    <definedName name="HTMLCount" hidden="1">1</definedName>
    <definedName name="INTRO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INTRO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COMPANY0235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COMPANY0235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COMPANY0235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39262.4692013889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j" hidden="1">'[6]A1 - Income Statement'!#REF!</definedName>
    <definedName name="klklklkl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" localSheetId="1" hidden="1">{#N/A,#N/A,FALSE,"Aging Summary";#N/A,#N/A,FALSE,"Ratio Analysis";#N/A,#N/A,FALSE,"Test 120 Day Accts";#N/A,#N/A,FALSE,"Tickmarks"}</definedName>
    <definedName name="l" hidden="1">{#N/A,#N/A,FALSE,"Aging Summary";#N/A,#N/A,FALSE,"Ratio Analysis";#N/A,#N/A,FALSE,"Test 120 Day Accts";#N/A,#N/A,FALSE,"Tickmarks"}</definedName>
    <definedName name="ListOffset" hidden="1">1</definedName>
    <definedName name="lllll" localSheetId="1" hidden="1">{"cf1.xls",#N/A,FALSE,"CF";"cfseg1.xls",#N/A,FALSE,"CF";"REV1.xls",#N/A,FALSE,"Rev";"REVANA1.XLS",#N/A,FALSE,"Rev";"IS1.xls",#N/A,FALSE,"IS";"ISQ1.xls",#N/A,FALSE,"IS"}</definedName>
    <definedName name="lllll" hidden="1">{"cf1.xls",#N/A,FALSE,"CF";"cfseg1.xls",#N/A,FALSE,"CF";"REV1.xls",#N/A,FALSE,"Rev";"REVANA1.XLS",#N/A,FALSE,"Rev";"IS1.xls",#N/A,FALSE,"IS";"ISQ1.xls",#N/A,FALSE,"IS"}</definedName>
    <definedName name="llllll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llllll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Lprice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Lprice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Misc" localSheetId="1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Misc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Network" localSheetId="1" hidden="1">{"val",#N/A,FALSE,"Val";#N/A,#N/A,FALSE,"Rev";#N/A,#N/A,FALSE,"IS";#N/A,#N/A,FALSE,"CF";#N/A,#N/A,FALSE,"B";"pops",#N/A,FALSE,"POP's"}</definedName>
    <definedName name="Network" hidden="1">{"val",#N/A,FALSE,"Val";#N/A,#N/A,FALSE,"Rev";#N/A,#N/A,FALSE,"IS";#N/A,#N/A,FALSE,"CF";#N/A,#N/A,FALSE,"B";"pops",#N/A,FALSE,"POP's"}</definedName>
    <definedName name="newview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4b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4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mnmm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TRO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NTRO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ooo" localSheetId="1" hidden="1">{"val",#N/A,FALSE,"Val";#N/A,#N/A,FALSE,"Rev";#N/A,#N/A,FALSE,"IS";#N/A,#N/A,FALSE,"CF";#N/A,#N/A,FALSE,"B";"pops",#N/A,FALSE,"POP's"}</definedName>
    <definedName name="ooo" hidden="1">{"val",#N/A,FALSE,"Val";#N/A,#N/A,FALSE,"Rev";#N/A,#N/A,FALSE,"IS";#N/A,#N/A,FALSE,"CF";#N/A,#N/A,FALSE,"B";"pops",#N/A,FALSE,"POP's"}</definedName>
    <definedName name="oooo" localSheetId="1" hidden="1">{"val",#N/A,FALSE,"Val";#N/A,#N/A,FALSE,"Rev";#N/A,#N/A,FALSE,"IS";#N/A,#N/A,FALSE,"CF";#N/A,#N/A,FALSE,"B";"pops",#N/A,FALSE,"POP's"}</definedName>
    <definedName name="oooo" hidden="1">{"val",#N/A,FALSE,"Val";#N/A,#N/A,FALSE,"Rev";#N/A,#N/A,FALSE,"IS";#N/A,#N/A,FALSE,"CF";#N/A,#N/A,FALSE,"B";"pops",#N/A,FALSE,"POP's"}</definedName>
    <definedName name="ooooo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ooooo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oooooo" localSheetId="1" hidden="1">{"cf1.xls",#N/A,FALSE,"CF";"cfseg1.xls",#N/A,FALSE,"CF";"REV1.xls",#N/A,FALSE,"Rev";"REVANA1.XLS",#N/A,FALSE,"Rev";"IS1.xls",#N/A,FALSE,"IS";"ISQ1.xls",#N/A,FALSE,"IS"}</definedName>
    <definedName name="oooooo" hidden="1">{"cf1.xls",#N/A,FALSE,"CF";"cfseg1.xls",#N/A,FALSE,"CF";"REV1.xls",#N/A,FALSE,"Rev";"REVANA1.XLS",#N/A,FALSE,"Rev";"IS1.xls",#N/A,FALSE,"IS";"ISQ1.xls",#N/A,FALSE,"IS"}</definedName>
    <definedName name="_xlnm.Print_Area" localSheetId="1">'Data File'!$A$1:$AE$189</definedName>
    <definedName name="q" hidden="1">'[19]1601 Detail information'!$H$97:$H$129</definedName>
    <definedName name="qq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q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w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qw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ReportGroup" hidden="1">0</definedName>
    <definedName name="rt" localSheetId="1" hidden="1">{"cf1.xls",#N/A,FALSE,"CF";"cfseg1.xls",#N/A,FALSE,"CF";"REV1.xls",#N/A,FALSE,"Rev";"REVANA1.XLS",#N/A,FALSE,"Rev";"IS1.xls",#N/A,FALSE,"IS";"ISQ1.xls",#N/A,FALSE,"IS"}</definedName>
    <definedName name="rt" hidden="1">{"cf1.xls",#N/A,FALSE,"CF";"cfseg1.xls",#N/A,FALSE,"CF";"REV1.xls",#N/A,FALSE,"Rev";"REVANA1.XLS",#N/A,FALSE,"Rev";"IS1.xls",#N/A,FALSE,"IS";"ISQ1.xls",#N/A,FALSE,"IS"}</definedName>
    <definedName name="sa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PBEXdnldView" hidden="1">"8XUE4POPCYR1HVRHQV5S6D16I"</definedName>
    <definedName name="SAPBEXrevision" hidden="1">15</definedName>
    <definedName name="SAPBEXsysID" hidden="1">"WP5"</definedName>
    <definedName name="SAPBEXwbID" hidden="1">"40UZYD3DF9OJSX7PWYKZHBS63"</definedName>
    <definedName name="sd" localSheetId="1" hidden="1">{"cf1.xls",#N/A,FALSE,"CF";"cfseg1.xls",#N/A,FALSE,"CF";"REV1.xls",#N/A,FALSE,"Rev";"REVANA1.XLS",#N/A,FALSE,"Rev";"IS1.xls",#N/A,FALSE,"IS";"ISQ1.xls",#N/A,FALSE,"IS"}</definedName>
    <definedName name="sd" hidden="1">{"cf1.xls",#N/A,FALSE,"CF";"cfseg1.xls",#N/A,FALSE,"CF";"REV1.xls",#N/A,FALSE,"Rev";"REVANA1.XLS",#N/A,FALSE,"Rev";"IS1.xls",#N/A,FALSE,"IS";"ISQ1.xls",#N/A,FALSE,"IS"}</definedName>
    <definedName name="SFDG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SFDG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localSheetId="1" hidden="1">#REF!</definedName>
    <definedName name="solver_opt" hidden="1">#REF!</definedName>
    <definedName name="solver_pre" hidden="1">0.000001</definedName>
    <definedName name="solver_scl" hidden="1">0</definedName>
    <definedName name="solver_sho" hidden="1">1</definedName>
    <definedName name="solver_tim" hidden="1">100</definedName>
    <definedName name="solver_tmp" localSheetId="1" hidden="1">#REF!,#REF!,#REF!,#REF!,#REF!,#REF!,#REF!,#REF!,#REF!</definedName>
    <definedName name="solver_tmp" hidden="1">#REF!,#REF!,#REF!,#REF!,#REF!,#REF!,#REF!,#REF!,#REF!</definedName>
    <definedName name="solver_tol" hidden="1">0.05</definedName>
    <definedName name="solver_typ" hidden="1">3</definedName>
    <definedName name="solver_val" hidden="1">0</definedName>
    <definedName name="ss" hidden="1">[25]ic!#REF!</definedName>
    <definedName name="TextRefCopyRangeCount" hidden="1">2</definedName>
    <definedName name="ty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ty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vvv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vvv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" localSheetId="1" hidden="1">{"Cover",#N/A,FALSE,"Cover";"trans_sum_print",#N/A,FALSE,"Transaction Summary";"earnings_impact_3yrQQ",#N/A,FALSE,"Earnings Impact";"accr_dil_3yr",#N/A,FALSE,"accretion dilution"}</definedName>
    <definedName name="w" hidden="1">{"Cover",#N/A,FALSE,"Cover";"trans_sum_print",#N/A,FALSE,"Transaction Summary";"earnings_impact_3yrQQ",#N/A,FALSE,"Earnings Impact";"accr_dil_3yr",#N/A,FALSE,"accretion dilution"}</definedName>
    <definedName name="wdfg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dfg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e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e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ert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er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d.2._.pagers.3" localSheetId="1" hidden="1">{"Cover",#N/A,FALSE,"Cover";"Summary",#N/A,FALSE,"Summarpage"}</definedName>
    <definedName name="wrd.2._.pagers.3" hidden="1">{"Cover",#N/A,FALSE,"Cover";"Summary",#N/A,FALSE,"Summarpage"}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._.pagers.2" localSheetId="1" hidden="1">{"Cover",#N/A,FALSE,"Cover";"Summary",#N/A,FALSE,"Summarpage"}</definedName>
    <definedName name="wrn.2._.pagers.2" hidden="1">{"Cover",#N/A,FALSE,"Cover";"Summary",#N/A,FALSE,"Summarpage"}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" localSheetId="1" hidden="1">{#N/A,#N/A,FALSE,"Budget to Actual 2004 B";#N/A,#N/A,FALSE,"Aug 2004 GAAP B"}</definedName>
    <definedName name="wrn.200" hidden="1">{#N/A,#N/A,FALSE,"Budget to Actual 2004 B";#N/A,#N/A,FALSE,"Aug 2004 GAAP B"}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2" localSheetId="1" hidden="1">{#N/A,#N/A,FALSE,"Budget to Actual 2004 B";#N/A,#N/A,FALSE,"Aug 2004 GAAP B"}</definedName>
    <definedName name="wrn.242" hidden="1">{#N/A,#N/A,FALSE,"Budget to Actual 2004 B";#N/A,#N/A,FALSE,"Aug 2004 GAAP B"}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{"val",#N/A,FALSE,"Val";#N/A,#N/A,FALSE,"Rev";#N/A,#N/A,FALSE,"IS";#N/A,#N/A,FALSE,"CF";#N/A,#N/A,FALSE,"B";"pops",#N/A,FALSE,"POP's"}</definedName>
    <definedName name="wrn.All." hidden="1">{"val",#N/A,FALSE,"Val";#N/A,#N/A,FALSE,"Rev";#N/A,#N/A,FALSE,"IS";#N/A,#N/A,FALSE,"CF";#N/A,#N/A,FALSE,"B";"pops",#N/A,FALSE,"POP's"}</definedName>
    <definedName name="wrn.All._.Sheets." localSheetId="1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Views." localSheetId="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nnexes._.fiscales." localSheetId="1" hidden="1">{#N/A,#N/A,FALSE,"ANNEXE I";#N/A,#N/A,FALSE,"ANNEXE II";#N/A,#N/A,FALSE,"II bis";#N/A,#N/A,FALSE,"ANNEXE III";#N/A,#N/A,FALSE,"ANNEXE IV";#N/A,#N/A,FALSE,"ANNEXE V"}</definedName>
    <definedName name="wrn.annexes._.fiscales." hidden="1">{#N/A,#N/A,FALSE,"ANNEXE I";#N/A,#N/A,FALSE,"ANNEXE II";#N/A,#N/A,FALSE,"II bis";#N/A,#N/A,FALSE,"ANNEXE III";#N/A,#N/A,FALSE,"ANNEXE IV";#N/A,#N/A,FALSE,"ANNEXE V"}</definedName>
    <definedName name="wrn.aud_pack" localSheetId="1" hidden="1">{#N/A,#N/A,FALSE,"Budget to Actual 2004 B";#N/A,#N/A,FALSE,"Aug 2004 GAAP B"}</definedName>
    <definedName name="wrn.aud_pack" hidden="1">{#N/A,#N/A,FALSE,"Budget to Actual 2004 B";#N/A,#N/A,FALSE,"Aug 2004 GAAP B"}</definedName>
    <definedName name="wrn.aug.pak" localSheetId="1" hidden="1">{#N/A,#N/A,FALSE,"Budget to Actual 2004 B";#N/A,#N/A,FALSE,"Aug 2004 GAAP B"}</definedName>
    <definedName name="wrn.aug.pak" hidden="1">{#N/A,#N/A,FALSE,"Budget to Actual 2004 B";#N/A,#N/A,FALSE,"Aug 2004 GAAP B"}</definedName>
    <definedName name="wrn.aug_pack" localSheetId="1" hidden="1">{#N/A,#N/A,FALSE,"Budget to Actual 2004 B";#N/A,#N/A,FALSE,"Aug 2004 GAAP B"}</definedName>
    <definedName name="wrn.aug_pack" hidden="1">{#N/A,#N/A,FALSE,"Budget to Actual 2004 B";#N/A,#N/A,FALSE,"Aug 2004 GAAP B"}</definedName>
    <definedName name="wrn.aug_packet" localSheetId="1" hidden="1">{#N/A,#N/A,FALSE,"Budget to Actual 2004 B";#N/A,#N/A,FALSE,"Aug 2004 GAAP B"}</definedName>
    <definedName name="wrn.aug_packet" hidden="1">{#N/A,#N/A,FALSE,"Budget to Actual 2004 B";#N/A,#N/A,FALSE,"Aug 2004 GAAP B"}</definedName>
    <definedName name="wrn.August.pack" localSheetId="1" hidden="1">{#N/A,#N/A,FALSE,"Budget to Actual 2004 B";#N/A,#N/A,FALSE,"Aug 2004 GAAP B"}</definedName>
    <definedName name="wrn.August.pack" hidden="1">{#N/A,#N/A,FALSE,"Budget to Actual 2004 B";#N/A,#N/A,FALSE,"Aug 2004 GAAP B"}</definedName>
    <definedName name="wrn.August_Packet." localSheetId="1" hidden="1">{#N/A,#N/A,FALSE,"Budget to Actual 2004 B";#N/A,#N/A,FALSE,"Aug 2004 GAAP B"}</definedName>
    <definedName name="wrn.August_Packet." hidden="1">{#N/A,#N/A,FALSE,"Budget to Actual 2004 B";#N/A,#N/A,FALSE,"Aug 2004 GAAP B"}</definedName>
    <definedName name="wrn.Both." localSheetId="1" hidden="1">{"Month",#N/A,FALSE,"IS";"YTD",#N/A,FALSE,"IS"}</definedName>
    <definedName name="wrn.Both." hidden="1">{"Month",#N/A,FALSE,"IS";"YTD",#N/A,FALSE,"IS"}</definedName>
    <definedName name="wrn.budgets." localSheetId="1" hidden="1">{#N/A,#N/A,FALSE,"Salary";#N/A,#N/A,FALSE,"Sal98";#N/A,#N/A,FALSE,"SUMMARY"}</definedName>
    <definedName name="wrn.budgets." hidden="1">{#N/A,#N/A,FALSE,"Salary";#N/A,#N/A,FALSE,"Sal98";#N/A,#N/A,FALSE,"SUMMARY"}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debt.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rek." localSheetId="1" hidden="1">{#N/A,#N/A,FALSE,"Transaction_Sum_debt_Stats";#N/A,#N/A,FALSE,"Earnings Impact";#N/A,#N/A,FALSE,"Sensitivity Table"}</definedName>
    <definedName name="wrn.Derek." hidden="1">{#N/A,#N/A,FALSE,"Transaction_Sum_debt_Stats";#N/A,#N/A,FALSE,"Earnings Impact";#N/A,#N/A,FALSE,"Sensitivity Table"}</definedName>
    <definedName name="wrn.DOC." localSheetId="1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EURO4." localSheetId="1" hidden="1">{"NTRO",#N/A,TRUE,"Intro";"SEC2",#N/A,TRUE,"Sec2";"SEC3",#N/A,TRUE,"Sec3";"SEC4",#N/A,TRUE,"Sec4";"SEC5",#N/A,TRUE,"sec5"}</definedName>
    <definedName name="wrn.EURO4." hidden="1">{"NTRO",#N/A,TRUE,"Intro";"SEC2",#N/A,TRUE,"Sec2";"SEC3",#N/A,TRUE,"Sec3";"SEC4",#N/A,TRUE,"Sec4";"SEC5",#N/A,TRUE,"sec5"}</definedName>
    <definedName name="wrn.EURO5." localSheetId="1" hidden="1">{"NTRO",#N/A,TRUE,"Intro";"SEC2",#N/A,TRUE,"Sec2";"SEC3",#N/A,TRUE,"Sec3";"SEC4",#N/A,TRUE,"Sec4";"SEC5",#N/A,TRUE,"sec5"}</definedName>
    <definedName name="wrn.EURO5." hidden="1">{"NTRO",#N/A,TRUE,"Intro";"SEC2",#N/A,TRUE,"Sec2";"SEC3",#N/A,TRUE,"Sec3";"SEC4",#N/A,TRUE,"Sec4";"SEC5",#N/A,TRUE,"sec5"}</definedName>
    <definedName name="wrn.Feb" localSheetId="1" hidden="1">{#N/A,#N/A,FALSE,"Feb 2004 NonGAAP B";#N/A,#N/A,FALSE,"Budget to Actual 2004 NonGAAP B";#N/A,#N/A,FALSE,"Feb 2004 GAAP B"}</definedName>
    <definedName name="wrn.Feb" hidden="1">{#N/A,#N/A,FALSE,"Feb 2004 NonGAAP B";#N/A,#N/A,FALSE,"Budget to Actual 2004 NonGAAP B";#N/A,#N/A,FALSE,"Feb 2004 GAAP B"}</definedName>
    <definedName name="wrn.Feb_Pack" localSheetId="1" hidden="1">{#N/A,#N/A,FALSE,"Feb 2004 NonGAAP B";#N/A,#N/A,FALSE,"Budget to Actual 2004 NonGAAP B";#N/A,#N/A,FALSE,"Feb 2004 GAAP B"}</definedName>
    <definedName name="wrn.Feb_Pack" hidden="1">{#N/A,#N/A,FALSE,"Feb 2004 NonGAAP B";#N/A,#N/A,FALSE,"Budget to Actual 2004 NonGAAP B";#N/A,#N/A,FALSE,"Feb 2004 GAAP B"}</definedName>
    <definedName name="wrn.February_Packet." localSheetId="1" hidden="1">{#N/A,#N/A,FALSE,"Feb 2004 NonGAAP B";#N/A,#N/A,FALSE,"Budget to Actual 2004 NonGAAP B";#N/A,#N/A,FALSE,"Feb 2004 GAAP B"}</definedName>
    <definedName name="wrn.February_Packet." hidden="1">{#N/A,#N/A,FALSE,"Feb 2004 NonGAAP B";#N/A,#N/A,FALSE,"Budget to Actual 2004 NonGAAP B";#N/A,#N/A,FALSE,"Feb 2004 GAAP B"}</definedName>
    <definedName name="wrn.feruary_pck" localSheetId="1" hidden="1">{#N/A,#N/A,FALSE,"Feb 2004 NonGAAP B";#N/A,#N/A,FALSE,"Budget to Actual 2004 NonGAAP B";#N/A,#N/A,FALSE,"Feb 2004 GAAP B"}</definedName>
    <definedName name="wrn.feruary_pck" hidden="1">{#N/A,#N/A,FALSE,"Feb 2004 NonGAAP B";#N/A,#N/A,FALSE,"Budget to Actual 2004 NonGAAP B";#N/A,#N/A,FALSE,"Feb 2004 GAAP B"}</definedName>
    <definedName name="wrn.Financials." localSheetId="1" hidden="1">{"Month",#N/A,FALSE,"Recoutput";"YTD",#N/A,FALSE,"Recoutput"}</definedName>
    <definedName name="wrn.Financials." hidden="1">{"Month",#N/A,FALSE,"Recoutput";"YTD",#N/A,FALSE,"Recoutput"}</definedName>
    <definedName name="wrn.Full._.Model.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H." localSheetId="1" hidden="1">{#N/A,#N/A,TRUE,"Index";"1",#N/A,TRUE,"Utilization";"2",#N/A,TRUE,"Utilization";#N/A,#N/A,TRUE,"Rev_Capacity";#N/A,#N/A,TRUE,"Availibility";#N/A,#N/A,TRUE,"Util_to_Avail";#N/A,#N/A,TRUE,"Charts";#N/A,#N/A,TRUE,"HC_sum";#N/A,#N/A,TRUE,"HC_detail";#N/A,#N/A,TRUE,"AR";#N/A,#N/A,TRUE,"Pipeline"}</definedName>
    <definedName name="wrn.H." hidden="1">{#N/A,#N/A,TRUE,"Index";"1",#N/A,TRUE,"Utilization";"2",#N/A,TRUE,"Utilization";#N/A,#N/A,TRUE,"Rev_Capacity";#N/A,#N/A,TRUE,"Availibility";#N/A,#N/A,TRUE,"Util_to_Avail";#N/A,#N/A,TRUE,"Charts";#N/A,#N/A,TRUE,"HC_sum";#N/A,#N/A,TRUE,"HC_detail";#N/A,#N/A,TRUE,"AR";#N/A,#N/A,TRUE,"Pipeline"}</definedName>
    <definedName name="wrn.icem." localSheetId="1" hidden="1">{#N/A,#N/A,FALSE,"Exb 2";#N/A,#N/A,FALSE,"Exb 3(a)";#N/A,#N/A,FALSE,"WACC";#N/A,#N/A,FALSE,"Exh 4(a)";#N/A,#N/A,FALSE,"Exh 4(b)";#N/A,#N/A,FALSE,"Exb 5(a)";#N/A,#N/A,FALSE,"Exb 5(b)"}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Jan_pck" localSheetId="1" hidden="1">{#N/A,#N/A,FALSE,"Jan 2004 NonGAAP B";#N/A,#N/A,FALSE,"Jan 2004 GAAP B"}</definedName>
    <definedName name="wrn.Jan_pck" hidden="1">{#N/A,#N/A,FALSE,"Jan 2004 NonGAAP B";#N/A,#N/A,FALSE,"Jan 2004 GAAP B"}</definedName>
    <definedName name="wrn.janu_pack" localSheetId="1" hidden="1">{#N/A,#N/A,FALSE,"Jan 2004 NonGAAP B";#N/A,#N/A,FALSE,"Jan 2004 GAAP B"}</definedName>
    <definedName name="wrn.janu_pack" hidden="1">{#N/A,#N/A,FALSE,"Jan 2004 NonGAAP B";#N/A,#N/A,FALSE,"Jan 2004 GAAP B"}</definedName>
    <definedName name="wrn.January_Packet." localSheetId="1" hidden="1">{#N/A,#N/A,FALSE,"Jan 2004 NonGAAP B";#N/A,#N/A,FALSE,"Jan 2004 GAAP B"}</definedName>
    <definedName name="wrn.January_Packet." hidden="1">{#N/A,#N/A,FALSE,"Jan 2004 NonGAAP B";#N/A,#N/A,FALSE,"Jan 2004 GAAP B"}</definedName>
    <definedName name="wrn.June.packet" localSheetId="1" hidden="1">{#N/A,#N/A,FALSE,"May 2004 NonGAAP B";#N/A,#N/A,FALSE,"Budget to Actual 2004 NonGAAP B";#N/A,#N/A,FALSE,"May 2004 GAAP"}</definedName>
    <definedName name="wrn.June.packet" hidden="1">{#N/A,#N/A,FALSE,"May 2004 NonGAAP B";#N/A,#N/A,FALSE,"Budget to Actual 2004 NonGAAP B";#N/A,#N/A,FALSE,"May 2004 GAAP"}</definedName>
    <definedName name="wrn.May._.pack" localSheetId="1" hidden="1">{#N/A,#N/A,FALSE,"May 2004 NonGAAP B";#N/A,#N/A,FALSE,"Budget to Actual 2004 NonGAAP B";#N/A,#N/A,FALSE,"May 2004 GAAP"}</definedName>
    <definedName name="wrn.May._.pack" hidden="1">{#N/A,#N/A,FALSE,"May 2004 NonGAAP B";#N/A,#N/A,FALSE,"Budget to Actual 2004 NonGAAP B";#N/A,#N/A,FALSE,"May 2004 GAAP"}</definedName>
    <definedName name="wrn.May._.Packet." localSheetId="1" hidden="1">{#N/A,#N/A,FALSE,"May 2004 NonGAAP B";#N/A,#N/A,FALSE,"Budget to Actual 2004 NonGAAP B";#N/A,#N/A,FALSE,"May 2004 GAAP"}</definedName>
    <definedName name="wrn.May._.Packet." hidden="1">{#N/A,#N/A,FALSE,"May 2004 NonGAAP B";#N/A,#N/A,FALSE,"Budget to Actual 2004 NonGAAP B";#N/A,#N/A,FALSE,"May 2004 GAAP"}</definedName>
    <definedName name="wrn.May._.pak" localSheetId="1" hidden="1">{#N/A,#N/A,FALSE,"May 2004 NonGAAP B";#N/A,#N/A,FALSE,"Budget to Actual 2004 NonGAAP B";#N/A,#N/A,FALSE,"May 2004 GAAP"}</definedName>
    <definedName name="wrn.May._.pak" hidden="1">{#N/A,#N/A,FALSE,"May 2004 NonGAAP B";#N/A,#N/A,FALSE,"Budget to Actual 2004 NonGAAP B";#N/A,#N/A,FALSE,"May 2004 GAAP"}</definedName>
    <definedName name="wrn.May._.pk" localSheetId="1" hidden="1">{#N/A,#N/A,FALSE,"May 2004 NonGAAP B";#N/A,#N/A,FALSE,"Budget to Actual 2004 NonGAAP B";#N/A,#N/A,FALSE,"May 2004 GAAP"}</definedName>
    <definedName name="wrn.May._.pk" hidden="1">{#N/A,#N/A,FALSE,"May 2004 NonGAAP B";#N/A,#N/A,FALSE,"Budget to Actual 2004 NonGAAP B";#N/A,#N/A,FALSE,"May 2004 GAAP"}</definedName>
    <definedName name="wrn.May.packet" localSheetId="1" hidden="1">{#N/A,#N/A,FALSE,"May 2004 NonGAAP B";#N/A,#N/A,FALSE,"Budget to Actual 2004 NonGAAP B";#N/A,#N/A,FALSE,"May 2004 GAAP"}</definedName>
    <definedName name="wrn.May.packet" hidden="1">{#N/A,#N/A,FALSE,"May 2004 NonGAAP B";#N/A,#N/A,FALSE,"Budget to Actual 2004 NonGAAP B";#N/A,#N/A,FALSE,"May 2004 GAAP"}</definedName>
    <definedName name="wrn.May.pck" localSheetId="1" hidden="1">{#N/A,#N/A,FALSE,"May 2004 NonGAAP B";#N/A,#N/A,FALSE,"Budget to Actual 2004 NonGAAP B";#N/A,#N/A,FALSE,"May 2004 GAAP"}</definedName>
    <definedName name="wrn.May.pck" hidden="1">{#N/A,#N/A,FALSE,"May 2004 NonGAAP B";#N/A,#N/A,FALSE,"Budget to Actual 2004 NonGAAP B";#N/A,#N/A,FALSE,"May 2004 GAAP"}</definedName>
    <definedName name="wrn.MergerModel." localSheetId="1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oEuro3." localSheetId="1" hidden="1">{"ntro1",#N/A,TRUE,"Intro";"sec2",#N/A,TRUE,"Sec2";"sec3",#N/A,TRUE,"Sec3";"sec4",#N/A,TRUE,"Sec4";"sec5",#N/A,TRUE,"sec5";"Eanx",#N/A,TRUE,"E-Ship"}</definedName>
    <definedName name="wrn.MoEuro3." hidden="1">{"ntro1",#N/A,TRUE,"Intro";"sec2",#N/A,TRUE,"Sec2";"sec3",#N/A,TRUE,"Sec3";"sec4",#N/A,TRUE,"Sec4";"sec5",#N/A,TRUE,"sec5";"Eanx",#N/A,TRUE,"E-Ship"}</definedName>
    <definedName name="wrn.nema." localSheetId="1" hidden="1">{#N/A,#N/A,FALSE,"Distbn Ntwrk";#N/A,#N/A,FALSE,"Workforce";#N/A,#N/A,FALSE,"cur-prod1";#N/A,#N/A,FALSE,"in-proc"}</definedName>
    <definedName name="wrn.nema." hidden="1">{#N/A,#N/A,FALSE,"Distbn Ntwrk";#N/A,#N/A,FALSE,"Workforce";#N/A,#N/A,FALSE,"cur-prod1";#N/A,#N/A,FALSE,"in-proc"}</definedName>
    <definedName name="wrn.new" localSheetId="1" hidden="1">{#N/A,#N/A,FALSE,"Budget to Actual 2004 B";#N/A,#N/A,FALSE,"Aug 2004 GAAP B"}</definedName>
    <definedName name="wrn.new" hidden="1">{#N/A,#N/A,FALSE,"Budget to Actual 2004 B";#N/A,#N/A,FALSE,"Aug 2004 GAAP B"}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perations." localSheetId="1" hidden="1">{#N/A,#N/A,FALSE,"Index";#N/A,#N/A,FALSE,"Utilization";#N/A,#N/A,FALSE,"Availibility";#N/A,#N/A,FALSE,"Util_to_Avail";#N/A,#N/A,FALSE,"Charts";#N/A,#N/A,FALSE,"HC_sum";#N/A,#N/A,FALSE,"HC_detail"}</definedName>
    <definedName name="wrn.Operations." hidden="1">{#N/A,#N/A,FALSE,"Index";#N/A,#N/A,FALSE,"Utilization";#N/A,#N/A,FALSE,"Availibility";#N/A,#N/A,FALSE,"Util_to_Avail";#N/A,#N/A,FALSE,"Charts";#N/A,#N/A,FALSE,"HC_sum";#N/A,#N/A,FALSE,"HC_detail"}</definedName>
    <definedName name="wrn.petey." localSheetId="1" hidden="1">{#N/A,#N/A,FALSE,"Index";#N/A,#N/A,FALSE,"Rev_Capacity";#N/A,#N/A,FALSE,"Utilization";"1",#N/A,FALSE,"Utilization";"2",#N/A,FALSE,"Utilization";#N/A,#N/A,FALSE,"Availibility";#N/A,#N/A,FALSE,"Util_to_Avail";#N/A,#N/A,FALSE,"Charts"}</definedName>
    <definedName name="wrn.petey." hidden="1">{#N/A,#N/A,FALSE,"Index";#N/A,#N/A,FALSE,"Rev_Capacity";#N/A,#N/A,FALSE,"Utilization";"1",#N/A,FALSE,"Utilization";"2",#N/A,FALSE,"Utilization";#N/A,#N/A,FALSE,"Availibility";#N/A,#N/A,FALSE,"Util_to_Avail";#N/A,#N/A,FALSE,"Charts"}</definedName>
    <definedName name="wrn.Print._.24.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Report." localSheetId="1" hidden="1">{#N/A,#N/A,TRUE,"Title";#N/A,#N/A,TRUE,"Consol";#N/A,#N/A,TRUE,"DCF";#N/A,#N/A,TRUE,"Company2020";#N/A,#N/A,TRUE,"Company0925";#N/A,#N/A,TRUE,"Thomas";#N/A,#N/A,TRUE,"Product0078";#N/A,#N/A,TRUE,"Product0216";#N/A,#N/A,TRUE,"Section";#N/A,#N/A,TRUE,"Acc-dil";#N/A,#N/A,TRUE,"Acquiror";#N/A,#N/A,TRUE,"Target";#N/A,#N/A,TRUE,"Person1072";#N/A,#N/A,TRUE,"Person1131";#N/A,#N/A,TRUE,"Company0392";#N/A,#N/A,TRUE,"Camden"}</definedName>
    <definedName name="wrn.Print._.Report." hidden="1">{#N/A,#N/A,TRUE,"Title";#N/A,#N/A,TRUE,"Consol";#N/A,#N/A,TRUE,"DCF";#N/A,#N/A,TRUE,"Company2020";#N/A,#N/A,TRUE,"Company0925";#N/A,#N/A,TRUE,"Thomas";#N/A,#N/A,TRUE,"Product0078";#N/A,#N/A,TRUE,"Product0216";#N/A,#N/A,TRUE,"Section";#N/A,#N/A,TRUE,"Acc-dil";#N/A,#N/A,TRUE,"Acquiror";#N/A,#N/A,TRUE,"Target";#N/A,#N/A,TRUE,"Person1072";#N/A,#N/A,TRUE,"Person1131";#N/A,#N/A,TRUE,"Company0392";#N/A,#N/A,TRUE,"Camden"}</definedName>
    <definedName name="wrn.PRINT1." localSheetId="1" hidden="1">{"cf1.xls",#N/A,FALSE,"CF";"cfseg1.xls",#N/A,FALSE,"CF";"REV1.xls",#N/A,FALSE,"Rev";"REVANA1.XLS",#N/A,FALSE,"Rev";"IS1.xls",#N/A,FALSE,"IS";"ISQ1.xls",#N/A,FALSE,"IS"}</definedName>
    <definedName name="wrn.PRINT1." hidden="1">{"cf1.xls",#N/A,FALSE,"CF";"cfseg1.xls",#N/A,FALSE,"CF";"REV1.xls",#N/A,FALSE,"Rev";"REVANA1.XLS",#N/A,FALSE,"Rev";"IS1.xls",#N/A,FALSE,"IS";"ISQ1.xls",#N/A,FALSE,"IS"}</definedName>
    <definedName name="wrn.Printall." localSheetId="1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rn.Printall.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Pulp.2" localSheetId="1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1" hidden="1">{"Pulp Production",#N/A,FALSE,"Pulp";"Pulp Earnings",#N/A,FALSE,"Pulp"}</definedName>
    <definedName name="wrn.Pulp.3" hidden="1">{"Pulp Production",#N/A,FALSE,"Pulp";"Pulp Earnings",#N/A,FALSE,"Pulp"}</definedName>
    <definedName name="wrn.QQ_Quick_Merge_3yr." localSheetId="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localSheetId="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localSheetId="1" hidden="1">{"Cover",#N/A,FALSE,"Cover";"trans_sum_print",#N/A,FALSE,"Transaction Summary";"earnings_impact_3yrQQ",#N/A,FALSE,"Earnings Impact";"accr_dil_3yr",#N/A,FALSE,"accretion dilution"}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localSheetId="1" hidden="1">{"Cover",#N/A,FALSE,"Cover";"trans_sum_print",#N/A,FALSE,"Transaction Summary";"earnings_impact_4yrQQ",#N/A,FALSE,"Earnings Impact";"accr_dil_4yr",#N/A,FALSE,"accretion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localSheetId="1" hidden="1">{"Cover",#N/A,FALSE,"Cover";"trans_sum_print",#N/A,FALSE,"Transaction Summary";"earnings_impact_5yrQQ",#N/A,FALSE,"Earnings Impact";"accr_dil_5yr",#N/A,FALSE,"accretion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localSheetId="1" hidden="1">{"Cover",#N/A,FALSE,"Cover";"trans_sum_print",#N/A,FALSE,"Transaction Summary";"earnings_impact_6yrQQ",#N/A,FALSE,"Earnings Impact";"accr_dil_6yr",#N/A,FALSE,"accretion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uick_Merge_3yr." localSheetId="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localSheetId="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localSheetId="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localSheetId="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iverwood_comp_model." localSheetId="1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sdi." localSheetId="1" hidden="1">{#N/A,#N/A,FALSE,"Customer Base";#N/A,#N/A,FALSE,"Workforce";#N/A,#N/A,FALSE,"cur prod";#N/A,#N/A,FALSE,"in-proc";#N/A,#N/A,FALSE,"Trademark"}</definedName>
    <definedName name="wrn.sdi." hidden="1">{#N/A,#N/A,FALSE,"Customer Base";#N/A,#N/A,FALSE,"Workforce";#N/A,#N/A,FALSE,"cur prod";#N/A,#N/A,FALSE,"in-proc";#N/A,#N/A,FALSE,"Trademark"}</definedName>
    <definedName name="wrn.Support." localSheetId="1" hidden="1">{"Month",#N/A,FALSE,"Recoutput";"YTD",#N/A,FALSE,"Recoutput";#N/A,#N/A,FALSE,"CURRFLXINP";#N/A,#N/A,FALSE,"FINREP.XLS";#N/A,#N/A,FALSE,"RECON.XLS";#N/A,#N/A,FALSE,"SLSCMP.XLS";#N/A,#N/A,FALSE,"CURFLX.XLS"}</definedName>
    <definedName name="wrn.Support." hidden="1">{"Month",#N/A,FALSE,"Recoutput";"YTD",#N/A,FALSE,"Recoutput";#N/A,#N/A,FALSE,"CURRFLXINP";#N/A,#N/A,FALSE,"FINREP.XLS";#N/A,#N/A,FALSE,"RECON.XLS";#N/A,#N/A,FALSE,"SLSCMP.XLS";#N/A,#N/A,FALSE,"CURFLX.XLS"}</definedName>
    <definedName name="wrn.toshg." localSheetId="1" hidden="1">{"tocg",#N/A,FALSE,"TOC";"wnug",#N/A,FALSE,"WHAT'SNEW";"DPSg",#N/A,FALSE,"DPS";"IDS",#N/A,FALSE,"IDS";"DS",#N/A,FALSE,"DS";"iltmg",#N/A,FALSE,"I-ltm";"LTM1",#N/A,FALSE,"LTM1";"LTM2",#N/A,FALSE,"LTM2";"ifmg",#N/A,FALSE,"ifmem";"FMEM",#N/A,FALSE,"FMEM";"IPHD",#N/A,FALSE,"iphd";"PHD",#N/A,FALSE,"PHD";"Person0482",#N/A,FALSE,"i-lan";"LAN",#N/A,FALSE,"LAN";"MISC",#N/A,FALSE,"Miscl"}</definedName>
    <definedName name="wrn.toshg." hidden="1">{"tocg",#N/A,FALSE,"TOC";"wnug",#N/A,FALSE,"WHAT'SNEW";"DPSg",#N/A,FALSE,"DPS";"IDS",#N/A,FALSE,"IDS";"DS",#N/A,FALSE,"DS";"iltmg",#N/A,FALSE,"I-ltm";"LTM1",#N/A,FALSE,"LTM1";"LTM2",#N/A,FALSE,"LTM2";"ifmg",#N/A,FALSE,"ifmem";"FMEM",#N/A,FALSE,"FMEM";"IPHD",#N/A,FALSE,"iphd";"PHD",#N/A,FALSE,"PHD";"Person0482",#N/A,FALSE,"i-lan";"LAN",#N/A,FALSE,"LAN";"MISC",#N/A,FALSE,"Miscl"}</definedName>
    <definedName name="wrn.USAmc." localSheetId="1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wrn.USAmc." hidden="1">{"mfgc",#N/A,FALSE,"TOC";"wnuc",#N/A,FALSE,"WNU";"lpc",#N/A,FALSE,"LP";"ntroc",#N/A,FALSE,"NTRO";"sec1c",#N/A,FALSE,"SEC 1";"sec2c",#N/A,FALSE,"SEC 2";"sec3c",#N/A,FALSE,"SEC 3";"sec4c",#N/A,FALSE,"SEC 4";"ssic",#N/A,FALSE,"SS-NTRO";"sa1c",#N/A,FALSE,"SS-ANX1";"ssa2c",#N/A,FALSE,"SS-ANX2"}</definedName>
    <definedName name="wrn.USAmg." localSheetId="1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wrn.USAmg." hidden="1">{"MoMfgr",#N/A,FALSE,"TOC";"Wnu",#N/A,FALSE,"WNU";"LP",#N/A,FALSE,"LP";"Ntro",#N/A,FALSE,"NTRO";"sec1",#N/A,FALSE,"SEC 1";"sec2",#N/A,FALSE,"SEC 2";"sec3",#N/A,FALSE,"SEC 3";"sec4",#N/A,FALSE,"SEC 4";"ssi",#N/A,FALSE,"SS-NTRO";"sa1",#N/A,FALSE,"SS-ANX1";"sa2",#N/A,FALSE,"SS-ANX2"}</definedName>
    <definedName name="wrn.USAsg." localSheetId="1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wrn.USAsg." hidden="1">{"chipmfgr",#N/A,FALSE,"TOC";"wnu",#N/A,FALSE,"WNU";"lp",#N/A,FALSE,"LP";"ntro",#N/A,FALSE,"NTRO";"sec1",#N/A,FALSE,"SEC 1";"sec2",#N/A,FALSE,"SEC 2";"sec3",#N/A,FALSE,"SEC 3";"sec4",#N/A,FALSE,"SEC 4";"ssi",#N/A,FALSE,"SS-NTRO";"sa1",#N/A,FALSE,"SS-ANX1";"sa2",#N/A,FALSE,"SS-ANX2";"chip",#N/A,FALSE,"CHIP";"sec7",#N/A,FALSE,"SEC-7"}</definedName>
    <definedName name="wrn1.nema" localSheetId="1" hidden="1">{#N/A,#N/A,FALSE,"Distbn Ntwrk";#N/A,#N/A,FALSE,"Workforce";#N/A,#N/A,FALSE,"cur-prod1";#N/A,#N/A,FALSE,"in-proc"}</definedName>
    <definedName name="wrn1.nema" hidden="1">{#N/A,#N/A,FALSE,"Distbn Ntwrk";#N/A,#N/A,FALSE,"Workforce";#N/A,#N/A,FALSE,"cur-prod1";#N/A,#N/A,FALSE,"in-proc"}</definedName>
    <definedName name="wrn1.sdi" localSheetId="1" hidden="1">{#N/A,#N/A,FALSE,"Customer Base";#N/A,#N/A,FALSE,"Workforce";#N/A,#N/A,FALSE,"cur prod";#N/A,#N/A,FALSE,"in-proc";#N/A,#N/A,FALSE,"Trademark"}</definedName>
    <definedName name="wrn1.sdi" hidden="1">{#N/A,#N/A,FALSE,"Customer Base";#N/A,#N/A,FALSE,"Workforce";#N/A,#N/A,FALSE,"cur prod";#N/A,#N/A,FALSE,"in-proc";#N/A,#N/A,FALSE,"Trademark"}</definedName>
    <definedName name="wvu.debits." localSheetId="1" hidden="1">{TRUE,TRUE,-0.8,-17,618,378,FALSE,FALSE,TRUE,TRUE,0,1,#N/A,37,#N/A,10.025,24.8181818181818,1,FALSE,FALSE,3,TRUE,1,FALSE,100,"Swvu.debits.","ACwvu.debits.",#N/A,FALSE,FALSE,0.75,0.97,1,0.95,1,"","",TRUE,FALSE,FALSE,FALSE,1,76,#N/A,#N/A,FALSE,FALSE,#N/A,#N/A,TRUE,FALSE,TRUE,1,65532,65532,FALSE,FALSE,TRUE,TRUE,TRUE}</definedName>
    <definedName name="wvu.debits." hidden="1">{TRUE,TRUE,-0.8,-17,618,378,FALSE,FALSE,TRUE,TRUE,0,1,#N/A,37,#N/A,10.025,24.8181818181818,1,FALSE,FALSE,3,TRUE,1,FALSE,100,"Swvu.debits.","ACwvu.debits.",#N/A,FALSE,FALSE,0.75,0.97,1,0.95,1,"","",TRUE,FALSE,FALSE,FALSE,1,76,#N/A,#N/A,FALSE,FALSE,#N/A,#N/A,TRUE,FALSE,TRUE,1,65532,65532,FALSE,FALSE,TRUE,TRUE,TRUE}</definedName>
    <definedName name="ww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w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C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C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REF_COLUMN_1" localSheetId="1" hidden="1">#REF!</definedName>
    <definedName name="XREF_COLUMN_1" hidden="1">#REF!</definedName>
    <definedName name="XREF_COLUMN_2" localSheetId="1" hidden="1">#REF!</definedName>
    <definedName name="XREF_COLUMN_2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1" hidden="1">#REF!</definedName>
    <definedName name="XRefCopy1" hidden="1">#REF!</definedName>
    <definedName name="XRefCopy1Row" localSheetId="1" hidden="1">#REF!</definedName>
    <definedName name="XRefCopy1Row" hidden="1">#REF!</definedName>
    <definedName name="XRefCopy2" localSheetId="1" hidden="1">#REF!</definedName>
    <definedName name="XRefCopy2" hidden="1">#REF!</definedName>
    <definedName name="XRefCopy3" localSheetId="1" hidden="1">#REF!</definedName>
    <definedName name="XRefCopy3" hidden="1">#REF!</definedName>
    <definedName name="XRefCopy5" localSheetId="1" hidden="1">#REF!</definedName>
    <definedName name="XRefCopy5" hidden="1">#REF!</definedName>
    <definedName name="XRefCopy5Row" localSheetId="1" hidden="1">#REF!</definedName>
    <definedName name="XRefCopy5Row" hidden="1">#REF!</definedName>
    <definedName name="XRefCopyRangeCount" hidden="1">2</definedName>
    <definedName name="XRefPaste1" localSheetId="1" hidden="1">#REF!</definedName>
    <definedName name="XRefPaste1" hidden="1">#REF!</definedName>
    <definedName name="XRefPaste1Row" localSheetId="1" hidden="1">#REF!</definedName>
    <definedName name="XRefPaste1Row" hidden="1">#REF!</definedName>
    <definedName name="XRefPasteRangeCount" hidden="1">1</definedName>
    <definedName name="XX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x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xxx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z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zz" localSheetId="1" hidden="1">{"cf1.xls",#N/A,FALSE,"CF";"cfseg1.xls",#N/A,FALSE,"CF";"REV1.xls",#N/A,FALSE,"Rev";"REVANA1.XLS",#N/A,FALSE,"Rev";"IS1.xls",#N/A,FALSE,"IS";"ISQ1.xls",#N/A,FALSE,"IS"}</definedName>
    <definedName name="zzz" hidden="1">{"cf1.xls",#N/A,FALSE,"CF";"cfseg1.xls",#N/A,FALSE,"CF";"REV1.xls",#N/A,FALSE,"Rev";"REVANA1.XLS",#N/A,FALSE,"Rev";"IS1.xls",#N/A,FALSE,"IS";"ISQ1.xls",#N/A,FALSE,"IS"}</definedName>
    <definedName name="zzzzz" localSheetId="1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zzzzz" hidden="1">{"CFA",#N/A,FALSE,"CF";"CFQ",#N/A,FALSE,"CF";"dbt.all.anl",#N/A,FALSE,"CF";"dbt.all.qt",#N/A,FALSE,"CF";"dbt.pt1.anl",#N/A,FALSE,"CF";"debt.pt2.anl",#N/A,FALSE,"CF";"dbt.pt1.qt",#N/A,FALSE,"CF";"dbt.pt2.qt",#N/A,FALSE,"CF";"BSA",#N/A,FALSE,"B"}</definedName>
  </definedNames>
  <calcPr calcId="191029"/>
  <pivotCaches>
    <pivotCache cacheId="10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5" i="1"/>
  <c r="I26" i="1"/>
  <c r="G5" i="1"/>
  <c r="G6" i="1"/>
  <c r="G7" i="1"/>
  <c r="E5" i="1"/>
  <c r="E6" i="1"/>
  <c r="E7" i="1"/>
  <c r="M7" i="1" l="1"/>
  <c r="M6" i="1"/>
  <c r="M5" i="1"/>
  <c r="I22" i="1"/>
  <c r="N3" i="1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X371" i="3"/>
  <c r="D371" i="3"/>
  <c r="X370" i="3"/>
  <c r="D370" i="3"/>
  <c r="AA7" i="3"/>
  <c r="AA6" i="3"/>
  <c r="AA5" i="3"/>
  <c r="AA4" i="3"/>
  <c r="C7" i="1"/>
  <c r="C6" i="1"/>
  <c r="C5" i="1"/>
  <c r="AA8" i="3" l="1"/>
  <c r="E3" i="1" l="1"/>
  <c r="K25" i="1"/>
  <c r="N25" i="1" s="1"/>
  <c r="C3" i="1"/>
  <c r="K26" i="1"/>
  <c r="M26" i="1" s="1"/>
  <c r="M3" i="1" l="1"/>
  <c r="O3" i="1" s="1"/>
  <c r="G3" i="1"/>
  <c r="K24" i="1"/>
  <c r="N24" i="1" s="1"/>
  <c r="C35" i="1" l="1"/>
  <c r="G35" i="1" s="1"/>
  <c r="C32" i="1"/>
  <c r="G32" i="1" s="1"/>
  <c r="C33" i="1"/>
  <c r="G33" i="1" s="1"/>
  <c r="C27" i="1"/>
  <c r="C29" i="1"/>
  <c r="G29" i="1" s="1"/>
  <c r="C30" i="1"/>
  <c r="G30" i="1" s="1"/>
  <c r="C38" i="1"/>
  <c r="G38" i="1" s="1"/>
  <c r="C36" i="1"/>
  <c r="G36" i="1" s="1"/>
  <c r="C28" i="1"/>
  <c r="G28" i="1" s="1"/>
  <c r="C37" i="1"/>
  <c r="G37" i="1" s="1"/>
  <c r="C34" i="1"/>
  <c r="G34" i="1" s="1"/>
  <c r="C31" i="1"/>
  <c r="G31" i="1" s="1"/>
  <c r="K37" i="1" l="1"/>
  <c r="M37" i="1" s="1"/>
  <c r="K30" i="1"/>
  <c r="M30" i="1" s="1"/>
  <c r="K29" i="1"/>
  <c r="M29" i="1" s="1"/>
  <c r="K28" i="1"/>
  <c r="M28" i="1" s="1"/>
  <c r="K36" i="1"/>
  <c r="M36" i="1" s="1"/>
  <c r="C22" i="1"/>
  <c r="G27" i="1"/>
  <c r="G22" i="1" s="1"/>
  <c r="K33" i="1"/>
  <c r="M33" i="1" s="1"/>
  <c r="K38" i="1"/>
  <c r="M38" i="1" s="1"/>
  <c r="K32" i="1"/>
  <c r="M32" i="1" s="1"/>
  <c r="K31" i="1"/>
  <c r="M31" i="1" s="1"/>
  <c r="K35" i="1"/>
  <c r="M35" i="1" s="1"/>
  <c r="K34" i="1"/>
  <c r="M34" i="1" s="1"/>
  <c r="K27" i="1" l="1"/>
  <c r="M27" i="1" s="1"/>
  <c r="M22" i="1" s="1"/>
  <c r="K22" i="1" l="1"/>
  <c r="N22" i="1" l="1"/>
</calcChain>
</file>

<file path=xl/sharedStrings.xml><?xml version="1.0" encoding="utf-8"?>
<sst xmlns="http://schemas.openxmlformats.org/spreadsheetml/2006/main" count="2635" uniqueCount="1152">
  <si>
    <t>Year</t>
  </si>
  <si>
    <t>Actual Property For Review</t>
  </si>
  <si>
    <t>Amount Unresolved
(U)</t>
  </si>
  <si>
    <t>Unclaimed Property for Extrapolation Base</t>
  </si>
  <si>
    <t>Revenue</t>
  </si>
  <si>
    <t xml:space="preserve">Percentage Unclaimed </t>
  </si>
  <si>
    <t>DE</t>
  </si>
  <si>
    <t>Unresolved Amount</t>
  </si>
  <si>
    <t>Remediation Status</t>
  </si>
  <si>
    <t>Remediation Code</t>
  </si>
  <si>
    <t>C</t>
  </si>
  <si>
    <t xml:space="preserve">Extrapolated Unclaimed </t>
  </si>
  <si>
    <t>Net Extrapolated Unclaimed Property</t>
  </si>
  <si>
    <t>Remediation Legend</t>
  </si>
  <si>
    <t>U = Unresolved</t>
  </si>
  <si>
    <t>F = Filed</t>
  </si>
  <si>
    <t>R = Returned</t>
  </si>
  <si>
    <t>C = Clear</t>
  </si>
  <si>
    <t>Total</t>
  </si>
  <si>
    <t>Property ID</t>
  </si>
  <si>
    <t>Item Number</t>
  </si>
  <si>
    <t>Date</t>
  </si>
  <si>
    <t xml:space="preserve"> Amount</t>
  </si>
  <si>
    <t>Name</t>
  </si>
  <si>
    <t>Address 1</t>
  </si>
  <si>
    <t>Address 2</t>
  </si>
  <si>
    <t>City</t>
  </si>
  <si>
    <t>State</t>
  </si>
  <si>
    <t>Zip Code</t>
  </si>
  <si>
    <t>Claim State</t>
  </si>
  <si>
    <t>Sample Item</t>
  </si>
  <si>
    <t>Reconciliation Date</t>
  </si>
  <si>
    <t>Customer ID</t>
  </si>
  <si>
    <t>Description</t>
  </si>
  <si>
    <t>Stratum</t>
  </si>
  <si>
    <t>Address Property Status</t>
  </si>
  <si>
    <t>Address Status Code</t>
  </si>
  <si>
    <t>Exam Team Comments</t>
  </si>
  <si>
    <t>Estimation Property Status</t>
  </si>
  <si>
    <t>Due to State</t>
  </si>
  <si>
    <t>For Review</t>
  </si>
  <si>
    <t>Holder Comments</t>
  </si>
  <si>
    <t>Documentation Provided</t>
  </si>
  <si>
    <t>Company0197 Comments</t>
  </si>
  <si>
    <t>Company1850 Code</t>
  </si>
  <si>
    <t/>
  </si>
  <si>
    <t>2019</t>
  </si>
  <si>
    <t>U</t>
  </si>
  <si>
    <t>MS09</t>
  </si>
  <si>
    <t>NY</t>
  </si>
  <si>
    <t>10010</t>
  </si>
  <si>
    <t>10016</t>
  </si>
  <si>
    <t>Clear</t>
  </si>
  <si>
    <t>10281</t>
  </si>
  <si>
    <t>PA</t>
  </si>
  <si>
    <t>2020</t>
  </si>
  <si>
    <t>NC</t>
  </si>
  <si>
    <t>GA</t>
  </si>
  <si>
    <t>FL</t>
  </si>
  <si>
    <t>2021</t>
  </si>
  <si>
    <t>AL</t>
  </si>
  <si>
    <t>TN</t>
  </si>
  <si>
    <t>MN</t>
  </si>
  <si>
    <t>IL</t>
  </si>
  <si>
    <t>MO</t>
  </si>
  <si>
    <t>TX</t>
  </si>
  <si>
    <t>AZ</t>
  </si>
  <si>
    <t>CA</t>
  </si>
  <si>
    <t>OR</t>
  </si>
  <si>
    <t>NJ</t>
  </si>
  <si>
    <t>OH</t>
  </si>
  <si>
    <t>10013</t>
  </si>
  <si>
    <t>10260</t>
  </si>
  <si>
    <t>10012</t>
  </si>
  <si>
    <t>10022</t>
  </si>
  <si>
    <t>10121</t>
  </si>
  <si>
    <t>Data File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</si>
  <si>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</si>
  <si>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</si>
  <si>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</si>
  <si>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</si>
  <si>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</si>
  <si>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</si>
  <si>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</si>
  <si>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</si>
  <si>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</si>
  <si>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</si>
  <si>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</si>
  <si>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</si>
  <si>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</si>
  <si>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</si>
  <si>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</si>
  <si>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</si>
  <si>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</si>
  <si>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</si>
  <si>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</si>
  <si>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</si>
  <si>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</si>
  <si>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</si>
  <si>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</si>
  <si>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</si>
  <si>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</si>
  <si>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</si>
  <si>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</si>
  <si>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</si>
  <si>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</si>
  <si>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</si>
  <si>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</si>
  <si>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</si>
  <si>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</si>
  <si>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</si>
  <si>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</si>
  <si>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</si>
  <si>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</si>
  <si>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</si>
  <si>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</si>
  <si>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</si>
  <si>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</si>
  <si>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</si>
  <si>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</si>
  <si>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</si>
  <si>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</si>
  <si>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</si>
  <si>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</si>
  <si>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</si>
  <si>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</si>
  <si>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</si>
  <si>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</si>
  <si>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</si>
  <si>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</si>
  <si>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</si>
  <si>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</si>
  <si>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</si>
  <si>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</si>
  <si>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</si>
  <si>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</si>
  <si>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</si>
  <si>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</si>
  <si>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</si>
  <si>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</si>
  <si>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</si>
  <si>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</si>
  <si>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</si>
  <si>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</si>
  <si>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</si>
  <si>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</si>
  <si>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</si>
  <si>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</si>
  <si>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</si>
  <si>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</si>
  <si>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</si>
  <si>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</si>
  <si>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</si>
  <si>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</si>
  <si>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</si>
  <si>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</si>
  <si>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</si>
  <si>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</si>
  <si>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</si>
  <si>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</si>
  <si>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</si>
  <si>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</si>
  <si>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</si>
  <si>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</si>
  <si>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</si>
  <si>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</si>
  <si>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</si>
  <si>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</si>
  <si>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</si>
  <si>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</si>
  <si>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</si>
  <si>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</si>
  <si>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</si>
  <si>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</si>
  <si>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</si>
  <si>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</si>
  <si>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</si>
  <si>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</si>
  <si>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</si>
  <si>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</si>
  <si>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</si>
  <si>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</si>
  <si>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</si>
  <si>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</si>
  <si>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</si>
  <si>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</si>
  <si>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</si>
  <si>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</si>
  <si>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</si>
  <si>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</si>
  <si>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</si>
  <si>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</si>
  <si>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</si>
  <si>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</si>
  <si>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</si>
  <si>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</si>
  <si>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</si>
  <si>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</si>
  <si>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</si>
  <si>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</si>
  <si>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</si>
  <si>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</si>
  <si>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</si>
  <si>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</si>
  <si>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</si>
  <si>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</si>
  <si>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</si>
  <si>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</si>
  <si>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</si>
  <si>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</si>
  <si>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</si>
  <si>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</si>
  <si>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</si>
  <si>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</si>
  <si>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</si>
  <si>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</si>
  <si>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</si>
  <si>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</si>
  <si>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</si>
  <si>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</si>
  <si>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</si>
  <si>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</si>
  <si>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</si>
  <si>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</si>
  <si>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</si>
  <si>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</si>
  <si>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</si>
  <si>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</si>
  <si>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</si>
  <si>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</si>
  <si>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</si>
  <si>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</si>
  <si>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</si>
  <si>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</si>
  <si>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</si>
  <si>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</si>
  <si>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</si>
  <si>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</si>
  <si>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</si>
  <si>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</si>
  <si>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</si>
  <si>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</si>
  <si>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</si>
  <si>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</si>
  <si>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</si>
  <si>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</si>
  <si>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</si>
  <si>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</si>
  <si>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</si>
  <si>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</si>
  <si>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</si>
  <si>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</si>
  <si>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</si>
  <si>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</si>
  <si>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</si>
  <si>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</si>
  <si>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</si>
  <si>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</si>
  <si>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</si>
  <si>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</si>
  <si>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</si>
  <si>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</si>
  <si>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</si>
  <si>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</si>
  <si>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</si>
  <si>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</si>
  <si>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</si>
  <si>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</si>
  <si>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</si>
  <si>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</si>
  <si>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</si>
  <si>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</si>
  <si>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</si>
  <si>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</si>
  <si>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</si>
  <si>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</si>
  <si>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</si>
  <si>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</si>
  <si>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</si>
  <si>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</si>
  <si>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</si>
  <si>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</si>
  <si>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</si>
  <si>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</si>
  <si>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</si>
  <si>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</si>
  <si>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</si>
  <si>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</si>
  <si>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</si>
  <si>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</si>
  <si>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</si>
  <si>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</si>
  <si>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</si>
  <si>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</si>
  <si>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</si>
  <si>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</si>
  <si>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</si>
  <si>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</si>
  <si>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</si>
  <si>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</si>
  <si>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</si>
  <si>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</si>
  <si>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</si>
  <si>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</si>
  <si>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</si>
  <si>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</si>
  <si>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</si>
  <si>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</si>
  <si>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</si>
  <si>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</si>
  <si>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</si>
  <si>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</si>
  <si>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</si>
  <si>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</si>
  <si>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</si>
  <si>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</si>
  <si>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</si>
  <si>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</si>
  <si>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</si>
  <si>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</si>
  <si>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</si>
  <si>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</si>
  <si>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</si>
  <si>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</si>
  <si>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</si>
  <si>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</si>
  <si>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</si>
  <si>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</si>
  <si>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</si>
  <si>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</si>
  <si>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</si>
  <si>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</si>
  <si>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</si>
  <si>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</si>
  <si>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</si>
  <si>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</si>
  <si>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</si>
  <si>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</si>
  <si>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</si>
  <si>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</si>
  <si>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</si>
  <si>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</si>
  <si>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</si>
  <si>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</si>
  <si>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</si>
  <si>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</si>
  <si>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</si>
  <si>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</si>
  <si>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</si>
  <si>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</si>
  <si>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</si>
  <si>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</si>
  <si>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</si>
  <si>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</si>
  <si>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</si>
  <si>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</si>
  <si>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</si>
  <si>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</si>
  <si>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</si>
  <si>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</si>
  <si>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</si>
  <si>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</si>
  <si>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</si>
  <si>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</si>
  <si>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</si>
  <si>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</si>
  <si>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</si>
  <si>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</si>
  <si>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</si>
  <si>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</si>
  <si>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</si>
  <si>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</si>
  <si>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</si>
  <si>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</si>
  <si>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</si>
  <si>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</si>
  <si>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</si>
  <si>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</si>
  <si>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</si>
  <si>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</si>
  <si>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</si>
  <si>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</si>
  <si>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</si>
  <si>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</si>
  <si>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</si>
  <si>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</si>
  <si>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</si>
  <si>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</si>
  <si>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</si>
  <si>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</si>
  <si>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</si>
  <si>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</si>
  <si>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</si>
  <si>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</si>
  <si>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</si>
  <si>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</si>
  <si>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</si>
  <si>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</si>
  <si>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</si>
  <si>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</si>
  <si>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</si>
  <si>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</si>
  <si>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</si>
  <si>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</si>
  <si>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</si>
  <si>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</si>
  <si>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</si>
  <si>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</si>
  <si>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</si>
  <si>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</si>
  <si>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</si>
  <si>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</si>
  <si>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</si>
  <si>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</si>
  <si>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</si>
  <si>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</si>
  <si>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</si>
  <si>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</si>
  <si>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</si>
  <si>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</si>
  <si>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</si>
  <si>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</si>
  <si>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</si>
  <si>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</si>
  <si>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</si>
  <si>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</si>
  <si>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</si>
  <si>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</si>
  <si>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</si>
  <si>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</si>
  <si>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</si>
  <si>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</si>
  <si>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</si>
  <si>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10004</t>
  </si>
  <si>
    <t>10005</t>
  </si>
  <si>
    <t>10006</t>
  </si>
  <si>
    <t>10007</t>
  </si>
  <si>
    <t>10008</t>
  </si>
  <si>
    <t>10009</t>
  </si>
  <si>
    <t>10011</t>
  </si>
  <si>
    <t>10014</t>
  </si>
  <si>
    <t>10015</t>
  </si>
  <si>
    <t>10020</t>
  </si>
  <si>
    <t>10021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</si>
  <si>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</si>
  <si>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</si>
  <si>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</si>
  <si>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</si>
  <si>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</si>
  <si>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</si>
  <si>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</si>
  <si>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</si>
  <si>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</si>
  <si>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</si>
  <si>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</si>
  <si>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</si>
  <si>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</si>
  <si>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</si>
  <si>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</si>
  <si>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</si>
  <si>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</si>
  <si>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</si>
  <si>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</si>
  <si>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</si>
  <si>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</si>
  <si>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</si>
  <si>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</si>
  <si>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</si>
  <si>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</si>
  <si>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</si>
  <si>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</si>
  <si>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</si>
  <si>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</si>
  <si>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</si>
  <si>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</si>
  <si>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</si>
  <si>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</si>
  <si>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</si>
  <si>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</si>
  <si>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</si>
  <si>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</si>
  <si>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</si>
  <si>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</si>
  <si>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</si>
  <si>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</si>
  <si>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</si>
  <si>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</si>
  <si>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</si>
  <si>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</si>
  <si>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</si>
  <si>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</si>
  <si>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</si>
  <si>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</si>
  <si>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</si>
  <si>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</si>
  <si>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</si>
  <si>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</si>
  <si>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</si>
  <si>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</si>
  <si>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</si>
  <si>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</si>
  <si>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</si>
  <si>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</si>
  <si>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</si>
  <si>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</si>
  <si>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</si>
  <si>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</si>
  <si>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</si>
  <si>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</si>
  <si>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</si>
  <si>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</si>
  <si>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</si>
  <si>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</si>
  <si>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</si>
  <si>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</si>
  <si>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</si>
  <si>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</si>
  <si>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</si>
  <si>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</si>
  <si>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</si>
  <si>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</si>
  <si>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</si>
  <si>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</si>
  <si>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</si>
  <si>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</si>
  <si>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</si>
  <si>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</si>
  <si>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</si>
  <si>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</si>
  <si>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</si>
  <si>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</si>
  <si>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</si>
  <si>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</si>
  <si>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</si>
  <si>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</si>
  <si>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</si>
  <si>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</si>
  <si>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</si>
  <si>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</si>
  <si>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</si>
  <si>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</si>
  <si>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</si>
  <si>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</si>
  <si>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</si>
  <si>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</si>
  <si>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</si>
  <si>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</si>
  <si>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</si>
  <si>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</si>
  <si>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</si>
  <si>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</si>
  <si>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</si>
  <si>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</si>
  <si>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</si>
  <si>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</si>
  <si>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</si>
  <si>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</si>
  <si>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</si>
  <si>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</si>
  <si>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</si>
  <si>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</si>
  <si>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</si>
  <si>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</si>
  <si>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</si>
  <si>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</si>
  <si>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</si>
  <si>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</si>
  <si>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</si>
  <si>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</si>
  <si>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</si>
  <si>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</si>
  <si>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</si>
  <si>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</si>
  <si>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</si>
  <si>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</si>
  <si>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</si>
  <si>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</si>
  <si>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</si>
  <si>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</si>
  <si>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</si>
  <si>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</si>
  <si>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</si>
  <si>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</si>
  <si>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</si>
  <si>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</si>
  <si>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</si>
  <si>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</si>
  <si>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</si>
  <si>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</si>
  <si>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</si>
  <si>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</si>
  <si>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</si>
  <si>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</si>
  <si>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</si>
  <si>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</si>
  <si>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</si>
  <si>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</si>
  <si>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</si>
  <si>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</si>
  <si>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</si>
  <si>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</si>
  <si>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</si>
  <si>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</si>
  <si>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</si>
  <si>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</si>
  <si>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</si>
  <si>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</si>
  <si>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</si>
  <si>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</si>
  <si>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</si>
  <si>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</si>
  <si>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</si>
  <si>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</si>
  <si>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</si>
  <si>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</si>
  <si>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</si>
  <si>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</si>
  <si>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</si>
  <si>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</si>
  <si>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</si>
  <si>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</si>
  <si>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</si>
  <si>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</si>
  <si>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</si>
  <si>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</si>
  <si>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</si>
  <si>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</si>
  <si>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</si>
  <si>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</si>
  <si>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</si>
  <si>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</si>
  <si>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</si>
  <si>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</si>
  <si>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</si>
  <si>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</si>
  <si>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</si>
  <si>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</si>
  <si>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</si>
  <si>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</si>
  <si>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</si>
  <si>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</si>
  <si>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</si>
  <si>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</si>
  <si>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</si>
  <si>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</si>
  <si>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</si>
  <si>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</si>
  <si>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</si>
  <si>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</si>
  <si>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</si>
  <si>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</si>
  <si>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</si>
  <si>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</si>
  <si>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</si>
  <si>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</si>
  <si>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</si>
  <si>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</si>
  <si>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</si>
  <si>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</si>
  <si>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</si>
  <si>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</si>
  <si>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</si>
  <si>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</si>
  <si>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</si>
  <si>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</si>
  <si>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</si>
  <si>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</si>
  <si>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</si>
  <si>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</si>
  <si>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</si>
  <si>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</si>
  <si>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</si>
  <si>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</si>
  <si>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</si>
  <si>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</si>
  <si>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</si>
  <si>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</si>
  <si>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</si>
  <si>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</si>
  <si>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</si>
  <si>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</si>
  <si>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</si>
  <si>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</si>
  <si>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</si>
  <si>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</si>
  <si>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</si>
  <si>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</si>
  <si>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</si>
  <si>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</si>
  <si>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</si>
  <si>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</si>
  <si>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</si>
  <si>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</si>
  <si>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</si>
  <si>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</si>
  <si>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</si>
  <si>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</si>
  <si>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</si>
  <si>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</si>
  <si>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</si>
  <si>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</si>
  <si>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</si>
  <si>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</si>
  <si>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</si>
  <si>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</si>
  <si>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</si>
  <si>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</si>
  <si>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</si>
  <si>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</si>
  <si>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</si>
  <si>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</si>
  <si>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</si>
  <si>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</si>
  <si>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</si>
  <si>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</si>
  <si>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</si>
  <si>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</si>
  <si>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</si>
  <si>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</si>
  <si>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</si>
  <si>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</si>
  <si>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</si>
  <si>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</si>
  <si>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</si>
  <si>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</si>
  <si>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</si>
  <si>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</si>
  <si>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</si>
  <si>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</si>
  <si>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</si>
  <si>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</si>
  <si>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</si>
  <si>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</si>
  <si>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</si>
  <si>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</si>
  <si>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</si>
  <si>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</si>
  <si>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</si>
  <si>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</si>
  <si>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</si>
  <si>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</si>
  <si>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</si>
  <si>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</si>
  <si>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</si>
  <si>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</si>
  <si>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</si>
  <si>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</si>
  <si>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</si>
  <si>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</si>
  <si>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</si>
  <si>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</si>
  <si>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</si>
  <si>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</si>
  <si>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</si>
  <si>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</si>
  <si>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</si>
  <si>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</si>
  <si>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</si>
  <si>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</si>
  <si>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</si>
  <si>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</si>
  <si>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</si>
  <si>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</si>
  <si>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</si>
  <si>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</si>
  <si>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</si>
  <si>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</si>
  <si>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</si>
  <si>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</si>
  <si>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</si>
  <si>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</si>
  <si>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</si>
  <si>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</si>
  <si>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</si>
  <si>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</si>
  <si>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</si>
  <si>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</si>
  <si>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</si>
  <si>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</si>
  <si>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</si>
  <si>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</si>
  <si>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</si>
  <si>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</si>
  <si>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</si>
  <si>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</si>
  <si>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</si>
  <si>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</si>
  <si>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</si>
  <si>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</si>
  <si>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</si>
  <si>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</si>
  <si>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</si>
  <si>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</si>
  <si>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</si>
  <si>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</si>
  <si>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</si>
  <si>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</si>
  <si>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</si>
  <si>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</si>
  <si>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</si>
  <si>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</si>
  <si>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</si>
  <si>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</si>
  <si>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</si>
  <si>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</si>
  <si>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</si>
  <si>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</si>
  <si>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</si>
  <si>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</si>
  <si>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</si>
  <si>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</si>
  <si>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</si>
  <si>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</si>
  <si>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</si>
  <si>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</si>
  <si>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Name 41</t>
  </si>
  <si>
    <t>Name 42</t>
  </si>
  <si>
    <t>Name 43</t>
  </si>
  <si>
    <t>Name 44</t>
  </si>
  <si>
    <t>Name 45</t>
  </si>
  <si>
    <t>Name 46</t>
  </si>
  <si>
    <t>Name 47</t>
  </si>
  <si>
    <t>Name 48</t>
  </si>
  <si>
    <t>Name 49</t>
  </si>
  <si>
    <t>Name 50</t>
  </si>
  <si>
    <t>Name 51</t>
  </si>
  <si>
    <t>Name 52</t>
  </si>
  <si>
    <t>Name 53</t>
  </si>
  <si>
    <t>Name 54</t>
  </si>
  <si>
    <t>Name 55</t>
  </si>
  <si>
    <t>Name 56</t>
  </si>
  <si>
    <t>Name 57</t>
  </si>
  <si>
    <t>Name 58</t>
  </si>
  <si>
    <t>Name 59</t>
  </si>
  <si>
    <t>Name 60</t>
  </si>
  <si>
    <t>Name 61</t>
  </si>
  <si>
    <t>Name 62</t>
  </si>
  <si>
    <t>Name 63</t>
  </si>
  <si>
    <t>Name 64</t>
  </si>
  <si>
    <t>Name 65</t>
  </si>
  <si>
    <t>Name 66</t>
  </si>
  <si>
    <t>Name 67</t>
  </si>
  <si>
    <t>Name 68</t>
  </si>
  <si>
    <t>Name 69</t>
  </si>
  <si>
    <t>Name 70</t>
  </si>
  <si>
    <t>Name 71</t>
  </si>
  <si>
    <t>Name 72</t>
  </si>
  <si>
    <t>Name 73</t>
  </si>
  <si>
    <t>Name 74</t>
  </si>
  <si>
    <t>Name 75</t>
  </si>
  <si>
    <t>Name 76</t>
  </si>
  <si>
    <t>Name 77</t>
  </si>
  <si>
    <t>Name 78</t>
  </si>
  <si>
    <t>Name 79</t>
  </si>
  <si>
    <t>Name 80</t>
  </si>
  <si>
    <t>Name 81</t>
  </si>
  <si>
    <t>Name 82</t>
  </si>
  <si>
    <t>Name 83</t>
  </si>
  <si>
    <t>Name 84</t>
  </si>
  <si>
    <t>Name 85</t>
  </si>
  <si>
    <t>Name 86</t>
  </si>
  <si>
    <t>Name 87</t>
  </si>
  <si>
    <t>Name 88</t>
  </si>
  <si>
    <t>Name 89</t>
  </si>
  <si>
    <t>Name 90</t>
  </si>
  <si>
    <t>Name 91</t>
  </si>
  <si>
    <t>Name 94</t>
  </si>
  <si>
    <t>Name 95</t>
  </si>
  <si>
    <t>Name 96</t>
  </si>
  <si>
    <t>Name 97</t>
  </si>
  <si>
    <t>Name 98</t>
  </si>
  <si>
    <t>Name 99</t>
  </si>
  <si>
    <t>Name 100</t>
  </si>
  <si>
    <t>Name 101</t>
  </si>
  <si>
    <t>Name 102</t>
  </si>
  <si>
    <t>Name 103</t>
  </si>
  <si>
    <t>Name 104</t>
  </si>
  <si>
    <t>Name 105</t>
  </si>
  <si>
    <t>Name 106</t>
  </si>
  <si>
    <t>Name 107</t>
  </si>
  <si>
    <t>Name 108</t>
  </si>
  <si>
    <t>Name 109</t>
  </si>
  <si>
    <t>Name 110</t>
  </si>
  <si>
    <t>Name 111</t>
  </si>
  <si>
    <t>Name 112</t>
  </si>
  <si>
    <t>Name 113</t>
  </si>
  <si>
    <t>Name 114</t>
  </si>
  <si>
    <t>Name 115</t>
  </si>
  <si>
    <t>Name 116</t>
  </si>
  <si>
    <t>Name 117</t>
  </si>
  <si>
    <t>Name 118</t>
  </si>
  <si>
    <t>Name 119</t>
  </si>
  <si>
    <t>Name 120</t>
  </si>
  <si>
    <t>Name 121</t>
  </si>
  <si>
    <t>Name 122</t>
  </si>
  <si>
    <t>Name 123</t>
  </si>
  <si>
    <t>Name 124</t>
  </si>
  <si>
    <t>Name 125</t>
  </si>
  <si>
    <t>Name 126</t>
  </si>
  <si>
    <t>Name 127</t>
  </si>
  <si>
    <t>Name 128</t>
  </si>
  <si>
    <t>Name 129</t>
  </si>
  <si>
    <t>Name 130</t>
  </si>
  <si>
    <t>Name 131</t>
  </si>
  <si>
    <t>Name 132</t>
  </si>
  <si>
    <t>Name 133</t>
  </si>
  <si>
    <t>Name 134</t>
  </si>
  <si>
    <t>Name 135</t>
  </si>
  <si>
    <t>Name 136</t>
  </si>
  <si>
    <t>Name 137</t>
  </si>
  <si>
    <t>Name 138</t>
  </si>
  <si>
    <t>Name 139</t>
  </si>
  <si>
    <t>Name 140</t>
  </si>
  <si>
    <t>Name 141</t>
  </si>
  <si>
    <t>Name 142</t>
  </si>
  <si>
    <t>Name 143</t>
  </si>
  <si>
    <t>Name 144</t>
  </si>
  <si>
    <t>Name 145</t>
  </si>
  <si>
    <t>Name 146</t>
  </si>
  <si>
    <t>Name 147</t>
  </si>
  <si>
    <t>Name 148</t>
  </si>
  <si>
    <t>Name 149</t>
  </si>
  <si>
    <t>Name 150</t>
  </si>
  <si>
    <t>Name 151</t>
  </si>
  <si>
    <t>Name 152</t>
  </si>
  <si>
    <t>Name 153</t>
  </si>
  <si>
    <t>Name 154</t>
  </si>
  <si>
    <t>Name 155</t>
  </si>
  <si>
    <t>Name 156</t>
  </si>
  <si>
    <t>Name 157</t>
  </si>
  <si>
    <t>Name 158</t>
  </si>
  <si>
    <t>Name 159</t>
  </si>
  <si>
    <t>Name 160</t>
  </si>
  <si>
    <t>Name 161</t>
  </si>
  <si>
    <t>Name 162</t>
  </si>
  <si>
    <t>Name 163</t>
  </si>
  <si>
    <t>Name 164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</si>
  <si>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</si>
  <si>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</si>
  <si>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</si>
  <si>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</si>
  <si>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</si>
  <si>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</si>
  <si>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</si>
  <si>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</si>
  <si>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Name 173</t>
  </si>
  <si>
    <t>Name 174</t>
  </si>
  <si>
    <t>Name 175</t>
  </si>
  <si>
    <t>Name 176</t>
  </si>
  <si>
    <t>Name 177</t>
  </si>
  <si>
    <t>Name 178</t>
  </si>
  <si>
    <t>Name 179</t>
  </si>
  <si>
    <t>Name 180</t>
  </si>
  <si>
    <t>Name 181</t>
  </si>
  <si>
    <t>Name 182</t>
  </si>
  <si>
    <t>Name 183</t>
  </si>
  <si>
    <t>Name 184</t>
  </si>
  <si>
    <t>Name 185</t>
  </si>
  <si>
    <t>Name 186</t>
  </si>
  <si>
    <t>Name 187</t>
  </si>
  <si>
    <t>Name 188</t>
  </si>
  <si>
    <t>Name 189</t>
  </si>
  <si>
    <t>Name 190</t>
  </si>
  <si>
    <t>Name 191</t>
  </si>
  <si>
    <t>Name 192</t>
  </si>
  <si>
    <t>Name 193</t>
  </si>
  <si>
    <t>Name 194</t>
  </si>
  <si>
    <t>Name 195</t>
  </si>
  <si>
    <t>Name 196</t>
  </si>
  <si>
    <t>Name 197</t>
  </si>
  <si>
    <t>Name 198</t>
  </si>
  <si>
    <t>Name 199</t>
  </si>
  <si>
    <t>Name 200</t>
  </si>
  <si>
    <t>Name 201</t>
  </si>
  <si>
    <t>Name 202</t>
  </si>
  <si>
    <t>Name 203</t>
  </si>
  <si>
    <t>Name 204</t>
  </si>
  <si>
    <t>Name 205</t>
  </si>
  <si>
    <t>Name 206</t>
  </si>
  <si>
    <t>Name 207</t>
  </si>
  <si>
    <t>Name 218</t>
  </si>
  <si>
    <t>Name 219</t>
  </si>
  <si>
    <t>Name 220</t>
  </si>
  <si>
    <t>Name 221</t>
  </si>
  <si>
    <t>Name 222</t>
  </si>
  <si>
    <t>Name 223</t>
  </si>
  <si>
    <t>Name 224</t>
  </si>
  <si>
    <t>Name 225</t>
  </si>
  <si>
    <t>Name 226</t>
  </si>
  <si>
    <t>Name 227</t>
  </si>
  <si>
    <t>Name 228</t>
  </si>
  <si>
    <t>Name 229</t>
  </si>
  <si>
    <t>Name 230</t>
  </si>
  <si>
    <t>Name 231</t>
  </si>
  <si>
    <t>Name 232</t>
  </si>
  <si>
    <t>Name 233</t>
  </si>
  <si>
    <t>Name 234</t>
  </si>
  <si>
    <t>Name 235</t>
  </si>
  <si>
    <t>Name 236</t>
  </si>
  <si>
    <t>Name 237</t>
  </si>
  <si>
    <t>Name 238</t>
  </si>
  <si>
    <t>Name 239</t>
  </si>
  <si>
    <t>Name 240</t>
  </si>
  <si>
    <t>Name 241</t>
  </si>
  <si>
    <t>Name 242</t>
  </si>
  <si>
    <t>Name 243</t>
  </si>
  <si>
    <t>Name 244</t>
  </si>
  <si>
    <t>Name 245</t>
  </si>
  <si>
    <t>Name 246</t>
  </si>
  <si>
    <t>Name 247</t>
  </si>
  <si>
    <t>Name 248</t>
  </si>
  <si>
    <t>Name 249</t>
  </si>
  <si>
    <t>Name 250</t>
  </si>
  <si>
    <t>Name 251</t>
  </si>
  <si>
    <t>Name 252</t>
  </si>
  <si>
    <t>Name 253</t>
  </si>
  <si>
    <t>Name 254</t>
  </si>
  <si>
    <t>Name 255</t>
  </si>
  <si>
    <t>Name 256</t>
  </si>
  <si>
    <t>Name 257</t>
  </si>
  <si>
    <t>Name 258</t>
  </si>
  <si>
    <t>Name 259</t>
  </si>
  <si>
    <t>Name 260</t>
  </si>
  <si>
    <t>Name 261</t>
  </si>
  <si>
    <t>Name 262</t>
  </si>
  <si>
    <t>Name 263</t>
  </si>
  <si>
    <t>Name 264</t>
  </si>
  <si>
    <t>Name 265</t>
  </si>
  <si>
    <t>Name 266</t>
  </si>
  <si>
    <t>Name 267</t>
  </si>
  <si>
    <t>Name 268</t>
  </si>
  <si>
    <t>Name 269</t>
  </si>
  <si>
    <t>Name 270</t>
  </si>
  <si>
    <t>Name 271</t>
  </si>
  <si>
    <t>Name 272</t>
  </si>
  <si>
    <t>Name 273</t>
  </si>
  <si>
    <t>Name 274</t>
  </si>
  <si>
    <t>Name 275</t>
  </si>
  <si>
    <t>Name 276</t>
  </si>
  <si>
    <t>Name 277</t>
  </si>
  <si>
    <t>Name 278</t>
  </si>
  <si>
    <t>Name 279</t>
  </si>
  <si>
    <t>Name 280</t>
  </si>
  <si>
    <t>Name 281</t>
  </si>
  <si>
    <t>Name 282</t>
  </si>
  <si>
    <t>Name 283</t>
  </si>
  <si>
    <t>Name 284</t>
  </si>
  <si>
    <t>Name 285</t>
  </si>
  <si>
    <t>Name 286</t>
  </si>
  <si>
    <t>Name 287</t>
  </si>
  <si>
    <t>Name 288</t>
  </si>
  <si>
    <t>Name 289</t>
  </si>
  <si>
    <t>Name 290</t>
  </si>
  <si>
    <t>Name 291</t>
  </si>
  <si>
    <t>Name 292</t>
  </si>
  <si>
    <t>Name 293</t>
  </si>
  <si>
    <t>Name 294</t>
  </si>
  <si>
    <t>Name 295</t>
  </si>
  <si>
    <t>Name 296</t>
  </si>
  <si>
    <t>Name 297</t>
  </si>
  <si>
    <t>Name 298</t>
  </si>
  <si>
    <t>Name 299</t>
  </si>
  <si>
    <t>Name 300</t>
  </si>
  <si>
    <t>Name 301</t>
  </si>
  <si>
    <t>Name 302</t>
  </si>
  <si>
    <t>Name 303</t>
  </si>
  <si>
    <t>Name 304</t>
  </si>
  <si>
    <t>Name 305</t>
  </si>
  <si>
    <t>Name 306</t>
  </si>
  <si>
    <t>Name 307</t>
  </si>
  <si>
    <t>Name 308</t>
  </si>
  <si>
    <t>Name 309</t>
  </si>
  <si>
    <t>Name 310</t>
  </si>
  <si>
    <t>Name 311</t>
  </si>
  <si>
    <t>Name 312</t>
  </si>
  <si>
    <t>Name 313</t>
  </si>
  <si>
    <t>Name 314</t>
  </si>
  <si>
    <t>Name 315</t>
  </si>
  <si>
    <t>Name 316</t>
  </si>
  <si>
    <t>Name 317</t>
  </si>
  <si>
    <t>Name 318</t>
  </si>
  <si>
    <t>Name 319</t>
  </si>
  <si>
    <t>Name 320</t>
  </si>
  <si>
    <t>Name 321</t>
  </si>
  <si>
    <t>Name 322</t>
  </si>
  <si>
    <t>Name 323</t>
  </si>
  <si>
    <t>Name 324</t>
  </si>
  <si>
    <t>Name 325</t>
  </si>
  <si>
    <t>Name 326</t>
  </si>
  <si>
    <t>Name 327</t>
  </si>
  <si>
    <t>Name 328</t>
  </si>
  <si>
    <t>Name 329</t>
  </si>
  <si>
    <t>Name 330</t>
  </si>
  <si>
    <t>Name 331</t>
  </si>
  <si>
    <t>Name 332</t>
  </si>
  <si>
    <t>Name 333</t>
  </si>
  <si>
    <t>Name 334</t>
  </si>
  <si>
    <t>Name 335</t>
  </si>
  <si>
    <t>Name 336</t>
  </si>
  <si>
    <t>Name 337</t>
  </si>
  <si>
    <t>Name 338</t>
  </si>
  <si>
    <t>Name 339</t>
  </si>
  <si>
    <t>Name 340</t>
  </si>
  <si>
    <t>Name 341</t>
  </si>
  <si>
    <t>Name 342</t>
  </si>
  <si>
    <t>Name 343</t>
  </si>
  <si>
    <t>Name 344</t>
  </si>
  <si>
    <t>Name 345</t>
  </si>
  <si>
    <t>Name 346</t>
  </si>
  <si>
    <t>Name 347</t>
  </si>
  <si>
    <t>Name 348</t>
  </si>
  <si>
    <t>Name 349</t>
  </si>
  <si>
    <t>Name 350</t>
  </si>
  <si>
    <t>Name 351</t>
  </si>
  <si>
    <t>Name 352</t>
  </si>
  <si>
    <t>Name 353</t>
  </si>
  <si>
    <t>Name 354</t>
  </si>
  <si>
    <t>Name 355</t>
  </si>
  <si>
    <t>Name 356</t>
  </si>
  <si>
    <t>Name 357</t>
  </si>
  <si>
    <t>Name 358</t>
  </si>
  <si>
    <t>Name 359</t>
  </si>
  <si>
    <t>Name 360</t>
  </si>
  <si>
    <t>Name 361</t>
  </si>
  <si>
    <t>Name 362</t>
  </si>
  <si>
    <t>Name 363</t>
  </si>
  <si>
    <t>Name 364</t>
  </si>
  <si>
    <t>Name 365</t>
  </si>
  <si>
    <t>Name 366</t>
  </si>
  <si>
    <t>Name 367</t>
  </si>
  <si>
    <t>Name 368</t>
  </si>
  <si>
    <t>Name 369</t>
  </si>
  <si>
    <t>Name 370</t>
  </si>
  <si>
    <t>Name 371</t>
  </si>
  <si>
    <t>Name 372</t>
  </si>
  <si>
    <t>Name 373</t>
  </si>
  <si>
    <t>Name 374</t>
  </si>
  <si>
    <t>Blank</t>
  </si>
  <si>
    <r>
      <rPr>
        <b/>
        <sz val="11"/>
        <rFont val="Calibri"/>
        <family val="2"/>
        <scheme val="minor"/>
      </rPr>
      <t xml:space="preserve">Actual Unclaimed Property </t>
    </r>
    <r>
      <rPr>
        <b/>
        <sz val="11"/>
        <color theme="1"/>
        <rFont val="Calibri"/>
        <family val="2"/>
        <scheme val="minor"/>
      </rPr>
      <t xml:space="preserve">Due to </t>
    </r>
    <r>
      <rPr>
        <b/>
        <sz val="11"/>
        <color rgb="FFFF0000"/>
        <rFont val="Calibri"/>
        <family val="2"/>
        <scheme val="minor"/>
      </rPr>
      <t>DE</t>
    </r>
  </si>
  <si>
    <r>
      <t xml:space="preserve">Total Actual and Extrapolated Unclaimed Property Due to </t>
    </r>
    <r>
      <rPr>
        <b/>
        <sz val="11"/>
        <color rgb="FFFF0000"/>
        <rFont val="Calibri"/>
        <family val="2"/>
        <scheme val="minor"/>
      </rPr>
      <t>DE</t>
    </r>
  </si>
  <si>
    <t>Liability Summary</t>
  </si>
  <si>
    <t>Sum of Unresolved Amount</t>
  </si>
  <si>
    <t>Row Labels</t>
  </si>
  <si>
    <t>Grand Total</t>
  </si>
  <si>
    <t>Column Labels</t>
  </si>
  <si>
    <t>Sum of For Review</t>
  </si>
  <si>
    <t>Amount Remediated</t>
  </si>
  <si>
    <t>(blank)</t>
  </si>
  <si>
    <t>Amount Remediated
(C)</t>
  </si>
  <si>
    <t>Actual Unclaimed Property Due to DE</t>
  </si>
  <si>
    <r>
      <t xml:space="preserve">Future Due Unclaimed Property - </t>
    </r>
    <r>
      <rPr>
        <b/>
        <sz val="11"/>
        <color rgb="FFFF0000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(2020-2021)</t>
    </r>
  </si>
  <si>
    <r>
      <t xml:space="preserve">Current Due Unclaimed Property - </t>
    </r>
    <r>
      <rPr>
        <b/>
        <sz val="11"/>
        <color rgb="FFFF0000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(2007-2019)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</si>
</sst>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0000%"/>
    <numFmt numFmtId="166" formatCode="_(* #,##0_);_(* \(#,##0\);_(* &quot;-&quot;??_);_(@_)"/>
    <numFmt numFmtId="167" formatCode="mm/dd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rgb="FFFF0000"/>
      <name val="Calibri"/>
      <family val="2"/>
    </font>
    <font>
      <sz val="10"/>
      <name val="Arial"/>
      <family val="2"/>
    </font>
    <font>
      <b/>
      <i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i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1" fillId="0" borderId="0"/>
  </cellStyleXfs>
  <cellXfs count="131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165" fontId="4" fillId="2" borderId="11" xfId="3" applyNumberFormat="1" applyFont="1" applyFill="1" applyBorder="1" applyAlignment="1" applyProtection="1">
      <alignment horizontal="center" vertical="center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65" fontId="0" fillId="2" borderId="5" xfId="0" applyNumberFormat="1" applyFill="1" applyBorder="1" applyAlignment="1">
      <alignment horizontal="center" vertical="center"/>
    </xf>
    <xf numFmtId="0" fontId="0" fillId="2" borderId="9" xfId="0" applyFill="1" applyBorder="1" applyAlignment="1" applyProtection="1">
      <alignment horizontal="center" vertical="center"/>
      <protection locked="0"/>
    </xf>
    <xf numFmtId="165" fontId="0" fillId="2" borderId="11" xfId="0" applyNumberForma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left"/>
    </xf>
    <xf numFmtId="0" fontId="8" fillId="0" borderId="0" xfId="0" applyFont="1"/>
    <xf numFmtId="43" fontId="8" fillId="0" borderId="0" xfId="1" applyFont="1"/>
    <xf numFmtId="0" fontId="8" fillId="0" borderId="0" xfId="0" applyFont="1" applyAlignment="1">
      <alignment horizontal="center"/>
    </xf>
    <xf numFmtId="43" fontId="8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43" fontId="0" fillId="0" borderId="0" xfId="1" applyFont="1" applyFill="1"/>
    <xf numFmtId="14" fontId="7" fillId="0" borderId="0" xfId="0" applyNumberFormat="1" applyFont="1" applyAlignment="1">
      <alignment horizontal="left"/>
    </xf>
    <xf numFmtId="166" fontId="8" fillId="0" borderId="14" xfId="1" applyNumberFormat="1" applyFont="1" applyBorder="1" applyAlignment="1">
      <alignment horizontal="center"/>
    </xf>
    <xf numFmtId="43" fontId="0" fillId="0" borderId="0" xfId="0" applyNumberFormat="1"/>
    <xf numFmtId="0" fontId="10" fillId="0" borderId="0" xfId="4" applyFont="1"/>
    <xf numFmtId="166" fontId="8" fillId="0" borderId="19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12" fillId="0" borderId="21" xfId="1" applyNumberFormat="1" applyFont="1" applyBorder="1" applyAlignment="1">
      <alignment horizontal="center" vertical="top"/>
    </xf>
    <xf numFmtId="0" fontId="9" fillId="0" borderId="0" xfId="0" applyFont="1"/>
    <xf numFmtId="43" fontId="13" fillId="0" borderId="22" xfId="1" applyFont="1" applyFill="1" applyBorder="1"/>
    <xf numFmtId="0" fontId="15" fillId="0" borderId="0" xfId="0" applyFont="1" applyAlignment="1">
      <alignment horizontal="right" vertical="top"/>
    </xf>
    <xf numFmtId="14" fontId="15" fillId="0" borderId="0" xfId="0" applyNumberFormat="1" applyFont="1" applyAlignment="1">
      <alignment horizontal="left" vertical="top"/>
    </xf>
    <xf numFmtId="43" fontId="15" fillId="0" borderId="0" xfId="1" applyFont="1" applyFill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14" fontId="8" fillId="0" borderId="0" xfId="0" applyNumberFormat="1" applyFont="1" applyAlignment="1">
      <alignment horizontal="center"/>
    </xf>
    <xf numFmtId="43" fontId="8" fillId="0" borderId="0" xfId="1" applyFont="1" applyFill="1" applyBorder="1"/>
    <xf numFmtId="0" fontId="16" fillId="0" borderId="0" xfId="0" applyFont="1" applyAlignment="1">
      <alignment horizontal="left" vertical="top"/>
    </xf>
    <xf numFmtId="43" fontId="0" fillId="0" borderId="0" xfId="1" applyFont="1"/>
    <xf numFmtId="0" fontId="17" fillId="0" borderId="0" xfId="0" applyFont="1" applyAlignment="1">
      <alignment horizontal="left" vertical="top"/>
    </xf>
    <xf numFmtId="43" fontId="0" fillId="0" borderId="0" xfId="1" applyFont="1" applyBorder="1"/>
    <xf numFmtId="0" fontId="0" fillId="4" borderId="4" xfId="0" applyFill="1" applyBorder="1" applyProtection="1">
      <protection locked="0"/>
    </xf>
    <xf numFmtId="0" fontId="0" fillId="4" borderId="0" xfId="0" applyFill="1" applyProtection="1">
      <protection locked="0"/>
    </xf>
    <xf numFmtId="0" fontId="0" fillId="4" borderId="5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44" fontId="0" fillId="4" borderId="0" xfId="0" applyNumberFormat="1" applyFill="1" applyProtection="1">
      <protection locked="0"/>
    </xf>
    <xf numFmtId="0" fontId="2" fillId="4" borderId="22" xfId="0" applyFont="1" applyFill="1" applyBorder="1" applyAlignment="1">
      <alignment horizontal="center" vertical="center" wrapText="1"/>
    </xf>
    <xf numFmtId="43" fontId="2" fillId="4" borderId="22" xfId="1" applyFont="1" applyFill="1" applyBorder="1" applyAlignment="1">
      <alignment horizontal="center" vertical="center" wrapText="1"/>
    </xf>
    <xf numFmtId="49" fontId="2" fillId="4" borderId="22" xfId="1" applyNumberFormat="1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/>
    </xf>
    <xf numFmtId="0" fontId="2" fillId="4" borderId="22" xfId="2" applyNumberFormat="1" applyFont="1" applyFill="1" applyBorder="1" applyAlignment="1">
      <alignment horizontal="center" vertical="center" wrapText="1"/>
    </xf>
    <xf numFmtId="164" fontId="9" fillId="4" borderId="12" xfId="2" applyNumberFormat="1" applyFont="1" applyFill="1" applyBorder="1" applyAlignment="1">
      <alignment horizontal="center"/>
    </xf>
    <xf numFmtId="164" fontId="9" fillId="4" borderId="17" xfId="2" applyNumberFormat="1" applyFont="1" applyFill="1" applyBorder="1" applyAlignment="1">
      <alignment horizontal="center"/>
    </xf>
    <xf numFmtId="49" fontId="13" fillId="0" borderId="22" xfId="0" applyNumberFormat="1" applyFont="1" applyFill="1" applyBorder="1"/>
    <xf numFmtId="167" fontId="13" fillId="0" borderId="22" xfId="0" applyNumberFormat="1" applyFont="1" applyFill="1" applyBorder="1"/>
    <xf numFmtId="49" fontId="13" fillId="0" borderId="22" xfId="0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2" xfId="0" applyFill="1" applyBorder="1"/>
    <xf numFmtId="0" fontId="8" fillId="0" borderId="0" xfId="0" applyFont="1" applyFill="1"/>
    <xf numFmtId="14" fontId="0" fillId="0" borderId="22" xfId="0" applyNumberFormat="1" applyFill="1" applyBorder="1"/>
    <xf numFmtId="49" fontId="14" fillId="0" borderId="22" xfId="0" applyNumberFormat="1" applyFont="1" applyFill="1" applyBorder="1" applyAlignment="1">
      <alignment horizontal="center"/>
    </xf>
    <xf numFmtId="167" fontId="14" fillId="0" borderId="22" xfId="0" applyNumberFormat="1" applyFont="1" applyFill="1" applyBorder="1"/>
    <xf numFmtId="0" fontId="15" fillId="0" borderId="0" xfId="0" applyFont="1" applyFill="1" applyAlignment="1">
      <alignment horizontal="right" vertical="top"/>
    </xf>
    <xf numFmtId="14" fontId="15" fillId="0" borderId="0" xfId="0" applyNumberFormat="1" applyFont="1" applyFill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0" fontId="0" fillId="0" borderId="0" xfId="0" applyFill="1"/>
    <xf numFmtId="0" fontId="15" fillId="0" borderId="0" xfId="0" applyFont="1" applyFill="1" applyAlignment="1">
      <alignment horizontal="center" vertical="top"/>
    </xf>
    <xf numFmtId="14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20" xfId="5" applyFont="1" applyBorder="1" applyAlignment="1">
      <alignment horizontal="center" vertical="top"/>
    </xf>
    <xf numFmtId="43" fontId="0" fillId="0" borderId="22" xfId="1" applyFont="1" applyFill="1" applyBorder="1" applyAlignment="1">
      <alignment horizontal="center"/>
    </xf>
    <xf numFmtId="0" fontId="8" fillId="0" borderId="13" xfId="2" applyNumberFormat="1" applyFont="1" applyBorder="1" applyAlignment="1">
      <alignment horizontal="left"/>
    </xf>
    <xf numFmtId="0" fontId="8" fillId="0" borderId="18" xfId="2" applyNumberFormat="1" applyFont="1" applyFill="1" applyBorder="1" applyAlignment="1">
      <alignment horizontal="left"/>
    </xf>
    <xf numFmtId="43" fontId="0" fillId="0" borderId="0" xfId="1" applyFont="1" applyFill="1" applyBorder="1" applyAlignment="1">
      <alignment horizontal="center"/>
    </xf>
    <xf numFmtId="49" fontId="13" fillId="0" borderId="0" xfId="0" applyNumberFormat="1" applyFont="1" applyFill="1" applyBorder="1"/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4" fillId="2" borderId="10" xfId="1" applyNumberFormat="1" applyFont="1" applyFill="1" applyBorder="1" applyAlignment="1">
      <alignment horizontal="center" vertical="center"/>
    </xf>
    <xf numFmtId="166" fontId="4" fillId="3" borderId="0" xfId="1" applyNumberFormat="1" applyFont="1" applyFill="1" applyBorder="1" applyAlignment="1" applyProtection="1">
      <alignment horizontal="center" vertical="center"/>
    </xf>
    <xf numFmtId="166" fontId="0" fillId="4" borderId="7" xfId="1" applyNumberFormat="1" applyFont="1" applyFill="1" applyBorder="1" applyAlignment="1" applyProtection="1">
      <alignment horizontal="center" vertical="center"/>
      <protection locked="0"/>
    </xf>
    <xf numFmtId="166" fontId="6" fillId="2" borderId="7" xfId="1" applyNumberFormat="1" applyFont="1" applyFill="1" applyBorder="1" applyAlignment="1">
      <alignment horizontal="center" vertical="center"/>
    </xf>
    <xf numFmtId="166" fontId="0" fillId="2" borderId="7" xfId="1" applyNumberFormat="1" applyFont="1" applyFill="1" applyBorder="1" applyAlignment="1" applyProtection="1">
      <alignment horizontal="center" vertical="center"/>
    </xf>
    <xf numFmtId="166" fontId="0" fillId="3" borderId="8" xfId="1" applyNumberFormat="1" applyFont="1" applyFill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center" vertical="center"/>
    </xf>
    <xf numFmtId="166" fontId="0" fillId="2" borderId="0" xfId="1" applyNumberFormat="1" applyFont="1" applyFill="1" applyBorder="1" applyAlignment="1" applyProtection="1">
      <alignment horizontal="center" vertical="center"/>
    </xf>
    <xf numFmtId="166" fontId="0" fillId="3" borderId="5" xfId="1" applyNumberFormat="1" applyFont="1" applyFill="1" applyBorder="1" applyAlignment="1" applyProtection="1">
      <alignment horizontal="center" vertical="center"/>
    </xf>
    <xf numFmtId="166" fontId="6" fillId="2" borderId="10" xfId="1" applyNumberFormat="1" applyFont="1" applyFill="1" applyBorder="1" applyAlignment="1">
      <alignment horizontal="center" vertical="center"/>
    </xf>
    <xf numFmtId="166" fontId="0" fillId="2" borderId="10" xfId="1" applyNumberFormat="1" applyFont="1" applyFill="1" applyBorder="1" applyAlignment="1" applyProtection="1">
      <alignment horizontal="center" vertical="center"/>
    </xf>
    <xf numFmtId="166" fontId="0" fillId="2" borderId="10" xfId="1" applyNumberFormat="1" applyFont="1" applyFill="1" applyBorder="1" applyAlignment="1">
      <alignment horizontal="center" vertical="center"/>
    </xf>
    <xf numFmtId="166" fontId="0" fillId="3" borderId="11" xfId="1" applyNumberFormat="1" applyFont="1" applyFill="1" applyBorder="1" applyAlignment="1" applyProtection="1">
      <alignment horizontal="center" vertical="center"/>
    </xf>
    <xf numFmtId="166" fontId="0" fillId="4" borderId="0" xfId="1" applyNumberFormat="1" applyFont="1" applyFill="1" applyAlignment="1" applyProtection="1">
      <alignment horizontal="center"/>
      <protection locked="0"/>
    </xf>
    <xf numFmtId="166" fontId="2" fillId="2" borderId="7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7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5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10" xfId="1" applyNumberFormat="1" applyFont="1" applyFill="1" applyBorder="1" applyAlignment="1">
      <alignment horizontal="center" vertical="center"/>
    </xf>
    <xf numFmtId="166" fontId="2" fillId="5" borderId="16" xfId="1" applyNumberFormat="1" applyFont="1" applyFill="1" applyBorder="1" applyAlignment="1">
      <alignment horizontal="center" vertical="center"/>
    </xf>
    <xf numFmtId="166" fontId="0" fillId="4" borderId="0" xfId="1" applyNumberFormat="1" applyFont="1" applyFill="1" applyAlignment="1" applyProtection="1">
      <alignment horizontal="center" vertical="center"/>
      <protection locked="0"/>
    </xf>
    <xf numFmtId="166" fontId="2" fillId="4" borderId="0" xfId="1" applyNumberFormat="1" applyFont="1" applyFill="1" applyAlignment="1" applyProtection="1">
      <alignment horizontal="center" vertical="center"/>
      <protection locked="0"/>
    </xf>
    <xf numFmtId="166" fontId="6" fillId="2" borderId="7" xfId="1" applyNumberFormat="1" applyFont="1" applyFill="1" applyBorder="1" applyAlignment="1" applyProtection="1">
      <alignment horizontal="center" vertical="center"/>
    </xf>
    <xf numFmtId="166" fontId="0" fillId="2" borderId="8" xfId="1" applyNumberFormat="1" applyFont="1" applyFill="1" applyBorder="1" applyAlignment="1" applyProtection="1">
      <alignment horizontal="center" vertical="center"/>
    </xf>
    <xf numFmtId="166" fontId="6" fillId="2" borderId="0" xfId="1" applyNumberFormat="1" applyFont="1" applyFill="1" applyBorder="1" applyAlignment="1" applyProtection="1">
      <alignment horizontal="center" vertical="center"/>
    </xf>
    <xf numFmtId="166" fontId="0" fillId="2" borderId="5" xfId="1" applyNumberFormat="1" applyFont="1" applyFill="1" applyBorder="1" applyAlignment="1" applyProtection="1">
      <alignment horizontal="center" vertical="center"/>
    </xf>
    <xf numFmtId="166" fontId="6" fillId="2" borderId="10" xfId="1" applyNumberFormat="1" applyFont="1" applyFill="1" applyBorder="1" applyAlignment="1" applyProtection="1">
      <alignment horizontal="center" vertical="center"/>
    </xf>
    <xf numFmtId="166" fontId="6" fillId="6" borderId="0" xfId="1" applyNumberFormat="1" applyFont="1" applyFill="1" applyBorder="1" applyAlignment="1">
      <alignment horizontal="center" vertical="center"/>
    </xf>
    <xf numFmtId="166" fontId="0" fillId="6" borderId="0" xfId="1" applyNumberFormat="1" applyFont="1" applyFill="1" applyBorder="1" applyAlignment="1" applyProtection="1">
      <alignment horizontal="center" vertical="center"/>
    </xf>
    <xf numFmtId="166" fontId="0" fillId="6" borderId="0" xfId="1" applyNumberFormat="1" applyFont="1" applyFill="1" applyBorder="1" applyAlignment="1" applyProtection="1">
      <alignment horizontal="center" vertical="center"/>
      <protection locked="0"/>
    </xf>
    <xf numFmtId="166" fontId="0" fillId="6" borderId="0" xfId="1" applyNumberFormat="1" applyFont="1" applyFill="1" applyBorder="1" applyAlignment="1">
      <alignment horizontal="center" vertical="center"/>
    </xf>
    <xf numFmtId="166" fontId="6" fillId="6" borderId="10" xfId="1" applyNumberFormat="1" applyFont="1" applyFill="1" applyBorder="1" applyAlignment="1">
      <alignment horizontal="center" vertical="center"/>
    </xf>
    <xf numFmtId="166" fontId="0" fillId="6" borderId="10" xfId="1" applyNumberFormat="1" applyFont="1" applyFill="1" applyBorder="1" applyAlignment="1" applyProtection="1">
      <alignment horizontal="center" vertical="center"/>
    </xf>
    <xf numFmtId="166" fontId="0" fillId="6" borderId="10" xfId="1" applyNumberFormat="1" applyFont="1" applyFill="1" applyBorder="1" applyAlignment="1" applyProtection="1">
      <alignment horizontal="center" vertical="center"/>
      <protection locked="0"/>
    </xf>
    <xf numFmtId="166" fontId="0" fillId="6" borderId="10" xfId="1" applyNumberFormat="1" applyFon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66" fontId="6" fillId="6" borderId="7" xfId="1" applyNumberFormat="1" applyFont="1" applyFill="1" applyBorder="1" applyAlignment="1" applyProtection="1">
      <alignment horizontal="center" vertical="center"/>
    </xf>
    <xf numFmtId="166" fontId="6" fillId="6" borderId="7" xfId="1" applyNumberFormat="1" applyFont="1" applyFill="1" applyBorder="1" applyAlignment="1">
      <alignment horizontal="center" vertical="center"/>
    </xf>
    <xf numFmtId="166" fontId="6" fillId="6" borderId="0" xfId="1" applyNumberFormat="1" applyFont="1" applyFill="1" applyBorder="1" applyAlignment="1" applyProtection="1">
      <alignment horizontal="center" vertical="center"/>
    </xf>
    <xf numFmtId="166" fontId="6" fillId="6" borderId="10" xfId="1" applyNumberFormat="1" applyFont="1" applyFill="1" applyBorder="1" applyAlignment="1" applyProtection="1">
      <alignment horizontal="center" vertical="center"/>
    </xf>
    <xf numFmtId="166" fontId="0" fillId="6" borderId="7" xfId="1" applyNumberFormat="1" applyFont="1" applyFill="1" applyBorder="1" applyAlignment="1" applyProtection="1">
      <alignment horizontal="center" vertical="center"/>
    </xf>
    <xf numFmtId="166" fontId="0" fillId="6" borderId="5" xfId="1" applyNumberFormat="1" applyFont="1" applyFill="1" applyBorder="1" applyAlignment="1" applyProtection="1">
      <alignment horizontal="center" vertical="center"/>
    </xf>
    <xf numFmtId="166" fontId="0" fillId="6" borderId="11" xfId="1" applyNumberFormat="1" applyFont="1" applyFill="1" applyBorder="1" applyAlignment="1" applyProtection="1">
      <alignment horizontal="center" vertical="center"/>
    </xf>
    <xf numFmtId="166" fontId="5" fillId="6" borderId="7" xfId="1" applyNumberFormat="1" applyFont="1" applyFill="1" applyBorder="1" applyAlignment="1" applyProtection="1">
      <alignment horizontal="center" vertical="center"/>
      <protection locked="0"/>
    </xf>
    <xf numFmtId="166" fontId="0" fillId="6" borderId="7" xfId="1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11" xfId="4" xr:uid="{5F1AEEC6-AC08-4BB8-97D2-469A87F07248}"/>
    <cellStyle name="Normal 2 2 2 19" xfId="5" xr:uid="{4BDDFE37-E51D-4BEC-B1DA-8A3B9D8BC01F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example.com/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3.xlsx" TargetMode="External"/><Relationship Id="rId1" Type="http://schemas.openxmlformats.org/officeDocument/2006/relationships/externalLinkPath" Target="external_workbook_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ttps://example.com/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1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Control"/>
      <sheetName val="Base Info"/>
      <sheetName val="1601_Detail_information"/>
      <sheetName val="Base_Info"/>
      <sheetName val="Settings"/>
      <sheetName val="Financing"/>
      <sheetName val="Controls"/>
      <sheetName val="Summary"/>
      <sheetName val="T2 - ETR-NOT USED"/>
      <sheetName val="Sheet3"/>
      <sheetName val="Data"/>
      <sheetName val="Month Spend Breakdown"/>
      <sheetName val="IRC Output 1"/>
      <sheetName val="TRANSACTION"/>
      <sheetName val="Auto_Control"/>
      <sheetName val="Hf"/>
      <sheetName val="Sheet2"/>
      <sheetName val="Exemption Codes"/>
      <sheetName val="Income Codes"/>
      <sheetName val="Recipient and Company2944 Status Codes"/>
      <sheetName val="Other drop down options"/>
      <sheetName val="Salary Rate Reference"/>
      <sheetName val="LBO"/>
      <sheetName val="Exemption Codes &amp; LOB Codes"/>
      <sheetName val="Sheet1 (2)"/>
      <sheetName val="Workpaper Index"/>
      <sheetName val="Companies"/>
      <sheetName val="Model"/>
      <sheetName val="Core Allocation"/>
      <sheetName val="Pickwick Report"/>
      <sheetName val="Transaction Inputs"/>
      <sheetName val="Marge"/>
      <sheetName val="SEC_855_CALC"/>
      <sheetName val="General Inputs"/>
      <sheetName val="BS allocation - December"/>
      <sheetName val="SUM"/>
      <sheetName val="AccDil"/>
      <sheetName val="Cash"/>
      <sheetName val="Footnotes"/>
      <sheetName val="shtLookup"/>
      <sheetName val="MFG Capital"/>
      <sheetName val="Deltek-Upload"/>
      <sheetName val="assumptions"/>
      <sheetName val="2005"/>
      <sheetName val="E-YTD"/>
      <sheetName val="Dalton"/>
      <sheetName val="Bloomberg Comp"/>
      <sheetName val="Share Price Data"/>
      <sheetName val="DIVPEP II - US$"/>
      <sheetName val="A4.3d- 6mth ave"/>
      <sheetName val="LONG PUTS"/>
      <sheetName val="Q1 2013 Admin Fee"/>
      <sheetName val="E. Form 1118 AMT General 16"/>
      <sheetName val="tstrip"/>
      <sheetName val="MODEL4"/>
      <sheetName val="00000"/>
      <sheetName val="Fund II - Add-on Piedmont Call"/>
      <sheetName val="P-1"/>
      <sheetName val="Sheet1"/>
      <sheetName val="HQ, FM and Mobilisation Costs"/>
      <sheetName val="STEPS Payable"/>
      <sheetName val="STEPS Receivable"/>
      <sheetName val="Treasury Transactions"/>
      <sheetName val="Lookups &amp; Descriptions"/>
      <sheetName val="Salary_Rate_Reference"/>
      <sheetName val="quarterly income and e&amp;p"/>
      <sheetName val="pcQueryData"/>
      <sheetName val="0012SSA"/>
      <sheetName val="Financials"/>
      <sheetName val="Memo's"/>
      <sheetName val="PR Volume Mac"/>
      <sheetName val="Caricom Local Volume Mac"/>
      <sheetName val="314 A"/>
      <sheetName val="Codes"/>
      <sheetName val="TaxonomyManagerReport"/>
      <sheetName val="Company1416 Fund List"/>
      <sheetName val="ALL FORMS"/>
      <sheetName val="Drop down options"/>
      <sheetName val="Pass Query"/>
      <sheetName val="Status list"/>
      <sheetName val="price"/>
      <sheetName val="owssvr"/>
      <sheetName val="A1 - Income Statement"/>
      <sheetName val="Tableau Doc"/>
      <sheetName val="Notionnel-juridique"/>
      <sheetName val="ww-1 capital allocation"/>
      <sheetName val="Contact List"/>
      <sheetName val="member database"/>
      <sheetName val="FAB별"/>
      <sheetName val="Database"/>
      <sheetName val=""/>
      <sheetName val="ACQ397SM"/>
      <sheetName val="K-1 Status 5.5.16 for LOOKUP"/>
      <sheetName val="K1DB"/>
      <sheetName val="Menu"/>
      <sheetName val="Description Bank"/>
      <sheetName val="A.6 Line 16 Foreign Transac."/>
      <sheetName val="CA Lab Equp"/>
      <sheetName val="August 02 Corrected"/>
      <sheetName val="RD $14.95"/>
      <sheetName val="Wall to Wall"/>
      <sheetName val="Primary rates"/>
      <sheetName val="Equity"/>
      <sheetName val="Definitions"/>
      <sheetName val="ENE"/>
      <sheetName val="NAV-REC"/>
      <sheetName val="DP - Company0955 Monthly Performance"/>
      <sheetName val="P2"/>
      <sheetName val="P1"/>
      <sheetName val="Agent statement"/>
      <sheetName val="Occ and Rate"/>
      <sheetName val="Drop Down List"/>
      <sheetName val="Main"/>
      <sheetName val="Risk"/>
      <sheetName val="1601_Detail_information1"/>
      <sheetName val="Salary_Rate_Reference1"/>
      <sheetName val="Lookups_&amp;_Descriptions"/>
      <sheetName val="Month_Spend_Breakdown"/>
      <sheetName val="IRC_Output_1"/>
      <sheetName val="Exemption_Codes"/>
      <sheetName val="Income_Codes"/>
      <sheetName val="Recipient_and_Company2944_Status_Codes"/>
      <sheetName val="Other_drop_down_options"/>
      <sheetName val="INFAnnual"/>
      <sheetName val="Datasheet"/>
      <sheetName val="LT Equity Prepaid Exp 184020"/>
      <sheetName val="CURRENCY"/>
      <sheetName val="Top level reprt"/>
      <sheetName val="STORAGE W'HOUSE"/>
      <sheetName val="LASER"/>
      <sheetName val="EXT. SUPPLIES"/>
      <sheetName val="AUTOMAIL"/>
      <sheetName val="CSMCU"/>
      <sheetName val="FICHE"/>
      <sheetName val="PF's data"/>
      <sheetName val="PRINTOPOST"/>
      <sheetName val="MANUAL MAILING"/>
      <sheetName val="INPUT SERVICES"/>
      <sheetName val="NORWICH POSTAL"/>
      <sheetName val="PC STORAGE"/>
      <sheetName val="Inputs"/>
      <sheetName val="List"/>
      <sheetName val="Trading Account"/>
      <sheetName val="Surgery - Consolidation"/>
      <sheetName val="Consolidated BS"/>
      <sheetName val="Consolidated IS"/>
      <sheetName val="Roll-Up"/>
      <sheetName val="RD"/>
      <sheetName val="cashflowdata"/>
      <sheetName val="Equity Balances"/>
      <sheetName val="1510"/>
      <sheetName val="Considerations"/>
      <sheetName val="restated tecsi and danet"/>
      <sheetName val="Sheet6"/>
      <sheetName val="tieoutsheetinvestments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crualSummary"/>
      <sheetName val="CIGLInput"/>
      <sheetName val="PAInput"/>
      <sheetName val="Submit"/>
      <sheetName val="Equity_Balances"/>
      <sheetName val="restated_tecsi_and_danet"/>
      <sheetName val="Form19"/>
      <sheetName val="Pricing"/>
      <sheetName val="RATETEMP"/>
      <sheetName val="Control Panel"/>
      <sheetName val="Div 5037"/>
      <sheetName val="Div 6173"/>
      <sheetName val="Div 6280"/>
      <sheetName val="4THQ_COLL"/>
      <sheetName val="FP&amp;A Notes"/>
      <sheetName val="CP Inventory Transfers"/>
      <sheetName val="CP Labor Detail"/>
      <sheetName val="Form5A"/>
      <sheetName val="DivInp"/>
      <sheetName val="UniqueInp"/>
      <sheetName val="Form1"/>
      <sheetName val="Form6"/>
      <sheetName val="Form8"/>
      <sheetName val="Form3"/>
      <sheetName val="Form7"/>
      <sheetName val="Form4"/>
      <sheetName val="Form9"/>
      <sheetName val="Form5"/>
      <sheetName val="Form10"/>
      <sheetName val="RevCalc"/>
      <sheetName val="ProvRates"/>
      <sheetName val="FP&amp;A_Notes"/>
      <sheetName val="Equity_Balances1"/>
      <sheetName val="restated_tecsi_and_danet1"/>
      <sheetName val="Control_Panel"/>
      <sheetName val="Div_5037"/>
      <sheetName val="Div_6173"/>
      <sheetName val="Div_6280"/>
      <sheetName val="CP_Inventory_Transfers"/>
      <sheetName val="CP_Labor_Detail"/>
      <sheetName val="Salary Comparison"/>
      <sheetName val="l&amp;b F"/>
      <sheetName val="1601Period 3 Fy98"/>
      <sheetName val="lookup"/>
      <sheetName val="W-9A|Income Tax"/>
      <sheetName val="Welcome"/>
      <sheetName val="ic"/>
      <sheetName val="payor mix"/>
      <sheetName val="Total Payor (B)"/>
      <sheetName val="Graph"/>
      <sheetName val="useforqtrlychart"/>
      <sheetName val="MktComps"/>
      <sheetName val="MARKS.xls - Inputs"/>
      <sheetName val="Country Codes"/>
      <sheetName val="PFIC Summary"/>
      <sheetName val="1.SC II Main TIS"/>
      <sheetName val="1.SC II Main TIS Q4"/>
      <sheetName val="National Comps"/>
      <sheetName val="Key"/>
      <sheetName val="Apportionment - Output"/>
      <sheetName val="MTD"/>
      <sheetName val="Summary quarterly P&amp;L"/>
      <sheetName val="SALT"/>
      <sheetName val="Partner Data"/>
      <sheetName val="Part"/>
      <sheetName val="CostBreakdownSummary"/>
    </sheetNames>
    <sheetDataSet>
      <sheetData sheetId="0" refreshError="1">
        <row r="12">
          <cell r="B12">
            <v>0.49</v>
          </cell>
        </row>
        <row r="97">
          <cell r="H97">
            <v>0</v>
          </cell>
        </row>
        <row r="98">
          <cell r="H98">
            <v>797321</v>
          </cell>
        </row>
        <row r="99">
          <cell r="H99">
            <v>219401.51</v>
          </cell>
        </row>
        <row r="100">
          <cell r="H100">
            <v>156335.5</v>
          </cell>
        </row>
        <row r="101">
          <cell r="H101">
            <v>190432.66</v>
          </cell>
        </row>
        <row r="102">
          <cell r="H102">
            <v>35239.199999999997</v>
          </cell>
        </row>
        <row r="103">
          <cell r="H103">
            <v>362564</v>
          </cell>
        </row>
        <row r="104">
          <cell r="H104">
            <v>-200146</v>
          </cell>
        </row>
        <row r="105">
          <cell r="H105">
            <v>-735739</v>
          </cell>
        </row>
        <row r="106">
          <cell r="H106">
            <v>-223505</v>
          </cell>
        </row>
        <row r="107">
          <cell r="H107">
            <v>-93752</v>
          </cell>
        </row>
        <row r="108">
          <cell r="H108">
            <v>-409310.51</v>
          </cell>
        </row>
        <row r="109">
          <cell r="H109">
            <v>37050.519999999997</v>
          </cell>
        </row>
        <row r="110">
          <cell r="H110">
            <v>-135891.88</v>
          </cell>
        </row>
        <row r="111">
          <cell r="H111">
            <v>0</v>
          </cell>
        </row>
        <row r="112">
          <cell r="H112">
            <v>-135891.88</v>
          </cell>
        </row>
        <row r="113">
          <cell r="H113">
            <v>105000</v>
          </cell>
        </row>
        <row r="114">
          <cell r="H114">
            <v>134000</v>
          </cell>
        </row>
        <row r="115">
          <cell r="H115">
            <v>146250</v>
          </cell>
        </row>
        <row r="116">
          <cell r="H116">
            <v>0</v>
          </cell>
        </row>
        <row r="117">
          <cell r="H117">
            <v>-350000</v>
          </cell>
        </row>
        <row r="118">
          <cell r="H118">
            <v>146250</v>
          </cell>
        </row>
        <row r="119">
          <cell r="H119">
            <v>133378</v>
          </cell>
        </row>
        <row r="120">
          <cell r="H120">
            <v>59332.220000000205</v>
          </cell>
        </row>
        <row r="121">
          <cell r="H121">
            <v>458798.35000000003</v>
          </cell>
        </row>
        <row r="122">
          <cell r="H122">
            <v>133378</v>
          </cell>
        </row>
        <row r="123">
          <cell r="H123">
            <v>112500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112500</v>
          </cell>
        </row>
        <row r="127">
          <cell r="H127">
            <v>250000</v>
          </cell>
        </row>
        <row r="128">
          <cell r="H128">
            <v>0</v>
          </cell>
        </row>
        <row r="129">
          <cell r="H129">
            <v>168130.57000000024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98">
          <cell r="H98">
            <v>797321</v>
          </cell>
        </row>
      </sheetData>
      <sheetData sheetId="116"/>
      <sheetData sheetId="117">
        <row r="98">
          <cell r="H98">
            <v>797321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B12">
            <v>0.49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Control"/>
      <sheetName val="Base Info"/>
      <sheetName val="1601_Detail_information"/>
      <sheetName val="Base_Info"/>
      <sheetName val="Settings"/>
      <sheetName val="Financing"/>
      <sheetName val="Controls"/>
      <sheetName val="Summary"/>
      <sheetName val="T2 - ETR-NOT USED"/>
      <sheetName val="Sheet3"/>
      <sheetName val="Data"/>
      <sheetName val="Month Spend Breakdown"/>
      <sheetName val="IRC Output 1"/>
      <sheetName val="TRANSACTION"/>
      <sheetName val="Auto_Control"/>
      <sheetName val="Hf"/>
      <sheetName val="Sheet2"/>
      <sheetName val="Exemption Codes"/>
      <sheetName val="Income Codes"/>
      <sheetName val="Recipient and Company2944 Status Codes"/>
      <sheetName val="Other drop down options"/>
      <sheetName val="Salary Rate Reference"/>
      <sheetName val="LBO"/>
      <sheetName val="Exemption Codes &amp; LOB Codes"/>
      <sheetName val="Sheet1 (2)"/>
      <sheetName val="Workpaper Index"/>
      <sheetName val="Companies"/>
      <sheetName val="Model"/>
      <sheetName val="Core Allocation"/>
      <sheetName val="Pickwick Report"/>
      <sheetName val="Transaction Inputs"/>
      <sheetName val="Marge"/>
      <sheetName val="SEC_855_CALC"/>
      <sheetName val="General Inputs"/>
      <sheetName val="BS allocation - December"/>
      <sheetName val="SUM"/>
      <sheetName val="AccDil"/>
      <sheetName val="Cash"/>
      <sheetName val="Footnotes"/>
      <sheetName val="shtLookup"/>
      <sheetName val="MFG Capital"/>
      <sheetName val="Deltek-Upload"/>
      <sheetName val="assumptions"/>
      <sheetName val="2005"/>
      <sheetName val="E-YTD"/>
      <sheetName val="Dalton"/>
      <sheetName val="Bloomberg Comp"/>
      <sheetName val="Share Price Data"/>
      <sheetName val="DIVPEP II - US$"/>
      <sheetName val="A4.3d- 6mth ave"/>
      <sheetName val="LONG PUTS"/>
      <sheetName val="Q1 2013 Admin Fee"/>
      <sheetName val="E. Form 1118 AMT General 16"/>
      <sheetName val="tstrip"/>
      <sheetName val="MODEL4"/>
      <sheetName val="00000"/>
      <sheetName val="Fund II - Add-on Piedmont Call"/>
      <sheetName val="P-1"/>
      <sheetName val="Sheet1"/>
      <sheetName val="HQ, FM and Mobilisation Costs"/>
      <sheetName val="STEPS Payable"/>
      <sheetName val="STEPS Receivable"/>
      <sheetName val="Treasury Transactions"/>
      <sheetName val="Lookups &amp; Descriptions"/>
      <sheetName val="Salary_Rate_Reference"/>
      <sheetName val="quarterly income and e&amp;p"/>
      <sheetName val="pcQueryData"/>
      <sheetName val="0012SSA"/>
      <sheetName val="Financials"/>
      <sheetName val="Memo's"/>
      <sheetName val="PR Volume Mac"/>
      <sheetName val="Caricom Local Volume Mac"/>
      <sheetName val="314 A"/>
      <sheetName val="Codes"/>
      <sheetName val="TaxonomyManagerReport"/>
      <sheetName val="Company1416 Fund List"/>
      <sheetName val="ALL FORMS"/>
      <sheetName val="Drop down options"/>
      <sheetName val="Pass Query"/>
      <sheetName val="Status list"/>
      <sheetName val="price"/>
      <sheetName val="owssvr"/>
      <sheetName val="A1 - Income Statement"/>
      <sheetName val="Tableau Doc"/>
      <sheetName val="Notionnel-juridique"/>
      <sheetName val="ww-1 capital allocation"/>
      <sheetName val="Contact List"/>
      <sheetName val="member database"/>
      <sheetName val="FAB별"/>
      <sheetName val="Database"/>
      <sheetName val=""/>
      <sheetName val="ACQ397SM"/>
      <sheetName val="K-1 Status 5.5.16 for LOOKUP"/>
      <sheetName val="K1DB"/>
      <sheetName val="Menu"/>
      <sheetName val="Description Bank"/>
      <sheetName val="A.6 Line 16 Foreign Transac."/>
      <sheetName val="CA Lab Equp"/>
      <sheetName val="August 02 Corrected"/>
      <sheetName val="RD $14.95"/>
      <sheetName val="Wall to Wall"/>
      <sheetName val="Primary rates"/>
      <sheetName val="Equity"/>
      <sheetName val="Definitions"/>
      <sheetName val="ENE"/>
      <sheetName val="NAV-REC"/>
      <sheetName val="DP - Company0955 Monthly Performance"/>
      <sheetName val="P2"/>
      <sheetName val="P1"/>
      <sheetName val="Agent statement"/>
      <sheetName val="Occ and Rate"/>
      <sheetName val="Drop Down List"/>
      <sheetName val="Main"/>
      <sheetName val="Risk"/>
      <sheetName val="1601_Detail_information1"/>
      <sheetName val="Salary_Rate_Reference1"/>
      <sheetName val="Lookups_&amp;_Descriptions"/>
      <sheetName val="Month_Spend_Breakdown"/>
      <sheetName val="IRC_Output_1"/>
      <sheetName val="Exemption_Codes"/>
      <sheetName val="Income_Codes"/>
      <sheetName val="Recipient_and_Company2944_Status_Codes"/>
      <sheetName val="Other_drop_down_options"/>
      <sheetName val="INFAnnual"/>
      <sheetName val="Datasheet"/>
      <sheetName val="LT Equity Prepaid Exp 184020"/>
      <sheetName val="CURRENCY"/>
      <sheetName val="Top level reprt"/>
      <sheetName val="STORAGE W'HOUSE"/>
      <sheetName val="LASER"/>
      <sheetName val="EXT. SUPPLIES"/>
      <sheetName val="AUTOMAIL"/>
      <sheetName val="CSMCU"/>
      <sheetName val="FICHE"/>
      <sheetName val="PF's data"/>
      <sheetName val="PRINTOPOST"/>
      <sheetName val="MANUAL MAILING"/>
      <sheetName val="INPUT SERVICES"/>
      <sheetName val="NORWICH POSTAL"/>
      <sheetName val="PC STORAGE"/>
      <sheetName val="Inputs"/>
      <sheetName val="List"/>
      <sheetName val="Trading Account"/>
      <sheetName val="Surgery - Consolidation"/>
      <sheetName val="Consolidated BS"/>
      <sheetName val="Consolidated IS"/>
      <sheetName val="Roll-Up"/>
      <sheetName val="RD"/>
      <sheetName val="cashflowdata"/>
      <sheetName val="Equity Balances"/>
      <sheetName val="1510"/>
      <sheetName val="Considerations"/>
      <sheetName val="restated tecsi and danet"/>
      <sheetName val="Sheet6"/>
      <sheetName val="tieoutsheetinvestments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crualSummary"/>
      <sheetName val="CIGLInput"/>
      <sheetName val="PAInput"/>
      <sheetName val="Submit"/>
      <sheetName val="Equity_Balances"/>
      <sheetName val="restated_tecsi_and_danet"/>
      <sheetName val="Form19"/>
      <sheetName val="Pricing"/>
      <sheetName val="RATETEMP"/>
      <sheetName val="Control Panel"/>
      <sheetName val="Div 5037"/>
      <sheetName val="Div 6173"/>
      <sheetName val="Div 6280"/>
      <sheetName val="4THQ_COLL"/>
      <sheetName val="FP&amp;A Notes"/>
      <sheetName val="CP Inventory Transfers"/>
      <sheetName val="CP Labor Detail"/>
      <sheetName val="Form5A"/>
      <sheetName val="DivInp"/>
      <sheetName val="UniqueInp"/>
      <sheetName val="Form1"/>
      <sheetName val="Form6"/>
      <sheetName val="Form8"/>
      <sheetName val="Form3"/>
      <sheetName val="Form7"/>
      <sheetName val="Form4"/>
      <sheetName val="Form9"/>
      <sheetName val="Form5"/>
      <sheetName val="Form10"/>
      <sheetName val="RevCalc"/>
      <sheetName val="ProvRates"/>
      <sheetName val="FP&amp;A_Notes"/>
      <sheetName val="Equity_Balances1"/>
      <sheetName val="restated_tecsi_and_danet1"/>
      <sheetName val="Control_Panel"/>
      <sheetName val="Div_5037"/>
      <sheetName val="Div_6173"/>
      <sheetName val="Div_6280"/>
      <sheetName val="CP_Inventory_Transfers"/>
      <sheetName val="CP_Labor_Detail"/>
      <sheetName val="Salary Comparison"/>
      <sheetName val="l&amp;b F"/>
      <sheetName val="1601Period 3 Fy98"/>
      <sheetName val="lookup"/>
      <sheetName val="W-9A|Income Tax"/>
      <sheetName val="Welcome"/>
      <sheetName val="ic"/>
      <sheetName val="payor mix"/>
      <sheetName val="Total Payor (B)"/>
      <sheetName val="Graph"/>
      <sheetName val="useforqtrlychart"/>
      <sheetName val="MktComps"/>
      <sheetName val="MARKS.xls - Inputs"/>
      <sheetName val="Country Codes"/>
      <sheetName val="PFIC Summary"/>
      <sheetName val="1.SC II Main TIS"/>
      <sheetName val="1.SC II Main TIS Q4"/>
      <sheetName val="National Comps"/>
      <sheetName val="Key"/>
      <sheetName val="Apportionment - Output"/>
      <sheetName val="MTD"/>
      <sheetName val="Summary quarterly P&amp;L"/>
      <sheetName val="SALT"/>
      <sheetName val="Partner Data"/>
      <sheetName val="Part"/>
      <sheetName val="CostBreakdownSummary"/>
    </sheetNames>
    <sheetDataSet>
      <sheetData sheetId="0" refreshError="1">
        <row r="12">
          <cell r="B12">
            <v>0.49</v>
          </cell>
        </row>
        <row r="97">
          <cell r="H97">
            <v>0</v>
          </cell>
        </row>
        <row r="98">
          <cell r="H98">
            <v>797321</v>
          </cell>
        </row>
        <row r="99">
          <cell r="H99">
            <v>219401.51</v>
          </cell>
        </row>
        <row r="100">
          <cell r="H100">
            <v>156335.5</v>
          </cell>
        </row>
        <row r="101">
          <cell r="H101">
            <v>190432.66</v>
          </cell>
        </row>
        <row r="102">
          <cell r="H102">
            <v>35239.199999999997</v>
          </cell>
        </row>
        <row r="103">
          <cell r="H103">
            <v>362564</v>
          </cell>
        </row>
        <row r="104">
          <cell r="H104">
            <v>-200146</v>
          </cell>
        </row>
        <row r="105">
          <cell r="H105">
            <v>-735739</v>
          </cell>
        </row>
        <row r="106">
          <cell r="H106">
            <v>-223505</v>
          </cell>
        </row>
        <row r="107">
          <cell r="H107">
            <v>-93752</v>
          </cell>
        </row>
        <row r="108">
          <cell r="H108">
            <v>-409310.51</v>
          </cell>
        </row>
        <row r="109">
          <cell r="H109">
            <v>37050.519999999997</v>
          </cell>
        </row>
        <row r="110">
          <cell r="H110">
            <v>-135891.88</v>
          </cell>
        </row>
        <row r="111">
          <cell r="H111">
            <v>0</v>
          </cell>
        </row>
        <row r="112">
          <cell r="H112">
            <v>-135891.88</v>
          </cell>
        </row>
        <row r="113">
          <cell r="H113">
            <v>105000</v>
          </cell>
        </row>
        <row r="114">
          <cell r="H114">
            <v>134000</v>
          </cell>
        </row>
        <row r="115">
          <cell r="H115">
            <v>146250</v>
          </cell>
        </row>
        <row r="116">
          <cell r="H116">
            <v>0</v>
          </cell>
        </row>
        <row r="117">
          <cell r="H117">
            <v>-350000</v>
          </cell>
        </row>
        <row r="118">
          <cell r="H118">
            <v>146250</v>
          </cell>
        </row>
        <row r="119">
          <cell r="H119">
            <v>133378</v>
          </cell>
        </row>
        <row r="120">
          <cell r="H120">
            <v>59332.220000000205</v>
          </cell>
        </row>
        <row r="121">
          <cell r="H121">
            <v>458798.35000000003</v>
          </cell>
        </row>
        <row r="122">
          <cell r="H122">
            <v>133378</v>
          </cell>
        </row>
        <row r="123">
          <cell r="H123">
            <v>112500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112500</v>
          </cell>
        </row>
        <row r="127">
          <cell r="H127">
            <v>250000</v>
          </cell>
        </row>
        <row r="128">
          <cell r="H128">
            <v>0</v>
          </cell>
        </row>
        <row r="129">
          <cell r="H129">
            <v>168130.57000000024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98">
          <cell r="H98">
            <v>797321</v>
          </cell>
        </row>
      </sheetData>
      <sheetData sheetId="116"/>
      <sheetData sheetId="117">
        <row r="98">
          <cell r="H98">
            <v>797321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B12">
            <v>0.49</v>
          </cell>
        </row>
      </sheetData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Rev Report"/>
      <sheetName val="COGS Report"/>
      <sheetName val="Net Rev Report"/>
      <sheetName val="Gross Revenue Trend"/>
      <sheetName val="Net Revenue Trend"/>
      <sheetName val="Company1740 vs NRC Revenue"/>
      <sheetName val="COGS Trend"/>
      <sheetName val="Module1"/>
      <sheetName val="99 Budget"/>
      <sheetName val="99 COG Budget"/>
      <sheetName val="Schedule"/>
      <sheetName val="Recon"/>
      <sheetName val="Months"/>
      <sheetName val="Open Order _MPKI for SSL_1-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P Voids"/>
      <sheetName val="AP OS B6983"/>
      <sheetName val="2019 AP OS"/>
      <sheetName val="2020 AP OS "/>
      <sheetName val="2021 AP OS"/>
      <sheetName val="2022 AP OS"/>
      <sheetName val="Uncleared checks summary"/>
      <sheetName val="Uncleared checks Summary Origin"/>
      <sheetName val="Person0664 Voids Combined"/>
      <sheetName val="Person0664 Voids (Freight)"/>
      <sheetName val="Person0664 Voids (GE)"/>
      <sheetName val="Person0664 Voids (Commision)"/>
      <sheetName val="Person0664 Voids (AP)"/>
      <sheetName val="Unapplied Cash"/>
      <sheetName val="Overpayments Original"/>
      <sheetName val="Overpayments 6.30.25"/>
      <sheetName val="Misc Income Combined"/>
      <sheetName val="Misc Income 2020 Original"/>
      <sheetName val="Misc Income 2020"/>
      <sheetName val="Misc Income 2021 Original"/>
      <sheetName val="Misc Income 2021"/>
      <sheetName val="Foreign UP La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oF Summary"/>
      <sheetName val="1-ENTITY APOS #1234 Summary"/>
      <sheetName val="1-ENTITY APOS #1234 For Review"/>
      <sheetName val="2-ENTITY APV BoA #1234 Summary"/>
      <sheetName val="2-ENTITY APV #1234 For Rev "/>
      <sheetName val="6-ENTITY AROFFBS Summary"/>
      <sheetName val="6-ENTITY AROFFBS For Review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Index"/>
      <sheetName val="Performance Analysis"/>
      <sheetName val="A1 - Income Statement"/>
      <sheetName val="a1-backup"/>
      <sheetName val="A2 - Balance Sheet"/>
      <sheetName val="a2- backup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F-backup"/>
      <sheetName val="G - Due Parent Recon."/>
      <sheetName val="M - Operating Leases"/>
      <sheetName val="M - Debt and Leases Roll"/>
      <sheetName val="M-backup"/>
      <sheetName val="N - Equity rollforward"/>
      <sheetName val="N-backup"/>
      <sheetName val="P - Reserve Change"/>
      <sheetName val="S - YTD Labor Cost Summary"/>
      <sheetName val="X3 - Unbilled Receivables"/>
      <sheetName val="X5 - Outstanding SPA Analysis"/>
      <sheetName val="X-6 - Funded Backlog"/>
      <sheetName val="Month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01 Detail information"/>
      <sheetName val="A1 - Income Statement"/>
      <sheetName val="Snapshot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elhaize"/>
      <sheetName val="Route 1"/>
      <sheetName val="Financing"/>
      <sheetName val="Route_1"/>
      <sheetName val="Total_Program_Mgmt"/>
      <sheetName val="Total_Perf_Impr"/>
      <sheetName val="Renewal_Counts"/>
      <sheetName val="Schedule"/>
      <sheetName val="Sheet1"/>
      <sheetName val="A1 - Income Statement"/>
      <sheetName val="04"/>
      <sheetName val="09"/>
      <sheetName val="10"/>
      <sheetName val="11"/>
      <sheetName val="Europe"/>
      <sheetName val="US"/>
      <sheetName val="Sheet3"/>
      <sheetName val="DIV Y"/>
      <sheetName val="Series Description"/>
      <sheetName val="Economic Series Chart"/>
      <sheetName val="Series Values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Book1"/>
      <sheetName val="data"/>
      <sheetName val="P &amp;L"/>
      <sheetName val="Balance"/>
      <sheetName val="Situation"/>
      <sheetName val="DETBIL"/>
      <sheetName val="Aus-P"/>
      <sheetName val="Stock Price"/>
      <sheetName val="Multiples"/>
      <sheetName val="Historical Volatility Co 1"/>
      <sheetName val="GL Profit Analysis"/>
      <sheetName val="Screening"/>
      <sheetName val="Aggregates"/>
      <sheetName val="Screen Criteria"/>
      <sheetName val="SEC bridge"/>
      <sheetName val="EMC format"/>
      <sheetName val="Overview"/>
      <sheetName val="M A Private Placements"/>
      <sheetName val="Period Cost"/>
      <sheetName val="Orders to Revenue"/>
      <sheetName val="LISTPRICE"/>
      <sheetName val="Transaction Clients"/>
      <sheetName val="Drop Down"/>
      <sheetName val="COMPANY1930"/>
      <sheetName val="top 30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"/>
      <sheetName val="BS Groupings"/>
      <sheetName val="PL Groupings"/>
      <sheetName val="DF"/>
      <sheetName val="Setup"/>
      <sheetName val="Finance IT &amp; Pro (2)"/>
      <sheetName val="BS (2)"/>
      <sheetName val="P&amp;L (2)"/>
      <sheetName val="FTT_TW_Q2"/>
      <sheetName val="FTT_TW_Q2(Spin)"/>
      <sheetName val="sum"/>
      <sheetName val="Input"/>
      <sheetName val="Data Sheet 1"/>
      <sheetName val="main"/>
      <sheetName val="Dashboard"/>
      <sheetName val="WCOL INDEX"/>
      <sheetName val="WCOL INPUT"/>
      <sheetName val="F'cast to go"/>
      <sheetName val="MF 2002"/>
      <sheetName val="Actual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ompany0457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Sheet6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Summary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Sheet4"/>
      <sheetName val="Sheet5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wpl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  <sheetName val="Inputs"/>
      <sheetName val="Quarters"/>
      <sheetName val="MLP IPO Yields vs MLP Index"/>
      <sheetName val="sales vol."/>
      <sheetName val="oldSEG"/>
      <sheetName val="consolidated"/>
      <sheetName val="Page A-1"/>
      <sheetName val="MktAss"/>
      <sheetName val="P&amp;L"/>
      <sheetName val="CONSOL"/>
      <sheetName val="Source_Use"/>
      <sheetName val="company"/>
      <sheetName val="CAPEX"/>
      <sheetName val="table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laroux"/>
      <sheetName val="XXXXXXXXXXXXX"/>
      <sheetName val="XXXXXX"/>
      <sheetName val="DEC-MEMO"/>
      <sheetName val="P&amp;LGROUP"/>
      <sheetName val="Encl I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SP B6"/>
      <sheetName val="A4-3"/>
      <sheetName val="NKS B6"/>
      <sheetName val="E4 Sales cutoff"/>
      <sheetName val="F-2"/>
      <sheetName val="S2"/>
      <sheetName val="A7"/>
      <sheetName val="A4-1-2"/>
      <sheetName val="W"/>
      <sheetName val="III"/>
      <sheetName val="BS"/>
      <sheetName val="Company0753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U1-2F Review Margin"/>
      <sheetName val="F3F"/>
      <sheetName val="Payroll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ompany0457"/>
      <sheetName val="U200"/>
      <sheetName val="U-100"/>
      <sheetName val="CFChart (3)"/>
      <sheetName val="H501"/>
      <sheetName val="AJE "/>
      <sheetName val="AJE (2)"/>
      <sheetName val="U102"/>
      <sheetName val="U101"/>
      <sheetName val="BS0605"/>
      <sheetName val="PL0605"/>
      <sheetName val="U3 (disclosure)"/>
      <sheetName val="Reclassification"/>
      <sheetName val="O1-1"/>
      <sheetName val="N3|2-1 (2)"/>
      <sheetName val="A2l1"/>
      <sheetName val="StockTake"/>
      <sheetName val="Sales"/>
      <sheetName val="B Redang"/>
      <sheetName val="E3 (2)"/>
      <sheetName val="interest restriction"/>
      <sheetName val="E.5"/>
      <sheetName val="Specific_RCD3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U2-Staff Welfare"/>
      <sheetName val="N3_SCH FUND"/>
      <sheetName val="K_Leeza"/>
      <sheetName val="K1_DEP Leeza"/>
      <sheetName val="#RE"/>
      <sheetName val="#R"/>
      <sheetName val="#"/>
      <sheetName val="PNB-MINORITY"/>
      <sheetName val="CONPL200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Assumptions"/>
      <sheetName val="EXPENSES"/>
      <sheetName val="Basic Details"/>
      <sheetName val="Notes to accounts"/>
      <sheetName val="Hub Inputs"/>
      <sheetName val="BOM Matrix (2)"/>
      <sheetName val="SL"/>
      <sheetName val="Company0833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Controls"/>
      <sheetName val="Print Controls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Sales Summary"/>
      <sheetName val="Corporate MARS COA"/>
      <sheetName val="uly%202010%20Aug%205,%202010%20"/>
      <sheetName val="Other Info"/>
      <sheetName val="gen ledger data"/>
      <sheetName val="sEP2003"/>
      <sheetName val="Satco"/>
      <sheetName val="Assump"/>
      <sheetName val="WORKINGS"/>
      <sheetName val="ANNEXURE 5 c"/>
      <sheetName val="21 (i)(B)(b)"/>
      <sheetName val="remittance"/>
      <sheetName val="Ann XV"/>
      <sheetName val="MODEL"/>
      <sheetName val="Capex &amp; Opex"/>
      <sheetName val="Interconnect"/>
      <sheetName val="CF"/>
      <sheetName val="Emp"/>
      <sheetName val="l"/>
      <sheetName val="BS Schdl- 1 &amp; 2"/>
      <sheetName val="Fixed Assets-Last year"/>
      <sheetName val="FAR_new"/>
      <sheetName val="??"/>
      <sheetName val="8"/>
      <sheetName val="Exp provn (3)"/>
      <sheetName val="consol (2)"/>
      <sheetName val="consol (3)"/>
      <sheetName val="Variance"/>
      <sheetName val="SL Schedule (2)"/>
      <sheetName val="consol (4)"/>
      <sheetName val="Person0888"/>
      <sheetName val="Book1.xls"/>
      <sheetName val="Lists"/>
      <sheetName val="713-4 NO UT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1601 Detail information"/>
      <sheetName val="Monthly Revenue"/>
      <sheetName val="Profit and Loss"/>
      <sheetName val="FA"/>
      <sheetName val="NEW WARRANTS"/>
      <sheetName val="Sources_Uses"/>
      <sheetName val="Prior Year"/>
      <sheetName val="Trading Stats"/>
      <sheetName val="cap_structure"/>
      <sheetName val="MergeCo Summary"/>
      <sheetName val="A"/>
      <sheetName val="BANKS_94"/>
      <sheetName val="Operations"/>
      <sheetName val="Football(1)"/>
      <sheetName val="Tuluwaka"/>
      <sheetName val="Exercise"/>
      <sheetName val="General Assumptions"/>
      <sheetName val="QuickLink"/>
      <sheetName val="Company Outputs"/>
      <sheetName val="Corp. Trust Structure"/>
      <sheetName val="Comp Data"/>
      <sheetName val="Float Matrix"/>
      <sheetName val="Data Master"/>
      <sheetName val="Int. Rate Data"/>
      <sheetName val="Rsch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Base"/>
      <sheetName val="100%"/>
      <sheetName val="HelpScreens"/>
      <sheetName val="PUblic Float data"/>
      <sheetName val="Build-up"/>
      <sheetName val="Computations"/>
      <sheetName val="Inputs-Sensitivities"/>
      <sheetName val="Worksheet"/>
      <sheetName val="Market Data"/>
      <sheetName val="Project Info"/>
      <sheetName val="Taxes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PL-yearly"/>
      <sheetName val="Sheet1汇总表"/>
      <sheetName val="S&amp;M Dept"/>
      <sheetName val="Splash Screen"/>
      <sheetName val="ImportData"/>
      <sheetName val="ROIPRO01"/>
      <sheetName val="Summary SC"/>
      <sheetName val="Expanded P&amp;L"/>
      <sheetName val="44526 Dalkey"/>
      <sheetName val="품의서"/>
      <sheetName val="Macro1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근태현황"/>
      <sheetName val="Ç°ÀÇ¼­"/>
      <sheetName val="ÁÖÇà"/>
      <sheetName val="Ç¥Áö¡Ú"/>
      <sheetName val="2.´ë¿Ü°ø¹®"/>
      <sheetName val="외주현황.wq1"/>
      <sheetName val="Prior Fund Raising MGD"/>
      <sheetName val="Managed Accounts - Gross Tradin"/>
      <sheetName val="Managed Accounts"/>
      <sheetName val="Notice"/>
      <sheetName val="Returns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27"/>
      <sheetName val="6+6detail"/>
      <sheetName val="HR"/>
      <sheetName val="statistics"/>
      <sheetName val="lookup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Company0903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B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Company1000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E5-Recoverability review"/>
      <sheetName val="F1-Stock Roll fwd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Departments"/>
      <sheetName val="Scope of supply"/>
      <sheetName val="Dep"/>
      <sheetName val="Cabinet details"/>
      <sheetName val="Company2629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Company2629_Deposit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Company1695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종합일지"/>
      <sheetName val="폐토수익화 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STRAIGHT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Wo_Cl"/>
      <sheetName val="Interlock"/>
      <sheetName val="F'cast Pr Mth"/>
      <sheetName val="Hyp Dump"/>
      <sheetName val="IncidentsEAP"/>
      <sheetName val="Cntmrs-Recruit"/>
      <sheetName val="Cntmrs"/>
      <sheetName val="2000"/>
      <sheetName val="Monthly Allowances"/>
      <sheetName val="SAL-2000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Invent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Ignor this tab"/>
      <sheetName val="Vlookup"/>
      <sheetName val="AMCY Impact"/>
      <sheetName val="ZZ_DowntimeIssuesMTD"/>
      <sheetName val="Assy Exc Takt"/>
      <sheetName val="Ignor_this_tab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H&amp;Q"/>
      <sheetName val="9901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Sheet7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ARTARG"/>
      <sheetName val="All"/>
      <sheetName val="BS Frango"/>
      <sheetName val="Tabelle1"/>
      <sheetName val="Bowler"/>
      <sheetName val="Sales Dev &amp; Training"/>
      <sheetName val="Frango"/>
      <sheetName val="group"/>
      <sheetName val="资产负债表"/>
      <sheetName val="利润表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German Co.- Attrition stud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RPerú BV"/>
      <sheetName val="清冊"/>
      <sheetName val="Assmpns"/>
      <sheetName val="COMPLEXALL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Sheet8"/>
      <sheetName val="Sheet12"/>
      <sheetName val="Sheet13"/>
      <sheetName val="Sheet14"/>
      <sheetName val="Sheet15"/>
      <sheetName val="Sheet16"/>
      <sheetName val="DAY_SUM"/>
      <sheetName val="Sensitivity"/>
      <sheetName val="Copper Range"/>
      <sheetName val="B - Niobec"/>
      <sheetName val="1 - CBJ SUM"/>
      <sheetName val="A - Doyon"/>
      <sheetName val="Segments"/>
      <sheetName val="Ratios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ABX"/>
      <sheetName val="BB Info"/>
      <sheetName val="nethouse input (CURRENT PERIOD)"/>
      <sheetName val="Dealer names"/>
      <sheetName val="Расчет-выпуск"/>
      <sheetName val="Рез-т"/>
      <sheetName val="BB DATA"/>
      <sheetName val="bloomberg"/>
      <sheetName val="Hasbro"/>
      <sheetName val="IOPlan"/>
      <sheetName val="Front Page"/>
      <sheetName val="DYN PP"/>
      <sheetName val="Income Statement"/>
      <sheetName val="200-Balance_CORR"/>
      <sheetName val="definitionen"/>
      <sheetName val="Severity"/>
      <sheetName val="Site 04 - Level 4"/>
      <sheetName val="1Q02_TIE-OUT"/>
      <sheetName val="Comments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me"/>
      <sheetName val="qr_do14_nv"/>
      <sheetName val="qr_do14_30"/>
      <sheetName val="qr_do14_90"/>
      <sheetName val="qr_do14_fpd"/>
      <sheetName val="qr_src_me_GE"/>
      <sheetName val="qr_src_nv_GE"/>
      <sheetName val="qr_src30_GE"/>
      <sheetName val="qr_src90_GE"/>
      <sheetName val="qr_src_spd_GE"/>
      <sheetName val="qr_do3_me"/>
      <sheetName val="qr_do3_nv"/>
      <sheetName val="qr_do3_fpd"/>
      <sheetName val="qr_do3_30"/>
      <sheetName val="qr_do3_90"/>
      <sheetName val="qr_src_ekspres_30"/>
      <sheetName val="qr_dlc_me"/>
      <sheetName val="qr_dlc_nv"/>
      <sheetName val="qr_dlc_fpd"/>
      <sheetName val="qr_dlc_30"/>
      <sheetName val="qr_src_gratis_90"/>
      <sheetName val="qr_src_gratis_nv"/>
      <sheetName val="Source"/>
      <sheetName val="CA WIP"/>
      <sheetName val="WIP Details"/>
      <sheetName val="Download"/>
      <sheetName val="CRITERIA1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YTD Big Y's"/>
      <sheetName val="Net Income"/>
      <sheetName val="Volume"/>
      <sheetName val="EP Vol New"/>
      <sheetName val="SP Vol New"/>
      <sheetName val="Assets"/>
      <sheetName val="Productivity"/>
      <sheetName val="Prepays"/>
      <sheetName val="Q2 Est"/>
      <sheetName val="EPSP Splitout"/>
      <sheetName val="Cover Page"/>
      <sheetName val="Appendix"/>
      <sheetName val="Asset Quality"/>
      <sheetName val="Gap"/>
      <sheetName val="MTDVOLUME"/>
      <sheetName val="opplanbackup"/>
      <sheetName val="Lease Loan98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COMPANY0258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Waterfall"/>
      <sheetName val="CEF Funding LLC"/>
      <sheetName val="Vol Detail"/>
      <sheetName val="Assessment Allocation"/>
      <sheetName val="Headcount Expense Allocation"/>
      <sheetName val="Actual 03 Volume"/>
      <sheetName val="Calendar"/>
      <sheetName val="U71"/>
      <sheetName val="U71 180001004"/>
      <sheetName val="U71 181001004"/>
      <sheetName val="Wrk"/>
      <sheetName val="ccySummary"/>
      <sheetName val="ＣＤＲ_Ｍ"/>
      <sheetName val="Recalculations-Capital-GAAP"/>
      <sheetName val="FTS Universe Inputs"/>
      <sheetName val="Rel.1Yr"/>
      <sheetName val="SHTCOMP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.dll"/>
      <sheetName val="e &amp;Support"/>
      <sheetName val="F810"/>
      <sheetName val="SSA Monthly Journal"/>
      <sheetName val="P&amp;L and BS"/>
      <sheetName val="Budget"/>
      <sheetName val="2 YR Reg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Company1378 Lan + AD1885 EBOM"/>
      <sheetName val="Company1378 Lan + AD1885 function"/>
      <sheetName val="Master Assumption Page"/>
      <sheetName val="Kelley 15-15 Assumptions"/>
      <sheetName val="CCP"/>
      <sheetName val="Competitors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应收帐款 AR "/>
      <sheetName val="1st Q 2002"/>
      <sheetName val="1999"/>
      <sheetName val="Page A-7 "/>
      <sheetName val="S-7"/>
      <sheetName val="Actual month $"/>
      <sheetName val="fme idex"/>
      <sheetName val="fma idex"/>
      <sheetName val="fme fm"/>
      <sheetName val="Calculations"/>
      <sheetName val="Source --&gt;"/>
      <sheetName val="2014-2015 BBR"/>
      <sheetName val="2013 BBR"/>
      <sheetName val="BBR-2015"/>
      <sheetName val="ACV-2015"/>
      <sheetName val="MRB"/>
      <sheetName val="Sales 2003"/>
      <sheetName val="EAT"/>
      <sheetName val="KRA"/>
      <sheetName val="Graph"/>
      <sheetName val="Macros"/>
      <sheetName val="basic working"/>
      <sheetName val="June analysis "/>
      <sheetName val="D&amp;O list IMl"/>
      <sheetName val="Act-PL"/>
      <sheetName val="Bud-HC"/>
      <sheetName val="PNW"/>
      <sheetName val="TM - USA"/>
      <sheetName val="Comp IS"/>
      <sheetName val="Company2220 AD"/>
      <sheetName val="NTM PE"/>
      <sheetName val="Pull Sheet"/>
      <sheetName val="Hotel Directory"/>
      <sheetName val="History"/>
      <sheetName val="Key Stats"/>
      <sheetName val="Cash Flow"/>
      <sheetName val="Historical Capitalization"/>
      <sheetName val="Capital Structure Summary"/>
      <sheetName val="Supplemental"/>
      <sheetName val="Industry Specific"/>
      <sheetName val="Pension OPEB"/>
      <sheetName val="EVDRE_DATACACHE"/>
      <sheetName val="Details BS"/>
      <sheetName val="Details PL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AP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CB"/>
      <sheetName val="US - FINAL"/>
      <sheetName val="Summ"/>
      <sheetName val="BlindDate"/>
      <sheetName val="BDBarterUlt"/>
      <sheetName val="5thWheel"/>
      <sheetName val="Randall"/>
      <sheetName val="Company1811"/>
      <sheetName val="Unadjusted Transactions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Ship Test"/>
      <sheetName val="Concentrations"/>
      <sheetName val="Delinquent Accounts 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Reconciliations"/>
      <sheetName val="AP - stats"/>
      <sheetName val="INV-IEC"/>
      <sheetName val="INV-Company0522"/>
      <sheetName val="INV-CC"/>
      <sheetName val="INV - Costs Intl Environmental"/>
      <sheetName val="INV - Costs Climate Master"/>
      <sheetName val="INV - Costs Climate Craft"/>
      <sheetName val="AP Factored By Company0508 (2)"/>
      <sheetName val="Cash - Operating Fleet"/>
      <sheetName val="Cash - Operating Trustco"/>
      <sheetName val="Cash Diagram"/>
      <sheetName val="Cash -Lockbox"/>
      <sheetName val="INV - Counts Roto"/>
      <sheetName val="Conc"/>
      <sheetName val="Flash Pg-1"/>
      <sheetName val="Expanded Shipping Test"/>
      <sheetName val="Conc-Merc.Air Cargo"/>
      <sheetName val="AP - conc"/>
      <sheetName val=" AP Delinq "/>
      <sheetName val="Missing Doc Rpt"/>
      <sheetName val="AR Roll Consol"/>
      <sheetName val="BU Color &amp; Specialties"/>
      <sheetName val="Product0064"/>
      <sheetName val="Manuf Chem Cleveland"/>
      <sheetName val="Organic Pigments"/>
      <sheetName val="CM Test"/>
      <sheetName val="AP Conc"/>
      <sheetName val="AP Disb"/>
      <sheetName val="Concs"/>
      <sheetName val="Delinq"/>
      <sheetName val="INV - Counts Nashville"/>
      <sheetName val="FS- IS"/>
      <sheetName val="Accounts Payable _11_"/>
      <sheetName val="Data WIP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Op Model"/>
      <sheetName val="Colin Burwood 06-07"/>
      <sheetName val="Mapping"/>
      <sheetName val="Franchisee"/>
    </sheetNames>
    <sheetDataSet>
      <sheetData sheetId="0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/>
      <sheetData sheetId="390"/>
      <sheetData sheetId="391"/>
      <sheetData sheetId="392"/>
      <sheetData sheetId="393" refreshError="1"/>
      <sheetData sheetId="394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 refreshError="1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/>
      <sheetData sheetId="825" refreshError="1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/>
      <sheetData sheetId="846"/>
      <sheetData sheetId="847"/>
      <sheetData sheetId="848"/>
      <sheetData sheetId="849" refreshError="1"/>
      <sheetData sheetId="850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>
        <row r="16">
          <cell r="H16">
            <v>95219.94</v>
          </cell>
        </row>
      </sheetData>
      <sheetData sheetId="900">
        <row r="33">
          <cell r="H33">
            <v>4959.7354999999998</v>
          </cell>
        </row>
      </sheetData>
      <sheetData sheetId="901"/>
      <sheetData sheetId="902">
        <row r="14">
          <cell r="L14">
            <v>491576.13</v>
          </cell>
        </row>
      </sheetData>
      <sheetData sheetId="903">
        <row r="45">
          <cell r="L45">
            <v>1089506.6707527002</v>
          </cell>
        </row>
      </sheetData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>
        <row r="19">
          <cell r="C19" t="str">
            <v>VEHICLES</v>
          </cell>
        </row>
      </sheetData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 refreshError="1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 refreshError="1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1">
          <cell r="J1" t="str">
            <v>C:\redacted\[BOOK1.XLS]APPORT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/>
      <sheetData sheetId="1867" refreshError="1"/>
      <sheetData sheetId="1868" refreshError="1"/>
      <sheetData sheetId="1869" refreshError="1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/>
      <sheetData sheetId="1903"/>
      <sheetData sheetId="1904" refreshError="1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 refreshError="1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>
        <row r="1">
          <cell r="A1" t="str">
            <v>242901300011</v>
          </cell>
        </row>
      </sheetData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>
        <row r="2">
          <cell r="A2" t="str">
            <v>OPERATING MODEL ($MM)</v>
          </cell>
        </row>
      </sheetData>
      <sheetData sheetId="2462" refreshError="1"/>
      <sheetData sheetId="2463" refreshError="1"/>
      <sheetData sheetId="246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vol."/>
      <sheetName val="Summary"/>
      <sheetName val="sales_vol_"/>
      <sheetName val="13199"/>
      <sheetName val="Total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Codes"/>
      <sheetName val="sales vol_"/>
      <sheetName val="Stock Price"/>
      <sheetName val="Financials"/>
      <sheetName val="Input"/>
      <sheetName val="ProForma"/>
      <sheetName val="__FDSCACHE__"/>
      <sheetName val="Output"/>
      <sheetName val="Sheet1"/>
      <sheetName val="NCV Pivot"/>
      <sheetName val="exec sum (ncv) (3)"/>
      <sheetName val="Data Control"/>
      <sheetName val="20_year"/>
      <sheetName val="ten_year"/>
      <sheetName val="5_year"/>
      <sheetName val="Trading_Summary"/>
      <sheetName val="Expected_European_Inv"/>
      <sheetName val="Diageo's_investor_base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RSR"/>
      <sheetName val="OPER"/>
      <sheetName val="CAPITAL PH1"/>
      <sheetName val=" BUDGET P1"/>
      <sheetName val="Lists"/>
      <sheetName val="Headcount Report"/>
      <sheetName val="Financial Overview ShortProfile"/>
      <sheetName val="EBITDA"/>
      <sheetName val="Price Performance Output"/>
      <sheetName val="Historical Multiples Output"/>
      <sheetName val="Straw Man"/>
      <sheetName val="MedSolutions Financial Data"/>
      <sheetName val="CUS Image"/>
      <sheetName val="9-05046L"/>
      <sheetName val="Football Field "/>
      <sheetName val="DCF"/>
      <sheetName val="Weeklies"/>
      <sheetName val="Opportunity Codes "/>
      <sheetName val="2013"/>
      <sheetName val="Sheet2"/>
      <sheetName val="Sheet3"/>
      <sheetName val="Sheet4"/>
      <sheetName val="Delhaize"/>
      <sheetName val="EuroInputs"/>
      <sheetName val="MktAss"/>
      <sheetName val="Drivers"/>
      <sheetName val="POV selections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Summary Financials"/>
      <sheetName val="P&amp;L --KRON"/>
      <sheetName val="P&amp;L -BayTV"/>
      <sheetName val="Amarillo I-40-HI"/>
      <sheetName val="LTM"/>
      <sheetName val="CREDIT STATS"/>
      <sheetName val="DropZone"/>
      <sheetName val="Cover"/>
      <sheetName val="Pro forma IS"/>
      <sheetName val="Sheet1 (2)"/>
      <sheetName val="Hf"/>
      <sheetName val="fxrates"/>
      <sheetName val="A"/>
      <sheetName val="215002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Divisional Model"/>
      <sheetName val="Amort Sched"/>
      <sheetName val="Rev Growth Rate"/>
      <sheetName val="SD NA - Revenue - SD"/>
      <sheetName val="callahanabr"/>
      <sheetName val="Ferco - CCC"/>
      <sheetName val="Model"/>
      <sheetName val="MLP IPO Yields vs MLP Index"/>
      <sheetName val="Control Panel"/>
      <sheetName val="Market"/>
      <sheetName val="Country Risk"/>
      <sheetName val="Quarterly rates"/>
      <sheetName val="ONYX"/>
      <sheetName val="Journal Entries"/>
      <sheetName val="Time Periods"/>
      <sheetName val="Inputs"/>
      <sheetName val="PNGOil"/>
      <sheetName val="G-5.1a 100"/>
      <sheetName val="QRE"/>
      <sheetName val="Balance SheetLinks"/>
      <sheetName val="stmcro"/>
      <sheetName val="CCC"/>
      <sheetName val="Consolidated_Divisions"/>
      <sheetName val="Div1"/>
      <sheetName val="Div2"/>
      <sheetName val="Div3"/>
      <sheetName val="Base"/>
      <sheetName val="Fee Schedule"/>
      <sheetName val="Summary Acq"/>
      <sheetName val="Summary Tgt"/>
      <sheetName val="NCV_Pivot"/>
      <sheetName val="exec_sum_(ncv)_(3)"/>
      <sheetName val="Data_Control"/>
      <sheetName val="Headcount_Report"/>
      <sheetName val="Revenue"/>
      <sheetName val="NA - Revenue"/>
      <sheetName val="NA - Revenue - SD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2009-2010 Sales Target2.2"/>
      <sheetName val="Act vs. Budget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Comps"/>
      <sheetName val="Divisional_Model"/>
      <sheetName val="Aux"/>
      <sheetName val="TABLE"/>
      <sheetName val="Non-Act"/>
      <sheetName val="Historical IS"/>
      <sheetName val="Ownership"/>
      <sheetName val="Overview"/>
      <sheetName val="Ratings &amp; Targets"/>
      <sheetName val="Prices"/>
      <sheetName val="DO NOT USE PRINT! Macro Data"/>
      <sheetName val="#REF"/>
      <sheetName val="Main Menu"/>
      <sheetName val="Instructions"/>
      <sheetName val="Profit &amp; Loss"/>
      <sheetName val="Balanço reunião"/>
      <sheetName val="GEN Inputs"/>
      <sheetName val="Detail"/>
      <sheetName val="RESUMO"/>
      <sheetName val="GERAL"/>
      <sheetName val="Imob custo"/>
      <sheetName val="Imob dep"/>
      <sheetName val="RLP"/>
      <sheetName val="Equity Main"/>
      <sheetName val="Produtos"/>
      <sheetName val="Serie Fat"/>
      <sheetName val="Serie Filial"/>
      <sheetName val="Revisão ativo-passivo"/>
      <sheetName val="XREF"/>
      <sheetName val="brazil risk"/>
      <sheetName val="Project Info"/>
      <sheetName val="Company summary"/>
      <sheetName val="Ass"/>
      <sheetName val="Q1 Jan 07"/>
      <sheetName val="Q1 Jan 06"/>
      <sheetName val="Page 6 - Source #2"/>
      <sheetName val="CoCo Descript"/>
      <sheetName val="Ferco_-_CCC"/>
      <sheetName val="Price_Performance_Output"/>
      <sheetName val="Historical_Multiples_Output"/>
      <sheetName val="Straw_Man"/>
      <sheetName val="MedSolutions_Financial_Data"/>
      <sheetName val="Football_Field_"/>
      <sheetName val="DO_NOT_USE_PRINT!_Macro_Data"/>
      <sheetName val="Main_Menu"/>
      <sheetName val="Profit_&amp;_Loss"/>
      <sheetName val="Balanço_reunião"/>
      <sheetName val="GEN_Inputs"/>
      <sheetName val="Imob_custo"/>
      <sheetName val="Imob_dep"/>
      <sheetName val="Equity_Main"/>
      <sheetName val="Serie_Fat"/>
      <sheetName val="Serie_Filial"/>
      <sheetName val="Country_Risk"/>
      <sheetName val="Revisão_ativo-passivo"/>
      <sheetName val="brazil_risk"/>
      <sheetName val="Quarterly_rates"/>
      <sheetName val="BS Monthly - AUS"/>
      <sheetName val="Purchases by vendor source"/>
      <sheetName val="AR - Agency source"/>
      <sheetName val="Cntmrs-Recruit"/>
      <sheetName val="WorkScopeMasterData"/>
      <sheetName val="Reference"/>
      <sheetName val="Precedents"/>
      <sheetName val="Co 4"/>
      <sheetName val="Co 3"/>
      <sheetName val="Co 2"/>
      <sheetName val="Co 1"/>
      <sheetName val="Subject Co"/>
      <sheetName val="Co 10"/>
      <sheetName val="Co 9"/>
      <sheetName val="Co 8"/>
      <sheetName val="Co 7"/>
      <sheetName val="Co 6"/>
      <sheetName val="Co 5"/>
      <sheetName val="Controls"/>
      <sheetName val="Fred Backup"/>
      <sheetName val="france"/>
      <sheetName val="italy"/>
      <sheetName val="uk"/>
      <sheetName val="netherlands"/>
      <sheetName val="Payments"/>
      <sheetName val="c10cc13"/>
      <sheetName val="mes"/>
      <sheetName val="R.5"/>
      <sheetName val="STVAR"/>
      <sheetName val="Liqudiation Analysis"/>
    </sheetNames>
    <sheetDataSet>
      <sheetData sheetId="0" refreshError="1">
        <row r="34">
          <cell r="J34" t="str">
            <v>Europe</v>
          </cell>
        </row>
        <row r="211">
          <cell r="J211" t="str">
            <v>Europe</v>
          </cell>
          <cell r="K211">
            <v>42560000</v>
          </cell>
        </row>
        <row r="212">
          <cell r="J212" t="str">
            <v>Other</v>
          </cell>
          <cell r="K212">
            <v>87425000</v>
          </cell>
        </row>
        <row r="213">
          <cell r="J213" t="str">
            <v>Swiss</v>
          </cell>
          <cell r="K213">
            <v>24660000</v>
          </cell>
        </row>
        <row r="214">
          <cell r="J214" t="str">
            <v>UK</v>
          </cell>
          <cell r="K214">
            <v>42000000</v>
          </cell>
        </row>
        <row r="398">
          <cell r="J398" t="str">
            <v>Europe</v>
          </cell>
          <cell r="K398">
            <v>33000000</v>
          </cell>
        </row>
        <row r="399">
          <cell r="J399" t="str">
            <v>Other</v>
          </cell>
          <cell r="K399">
            <v>21500000</v>
          </cell>
        </row>
        <row r="400">
          <cell r="J400" t="str">
            <v>Swiss</v>
          </cell>
          <cell r="K400">
            <v>116440000</v>
          </cell>
        </row>
        <row r="401">
          <cell r="J401" t="str">
            <v>UK</v>
          </cell>
          <cell r="K401">
            <v>101448000</v>
          </cell>
        </row>
        <row r="1121">
          <cell r="I1121" t="str">
            <v>Europe</v>
          </cell>
          <cell r="J1121">
            <v>11000000</v>
          </cell>
        </row>
        <row r="1122">
          <cell r="I1122" t="str">
            <v>Swiss</v>
          </cell>
          <cell r="J1122">
            <v>3370000</v>
          </cell>
        </row>
        <row r="1632">
          <cell r="I1632" t="str">
            <v>Europe</v>
          </cell>
          <cell r="J1632">
            <v>96300000</v>
          </cell>
        </row>
        <row r="1633">
          <cell r="I1633" t="str">
            <v>Other</v>
          </cell>
          <cell r="J1633">
            <v>39000000</v>
          </cell>
        </row>
        <row r="1634">
          <cell r="I1634" t="str">
            <v>Swiss</v>
          </cell>
          <cell r="J1634">
            <v>92900000</v>
          </cell>
        </row>
        <row r="1635">
          <cell r="I1635" t="str">
            <v>UK</v>
          </cell>
          <cell r="J1635">
            <v>64000000</v>
          </cell>
        </row>
        <row r="2248">
          <cell r="I2248" t="str">
            <v>Europe</v>
          </cell>
          <cell r="J2248">
            <v>12600000</v>
          </cell>
        </row>
        <row r="2249">
          <cell r="I2249" t="str">
            <v>Other</v>
          </cell>
          <cell r="J2249">
            <v>24500000</v>
          </cell>
        </row>
        <row r="2250">
          <cell r="I2250" t="str">
            <v>Swiss</v>
          </cell>
          <cell r="J2250">
            <v>56200000</v>
          </cell>
        </row>
        <row r="2251">
          <cell r="I2251" t="str">
            <v>UK</v>
          </cell>
          <cell r="J2251">
            <v>56400000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>
        <row r="34">
          <cell r="J34" t="str">
            <v>Europe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elhaize"/>
      <sheetName val="Route 1"/>
      <sheetName val="Financing"/>
      <sheetName val="Route_1"/>
      <sheetName val="Total_Program_Mgmt"/>
      <sheetName val="Total_Perf_Impr"/>
      <sheetName val="Renewal_Counts"/>
      <sheetName val="Schedule"/>
      <sheetName val="Sheet1"/>
      <sheetName val="A1 - Income Statement"/>
      <sheetName val="04"/>
      <sheetName val="09"/>
      <sheetName val="10"/>
      <sheetName val="11"/>
      <sheetName val="Europe"/>
      <sheetName val="US"/>
      <sheetName val="Sheet3"/>
      <sheetName val="DIV Y"/>
      <sheetName val="Series Description"/>
      <sheetName val="Economic Series Chart"/>
      <sheetName val="Series Values"/>
      <sheetName val="Sheet2"/>
      <sheetName val="Admin"/>
      <sheetName val="FS ing"/>
      <sheetName val="Extra 2"/>
      <sheetName val="TB_ HSG"/>
      <sheetName val="#REF"/>
      <sheetName val="TB"/>
      <sheetName val="FS"/>
      <sheetName val="AJE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Book1"/>
      <sheetName val="data"/>
      <sheetName val="P &amp;L"/>
      <sheetName val="Balance"/>
      <sheetName val="Situation"/>
      <sheetName val="DETBIL"/>
      <sheetName val="Aus-P"/>
      <sheetName val="Stock Price"/>
      <sheetName val="Multiples"/>
      <sheetName val="Historical Volatility Co 1"/>
      <sheetName val="GL Profit Analysis"/>
      <sheetName val="Screening"/>
      <sheetName val="Aggregates"/>
      <sheetName val="Screen Criteria"/>
      <sheetName val="SEC bridge"/>
      <sheetName val="EMC format"/>
      <sheetName val="Overview"/>
      <sheetName val="M A Private Placements"/>
      <sheetName val="Period Cost"/>
      <sheetName val="Orders to Revenue"/>
      <sheetName val="LISTPRICE"/>
      <sheetName val="Transaction Clients"/>
      <sheetName val="Drop Down"/>
      <sheetName val="COMPANY1930"/>
      <sheetName val="top 30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"/>
      <sheetName val="BS Groupings"/>
      <sheetName val="PL Groupings"/>
      <sheetName val="DF"/>
      <sheetName val="Setup"/>
      <sheetName val="Finance IT &amp; Pro (2)"/>
      <sheetName val="BS (2)"/>
      <sheetName val="P&amp;L (2)"/>
      <sheetName val="FTT_TW_Q2"/>
      <sheetName val="FTT_TW_Q2(Spin)"/>
      <sheetName val="sum"/>
      <sheetName val="Input"/>
      <sheetName val="Data Sheet 1"/>
      <sheetName val="main"/>
      <sheetName val="Dashboard"/>
      <sheetName val="WCOL INDEX"/>
      <sheetName val="WCOL INPUT"/>
      <sheetName val="F'cast to go"/>
      <sheetName val="MF 2002"/>
      <sheetName val="Actual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List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U2-1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ompany0457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30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Sheet6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Summary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매출채권AR"/>
      <sheetName val="Sheet4"/>
      <sheetName val="Sheet5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매출"/>
      <sheetName val="오계장작성"/>
      <sheetName val="C-8220 "/>
      <sheetName val="C-8300"/>
      <sheetName val="C-8400"/>
      <sheetName val="C-8500"/>
      <sheetName val="수익증권매매"/>
      <sheetName val="수익증권평가"/>
      <sheetName val="5400"/>
      <sheetName val="지분법적용개요"/>
      <sheetName val="감가상각비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상품-5200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wbs"/>
      <sheetName val="wpl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급여 (2)"/>
      <sheetName val="평균급여 (2)"/>
      <sheetName val="15"/>
      <sheetName val="유형자산5800"/>
      <sheetName val="감가"/>
      <sheetName val="pldt"/>
      <sheetName val="조합원명부"/>
      <sheetName val="제품수불(확) (2)"/>
      <sheetName val="원료수불 (확)"/>
      <sheetName val="제품수불(확)"/>
      <sheetName val="년간매출계획"/>
      <sheetName val="제조원가"/>
      <sheetName val="제품별매출 (2)"/>
      <sheetName val="유통경로"/>
      <sheetName val="EPS (2)"/>
      <sheetName val="개요"/>
      <sheetName val="부가세 대사"/>
      <sheetName val="재고실사 refer"/>
      <sheetName val="월별급여"/>
      <sheetName val="8400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S_BDW (2)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수정사항집계표"/>
      <sheetName val="은행연합회자료"/>
      <sheetName val="sum (3)"/>
      <sheetName val="HLDS"/>
      <sheetName val="이사회의사록정리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  <sheetName val="Inputs"/>
      <sheetName val="Quarters"/>
      <sheetName val="MLP IPO Yields vs MLP Index"/>
      <sheetName val="sales vol."/>
      <sheetName val="oldSEG"/>
      <sheetName val="consolidated"/>
      <sheetName val="Page A-1"/>
      <sheetName val="MktAss"/>
      <sheetName val="P&amp;L"/>
      <sheetName val="CONSOL"/>
      <sheetName val="Source_Use"/>
      <sheetName val="company"/>
      <sheetName val="CAPEX"/>
      <sheetName val="table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laroux"/>
      <sheetName val="XXXXXXXXXXXXX"/>
      <sheetName val="XXXXXX"/>
      <sheetName val="DEC-MEMO"/>
      <sheetName val="P&amp;LGROUP"/>
      <sheetName val="Encl I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SP B6"/>
      <sheetName val="A4-3"/>
      <sheetName val="NKS B6"/>
      <sheetName val="E4 Sales cutoff"/>
      <sheetName val="F-2"/>
      <sheetName val="S2"/>
      <sheetName val="A7"/>
      <sheetName val="A4-1-2"/>
      <sheetName val="W"/>
      <sheetName val="III"/>
      <sheetName val="BS"/>
      <sheetName val="Company0753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U1-2F Review Margin"/>
      <sheetName val="F3F"/>
      <sheetName val="Payroll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ompany0457"/>
      <sheetName val="U200"/>
      <sheetName val="U-100"/>
      <sheetName val="CFChart (3)"/>
      <sheetName val="H501"/>
      <sheetName val="AJE "/>
      <sheetName val="AJE (2)"/>
      <sheetName val="U102"/>
      <sheetName val="U101"/>
      <sheetName val="BS0605"/>
      <sheetName val="PL0605"/>
      <sheetName val="U3 (disclosure)"/>
      <sheetName val="Reclassification"/>
      <sheetName val="O1-1"/>
      <sheetName val="N3|2-1 (2)"/>
      <sheetName val="A2l1"/>
      <sheetName val="StockTake"/>
      <sheetName val="Sales"/>
      <sheetName val="B Redang"/>
      <sheetName val="E3 (2)"/>
      <sheetName val="interest restriction"/>
      <sheetName val="E.5"/>
      <sheetName val="Specific_RCD3"/>
      <sheetName val="F6 Stock Take recon"/>
      <sheetName val="F5.1 stk valuation"/>
      <sheetName val="A2.4 SAD"/>
      <sheetName val="E2 (&lt;)"/>
      <sheetName val="E3-1"/>
      <sheetName val="B7-2"/>
      <sheetName val="B9-2"/>
      <sheetName val="K5"/>
      <sheetName val="A2|3 AJE"/>
      <sheetName val="A2|2 RJE"/>
      <sheetName val="A2|1 OJE"/>
      <sheetName val="Page 3"/>
      <sheetName val="U2-Staff Welfare"/>
      <sheetName val="N3_SCH FUND"/>
      <sheetName val="K_Leeza"/>
      <sheetName val="K1_DEP Leeza"/>
      <sheetName val="#RE"/>
      <sheetName val="#R"/>
      <sheetName val="#"/>
      <sheetName val="PNB-MINORITY"/>
      <sheetName val="CONPL2003"/>
      <sheetName val="A2-1_CLA"/>
      <sheetName val="A2-2_RJE"/>
      <sheetName val="Bakat - consol"/>
      <sheetName val="consol-05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Assumptions"/>
      <sheetName val="EXPENSES"/>
      <sheetName val="Basic Details"/>
      <sheetName val="Notes to accounts"/>
      <sheetName val="Hub Inputs"/>
      <sheetName val="BOM Matrix (2)"/>
      <sheetName val="SL"/>
      <sheetName val="Company0833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Controls"/>
      <sheetName val="Print Controls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Sales Summary"/>
      <sheetName val="Corporate MARS COA"/>
      <sheetName val="uly%202010%20Aug%205,%202010%20"/>
      <sheetName val="Other Info"/>
      <sheetName val="gen ledger data"/>
      <sheetName val="sEP2003"/>
      <sheetName val="Satco"/>
      <sheetName val="Assump"/>
      <sheetName val="WORKINGS"/>
      <sheetName val="ANNEXURE 5 c"/>
      <sheetName val="21 (i)(B)(b)"/>
      <sheetName val="remittance"/>
      <sheetName val="Ann XV"/>
      <sheetName val="MODEL"/>
      <sheetName val="Capex &amp; Opex"/>
      <sheetName val="Interconnect"/>
      <sheetName val="CF"/>
      <sheetName val="Emp"/>
      <sheetName val="l"/>
      <sheetName val="BS Schdl- 1 &amp; 2"/>
      <sheetName val="Fixed Assets-Last year"/>
      <sheetName val="FAR_new"/>
      <sheetName val="??"/>
      <sheetName val="8"/>
      <sheetName val="Exp provn (3)"/>
      <sheetName val="consol (2)"/>
      <sheetName val="consol (3)"/>
      <sheetName val="Variance"/>
      <sheetName val="SL Schedule (2)"/>
      <sheetName val="consol (4)"/>
      <sheetName val="Person0888"/>
      <sheetName val="Book1.xls"/>
      <sheetName val="Lists"/>
      <sheetName val="713-4 NO UT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1601 Detail information"/>
      <sheetName val="Monthly Revenue"/>
      <sheetName val="Profit and Loss"/>
      <sheetName val="FA"/>
      <sheetName val="NEW WARRANTS"/>
      <sheetName val="Sources_Uses"/>
      <sheetName val="Prior Year"/>
      <sheetName val="Trading Stats"/>
      <sheetName val="cap_structure"/>
      <sheetName val="MergeCo Summary"/>
      <sheetName val="A"/>
      <sheetName val="BANKS_94"/>
      <sheetName val="Operations"/>
      <sheetName val="Football(1)"/>
      <sheetName val="Tuluwaka"/>
      <sheetName val="Exercise"/>
      <sheetName val="General Assumptions"/>
      <sheetName val="QuickLink"/>
      <sheetName val="Company Outputs"/>
      <sheetName val="Corp. Trust Structure"/>
      <sheetName val="Comp Data"/>
      <sheetName val="Float Matrix"/>
      <sheetName val="Data Master"/>
      <sheetName val="Int. Rate Data"/>
      <sheetName val="Rsch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Base"/>
      <sheetName val="100%"/>
      <sheetName val="HelpScreens"/>
      <sheetName val="PUblic Float data"/>
      <sheetName val="Build-up"/>
      <sheetName val="Computations"/>
      <sheetName val="Inputs-Sensitivities"/>
      <sheetName val="Worksheet"/>
      <sheetName val="Market Data"/>
      <sheetName val="Project Info"/>
      <sheetName val="Taxes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PL-yearly"/>
      <sheetName val="Sheet1汇总表"/>
      <sheetName val="S&amp;M Dept"/>
      <sheetName val="Splash Screen"/>
      <sheetName val="ImportData"/>
      <sheetName val="ROIPRO01"/>
      <sheetName val="Summary SC"/>
      <sheetName val="Expanded P&amp;L"/>
      <sheetName val="44526 Dalkey"/>
      <sheetName val="품의서"/>
      <sheetName val="Macro1"/>
      <sheetName val="주행"/>
      <sheetName val="표지★"/>
      <sheetName val="MX628EX"/>
      <sheetName val="p2-1"/>
      <sheetName val="2.대외공문"/>
      <sheetName val="85872-82"/>
      <sheetName val="???"/>
      <sheetName val="_REF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근태현황"/>
      <sheetName val="Ç°ÀÇ¼­"/>
      <sheetName val="ÁÖÇà"/>
      <sheetName val="Ç¥Áö¡Ú"/>
      <sheetName val="2.´ë¿Ü°ø¹®"/>
      <sheetName val="외주현황.wq1"/>
      <sheetName val="Prior Fund Raising MGD"/>
      <sheetName val="Managed Accounts - Gross Tradin"/>
      <sheetName val="Managed Accounts"/>
      <sheetName val="Notice"/>
      <sheetName val="Returns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27"/>
      <sheetName val="6+6detail"/>
      <sheetName val="HR"/>
      <sheetName val="statistics"/>
      <sheetName val="lookup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Company0903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B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Company1000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MFG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TBS"/>
      <sheetName val="TPL"/>
      <sheetName val="TRecon"/>
      <sheetName val="BS-YLI"/>
      <sheetName val="BS-ATT"/>
      <sheetName val="BS-YLB"/>
      <sheetName val="BS-YLT"/>
      <sheetName val="D1-2"/>
      <sheetName val="Adjustments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E5-Recoverability review"/>
      <sheetName val="F1-Stock Roll fwd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detail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Departments"/>
      <sheetName val="Scope of supply"/>
      <sheetName val="Dep"/>
      <sheetName val="Cabinet details"/>
      <sheetName val="Company2629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Company2629_Deposit"/>
      <sheetName val="치솔실적"/>
      <sheetName val="여신현황"/>
      <sheetName val="장할생활 (2)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인원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Company1695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종합일지"/>
      <sheetName val="폐토수익화 "/>
      <sheetName val="변동원가"/>
      <sheetName val="단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STRAIGHT"/>
      <sheetName val="매입채무"/>
      <sheetName val="차입2"/>
      <sheetName val="nude TB"/>
      <sheetName val="BS계정"/>
      <sheetName val="영업외손익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Wo_Cl"/>
      <sheetName val="Interlock"/>
      <sheetName val="F'cast Pr Mth"/>
      <sheetName val="Hyp Dump"/>
      <sheetName val="IncidentsEAP"/>
      <sheetName val="Cntmrs-Recruit"/>
      <sheetName val="Cntmrs"/>
      <sheetName val="2000"/>
      <sheetName val="Monthly Allowances"/>
      <sheetName val="SAL-2000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Invent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Ignor this tab"/>
      <sheetName val="Vlookup"/>
      <sheetName val="AMCY Impact"/>
      <sheetName val="ZZ_DowntimeIssuesMTD"/>
      <sheetName val="Assy Exc Takt"/>
      <sheetName val="Ignor_this_tab"/>
      <sheetName val="Operating Statement Data"/>
      <sheetName val="RECEIPTS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H&amp;Q"/>
      <sheetName val="9901"/>
      <sheetName val="Avg IC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Sheet7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ARTARG"/>
      <sheetName val="All"/>
      <sheetName val="BS Frango"/>
      <sheetName val="Tabelle1"/>
      <sheetName val="Bowler"/>
      <sheetName val="Sales Dev &amp; Training"/>
      <sheetName val="Frango"/>
      <sheetName val="group"/>
      <sheetName val="资产负债表"/>
      <sheetName val="利润表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German Co.- Attrition study"/>
      <sheetName val="OTR.CRED.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RPerú BV"/>
      <sheetName val="清冊"/>
      <sheetName val="Assmpns"/>
      <sheetName val="COMPLEXALL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Sheet8"/>
      <sheetName val="Sheet12"/>
      <sheetName val="Sheet13"/>
      <sheetName val="Sheet14"/>
      <sheetName val="Sheet15"/>
      <sheetName val="Sheet16"/>
      <sheetName val="DAY_SUM"/>
      <sheetName val="Sensitivity"/>
      <sheetName val="Copper Range"/>
      <sheetName val="B - Niobec"/>
      <sheetName val="1 - CBJ SUM"/>
      <sheetName val="A - Doyon"/>
      <sheetName val="Segments"/>
      <sheetName val="Ratios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ABX"/>
      <sheetName val="BB Info"/>
      <sheetName val="nethouse input (CURRENT PERIOD)"/>
      <sheetName val="Dealer names"/>
      <sheetName val="Расчет-выпуск"/>
      <sheetName val="Рез-т"/>
      <sheetName val="BB DATA"/>
      <sheetName val="bloomberg"/>
      <sheetName val="Hasbro"/>
      <sheetName val="IOPlan"/>
      <sheetName val="Front Page"/>
      <sheetName val="DYN PP"/>
      <sheetName val="Income Statement"/>
      <sheetName val="200-Balance_CORR"/>
      <sheetName val="definitionen"/>
      <sheetName val="Severity"/>
      <sheetName val="Site 04 - Level 4"/>
      <sheetName val="1Q02_TIE-OUT"/>
      <sheetName val="Comments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me"/>
      <sheetName val="qr_do14_nv"/>
      <sheetName val="qr_do14_30"/>
      <sheetName val="qr_do14_90"/>
      <sheetName val="qr_do14_fpd"/>
      <sheetName val="qr_src_me_GE"/>
      <sheetName val="qr_src_nv_GE"/>
      <sheetName val="qr_src30_GE"/>
      <sheetName val="qr_src90_GE"/>
      <sheetName val="qr_src_spd_GE"/>
      <sheetName val="qr_do3_me"/>
      <sheetName val="qr_do3_nv"/>
      <sheetName val="qr_do3_fpd"/>
      <sheetName val="qr_do3_30"/>
      <sheetName val="qr_do3_90"/>
      <sheetName val="qr_src_ekspres_30"/>
      <sheetName val="qr_dlc_me"/>
      <sheetName val="qr_dlc_nv"/>
      <sheetName val="qr_dlc_fpd"/>
      <sheetName val="qr_dlc_30"/>
      <sheetName val="qr_src_gratis_90"/>
      <sheetName val="qr_src_gratis_nv"/>
      <sheetName val="Source"/>
      <sheetName val="CA WIP"/>
      <sheetName val="WIP Details"/>
      <sheetName val="Download"/>
      <sheetName val="CRITERIA1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YTD Big Y's"/>
      <sheetName val="Net Income"/>
      <sheetName val="Volume"/>
      <sheetName val="EP Vol New"/>
      <sheetName val="SP Vol New"/>
      <sheetName val="Assets"/>
      <sheetName val="Productivity"/>
      <sheetName val="Prepays"/>
      <sheetName val="Q2 Est"/>
      <sheetName val="EPSP Splitout"/>
      <sheetName val="Cover Page"/>
      <sheetName val="Appendix"/>
      <sheetName val="Asset Quality"/>
      <sheetName val="Gap"/>
      <sheetName val="MTDVOLUME"/>
      <sheetName val="opplanbackup"/>
      <sheetName val="Lease Loan98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COMPANY0258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Waterfall"/>
      <sheetName val="CEF Funding LLC"/>
      <sheetName val="Vol Detail"/>
      <sheetName val="Assessment Allocation"/>
      <sheetName val="Headcount Expense Allocation"/>
      <sheetName val="Actual 03 Volume"/>
      <sheetName val="Calendar"/>
      <sheetName val="U71"/>
      <sheetName val="U71 180001004"/>
      <sheetName val="U71 181001004"/>
      <sheetName val="Wrk"/>
      <sheetName val="ccySummary"/>
      <sheetName val="ＣＤＲ_Ｍ"/>
      <sheetName val="Recalculations-Capital-GAAP"/>
    </sheetNames>
    <sheetDataSet>
      <sheetData sheetId="0" refreshError="1">
        <row r="322">
          <cell r="C322" t="str">
            <v>Quality 1</v>
          </cell>
          <cell r="D322">
            <v>54</v>
          </cell>
        </row>
        <row r="323">
          <cell r="C323" t="str">
            <v>Quality 2</v>
          </cell>
          <cell r="D323">
            <v>37</v>
          </cell>
        </row>
        <row r="324">
          <cell r="C324" t="str">
            <v>Quality 3</v>
          </cell>
          <cell r="D324">
            <v>33</v>
          </cell>
        </row>
        <row r="325">
          <cell r="C325" t="str">
            <v>Quality 4</v>
          </cell>
          <cell r="D325">
            <v>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/>
      <sheetData sheetId="390"/>
      <sheetData sheetId="391"/>
      <sheetData sheetId="392"/>
      <sheetData sheetId="393" refreshError="1"/>
      <sheetData sheetId="394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 refreshError="1"/>
      <sheetData sheetId="703"/>
      <sheetData sheetId="704" refreshError="1"/>
      <sheetData sheetId="705" refreshError="1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/>
      <sheetData sheetId="767"/>
      <sheetData sheetId="768"/>
      <sheetData sheetId="769" refreshError="1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/>
      <sheetData sheetId="825" refreshError="1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/>
      <sheetData sheetId="846"/>
      <sheetData sheetId="847"/>
      <sheetData sheetId="848"/>
      <sheetData sheetId="849" refreshError="1"/>
      <sheetData sheetId="850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>
        <row r="16">
          <cell r="H16">
            <v>95219.94</v>
          </cell>
        </row>
      </sheetData>
      <sheetData sheetId="900">
        <row r="33">
          <cell r="H33">
            <v>4959.7354999999998</v>
          </cell>
        </row>
      </sheetData>
      <sheetData sheetId="901"/>
      <sheetData sheetId="902">
        <row r="14">
          <cell r="L14">
            <v>491576.13</v>
          </cell>
        </row>
      </sheetData>
      <sheetData sheetId="903">
        <row r="45">
          <cell r="L45">
            <v>1089506.6707527002</v>
          </cell>
        </row>
      </sheetData>
      <sheetData sheetId="904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>
        <row r="19">
          <cell r="C19" t="str">
            <v>VEHICLES</v>
          </cell>
        </row>
      </sheetData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 refreshError="1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/>
      <sheetData sheetId="1431" refreshError="1"/>
      <sheetData sheetId="1432" refreshError="1"/>
      <sheetData sheetId="1433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 refreshError="1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1">
          <cell r="J1" t="str">
            <v>C:\redacted\[BOOK1.XLS]APPORT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/>
      <sheetData sheetId="1867" refreshError="1"/>
      <sheetData sheetId="1868" refreshError="1"/>
      <sheetData sheetId="1869" refreshError="1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 refreshError="1"/>
      <sheetData sheetId="1901" refreshError="1"/>
      <sheetData sheetId="1902"/>
      <sheetData sheetId="1903"/>
      <sheetData sheetId="1904" refreshError="1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 refreshError="1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ames"/>
      <sheetName val="how to read"/>
      <sheetName val="Dunnings"/>
      <sheetName val="Project Staffing"/>
      <sheetName val="Notes"/>
      <sheetName val="InputMults"/>
      <sheetName val="CCList"/>
      <sheetName val="PwC_Natural_Acct_Listing_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&amp;L"/>
      <sheetName val="consolidated"/>
      <sheetName val="Balance SheetLinks"/>
      <sheetName val="company"/>
      <sheetName val="1601 Detail information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"/>
      <sheetName val="Balance SheetLinks"/>
      <sheetName val="company"/>
      <sheetName val="Total"/>
      <sheetName val="#REF"/>
      <sheetName val="Participation"/>
      <sheetName val="Pinpoint1"/>
      <sheetName val="Pinpoint2"/>
      <sheetName val="Pinpoint3"/>
      <sheetName val="CAP"/>
      <sheetName val="BondDetails"/>
      <sheetName val="Revenue"/>
      <sheetName val="Deltek Data"/>
      <sheetName val="pg25"/>
      <sheetName val="pg29"/>
      <sheetName val="pg.31"/>
      <sheetName val="pg32"/>
      <sheetName val="pg34"/>
      <sheetName val="Benchmarking"/>
      <sheetName val="IRR Cost comparison"/>
      <sheetName val="Forward 6m Libor Rates"/>
      <sheetName val="Fed funds"/>
      <sheetName val="steep treasury"/>
      <sheetName val="historical swap PL"/>
      <sheetName val="swap to fixed rate"/>
      <sheetName val="Fed Funds-Unemplymnt Rate"/>
      <sheetName val="libor forwards &amp; volatility"/>
      <sheetName val="US quarterly"/>
      <sheetName val="treasury"/>
      <sheetName val="steep treasury curve"/>
      <sheetName val="treasury yield curve"/>
      <sheetName val="Libor Rates"/>
      <sheetName val="Rhodia competition universe"/>
      <sheetName val="Rhodia industry overview"/>
      <sheetName val="Silica Systems"/>
      <sheetName val="growth GDP"/>
      <sheetName val="Silicones"/>
      <sheetName val="frida"/>
      <sheetName val="Japan breakdown"/>
      <sheetName val="Europe breakdown"/>
      <sheetName val="US breakdown"/>
      <sheetName val="Expected growth"/>
      <sheetName val="food ingredients"/>
      <sheetName val="Rhodia Food pie"/>
      <sheetName val="rex"/>
      <sheetName val="Rhodia (2)"/>
      <sheetName val="Rhodia share price"/>
      <sheetName val="Sheet1"/>
      <sheetName val="Sheet2"/>
      <sheetName val="Sheet3"/>
      <sheetName val="A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rojections "/>
      <sheetName val="DCF"/>
      <sheetName val="Valuation Matrix"/>
      <sheetName val="__FDSCACHE__"/>
      <sheetName val="Total"/>
      <sheetName val="ALFMULT"/>
      <sheetName val="Delhaize"/>
      <sheetName val="Sel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DCF Control"/>
      <sheetName val="sales vol."/>
      <sheetName val="InputVariables"/>
      <sheetName val="WACC"/>
      <sheetName val="One Pa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P&amp;L 3yr"/>
      <sheetName val="Database Services"/>
      <sheetName val="Network Services "/>
      <sheetName val="Database Services Revenue"/>
      <sheetName val="Database Services (2)"/>
      <sheetName val="Network Services Revenue"/>
      <sheetName val="7.  CNAM REVENUE MODEL 07-10"/>
      <sheetName val="7.  8XX REVENUE MODEL 07-10"/>
      <sheetName val="7.  LIDB REVENUE MODEL 07-10"/>
      <sheetName val="7.  NP DA REVENUE MODEL 07-10"/>
      <sheetName val="7.  SOA REVENUE MODEL 07-10"/>
      <sheetName val="7.  TRUNK REVENUE MODEL 07-10"/>
      <sheetName val="7.  CONNECT REVENUE MODEL 07-10"/>
      <sheetName val="7.  CELLSWT REVENUE MODEL 07-10"/>
      <sheetName val="Valuation"/>
    </sheetNames>
    <sheetDataSet>
      <sheetData sheetId="0"/>
      <sheetData sheetId="1" refreshError="1">
        <row r="1">
          <cell r="A1" t="str">
            <v>Business Unit:  Communications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Services Revenue"/>
      <sheetName val="7.  8XX REVENUE MODEL 07-10"/>
      <sheetName val="7.  LIDB REVENUE MODEL 07-10"/>
      <sheetName val="7.  CNAM REVENUE MODEL 07-10"/>
      <sheetName val="7.  NP DA REVENUE MODEL 07-10"/>
      <sheetName val="7.  SOA REVENUE MODEL 07-10"/>
      <sheetName val="7.  SIP 7 REVENUE MODEL 07-10"/>
      <sheetName val="7.  TRUNK REVENUE MODEL 07-10"/>
      <sheetName val="7.  CONNECT REVENUE MODEL 07-10"/>
      <sheetName val="7.  CELLSWT REVENUE MODEL 07-10"/>
      <sheetName val="7.  IW Roam REVENUE MODEL 07-10"/>
      <sheetName val="7.  RV REVENUE MODEL 07-10"/>
      <sheetName val="7.  WDRS REVENUE MODEL 07-10"/>
      <sheetName val="10.  Database CAPITAL FORECAST"/>
      <sheetName val="10.  Network CAPITAL FORECAST"/>
      <sheetName val="11. Database Headcount"/>
      <sheetName val="11. Network Headcount"/>
      <sheetName val="9. Database Svc EXP DET"/>
      <sheetName val="9. Network Svc EXP DET"/>
      <sheetName val="9. Other EXP DET"/>
      <sheetName val="COR PMM Database"/>
      <sheetName val="COR Ops Database"/>
      <sheetName val="COR PMM Network"/>
      <sheetName val="COR Ops Network"/>
      <sheetName val="COR Ops Other"/>
      <sheetName val="Sales Database"/>
      <sheetName val="Sales Network"/>
      <sheetName val="Sales Other"/>
      <sheetName val="Marketing Databse"/>
      <sheetName val="Marketing Network"/>
      <sheetName val="Marketing Other"/>
      <sheetName val="R&amp;D Engineering  Database"/>
      <sheetName val="R&amp;D Engineering Network"/>
      <sheetName val="R&amp;D Engineering 0ther"/>
      <sheetName val="G&amp;A Databse"/>
      <sheetName val="G&amp;A Network"/>
      <sheetName val="G&amp;A Other"/>
      <sheetName val="COR Cust Care"/>
      <sheetName val="COR Cust Care Summary"/>
      <sheetName val="COR Database Product Mgmt"/>
      <sheetName val="COR Network Product Mgmt"/>
      <sheetName val="Network Services Revenue"/>
      <sheetName val="Network Revenue Assumptions"/>
      <sheetName val="Communications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66">
          <cell r="E166">
            <v>29161766.788670428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&amp;L 3yr"/>
      <sheetName val="2007 Expenses"/>
      <sheetName val="Expense Recap"/>
      <sheetName val="2005 Expenses "/>
      <sheetName val="2006 Expenses "/>
      <sheetName val="2008 Expenses"/>
      <sheetName val="2009 Expenses"/>
      <sheetName val="2010 Expenses"/>
      <sheetName val="2007 Network Expenses"/>
      <sheetName val="11. Network Headcount"/>
      <sheetName val="11. Database Headcount"/>
      <sheetName val="Communications (2)"/>
      <sheetName val="Network Services Revenue"/>
      <sheetName val="Database Services Revenue"/>
      <sheetName val="CONTENTS"/>
      <sheetName val="Summary MDA"/>
      <sheetName val="1. COMMUNICATIONS HISTORICA P&amp;L"/>
      <sheetName val="2. Comms MAJOR VARIANCES (2)"/>
      <sheetName val="3. Comm HIST NORMALIZED P&amp;L"/>
      <sheetName val="4.  Comms REV BY CUSTOMER"/>
      <sheetName val="5. Comms Related Assets Sum"/>
      <sheetName val="5. Comms Related Assets Det"/>
      <sheetName val="6. Comms TOP SUPPLIERS"/>
      <sheetName val="7.  Comms REVENUE MODEL 07-10"/>
      <sheetName val="NETWORK SVS CONTENTS"/>
      <sheetName val="1. NS HISTORICAL P&amp;L"/>
      <sheetName val="2.  NS MAJOR VARIANCES"/>
      <sheetName val="3. NS HIST NORMALIZED P&amp;L"/>
      <sheetName val="4.  NS REVENUE BY CUSTOMER"/>
      <sheetName val="5. NS CAPITAL ASSETS BY PROD"/>
      <sheetName val="6. NS TOP SUPPLIERS"/>
      <sheetName val="7.  NS REVENUE MODEL 07-10"/>
      <sheetName val="8. NS HISTORICAL EXP DETAILS"/>
      <sheetName val="9. NS HIST NORMALIZE EXP DETAI"/>
      <sheetName val="10.  NS CAPITAL FORECAST"/>
      <sheetName val="11. NS Headcount"/>
      <sheetName val="12. NS HistDirect vs Alloc Exp"/>
      <sheetName val="DS Content"/>
      <sheetName val="1. DS HISTORICAL P&amp;L"/>
      <sheetName val="2.  DS MAJOR VARIANCES"/>
      <sheetName val="3. DS HIST NORMALIZED P&amp;L"/>
      <sheetName val="4.  DS REVENUE BY CUSTOMER"/>
      <sheetName val="5. DS CAPITAL ASSETS BY PROD"/>
      <sheetName val="6. DS TOP SUPPLIERS"/>
      <sheetName val="7.  DS REVENUE MODEL 07-10"/>
      <sheetName val="8. DS HISTORICAL EXP DETAILS"/>
      <sheetName val="9. DS HIST NORMALIZE EXP DETAI"/>
      <sheetName val="10.  DS CAPITAL FORECAST"/>
      <sheetName val="11. DS Headcount"/>
      <sheetName val="12. DS HistDirect vs Alloc Exp"/>
      <sheetName val="Other Content"/>
      <sheetName val="1. Other HISTORICAL P&amp;L"/>
      <sheetName val="2.  Other MAJOR VARIANCES"/>
      <sheetName val="3. Other HIST NORMALIZED P&amp;L"/>
      <sheetName val="4.  Other REVENUE BY CUSTOMER"/>
      <sheetName val="5. Other CAPITAL ASSETS BY PROD"/>
      <sheetName val="6. Other TOP SUPPLIERS"/>
      <sheetName val="7.  Other REVENUE MODEL 07-10"/>
      <sheetName val="8. Other HISTORICAL EXP DETAILS"/>
      <sheetName val="9. Other HIST NORMALIZE EXP DET"/>
      <sheetName val="10.  Other CAPITAL FORECAST"/>
      <sheetName val="11. Other Headcount"/>
      <sheetName val="12. Other HistDir vs Alloc Exp"/>
      <sheetName val="WC Content"/>
      <sheetName val="1. WC HISTORICAL P&amp;L"/>
      <sheetName val="2.  WC MAJOR VARIANCES"/>
      <sheetName val="3. WC HIST NORMALIZED P&amp;L"/>
      <sheetName val="4.  WC REVENUE BY CUSTOMER"/>
      <sheetName val="5. WC CAPITAL ASSETS BY PROD"/>
      <sheetName val="6. WC TOP SUPPLIERS"/>
      <sheetName val="7.  WC REVENUE MODEL 07-10"/>
      <sheetName val="8. WC HISTORICAL EXP DETAILS"/>
      <sheetName val="9. WC HIST NORMALIZE EXP DET"/>
      <sheetName val="10.  WC CAPITAL FORECAST"/>
      <sheetName val="11. WC Headcount"/>
      <sheetName val="12. WC HistDir vs Alloc Exp"/>
      <sheetName val="IC Content"/>
      <sheetName val="1. IC HISTORICAL P&amp;L"/>
      <sheetName val="2.  IC MAJOR VARIANCES"/>
      <sheetName val="3. IC HIST NORMALIZED P&amp;L"/>
      <sheetName val="4.  IC REVENUE BY CUSTOMER"/>
      <sheetName val="5. IC CAPITAL ASSETS BY PROD"/>
      <sheetName val="6. IC TOP SUPPLIERS"/>
      <sheetName val="7.  IC REVENUE MODEL 07-10"/>
      <sheetName val="8. IC HISTORICAL EXP DETAILS"/>
      <sheetName val="9. IC HIST NORMALIZE EXP DET"/>
      <sheetName val="10.  IC CAPITAL FORECAST"/>
      <sheetName val="11. IC Headcount"/>
      <sheetName val="12. IC HistDir vs Alloc 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>
        <row r="1">
          <cell r="A1" t="str">
            <v>Business Unit:  Wireless Clearing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1 - Income Statement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 - Income Statement"/>
      <sheetName val="Index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Save"/>
      <sheetName val="Module1"/>
      <sheetName val="VRSN&amp;NSOL"/>
      <sheetName val="NSOL"/>
      <sheetName val="Export"/>
      <sheetName val="Link Cells"/>
      <sheetName val="Summary Model"/>
      <sheetName val="Link Cells2"/>
      <sheetName val="DCF-TV (2)"/>
      <sheetName val="DCF- Multiples"/>
      <sheetName val="DCF-TM"/>
      <sheetName val="VRSN"/>
      <sheetName val="VRSNis"/>
      <sheetName val="NSOL Deferred Rev"/>
      <sheetName val="NSOL Registration Model (2)"/>
      <sheetName val="NSOL Registration Model"/>
      <sheetName val="Combined"/>
      <sheetName val="DCF"/>
      <sheetName val="Data"/>
      <sheetName val="sales vol.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Unidentified Contracts-NLX"/>
      <sheetName val="Assumptions"/>
      <sheetName val="Inputs"/>
      <sheetName val="Contracts"/>
      <sheetName val="Acctg_Unit"/>
      <sheetName val="Chart of Accts"/>
      <sheetName val="dropdownlist"/>
      <sheetName val="B-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 - Income Statement"/>
      <sheetName val="Index"/>
      <sheetName val="A2 - Balance Sheet"/>
      <sheetName val="B1 - Investment Rollforward"/>
      <sheetName val="B2 - Sales of Investments"/>
      <sheetName val="B3 - Unrealized Gain (Loss)"/>
      <sheetName val="D - Stock Loan Receivables"/>
      <sheetName val="E - Fixed Assets Roll"/>
      <sheetName val="F - Goodwill &amp; Intangible Roll"/>
      <sheetName val="G - Due Parent Recon."/>
      <sheetName val="M - Debt and Leases Roll"/>
      <sheetName val="N - Equity rollforward"/>
      <sheetName val="P - Reserve Change"/>
      <sheetName val="S - YTD Labor Cost Summary"/>
      <sheetName val="X1 Reserve Schedule"/>
      <sheetName val="X2 - Fixed Assets Cutoff"/>
      <sheetName val="X3 - Unbilled Receivables"/>
      <sheetName val="X4 - Related Party Transaction"/>
      <sheetName val="1601 Detail information"/>
      <sheetName val="FY01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structions"/>
      <sheetName val="Control"/>
      <sheetName val="Waterfall Revenue"/>
      <sheetName val="Deferred Rev Plan"/>
      <sheetName val="Waterfall Renewals"/>
      <sheetName val="Summary"/>
      <sheetName val="Summary_P&amp;L"/>
      <sheetName val="Expenses"/>
      <sheetName val="Marketing Expenses Detail"/>
      <sheetName val="Plan Variance"/>
      <sheetName val="Summary_P&amp;L Variance Analysis"/>
      <sheetName val="Sensitivity Data Tables"/>
      <sheetName val="Key Metrics"/>
      <sheetName val="Cash Flow"/>
      <sheetName val="Bookings"/>
      <sheetName val="HeadCount"/>
      <sheetName val="Payroll"/>
      <sheetName val="Development Resources"/>
      <sheetName val="Capital Labor Calc"/>
      <sheetName val="CapEx Detail"/>
      <sheetName val="CapEx_Dep"/>
      <sheetName val="Equity WACC Calculation"/>
      <sheetName val="dropdownlist"/>
      <sheetName val="Assumptions"/>
      <sheetName val="Cap Assets"/>
      <sheetName val="RevComp"/>
      <sheetName val="IPRD1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"/>
      <sheetName val="Schedule"/>
    </sheetNames>
    <sheetDataSet>
      <sheetData sheetId="0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2.865356481481" createdVersion="8" refreshedVersion="8" minRefreshableVersion="3" recordCount="356" xr:uid="{FE5C44B0-D0BE-4DB2-A97D-8A9596B44C1A}">
  <cacheSource type="worksheet">
    <worksheetSource ref="A10:AE366" sheet="Data File"/>
  </cacheSource>
  <cacheFields count="31">
    <cacheField name="Property ID" numFmtId="49">
      <sharedItems/>
    </cacheField>
    <cacheField name="Item Number" numFmtId="49">
      <sharedItems/>
    </cacheField>
    <cacheField name="Date" numFmtId="167">
      <sharedItems containsSemiMixedTypes="0" containsNonDate="0" containsDate="1" containsString="0" minDate="2019-01-03T00:00:00" maxDate="2021-09-25T00:00:00"/>
    </cacheField>
    <cacheField name=" Amount" numFmtId="43">
      <sharedItems containsSemiMixedTypes="0" containsString="0" containsNumber="1" minValue="20.18" maxValue="645115.5"/>
    </cacheField>
    <cacheField name="Name" numFmtId="49">
      <sharedItems/>
    </cacheField>
    <cacheField name="Address 1" numFmtId="49">
      <sharedItems containsNonDate="0" containsString="0" containsBlank="1"/>
    </cacheField>
    <cacheField name="Address 2" numFmtId="49">
      <sharedItems containsNonDate="0" containsString="0" containsBlank="1"/>
    </cacheField>
    <cacheField name="City" numFmtId="49">
      <sharedItems containsNonDate="0" containsString="0" containsBlank="1"/>
    </cacheField>
    <cacheField name="State" numFmtId="49">
      <sharedItems containsNonDate="0" containsString="0" containsBlank="1"/>
    </cacheField>
    <cacheField name="Zip Code" numFmtId="49">
      <sharedItems containsNonDate="0" containsString="0" containsBlank="1"/>
    </cacheField>
    <cacheField name="Year" numFmtId="49">
      <sharedItems count="3">
        <s v="2019"/>
        <s v="2020"/>
        <s v="2021"/>
      </sharedItems>
    </cacheField>
    <cacheField name="Claim State" numFmtId="49">
      <sharedItems containsNonDate="0" containsString="0" containsBlank="1"/>
    </cacheField>
    <cacheField name="Sample Item" numFmtId="49">
      <sharedItems containsNonDate="0" containsString="0" containsBlank="1"/>
    </cacheField>
    <cacheField name="Reconciliation Date" numFmtId="167">
      <sharedItems containsNonDate="0" containsString="0" containsBlank="1"/>
    </cacheField>
    <cacheField name="Blank" numFmtId="49">
      <sharedItems containsNonDate="0" containsString="0" containsBlank="1"/>
    </cacheField>
    <cacheField name="Customer ID" numFmtId="49">
      <sharedItems containsNonDate="0" containsString="0" containsBlank="1"/>
    </cacheField>
    <cacheField name="Description" numFmtId="49">
      <sharedItems containsNonDate="0" containsString="0" containsBlank="1"/>
    </cacheField>
    <cacheField name="Stratum" numFmtId="49">
      <sharedItems containsNonDate="0" containsString="0" containsBlank="1"/>
    </cacheField>
    <cacheField name="Address Property Status" numFmtId="49">
      <sharedItems containsNonDate="0" containsString="0" containsBlank="1"/>
    </cacheField>
    <cacheField name="Address Status Code" numFmtId="49">
      <sharedItems containsNonDate="0" containsString="0" containsBlank="1"/>
    </cacheField>
    <cacheField name="Exam Team Comments" numFmtId="0">
      <sharedItems containsNonDate="0" containsString="0" containsBlank="1"/>
    </cacheField>
    <cacheField name="Estimation Property Status" numFmtId="49">
      <sharedItems containsNonDate="0" containsString="0" containsBlank="1"/>
    </cacheField>
    <cacheField name="Due to State" numFmtId="49">
      <sharedItems count="17">
        <s v="NY"/>
        <s v="PA"/>
        <s v="NC"/>
        <s v="GA"/>
        <s v="FL"/>
        <s v="AL"/>
        <s v="TN"/>
        <s v="MN"/>
        <s v="IL"/>
        <s v="MO"/>
        <s v="TX"/>
        <s v="AZ"/>
        <s v="CA"/>
        <s v="OR"/>
        <s v="DE"/>
        <s v="NJ"/>
        <s v="OH"/>
      </sharedItems>
    </cacheField>
    <cacheField name="For Review" numFmtId="43">
      <sharedItems containsSemiMixedTypes="0" containsString="0" containsNumber="1" minValue="20.18" maxValue="645115.5"/>
    </cacheField>
    <cacheField name="Remediation Status" numFmtId="0">
      <sharedItems containsBlank="1" count="2">
        <s v="Clear"/>
        <m/>
      </sharedItems>
    </cacheField>
    <cacheField name="Unresolved Amount" numFmtId="43">
      <sharedItems containsSemiMixedTypes="0" containsString="0" containsNumber="1" minValue="0" maxValue="101223.99"/>
    </cacheField>
    <cacheField name="Remediation Code" numFmtId="0">
      <sharedItems/>
    </cacheField>
    <cacheField name="Holder Comments" numFmtId="0">
      <sharedItems containsNonDate="0" containsString="0" containsBlank="1"/>
    </cacheField>
    <cacheField name="Documentation Provided" numFmtId="0">
      <sharedItems containsNonDate="0" containsString="0" containsBlank="1"/>
    </cacheField>
    <cacheField name="Company0197 Comments" numFmtId="0">
      <sharedItems containsNonDate="0" containsString="0" containsBlank="1"/>
    </cacheField>
    <cacheField name="Company1850 Cod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s v="000004"/>
    <s v="10004"/>
    <d v="2019-03-01T00:00:00"/>
    <n v="29.28"/>
    <s v="Name 4"/>
    <m/>
    <m/>
    <m/>
    <m/>
    <m/>
    <x v="0"/>
    <m/>
    <m/>
    <m/>
    <m/>
    <m/>
    <m/>
    <m/>
    <m/>
    <m/>
    <m/>
    <m/>
    <x v="0"/>
    <n v="29.28"/>
    <x v="0"/>
    <n v="0"/>
    <s v="C"/>
    <m/>
    <m/>
    <m/>
    <s v="MS09"/>
  </r>
  <r>
    <s v="000005"/>
    <s v="10005"/>
    <d v="2019-08-20T00:00:00"/>
    <n v="7668.89"/>
    <s v="Name 5"/>
    <m/>
    <m/>
    <m/>
    <m/>
    <m/>
    <x v="0"/>
    <m/>
    <m/>
    <m/>
    <m/>
    <m/>
    <m/>
    <m/>
    <m/>
    <m/>
    <m/>
    <m/>
    <x v="0"/>
    <n v="7668.89"/>
    <x v="0"/>
    <n v="0"/>
    <s v="C"/>
    <m/>
    <m/>
    <m/>
    <s v="MS09"/>
  </r>
  <r>
    <s v="000006"/>
    <s v="10006"/>
    <d v="2019-08-09T00:00:00"/>
    <n v="2093.0500000000002"/>
    <s v="Name 6"/>
    <m/>
    <m/>
    <m/>
    <m/>
    <m/>
    <x v="0"/>
    <m/>
    <m/>
    <m/>
    <m/>
    <m/>
    <m/>
    <m/>
    <m/>
    <m/>
    <m/>
    <m/>
    <x v="0"/>
    <n v="2093.0500000000002"/>
    <x v="1"/>
    <n v="2093.0500000000002"/>
    <s v="U"/>
    <m/>
    <m/>
    <m/>
    <s v="MS09"/>
  </r>
  <r>
    <s v="000007"/>
    <s v="10007"/>
    <d v="2019-03-18T00:00:00"/>
    <n v="205.11"/>
    <s v="Name 7"/>
    <m/>
    <m/>
    <m/>
    <m/>
    <m/>
    <x v="0"/>
    <m/>
    <m/>
    <m/>
    <m/>
    <m/>
    <m/>
    <m/>
    <m/>
    <m/>
    <m/>
    <m/>
    <x v="1"/>
    <n v="205.11"/>
    <x v="1"/>
    <n v="205.11"/>
    <s v="U"/>
    <m/>
    <m/>
    <m/>
    <s v="MS09"/>
  </r>
  <r>
    <s v="000008"/>
    <s v="10008"/>
    <d v="2019-01-17T00:00:00"/>
    <n v="262.98"/>
    <s v="Name 8"/>
    <m/>
    <m/>
    <m/>
    <m/>
    <m/>
    <x v="0"/>
    <m/>
    <m/>
    <m/>
    <m/>
    <m/>
    <m/>
    <m/>
    <m/>
    <m/>
    <m/>
    <m/>
    <x v="1"/>
    <n v="262.98"/>
    <x v="1"/>
    <n v="262.98"/>
    <s v="U"/>
    <m/>
    <m/>
    <m/>
    <s v="MS09"/>
  </r>
  <r>
    <s v="000009"/>
    <s v="10009"/>
    <d v="2019-05-03T00:00:00"/>
    <n v="461.74"/>
    <s v="Name 9"/>
    <m/>
    <m/>
    <m/>
    <m/>
    <m/>
    <x v="0"/>
    <m/>
    <m/>
    <m/>
    <m/>
    <m/>
    <m/>
    <m/>
    <m/>
    <m/>
    <m/>
    <m/>
    <x v="1"/>
    <n v="461.74"/>
    <x v="1"/>
    <n v="461.74"/>
    <s v="U"/>
    <m/>
    <m/>
    <m/>
    <s v="MS09"/>
  </r>
  <r>
    <s v="000010"/>
    <s v="10010"/>
    <d v="2019-10-31T00:00:00"/>
    <n v="263.44"/>
    <s v="Name 10"/>
    <m/>
    <m/>
    <m/>
    <m/>
    <m/>
    <x v="0"/>
    <m/>
    <m/>
    <m/>
    <m/>
    <m/>
    <m/>
    <m/>
    <m/>
    <m/>
    <m/>
    <m/>
    <x v="1"/>
    <n v="263.44"/>
    <x v="1"/>
    <n v="263.44"/>
    <s v="U"/>
    <m/>
    <m/>
    <m/>
    <s v="MS09"/>
  </r>
  <r>
    <s v="000011"/>
    <s v="10011"/>
    <d v="2019-09-23T00:00:00"/>
    <n v="784.4"/>
    <s v="Name 11"/>
    <m/>
    <m/>
    <m/>
    <m/>
    <m/>
    <x v="0"/>
    <m/>
    <m/>
    <m/>
    <m/>
    <m/>
    <m/>
    <m/>
    <m/>
    <m/>
    <m/>
    <m/>
    <x v="1"/>
    <n v="784.4"/>
    <x v="1"/>
    <n v="784.4"/>
    <s v="U"/>
    <m/>
    <m/>
    <m/>
    <s v="MS09"/>
  </r>
  <r>
    <s v="000012"/>
    <s v="10012"/>
    <d v="2019-07-23T00:00:00"/>
    <n v="110"/>
    <s v="Name 12"/>
    <m/>
    <m/>
    <m/>
    <m/>
    <m/>
    <x v="0"/>
    <m/>
    <m/>
    <m/>
    <m/>
    <m/>
    <m/>
    <m/>
    <m/>
    <m/>
    <m/>
    <m/>
    <x v="1"/>
    <n v="110"/>
    <x v="1"/>
    <n v="110"/>
    <s v="U"/>
    <m/>
    <m/>
    <m/>
    <s v="MS09"/>
  </r>
  <r>
    <s v="000013"/>
    <s v="10013"/>
    <d v="2019-06-10T00:00:00"/>
    <n v="30.97"/>
    <s v="Name 13"/>
    <m/>
    <m/>
    <m/>
    <m/>
    <m/>
    <x v="0"/>
    <m/>
    <m/>
    <m/>
    <m/>
    <m/>
    <m/>
    <m/>
    <m/>
    <m/>
    <m/>
    <m/>
    <x v="1"/>
    <n v="30.97"/>
    <x v="1"/>
    <n v="30.97"/>
    <s v="U"/>
    <m/>
    <m/>
    <m/>
    <s v="MS09"/>
  </r>
  <r>
    <s v="000014"/>
    <s v="10014"/>
    <d v="2019-06-10T00:00:00"/>
    <n v="26.39"/>
    <s v="Name 14"/>
    <m/>
    <m/>
    <m/>
    <m/>
    <m/>
    <x v="0"/>
    <m/>
    <m/>
    <m/>
    <m/>
    <m/>
    <m/>
    <m/>
    <m/>
    <m/>
    <m/>
    <m/>
    <x v="1"/>
    <n v="26.39"/>
    <x v="1"/>
    <n v="26.39"/>
    <s v="U"/>
    <m/>
    <m/>
    <m/>
    <s v="MS09"/>
  </r>
  <r>
    <s v="000015"/>
    <s v="10015"/>
    <d v="2019-05-17T00:00:00"/>
    <n v="61.25"/>
    <s v="Name 15"/>
    <m/>
    <m/>
    <m/>
    <m/>
    <m/>
    <x v="0"/>
    <m/>
    <m/>
    <m/>
    <m/>
    <m/>
    <m/>
    <m/>
    <m/>
    <m/>
    <m/>
    <m/>
    <x v="1"/>
    <n v="61.25"/>
    <x v="1"/>
    <n v="61.25"/>
    <s v="U"/>
    <m/>
    <m/>
    <m/>
    <s v="MS09"/>
  </r>
  <r>
    <s v="000016"/>
    <s v="10016"/>
    <d v="2020-03-02T00:00:00"/>
    <n v="2285.13"/>
    <s v="Name 16"/>
    <m/>
    <m/>
    <m/>
    <m/>
    <m/>
    <x v="1"/>
    <m/>
    <m/>
    <m/>
    <m/>
    <m/>
    <m/>
    <m/>
    <m/>
    <m/>
    <m/>
    <m/>
    <x v="1"/>
    <n v="2285.13"/>
    <x v="0"/>
    <n v="0"/>
    <s v="C"/>
    <m/>
    <m/>
    <m/>
    <s v="MS09"/>
  </r>
  <r>
    <s v="000020"/>
    <s v="10020"/>
    <d v="2020-06-24T00:00:00"/>
    <n v="2504.86"/>
    <s v="Name 20"/>
    <m/>
    <m/>
    <m/>
    <m/>
    <m/>
    <x v="1"/>
    <m/>
    <m/>
    <m/>
    <m/>
    <m/>
    <m/>
    <m/>
    <m/>
    <m/>
    <m/>
    <m/>
    <x v="2"/>
    <n v="2504.86"/>
    <x v="1"/>
    <n v="2504.86"/>
    <s v="U"/>
    <m/>
    <m/>
    <m/>
    <s v="MS09"/>
  </r>
  <r>
    <s v="000021"/>
    <s v="10021"/>
    <d v="2019-12-13T00:00:00"/>
    <n v="3751.53"/>
    <s v="Name 21"/>
    <m/>
    <m/>
    <m/>
    <m/>
    <m/>
    <x v="0"/>
    <m/>
    <m/>
    <m/>
    <m/>
    <m/>
    <m/>
    <m/>
    <m/>
    <m/>
    <m/>
    <m/>
    <x v="3"/>
    <n v="3751.53"/>
    <x v="1"/>
    <n v="3751.53"/>
    <s v="U"/>
    <m/>
    <m/>
    <m/>
    <s v="MS09"/>
  </r>
  <r>
    <s v="000022"/>
    <s v="10022"/>
    <d v="2019-06-09T00:00:00"/>
    <n v="20.18"/>
    <s v="Name 22"/>
    <m/>
    <m/>
    <m/>
    <m/>
    <m/>
    <x v="0"/>
    <m/>
    <m/>
    <m/>
    <m/>
    <m/>
    <m/>
    <m/>
    <m/>
    <m/>
    <m/>
    <m/>
    <x v="3"/>
    <n v="20.18"/>
    <x v="1"/>
    <n v="20.18"/>
    <s v="U"/>
    <m/>
    <m/>
    <m/>
    <s v="MS09"/>
  </r>
  <r>
    <s v="000023"/>
    <s v="10023"/>
    <d v="2019-04-02T00:00:00"/>
    <n v="44"/>
    <s v="Name 23"/>
    <m/>
    <m/>
    <m/>
    <m/>
    <m/>
    <x v="0"/>
    <m/>
    <m/>
    <m/>
    <m/>
    <m/>
    <m/>
    <m/>
    <m/>
    <m/>
    <m/>
    <m/>
    <x v="3"/>
    <n v="44"/>
    <x v="1"/>
    <n v="44"/>
    <s v="U"/>
    <m/>
    <m/>
    <m/>
    <s v="MS09"/>
  </r>
  <r>
    <s v="000024"/>
    <s v="10024"/>
    <d v="2020-02-11T00:00:00"/>
    <n v="427.02"/>
    <s v="Name 24"/>
    <m/>
    <m/>
    <m/>
    <m/>
    <m/>
    <x v="1"/>
    <m/>
    <m/>
    <m/>
    <m/>
    <m/>
    <m/>
    <m/>
    <m/>
    <m/>
    <m/>
    <m/>
    <x v="3"/>
    <n v="427.02"/>
    <x v="1"/>
    <n v="427.02"/>
    <s v="U"/>
    <m/>
    <m/>
    <m/>
    <s v="MS09"/>
  </r>
  <r>
    <s v="000025"/>
    <s v="10025"/>
    <d v="2019-10-24T00:00:00"/>
    <n v="456.42"/>
    <s v="Name 25"/>
    <m/>
    <m/>
    <m/>
    <m/>
    <m/>
    <x v="0"/>
    <m/>
    <m/>
    <m/>
    <m/>
    <m/>
    <m/>
    <m/>
    <m/>
    <m/>
    <m/>
    <m/>
    <x v="3"/>
    <n v="456.42"/>
    <x v="1"/>
    <n v="456.42"/>
    <s v="U"/>
    <m/>
    <m/>
    <m/>
    <s v="MS09"/>
  </r>
  <r>
    <s v="000026"/>
    <s v="10026"/>
    <d v="2019-05-31T00:00:00"/>
    <n v="50.52"/>
    <s v="Name 26"/>
    <m/>
    <m/>
    <m/>
    <m/>
    <m/>
    <x v="0"/>
    <m/>
    <m/>
    <m/>
    <m/>
    <m/>
    <m/>
    <m/>
    <m/>
    <m/>
    <m/>
    <m/>
    <x v="3"/>
    <n v="50.52"/>
    <x v="1"/>
    <n v="50.52"/>
    <s v="U"/>
    <m/>
    <m/>
    <m/>
    <s v="MS09"/>
  </r>
  <r>
    <s v="000027"/>
    <s v="10027"/>
    <d v="2019-11-29T00:00:00"/>
    <n v="6065.27"/>
    <s v="Name 27"/>
    <m/>
    <m/>
    <m/>
    <m/>
    <m/>
    <x v="0"/>
    <m/>
    <m/>
    <m/>
    <m/>
    <m/>
    <m/>
    <m/>
    <m/>
    <m/>
    <m/>
    <m/>
    <x v="4"/>
    <n v="6065.27"/>
    <x v="1"/>
    <n v="6065.27"/>
    <s v="U"/>
    <m/>
    <m/>
    <m/>
    <s v="MS09"/>
  </r>
  <r>
    <s v="000028"/>
    <s v="10028"/>
    <d v="2019-07-23T00:00:00"/>
    <n v="468.99"/>
    <s v="Name 28"/>
    <m/>
    <m/>
    <m/>
    <m/>
    <m/>
    <x v="0"/>
    <m/>
    <m/>
    <m/>
    <m/>
    <m/>
    <m/>
    <m/>
    <m/>
    <m/>
    <m/>
    <m/>
    <x v="4"/>
    <n v="468.99"/>
    <x v="1"/>
    <n v="468.99"/>
    <s v="U"/>
    <m/>
    <m/>
    <m/>
    <s v="MS09"/>
  </r>
  <r>
    <s v="000029"/>
    <s v="10029"/>
    <d v="2019-07-19T00:00:00"/>
    <n v="101.06"/>
    <s v="Name 29"/>
    <m/>
    <m/>
    <m/>
    <m/>
    <m/>
    <x v="0"/>
    <m/>
    <m/>
    <m/>
    <m/>
    <m/>
    <m/>
    <m/>
    <m/>
    <m/>
    <m/>
    <m/>
    <x v="4"/>
    <n v="101.06"/>
    <x v="1"/>
    <n v="101.06"/>
    <s v="U"/>
    <m/>
    <m/>
    <m/>
    <s v="MS09"/>
  </r>
  <r>
    <s v="000030"/>
    <s v="10030"/>
    <d v="2019-07-03T00:00:00"/>
    <n v="109.25"/>
    <s v="Name 30"/>
    <m/>
    <m/>
    <m/>
    <m/>
    <m/>
    <x v="0"/>
    <m/>
    <m/>
    <m/>
    <m/>
    <m/>
    <m/>
    <m/>
    <m/>
    <m/>
    <m/>
    <m/>
    <x v="4"/>
    <n v="109.25"/>
    <x v="1"/>
    <n v="109.25"/>
    <s v="U"/>
    <m/>
    <m/>
    <m/>
    <s v="MS09"/>
  </r>
  <r>
    <s v="000031"/>
    <s v="10031"/>
    <d v="2019-01-03T00:00:00"/>
    <n v="1610.39"/>
    <s v="Name 31"/>
    <m/>
    <m/>
    <m/>
    <m/>
    <m/>
    <x v="0"/>
    <m/>
    <m/>
    <m/>
    <m/>
    <m/>
    <m/>
    <m/>
    <m/>
    <m/>
    <m/>
    <m/>
    <x v="4"/>
    <n v="1610.39"/>
    <x v="1"/>
    <n v="1610.39"/>
    <s v="U"/>
    <m/>
    <m/>
    <m/>
    <s v="MS09"/>
  </r>
  <r>
    <s v="000032"/>
    <s v="10032"/>
    <d v="2019-07-03T00:00:00"/>
    <n v="477.48"/>
    <s v="Name 32"/>
    <m/>
    <m/>
    <m/>
    <m/>
    <m/>
    <x v="0"/>
    <m/>
    <m/>
    <m/>
    <m/>
    <m/>
    <m/>
    <m/>
    <m/>
    <m/>
    <m/>
    <m/>
    <x v="4"/>
    <n v="477.48"/>
    <x v="1"/>
    <n v="477.48"/>
    <s v="U"/>
    <m/>
    <m/>
    <m/>
    <s v="MS09"/>
  </r>
  <r>
    <s v="000033"/>
    <s v="10033"/>
    <d v="2021-09-14T00:00:00"/>
    <n v="152.88999999999999"/>
    <s v="Name 33"/>
    <m/>
    <m/>
    <m/>
    <m/>
    <m/>
    <x v="2"/>
    <m/>
    <m/>
    <m/>
    <m/>
    <m/>
    <m/>
    <m/>
    <m/>
    <m/>
    <m/>
    <m/>
    <x v="4"/>
    <n v="152.88999999999999"/>
    <x v="1"/>
    <n v="152.88999999999999"/>
    <s v="U"/>
    <m/>
    <m/>
    <m/>
    <s v="MS09"/>
  </r>
  <r>
    <s v="000034"/>
    <s v="10034"/>
    <d v="2019-06-24T00:00:00"/>
    <n v="8977.92"/>
    <s v="Name 34"/>
    <m/>
    <m/>
    <m/>
    <m/>
    <m/>
    <x v="0"/>
    <m/>
    <m/>
    <m/>
    <m/>
    <m/>
    <m/>
    <m/>
    <m/>
    <m/>
    <m/>
    <m/>
    <x v="4"/>
    <n v="8977.92"/>
    <x v="0"/>
    <n v="0"/>
    <s v="C"/>
    <m/>
    <m/>
    <m/>
    <s v="MS09"/>
  </r>
  <r>
    <s v="000035"/>
    <s v="10035"/>
    <d v="2019-06-12T00:00:00"/>
    <n v="8977.92"/>
    <s v="Name 35"/>
    <m/>
    <m/>
    <m/>
    <m/>
    <m/>
    <x v="0"/>
    <m/>
    <m/>
    <m/>
    <m/>
    <m/>
    <m/>
    <m/>
    <m/>
    <m/>
    <m/>
    <m/>
    <x v="4"/>
    <n v="8977.92"/>
    <x v="1"/>
    <n v="8977.92"/>
    <s v="U"/>
    <m/>
    <m/>
    <m/>
    <s v="MS09"/>
  </r>
  <r>
    <s v="000036"/>
    <s v="10036"/>
    <d v="2021-07-01T00:00:00"/>
    <n v="2426.33"/>
    <s v="Name 36"/>
    <m/>
    <m/>
    <m/>
    <m/>
    <m/>
    <x v="2"/>
    <m/>
    <m/>
    <m/>
    <m/>
    <m/>
    <m/>
    <m/>
    <m/>
    <m/>
    <m/>
    <m/>
    <x v="4"/>
    <n v="2426.33"/>
    <x v="1"/>
    <n v="2426.33"/>
    <s v="U"/>
    <m/>
    <m/>
    <m/>
    <s v="MS09"/>
  </r>
  <r>
    <s v="000037"/>
    <s v="10037"/>
    <d v="2019-03-22T00:00:00"/>
    <n v="130.66999999999999"/>
    <s v="Name 37"/>
    <m/>
    <m/>
    <m/>
    <m/>
    <m/>
    <x v="0"/>
    <m/>
    <m/>
    <m/>
    <m/>
    <m/>
    <m/>
    <m/>
    <m/>
    <m/>
    <m/>
    <m/>
    <x v="5"/>
    <n v="130.66999999999999"/>
    <x v="1"/>
    <n v="130.66999999999999"/>
    <s v="U"/>
    <m/>
    <m/>
    <m/>
    <s v="MS09"/>
  </r>
  <r>
    <s v="000038"/>
    <s v="10038"/>
    <d v="2019-08-06T00:00:00"/>
    <n v="129.9"/>
    <s v="Name 38"/>
    <m/>
    <m/>
    <m/>
    <m/>
    <m/>
    <x v="0"/>
    <m/>
    <m/>
    <m/>
    <m/>
    <m/>
    <m/>
    <m/>
    <m/>
    <m/>
    <m/>
    <m/>
    <x v="6"/>
    <n v="129.9"/>
    <x v="1"/>
    <n v="129.9"/>
    <s v="U"/>
    <m/>
    <m/>
    <m/>
    <s v="MS09"/>
  </r>
  <r>
    <s v="000039"/>
    <s v="10039"/>
    <d v="2020-10-30T00:00:00"/>
    <n v="2299.09"/>
    <s v="Name 39"/>
    <m/>
    <m/>
    <m/>
    <m/>
    <m/>
    <x v="1"/>
    <m/>
    <m/>
    <m/>
    <m/>
    <m/>
    <m/>
    <m/>
    <m/>
    <m/>
    <m/>
    <m/>
    <x v="6"/>
    <n v="2299.09"/>
    <x v="1"/>
    <n v="2299.09"/>
    <s v="U"/>
    <m/>
    <m/>
    <m/>
    <s v="MS09"/>
  </r>
  <r>
    <s v="000040"/>
    <s v="10040"/>
    <d v="2020-08-19T00:00:00"/>
    <n v="4252.2"/>
    <s v="Name 40"/>
    <m/>
    <m/>
    <m/>
    <m/>
    <m/>
    <x v="1"/>
    <m/>
    <m/>
    <m/>
    <m/>
    <m/>
    <m/>
    <m/>
    <m/>
    <m/>
    <m/>
    <m/>
    <x v="6"/>
    <n v="47189.27"/>
    <x v="0"/>
    <n v="0"/>
    <s v="C"/>
    <m/>
    <m/>
    <m/>
    <s v="MS09"/>
  </r>
  <r>
    <s v="000041"/>
    <s v="10041"/>
    <d v="2020-04-14T00:00:00"/>
    <n v="11059.88"/>
    <s v="Name 41"/>
    <m/>
    <m/>
    <m/>
    <m/>
    <m/>
    <x v="1"/>
    <m/>
    <m/>
    <m/>
    <m/>
    <m/>
    <m/>
    <m/>
    <m/>
    <m/>
    <m/>
    <m/>
    <x v="6"/>
    <n v="11059.88"/>
    <x v="1"/>
    <n v="11059.88"/>
    <s v="U"/>
    <m/>
    <m/>
    <m/>
    <s v="MS09"/>
  </r>
  <r>
    <s v="000042"/>
    <s v="10042"/>
    <d v="2019-03-19T00:00:00"/>
    <n v="936.32"/>
    <s v="Name 42"/>
    <m/>
    <m/>
    <m/>
    <m/>
    <m/>
    <x v="0"/>
    <m/>
    <m/>
    <m/>
    <m/>
    <m/>
    <m/>
    <m/>
    <m/>
    <m/>
    <m/>
    <m/>
    <x v="6"/>
    <n v="936.32"/>
    <x v="1"/>
    <n v="936.32"/>
    <s v="U"/>
    <m/>
    <m/>
    <m/>
    <s v="MS09"/>
  </r>
  <r>
    <s v="000043"/>
    <s v="10043"/>
    <d v="2019-08-23T00:00:00"/>
    <n v="23.78"/>
    <s v="Name 43"/>
    <m/>
    <m/>
    <m/>
    <m/>
    <m/>
    <x v="0"/>
    <m/>
    <m/>
    <m/>
    <m/>
    <m/>
    <m/>
    <m/>
    <m/>
    <m/>
    <m/>
    <m/>
    <x v="6"/>
    <n v="23.78"/>
    <x v="1"/>
    <n v="23.78"/>
    <s v="U"/>
    <m/>
    <m/>
    <m/>
    <s v="MS09"/>
  </r>
  <r>
    <s v="000044"/>
    <s v="10044"/>
    <d v="2019-06-26T00:00:00"/>
    <n v="26.31"/>
    <s v="Name 44"/>
    <m/>
    <m/>
    <m/>
    <m/>
    <m/>
    <x v="0"/>
    <m/>
    <m/>
    <m/>
    <m/>
    <m/>
    <m/>
    <m/>
    <m/>
    <m/>
    <m/>
    <m/>
    <x v="6"/>
    <n v="26.31"/>
    <x v="1"/>
    <n v="26.31"/>
    <s v="U"/>
    <m/>
    <m/>
    <m/>
    <s v="MS09"/>
  </r>
  <r>
    <s v="000045"/>
    <s v="10045"/>
    <d v="2021-03-10T00:00:00"/>
    <n v="20.38"/>
    <s v="Name 45"/>
    <m/>
    <m/>
    <m/>
    <m/>
    <m/>
    <x v="2"/>
    <m/>
    <m/>
    <m/>
    <m/>
    <m/>
    <m/>
    <m/>
    <m/>
    <m/>
    <m/>
    <m/>
    <x v="6"/>
    <n v="20.38"/>
    <x v="1"/>
    <n v="20.38"/>
    <s v="U"/>
    <m/>
    <m/>
    <m/>
    <s v="MS09"/>
  </r>
  <r>
    <s v="000046"/>
    <s v="10046"/>
    <d v="2019-02-27T00:00:00"/>
    <n v="46.82"/>
    <s v="Name 46"/>
    <m/>
    <m/>
    <m/>
    <m/>
    <m/>
    <x v="0"/>
    <m/>
    <m/>
    <m/>
    <m/>
    <m/>
    <m/>
    <m/>
    <m/>
    <m/>
    <m/>
    <m/>
    <x v="6"/>
    <n v="46.82"/>
    <x v="1"/>
    <n v="46.82"/>
    <s v="U"/>
    <m/>
    <m/>
    <m/>
    <s v="MS09"/>
  </r>
  <r>
    <s v="000047"/>
    <s v="10047"/>
    <d v="2019-04-26T00:00:00"/>
    <n v="51.94"/>
    <s v="Name 47"/>
    <m/>
    <m/>
    <m/>
    <m/>
    <m/>
    <x v="0"/>
    <m/>
    <m/>
    <m/>
    <m/>
    <m/>
    <m/>
    <m/>
    <m/>
    <m/>
    <m/>
    <m/>
    <x v="7"/>
    <n v="51.94"/>
    <x v="1"/>
    <n v="51.94"/>
    <s v="U"/>
    <m/>
    <m/>
    <m/>
    <s v="MS09"/>
  </r>
  <r>
    <s v="000048"/>
    <s v="10048"/>
    <d v="2019-02-20T00:00:00"/>
    <n v="67.739999999999995"/>
    <s v="Name 48"/>
    <m/>
    <m/>
    <m/>
    <m/>
    <m/>
    <x v="0"/>
    <m/>
    <m/>
    <m/>
    <m/>
    <m/>
    <m/>
    <m/>
    <m/>
    <m/>
    <m/>
    <m/>
    <x v="7"/>
    <n v="67.739999999999995"/>
    <x v="1"/>
    <n v="67.739999999999995"/>
    <s v="U"/>
    <m/>
    <m/>
    <m/>
    <s v="MS09"/>
  </r>
  <r>
    <s v="000049"/>
    <s v="10049"/>
    <d v="2019-02-20T00:00:00"/>
    <n v="49.94"/>
    <s v="Name 49"/>
    <m/>
    <m/>
    <m/>
    <m/>
    <m/>
    <x v="0"/>
    <m/>
    <m/>
    <m/>
    <m/>
    <m/>
    <m/>
    <m/>
    <m/>
    <m/>
    <m/>
    <m/>
    <x v="7"/>
    <n v="49.94"/>
    <x v="1"/>
    <n v="49.94"/>
    <s v="U"/>
    <m/>
    <m/>
    <m/>
    <s v="MS09"/>
  </r>
  <r>
    <s v="000050"/>
    <s v="10050"/>
    <d v="2019-02-20T00:00:00"/>
    <n v="28.66"/>
    <s v="Name 50"/>
    <m/>
    <m/>
    <m/>
    <m/>
    <m/>
    <x v="0"/>
    <m/>
    <m/>
    <m/>
    <m/>
    <m/>
    <m/>
    <m/>
    <m/>
    <m/>
    <m/>
    <m/>
    <x v="7"/>
    <n v="28.66"/>
    <x v="1"/>
    <n v="28.66"/>
    <s v="U"/>
    <m/>
    <m/>
    <m/>
    <s v="MS09"/>
  </r>
  <r>
    <s v="000051"/>
    <s v="10051"/>
    <d v="2019-02-06T00:00:00"/>
    <n v="54.08"/>
    <s v="Name 51"/>
    <m/>
    <m/>
    <m/>
    <m/>
    <m/>
    <x v="0"/>
    <m/>
    <m/>
    <m/>
    <m/>
    <m/>
    <m/>
    <m/>
    <m/>
    <m/>
    <m/>
    <m/>
    <x v="7"/>
    <n v="54.08"/>
    <x v="1"/>
    <n v="54.08"/>
    <s v="U"/>
    <m/>
    <m/>
    <m/>
    <s v="MS09"/>
  </r>
  <r>
    <s v="000052"/>
    <s v="10052"/>
    <d v="2019-02-20T00:00:00"/>
    <n v="116.03"/>
    <s v="Name 52"/>
    <m/>
    <m/>
    <m/>
    <m/>
    <m/>
    <x v="0"/>
    <m/>
    <m/>
    <m/>
    <m/>
    <m/>
    <m/>
    <m/>
    <m/>
    <m/>
    <m/>
    <m/>
    <x v="7"/>
    <n v="116.03"/>
    <x v="0"/>
    <n v="0"/>
    <s v="C"/>
    <m/>
    <m/>
    <m/>
    <s v="MS09"/>
  </r>
  <r>
    <s v="000053"/>
    <s v="10053"/>
    <d v="2019-02-20T00:00:00"/>
    <n v="100.14"/>
    <s v="Name 53"/>
    <m/>
    <m/>
    <m/>
    <m/>
    <m/>
    <x v="0"/>
    <m/>
    <m/>
    <m/>
    <m/>
    <m/>
    <m/>
    <m/>
    <m/>
    <m/>
    <m/>
    <m/>
    <x v="7"/>
    <n v="100.14"/>
    <x v="1"/>
    <n v="100.14"/>
    <s v="U"/>
    <m/>
    <m/>
    <m/>
    <s v="MS09"/>
  </r>
  <r>
    <s v="000054"/>
    <s v="10054"/>
    <d v="2019-02-06T00:00:00"/>
    <n v="147.59"/>
    <s v="Name 54"/>
    <m/>
    <m/>
    <m/>
    <m/>
    <m/>
    <x v="0"/>
    <m/>
    <m/>
    <m/>
    <m/>
    <m/>
    <m/>
    <m/>
    <m/>
    <m/>
    <m/>
    <m/>
    <x v="7"/>
    <n v="147.59"/>
    <x v="1"/>
    <n v="147.59"/>
    <s v="U"/>
    <m/>
    <m/>
    <m/>
    <s v="MS09"/>
  </r>
  <r>
    <s v="000055"/>
    <s v="10055"/>
    <d v="2019-05-31T00:00:00"/>
    <n v="5242.2"/>
    <s v="Name 55"/>
    <m/>
    <m/>
    <m/>
    <m/>
    <m/>
    <x v="0"/>
    <m/>
    <m/>
    <m/>
    <m/>
    <m/>
    <m/>
    <m/>
    <m/>
    <m/>
    <m/>
    <m/>
    <x v="8"/>
    <n v="5242.2"/>
    <x v="1"/>
    <n v="5242.2"/>
    <s v="U"/>
    <m/>
    <m/>
    <m/>
    <s v="MS09"/>
  </r>
  <r>
    <s v="000056"/>
    <s v="10056"/>
    <d v="2019-05-31T00:00:00"/>
    <n v="1227.2"/>
    <s v="Name 56"/>
    <m/>
    <m/>
    <m/>
    <m/>
    <m/>
    <x v="0"/>
    <m/>
    <m/>
    <m/>
    <m/>
    <m/>
    <m/>
    <m/>
    <m/>
    <m/>
    <m/>
    <m/>
    <x v="8"/>
    <n v="1227.2"/>
    <x v="0"/>
    <n v="0"/>
    <s v="C"/>
    <m/>
    <m/>
    <m/>
    <s v="MS09"/>
  </r>
  <r>
    <s v="000057"/>
    <s v="10057"/>
    <d v="2019-04-23T00:00:00"/>
    <n v="1773.84"/>
    <s v="Name 57"/>
    <m/>
    <m/>
    <m/>
    <m/>
    <m/>
    <x v="0"/>
    <m/>
    <m/>
    <m/>
    <m/>
    <m/>
    <m/>
    <m/>
    <m/>
    <m/>
    <m/>
    <m/>
    <x v="8"/>
    <n v="1773.84"/>
    <x v="1"/>
    <n v="1773.84"/>
    <s v="U"/>
    <m/>
    <m/>
    <m/>
    <s v="MS09"/>
  </r>
  <r>
    <s v="000058"/>
    <s v="10058"/>
    <d v="2019-02-01T00:00:00"/>
    <n v="2378.14"/>
    <s v="Name 58"/>
    <m/>
    <m/>
    <m/>
    <m/>
    <m/>
    <x v="0"/>
    <m/>
    <m/>
    <m/>
    <m/>
    <m/>
    <m/>
    <m/>
    <m/>
    <m/>
    <m/>
    <m/>
    <x v="8"/>
    <n v="2378.14"/>
    <x v="1"/>
    <n v="2378.14"/>
    <s v="U"/>
    <m/>
    <m/>
    <m/>
    <s v="MS09"/>
  </r>
  <r>
    <s v="000059"/>
    <s v="10059"/>
    <d v="2019-06-07T00:00:00"/>
    <n v="3380.14"/>
    <s v="Name 59"/>
    <m/>
    <m/>
    <m/>
    <m/>
    <m/>
    <x v="0"/>
    <m/>
    <m/>
    <m/>
    <m/>
    <m/>
    <m/>
    <m/>
    <m/>
    <m/>
    <m/>
    <m/>
    <x v="8"/>
    <n v="3380.14"/>
    <x v="1"/>
    <n v="3380.14"/>
    <s v="U"/>
    <m/>
    <m/>
    <m/>
    <s v="MS09"/>
  </r>
  <r>
    <s v="000060"/>
    <s v="10060"/>
    <d v="2019-08-28T00:00:00"/>
    <n v="149.88"/>
    <s v="Name 60"/>
    <m/>
    <m/>
    <m/>
    <m/>
    <m/>
    <x v="0"/>
    <m/>
    <m/>
    <m/>
    <m/>
    <m/>
    <m/>
    <m/>
    <m/>
    <m/>
    <m/>
    <m/>
    <x v="8"/>
    <n v="149.88"/>
    <x v="1"/>
    <n v="149.88"/>
    <s v="U"/>
    <m/>
    <m/>
    <m/>
    <s v="MS09"/>
  </r>
  <r>
    <s v="000061"/>
    <s v="10061"/>
    <d v="2019-04-18T00:00:00"/>
    <n v="101223.99"/>
    <s v="Name 61"/>
    <m/>
    <m/>
    <m/>
    <m/>
    <m/>
    <x v="0"/>
    <m/>
    <m/>
    <m/>
    <m/>
    <m/>
    <m/>
    <m/>
    <m/>
    <m/>
    <m/>
    <m/>
    <x v="8"/>
    <n v="101223.99"/>
    <x v="1"/>
    <n v="101223.99"/>
    <s v="U"/>
    <m/>
    <m/>
    <m/>
    <s v="MS09"/>
  </r>
  <r>
    <s v="000062"/>
    <s v="10062"/>
    <d v="2019-03-27T00:00:00"/>
    <n v="2062.52"/>
    <s v="Name 62"/>
    <m/>
    <m/>
    <m/>
    <m/>
    <m/>
    <x v="0"/>
    <m/>
    <m/>
    <m/>
    <m/>
    <m/>
    <m/>
    <m/>
    <m/>
    <m/>
    <m/>
    <m/>
    <x v="8"/>
    <n v="2062.52"/>
    <x v="1"/>
    <n v="2062.52"/>
    <s v="U"/>
    <m/>
    <m/>
    <m/>
    <s v="MS09"/>
  </r>
  <r>
    <s v="000063"/>
    <s v="10063"/>
    <d v="2019-02-20T00:00:00"/>
    <n v="784.01"/>
    <s v="Name 63"/>
    <m/>
    <m/>
    <m/>
    <m/>
    <m/>
    <x v="0"/>
    <m/>
    <m/>
    <m/>
    <m/>
    <m/>
    <m/>
    <m/>
    <m/>
    <m/>
    <m/>
    <m/>
    <x v="8"/>
    <n v="784.01"/>
    <x v="1"/>
    <n v="784.01"/>
    <s v="U"/>
    <m/>
    <m/>
    <m/>
    <s v="MS09"/>
  </r>
  <r>
    <s v="000064"/>
    <s v="10064"/>
    <d v="2019-01-07T00:00:00"/>
    <n v="45769.61"/>
    <s v="Name 64"/>
    <m/>
    <m/>
    <m/>
    <m/>
    <m/>
    <x v="0"/>
    <m/>
    <m/>
    <m/>
    <m/>
    <m/>
    <m/>
    <m/>
    <m/>
    <m/>
    <m/>
    <m/>
    <x v="8"/>
    <n v="45769.61"/>
    <x v="0"/>
    <n v="0"/>
    <s v="C"/>
    <m/>
    <m/>
    <m/>
    <s v="MS09"/>
  </r>
  <r>
    <s v="000065"/>
    <s v="10065"/>
    <d v="2019-04-05T00:00:00"/>
    <n v="2988.93"/>
    <s v="Name 65"/>
    <m/>
    <m/>
    <m/>
    <m/>
    <m/>
    <x v="0"/>
    <m/>
    <m/>
    <m/>
    <m/>
    <m/>
    <m/>
    <m/>
    <m/>
    <m/>
    <m/>
    <m/>
    <x v="8"/>
    <n v="2988.93"/>
    <x v="1"/>
    <n v="2988.93"/>
    <s v="U"/>
    <m/>
    <m/>
    <m/>
    <s v="MS09"/>
  </r>
  <r>
    <s v="000066"/>
    <s v="10066"/>
    <d v="2019-06-24T00:00:00"/>
    <n v="814.69"/>
    <s v="Name 66"/>
    <m/>
    <m/>
    <m/>
    <m/>
    <m/>
    <x v="0"/>
    <m/>
    <m/>
    <m/>
    <m/>
    <m/>
    <m/>
    <m/>
    <m/>
    <m/>
    <m/>
    <m/>
    <x v="8"/>
    <n v="814.69"/>
    <x v="1"/>
    <n v="814.69"/>
    <s v="U"/>
    <m/>
    <m/>
    <m/>
    <s v="MS09"/>
  </r>
  <r>
    <s v="000067"/>
    <s v="10067"/>
    <d v="2020-02-24T00:00:00"/>
    <n v="60.56"/>
    <s v="Name 67"/>
    <m/>
    <m/>
    <m/>
    <m/>
    <m/>
    <x v="1"/>
    <m/>
    <m/>
    <m/>
    <m/>
    <m/>
    <m/>
    <m/>
    <m/>
    <m/>
    <m/>
    <m/>
    <x v="8"/>
    <n v="60.56"/>
    <x v="1"/>
    <n v="60.56"/>
    <s v="U"/>
    <m/>
    <m/>
    <m/>
    <s v="MS09"/>
  </r>
  <r>
    <s v="000068"/>
    <s v="10068"/>
    <d v="2020-09-02T00:00:00"/>
    <n v="436.55"/>
    <s v="Name 68"/>
    <m/>
    <m/>
    <m/>
    <m/>
    <m/>
    <x v="1"/>
    <m/>
    <m/>
    <m/>
    <m/>
    <m/>
    <m/>
    <m/>
    <m/>
    <m/>
    <m/>
    <m/>
    <x v="9"/>
    <n v="436.55"/>
    <x v="1"/>
    <n v="436.55"/>
    <s v="U"/>
    <m/>
    <m/>
    <m/>
    <s v="MS09"/>
  </r>
  <r>
    <s v="000069"/>
    <s v="10069"/>
    <d v="2021-04-02T00:00:00"/>
    <n v="5933.97"/>
    <s v="Name 69"/>
    <m/>
    <m/>
    <m/>
    <m/>
    <m/>
    <x v="2"/>
    <m/>
    <m/>
    <m/>
    <m/>
    <m/>
    <m/>
    <m/>
    <m/>
    <m/>
    <m/>
    <m/>
    <x v="9"/>
    <n v="5933.97"/>
    <x v="1"/>
    <n v="5933.97"/>
    <s v="U"/>
    <m/>
    <m/>
    <m/>
    <s v="MS09"/>
  </r>
  <r>
    <s v="000070"/>
    <s v="10070"/>
    <d v="2021-04-02T00:00:00"/>
    <n v="1206.5"/>
    <s v="Name 70"/>
    <m/>
    <m/>
    <m/>
    <m/>
    <m/>
    <x v="2"/>
    <m/>
    <m/>
    <m/>
    <m/>
    <m/>
    <m/>
    <m/>
    <m/>
    <m/>
    <m/>
    <m/>
    <x v="9"/>
    <n v="1206.5"/>
    <x v="1"/>
    <n v="1206.5"/>
    <s v="U"/>
    <m/>
    <m/>
    <m/>
    <s v="MS09"/>
  </r>
  <r>
    <s v="000071"/>
    <s v="10071"/>
    <d v="2021-04-02T00:00:00"/>
    <n v="785.32"/>
    <s v="Name 71"/>
    <m/>
    <m/>
    <m/>
    <m/>
    <m/>
    <x v="2"/>
    <m/>
    <m/>
    <m/>
    <m/>
    <m/>
    <m/>
    <m/>
    <m/>
    <m/>
    <m/>
    <m/>
    <x v="9"/>
    <n v="785.32"/>
    <x v="1"/>
    <n v="785.32"/>
    <s v="U"/>
    <m/>
    <m/>
    <m/>
    <s v="MS09"/>
  </r>
  <r>
    <s v="000072"/>
    <s v="10072"/>
    <d v="2021-04-02T00:00:00"/>
    <n v="776.49"/>
    <s v="Name 72"/>
    <m/>
    <m/>
    <m/>
    <m/>
    <m/>
    <x v="2"/>
    <m/>
    <m/>
    <m/>
    <m/>
    <m/>
    <m/>
    <m/>
    <m/>
    <m/>
    <m/>
    <m/>
    <x v="9"/>
    <n v="776.49"/>
    <x v="1"/>
    <n v="776.49"/>
    <s v="U"/>
    <m/>
    <m/>
    <m/>
    <s v="MS09"/>
  </r>
  <r>
    <s v="000073"/>
    <s v="10073"/>
    <d v="2019-02-11T00:00:00"/>
    <n v="500"/>
    <s v="Name 73"/>
    <m/>
    <m/>
    <m/>
    <m/>
    <m/>
    <x v="0"/>
    <m/>
    <m/>
    <m/>
    <m/>
    <m/>
    <m/>
    <m/>
    <m/>
    <m/>
    <m/>
    <m/>
    <x v="9"/>
    <n v="500"/>
    <x v="0"/>
    <n v="0"/>
    <s v="C"/>
    <m/>
    <m/>
    <m/>
    <s v="MS09"/>
  </r>
  <r>
    <s v="000074"/>
    <s v="10074"/>
    <d v="2019-07-02T00:00:00"/>
    <n v="89.25"/>
    <s v="Name 74"/>
    <m/>
    <m/>
    <m/>
    <m/>
    <m/>
    <x v="0"/>
    <m/>
    <m/>
    <m/>
    <m/>
    <m/>
    <m/>
    <m/>
    <m/>
    <m/>
    <m/>
    <m/>
    <x v="9"/>
    <n v="89.25"/>
    <x v="1"/>
    <n v="89.25"/>
    <s v="U"/>
    <m/>
    <m/>
    <m/>
    <s v="MS09"/>
  </r>
  <r>
    <s v="000075"/>
    <s v="10075"/>
    <d v="2019-01-03T00:00:00"/>
    <n v="1732.6"/>
    <s v="Name 75"/>
    <m/>
    <m/>
    <m/>
    <m/>
    <m/>
    <x v="0"/>
    <m/>
    <m/>
    <m/>
    <m/>
    <m/>
    <m/>
    <m/>
    <m/>
    <m/>
    <m/>
    <m/>
    <x v="9"/>
    <n v="1732.6"/>
    <x v="1"/>
    <n v="1732.6"/>
    <s v="U"/>
    <m/>
    <m/>
    <m/>
    <s v="MS09"/>
  </r>
  <r>
    <s v="000076"/>
    <s v="10076"/>
    <d v="2019-01-10T00:00:00"/>
    <n v="190.24"/>
    <s v="Name 76"/>
    <m/>
    <m/>
    <m/>
    <m/>
    <m/>
    <x v="0"/>
    <m/>
    <m/>
    <m/>
    <m/>
    <m/>
    <m/>
    <m/>
    <m/>
    <m/>
    <m/>
    <m/>
    <x v="10"/>
    <n v="190.24"/>
    <x v="1"/>
    <n v="190.24"/>
    <s v="U"/>
    <m/>
    <m/>
    <m/>
    <s v="MS09"/>
  </r>
  <r>
    <s v="000077"/>
    <s v="10077"/>
    <d v="2019-09-16T00:00:00"/>
    <n v="95.34"/>
    <s v="Name 77"/>
    <m/>
    <m/>
    <m/>
    <m/>
    <m/>
    <x v="0"/>
    <m/>
    <m/>
    <m/>
    <m/>
    <m/>
    <m/>
    <m/>
    <m/>
    <m/>
    <m/>
    <m/>
    <x v="10"/>
    <n v="95.34"/>
    <x v="1"/>
    <n v="95.34"/>
    <s v="U"/>
    <m/>
    <m/>
    <m/>
    <s v="MS09"/>
  </r>
  <r>
    <s v="000078"/>
    <s v="10078"/>
    <d v="2020-06-23T00:00:00"/>
    <n v="3654.84"/>
    <s v="Name 78"/>
    <m/>
    <m/>
    <m/>
    <m/>
    <m/>
    <x v="1"/>
    <m/>
    <m/>
    <m/>
    <m/>
    <m/>
    <m/>
    <m/>
    <m/>
    <m/>
    <m/>
    <m/>
    <x v="10"/>
    <n v="3654.84"/>
    <x v="1"/>
    <n v="3654.84"/>
    <s v="U"/>
    <m/>
    <m/>
    <m/>
    <s v="MS09"/>
  </r>
  <r>
    <s v="000079"/>
    <s v="10079"/>
    <d v="2019-01-03T00:00:00"/>
    <n v="7145.28"/>
    <s v="Name 79"/>
    <m/>
    <m/>
    <m/>
    <m/>
    <m/>
    <x v="0"/>
    <m/>
    <m/>
    <m/>
    <m/>
    <m/>
    <m/>
    <m/>
    <m/>
    <m/>
    <m/>
    <m/>
    <x v="10"/>
    <n v="7145.28"/>
    <x v="0"/>
    <n v="0"/>
    <s v="C"/>
    <m/>
    <m/>
    <m/>
    <s v="MS09"/>
  </r>
  <r>
    <s v="000080"/>
    <s v="10080"/>
    <d v="2021-09-03T00:00:00"/>
    <n v="4161.9399999999996"/>
    <s v="Name 80"/>
    <m/>
    <m/>
    <m/>
    <m/>
    <m/>
    <x v="2"/>
    <m/>
    <m/>
    <m/>
    <m/>
    <m/>
    <m/>
    <m/>
    <m/>
    <m/>
    <m/>
    <m/>
    <x v="10"/>
    <n v="4161.9399999999996"/>
    <x v="1"/>
    <n v="4161.9399999999996"/>
    <s v="U"/>
    <m/>
    <m/>
    <m/>
    <s v="MS09"/>
  </r>
  <r>
    <s v="000081"/>
    <s v="10081"/>
    <d v="2021-08-09T00:00:00"/>
    <n v="6900.9"/>
    <s v="Name 81"/>
    <m/>
    <m/>
    <m/>
    <m/>
    <m/>
    <x v="2"/>
    <m/>
    <m/>
    <m/>
    <m/>
    <m/>
    <m/>
    <m/>
    <m/>
    <m/>
    <m/>
    <m/>
    <x v="10"/>
    <n v="6900.9"/>
    <x v="1"/>
    <n v="6900.9"/>
    <s v="U"/>
    <m/>
    <m/>
    <m/>
    <s v="MS09"/>
  </r>
  <r>
    <s v="000082"/>
    <s v="10082"/>
    <d v="2020-04-27T00:00:00"/>
    <n v="1149.1099999999999"/>
    <s v="Name 82"/>
    <m/>
    <m/>
    <m/>
    <m/>
    <m/>
    <x v="1"/>
    <m/>
    <m/>
    <m/>
    <m/>
    <m/>
    <m/>
    <m/>
    <m/>
    <m/>
    <m/>
    <m/>
    <x v="11"/>
    <n v="1149.1099999999999"/>
    <x v="1"/>
    <n v="1149.1099999999999"/>
    <s v="U"/>
    <m/>
    <m/>
    <m/>
    <s v="MS09"/>
  </r>
  <r>
    <s v="000083"/>
    <s v="10083"/>
    <d v="2019-09-18T00:00:00"/>
    <n v="255"/>
    <s v="Name 83"/>
    <m/>
    <m/>
    <m/>
    <m/>
    <m/>
    <x v="0"/>
    <m/>
    <m/>
    <m/>
    <m/>
    <m/>
    <m/>
    <m/>
    <m/>
    <m/>
    <m/>
    <m/>
    <x v="3"/>
    <n v="255"/>
    <x v="1"/>
    <n v="255"/>
    <s v="U"/>
    <m/>
    <m/>
    <m/>
    <s v="MS09"/>
  </r>
  <r>
    <s v="000084"/>
    <s v="10084"/>
    <d v="2019-01-15T00:00:00"/>
    <n v="39.75"/>
    <s v="Name 84"/>
    <m/>
    <m/>
    <m/>
    <m/>
    <m/>
    <x v="0"/>
    <m/>
    <m/>
    <m/>
    <m/>
    <m/>
    <m/>
    <m/>
    <m/>
    <m/>
    <m/>
    <m/>
    <x v="12"/>
    <n v="39.75"/>
    <x v="1"/>
    <n v="39.75"/>
    <s v="U"/>
    <m/>
    <m/>
    <m/>
    <s v="MS09"/>
  </r>
  <r>
    <s v="000085"/>
    <s v="10085"/>
    <d v="2019-04-15T00:00:00"/>
    <n v="649.48"/>
    <s v="Name 85"/>
    <m/>
    <m/>
    <m/>
    <m/>
    <m/>
    <x v="0"/>
    <m/>
    <m/>
    <m/>
    <m/>
    <m/>
    <m/>
    <m/>
    <m/>
    <m/>
    <m/>
    <m/>
    <x v="12"/>
    <n v="649.48"/>
    <x v="1"/>
    <n v="649.48"/>
    <s v="U"/>
    <m/>
    <m/>
    <m/>
    <s v="MS09"/>
  </r>
  <r>
    <s v="000086"/>
    <s v="10086"/>
    <d v="2019-11-26T00:00:00"/>
    <n v="604.30999999999995"/>
    <s v="Name 86"/>
    <m/>
    <m/>
    <m/>
    <m/>
    <m/>
    <x v="0"/>
    <m/>
    <m/>
    <m/>
    <m/>
    <m/>
    <m/>
    <m/>
    <m/>
    <m/>
    <m/>
    <m/>
    <x v="12"/>
    <n v="604.30999999999995"/>
    <x v="1"/>
    <n v="604.30999999999995"/>
    <s v="U"/>
    <m/>
    <m/>
    <m/>
    <s v="MS09"/>
  </r>
  <r>
    <s v="000087"/>
    <s v="10087"/>
    <d v="2019-05-20T00:00:00"/>
    <n v="570.20000000000005"/>
    <s v="Name 87"/>
    <m/>
    <m/>
    <m/>
    <m/>
    <m/>
    <x v="0"/>
    <m/>
    <m/>
    <m/>
    <m/>
    <m/>
    <m/>
    <m/>
    <m/>
    <m/>
    <m/>
    <m/>
    <x v="12"/>
    <n v="570.20000000000005"/>
    <x v="1"/>
    <n v="570.20000000000005"/>
    <s v="U"/>
    <m/>
    <m/>
    <m/>
    <s v="MS09"/>
  </r>
  <r>
    <s v="000088"/>
    <s v="10088"/>
    <d v="2020-05-12T00:00:00"/>
    <n v="35.28"/>
    <s v="Name 88"/>
    <m/>
    <m/>
    <m/>
    <m/>
    <m/>
    <x v="1"/>
    <m/>
    <m/>
    <m/>
    <m/>
    <m/>
    <m/>
    <m/>
    <m/>
    <m/>
    <m/>
    <m/>
    <x v="12"/>
    <n v="35.28"/>
    <x v="1"/>
    <n v="35.28"/>
    <s v="U"/>
    <m/>
    <m/>
    <m/>
    <s v="MS09"/>
  </r>
  <r>
    <s v="000089"/>
    <s v="10089"/>
    <d v="2020-06-16T00:00:00"/>
    <n v="1153.29"/>
    <s v="Name 89"/>
    <m/>
    <m/>
    <m/>
    <m/>
    <m/>
    <x v="1"/>
    <m/>
    <m/>
    <m/>
    <m/>
    <m/>
    <m/>
    <m/>
    <m/>
    <m/>
    <m/>
    <m/>
    <x v="12"/>
    <n v="1153.29"/>
    <x v="1"/>
    <n v="1153.29"/>
    <s v="U"/>
    <m/>
    <m/>
    <m/>
    <s v="MS09"/>
  </r>
  <r>
    <s v="000090"/>
    <s v="10090"/>
    <d v="2019-06-13T00:00:00"/>
    <n v="882.04"/>
    <s v="Name 90"/>
    <m/>
    <m/>
    <m/>
    <m/>
    <m/>
    <x v="0"/>
    <m/>
    <m/>
    <m/>
    <m/>
    <m/>
    <m/>
    <m/>
    <m/>
    <m/>
    <m/>
    <m/>
    <x v="13"/>
    <n v="882.04"/>
    <x v="1"/>
    <n v="882.04"/>
    <s v="U"/>
    <m/>
    <m/>
    <m/>
    <s v="MS09"/>
  </r>
  <r>
    <s v="000091"/>
    <s v="10091"/>
    <d v="2019-05-17T00:00:00"/>
    <n v="2492.59"/>
    <s v="Name 91"/>
    <m/>
    <m/>
    <m/>
    <m/>
    <m/>
    <x v="0"/>
    <m/>
    <m/>
    <m/>
    <m/>
    <m/>
    <m/>
    <m/>
    <m/>
    <m/>
    <m/>
    <m/>
    <x v="8"/>
    <n v="2492.59"/>
    <x v="1"/>
    <n v="2492.59"/>
    <s v="U"/>
    <m/>
    <m/>
    <m/>
    <s v="MS09"/>
  </r>
  <r>
    <s v="000094"/>
    <s v="10094"/>
    <d v="2021-09-24T00:00:00"/>
    <n v="7422.41"/>
    <s v="Name 94"/>
    <m/>
    <m/>
    <m/>
    <m/>
    <m/>
    <x v="2"/>
    <m/>
    <m/>
    <m/>
    <m/>
    <m/>
    <m/>
    <m/>
    <m/>
    <m/>
    <m/>
    <m/>
    <x v="14"/>
    <n v="7422.41"/>
    <x v="0"/>
    <n v="0"/>
    <s v="C"/>
    <m/>
    <m/>
    <m/>
    <s v="MS09"/>
  </r>
  <r>
    <s v="000095"/>
    <s v="10095"/>
    <d v="2019-09-25T00:00:00"/>
    <n v="336"/>
    <s v="Name 95"/>
    <m/>
    <m/>
    <m/>
    <m/>
    <m/>
    <x v="0"/>
    <m/>
    <m/>
    <m/>
    <m/>
    <m/>
    <m/>
    <m/>
    <m/>
    <m/>
    <m/>
    <m/>
    <x v="14"/>
    <n v="336"/>
    <x v="1"/>
    <n v="336"/>
    <s v="U"/>
    <m/>
    <m/>
    <m/>
    <s v="MS09"/>
  </r>
  <r>
    <s v="000096"/>
    <s v="10096"/>
    <d v="2020-12-23T00:00:00"/>
    <n v="1299.03"/>
    <s v="Name 96"/>
    <m/>
    <m/>
    <m/>
    <m/>
    <m/>
    <x v="1"/>
    <m/>
    <m/>
    <m/>
    <m/>
    <m/>
    <m/>
    <m/>
    <m/>
    <m/>
    <m/>
    <m/>
    <x v="14"/>
    <n v="1299.03"/>
    <x v="1"/>
    <n v="1299.03"/>
    <s v="U"/>
    <m/>
    <m/>
    <m/>
    <s v="MS09"/>
  </r>
  <r>
    <s v="000097"/>
    <s v="10097"/>
    <d v="2019-06-21T00:00:00"/>
    <n v="1002.9"/>
    <s v="Name 97"/>
    <m/>
    <m/>
    <m/>
    <m/>
    <m/>
    <x v="0"/>
    <m/>
    <m/>
    <m/>
    <m/>
    <m/>
    <m/>
    <m/>
    <m/>
    <m/>
    <m/>
    <m/>
    <x v="14"/>
    <n v="1002.9"/>
    <x v="1"/>
    <n v="1002.9"/>
    <s v="U"/>
    <m/>
    <m/>
    <m/>
    <s v="MS09"/>
  </r>
  <r>
    <s v="000098"/>
    <s v="10098"/>
    <d v="2020-12-21T00:00:00"/>
    <n v="483.88"/>
    <s v="Name 98"/>
    <m/>
    <m/>
    <m/>
    <m/>
    <m/>
    <x v="1"/>
    <m/>
    <m/>
    <m/>
    <m/>
    <m/>
    <m/>
    <m/>
    <m/>
    <m/>
    <m/>
    <m/>
    <x v="14"/>
    <n v="483.88"/>
    <x v="1"/>
    <n v="483.88"/>
    <s v="U"/>
    <m/>
    <m/>
    <m/>
    <s v="MS09"/>
  </r>
  <r>
    <s v="000099"/>
    <s v="10099"/>
    <d v="2019-06-21T00:00:00"/>
    <n v="89"/>
    <s v="Name 99"/>
    <m/>
    <m/>
    <m/>
    <m/>
    <m/>
    <x v="0"/>
    <m/>
    <m/>
    <m/>
    <m/>
    <m/>
    <m/>
    <m/>
    <m/>
    <m/>
    <m/>
    <m/>
    <x v="14"/>
    <n v="89"/>
    <x v="1"/>
    <n v="89"/>
    <s v="U"/>
    <m/>
    <m/>
    <m/>
    <s v="MS09"/>
  </r>
  <r>
    <s v="000100"/>
    <s v="10100"/>
    <d v="2019-09-18T00:00:00"/>
    <n v="50"/>
    <s v="Name 100"/>
    <m/>
    <m/>
    <m/>
    <m/>
    <m/>
    <x v="0"/>
    <m/>
    <m/>
    <m/>
    <m/>
    <m/>
    <m/>
    <m/>
    <m/>
    <m/>
    <m/>
    <m/>
    <x v="14"/>
    <n v="50"/>
    <x v="1"/>
    <n v="50"/>
    <s v="U"/>
    <m/>
    <m/>
    <m/>
    <s v="MS09"/>
  </r>
  <r>
    <s v="000101"/>
    <s v="10101"/>
    <d v="2021-09-10T00:00:00"/>
    <n v="59124.12"/>
    <s v="Name 101"/>
    <m/>
    <m/>
    <m/>
    <m/>
    <m/>
    <x v="2"/>
    <m/>
    <m/>
    <m/>
    <m/>
    <m/>
    <m/>
    <m/>
    <m/>
    <m/>
    <m/>
    <m/>
    <x v="14"/>
    <n v="59124.12"/>
    <x v="0"/>
    <n v="0"/>
    <s v="C"/>
    <m/>
    <m/>
    <m/>
    <s v="MS09"/>
  </r>
  <r>
    <s v="000102"/>
    <s v="10102"/>
    <d v="2021-09-10T00:00:00"/>
    <n v="12269.08"/>
    <s v="Name 102"/>
    <m/>
    <m/>
    <m/>
    <m/>
    <m/>
    <x v="2"/>
    <m/>
    <m/>
    <m/>
    <m/>
    <m/>
    <m/>
    <m/>
    <m/>
    <m/>
    <m/>
    <m/>
    <x v="14"/>
    <n v="12269.08"/>
    <x v="0"/>
    <n v="0"/>
    <s v="C"/>
    <m/>
    <m/>
    <m/>
    <s v="MS09"/>
  </r>
  <r>
    <s v="000103"/>
    <s v="10103"/>
    <d v="2021-09-10T00:00:00"/>
    <n v="934.96"/>
    <s v="Name 103"/>
    <m/>
    <m/>
    <m/>
    <m/>
    <m/>
    <x v="2"/>
    <m/>
    <m/>
    <m/>
    <m/>
    <m/>
    <m/>
    <m/>
    <m/>
    <m/>
    <m/>
    <m/>
    <x v="14"/>
    <n v="934.96"/>
    <x v="1"/>
    <n v="934.96"/>
    <s v="U"/>
    <m/>
    <m/>
    <m/>
    <s v="MS09"/>
  </r>
  <r>
    <s v="000104"/>
    <s v="10104"/>
    <d v="2019-06-10T00:00:00"/>
    <n v="100"/>
    <s v="Name 104"/>
    <m/>
    <m/>
    <m/>
    <m/>
    <m/>
    <x v="0"/>
    <m/>
    <m/>
    <m/>
    <m/>
    <m/>
    <m/>
    <m/>
    <m/>
    <m/>
    <m/>
    <m/>
    <x v="14"/>
    <n v="100"/>
    <x v="1"/>
    <n v="100"/>
    <s v="U"/>
    <m/>
    <m/>
    <m/>
    <s v="MS09"/>
  </r>
  <r>
    <s v="000105"/>
    <s v="10105"/>
    <d v="2020-12-07T00:00:00"/>
    <n v="37.65"/>
    <s v="Name 105"/>
    <m/>
    <m/>
    <m/>
    <m/>
    <m/>
    <x v="1"/>
    <m/>
    <m/>
    <m/>
    <m/>
    <m/>
    <m/>
    <m/>
    <m/>
    <m/>
    <m/>
    <m/>
    <x v="14"/>
    <n v="37.65"/>
    <x v="1"/>
    <n v="37.65"/>
    <s v="U"/>
    <m/>
    <m/>
    <m/>
    <s v="MS09"/>
  </r>
  <r>
    <s v="000106"/>
    <s v="10106"/>
    <d v="2021-09-02T00:00:00"/>
    <n v="582.39"/>
    <s v="Name 106"/>
    <m/>
    <m/>
    <m/>
    <m/>
    <m/>
    <x v="2"/>
    <m/>
    <m/>
    <m/>
    <m/>
    <m/>
    <m/>
    <m/>
    <m/>
    <m/>
    <m/>
    <m/>
    <x v="14"/>
    <n v="582.39"/>
    <x v="1"/>
    <n v="582.39"/>
    <s v="U"/>
    <m/>
    <m/>
    <m/>
    <s v="MS09"/>
  </r>
  <r>
    <s v="000107"/>
    <s v="10107"/>
    <d v="2021-08-31T00:00:00"/>
    <n v="25891.200000000001"/>
    <s v="Name 107"/>
    <m/>
    <m/>
    <m/>
    <m/>
    <m/>
    <x v="2"/>
    <m/>
    <m/>
    <m/>
    <m/>
    <m/>
    <m/>
    <m/>
    <m/>
    <m/>
    <m/>
    <m/>
    <x v="14"/>
    <n v="68758.44"/>
    <x v="0"/>
    <n v="0"/>
    <s v="C"/>
    <m/>
    <m/>
    <m/>
    <s v="MS09"/>
  </r>
  <r>
    <s v="000108"/>
    <s v="10108"/>
    <d v="2021-08-31T00:00:00"/>
    <n v="53649.35"/>
    <s v="Name 108"/>
    <m/>
    <m/>
    <m/>
    <m/>
    <m/>
    <x v="2"/>
    <m/>
    <m/>
    <m/>
    <m/>
    <m/>
    <m/>
    <m/>
    <m/>
    <m/>
    <m/>
    <m/>
    <x v="14"/>
    <n v="53649.35"/>
    <x v="0"/>
    <n v="0"/>
    <s v="C"/>
    <m/>
    <m/>
    <m/>
    <s v="MS09"/>
  </r>
  <r>
    <s v="000109"/>
    <s v="10109"/>
    <d v="2019-05-30T00:00:00"/>
    <n v="134"/>
    <s v="Name 109"/>
    <m/>
    <m/>
    <m/>
    <m/>
    <m/>
    <x v="0"/>
    <m/>
    <m/>
    <m/>
    <m/>
    <m/>
    <m/>
    <m/>
    <m/>
    <m/>
    <m/>
    <m/>
    <x v="14"/>
    <n v="134"/>
    <x v="0"/>
    <n v="0"/>
    <s v="C"/>
    <m/>
    <m/>
    <m/>
    <s v="MS09"/>
  </r>
  <r>
    <s v="000110"/>
    <s v="10110"/>
    <d v="2019-05-28T00:00:00"/>
    <n v="1124.2"/>
    <s v="Name 110"/>
    <m/>
    <m/>
    <m/>
    <m/>
    <m/>
    <x v="0"/>
    <m/>
    <m/>
    <m/>
    <m/>
    <m/>
    <m/>
    <m/>
    <m/>
    <m/>
    <m/>
    <m/>
    <x v="14"/>
    <n v="1124.2"/>
    <x v="1"/>
    <n v="1124.2"/>
    <s v="U"/>
    <m/>
    <m/>
    <m/>
    <s v="MS09"/>
  </r>
  <r>
    <s v="000111"/>
    <s v="10111"/>
    <d v="2019-05-22T00:00:00"/>
    <n v="117.22"/>
    <s v="Name 111"/>
    <m/>
    <m/>
    <m/>
    <m/>
    <m/>
    <x v="0"/>
    <m/>
    <m/>
    <m/>
    <m/>
    <m/>
    <m/>
    <m/>
    <m/>
    <m/>
    <m/>
    <m/>
    <x v="14"/>
    <n v="117.22"/>
    <x v="1"/>
    <n v="117.22"/>
    <s v="U"/>
    <m/>
    <m/>
    <m/>
    <s v="MS09"/>
  </r>
  <r>
    <s v="000112"/>
    <s v="10112"/>
    <d v="2019-08-19T00:00:00"/>
    <n v="1635.35"/>
    <s v="Name 112"/>
    <m/>
    <m/>
    <m/>
    <m/>
    <m/>
    <x v="0"/>
    <m/>
    <m/>
    <m/>
    <m/>
    <m/>
    <m/>
    <m/>
    <m/>
    <m/>
    <m/>
    <m/>
    <x v="14"/>
    <n v="1635.35"/>
    <x v="1"/>
    <n v="1635.35"/>
    <s v="U"/>
    <m/>
    <m/>
    <m/>
    <s v="MS09"/>
  </r>
  <r>
    <s v="000113"/>
    <s v="10113"/>
    <d v="2019-08-19T00:00:00"/>
    <n v="1127.49"/>
    <s v="Name 113"/>
    <m/>
    <m/>
    <m/>
    <m/>
    <m/>
    <x v="0"/>
    <m/>
    <m/>
    <m/>
    <m/>
    <m/>
    <m/>
    <m/>
    <m/>
    <m/>
    <m/>
    <m/>
    <x v="14"/>
    <n v="1127.49"/>
    <x v="1"/>
    <n v="1127.49"/>
    <s v="U"/>
    <m/>
    <m/>
    <m/>
    <s v="MS09"/>
  </r>
  <r>
    <s v="000114"/>
    <s v="10114"/>
    <d v="2019-05-17T00:00:00"/>
    <n v="93.97"/>
    <s v="Name 114"/>
    <m/>
    <m/>
    <m/>
    <m/>
    <m/>
    <x v="0"/>
    <m/>
    <m/>
    <m/>
    <m/>
    <m/>
    <m/>
    <m/>
    <m/>
    <m/>
    <m/>
    <m/>
    <x v="14"/>
    <n v="93.97"/>
    <x v="1"/>
    <n v="93.97"/>
    <s v="U"/>
    <m/>
    <m/>
    <m/>
    <s v="MS09"/>
  </r>
  <r>
    <s v="000115"/>
    <s v="10115"/>
    <d v="2021-08-13T00:00:00"/>
    <n v="30411.15"/>
    <s v="Name 115"/>
    <m/>
    <m/>
    <m/>
    <m/>
    <m/>
    <x v="2"/>
    <m/>
    <m/>
    <m/>
    <m/>
    <m/>
    <m/>
    <m/>
    <m/>
    <m/>
    <m/>
    <m/>
    <x v="14"/>
    <n v="30411.15"/>
    <x v="1"/>
    <n v="30411.15"/>
    <s v="U"/>
    <m/>
    <m/>
    <m/>
    <s v="MS09"/>
  </r>
  <r>
    <s v="000116"/>
    <s v="10116"/>
    <d v="2021-08-09T00:00:00"/>
    <n v="9900"/>
    <s v="Name 116"/>
    <m/>
    <m/>
    <m/>
    <m/>
    <m/>
    <x v="2"/>
    <m/>
    <m/>
    <m/>
    <m/>
    <m/>
    <m/>
    <m/>
    <m/>
    <m/>
    <m/>
    <m/>
    <x v="10"/>
    <n v="9900"/>
    <x v="1"/>
    <n v="9900"/>
    <s v="U"/>
    <m/>
    <m/>
    <m/>
    <s v="MS09"/>
  </r>
  <r>
    <s v="000117"/>
    <s v="10117"/>
    <d v="2019-05-09T00:00:00"/>
    <n v="285.52999999999997"/>
    <s v="Name 117"/>
    <m/>
    <m/>
    <m/>
    <m/>
    <m/>
    <x v="0"/>
    <m/>
    <m/>
    <m/>
    <m/>
    <m/>
    <m/>
    <m/>
    <m/>
    <m/>
    <m/>
    <m/>
    <x v="14"/>
    <n v="285.52999999999997"/>
    <x v="1"/>
    <n v="285.52999999999997"/>
    <s v="U"/>
    <m/>
    <m/>
    <m/>
    <s v="MS09"/>
  </r>
  <r>
    <s v="000118"/>
    <s v="10118"/>
    <d v="2020-02-06T00:00:00"/>
    <n v="735.79"/>
    <s v="Name 118"/>
    <m/>
    <m/>
    <m/>
    <m/>
    <m/>
    <x v="1"/>
    <m/>
    <m/>
    <m/>
    <m/>
    <m/>
    <m/>
    <m/>
    <m/>
    <m/>
    <m/>
    <m/>
    <x v="8"/>
    <n v="735.79"/>
    <x v="1"/>
    <n v="735.79"/>
    <s v="U"/>
    <m/>
    <m/>
    <m/>
    <s v="MS09"/>
  </r>
  <r>
    <s v="000119"/>
    <s v="10119"/>
    <d v="2021-08-01T00:00:00"/>
    <n v="17011.68"/>
    <s v="Name 119"/>
    <m/>
    <m/>
    <m/>
    <m/>
    <m/>
    <x v="2"/>
    <m/>
    <m/>
    <m/>
    <m/>
    <m/>
    <m/>
    <m/>
    <m/>
    <m/>
    <m/>
    <m/>
    <x v="14"/>
    <n v="17011.68"/>
    <x v="1"/>
    <n v="17011.68"/>
    <s v="U"/>
    <m/>
    <m/>
    <m/>
    <s v="MS09"/>
  </r>
  <r>
    <s v="000120"/>
    <s v="10120"/>
    <d v="2021-08-01T00:00:00"/>
    <n v="3595.48"/>
    <s v="Name 120"/>
    <m/>
    <m/>
    <m/>
    <m/>
    <m/>
    <x v="2"/>
    <m/>
    <m/>
    <m/>
    <m/>
    <m/>
    <m/>
    <m/>
    <m/>
    <m/>
    <m/>
    <m/>
    <x v="14"/>
    <n v="3595.48"/>
    <x v="1"/>
    <n v="3595.48"/>
    <s v="U"/>
    <m/>
    <m/>
    <m/>
    <s v="MS09"/>
  </r>
  <r>
    <s v="000121"/>
    <s v="10121"/>
    <d v="2019-07-30T00:00:00"/>
    <n v="31018.66"/>
    <s v="Name 121"/>
    <m/>
    <m/>
    <m/>
    <m/>
    <m/>
    <x v="0"/>
    <m/>
    <m/>
    <m/>
    <m/>
    <m/>
    <m/>
    <m/>
    <m/>
    <m/>
    <m/>
    <m/>
    <x v="15"/>
    <n v="31018.66"/>
    <x v="1"/>
    <n v="31018.66"/>
    <s v="U"/>
    <m/>
    <m/>
    <m/>
    <s v="MS09"/>
  </r>
  <r>
    <s v="000122"/>
    <s v="10122"/>
    <d v="2019-04-26T00:00:00"/>
    <n v="46.77"/>
    <s v="Name 122"/>
    <m/>
    <m/>
    <m/>
    <m/>
    <m/>
    <x v="0"/>
    <m/>
    <m/>
    <m/>
    <m/>
    <m/>
    <m/>
    <m/>
    <m/>
    <m/>
    <m/>
    <m/>
    <x v="14"/>
    <n v="46.77"/>
    <x v="1"/>
    <n v="46.77"/>
    <s v="U"/>
    <m/>
    <m/>
    <m/>
    <s v="MS09"/>
  </r>
  <r>
    <s v="000123"/>
    <s v="10123"/>
    <d v="2020-04-23T00:00:00"/>
    <n v="2576.9899999999998"/>
    <s v="Name 123"/>
    <m/>
    <m/>
    <m/>
    <m/>
    <m/>
    <x v="1"/>
    <m/>
    <m/>
    <m/>
    <m/>
    <m/>
    <m/>
    <m/>
    <m/>
    <m/>
    <m/>
    <m/>
    <x v="16"/>
    <n v="2576.9899999999998"/>
    <x v="1"/>
    <n v="2576.9899999999998"/>
    <s v="U"/>
    <m/>
    <m/>
    <m/>
    <s v="MS09"/>
  </r>
  <r>
    <s v="000124"/>
    <s v="10124"/>
    <d v="2021-07-23T00:00:00"/>
    <n v="22126.97"/>
    <s v="Name 124"/>
    <m/>
    <m/>
    <m/>
    <m/>
    <m/>
    <x v="2"/>
    <m/>
    <m/>
    <m/>
    <m/>
    <m/>
    <m/>
    <m/>
    <m/>
    <m/>
    <m/>
    <m/>
    <x v="14"/>
    <n v="22126.97"/>
    <x v="1"/>
    <n v="22126.97"/>
    <s v="U"/>
    <m/>
    <m/>
    <m/>
    <s v="MS09"/>
  </r>
  <r>
    <s v="000125"/>
    <s v="10125"/>
    <d v="2021-07-22T00:00:00"/>
    <n v="121584.54"/>
    <s v="Name 125"/>
    <m/>
    <m/>
    <m/>
    <m/>
    <m/>
    <x v="2"/>
    <m/>
    <m/>
    <m/>
    <m/>
    <m/>
    <m/>
    <m/>
    <m/>
    <m/>
    <m/>
    <m/>
    <x v="14"/>
    <n v="121584.54"/>
    <x v="0"/>
    <n v="0"/>
    <s v="C"/>
    <m/>
    <m/>
    <m/>
    <s v="MS09"/>
  </r>
  <r>
    <s v="000126"/>
    <s v="10126"/>
    <d v="2019-07-19T00:00:00"/>
    <n v="986.44"/>
    <s v="Name 126"/>
    <m/>
    <m/>
    <m/>
    <m/>
    <m/>
    <x v="0"/>
    <m/>
    <m/>
    <m/>
    <m/>
    <m/>
    <m/>
    <m/>
    <m/>
    <m/>
    <m/>
    <m/>
    <x v="14"/>
    <n v="986.44"/>
    <x v="1"/>
    <n v="986.44"/>
    <s v="U"/>
    <m/>
    <m/>
    <m/>
    <s v="MS09"/>
  </r>
  <r>
    <s v="000127"/>
    <s v="10127"/>
    <d v="2020-04-16T00:00:00"/>
    <n v="1537.38"/>
    <s v="Name 127"/>
    <m/>
    <m/>
    <m/>
    <m/>
    <m/>
    <x v="1"/>
    <m/>
    <m/>
    <m/>
    <m/>
    <m/>
    <m/>
    <m/>
    <m/>
    <m/>
    <m/>
    <m/>
    <x v="16"/>
    <n v="1537.38"/>
    <x v="1"/>
    <n v="1537.38"/>
    <s v="U"/>
    <m/>
    <m/>
    <m/>
    <s v="MS09"/>
  </r>
  <r>
    <s v="000128"/>
    <s v="10128"/>
    <d v="2021-07-09T00:00:00"/>
    <n v="27457.69"/>
    <s v="Name 128"/>
    <m/>
    <m/>
    <m/>
    <m/>
    <m/>
    <x v="2"/>
    <m/>
    <m/>
    <m/>
    <m/>
    <m/>
    <m/>
    <m/>
    <m/>
    <m/>
    <m/>
    <m/>
    <x v="14"/>
    <n v="27457.69"/>
    <x v="1"/>
    <n v="27457.69"/>
    <s v="U"/>
    <m/>
    <m/>
    <m/>
    <s v="MS09"/>
  </r>
  <r>
    <s v="000129"/>
    <s v="10129"/>
    <d v="2019-04-08T00:00:00"/>
    <n v="2694.6"/>
    <s v="Name 129"/>
    <m/>
    <m/>
    <m/>
    <m/>
    <m/>
    <x v="0"/>
    <m/>
    <m/>
    <m/>
    <m/>
    <m/>
    <m/>
    <m/>
    <m/>
    <m/>
    <m/>
    <m/>
    <x v="14"/>
    <n v="2694.6"/>
    <x v="1"/>
    <n v="2694.6"/>
    <s v="U"/>
    <m/>
    <m/>
    <m/>
    <s v="MS09"/>
  </r>
  <r>
    <s v="000130"/>
    <s v="10130"/>
    <d v="2019-03-26T00:00:00"/>
    <n v="3847.5"/>
    <s v="Name 130"/>
    <m/>
    <m/>
    <m/>
    <m/>
    <m/>
    <x v="0"/>
    <m/>
    <m/>
    <m/>
    <m/>
    <m/>
    <m/>
    <m/>
    <m/>
    <m/>
    <m/>
    <m/>
    <x v="14"/>
    <n v="3847.5"/>
    <x v="0"/>
    <n v="0"/>
    <s v="C"/>
    <m/>
    <m/>
    <m/>
    <s v="MS09"/>
  </r>
  <r>
    <s v="000131"/>
    <s v="10131"/>
    <d v="2019-03-25T00:00:00"/>
    <n v="50.13"/>
    <s v="Name 131"/>
    <m/>
    <m/>
    <m/>
    <m/>
    <m/>
    <x v="0"/>
    <m/>
    <m/>
    <m/>
    <m/>
    <m/>
    <m/>
    <m/>
    <m/>
    <m/>
    <m/>
    <m/>
    <x v="14"/>
    <n v="50.13"/>
    <x v="1"/>
    <n v="50.13"/>
    <s v="U"/>
    <m/>
    <m/>
    <m/>
    <s v="MS09"/>
  </r>
  <r>
    <s v="000132"/>
    <s v="10132"/>
    <d v="2019-03-20T00:00:00"/>
    <n v="227.05"/>
    <s v="Name 132"/>
    <m/>
    <m/>
    <m/>
    <m/>
    <m/>
    <x v="0"/>
    <m/>
    <m/>
    <m/>
    <m/>
    <m/>
    <m/>
    <m/>
    <m/>
    <m/>
    <m/>
    <m/>
    <x v="14"/>
    <n v="227.05"/>
    <x v="1"/>
    <n v="227.05"/>
    <s v="U"/>
    <m/>
    <m/>
    <m/>
    <s v="MS09"/>
  </r>
  <r>
    <s v="000133"/>
    <s v="10133"/>
    <d v="2019-03-18T00:00:00"/>
    <n v="39.49"/>
    <s v="Name 133"/>
    <m/>
    <m/>
    <m/>
    <m/>
    <m/>
    <x v="0"/>
    <m/>
    <m/>
    <m/>
    <m/>
    <m/>
    <m/>
    <m/>
    <m/>
    <m/>
    <m/>
    <m/>
    <x v="14"/>
    <n v="39.49"/>
    <x v="1"/>
    <n v="39.49"/>
    <s v="U"/>
    <m/>
    <m/>
    <m/>
    <s v="MS09"/>
  </r>
  <r>
    <s v="000134"/>
    <s v="10134"/>
    <d v="2019-03-14T00:00:00"/>
    <n v="1001.02"/>
    <s v="Name 134"/>
    <m/>
    <m/>
    <m/>
    <m/>
    <m/>
    <x v="0"/>
    <m/>
    <m/>
    <m/>
    <m/>
    <m/>
    <m/>
    <m/>
    <m/>
    <m/>
    <m/>
    <m/>
    <x v="14"/>
    <n v="1001.02"/>
    <x v="1"/>
    <n v="1001.02"/>
    <s v="U"/>
    <m/>
    <m/>
    <m/>
    <s v="MS09"/>
  </r>
  <r>
    <s v="000135"/>
    <s v="10135"/>
    <d v="2020-03-13T00:00:00"/>
    <n v="429.89"/>
    <s v="Name 135"/>
    <m/>
    <m/>
    <m/>
    <m/>
    <m/>
    <x v="1"/>
    <m/>
    <m/>
    <m/>
    <m/>
    <m/>
    <m/>
    <m/>
    <m/>
    <m/>
    <m/>
    <m/>
    <x v="16"/>
    <n v="429.89"/>
    <x v="0"/>
    <n v="0"/>
    <s v="C"/>
    <m/>
    <m/>
    <m/>
    <s v="MS09"/>
  </r>
  <r>
    <s v="000136"/>
    <s v="10136"/>
    <d v="2019-03-08T00:00:00"/>
    <n v="625.02"/>
    <s v="Name 136"/>
    <m/>
    <m/>
    <m/>
    <m/>
    <m/>
    <x v="0"/>
    <m/>
    <m/>
    <m/>
    <m/>
    <m/>
    <m/>
    <m/>
    <m/>
    <m/>
    <m/>
    <m/>
    <x v="14"/>
    <n v="625.02"/>
    <x v="1"/>
    <n v="625.02"/>
    <s v="U"/>
    <m/>
    <m/>
    <m/>
    <s v="MS09"/>
  </r>
  <r>
    <s v="000137"/>
    <s v="10137"/>
    <d v="2019-03-08T00:00:00"/>
    <n v="317.43"/>
    <s v="Name 137"/>
    <m/>
    <m/>
    <m/>
    <m/>
    <m/>
    <x v="0"/>
    <m/>
    <m/>
    <m/>
    <m/>
    <m/>
    <m/>
    <m/>
    <m/>
    <m/>
    <m/>
    <m/>
    <x v="14"/>
    <n v="317.43"/>
    <x v="1"/>
    <n v="317.43"/>
    <s v="U"/>
    <m/>
    <m/>
    <m/>
    <s v="MS09"/>
  </r>
  <r>
    <s v="000138"/>
    <s v="10138"/>
    <d v="2019-03-08T00:00:00"/>
    <n v="210"/>
    <s v="Name 138"/>
    <m/>
    <m/>
    <m/>
    <m/>
    <m/>
    <x v="0"/>
    <m/>
    <m/>
    <m/>
    <m/>
    <m/>
    <m/>
    <m/>
    <m/>
    <m/>
    <m/>
    <m/>
    <x v="14"/>
    <n v="210"/>
    <x v="1"/>
    <n v="210"/>
    <s v="U"/>
    <m/>
    <m/>
    <m/>
    <s v="MS09"/>
  </r>
  <r>
    <s v="000139"/>
    <s v="10139"/>
    <d v="2019-03-08T00:00:00"/>
    <n v="70.66"/>
    <s v="Name 139"/>
    <m/>
    <m/>
    <m/>
    <m/>
    <m/>
    <x v="0"/>
    <m/>
    <m/>
    <m/>
    <m/>
    <m/>
    <m/>
    <m/>
    <m/>
    <m/>
    <m/>
    <m/>
    <x v="14"/>
    <n v="70.66"/>
    <x v="1"/>
    <n v="70.66"/>
    <s v="U"/>
    <m/>
    <m/>
    <m/>
    <s v="MS09"/>
  </r>
  <r>
    <s v="000140"/>
    <s v="10140"/>
    <d v="2019-06-07T00:00:00"/>
    <n v="2150"/>
    <s v="Name 140"/>
    <m/>
    <m/>
    <m/>
    <m/>
    <m/>
    <x v="0"/>
    <m/>
    <m/>
    <m/>
    <m/>
    <m/>
    <m/>
    <m/>
    <m/>
    <m/>
    <m/>
    <m/>
    <x v="14"/>
    <n v="2150"/>
    <x v="1"/>
    <n v="2150"/>
    <s v="U"/>
    <m/>
    <m/>
    <m/>
    <s v="MS09"/>
  </r>
  <r>
    <s v="000141"/>
    <s v="10141"/>
    <d v="2019-03-01T00:00:00"/>
    <n v="150.5"/>
    <s v="Name 141"/>
    <m/>
    <m/>
    <m/>
    <m/>
    <m/>
    <x v="0"/>
    <m/>
    <m/>
    <m/>
    <m/>
    <m/>
    <m/>
    <m/>
    <m/>
    <m/>
    <m/>
    <m/>
    <x v="14"/>
    <n v="150.5"/>
    <x v="1"/>
    <n v="150.5"/>
    <s v="U"/>
    <m/>
    <m/>
    <m/>
    <s v="MS09"/>
  </r>
  <r>
    <s v="000142"/>
    <s v="10142"/>
    <d v="2019-05-31T00:00:00"/>
    <n v="1873"/>
    <s v="Name 142"/>
    <m/>
    <m/>
    <m/>
    <m/>
    <m/>
    <x v="0"/>
    <m/>
    <m/>
    <m/>
    <m/>
    <m/>
    <m/>
    <m/>
    <m/>
    <m/>
    <m/>
    <m/>
    <x v="14"/>
    <n v="1873"/>
    <x v="1"/>
    <n v="1873"/>
    <s v="U"/>
    <m/>
    <m/>
    <m/>
    <s v="MS09"/>
  </r>
  <r>
    <s v="000143"/>
    <s v="10143"/>
    <d v="2019-02-27T00:00:00"/>
    <n v="70"/>
    <s v="Name 143"/>
    <m/>
    <m/>
    <m/>
    <m/>
    <m/>
    <x v="0"/>
    <m/>
    <m/>
    <m/>
    <m/>
    <m/>
    <m/>
    <m/>
    <m/>
    <m/>
    <m/>
    <m/>
    <x v="14"/>
    <n v="70"/>
    <x v="1"/>
    <n v="70"/>
    <s v="U"/>
    <m/>
    <m/>
    <m/>
    <s v="MS09"/>
  </r>
  <r>
    <s v="000144"/>
    <s v="10144"/>
    <d v="2020-08-27T00:00:00"/>
    <n v="342.44"/>
    <s v="Name 144"/>
    <m/>
    <m/>
    <m/>
    <m/>
    <m/>
    <x v="1"/>
    <m/>
    <m/>
    <m/>
    <m/>
    <m/>
    <m/>
    <m/>
    <m/>
    <m/>
    <m/>
    <m/>
    <x v="14"/>
    <n v="342.44"/>
    <x v="1"/>
    <n v="342.44"/>
    <s v="U"/>
    <m/>
    <m/>
    <m/>
    <s v="MS09"/>
  </r>
  <r>
    <s v="000145"/>
    <s v="10145"/>
    <d v="2019-02-25T00:00:00"/>
    <n v="162"/>
    <s v="Name 145"/>
    <m/>
    <m/>
    <m/>
    <m/>
    <m/>
    <x v="0"/>
    <m/>
    <m/>
    <m/>
    <m/>
    <m/>
    <m/>
    <m/>
    <m/>
    <m/>
    <m/>
    <m/>
    <x v="14"/>
    <n v="162"/>
    <x v="1"/>
    <n v="162"/>
    <s v="U"/>
    <m/>
    <m/>
    <m/>
    <s v="MS09"/>
  </r>
  <r>
    <s v="000146"/>
    <s v="10146"/>
    <d v="2019-02-20T00:00:00"/>
    <n v="79.14"/>
    <s v="Name 146"/>
    <m/>
    <m/>
    <m/>
    <m/>
    <m/>
    <x v="0"/>
    <m/>
    <m/>
    <m/>
    <m/>
    <m/>
    <m/>
    <m/>
    <m/>
    <m/>
    <m/>
    <m/>
    <x v="14"/>
    <n v="79.14"/>
    <x v="1"/>
    <n v="79.14"/>
    <s v="U"/>
    <m/>
    <m/>
    <m/>
    <s v="MS09"/>
  </r>
  <r>
    <s v="000147"/>
    <s v="10147"/>
    <d v="2019-02-20T00:00:00"/>
    <n v="75.25"/>
    <s v="Name 147"/>
    <m/>
    <m/>
    <m/>
    <m/>
    <m/>
    <x v="0"/>
    <m/>
    <m/>
    <m/>
    <m/>
    <m/>
    <m/>
    <m/>
    <m/>
    <m/>
    <m/>
    <m/>
    <x v="14"/>
    <n v="75.25"/>
    <x v="1"/>
    <n v="75.25"/>
    <s v="U"/>
    <m/>
    <m/>
    <m/>
    <s v="MS09"/>
  </r>
  <r>
    <s v="000148"/>
    <s v="10148"/>
    <d v="2021-05-14T00:00:00"/>
    <n v="3754.59"/>
    <s v="Name 148"/>
    <m/>
    <m/>
    <m/>
    <m/>
    <m/>
    <x v="2"/>
    <m/>
    <m/>
    <m/>
    <m/>
    <m/>
    <m/>
    <m/>
    <m/>
    <m/>
    <m/>
    <m/>
    <x v="14"/>
    <n v="3754.59"/>
    <x v="1"/>
    <n v="3754.59"/>
    <s v="U"/>
    <m/>
    <m/>
    <m/>
    <s v="MS09"/>
  </r>
  <r>
    <s v="000149"/>
    <s v="10149"/>
    <d v="2021-05-13T00:00:00"/>
    <n v="82872.61"/>
    <s v="Name 149"/>
    <m/>
    <m/>
    <m/>
    <m/>
    <m/>
    <x v="2"/>
    <m/>
    <m/>
    <m/>
    <m/>
    <m/>
    <m/>
    <m/>
    <m/>
    <m/>
    <m/>
    <m/>
    <x v="14"/>
    <n v="82872.61"/>
    <x v="0"/>
    <n v="0"/>
    <s v="C"/>
    <m/>
    <m/>
    <m/>
    <s v="MS09"/>
  </r>
  <r>
    <s v="000150"/>
    <s v="10150"/>
    <d v="2019-02-11T00:00:00"/>
    <n v="39.17"/>
    <s v="Name 150"/>
    <m/>
    <m/>
    <m/>
    <m/>
    <m/>
    <x v="0"/>
    <m/>
    <m/>
    <m/>
    <m/>
    <m/>
    <m/>
    <m/>
    <m/>
    <m/>
    <m/>
    <m/>
    <x v="14"/>
    <n v="39.17"/>
    <x v="1"/>
    <n v="39.17"/>
    <s v="U"/>
    <m/>
    <m/>
    <m/>
    <s v="MS09"/>
  </r>
  <r>
    <s v="000151"/>
    <s v="10151"/>
    <d v="2019-02-08T00:00:00"/>
    <n v="2921.52"/>
    <s v="Name 151"/>
    <m/>
    <m/>
    <m/>
    <m/>
    <m/>
    <x v="0"/>
    <m/>
    <m/>
    <m/>
    <m/>
    <m/>
    <m/>
    <m/>
    <m/>
    <m/>
    <m/>
    <m/>
    <x v="14"/>
    <n v="2921.52"/>
    <x v="1"/>
    <n v="2921.52"/>
    <s v="U"/>
    <m/>
    <m/>
    <m/>
    <s v="MS09"/>
  </r>
  <r>
    <s v="000152"/>
    <s v="10152"/>
    <d v="2019-02-08T00:00:00"/>
    <n v="1026.73"/>
    <s v="Name 152"/>
    <m/>
    <m/>
    <m/>
    <m/>
    <m/>
    <x v="0"/>
    <m/>
    <m/>
    <m/>
    <m/>
    <m/>
    <m/>
    <m/>
    <m/>
    <m/>
    <m/>
    <m/>
    <x v="14"/>
    <n v="1026.73"/>
    <x v="1"/>
    <n v="1026.73"/>
    <s v="U"/>
    <m/>
    <m/>
    <m/>
    <s v="MS09"/>
  </r>
  <r>
    <s v="000153"/>
    <s v="10153"/>
    <d v="2019-02-08T00:00:00"/>
    <n v="268.13"/>
    <s v="Name 153"/>
    <m/>
    <m/>
    <m/>
    <m/>
    <m/>
    <x v="0"/>
    <m/>
    <m/>
    <m/>
    <m/>
    <m/>
    <m/>
    <m/>
    <m/>
    <m/>
    <m/>
    <m/>
    <x v="14"/>
    <n v="268.13"/>
    <x v="1"/>
    <n v="268.13"/>
    <s v="U"/>
    <m/>
    <m/>
    <m/>
    <s v="MS09"/>
  </r>
  <r>
    <s v="000154"/>
    <s v="10154"/>
    <d v="2019-02-05T00:00:00"/>
    <n v="425.48"/>
    <s v="Name 154"/>
    <m/>
    <m/>
    <m/>
    <m/>
    <m/>
    <x v="0"/>
    <m/>
    <m/>
    <m/>
    <m/>
    <m/>
    <m/>
    <m/>
    <m/>
    <m/>
    <m/>
    <m/>
    <x v="14"/>
    <n v="425.48"/>
    <x v="0"/>
    <n v="0"/>
    <s v="C"/>
    <m/>
    <m/>
    <m/>
    <s v="MS09"/>
  </r>
  <r>
    <s v="000155"/>
    <s v="10155"/>
    <d v="2019-02-05T00:00:00"/>
    <n v="81"/>
    <s v="Name 155"/>
    <m/>
    <m/>
    <m/>
    <m/>
    <m/>
    <x v="0"/>
    <m/>
    <m/>
    <m/>
    <m/>
    <m/>
    <m/>
    <m/>
    <m/>
    <m/>
    <m/>
    <m/>
    <x v="14"/>
    <n v="81"/>
    <x v="1"/>
    <n v="81"/>
    <s v="U"/>
    <m/>
    <m/>
    <m/>
    <s v="MS09"/>
  </r>
  <r>
    <s v="000156"/>
    <s v="10156"/>
    <d v="2019-05-02T00:00:00"/>
    <n v="5851.31"/>
    <s v="Name 156"/>
    <m/>
    <m/>
    <m/>
    <m/>
    <m/>
    <x v="0"/>
    <m/>
    <m/>
    <m/>
    <m/>
    <m/>
    <m/>
    <m/>
    <m/>
    <m/>
    <m/>
    <m/>
    <x v="14"/>
    <n v="5851.31"/>
    <x v="1"/>
    <n v="5851.31"/>
    <s v="U"/>
    <m/>
    <m/>
    <m/>
    <s v="MS09"/>
  </r>
  <r>
    <s v="000157"/>
    <s v="10157"/>
    <d v="2019-01-30T00:00:00"/>
    <n v="700"/>
    <s v="Name 157"/>
    <m/>
    <m/>
    <m/>
    <m/>
    <m/>
    <x v="0"/>
    <m/>
    <m/>
    <m/>
    <m/>
    <m/>
    <m/>
    <m/>
    <m/>
    <m/>
    <m/>
    <m/>
    <x v="14"/>
    <n v="700"/>
    <x v="1"/>
    <n v="700"/>
    <s v="U"/>
    <m/>
    <m/>
    <m/>
    <s v="MS09"/>
  </r>
  <r>
    <s v="000158"/>
    <s v="10158"/>
    <d v="2020-08-01T00:00:00"/>
    <n v="278.3"/>
    <s v="Name 158"/>
    <m/>
    <m/>
    <m/>
    <m/>
    <m/>
    <x v="1"/>
    <m/>
    <m/>
    <m/>
    <m/>
    <m/>
    <m/>
    <m/>
    <m/>
    <m/>
    <m/>
    <m/>
    <x v="8"/>
    <n v="278.3"/>
    <x v="1"/>
    <n v="278.3"/>
    <s v="U"/>
    <m/>
    <m/>
    <m/>
    <s v="MS09"/>
  </r>
  <r>
    <s v="000159"/>
    <s v="10159"/>
    <d v="2021-04-27T00:00:00"/>
    <n v="80043.53"/>
    <s v="Name 159"/>
    <m/>
    <m/>
    <m/>
    <m/>
    <m/>
    <x v="2"/>
    <m/>
    <m/>
    <m/>
    <m/>
    <m/>
    <m/>
    <m/>
    <m/>
    <m/>
    <m/>
    <m/>
    <x v="14"/>
    <n v="80043.53"/>
    <x v="0"/>
    <n v="0"/>
    <s v="C"/>
    <m/>
    <m/>
    <m/>
    <s v="MS09"/>
  </r>
  <r>
    <s v="000160"/>
    <s v="10160"/>
    <d v="2021-04-23T00:00:00"/>
    <n v="2368.9299999999998"/>
    <s v="Name 160"/>
    <m/>
    <m/>
    <m/>
    <m/>
    <m/>
    <x v="2"/>
    <m/>
    <m/>
    <m/>
    <m/>
    <m/>
    <m/>
    <m/>
    <m/>
    <m/>
    <m/>
    <m/>
    <x v="14"/>
    <n v="2368.9299999999998"/>
    <x v="1"/>
    <n v="2368.9299999999998"/>
    <s v="U"/>
    <m/>
    <m/>
    <m/>
    <s v="MS09"/>
  </r>
  <r>
    <s v="000161"/>
    <s v="10161"/>
    <d v="2021-04-21T00:00:00"/>
    <n v="177.83"/>
    <s v="Name 161"/>
    <m/>
    <m/>
    <m/>
    <m/>
    <m/>
    <x v="2"/>
    <m/>
    <m/>
    <m/>
    <m/>
    <m/>
    <m/>
    <m/>
    <m/>
    <m/>
    <m/>
    <m/>
    <x v="8"/>
    <n v="177.83"/>
    <x v="1"/>
    <n v="177.83"/>
    <s v="U"/>
    <m/>
    <m/>
    <m/>
    <s v="MS09"/>
  </r>
  <r>
    <s v="000162"/>
    <s v="10162"/>
    <d v="2020-01-17T00:00:00"/>
    <n v="834.29"/>
    <s v="Name 162"/>
    <m/>
    <m/>
    <m/>
    <m/>
    <m/>
    <x v="1"/>
    <m/>
    <m/>
    <m/>
    <m/>
    <m/>
    <m/>
    <m/>
    <m/>
    <m/>
    <m/>
    <m/>
    <x v="14"/>
    <n v="834.29"/>
    <x v="1"/>
    <n v="834.29"/>
    <s v="U"/>
    <m/>
    <m/>
    <m/>
    <s v="MS09"/>
  </r>
  <r>
    <s v="000163"/>
    <s v="10163"/>
    <d v="2019-01-17T00:00:00"/>
    <n v="64.069999999999993"/>
    <s v="Name 163"/>
    <m/>
    <m/>
    <m/>
    <m/>
    <m/>
    <x v="0"/>
    <m/>
    <m/>
    <m/>
    <m/>
    <m/>
    <m/>
    <m/>
    <m/>
    <m/>
    <m/>
    <m/>
    <x v="14"/>
    <n v="64.069999999999993"/>
    <x v="1"/>
    <n v="64.069999999999993"/>
    <s v="U"/>
    <m/>
    <m/>
    <m/>
    <s v="MS09"/>
  </r>
  <r>
    <s v="000164"/>
    <s v="10164"/>
    <d v="2019-04-16T00:00:00"/>
    <n v="2339.79"/>
    <s v="Name 164"/>
    <m/>
    <m/>
    <m/>
    <m/>
    <m/>
    <x v="0"/>
    <m/>
    <m/>
    <m/>
    <m/>
    <m/>
    <m/>
    <m/>
    <m/>
    <m/>
    <m/>
    <m/>
    <x v="14"/>
    <n v="2339.79"/>
    <x v="1"/>
    <n v="2339.79"/>
    <s v="U"/>
    <m/>
    <m/>
    <m/>
    <s v="MS09"/>
  </r>
  <r>
    <s v="000165"/>
    <s v="10165"/>
    <d v="2019-04-16T00:00:00"/>
    <n v="756"/>
    <s v="Name 165"/>
    <m/>
    <m/>
    <m/>
    <m/>
    <m/>
    <x v="0"/>
    <m/>
    <m/>
    <m/>
    <m/>
    <m/>
    <m/>
    <m/>
    <m/>
    <m/>
    <m/>
    <m/>
    <x v="8"/>
    <n v="756"/>
    <x v="1"/>
    <n v="756"/>
    <s v="U"/>
    <m/>
    <m/>
    <m/>
    <s v="MS09"/>
  </r>
  <r>
    <s v="000166"/>
    <s v="10166"/>
    <d v="2019-01-11T00:00:00"/>
    <n v="450.25"/>
    <s v="Name 166"/>
    <m/>
    <m/>
    <m/>
    <m/>
    <m/>
    <x v="0"/>
    <m/>
    <m/>
    <m/>
    <m/>
    <m/>
    <m/>
    <m/>
    <m/>
    <m/>
    <m/>
    <m/>
    <x v="14"/>
    <n v="450.25"/>
    <x v="1"/>
    <n v="450.25"/>
    <s v="U"/>
    <m/>
    <m/>
    <m/>
    <s v="MS09"/>
  </r>
  <r>
    <s v="000167"/>
    <s v="10167"/>
    <d v="2020-07-02T00:00:00"/>
    <n v="115.46"/>
    <s v="Name 167"/>
    <m/>
    <m/>
    <m/>
    <m/>
    <m/>
    <x v="1"/>
    <m/>
    <m/>
    <m/>
    <m/>
    <m/>
    <m/>
    <m/>
    <m/>
    <m/>
    <m/>
    <m/>
    <x v="14"/>
    <n v="115.46"/>
    <x v="1"/>
    <n v="115.46"/>
    <s v="U"/>
    <m/>
    <m/>
    <m/>
    <s v="MS09"/>
  </r>
  <r>
    <s v="000168"/>
    <s v="10168"/>
    <d v="2019-04-01T00:00:00"/>
    <n v="1084.17"/>
    <s v="Name 168"/>
    <m/>
    <m/>
    <m/>
    <m/>
    <m/>
    <x v="0"/>
    <m/>
    <m/>
    <m/>
    <m/>
    <m/>
    <m/>
    <m/>
    <m/>
    <m/>
    <m/>
    <m/>
    <x v="8"/>
    <n v="1084.17"/>
    <x v="1"/>
    <n v="1084.17"/>
    <s v="U"/>
    <m/>
    <m/>
    <m/>
    <s v="MS09"/>
  </r>
  <r>
    <s v="000169"/>
    <s v="10169"/>
    <d v="2019-04-01T00:00:00"/>
    <n v="369.51"/>
    <s v="Name 169"/>
    <m/>
    <m/>
    <m/>
    <m/>
    <m/>
    <x v="0"/>
    <m/>
    <m/>
    <m/>
    <m/>
    <m/>
    <m/>
    <m/>
    <m/>
    <m/>
    <m/>
    <m/>
    <x v="14"/>
    <n v="369.51"/>
    <x v="1"/>
    <n v="369.51"/>
    <s v="U"/>
    <m/>
    <m/>
    <m/>
    <s v="MS09"/>
  </r>
  <r>
    <s v="000170"/>
    <s v="10170"/>
    <d v="2019-03-12T00:00:00"/>
    <n v="787"/>
    <s v="Name 170"/>
    <m/>
    <m/>
    <m/>
    <m/>
    <m/>
    <x v="0"/>
    <m/>
    <m/>
    <m/>
    <m/>
    <m/>
    <m/>
    <m/>
    <m/>
    <m/>
    <m/>
    <m/>
    <x v="14"/>
    <n v="787"/>
    <x v="1"/>
    <n v="787"/>
    <s v="U"/>
    <m/>
    <m/>
    <m/>
    <s v="MS09"/>
  </r>
  <r>
    <s v="000171"/>
    <s v="10171"/>
    <d v="2021-02-12T00:00:00"/>
    <n v="34743.379999999997"/>
    <s v="Name 171"/>
    <m/>
    <m/>
    <m/>
    <m/>
    <m/>
    <x v="2"/>
    <m/>
    <m/>
    <m/>
    <m/>
    <m/>
    <m/>
    <m/>
    <m/>
    <m/>
    <m/>
    <m/>
    <x v="14"/>
    <n v="34743.379999999997"/>
    <x v="0"/>
    <n v="0"/>
    <s v="C"/>
    <m/>
    <m/>
    <m/>
    <s v="MS09"/>
  </r>
  <r>
    <s v="000172"/>
    <s v="10172"/>
    <d v="2021-02-12T00:00:00"/>
    <n v="15715.58"/>
    <s v="Name 172"/>
    <m/>
    <m/>
    <m/>
    <m/>
    <m/>
    <x v="2"/>
    <m/>
    <m/>
    <m/>
    <m/>
    <m/>
    <m/>
    <m/>
    <m/>
    <m/>
    <m/>
    <m/>
    <x v="14"/>
    <n v="15715.58"/>
    <x v="1"/>
    <n v="15715.58"/>
    <s v="U"/>
    <m/>
    <m/>
    <m/>
    <s v="MS09"/>
  </r>
  <r>
    <s v="000173"/>
    <s v="10173"/>
    <d v="2019-01-18T00:00:00"/>
    <n v="187.32"/>
    <s v="Name 173"/>
    <m/>
    <m/>
    <m/>
    <m/>
    <m/>
    <x v="0"/>
    <m/>
    <m/>
    <m/>
    <m/>
    <m/>
    <m/>
    <m/>
    <m/>
    <m/>
    <m/>
    <m/>
    <x v="14"/>
    <n v="187.32"/>
    <x v="1"/>
    <n v="187.32"/>
    <s v="U"/>
    <m/>
    <m/>
    <m/>
    <s v="MS09"/>
  </r>
  <r>
    <s v="000174"/>
    <s v="10174"/>
    <d v="2020-12-21T00:00:00"/>
    <n v="182.22"/>
    <s v="Name 174"/>
    <m/>
    <m/>
    <m/>
    <m/>
    <m/>
    <x v="1"/>
    <m/>
    <m/>
    <m/>
    <m/>
    <m/>
    <m/>
    <m/>
    <m/>
    <m/>
    <m/>
    <m/>
    <x v="14"/>
    <n v="182.22"/>
    <x v="1"/>
    <n v="182.22"/>
    <s v="U"/>
    <m/>
    <m/>
    <m/>
    <s v="MS09"/>
  </r>
  <r>
    <s v="000175"/>
    <s v="10175"/>
    <d v="2020-12-10T00:00:00"/>
    <n v="37041.839999999997"/>
    <s v="Name 175"/>
    <m/>
    <m/>
    <m/>
    <m/>
    <m/>
    <x v="1"/>
    <m/>
    <m/>
    <m/>
    <m/>
    <m/>
    <m/>
    <m/>
    <m/>
    <m/>
    <m/>
    <m/>
    <x v="14"/>
    <n v="37041.839999999997"/>
    <x v="1"/>
    <n v="37041.839999999997"/>
    <s v="U"/>
    <m/>
    <m/>
    <m/>
    <s v="MS09"/>
  </r>
  <r>
    <s v="000176"/>
    <s v="10176"/>
    <d v="2020-12-10T00:00:00"/>
    <n v="721.13"/>
    <s v="Name 176"/>
    <m/>
    <m/>
    <m/>
    <m/>
    <m/>
    <x v="1"/>
    <m/>
    <m/>
    <m/>
    <m/>
    <m/>
    <m/>
    <m/>
    <m/>
    <m/>
    <m/>
    <m/>
    <x v="14"/>
    <n v="721.13"/>
    <x v="1"/>
    <n v="721.13"/>
    <s v="U"/>
    <m/>
    <m/>
    <m/>
    <s v="MS09"/>
  </r>
  <r>
    <s v="000177"/>
    <s v="10177"/>
    <d v="2020-12-10T00:00:00"/>
    <n v="274.86"/>
    <s v="Name 177"/>
    <m/>
    <m/>
    <m/>
    <m/>
    <m/>
    <x v="1"/>
    <m/>
    <m/>
    <m/>
    <m/>
    <m/>
    <m/>
    <m/>
    <m/>
    <m/>
    <m/>
    <m/>
    <x v="14"/>
    <n v="274.86"/>
    <x v="1"/>
    <n v="274.86"/>
    <s v="U"/>
    <m/>
    <m/>
    <m/>
    <s v="MS09"/>
  </r>
  <r>
    <s v="000178"/>
    <s v="10178"/>
    <d v="2020-03-12T00:00:00"/>
    <n v="176.29"/>
    <s v="Name 178"/>
    <m/>
    <m/>
    <m/>
    <m/>
    <m/>
    <x v="1"/>
    <m/>
    <m/>
    <m/>
    <m/>
    <m/>
    <m/>
    <m/>
    <m/>
    <m/>
    <m/>
    <m/>
    <x v="4"/>
    <n v="176.29"/>
    <x v="1"/>
    <n v="176.29"/>
    <s v="U"/>
    <m/>
    <m/>
    <m/>
    <s v="MS09"/>
  </r>
  <r>
    <s v="000179"/>
    <s v="10179"/>
    <d v="2020-12-06T00:00:00"/>
    <n v="8590.41"/>
    <s v="Name 179"/>
    <m/>
    <m/>
    <m/>
    <m/>
    <m/>
    <x v="1"/>
    <m/>
    <m/>
    <m/>
    <m/>
    <m/>
    <m/>
    <m/>
    <m/>
    <m/>
    <m/>
    <m/>
    <x v="14"/>
    <n v="8590.41"/>
    <x v="1"/>
    <n v="8590.41"/>
    <s v="U"/>
    <m/>
    <m/>
    <m/>
    <s v="MS09"/>
  </r>
  <r>
    <s v="000180"/>
    <s v="10180"/>
    <d v="2020-11-25T00:00:00"/>
    <n v="8207.3799999999992"/>
    <s v="Name 180"/>
    <m/>
    <m/>
    <m/>
    <m/>
    <m/>
    <x v="1"/>
    <m/>
    <m/>
    <m/>
    <m/>
    <m/>
    <m/>
    <m/>
    <m/>
    <m/>
    <m/>
    <m/>
    <x v="14"/>
    <n v="8207.3799999999992"/>
    <x v="1"/>
    <n v="8207.3799999999992"/>
    <s v="U"/>
    <m/>
    <m/>
    <m/>
    <s v="MS09"/>
  </r>
  <r>
    <s v="000181"/>
    <s v="10181"/>
    <d v="2019-01-07T00:00:00"/>
    <n v="3427.68"/>
    <s v="Name 181"/>
    <m/>
    <m/>
    <m/>
    <m/>
    <m/>
    <x v="0"/>
    <m/>
    <m/>
    <m/>
    <m/>
    <m/>
    <m/>
    <m/>
    <m/>
    <m/>
    <m/>
    <m/>
    <x v="14"/>
    <n v="3427.68"/>
    <x v="0"/>
    <n v="0"/>
    <s v="C"/>
    <m/>
    <m/>
    <m/>
    <s v="MS09"/>
  </r>
  <r>
    <s v="000182"/>
    <s v="10182"/>
    <d v="2019-01-18T00:00:00"/>
    <n v="1701.18"/>
    <s v="Name 182"/>
    <m/>
    <m/>
    <m/>
    <m/>
    <m/>
    <x v="0"/>
    <m/>
    <m/>
    <m/>
    <m/>
    <m/>
    <m/>
    <m/>
    <m/>
    <m/>
    <m/>
    <m/>
    <x v="3"/>
    <n v="1701.18"/>
    <x v="1"/>
    <n v="1701.18"/>
    <s v="U"/>
    <m/>
    <m/>
    <m/>
    <s v="MS09"/>
  </r>
  <r>
    <s v="000183"/>
    <s v="10183"/>
    <d v="2021-06-07T00:00:00"/>
    <n v="130101.4"/>
    <s v="Name 183"/>
    <m/>
    <m/>
    <m/>
    <m/>
    <m/>
    <x v="2"/>
    <m/>
    <m/>
    <m/>
    <m/>
    <m/>
    <m/>
    <m/>
    <m/>
    <m/>
    <m/>
    <m/>
    <x v="14"/>
    <n v="130101.4"/>
    <x v="0"/>
    <n v="0"/>
    <s v="C"/>
    <m/>
    <m/>
    <m/>
    <s v="MS09"/>
  </r>
  <r>
    <s v="000184"/>
    <s v="10184"/>
    <d v="2019-09-30T00:00:00"/>
    <n v="53766.26"/>
    <s v="Name 184"/>
    <m/>
    <m/>
    <m/>
    <m/>
    <m/>
    <x v="0"/>
    <m/>
    <m/>
    <m/>
    <m/>
    <m/>
    <m/>
    <m/>
    <m/>
    <m/>
    <m/>
    <m/>
    <x v="1"/>
    <n v="53766.26"/>
    <x v="1"/>
    <n v="53766.26"/>
    <s v="U"/>
    <m/>
    <m/>
    <m/>
    <s v="MS09"/>
  </r>
  <r>
    <s v="000185"/>
    <s v="10185"/>
    <d v="2019-06-14T00:00:00"/>
    <n v="32625.86"/>
    <s v="Name 185"/>
    <m/>
    <m/>
    <m/>
    <m/>
    <m/>
    <x v="0"/>
    <m/>
    <m/>
    <m/>
    <m/>
    <m/>
    <m/>
    <m/>
    <m/>
    <m/>
    <m/>
    <m/>
    <x v="1"/>
    <n v="32625.86"/>
    <x v="0"/>
    <n v="0"/>
    <s v="C"/>
    <m/>
    <m/>
    <m/>
    <s v="MS09"/>
  </r>
  <r>
    <s v="000186"/>
    <s v="10186"/>
    <d v="2019-06-19T00:00:00"/>
    <n v="20027.22"/>
    <s v="Name 186"/>
    <m/>
    <m/>
    <m/>
    <m/>
    <m/>
    <x v="0"/>
    <m/>
    <m/>
    <m/>
    <m/>
    <m/>
    <m/>
    <m/>
    <m/>
    <m/>
    <m/>
    <m/>
    <x v="12"/>
    <n v="20027.22"/>
    <x v="1"/>
    <n v="20027.22"/>
    <s v="U"/>
    <m/>
    <m/>
    <m/>
    <s v="MS09"/>
  </r>
  <r>
    <s v="000187"/>
    <s v="10187"/>
    <d v="2019-06-07T00:00:00"/>
    <n v="15041.03"/>
    <s v="Name 187"/>
    <m/>
    <m/>
    <m/>
    <m/>
    <m/>
    <x v="0"/>
    <m/>
    <m/>
    <m/>
    <m/>
    <m/>
    <m/>
    <m/>
    <m/>
    <m/>
    <m/>
    <m/>
    <x v="12"/>
    <n v="15041.03"/>
    <x v="1"/>
    <n v="15041.03"/>
    <s v="U"/>
    <m/>
    <m/>
    <m/>
    <s v="MS09"/>
  </r>
  <r>
    <s v="000188"/>
    <s v="10188"/>
    <d v="2019-06-14T00:00:00"/>
    <n v="13676.56"/>
    <s v="Name 188"/>
    <m/>
    <m/>
    <m/>
    <m/>
    <m/>
    <x v="0"/>
    <m/>
    <m/>
    <m/>
    <m/>
    <m/>
    <m/>
    <m/>
    <m/>
    <m/>
    <m/>
    <m/>
    <x v="15"/>
    <n v="13676.56"/>
    <x v="1"/>
    <n v="13676.56"/>
    <s v="U"/>
    <m/>
    <m/>
    <m/>
    <s v="MS09"/>
  </r>
  <r>
    <s v="000189"/>
    <s v="10189"/>
    <d v="2019-12-30T00:00:00"/>
    <n v="12240.1"/>
    <s v="Name 189"/>
    <m/>
    <m/>
    <m/>
    <m/>
    <m/>
    <x v="0"/>
    <m/>
    <m/>
    <m/>
    <m/>
    <m/>
    <m/>
    <m/>
    <m/>
    <m/>
    <m/>
    <m/>
    <x v="1"/>
    <n v="12240.1"/>
    <x v="1"/>
    <n v="12240.1"/>
    <s v="U"/>
    <m/>
    <m/>
    <m/>
    <s v="MS09"/>
  </r>
  <r>
    <s v="000190"/>
    <s v="10190"/>
    <d v="2021-09-02T00:00:00"/>
    <n v="11114.88"/>
    <s v="Name 190"/>
    <m/>
    <m/>
    <m/>
    <m/>
    <m/>
    <x v="2"/>
    <m/>
    <m/>
    <m/>
    <m/>
    <m/>
    <m/>
    <m/>
    <m/>
    <m/>
    <m/>
    <m/>
    <x v="14"/>
    <n v="11114.88"/>
    <x v="1"/>
    <n v="11114.88"/>
    <s v="U"/>
    <m/>
    <m/>
    <m/>
    <s v="MS09"/>
  </r>
  <r>
    <s v="000191"/>
    <s v="10191"/>
    <d v="2021-02-12T00:00:00"/>
    <n v="9668.2000000000007"/>
    <s v="Name 191"/>
    <m/>
    <m/>
    <m/>
    <m/>
    <m/>
    <x v="2"/>
    <m/>
    <m/>
    <m/>
    <m/>
    <m/>
    <m/>
    <m/>
    <m/>
    <m/>
    <m/>
    <m/>
    <x v="14"/>
    <n v="9668.2000000000007"/>
    <x v="1"/>
    <n v="9668.2000000000007"/>
    <s v="U"/>
    <m/>
    <m/>
    <m/>
    <s v="MS09"/>
  </r>
  <r>
    <s v="000192"/>
    <s v="10192"/>
    <d v="2021-04-02T00:00:00"/>
    <n v="8670.81"/>
    <s v="Name 192"/>
    <m/>
    <m/>
    <m/>
    <m/>
    <m/>
    <x v="2"/>
    <m/>
    <m/>
    <m/>
    <m/>
    <m/>
    <m/>
    <m/>
    <m/>
    <m/>
    <m/>
    <m/>
    <x v="9"/>
    <n v="8670.81"/>
    <x v="1"/>
    <n v="8670.81"/>
    <s v="U"/>
    <m/>
    <m/>
    <m/>
    <s v="MS09"/>
  </r>
  <r>
    <s v="000193"/>
    <s v="10193"/>
    <d v="2021-08-13T00:00:00"/>
    <n v="7830.47"/>
    <s v="Name 193"/>
    <m/>
    <m/>
    <m/>
    <m/>
    <m/>
    <x v="2"/>
    <m/>
    <m/>
    <m/>
    <m/>
    <m/>
    <m/>
    <m/>
    <m/>
    <m/>
    <m/>
    <m/>
    <x v="14"/>
    <n v="7830.47"/>
    <x v="1"/>
    <n v="7830.47"/>
    <s v="U"/>
    <m/>
    <m/>
    <m/>
    <s v="MS09"/>
  </r>
  <r>
    <s v="000194"/>
    <s v="10194"/>
    <d v="2020-03-26T00:00:00"/>
    <n v="4467.92"/>
    <s v="Name 194"/>
    <m/>
    <m/>
    <m/>
    <m/>
    <m/>
    <x v="1"/>
    <m/>
    <m/>
    <m/>
    <m/>
    <m/>
    <m/>
    <m/>
    <m/>
    <m/>
    <m/>
    <m/>
    <x v="14"/>
    <n v="4467.92"/>
    <x v="1"/>
    <n v="4467.92"/>
    <s v="U"/>
    <m/>
    <m/>
    <m/>
    <s v="MS09"/>
  </r>
  <r>
    <s v="000195"/>
    <s v="10195"/>
    <d v="2021-04-02T00:00:00"/>
    <n v="3355.97"/>
    <s v="Name 195"/>
    <m/>
    <m/>
    <m/>
    <m/>
    <m/>
    <x v="2"/>
    <m/>
    <m/>
    <m/>
    <m/>
    <m/>
    <m/>
    <m/>
    <m/>
    <m/>
    <m/>
    <m/>
    <x v="9"/>
    <n v="3355.97"/>
    <x v="1"/>
    <n v="3355.97"/>
    <s v="U"/>
    <m/>
    <m/>
    <m/>
    <s v="MS09"/>
  </r>
  <r>
    <s v="000196"/>
    <s v="10196"/>
    <d v="2020-01-07T00:00:00"/>
    <n v="2739.7"/>
    <s v="Name 196"/>
    <m/>
    <m/>
    <m/>
    <m/>
    <m/>
    <x v="1"/>
    <m/>
    <m/>
    <m/>
    <m/>
    <m/>
    <m/>
    <m/>
    <m/>
    <m/>
    <m/>
    <m/>
    <x v="1"/>
    <n v="2739.7"/>
    <x v="1"/>
    <n v="2739.7"/>
    <s v="U"/>
    <m/>
    <m/>
    <m/>
    <s v="MS09"/>
  </r>
  <r>
    <s v="000197"/>
    <s v="10197"/>
    <d v="2021-08-24T00:00:00"/>
    <n v="1350.16"/>
    <s v="Name 197"/>
    <m/>
    <m/>
    <m/>
    <m/>
    <m/>
    <x v="2"/>
    <m/>
    <m/>
    <m/>
    <m/>
    <m/>
    <m/>
    <m/>
    <m/>
    <m/>
    <m/>
    <m/>
    <x v="14"/>
    <n v="1350.16"/>
    <x v="0"/>
    <n v="0"/>
    <s v="C"/>
    <m/>
    <m/>
    <m/>
    <s v="MS09"/>
  </r>
  <r>
    <s v="000198"/>
    <s v="10198"/>
    <d v="2021-09-07T00:00:00"/>
    <n v="645115.5"/>
    <s v="Name 198"/>
    <m/>
    <m/>
    <m/>
    <m/>
    <m/>
    <x v="2"/>
    <m/>
    <m/>
    <m/>
    <m/>
    <m/>
    <m/>
    <m/>
    <m/>
    <m/>
    <m/>
    <m/>
    <x v="14"/>
    <n v="645115.5"/>
    <x v="0"/>
    <n v="0"/>
    <s v="C"/>
    <m/>
    <m/>
    <m/>
    <s v="MS09"/>
  </r>
  <r>
    <s v="000199"/>
    <s v="10199"/>
    <d v="2021-08-10T00:00:00"/>
    <n v="185563.2"/>
    <s v="Name 199"/>
    <m/>
    <m/>
    <m/>
    <m/>
    <m/>
    <x v="2"/>
    <m/>
    <m/>
    <m/>
    <m/>
    <m/>
    <m/>
    <m/>
    <m/>
    <m/>
    <m/>
    <m/>
    <x v="14"/>
    <n v="183127.09"/>
    <x v="0"/>
    <n v="0"/>
    <s v="C"/>
    <m/>
    <m/>
    <m/>
    <s v="MS09"/>
  </r>
  <r>
    <s v="000200"/>
    <s v="10200"/>
    <d v="2021-07-23T00:00:00"/>
    <n v="8695.56"/>
    <s v="Name 200"/>
    <m/>
    <m/>
    <m/>
    <m/>
    <m/>
    <x v="2"/>
    <m/>
    <m/>
    <m/>
    <m/>
    <m/>
    <m/>
    <m/>
    <m/>
    <m/>
    <m/>
    <m/>
    <x v="14"/>
    <n v="8695.56"/>
    <x v="0"/>
    <n v="0"/>
    <s v="C"/>
    <m/>
    <m/>
    <m/>
    <s v="MS09"/>
  </r>
  <r>
    <s v="000201"/>
    <s v="10201"/>
    <d v="2021-08-06T00:00:00"/>
    <n v="7034.53"/>
    <s v="Name 201"/>
    <m/>
    <m/>
    <m/>
    <m/>
    <m/>
    <x v="2"/>
    <m/>
    <m/>
    <m/>
    <m/>
    <m/>
    <m/>
    <m/>
    <m/>
    <m/>
    <m/>
    <m/>
    <x v="14"/>
    <n v="7034.53"/>
    <x v="1"/>
    <n v="7034.53"/>
    <s v="U"/>
    <m/>
    <m/>
    <m/>
    <s v="MS09"/>
  </r>
  <r>
    <s v="000202"/>
    <s v="10202"/>
    <d v="2019-03-12T00:00:00"/>
    <n v="5869.71"/>
    <s v="Name 202"/>
    <m/>
    <m/>
    <m/>
    <m/>
    <m/>
    <x v="0"/>
    <m/>
    <m/>
    <m/>
    <m/>
    <m/>
    <m/>
    <m/>
    <m/>
    <m/>
    <m/>
    <m/>
    <x v="14"/>
    <n v="5869.71"/>
    <x v="1"/>
    <n v="5869.71"/>
    <s v="U"/>
    <m/>
    <m/>
    <m/>
    <s v="MS09"/>
  </r>
  <r>
    <s v="000203"/>
    <s v="10203"/>
    <d v="2021-09-23T00:00:00"/>
    <n v="5000"/>
    <s v="Name 203"/>
    <m/>
    <m/>
    <m/>
    <m/>
    <m/>
    <x v="2"/>
    <m/>
    <m/>
    <m/>
    <m/>
    <m/>
    <m/>
    <m/>
    <m/>
    <m/>
    <m/>
    <m/>
    <x v="14"/>
    <n v="5000"/>
    <x v="1"/>
    <n v="5000"/>
    <s v="U"/>
    <m/>
    <m/>
    <m/>
    <s v="MS09"/>
  </r>
  <r>
    <s v="000204"/>
    <s v="10204"/>
    <d v="2019-08-01T00:00:00"/>
    <n v="4747.1400000000003"/>
    <s v="Name 204"/>
    <m/>
    <m/>
    <m/>
    <m/>
    <m/>
    <x v="0"/>
    <m/>
    <m/>
    <m/>
    <m/>
    <m/>
    <m/>
    <m/>
    <m/>
    <m/>
    <m/>
    <m/>
    <x v="14"/>
    <n v="4747.1400000000003"/>
    <x v="1"/>
    <n v="4747.1400000000003"/>
    <s v="U"/>
    <m/>
    <m/>
    <m/>
    <s v="MS09"/>
  </r>
  <r>
    <s v="000205"/>
    <s v="10205"/>
    <d v="2021-06-21T00:00:00"/>
    <n v="4171.47"/>
    <s v="Name 205"/>
    <m/>
    <m/>
    <m/>
    <m/>
    <m/>
    <x v="2"/>
    <m/>
    <m/>
    <m/>
    <m/>
    <m/>
    <m/>
    <m/>
    <m/>
    <m/>
    <m/>
    <m/>
    <x v="14"/>
    <n v="4171.47"/>
    <x v="1"/>
    <n v="4171.47"/>
    <s v="U"/>
    <m/>
    <m/>
    <m/>
    <s v="MS09"/>
  </r>
  <r>
    <s v="000206"/>
    <s v="10206"/>
    <d v="2021-02-12T00:00:00"/>
    <n v="3954.62"/>
    <s v="Name 206"/>
    <m/>
    <m/>
    <m/>
    <m/>
    <m/>
    <x v="2"/>
    <m/>
    <m/>
    <m/>
    <m/>
    <m/>
    <m/>
    <m/>
    <m/>
    <m/>
    <m/>
    <m/>
    <x v="14"/>
    <n v="3954.62"/>
    <x v="0"/>
    <n v="0"/>
    <s v="C"/>
    <m/>
    <m/>
    <m/>
    <s v="MS09"/>
  </r>
  <r>
    <s v="000207"/>
    <s v="10207"/>
    <d v="2021-08-31T00:00:00"/>
    <n v="3917.28"/>
    <s v="Name 207"/>
    <m/>
    <m/>
    <m/>
    <m/>
    <m/>
    <x v="2"/>
    <m/>
    <m/>
    <m/>
    <m/>
    <m/>
    <m/>
    <m/>
    <m/>
    <m/>
    <m/>
    <m/>
    <x v="14"/>
    <n v="3917.28"/>
    <x v="1"/>
    <n v="3917.28"/>
    <s v="U"/>
    <m/>
    <m/>
    <m/>
    <s v="MS09"/>
  </r>
  <r>
    <s v="000218"/>
    <s v="10218"/>
    <d v="2021-05-14T00:00:00"/>
    <n v="2200"/>
    <s v="Name 218"/>
    <m/>
    <m/>
    <m/>
    <m/>
    <m/>
    <x v="2"/>
    <m/>
    <m/>
    <m/>
    <m/>
    <m/>
    <m/>
    <m/>
    <m/>
    <m/>
    <m/>
    <m/>
    <x v="14"/>
    <n v="2200"/>
    <x v="1"/>
    <n v="2200"/>
    <s v="U"/>
    <m/>
    <m/>
    <m/>
    <s v="MS09"/>
  </r>
  <r>
    <s v="000219"/>
    <s v="10219"/>
    <d v="2021-08-31T00:00:00"/>
    <n v="1998.71"/>
    <s v="Name 219"/>
    <m/>
    <m/>
    <m/>
    <m/>
    <m/>
    <x v="2"/>
    <m/>
    <m/>
    <m/>
    <m/>
    <m/>
    <m/>
    <m/>
    <m/>
    <m/>
    <m/>
    <m/>
    <x v="14"/>
    <n v="1998.71"/>
    <x v="1"/>
    <n v="1998.71"/>
    <s v="U"/>
    <m/>
    <m/>
    <m/>
    <s v="MS09"/>
  </r>
  <r>
    <s v="000220"/>
    <s v="10220"/>
    <d v="2021-09-02T00:00:00"/>
    <n v="1977.99"/>
    <s v="Name 220"/>
    <m/>
    <m/>
    <m/>
    <m/>
    <m/>
    <x v="2"/>
    <m/>
    <m/>
    <m/>
    <m/>
    <m/>
    <m/>
    <m/>
    <m/>
    <m/>
    <m/>
    <m/>
    <x v="14"/>
    <n v="1977.99"/>
    <x v="1"/>
    <n v="1977.99"/>
    <s v="U"/>
    <m/>
    <m/>
    <m/>
    <s v="MS09"/>
  </r>
  <r>
    <s v="000221"/>
    <s v="10221"/>
    <d v="2021-05-20T00:00:00"/>
    <n v="1883.9"/>
    <s v="Name 221"/>
    <m/>
    <m/>
    <m/>
    <m/>
    <m/>
    <x v="2"/>
    <m/>
    <m/>
    <m/>
    <m/>
    <m/>
    <m/>
    <m/>
    <m/>
    <m/>
    <m/>
    <m/>
    <x v="14"/>
    <n v="1883.9"/>
    <x v="1"/>
    <n v="1883.9"/>
    <s v="U"/>
    <m/>
    <m/>
    <m/>
    <s v="MS09"/>
  </r>
  <r>
    <s v="000222"/>
    <s v="10222"/>
    <d v="2020-09-11T00:00:00"/>
    <n v="1649.68"/>
    <s v="Name 222"/>
    <m/>
    <m/>
    <m/>
    <m/>
    <m/>
    <x v="1"/>
    <m/>
    <m/>
    <m/>
    <m/>
    <m/>
    <m/>
    <m/>
    <m/>
    <m/>
    <m/>
    <m/>
    <x v="14"/>
    <n v="1649.68"/>
    <x v="1"/>
    <n v="1649.68"/>
    <s v="U"/>
    <m/>
    <m/>
    <m/>
    <s v="MS09"/>
  </r>
  <r>
    <s v="000223"/>
    <s v="10223"/>
    <d v="2021-07-01T00:00:00"/>
    <n v="1596.66"/>
    <s v="Name 223"/>
    <m/>
    <m/>
    <m/>
    <m/>
    <m/>
    <x v="2"/>
    <m/>
    <m/>
    <m/>
    <m/>
    <m/>
    <m/>
    <m/>
    <m/>
    <m/>
    <m/>
    <m/>
    <x v="14"/>
    <n v="1596.66"/>
    <x v="1"/>
    <n v="1596.66"/>
    <s v="U"/>
    <m/>
    <m/>
    <m/>
    <s v="MS09"/>
  </r>
  <r>
    <s v="000224"/>
    <s v="10224"/>
    <d v="2019-08-21T00:00:00"/>
    <n v="1473.81"/>
    <s v="Name 224"/>
    <m/>
    <m/>
    <m/>
    <m/>
    <m/>
    <x v="0"/>
    <m/>
    <m/>
    <m/>
    <m/>
    <m/>
    <m/>
    <m/>
    <m/>
    <m/>
    <m/>
    <m/>
    <x v="14"/>
    <n v="1473.81"/>
    <x v="1"/>
    <n v="1473.81"/>
    <s v="U"/>
    <m/>
    <m/>
    <m/>
    <s v="MS09"/>
  </r>
  <r>
    <s v="000225"/>
    <s v="10225"/>
    <d v="2020-04-13T00:00:00"/>
    <n v="1457.47"/>
    <s v="Name 225"/>
    <m/>
    <m/>
    <m/>
    <m/>
    <m/>
    <x v="1"/>
    <m/>
    <m/>
    <m/>
    <m/>
    <m/>
    <m/>
    <m/>
    <m/>
    <m/>
    <m/>
    <m/>
    <x v="14"/>
    <n v="1457.47"/>
    <x v="1"/>
    <n v="1457.47"/>
    <s v="U"/>
    <m/>
    <m/>
    <m/>
    <s v="MS09"/>
  </r>
  <r>
    <s v="000226"/>
    <s v="10226"/>
    <d v="2021-05-04T00:00:00"/>
    <n v="1427.4"/>
    <s v="Name 226"/>
    <m/>
    <m/>
    <m/>
    <m/>
    <m/>
    <x v="2"/>
    <m/>
    <m/>
    <m/>
    <m/>
    <m/>
    <m/>
    <m/>
    <m/>
    <m/>
    <m/>
    <m/>
    <x v="14"/>
    <n v="1427.4"/>
    <x v="1"/>
    <n v="1427.4"/>
    <s v="U"/>
    <m/>
    <m/>
    <m/>
    <s v="MS09"/>
  </r>
  <r>
    <s v="000227"/>
    <s v="10227"/>
    <d v="2021-03-11T00:00:00"/>
    <n v="1320"/>
    <s v="Name 227"/>
    <m/>
    <m/>
    <m/>
    <m/>
    <m/>
    <x v="2"/>
    <m/>
    <m/>
    <m/>
    <m/>
    <m/>
    <m/>
    <m/>
    <m/>
    <m/>
    <m/>
    <m/>
    <x v="14"/>
    <n v="1320"/>
    <x v="1"/>
    <n v="1320"/>
    <s v="U"/>
    <m/>
    <m/>
    <m/>
    <s v="MS09"/>
  </r>
  <r>
    <s v="000228"/>
    <s v="10228"/>
    <d v="2021-08-01T00:00:00"/>
    <n v="1299.49"/>
    <s v="Name 228"/>
    <m/>
    <m/>
    <m/>
    <m/>
    <m/>
    <x v="2"/>
    <m/>
    <m/>
    <m/>
    <m/>
    <m/>
    <m/>
    <m/>
    <m/>
    <m/>
    <m/>
    <m/>
    <x v="14"/>
    <n v="1299.49"/>
    <x v="1"/>
    <n v="1299.49"/>
    <s v="U"/>
    <m/>
    <m/>
    <m/>
    <s v="MS09"/>
  </r>
  <r>
    <s v="000229"/>
    <s v="10229"/>
    <d v="2021-02-12T00:00:00"/>
    <n v="1268.81"/>
    <s v="Name 229"/>
    <m/>
    <m/>
    <m/>
    <m/>
    <m/>
    <x v="2"/>
    <m/>
    <m/>
    <m/>
    <m/>
    <m/>
    <m/>
    <m/>
    <m/>
    <m/>
    <m/>
    <m/>
    <x v="14"/>
    <n v="1268.81"/>
    <x v="1"/>
    <n v="1268.81"/>
    <s v="U"/>
    <m/>
    <m/>
    <m/>
    <s v="MS09"/>
  </r>
  <r>
    <s v="000230"/>
    <s v="10230"/>
    <d v="2021-02-12T00:00:00"/>
    <n v="1246.3800000000001"/>
    <s v="Name 230"/>
    <m/>
    <m/>
    <m/>
    <m/>
    <m/>
    <x v="2"/>
    <m/>
    <m/>
    <m/>
    <m/>
    <m/>
    <m/>
    <m/>
    <m/>
    <m/>
    <m/>
    <m/>
    <x v="14"/>
    <n v="1246.3800000000001"/>
    <x v="1"/>
    <n v="1246.3800000000001"/>
    <s v="U"/>
    <m/>
    <m/>
    <m/>
    <s v="MS09"/>
  </r>
  <r>
    <s v="000231"/>
    <s v="10231"/>
    <d v="2021-05-04T00:00:00"/>
    <n v="1200"/>
    <s v="Name 231"/>
    <m/>
    <m/>
    <m/>
    <m/>
    <m/>
    <x v="2"/>
    <m/>
    <m/>
    <m/>
    <m/>
    <m/>
    <m/>
    <m/>
    <m/>
    <m/>
    <m/>
    <m/>
    <x v="14"/>
    <n v="1200"/>
    <x v="1"/>
    <n v="1200"/>
    <s v="U"/>
    <m/>
    <m/>
    <m/>
    <s v="MS09"/>
  </r>
  <r>
    <s v="000232"/>
    <s v="10232"/>
    <d v="2021-02-12T00:00:00"/>
    <n v="1155.05"/>
    <s v="Name 232"/>
    <m/>
    <m/>
    <m/>
    <m/>
    <m/>
    <x v="2"/>
    <m/>
    <m/>
    <m/>
    <m/>
    <m/>
    <m/>
    <m/>
    <m/>
    <m/>
    <m/>
    <m/>
    <x v="14"/>
    <n v="1155.05"/>
    <x v="1"/>
    <n v="1155.05"/>
    <s v="U"/>
    <m/>
    <m/>
    <m/>
    <s v="MS09"/>
  </r>
  <r>
    <s v="000233"/>
    <s v="10233"/>
    <d v="2021-08-13T00:00:00"/>
    <n v="1146.28"/>
    <s v="Name 233"/>
    <m/>
    <m/>
    <m/>
    <m/>
    <m/>
    <x v="2"/>
    <m/>
    <m/>
    <m/>
    <m/>
    <m/>
    <m/>
    <m/>
    <m/>
    <m/>
    <m/>
    <m/>
    <x v="14"/>
    <n v="1146.28"/>
    <x v="0"/>
    <n v="0"/>
    <s v="C"/>
    <m/>
    <m/>
    <m/>
    <s v="MS09"/>
  </r>
  <r>
    <s v="000234"/>
    <s v="10234"/>
    <d v="2021-02-12T00:00:00"/>
    <n v="1136.55"/>
    <s v="Name 234"/>
    <m/>
    <m/>
    <m/>
    <m/>
    <m/>
    <x v="2"/>
    <m/>
    <m/>
    <m/>
    <m/>
    <m/>
    <m/>
    <m/>
    <m/>
    <m/>
    <m/>
    <m/>
    <x v="14"/>
    <n v="1136.55"/>
    <x v="1"/>
    <n v="1136.55"/>
    <s v="U"/>
    <m/>
    <m/>
    <m/>
    <s v="MS09"/>
  </r>
  <r>
    <s v="000235"/>
    <s v="10235"/>
    <d v="2019-06-12T00:00:00"/>
    <n v="1097.3699999999999"/>
    <s v="Name 235"/>
    <m/>
    <m/>
    <m/>
    <m/>
    <m/>
    <x v="0"/>
    <m/>
    <m/>
    <m/>
    <m/>
    <m/>
    <m/>
    <m/>
    <m/>
    <m/>
    <m/>
    <m/>
    <x v="14"/>
    <n v="1097.3699999999999"/>
    <x v="1"/>
    <n v="1097.3699999999999"/>
    <s v="U"/>
    <m/>
    <m/>
    <m/>
    <s v="MS09"/>
  </r>
  <r>
    <s v="000236"/>
    <s v="10236"/>
    <d v="2019-08-23T00:00:00"/>
    <n v="1000"/>
    <s v="Name 236"/>
    <m/>
    <m/>
    <m/>
    <m/>
    <m/>
    <x v="0"/>
    <m/>
    <m/>
    <m/>
    <m/>
    <m/>
    <m/>
    <m/>
    <m/>
    <m/>
    <m/>
    <m/>
    <x v="14"/>
    <n v="1000"/>
    <x v="1"/>
    <n v="1000"/>
    <s v="U"/>
    <m/>
    <m/>
    <m/>
    <s v="MS09"/>
  </r>
  <r>
    <s v="000237"/>
    <s v="10237"/>
    <d v="2021-03-11T00:00:00"/>
    <n v="934.96"/>
    <s v="Name 237"/>
    <m/>
    <m/>
    <m/>
    <m/>
    <m/>
    <x v="2"/>
    <m/>
    <m/>
    <m/>
    <m/>
    <m/>
    <m/>
    <m/>
    <m/>
    <m/>
    <m/>
    <m/>
    <x v="14"/>
    <n v="934.96"/>
    <x v="1"/>
    <n v="934.96"/>
    <s v="U"/>
    <m/>
    <m/>
    <m/>
    <s v="MS09"/>
  </r>
  <r>
    <s v="000238"/>
    <s v="10238"/>
    <d v="2019-06-24T00:00:00"/>
    <n v="927.59"/>
    <s v="Name 238"/>
    <m/>
    <m/>
    <m/>
    <m/>
    <m/>
    <x v="0"/>
    <m/>
    <m/>
    <m/>
    <m/>
    <m/>
    <m/>
    <m/>
    <m/>
    <m/>
    <m/>
    <m/>
    <x v="14"/>
    <n v="927.59"/>
    <x v="1"/>
    <n v="927.59"/>
    <s v="U"/>
    <m/>
    <m/>
    <m/>
    <s v="MS09"/>
  </r>
  <r>
    <s v="000239"/>
    <s v="10239"/>
    <d v="2019-09-18T00:00:00"/>
    <n v="900"/>
    <s v="Name 239"/>
    <m/>
    <m/>
    <m/>
    <m/>
    <m/>
    <x v="0"/>
    <m/>
    <m/>
    <m/>
    <m/>
    <m/>
    <m/>
    <m/>
    <m/>
    <m/>
    <m/>
    <m/>
    <x v="14"/>
    <n v="900"/>
    <x v="1"/>
    <n v="900"/>
    <s v="U"/>
    <m/>
    <m/>
    <m/>
    <s v="MS09"/>
  </r>
  <r>
    <s v="000240"/>
    <s v="10240"/>
    <d v="2020-03-26T00:00:00"/>
    <n v="896.76"/>
    <s v="Name 240"/>
    <m/>
    <m/>
    <m/>
    <m/>
    <m/>
    <x v="1"/>
    <m/>
    <m/>
    <m/>
    <m/>
    <m/>
    <m/>
    <m/>
    <m/>
    <m/>
    <m/>
    <m/>
    <x v="14"/>
    <n v="896.76"/>
    <x v="1"/>
    <n v="896.76"/>
    <s v="U"/>
    <m/>
    <m/>
    <m/>
    <s v="MS09"/>
  </r>
  <r>
    <s v="000241"/>
    <s v="10241"/>
    <d v="2021-09-02T00:00:00"/>
    <n v="784.71"/>
    <s v="Name 241"/>
    <m/>
    <m/>
    <m/>
    <m/>
    <m/>
    <x v="2"/>
    <m/>
    <m/>
    <m/>
    <m/>
    <m/>
    <m/>
    <m/>
    <m/>
    <m/>
    <m/>
    <m/>
    <x v="14"/>
    <n v="784.71"/>
    <x v="1"/>
    <n v="784.71"/>
    <s v="U"/>
    <m/>
    <m/>
    <m/>
    <s v="MS09"/>
  </r>
  <r>
    <s v="000242"/>
    <s v="10242"/>
    <d v="2020-06-24T00:00:00"/>
    <n v="732.64"/>
    <s v="Name 242"/>
    <m/>
    <m/>
    <m/>
    <m/>
    <m/>
    <x v="1"/>
    <m/>
    <m/>
    <m/>
    <m/>
    <m/>
    <m/>
    <m/>
    <m/>
    <m/>
    <m/>
    <m/>
    <x v="14"/>
    <n v="732.64"/>
    <x v="1"/>
    <n v="732.64"/>
    <s v="U"/>
    <m/>
    <m/>
    <m/>
    <s v="MS09"/>
  </r>
  <r>
    <s v="000243"/>
    <s v="10243"/>
    <d v="2020-05-28T00:00:00"/>
    <n v="732.58"/>
    <s v="Name 243"/>
    <m/>
    <m/>
    <m/>
    <m/>
    <m/>
    <x v="1"/>
    <m/>
    <m/>
    <m/>
    <m/>
    <m/>
    <m/>
    <m/>
    <m/>
    <m/>
    <m/>
    <m/>
    <x v="14"/>
    <n v="732.58"/>
    <x v="0"/>
    <n v="0"/>
    <s v="C"/>
    <m/>
    <m/>
    <m/>
    <s v="MS09"/>
  </r>
  <r>
    <s v="000244"/>
    <s v="10244"/>
    <d v="2021-08-13T00:00:00"/>
    <n v="727.68"/>
    <s v="Name 244"/>
    <m/>
    <m/>
    <m/>
    <m/>
    <m/>
    <x v="2"/>
    <m/>
    <m/>
    <m/>
    <m/>
    <m/>
    <m/>
    <m/>
    <m/>
    <m/>
    <m/>
    <m/>
    <x v="14"/>
    <n v="727.68"/>
    <x v="1"/>
    <n v="727.68"/>
    <s v="U"/>
    <m/>
    <m/>
    <m/>
    <s v="MS09"/>
  </r>
  <r>
    <s v="000245"/>
    <s v="10245"/>
    <d v="2021-02-23T00:00:00"/>
    <n v="665.47"/>
    <s v="Name 245"/>
    <m/>
    <m/>
    <m/>
    <m/>
    <m/>
    <x v="2"/>
    <m/>
    <m/>
    <m/>
    <m/>
    <m/>
    <m/>
    <m/>
    <m/>
    <m/>
    <m/>
    <m/>
    <x v="14"/>
    <n v="665.47"/>
    <x v="1"/>
    <n v="665.47"/>
    <s v="U"/>
    <m/>
    <m/>
    <m/>
    <s v="MS09"/>
  </r>
  <r>
    <s v="000246"/>
    <s v="10246"/>
    <d v="2020-08-24T00:00:00"/>
    <n v="612.13"/>
    <s v="Name 246"/>
    <m/>
    <m/>
    <m/>
    <m/>
    <m/>
    <x v="1"/>
    <m/>
    <m/>
    <m/>
    <m/>
    <m/>
    <m/>
    <m/>
    <m/>
    <m/>
    <m/>
    <m/>
    <x v="14"/>
    <n v="612.13"/>
    <x v="1"/>
    <n v="612.13"/>
    <s v="U"/>
    <m/>
    <m/>
    <m/>
    <s v="MS09"/>
  </r>
  <r>
    <s v="000247"/>
    <s v="10247"/>
    <d v="2020-03-24T00:00:00"/>
    <n v="602.28"/>
    <s v="Name 247"/>
    <m/>
    <m/>
    <m/>
    <m/>
    <m/>
    <x v="1"/>
    <m/>
    <m/>
    <m/>
    <m/>
    <m/>
    <m/>
    <m/>
    <m/>
    <m/>
    <m/>
    <m/>
    <x v="14"/>
    <n v="602.28"/>
    <x v="1"/>
    <n v="602.28"/>
    <s v="U"/>
    <m/>
    <m/>
    <m/>
    <s v="MS09"/>
  </r>
  <r>
    <s v="000248"/>
    <s v="10248"/>
    <d v="2021-04-26T00:00:00"/>
    <n v="577.19000000000005"/>
    <s v="Name 248"/>
    <m/>
    <m/>
    <m/>
    <m/>
    <m/>
    <x v="2"/>
    <m/>
    <m/>
    <m/>
    <m/>
    <m/>
    <m/>
    <m/>
    <m/>
    <m/>
    <m/>
    <m/>
    <x v="14"/>
    <n v="577.19000000000005"/>
    <x v="1"/>
    <n v="577.19000000000005"/>
    <s v="U"/>
    <m/>
    <m/>
    <m/>
    <s v="MS09"/>
  </r>
  <r>
    <s v="000249"/>
    <s v="10249"/>
    <d v="2020-09-14T00:00:00"/>
    <n v="525.66"/>
    <s v="Name 249"/>
    <m/>
    <m/>
    <m/>
    <m/>
    <m/>
    <x v="1"/>
    <m/>
    <m/>
    <m/>
    <m/>
    <m/>
    <m/>
    <m/>
    <m/>
    <m/>
    <m/>
    <m/>
    <x v="14"/>
    <n v="525.66"/>
    <x v="1"/>
    <n v="525.66"/>
    <s v="U"/>
    <m/>
    <m/>
    <m/>
    <s v="MS09"/>
  </r>
  <r>
    <s v="000250"/>
    <s v="10250"/>
    <d v="2019-02-21T00:00:00"/>
    <n v="516.38"/>
    <s v="Name 250"/>
    <m/>
    <m/>
    <m/>
    <m/>
    <m/>
    <x v="0"/>
    <m/>
    <m/>
    <m/>
    <m/>
    <m/>
    <m/>
    <m/>
    <m/>
    <m/>
    <m/>
    <m/>
    <x v="14"/>
    <n v="516.38"/>
    <x v="1"/>
    <n v="516.38"/>
    <s v="U"/>
    <m/>
    <m/>
    <m/>
    <s v="MS09"/>
  </r>
  <r>
    <s v="000251"/>
    <s v="10251"/>
    <d v="2020-03-13T00:00:00"/>
    <n v="511.78"/>
    <s v="Name 251"/>
    <m/>
    <m/>
    <m/>
    <m/>
    <m/>
    <x v="1"/>
    <m/>
    <m/>
    <m/>
    <m/>
    <m/>
    <m/>
    <m/>
    <m/>
    <m/>
    <m/>
    <m/>
    <x v="14"/>
    <n v="511.78"/>
    <x v="1"/>
    <n v="511.78"/>
    <s v="U"/>
    <m/>
    <m/>
    <m/>
    <s v="MS09"/>
  </r>
  <r>
    <s v="000252"/>
    <s v="10252"/>
    <d v="2021-09-02T00:00:00"/>
    <n v="511.01"/>
    <s v="Name 252"/>
    <m/>
    <m/>
    <m/>
    <m/>
    <m/>
    <x v="2"/>
    <m/>
    <m/>
    <m/>
    <m/>
    <m/>
    <m/>
    <m/>
    <m/>
    <m/>
    <m/>
    <m/>
    <x v="14"/>
    <n v="511.01"/>
    <x v="1"/>
    <n v="511.01"/>
    <s v="U"/>
    <m/>
    <m/>
    <m/>
    <s v="MS09"/>
  </r>
  <r>
    <s v="000253"/>
    <s v="10253"/>
    <d v="2019-07-19T00:00:00"/>
    <n v="486.77"/>
    <s v="Name 253"/>
    <m/>
    <m/>
    <m/>
    <m/>
    <m/>
    <x v="0"/>
    <m/>
    <m/>
    <m/>
    <m/>
    <m/>
    <m/>
    <m/>
    <m/>
    <m/>
    <m/>
    <m/>
    <x v="14"/>
    <n v="486.77"/>
    <x v="1"/>
    <n v="486.77"/>
    <s v="U"/>
    <m/>
    <m/>
    <m/>
    <s v="MS09"/>
  </r>
  <r>
    <s v="000254"/>
    <s v="10254"/>
    <d v="2019-07-02T00:00:00"/>
    <n v="486.61"/>
    <s v="Name 254"/>
    <m/>
    <m/>
    <m/>
    <m/>
    <m/>
    <x v="0"/>
    <m/>
    <m/>
    <m/>
    <m/>
    <m/>
    <m/>
    <m/>
    <m/>
    <m/>
    <m/>
    <m/>
    <x v="14"/>
    <n v="486.61"/>
    <x v="1"/>
    <n v="486.61"/>
    <s v="U"/>
    <m/>
    <m/>
    <m/>
    <s v="MS09"/>
  </r>
  <r>
    <s v="000255"/>
    <s v="10255"/>
    <d v="2020-12-11T00:00:00"/>
    <n v="481.39"/>
    <s v="Name 255"/>
    <m/>
    <m/>
    <m/>
    <m/>
    <m/>
    <x v="1"/>
    <m/>
    <m/>
    <m/>
    <m/>
    <m/>
    <m/>
    <m/>
    <m/>
    <m/>
    <m/>
    <m/>
    <x v="14"/>
    <n v="481.39"/>
    <x v="1"/>
    <n v="481.39"/>
    <s v="U"/>
    <m/>
    <m/>
    <m/>
    <s v="MS09"/>
  </r>
  <r>
    <s v="000256"/>
    <s v="10256"/>
    <d v="2021-02-12T00:00:00"/>
    <n v="472.9"/>
    <s v="Name 256"/>
    <m/>
    <m/>
    <m/>
    <m/>
    <m/>
    <x v="2"/>
    <m/>
    <m/>
    <m/>
    <m/>
    <m/>
    <m/>
    <m/>
    <m/>
    <m/>
    <m/>
    <m/>
    <x v="14"/>
    <n v="472.9"/>
    <x v="1"/>
    <n v="472.9"/>
    <s v="U"/>
    <m/>
    <m/>
    <m/>
    <s v="MS09"/>
  </r>
  <r>
    <s v="000257"/>
    <s v="10257"/>
    <d v="2019-08-08T00:00:00"/>
    <n v="391.12"/>
    <s v="Name 257"/>
    <m/>
    <m/>
    <m/>
    <m/>
    <m/>
    <x v="0"/>
    <m/>
    <m/>
    <m/>
    <m/>
    <m/>
    <m/>
    <m/>
    <m/>
    <m/>
    <m/>
    <m/>
    <x v="14"/>
    <n v="391.12"/>
    <x v="1"/>
    <n v="391.12"/>
    <s v="U"/>
    <m/>
    <m/>
    <m/>
    <s v="MS09"/>
  </r>
  <r>
    <s v="000258"/>
    <s v="10258"/>
    <d v="2020-01-17T00:00:00"/>
    <n v="390.52"/>
    <s v="Name 258"/>
    <m/>
    <m/>
    <m/>
    <m/>
    <m/>
    <x v="1"/>
    <m/>
    <m/>
    <m/>
    <m/>
    <m/>
    <m/>
    <m/>
    <m/>
    <m/>
    <m/>
    <m/>
    <x v="14"/>
    <n v="390.52"/>
    <x v="1"/>
    <n v="390.52"/>
    <s v="U"/>
    <m/>
    <m/>
    <m/>
    <s v="MS09"/>
  </r>
  <r>
    <s v="000259"/>
    <s v="10259"/>
    <d v="2020-08-28T00:00:00"/>
    <n v="388.75"/>
    <s v="Name 259"/>
    <m/>
    <m/>
    <m/>
    <m/>
    <m/>
    <x v="1"/>
    <m/>
    <m/>
    <m/>
    <m/>
    <m/>
    <m/>
    <m/>
    <m/>
    <m/>
    <m/>
    <m/>
    <x v="14"/>
    <n v="388.75"/>
    <x v="1"/>
    <n v="388.75"/>
    <s v="U"/>
    <m/>
    <m/>
    <m/>
    <s v="MS09"/>
  </r>
  <r>
    <s v="000260"/>
    <s v="10260"/>
    <d v="2019-04-11T00:00:00"/>
    <n v="387.01"/>
    <s v="Name 260"/>
    <m/>
    <m/>
    <m/>
    <m/>
    <m/>
    <x v="0"/>
    <m/>
    <m/>
    <m/>
    <m/>
    <m/>
    <m/>
    <m/>
    <m/>
    <m/>
    <m/>
    <m/>
    <x v="14"/>
    <n v="387.01"/>
    <x v="1"/>
    <n v="387.01"/>
    <s v="U"/>
    <m/>
    <m/>
    <m/>
    <s v="MS09"/>
  </r>
  <r>
    <s v="000261"/>
    <s v="10261"/>
    <d v="2021-09-02T00:00:00"/>
    <n v="380.76"/>
    <s v="Name 261"/>
    <m/>
    <m/>
    <m/>
    <m/>
    <m/>
    <x v="2"/>
    <m/>
    <m/>
    <m/>
    <m/>
    <m/>
    <m/>
    <m/>
    <m/>
    <m/>
    <m/>
    <m/>
    <x v="14"/>
    <n v="380.76"/>
    <x v="1"/>
    <n v="380.76"/>
    <s v="U"/>
    <m/>
    <m/>
    <m/>
    <s v="MS09"/>
  </r>
  <r>
    <s v="000262"/>
    <s v="10262"/>
    <d v="2020-03-23T00:00:00"/>
    <n v="368.03"/>
    <s v="Name 262"/>
    <m/>
    <m/>
    <m/>
    <m/>
    <m/>
    <x v="1"/>
    <m/>
    <m/>
    <m/>
    <m/>
    <m/>
    <m/>
    <m/>
    <m/>
    <m/>
    <m/>
    <m/>
    <x v="14"/>
    <n v="368.03"/>
    <x v="1"/>
    <n v="368.03"/>
    <s v="U"/>
    <m/>
    <m/>
    <m/>
    <s v="MS09"/>
  </r>
  <r>
    <s v="000263"/>
    <s v="10263"/>
    <d v="2021-07-01T00:00:00"/>
    <n v="357"/>
    <s v="Name 263"/>
    <m/>
    <m/>
    <m/>
    <m/>
    <m/>
    <x v="2"/>
    <m/>
    <m/>
    <m/>
    <m/>
    <m/>
    <m/>
    <m/>
    <m/>
    <m/>
    <m/>
    <m/>
    <x v="14"/>
    <n v="357"/>
    <x v="1"/>
    <n v="357"/>
    <s v="U"/>
    <m/>
    <m/>
    <m/>
    <s v="MS09"/>
  </r>
  <r>
    <s v="000264"/>
    <s v="10264"/>
    <d v="2019-06-04T00:00:00"/>
    <n v="355.07"/>
    <s v="Name 264"/>
    <m/>
    <m/>
    <m/>
    <m/>
    <m/>
    <x v="0"/>
    <m/>
    <m/>
    <m/>
    <m/>
    <m/>
    <m/>
    <m/>
    <m/>
    <m/>
    <m/>
    <m/>
    <x v="14"/>
    <n v="355.07"/>
    <x v="1"/>
    <n v="355.07"/>
    <s v="U"/>
    <m/>
    <m/>
    <m/>
    <s v="MS09"/>
  </r>
  <r>
    <s v="000265"/>
    <s v="10265"/>
    <d v="2020-11-24T00:00:00"/>
    <n v="347.02"/>
    <s v="Name 265"/>
    <m/>
    <m/>
    <m/>
    <m/>
    <m/>
    <x v="1"/>
    <m/>
    <m/>
    <m/>
    <m/>
    <m/>
    <m/>
    <m/>
    <m/>
    <m/>
    <m/>
    <m/>
    <x v="14"/>
    <n v="347.02"/>
    <x v="1"/>
    <n v="347.02"/>
    <s v="U"/>
    <m/>
    <m/>
    <m/>
    <s v="MS09"/>
  </r>
  <r>
    <s v="000266"/>
    <s v="10266"/>
    <d v="2021-08-18T00:00:00"/>
    <n v="345.01"/>
    <s v="Name 266"/>
    <m/>
    <m/>
    <m/>
    <m/>
    <m/>
    <x v="2"/>
    <m/>
    <m/>
    <m/>
    <m/>
    <m/>
    <m/>
    <m/>
    <m/>
    <m/>
    <m/>
    <m/>
    <x v="14"/>
    <n v="345.01"/>
    <x v="0"/>
    <n v="0"/>
    <s v="C"/>
    <m/>
    <m/>
    <m/>
    <s v="MS09"/>
  </r>
  <r>
    <s v="000267"/>
    <s v="10267"/>
    <d v="2020-04-24T00:00:00"/>
    <n v="333.54"/>
    <s v="Name 267"/>
    <m/>
    <m/>
    <m/>
    <m/>
    <m/>
    <x v="1"/>
    <m/>
    <m/>
    <m/>
    <m/>
    <m/>
    <m/>
    <m/>
    <m/>
    <m/>
    <m/>
    <m/>
    <x v="14"/>
    <n v="333.54"/>
    <x v="1"/>
    <n v="333.54"/>
    <s v="U"/>
    <m/>
    <m/>
    <m/>
    <s v="MS09"/>
  </r>
  <r>
    <s v="000268"/>
    <s v="10268"/>
    <d v="2020-11-24T00:00:00"/>
    <n v="322.33"/>
    <s v="Name 268"/>
    <m/>
    <m/>
    <m/>
    <m/>
    <m/>
    <x v="1"/>
    <m/>
    <m/>
    <m/>
    <m/>
    <m/>
    <m/>
    <m/>
    <m/>
    <m/>
    <m/>
    <m/>
    <x v="14"/>
    <n v="322.33"/>
    <x v="1"/>
    <n v="322.33"/>
    <s v="U"/>
    <m/>
    <m/>
    <m/>
    <s v="MS09"/>
  </r>
  <r>
    <s v="000269"/>
    <s v="10269"/>
    <d v="2020-02-11T00:00:00"/>
    <n v="314.54000000000002"/>
    <s v="Name 269"/>
    <m/>
    <m/>
    <m/>
    <m/>
    <m/>
    <x v="1"/>
    <m/>
    <m/>
    <m/>
    <m/>
    <m/>
    <m/>
    <m/>
    <m/>
    <m/>
    <m/>
    <m/>
    <x v="14"/>
    <n v="314.54000000000002"/>
    <x v="1"/>
    <n v="314.54000000000002"/>
    <s v="U"/>
    <m/>
    <m/>
    <m/>
    <s v="MS09"/>
  </r>
  <r>
    <s v="000270"/>
    <s v="10270"/>
    <d v="2020-01-23T00:00:00"/>
    <n v="312.36"/>
    <s v="Name 270"/>
    <m/>
    <m/>
    <m/>
    <m/>
    <m/>
    <x v="1"/>
    <m/>
    <m/>
    <m/>
    <m/>
    <m/>
    <m/>
    <m/>
    <m/>
    <m/>
    <m/>
    <m/>
    <x v="14"/>
    <n v="312.36"/>
    <x v="1"/>
    <n v="312.36"/>
    <s v="U"/>
    <m/>
    <m/>
    <m/>
    <s v="MS09"/>
  </r>
  <r>
    <s v="000271"/>
    <s v="10271"/>
    <d v="2020-03-13T00:00:00"/>
    <n v="311.49"/>
    <s v="Name 271"/>
    <m/>
    <m/>
    <m/>
    <m/>
    <m/>
    <x v="1"/>
    <m/>
    <m/>
    <m/>
    <m/>
    <m/>
    <m/>
    <m/>
    <m/>
    <m/>
    <m/>
    <m/>
    <x v="14"/>
    <n v="311.49"/>
    <x v="1"/>
    <n v="311.49"/>
    <s v="U"/>
    <m/>
    <m/>
    <m/>
    <s v="MS09"/>
  </r>
  <r>
    <s v="000272"/>
    <s v="10272"/>
    <d v="2020-03-23T00:00:00"/>
    <n v="311.12"/>
    <s v="Name 272"/>
    <m/>
    <m/>
    <m/>
    <m/>
    <m/>
    <x v="1"/>
    <m/>
    <m/>
    <m/>
    <m/>
    <m/>
    <m/>
    <m/>
    <m/>
    <m/>
    <m/>
    <m/>
    <x v="14"/>
    <n v="311.12"/>
    <x v="1"/>
    <n v="311.12"/>
    <s v="U"/>
    <m/>
    <m/>
    <m/>
    <s v="MS09"/>
  </r>
  <r>
    <s v="000273"/>
    <s v="10273"/>
    <d v="2020-06-29T00:00:00"/>
    <n v="298.49"/>
    <s v="Name 273"/>
    <m/>
    <m/>
    <m/>
    <m/>
    <m/>
    <x v="1"/>
    <m/>
    <m/>
    <m/>
    <m/>
    <m/>
    <m/>
    <m/>
    <m/>
    <m/>
    <m/>
    <m/>
    <x v="14"/>
    <n v="298.49"/>
    <x v="0"/>
    <n v="0"/>
    <s v="C"/>
    <m/>
    <m/>
    <m/>
    <s v="MS09"/>
  </r>
  <r>
    <s v="000274"/>
    <s v="10274"/>
    <d v="2019-07-19T00:00:00"/>
    <n v="296.10000000000002"/>
    <s v="Name 274"/>
    <m/>
    <m/>
    <m/>
    <m/>
    <m/>
    <x v="0"/>
    <m/>
    <m/>
    <m/>
    <m/>
    <m/>
    <m/>
    <m/>
    <m/>
    <m/>
    <m/>
    <m/>
    <x v="14"/>
    <n v="296.10000000000002"/>
    <x v="1"/>
    <n v="296.10000000000002"/>
    <s v="U"/>
    <m/>
    <m/>
    <m/>
    <s v="MS09"/>
  </r>
  <r>
    <s v="000275"/>
    <s v="10275"/>
    <d v="2019-06-12T00:00:00"/>
    <n v="291.81"/>
    <s v="Name 275"/>
    <m/>
    <m/>
    <m/>
    <m/>
    <m/>
    <x v="0"/>
    <m/>
    <m/>
    <m/>
    <m/>
    <m/>
    <m/>
    <m/>
    <m/>
    <m/>
    <m/>
    <m/>
    <x v="14"/>
    <n v="291.81"/>
    <x v="1"/>
    <n v="291.81"/>
    <s v="U"/>
    <m/>
    <m/>
    <m/>
    <s v="MS09"/>
  </r>
  <r>
    <s v="000276"/>
    <s v="10276"/>
    <d v="2019-06-11T00:00:00"/>
    <n v="289.75"/>
    <s v="Name 276"/>
    <m/>
    <m/>
    <m/>
    <m/>
    <m/>
    <x v="0"/>
    <m/>
    <m/>
    <m/>
    <m/>
    <m/>
    <m/>
    <m/>
    <m/>
    <m/>
    <m/>
    <m/>
    <x v="14"/>
    <n v="289.75"/>
    <x v="1"/>
    <n v="289.75"/>
    <s v="U"/>
    <m/>
    <m/>
    <m/>
    <s v="MS09"/>
  </r>
  <r>
    <s v="000277"/>
    <s v="10277"/>
    <d v="2019-07-19T00:00:00"/>
    <n v="281.35000000000002"/>
    <s v="Name 277"/>
    <m/>
    <m/>
    <m/>
    <m/>
    <m/>
    <x v="0"/>
    <m/>
    <m/>
    <m/>
    <m/>
    <m/>
    <m/>
    <m/>
    <m/>
    <m/>
    <m/>
    <m/>
    <x v="14"/>
    <n v="281.35000000000002"/>
    <x v="1"/>
    <n v="281.35000000000002"/>
    <s v="U"/>
    <m/>
    <m/>
    <m/>
    <s v="MS09"/>
  </r>
  <r>
    <s v="000278"/>
    <s v="10278"/>
    <d v="2021-04-23T00:00:00"/>
    <n v="275.16000000000003"/>
    <s v="Name 278"/>
    <m/>
    <m/>
    <m/>
    <m/>
    <m/>
    <x v="2"/>
    <m/>
    <m/>
    <m/>
    <m/>
    <m/>
    <m/>
    <m/>
    <m/>
    <m/>
    <m/>
    <m/>
    <x v="14"/>
    <n v="275.16000000000003"/>
    <x v="1"/>
    <n v="275.16000000000003"/>
    <s v="U"/>
    <m/>
    <m/>
    <m/>
    <s v="MS09"/>
  </r>
  <r>
    <s v="000279"/>
    <s v="10279"/>
    <d v="2020-11-03T00:00:00"/>
    <n v="271.79000000000002"/>
    <s v="Name 279"/>
    <m/>
    <m/>
    <m/>
    <m/>
    <m/>
    <x v="1"/>
    <m/>
    <m/>
    <m/>
    <m/>
    <m/>
    <m/>
    <m/>
    <m/>
    <m/>
    <m/>
    <m/>
    <x v="14"/>
    <n v="271.79000000000002"/>
    <x v="1"/>
    <n v="271.79000000000002"/>
    <s v="U"/>
    <m/>
    <m/>
    <m/>
    <s v="MS09"/>
  </r>
  <r>
    <s v="000280"/>
    <s v="10280"/>
    <d v="2019-10-16T00:00:00"/>
    <n v="256.76"/>
    <s v="Name 280"/>
    <m/>
    <m/>
    <m/>
    <m/>
    <m/>
    <x v="0"/>
    <m/>
    <m/>
    <m/>
    <m/>
    <m/>
    <m/>
    <m/>
    <m/>
    <m/>
    <m/>
    <m/>
    <x v="14"/>
    <n v="256.76"/>
    <x v="1"/>
    <n v="256.76"/>
    <s v="U"/>
    <m/>
    <m/>
    <m/>
    <s v="MS09"/>
  </r>
  <r>
    <s v="000281"/>
    <s v="10281"/>
    <d v="2021-08-13T00:00:00"/>
    <n v="249.63"/>
    <s v="Name 281"/>
    <m/>
    <m/>
    <m/>
    <m/>
    <m/>
    <x v="2"/>
    <m/>
    <m/>
    <m/>
    <m/>
    <m/>
    <m/>
    <m/>
    <m/>
    <m/>
    <m/>
    <m/>
    <x v="14"/>
    <n v="249.63"/>
    <x v="1"/>
    <n v="249.63"/>
    <s v="U"/>
    <m/>
    <m/>
    <m/>
    <s v="MS09"/>
  </r>
  <r>
    <s v="000282"/>
    <s v="10282"/>
    <d v="2020-12-15T00:00:00"/>
    <n v="244.32"/>
    <s v="Name 282"/>
    <m/>
    <m/>
    <m/>
    <m/>
    <m/>
    <x v="1"/>
    <m/>
    <m/>
    <m/>
    <m/>
    <m/>
    <m/>
    <m/>
    <m/>
    <m/>
    <m/>
    <m/>
    <x v="14"/>
    <n v="244.32"/>
    <x v="1"/>
    <n v="244.32"/>
    <s v="U"/>
    <m/>
    <m/>
    <m/>
    <s v="MS09"/>
  </r>
  <r>
    <s v="000283"/>
    <s v="10283"/>
    <d v="2019-03-18T00:00:00"/>
    <n v="236.8"/>
    <s v="Name 283"/>
    <m/>
    <m/>
    <m/>
    <m/>
    <m/>
    <x v="0"/>
    <m/>
    <m/>
    <m/>
    <m/>
    <m/>
    <m/>
    <m/>
    <m/>
    <m/>
    <m/>
    <m/>
    <x v="14"/>
    <n v="236.8"/>
    <x v="1"/>
    <n v="236.8"/>
    <s v="U"/>
    <m/>
    <m/>
    <m/>
    <s v="MS09"/>
  </r>
  <r>
    <s v="000284"/>
    <s v="10284"/>
    <d v="2019-07-19T00:00:00"/>
    <n v="235"/>
    <s v="Name 284"/>
    <m/>
    <m/>
    <m/>
    <m/>
    <m/>
    <x v="0"/>
    <m/>
    <m/>
    <m/>
    <m/>
    <m/>
    <m/>
    <m/>
    <m/>
    <m/>
    <m/>
    <m/>
    <x v="14"/>
    <n v="235"/>
    <x v="1"/>
    <n v="235"/>
    <s v="U"/>
    <m/>
    <m/>
    <m/>
    <s v="MS09"/>
  </r>
  <r>
    <s v="000285"/>
    <s v="10285"/>
    <d v="2019-07-19T00:00:00"/>
    <n v="232.52"/>
    <s v="Name 285"/>
    <m/>
    <m/>
    <m/>
    <m/>
    <m/>
    <x v="0"/>
    <m/>
    <m/>
    <m/>
    <m/>
    <m/>
    <m/>
    <m/>
    <m/>
    <m/>
    <m/>
    <m/>
    <x v="14"/>
    <n v="232.52"/>
    <x v="1"/>
    <n v="232.52"/>
    <s v="U"/>
    <m/>
    <m/>
    <m/>
    <s v="MS09"/>
  </r>
  <r>
    <s v="000286"/>
    <s v="10286"/>
    <d v="2020-06-12T00:00:00"/>
    <n v="232.05"/>
    <s v="Name 286"/>
    <m/>
    <m/>
    <m/>
    <m/>
    <m/>
    <x v="1"/>
    <m/>
    <m/>
    <m/>
    <m/>
    <m/>
    <m/>
    <m/>
    <m/>
    <m/>
    <m/>
    <m/>
    <x v="14"/>
    <n v="232.05"/>
    <x v="1"/>
    <n v="232.05"/>
    <s v="U"/>
    <m/>
    <m/>
    <m/>
    <s v="MS09"/>
  </r>
  <r>
    <s v="000287"/>
    <s v="10287"/>
    <d v="2019-06-27T00:00:00"/>
    <n v="226.13"/>
    <s v="Name 287"/>
    <m/>
    <m/>
    <m/>
    <m/>
    <m/>
    <x v="0"/>
    <m/>
    <m/>
    <m/>
    <m/>
    <m/>
    <m/>
    <m/>
    <m/>
    <m/>
    <m/>
    <m/>
    <x v="14"/>
    <n v="226.13"/>
    <x v="1"/>
    <n v="226.13"/>
    <s v="U"/>
    <m/>
    <m/>
    <m/>
    <s v="MS09"/>
  </r>
  <r>
    <s v="000288"/>
    <s v="10288"/>
    <d v="2020-12-14T00:00:00"/>
    <n v="215.19"/>
    <s v="Name 288"/>
    <m/>
    <m/>
    <m/>
    <m/>
    <m/>
    <x v="1"/>
    <m/>
    <m/>
    <m/>
    <m/>
    <m/>
    <m/>
    <m/>
    <m/>
    <m/>
    <m/>
    <m/>
    <x v="14"/>
    <n v="215.19"/>
    <x v="1"/>
    <n v="215.19"/>
    <s v="U"/>
    <m/>
    <m/>
    <m/>
    <s v="MS09"/>
  </r>
  <r>
    <s v="000289"/>
    <s v="10289"/>
    <d v="2020-08-26T00:00:00"/>
    <n v="213.41"/>
    <s v="Name 289"/>
    <m/>
    <m/>
    <m/>
    <m/>
    <m/>
    <x v="1"/>
    <m/>
    <m/>
    <m/>
    <m/>
    <m/>
    <m/>
    <m/>
    <m/>
    <m/>
    <m/>
    <m/>
    <x v="14"/>
    <n v="213.41"/>
    <x v="1"/>
    <n v="213.41"/>
    <s v="U"/>
    <m/>
    <m/>
    <m/>
    <s v="MS09"/>
  </r>
  <r>
    <s v="000290"/>
    <s v="10290"/>
    <d v="2019-04-11T00:00:00"/>
    <n v="210.9"/>
    <s v="Name 290"/>
    <m/>
    <m/>
    <m/>
    <m/>
    <m/>
    <x v="0"/>
    <m/>
    <m/>
    <m/>
    <m/>
    <m/>
    <m/>
    <m/>
    <m/>
    <m/>
    <m/>
    <m/>
    <x v="14"/>
    <n v="210.9"/>
    <x v="1"/>
    <n v="210.9"/>
    <s v="U"/>
    <m/>
    <m/>
    <m/>
    <s v="MS09"/>
  </r>
  <r>
    <s v="000291"/>
    <s v="10291"/>
    <d v="2020-06-12T00:00:00"/>
    <n v="202.24"/>
    <s v="Name 291"/>
    <m/>
    <m/>
    <m/>
    <m/>
    <m/>
    <x v="1"/>
    <m/>
    <m/>
    <m/>
    <m/>
    <m/>
    <m/>
    <m/>
    <m/>
    <m/>
    <m/>
    <m/>
    <x v="14"/>
    <n v="202.24"/>
    <x v="1"/>
    <n v="202.24"/>
    <s v="U"/>
    <m/>
    <m/>
    <m/>
    <s v="MS09"/>
  </r>
  <r>
    <s v="000292"/>
    <s v="10292"/>
    <d v="2019-07-26T00:00:00"/>
    <n v="197.3"/>
    <s v="Name 292"/>
    <m/>
    <m/>
    <m/>
    <m/>
    <m/>
    <x v="0"/>
    <m/>
    <m/>
    <m/>
    <m/>
    <m/>
    <m/>
    <m/>
    <m/>
    <m/>
    <m/>
    <m/>
    <x v="14"/>
    <n v="197.3"/>
    <x v="1"/>
    <n v="197.3"/>
    <s v="U"/>
    <m/>
    <m/>
    <m/>
    <s v="MS09"/>
  </r>
  <r>
    <s v="000293"/>
    <s v="10293"/>
    <d v="2020-08-01T00:00:00"/>
    <n v="195"/>
    <s v="Name 293"/>
    <m/>
    <m/>
    <m/>
    <m/>
    <m/>
    <x v="1"/>
    <m/>
    <m/>
    <m/>
    <m/>
    <m/>
    <m/>
    <m/>
    <m/>
    <m/>
    <m/>
    <m/>
    <x v="14"/>
    <n v="195"/>
    <x v="1"/>
    <n v="195"/>
    <s v="U"/>
    <m/>
    <m/>
    <m/>
    <s v="MS09"/>
  </r>
  <r>
    <s v="000294"/>
    <s v="10294"/>
    <d v="2021-03-11T00:00:00"/>
    <n v="193.96"/>
    <s v="Name 294"/>
    <m/>
    <m/>
    <m/>
    <m/>
    <m/>
    <x v="2"/>
    <m/>
    <m/>
    <m/>
    <m/>
    <m/>
    <m/>
    <m/>
    <m/>
    <m/>
    <m/>
    <m/>
    <x v="14"/>
    <n v="193.96"/>
    <x v="1"/>
    <n v="193.96"/>
    <s v="U"/>
    <m/>
    <m/>
    <m/>
    <s v="MS09"/>
  </r>
  <r>
    <s v="000295"/>
    <s v="10295"/>
    <d v="2019-02-19T00:00:00"/>
    <n v="191.22"/>
    <s v="Name 295"/>
    <m/>
    <m/>
    <m/>
    <m/>
    <m/>
    <x v="0"/>
    <m/>
    <m/>
    <m/>
    <m/>
    <m/>
    <m/>
    <m/>
    <m/>
    <m/>
    <m/>
    <m/>
    <x v="14"/>
    <n v="191.22"/>
    <x v="1"/>
    <n v="191.22"/>
    <s v="U"/>
    <m/>
    <m/>
    <m/>
    <s v="MS09"/>
  </r>
  <r>
    <s v="000296"/>
    <s v="10296"/>
    <d v="2021-02-12T00:00:00"/>
    <n v="190.2"/>
    <s v="Name 296"/>
    <m/>
    <m/>
    <m/>
    <m/>
    <m/>
    <x v="2"/>
    <m/>
    <m/>
    <m/>
    <m/>
    <m/>
    <m/>
    <m/>
    <m/>
    <m/>
    <m/>
    <m/>
    <x v="14"/>
    <n v="190.2"/>
    <x v="1"/>
    <n v="190.2"/>
    <s v="U"/>
    <m/>
    <m/>
    <m/>
    <s v="MS09"/>
  </r>
  <r>
    <s v="000297"/>
    <s v="10297"/>
    <d v="2020-10-26T00:00:00"/>
    <n v="186.07"/>
    <s v="Name 297"/>
    <m/>
    <m/>
    <m/>
    <m/>
    <m/>
    <x v="1"/>
    <m/>
    <m/>
    <m/>
    <m/>
    <m/>
    <m/>
    <m/>
    <m/>
    <m/>
    <m/>
    <m/>
    <x v="14"/>
    <n v="186.07"/>
    <x v="1"/>
    <n v="186.07"/>
    <s v="U"/>
    <m/>
    <m/>
    <m/>
    <s v="MS09"/>
  </r>
  <r>
    <s v="000298"/>
    <s v="10298"/>
    <d v="2020-10-19T00:00:00"/>
    <n v="186.07"/>
    <s v="Name 298"/>
    <m/>
    <m/>
    <m/>
    <m/>
    <m/>
    <x v="1"/>
    <m/>
    <m/>
    <m/>
    <m/>
    <m/>
    <m/>
    <m/>
    <m/>
    <m/>
    <m/>
    <m/>
    <x v="14"/>
    <n v="186.07"/>
    <x v="1"/>
    <n v="186.07"/>
    <s v="U"/>
    <m/>
    <m/>
    <m/>
    <s v="MS09"/>
  </r>
  <r>
    <s v="000299"/>
    <s v="10299"/>
    <d v="2020-03-13T00:00:00"/>
    <n v="173.56"/>
    <s v="Name 299"/>
    <m/>
    <m/>
    <m/>
    <m/>
    <m/>
    <x v="1"/>
    <m/>
    <m/>
    <m/>
    <m/>
    <m/>
    <m/>
    <m/>
    <m/>
    <m/>
    <m/>
    <m/>
    <x v="14"/>
    <n v="173.56"/>
    <x v="1"/>
    <n v="173.56"/>
    <s v="U"/>
    <m/>
    <m/>
    <m/>
    <s v="MS09"/>
  </r>
  <r>
    <s v="000300"/>
    <s v="10300"/>
    <d v="2019-01-03T00:00:00"/>
    <n v="173.53"/>
    <s v="Name 300"/>
    <m/>
    <m/>
    <m/>
    <m/>
    <m/>
    <x v="0"/>
    <m/>
    <m/>
    <m/>
    <m/>
    <m/>
    <m/>
    <m/>
    <m/>
    <m/>
    <m/>
    <m/>
    <x v="14"/>
    <n v="173.53"/>
    <x v="1"/>
    <n v="173.53"/>
    <s v="U"/>
    <m/>
    <m/>
    <m/>
    <s v="MS09"/>
  </r>
  <r>
    <s v="000301"/>
    <s v="10301"/>
    <d v="2019-01-03T00:00:00"/>
    <n v="169.83"/>
    <s v="Name 301"/>
    <m/>
    <m/>
    <m/>
    <m/>
    <m/>
    <x v="0"/>
    <m/>
    <m/>
    <m/>
    <m/>
    <m/>
    <m/>
    <m/>
    <m/>
    <m/>
    <m/>
    <m/>
    <x v="14"/>
    <n v="169.83"/>
    <x v="1"/>
    <n v="169.83"/>
    <s v="U"/>
    <m/>
    <m/>
    <m/>
    <s v="MS09"/>
  </r>
  <r>
    <s v="000302"/>
    <s v="10302"/>
    <d v="2020-03-24T00:00:00"/>
    <n v="169.83"/>
    <s v="Name 302"/>
    <m/>
    <m/>
    <m/>
    <m/>
    <m/>
    <x v="1"/>
    <m/>
    <m/>
    <m/>
    <m/>
    <m/>
    <m/>
    <m/>
    <m/>
    <m/>
    <m/>
    <m/>
    <x v="14"/>
    <n v="169.83"/>
    <x v="0"/>
    <n v="0"/>
    <s v="C"/>
    <m/>
    <m/>
    <m/>
    <s v="MS09"/>
  </r>
  <r>
    <s v="000303"/>
    <s v="10303"/>
    <d v="2019-09-03T00:00:00"/>
    <n v="152.9"/>
    <s v="Name 303"/>
    <m/>
    <m/>
    <m/>
    <m/>
    <m/>
    <x v="0"/>
    <m/>
    <m/>
    <m/>
    <m/>
    <m/>
    <m/>
    <m/>
    <m/>
    <m/>
    <m/>
    <m/>
    <x v="14"/>
    <n v="152.9"/>
    <x v="1"/>
    <n v="152.9"/>
    <s v="U"/>
    <m/>
    <m/>
    <m/>
    <s v="MS09"/>
  </r>
  <r>
    <s v="000304"/>
    <s v="10304"/>
    <d v="2019-09-12T00:00:00"/>
    <n v="146.09"/>
    <s v="Name 304"/>
    <m/>
    <m/>
    <m/>
    <m/>
    <m/>
    <x v="0"/>
    <m/>
    <m/>
    <m/>
    <m/>
    <m/>
    <m/>
    <m/>
    <m/>
    <m/>
    <m/>
    <m/>
    <x v="14"/>
    <n v="146.09"/>
    <x v="1"/>
    <n v="146.09"/>
    <s v="U"/>
    <m/>
    <m/>
    <m/>
    <s v="MS09"/>
  </r>
  <r>
    <s v="000305"/>
    <s v="10305"/>
    <d v="2019-08-07T00:00:00"/>
    <n v="145.47"/>
    <s v="Name 305"/>
    <m/>
    <m/>
    <m/>
    <m/>
    <m/>
    <x v="0"/>
    <m/>
    <m/>
    <m/>
    <m/>
    <m/>
    <m/>
    <m/>
    <m/>
    <m/>
    <m/>
    <m/>
    <x v="14"/>
    <n v="145.47"/>
    <x v="1"/>
    <n v="145.47"/>
    <s v="U"/>
    <m/>
    <m/>
    <m/>
    <s v="MS09"/>
  </r>
  <r>
    <s v="000306"/>
    <s v="10306"/>
    <d v="2021-06-11T00:00:00"/>
    <n v="145.12"/>
    <s v="Name 306"/>
    <m/>
    <m/>
    <m/>
    <m/>
    <m/>
    <x v="2"/>
    <m/>
    <m/>
    <m/>
    <m/>
    <m/>
    <m/>
    <m/>
    <m/>
    <m/>
    <m/>
    <m/>
    <x v="14"/>
    <n v="145.12"/>
    <x v="1"/>
    <n v="145.12"/>
    <s v="U"/>
    <m/>
    <m/>
    <m/>
    <s v="MS09"/>
  </r>
  <r>
    <s v="000307"/>
    <s v="10307"/>
    <d v="2021-03-25T00:00:00"/>
    <n v="145.03"/>
    <s v="Name 307"/>
    <m/>
    <m/>
    <m/>
    <m/>
    <m/>
    <x v="2"/>
    <m/>
    <m/>
    <m/>
    <m/>
    <m/>
    <m/>
    <m/>
    <m/>
    <m/>
    <m/>
    <m/>
    <x v="14"/>
    <n v="145.03"/>
    <x v="1"/>
    <n v="145.03"/>
    <s v="U"/>
    <m/>
    <m/>
    <m/>
    <s v="MS09"/>
  </r>
  <r>
    <s v="000308"/>
    <s v="10308"/>
    <d v="2019-03-18T00:00:00"/>
    <n v="142.43"/>
    <s v="Name 308"/>
    <m/>
    <m/>
    <m/>
    <m/>
    <m/>
    <x v="0"/>
    <m/>
    <m/>
    <m/>
    <m/>
    <m/>
    <m/>
    <m/>
    <m/>
    <m/>
    <m/>
    <m/>
    <x v="14"/>
    <n v="142.43"/>
    <x v="1"/>
    <n v="142.43"/>
    <s v="U"/>
    <m/>
    <m/>
    <m/>
    <s v="MS09"/>
  </r>
  <r>
    <s v="000309"/>
    <s v="10309"/>
    <d v="2021-02-12T00:00:00"/>
    <n v="139.78"/>
    <s v="Name 309"/>
    <m/>
    <m/>
    <m/>
    <m/>
    <m/>
    <x v="2"/>
    <m/>
    <m/>
    <m/>
    <m/>
    <m/>
    <m/>
    <m/>
    <m/>
    <m/>
    <m/>
    <m/>
    <x v="14"/>
    <n v="139.78"/>
    <x v="1"/>
    <n v="139.78"/>
    <s v="U"/>
    <m/>
    <m/>
    <m/>
    <s v="MS09"/>
  </r>
  <r>
    <s v="000310"/>
    <s v="10310"/>
    <d v="2021-02-18T00:00:00"/>
    <n v="131.11000000000001"/>
    <s v="Name 310"/>
    <m/>
    <m/>
    <m/>
    <m/>
    <m/>
    <x v="2"/>
    <m/>
    <m/>
    <m/>
    <m/>
    <m/>
    <m/>
    <m/>
    <m/>
    <m/>
    <m/>
    <m/>
    <x v="14"/>
    <n v="131.11000000000001"/>
    <x v="1"/>
    <n v="131.11000000000001"/>
    <s v="U"/>
    <m/>
    <m/>
    <m/>
    <s v="MS09"/>
  </r>
  <r>
    <s v="000311"/>
    <s v="10311"/>
    <d v="2019-01-03T00:00:00"/>
    <n v="130.69"/>
    <s v="Name 311"/>
    <m/>
    <m/>
    <m/>
    <m/>
    <m/>
    <x v="0"/>
    <m/>
    <m/>
    <m/>
    <m/>
    <m/>
    <m/>
    <m/>
    <m/>
    <m/>
    <m/>
    <m/>
    <x v="14"/>
    <n v="130.69"/>
    <x v="1"/>
    <n v="130.69"/>
    <s v="U"/>
    <m/>
    <m/>
    <m/>
    <s v="MS09"/>
  </r>
  <r>
    <s v="000312"/>
    <s v="10312"/>
    <d v="2019-05-06T00:00:00"/>
    <n v="130.51"/>
    <s v="Name 312"/>
    <m/>
    <m/>
    <m/>
    <m/>
    <m/>
    <x v="0"/>
    <m/>
    <m/>
    <m/>
    <m/>
    <m/>
    <m/>
    <m/>
    <m/>
    <m/>
    <m/>
    <m/>
    <x v="14"/>
    <n v="130.51"/>
    <x v="1"/>
    <n v="130.51"/>
    <s v="U"/>
    <m/>
    <m/>
    <m/>
    <s v="MS09"/>
  </r>
  <r>
    <s v="000313"/>
    <s v="10313"/>
    <d v="2019-09-17T00:00:00"/>
    <n v="119.88"/>
    <s v="Name 313"/>
    <m/>
    <m/>
    <m/>
    <m/>
    <m/>
    <x v="0"/>
    <m/>
    <m/>
    <m/>
    <m/>
    <m/>
    <m/>
    <m/>
    <m/>
    <m/>
    <m/>
    <m/>
    <x v="14"/>
    <n v="119.88"/>
    <x v="1"/>
    <n v="119.88"/>
    <s v="U"/>
    <m/>
    <m/>
    <m/>
    <s v="MS09"/>
  </r>
  <r>
    <s v="000314"/>
    <s v="10314"/>
    <d v="2021-07-01T00:00:00"/>
    <n v="111.99"/>
    <s v="Name 314"/>
    <m/>
    <m/>
    <m/>
    <m/>
    <m/>
    <x v="2"/>
    <m/>
    <m/>
    <m/>
    <m/>
    <m/>
    <m/>
    <m/>
    <m/>
    <m/>
    <m/>
    <m/>
    <x v="14"/>
    <n v="111.99"/>
    <x v="1"/>
    <n v="111.99"/>
    <s v="U"/>
    <m/>
    <m/>
    <m/>
    <s v="MS09"/>
  </r>
  <r>
    <s v="000315"/>
    <s v="10315"/>
    <d v="2020-09-10T00:00:00"/>
    <n v="110.72"/>
    <s v="Name 315"/>
    <m/>
    <m/>
    <m/>
    <m/>
    <m/>
    <x v="1"/>
    <m/>
    <m/>
    <m/>
    <m/>
    <m/>
    <m/>
    <m/>
    <m/>
    <m/>
    <m/>
    <m/>
    <x v="14"/>
    <n v="110.72"/>
    <x v="1"/>
    <n v="110.72"/>
    <s v="U"/>
    <m/>
    <m/>
    <m/>
    <s v="MS09"/>
  </r>
  <r>
    <s v="000316"/>
    <s v="10316"/>
    <d v="2020-06-22T00:00:00"/>
    <n v="106.17"/>
    <s v="Name 316"/>
    <m/>
    <m/>
    <m/>
    <m/>
    <m/>
    <x v="1"/>
    <m/>
    <m/>
    <m/>
    <m/>
    <m/>
    <m/>
    <m/>
    <m/>
    <m/>
    <m/>
    <m/>
    <x v="14"/>
    <n v="106.17"/>
    <x v="1"/>
    <n v="106.17"/>
    <s v="U"/>
    <m/>
    <m/>
    <m/>
    <s v="MS09"/>
  </r>
  <r>
    <s v="000317"/>
    <s v="10317"/>
    <d v="2020-11-24T00:00:00"/>
    <n v="100.33"/>
    <s v="Name 317"/>
    <m/>
    <m/>
    <m/>
    <m/>
    <m/>
    <x v="1"/>
    <m/>
    <m/>
    <m/>
    <m/>
    <m/>
    <m/>
    <m/>
    <m/>
    <m/>
    <m/>
    <m/>
    <x v="14"/>
    <n v="100.33"/>
    <x v="1"/>
    <n v="100.33"/>
    <s v="U"/>
    <m/>
    <m/>
    <m/>
    <s v="MS09"/>
  </r>
  <r>
    <s v="000318"/>
    <s v="10318"/>
    <d v="2021-02-12T00:00:00"/>
    <n v="92.42"/>
    <s v="Name 318"/>
    <m/>
    <m/>
    <m/>
    <m/>
    <m/>
    <x v="2"/>
    <m/>
    <m/>
    <m/>
    <m/>
    <m/>
    <m/>
    <m/>
    <m/>
    <m/>
    <m/>
    <m/>
    <x v="14"/>
    <n v="92.42"/>
    <x v="1"/>
    <n v="92.42"/>
    <s v="U"/>
    <m/>
    <m/>
    <m/>
    <s v="MS09"/>
  </r>
  <r>
    <s v="000319"/>
    <s v="10319"/>
    <d v="2019-08-09T00:00:00"/>
    <n v="90"/>
    <s v="Name 319"/>
    <m/>
    <m/>
    <m/>
    <m/>
    <m/>
    <x v="0"/>
    <m/>
    <m/>
    <m/>
    <m/>
    <m/>
    <m/>
    <m/>
    <m/>
    <m/>
    <m/>
    <m/>
    <x v="14"/>
    <n v="90"/>
    <x v="1"/>
    <n v="90"/>
    <s v="U"/>
    <m/>
    <m/>
    <m/>
    <s v="MS09"/>
  </r>
  <r>
    <s v="000320"/>
    <s v="10320"/>
    <d v="2020-08-24T00:00:00"/>
    <n v="85.03"/>
    <s v="Name 320"/>
    <m/>
    <m/>
    <m/>
    <m/>
    <m/>
    <x v="1"/>
    <m/>
    <m/>
    <m/>
    <m/>
    <m/>
    <m/>
    <m/>
    <m/>
    <m/>
    <m/>
    <m/>
    <x v="14"/>
    <n v="85.03"/>
    <x v="1"/>
    <n v="85.03"/>
    <s v="U"/>
    <m/>
    <m/>
    <m/>
    <s v="MS09"/>
  </r>
  <r>
    <s v="000321"/>
    <s v="10321"/>
    <d v="2020-06-24T00:00:00"/>
    <n v="84.66"/>
    <s v="Name 321"/>
    <m/>
    <m/>
    <m/>
    <m/>
    <m/>
    <x v="1"/>
    <m/>
    <m/>
    <m/>
    <m/>
    <m/>
    <m/>
    <m/>
    <m/>
    <m/>
    <m/>
    <m/>
    <x v="14"/>
    <n v="84.66"/>
    <x v="0"/>
    <n v="0"/>
    <s v="C"/>
    <m/>
    <m/>
    <m/>
    <s v="MS09"/>
  </r>
  <r>
    <s v="000322"/>
    <s v="10322"/>
    <d v="2019-01-10T00:00:00"/>
    <n v="82.82"/>
    <s v="Name 322"/>
    <m/>
    <m/>
    <m/>
    <m/>
    <m/>
    <x v="0"/>
    <m/>
    <m/>
    <m/>
    <m/>
    <m/>
    <m/>
    <m/>
    <m/>
    <m/>
    <m/>
    <m/>
    <x v="14"/>
    <n v="82.82"/>
    <x v="1"/>
    <n v="82.82"/>
    <s v="U"/>
    <m/>
    <m/>
    <m/>
    <s v="MS09"/>
  </r>
  <r>
    <s v="000323"/>
    <s v="10323"/>
    <d v="2020-02-13T00:00:00"/>
    <n v="80.930000000000007"/>
    <s v="Name 323"/>
    <m/>
    <m/>
    <m/>
    <m/>
    <m/>
    <x v="1"/>
    <m/>
    <m/>
    <m/>
    <m/>
    <m/>
    <m/>
    <m/>
    <m/>
    <m/>
    <m/>
    <m/>
    <x v="14"/>
    <n v="80.930000000000007"/>
    <x v="1"/>
    <n v="80.930000000000007"/>
    <s v="U"/>
    <m/>
    <m/>
    <m/>
    <s v="MS09"/>
  </r>
  <r>
    <s v="000324"/>
    <s v="10324"/>
    <d v="2020-12-02T00:00:00"/>
    <n v="80.510000000000005"/>
    <s v="Name 324"/>
    <m/>
    <m/>
    <m/>
    <m/>
    <m/>
    <x v="1"/>
    <m/>
    <m/>
    <m/>
    <m/>
    <m/>
    <m/>
    <m/>
    <m/>
    <m/>
    <m/>
    <m/>
    <x v="14"/>
    <n v="80.510000000000005"/>
    <x v="1"/>
    <n v="80.510000000000005"/>
    <s v="U"/>
    <m/>
    <m/>
    <m/>
    <s v="MS09"/>
  </r>
  <r>
    <s v="000325"/>
    <s v="10325"/>
    <d v="2020-04-29T00:00:00"/>
    <n v="78.16"/>
    <s v="Name 325"/>
    <m/>
    <m/>
    <m/>
    <m/>
    <m/>
    <x v="1"/>
    <m/>
    <m/>
    <m/>
    <m/>
    <m/>
    <m/>
    <m/>
    <m/>
    <m/>
    <m/>
    <m/>
    <x v="14"/>
    <n v="78.16"/>
    <x v="1"/>
    <n v="78.16"/>
    <s v="U"/>
    <m/>
    <m/>
    <m/>
    <s v="MS09"/>
  </r>
  <r>
    <s v="000326"/>
    <s v="10326"/>
    <d v="2021-03-11T00:00:00"/>
    <n v="76.099999999999994"/>
    <s v="Name 326"/>
    <m/>
    <m/>
    <m/>
    <m/>
    <m/>
    <x v="2"/>
    <m/>
    <m/>
    <m/>
    <m/>
    <m/>
    <m/>
    <m/>
    <m/>
    <m/>
    <m/>
    <m/>
    <x v="14"/>
    <n v="76.099999999999994"/>
    <x v="1"/>
    <n v="76.099999999999994"/>
    <s v="U"/>
    <m/>
    <m/>
    <m/>
    <s v="MS09"/>
  </r>
  <r>
    <s v="000327"/>
    <s v="10327"/>
    <d v="2019-09-24T00:00:00"/>
    <n v="72.69"/>
    <s v="Name 327"/>
    <m/>
    <m/>
    <m/>
    <m/>
    <m/>
    <x v="0"/>
    <m/>
    <m/>
    <m/>
    <m/>
    <m/>
    <m/>
    <m/>
    <m/>
    <m/>
    <m/>
    <m/>
    <x v="14"/>
    <n v="72.69"/>
    <x v="1"/>
    <n v="72.69"/>
    <s v="U"/>
    <m/>
    <m/>
    <m/>
    <s v="MS09"/>
  </r>
  <r>
    <s v="000328"/>
    <s v="10328"/>
    <d v="2020-11-24T00:00:00"/>
    <n v="64.58"/>
    <s v="Name 328"/>
    <m/>
    <m/>
    <m/>
    <m/>
    <m/>
    <x v="1"/>
    <m/>
    <m/>
    <m/>
    <m/>
    <m/>
    <m/>
    <m/>
    <m/>
    <m/>
    <m/>
    <m/>
    <x v="14"/>
    <n v="64.58"/>
    <x v="1"/>
    <n v="64.58"/>
    <s v="U"/>
    <m/>
    <m/>
    <m/>
    <s v="MS09"/>
  </r>
  <r>
    <s v="000329"/>
    <s v="10329"/>
    <d v="2020-12-29T00:00:00"/>
    <n v="62.11"/>
    <s v="Name 329"/>
    <m/>
    <m/>
    <m/>
    <m/>
    <m/>
    <x v="1"/>
    <m/>
    <m/>
    <m/>
    <m/>
    <m/>
    <m/>
    <m/>
    <m/>
    <m/>
    <m/>
    <m/>
    <x v="14"/>
    <n v="62.11"/>
    <x v="1"/>
    <n v="62.11"/>
    <s v="U"/>
    <m/>
    <m/>
    <m/>
    <s v="MS09"/>
  </r>
  <r>
    <s v="000330"/>
    <s v="10330"/>
    <d v="2021-04-13T00:00:00"/>
    <n v="60"/>
    <s v="Name 330"/>
    <m/>
    <m/>
    <m/>
    <m/>
    <m/>
    <x v="2"/>
    <m/>
    <m/>
    <m/>
    <m/>
    <m/>
    <m/>
    <m/>
    <m/>
    <m/>
    <m/>
    <m/>
    <x v="14"/>
    <n v="60"/>
    <x v="1"/>
    <n v="60"/>
    <s v="U"/>
    <m/>
    <m/>
    <m/>
    <s v="MS09"/>
  </r>
  <r>
    <s v="000331"/>
    <s v="10331"/>
    <d v="2020-01-10T00:00:00"/>
    <n v="59.13"/>
    <s v="Name 331"/>
    <m/>
    <m/>
    <m/>
    <m/>
    <m/>
    <x v="1"/>
    <m/>
    <m/>
    <m/>
    <m/>
    <m/>
    <m/>
    <m/>
    <m/>
    <m/>
    <m/>
    <m/>
    <x v="14"/>
    <n v="59.13"/>
    <x v="1"/>
    <n v="59.13"/>
    <s v="U"/>
    <m/>
    <m/>
    <m/>
    <s v="MS09"/>
  </r>
  <r>
    <s v="000332"/>
    <s v="10332"/>
    <d v="2019-08-01T00:00:00"/>
    <n v="59.03"/>
    <s v="Name 332"/>
    <m/>
    <m/>
    <m/>
    <m/>
    <m/>
    <x v="0"/>
    <m/>
    <m/>
    <m/>
    <m/>
    <m/>
    <m/>
    <m/>
    <m/>
    <m/>
    <m/>
    <m/>
    <x v="14"/>
    <n v="59.03"/>
    <x v="1"/>
    <n v="59.03"/>
    <s v="U"/>
    <m/>
    <m/>
    <m/>
    <s v="MS09"/>
  </r>
  <r>
    <s v="000333"/>
    <s v="10333"/>
    <d v="2020-04-28T00:00:00"/>
    <n v="59"/>
    <s v="Name 333"/>
    <m/>
    <m/>
    <m/>
    <m/>
    <m/>
    <x v="1"/>
    <m/>
    <m/>
    <m/>
    <m/>
    <m/>
    <m/>
    <m/>
    <m/>
    <m/>
    <m/>
    <m/>
    <x v="14"/>
    <n v="59"/>
    <x v="1"/>
    <n v="59"/>
    <s v="U"/>
    <m/>
    <m/>
    <m/>
    <s v="MS09"/>
  </r>
  <r>
    <s v="000334"/>
    <s v="10334"/>
    <d v="2021-02-12T00:00:00"/>
    <n v="56.82"/>
    <s v="Name 334"/>
    <m/>
    <m/>
    <m/>
    <m/>
    <m/>
    <x v="2"/>
    <m/>
    <m/>
    <m/>
    <m/>
    <m/>
    <m/>
    <m/>
    <m/>
    <m/>
    <m/>
    <m/>
    <x v="14"/>
    <n v="56.82"/>
    <x v="1"/>
    <n v="56.82"/>
    <s v="U"/>
    <m/>
    <m/>
    <m/>
    <s v="MS09"/>
  </r>
  <r>
    <s v="000335"/>
    <s v="10335"/>
    <d v="2020-08-20T00:00:00"/>
    <n v="56.6"/>
    <s v="Name 335"/>
    <m/>
    <m/>
    <m/>
    <m/>
    <m/>
    <x v="1"/>
    <m/>
    <m/>
    <m/>
    <m/>
    <m/>
    <m/>
    <m/>
    <m/>
    <m/>
    <m/>
    <m/>
    <x v="14"/>
    <n v="56.6"/>
    <x v="0"/>
    <n v="0"/>
    <s v="C"/>
    <m/>
    <m/>
    <m/>
    <s v="MS09"/>
  </r>
  <r>
    <s v="000336"/>
    <s v="10336"/>
    <d v="2020-01-03T00:00:00"/>
    <n v="56.51"/>
    <s v="Name 336"/>
    <m/>
    <m/>
    <m/>
    <m/>
    <m/>
    <x v="1"/>
    <m/>
    <m/>
    <m/>
    <m/>
    <m/>
    <m/>
    <m/>
    <m/>
    <m/>
    <m/>
    <m/>
    <x v="14"/>
    <n v="56.51"/>
    <x v="1"/>
    <n v="56.51"/>
    <s v="U"/>
    <m/>
    <m/>
    <m/>
    <s v="MS09"/>
  </r>
  <r>
    <s v="000337"/>
    <s v="10337"/>
    <d v="2020-03-23T00:00:00"/>
    <n v="54.33"/>
    <s v="Name 337"/>
    <m/>
    <m/>
    <m/>
    <m/>
    <m/>
    <x v="1"/>
    <m/>
    <m/>
    <m/>
    <m/>
    <m/>
    <m/>
    <m/>
    <m/>
    <m/>
    <m/>
    <m/>
    <x v="14"/>
    <n v="54.33"/>
    <x v="1"/>
    <n v="54.33"/>
    <s v="U"/>
    <m/>
    <m/>
    <m/>
    <s v="MS09"/>
  </r>
  <r>
    <s v="000338"/>
    <s v="10338"/>
    <d v="2020-03-23T00:00:00"/>
    <n v="54.03"/>
    <s v="Name 338"/>
    <m/>
    <m/>
    <m/>
    <m/>
    <m/>
    <x v="1"/>
    <m/>
    <m/>
    <m/>
    <m/>
    <m/>
    <m/>
    <m/>
    <m/>
    <m/>
    <m/>
    <m/>
    <x v="14"/>
    <n v="54.03"/>
    <x v="1"/>
    <n v="54.03"/>
    <s v="U"/>
    <m/>
    <m/>
    <m/>
    <s v="MS09"/>
  </r>
  <r>
    <s v="000339"/>
    <s v="10339"/>
    <d v="2019-04-29T00:00:00"/>
    <n v="53.82"/>
    <s v="Name 339"/>
    <m/>
    <m/>
    <m/>
    <m/>
    <m/>
    <x v="0"/>
    <m/>
    <m/>
    <m/>
    <m/>
    <m/>
    <m/>
    <m/>
    <m/>
    <m/>
    <m/>
    <m/>
    <x v="14"/>
    <n v="53.82"/>
    <x v="1"/>
    <n v="53.82"/>
    <s v="U"/>
    <m/>
    <m/>
    <m/>
    <s v="MS09"/>
  </r>
  <r>
    <s v="000340"/>
    <s v="10340"/>
    <d v="2019-12-19T00:00:00"/>
    <n v="53.7"/>
    <s v="Name 340"/>
    <m/>
    <m/>
    <m/>
    <m/>
    <m/>
    <x v="0"/>
    <m/>
    <m/>
    <m/>
    <m/>
    <m/>
    <m/>
    <m/>
    <m/>
    <m/>
    <m/>
    <m/>
    <x v="14"/>
    <n v="53.7"/>
    <x v="1"/>
    <n v="53.7"/>
    <s v="U"/>
    <m/>
    <m/>
    <m/>
    <s v="MS09"/>
  </r>
  <r>
    <s v="000341"/>
    <s v="10341"/>
    <d v="2020-03-27T00:00:00"/>
    <n v="53.49"/>
    <s v="Name 341"/>
    <m/>
    <m/>
    <m/>
    <m/>
    <m/>
    <x v="1"/>
    <m/>
    <m/>
    <m/>
    <m/>
    <m/>
    <m/>
    <m/>
    <m/>
    <m/>
    <m/>
    <m/>
    <x v="14"/>
    <n v="53.49"/>
    <x v="1"/>
    <n v="53.49"/>
    <s v="U"/>
    <m/>
    <m/>
    <m/>
    <s v="MS09"/>
  </r>
  <r>
    <s v="000342"/>
    <s v="10342"/>
    <d v="2019-07-10T00:00:00"/>
    <n v="52.68"/>
    <s v="Name 342"/>
    <m/>
    <m/>
    <m/>
    <m/>
    <m/>
    <x v="0"/>
    <m/>
    <m/>
    <m/>
    <m/>
    <m/>
    <m/>
    <m/>
    <m/>
    <m/>
    <m/>
    <m/>
    <x v="14"/>
    <n v="52.68"/>
    <x v="1"/>
    <n v="52.68"/>
    <s v="U"/>
    <m/>
    <m/>
    <m/>
    <s v="MS09"/>
  </r>
  <r>
    <s v="000343"/>
    <s v="10343"/>
    <d v="2020-12-16T00:00:00"/>
    <n v="51.28"/>
    <s v="Name 343"/>
    <m/>
    <m/>
    <m/>
    <m/>
    <m/>
    <x v="1"/>
    <m/>
    <m/>
    <m/>
    <m/>
    <m/>
    <m/>
    <m/>
    <m/>
    <m/>
    <m/>
    <m/>
    <x v="14"/>
    <n v="51.28"/>
    <x v="1"/>
    <n v="51.28"/>
    <s v="U"/>
    <m/>
    <m/>
    <m/>
    <s v="MS09"/>
  </r>
  <r>
    <s v="000344"/>
    <s v="10344"/>
    <d v="2021-07-01T00:00:00"/>
    <n v="50"/>
    <s v="Name 344"/>
    <m/>
    <m/>
    <m/>
    <m/>
    <m/>
    <x v="2"/>
    <m/>
    <m/>
    <m/>
    <m/>
    <m/>
    <m/>
    <m/>
    <m/>
    <m/>
    <m/>
    <m/>
    <x v="14"/>
    <n v="50"/>
    <x v="1"/>
    <n v="50"/>
    <s v="U"/>
    <m/>
    <m/>
    <m/>
    <s v="MS09"/>
  </r>
  <r>
    <s v="000345"/>
    <s v="10345"/>
    <d v="2019-08-22T00:00:00"/>
    <n v="49.7"/>
    <s v="Name 345"/>
    <m/>
    <m/>
    <m/>
    <m/>
    <m/>
    <x v="0"/>
    <m/>
    <m/>
    <m/>
    <m/>
    <m/>
    <m/>
    <m/>
    <m/>
    <m/>
    <m/>
    <m/>
    <x v="14"/>
    <n v="49.7"/>
    <x v="1"/>
    <n v="49.7"/>
    <s v="U"/>
    <m/>
    <m/>
    <m/>
    <s v="MS09"/>
  </r>
  <r>
    <s v="000346"/>
    <s v="10346"/>
    <d v="2020-08-19T00:00:00"/>
    <n v="48.81"/>
    <s v="Name 346"/>
    <m/>
    <m/>
    <m/>
    <m/>
    <m/>
    <x v="1"/>
    <m/>
    <m/>
    <m/>
    <m/>
    <m/>
    <m/>
    <m/>
    <m/>
    <m/>
    <m/>
    <m/>
    <x v="14"/>
    <n v="48.81"/>
    <x v="1"/>
    <n v="48.81"/>
    <s v="U"/>
    <m/>
    <m/>
    <m/>
    <s v="MS09"/>
  </r>
  <r>
    <s v="000347"/>
    <s v="10347"/>
    <d v="2021-03-11T00:00:00"/>
    <n v="47"/>
    <s v="Name 347"/>
    <m/>
    <m/>
    <m/>
    <m/>
    <m/>
    <x v="2"/>
    <m/>
    <m/>
    <m/>
    <m/>
    <m/>
    <m/>
    <m/>
    <m/>
    <m/>
    <m/>
    <m/>
    <x v="14"/>
    <n v="47"/>
    <x v="1"/>
    <n v="47"/>
    <s v="U"/>
    <m/>
    <m/>
    <m/>
    <s v="MS09"/>
  </r>
  <r>
    <s v="000348"/>
    <s v="10348"/>
    <d v="2020-08-27T00:00:00"/>
    <n v="44.2"/>
    <s v="Name 348"/>
    <m/>
    <m/>
    <m/>
    <m/>
    <m/>
    <x v="1"/>
    <m/>
    <m/>
    <m/>
    <m/>
    <m/>
    <m/>
    <m/>
    <m/>
    <m/>
    <m/>
    <m/>
    <x v="14"/>
    <n v="44.2"/>
    <x v="1"/>
    <n v="44.2"/>
    <s v="U"/>
    <m/>
    <m/>
    <m/>
    <s v="MS09"/>
  </r>
  <r>
    <s v="000349"/>
    <s v="10349"/>
    <d v="2021-09-10T00:00:00"/>
    <n v="43.71"/>
    <s v="Name 349"/>
    <m/>
    <m/>
    <m/>
    <m/>
    <m/>
    <x v="2"/>
    <m/>
    <m/>
    <m/>
    <m/>
    <m/>
    <m/>
    <m/>
    <m/>
    <m/>
    <m/>
    <m/>
    <x v="14"/>
    <n v="43.71"/>
    <x v="1"/>
    <n v="43.71"/>
    <s v="U"/>
    <m/>
    <m/>
    <m/>
    <s v="MS09"/>
  </r>
  <r>
    <s v="000350"/>
    <s v="10350"/>
    <d v="2020-03-13T00:00:00"/>
    <n v="43.68"/>
    <s v="Name 350"/>
    <m/>
    <m/>
    <m/>
    <m/>
    <m/>
    <x v="1"/>
    <m/>
    <m/>
    <m/>
    <m/>
    <m/>
    <m/>
    <m/>
    <m/>
    <m/>
    <m/>
    <m/>
    <x v="14"/>
    <n v="43.68"/>
    <x v="1"/>
    <n v="43.68"/>
    <s v="U"/>
    <m/>
    <m/>
    <m/>
    <s v="MS09"/>
  </r>
  <r>
    <s v="000351"/>
    <s v="10351"/>
    <d v="2020-12-23T00:00:00"/>
    <n v="42.7"/>
    <s v="Name 351"/>
    <m/>
    <m/>
    <m/>
    <m/>
    <m/>
    <x v="1"/>
    <m/>
    <m/>
    <m/>
    <m/>
    <m/>
    <m/>
    <m/>
    <m/>
    <m/>
    <m/>
    <m/>
    <x v="14"/>
    <n v="42.7"/>
    <x v="1"/>
    <n v="42.7"/>
    <s v="U"/>
    <m/>
    <m/>
    <m/>
    <s v="MS09"/>
  </r>
  <r>
    <s v="000352"/>
    <s v="10352"/>
    <d v="2021-04-27T00:00:00"/>
    <n v="42.33"/>
    <s v="Name 352"/>
    <m/>
    <m/>
    <m/>
    <m/>
    <m/>
    <x v="2"/>
    <m/>
    <m/>
    <m/>
    <m/>
    <m/>
    <m/>
    <m/>
    <m/>
    <m/>
    <m/>
    <m/>
    <x v="14"/>
    <n v="42.33"/>
    <x v="1"/>
    <n v="42.33"/>
    <s v="U"/>
    <m/>
    <m/>
    <m/>
    <s v="MS09"/>
  </r>
  <r>
    <s v="000353"/>
    <s v="10353"/>
    <d v="2019-12-23T00:00:00"/>
    <n v="39.18"/>
    <s v="Name 353"/>
    <m/>
    <m/>
    <m/>
    <m/>
    <m/>
    <x v="0"/>
    <m/>
    <m/>
    <m/>
    <m/>
    <m/>
    <m/>
    <m/>
    <m/>
    <m/>
    <m/>
    <m/>
    <x v="14"/>
    <n v="39.18"/>
    <x v="1"/>
    <n v="39.18"/>
    <s v="U"/>
    <m/>
    <m/>
    <m/>
    <s v="MS09"/>
  </r>
  <r>
    <s v="000354"/>
    <s v="10354"/>
    <d v="2019-01-24T00:00:00"/>
    <n v="37.39"/>
    <s v="Name 354"/>
    <m/>
    <m/>
    <m/>
    <m/>
    <m/>
    <x v="0"/>
    <m/>
    <m/>
    <m/>
    <m/>
    <m/>
    <m/>
    <m/>
    <m/>
    <m/>
    <m/>
    <m/>
    <x v="14"/>
    <n v="37.39"/>
    <x v="1"/>
    <n v="37.39"/>
    <s v="U"/>
    <m/>
    <m/>
    <m/>
    <s v="MS09"/>
  </r>
  <r>
    <s v="000355"/>
    <s v="10355"/>
    <d v="2020-08-03T00:00:00"/>
    <n v="37.24"/>
    <s v="Name 355"/>
    <m/>
    <m/>
    <m/>
    <m/>
    <m/>
    <x v="1"/>
    <m/>
    <m/>
    <m/>
    <m/>
    <m/>
    <m/>
    <m/>
    <m/>
    <m/>
    <m/>
    <m/>
    <x v="14"/>
    <n v="37.24"/>
    <x v="0"/>
    <n v="0"/>
    <s v="C"/>
    <m/>
    <m/>
    <m/>
    <s v="MS09"/>
  </r>
  <r>
    <s v="000356"/>
    <s v="10356"/>
    <d v="2021-04-23T00:00:00"/>
    <n v="36.479999999999997"/>
    <s v="Name 356"/>
    <m/>
    <m/>
    <m/>
    <m/>
    <m/>
    <x v="2"/>
    <m/>
    <m/>
    <m/>
    <m/>
    <m/>
    <m/>
    <m/>
    <m/>
    <m/>
    <m/>
    <m/>
    <x v="14"/>
    <n v="36.479999999999997"/>
    <x v="1"/>
    <n v="36.479999999999997"/>
    <s v="U"/>
    <m/>
    <m/>
    <m/>
    <s v="MS09"/>
  </r>
  <r>
    <s v="000357"/>
    <s v="10357"/>
    <d v="2020-05-04T00:00:00"/>
    <n v="35.15"/>
    <s v="Name 357"/>
    <m/>
    <m/>
    <m/>
    <m/>
    <m/>
    <x v="1"/>
    <m/>
    <m/>
    <m/>
    <m/>
    <m/>
    <m/>
    <m/>
    <m/>
    <m/>
    <m/>
    <m/>
    <x v="14"/>
    <n v="35.15"/>
    <x v="1"/>
    <n v="35.15"/>
    <s v="U"/>
    <m/>
    <m/>
    <m/>
    <s v="MS09"/>
  </r>
  <r>
    <s v="000358"/>
    <s v="10358"/>
    <d v="2019-06-11T00:00:00"/>
    <n v="33.07"/>
    <s v="Name 358"/>
    <m/>
    <m/>
    <m/>
    <m/>
    <m/>
    <x v="0"/>
    <m/>
    <m/>
    <m/>
    <m/>
    <m/>
    <m/>
    <m/>
    <m/>
    <m/>
    <m/>
    <m/>
    <x v="14"/>
    <n v="33.07"/>
    <x v="1"/>
    <n v="33.07"/>
    <s v="U"/>
    <m/>
    <m/>
    <m/>
    <s v="MS09"/>
  </r>
  <r>
    <s v="000359"/>
    <s v="10359"/>
    <d v="2019-12-12T00:00:00"/>
    <n v="31.14"/>
    <s v="Name 359"/>
    <m/>
    <m/>
    <m/>
    <m/>
    <m/>
    <x v="0"/>
    <m/>
    <m/>
    <m/>
    <m/>
    <m/>
    <m/>
    <m/>
    <m/>
    <m/>
    <m/>
    <m/>
    <x v="14"/>
    <n v="31.14"/>
    <x v="1"/>
    <n v="31.14"/>
    <s v="U"/>
    <m/>
    <m/>
    <m/>
    <s v="MS09"/>
  </r>
  <r>
    <s v="000360"/>
    <s v="10360"/>
    <d v="2020-09-02T00:00:00"/>
    <n v="29.74"/>
    <s v="Name 360"/>
    <m/>
    <m/>
    <m/>
    <m/>
    <m/>
    <x v="1"/>
    <m/>
    <m/>
    <m/>
    <m/>
    <m/>
    <m/>
    <m/>
    <m/>
    <m/>
    <m/>
    <m/>
    <x v="14"/>
    <n v="29.74"/>
    <x v="1"/>
    <n v="29.74"/>
    <s v="U"/>
    <m/>
    <m/>
    <m/>
    <s v="MS09"/>
  </r>
  <r>
    <s v="000361"/>
    <s v="10361"/>
    <d v="2020-08-19T00:00:00"/>
    <n v="28.15"/>
    <s v="Name 361"/>
    <m/>
    <m/>
    <m/>
    <m/>
    <m/>
    <x v="1"/>
    <m/>
    <m/>
    <m/>
    <m/>
    <m/>
    <m/>
    <m/>
    <m/>
    <m/>
    <m/>
    <m/>
    <x v="14"/>
    <n v="28.15"/>
    <x v="1"/>
    <n v="28.15"/>
    <s v="U"/>
    <m/>
    <m/>
    <m/>
    <s v="MS09"/>
  </r>
  <r>
    <s v="000362"/>
    <s v="10362"/>
    <d v="2019-03-27T00:00:00"/>
    <n v="28.08"/>
    <s v="Name 362"/>
    <m/>
    <m/>
    <m/>
    <m/>
    <m/>
    <x v="0"/>
    <m/>
    <m/>
    <m/>
    <m/>
    <m/>
    <m/>
    <m/>
    <m/>
    <m/>
    <m/>
    <m/>
    <x v="14"/>
    <n v="28.08"/>
    <x v="1"/>
    <n v="28.08"/>
    <s v="U"/>
    <m/>
    <m/>
    <m/>
    <s v="MS09"/>
  </r>
  <r>
    <s v="000363"/>
    <s v="10363"/>
    <d v="2020-10-23T00:00:00"/>
    <n v="27.53"/>
    <s v="Name 363"/>
    <m/>
    <m/>
    <m/>
    <m/>
    <m/>
    <x v="1"/>
    <m/>
    <m/>
    <m/>
    <m/>
    <m/>
    <m/>
    <m/>
    <m/>
    <m/>
    <m/>
    <m/>
    <x v="14"/>
    <n v="27.53"/>
    <x v="1"/>
    <n v="27.53"/>
    <s v="U"/>
    <m/>
    <m/>
    <m/>
    <s v="MS09"/>
  </r>
  <r>
    <s v="000364"/>
    <s v="10364"/>
    <d v="2020-06-18T00:00:00"/>
    <n v="27.48"/>
    <s v="Name 364"/>
    <m/>
    <m/>
    <m/>
    <m/>
    <m/>
    <x v="1"/>
    <m/>
    <m/>
    <m/>
    <m/>
    <m/>
    <m/>
    <m/>
    <m/>
    <m/>
    <m/>
    <m/>
    <x v="14"/>
    <n v="27.48"/>
    <x v="1"/>
    <n v="27.48"/>
    <s v="U"/>
    <m/>
    <m/>
    <m/>
    <s v="MS09"/>
  </r>
  <r>
    <s v="000365"/>
    <s v="10365"/>
    <d v="2019-09-05T00:00:00"/>
    <n v="25.35"/>
    <s v="Name 365"/>
    <m/>
    <m/>
    <m/>
    <m/>
    <m/>
    <x v="0"/>
    <m/>
    <m/>
    <m/>
    <m/>
    <m/>
    <m/>
    <m/>
    <m/>
    <m/>
    <m/>
    <m/>
    <x v="14"/>
    <n v="25.35"/>
    <x v="1"/>
    <n v="25.35"/>
    <s v="U"/>
    <m/>
    <m/>
    <m/>
    <s v="MS09"/>
  </r>
  <r>
    <s v="000366"/>
    <s v="10366"/>
    <d v="2021-04-21T00:00:00"/>
    <n v="25.19"/>
    <s v="Name 366"/>
    <m/>
    <m/>
    <m/>
    <m/>
    <m/>
    <x v="2"/>
    <m/>
    <m/>
    <m/>
    <m/>
    <m/>
    <m/>
    <m/>
    <m/>
    <m/>
    <m/>
    <m/>
    <x v="14"/>
    <n v="25.19"/>
    <x v="1"/>
    <n v="25.19"/>
    <s v="U"/>
    <m/>
    <m/>
    <m/>
    <s v="MS09"/>
  </r>
  <r>
    <s v="000367"/>
    <s v="10367"/>
    <d v="2021-04-23T00:00:00"/>
    <n v="25"/>
    <s v="Name 367"/>
    <m/>
    <m/>
    <m/>
    <m/>
    <m/>
    <x v="2"/>
    <m/>
    <m/>
    <m/>
    <m/>
    <m/>
    <m/>
    <m/>
    <m/>
    <m/>
    <m/>
    <m/>
    <x v="14"/>
    <n v="25"/>
    <x v="1"/>
    <n v="25"/>
    <s v="U"/>
    <m/>
    <m/>
    <m/>
    <s v="MS09"/>
  </r>
  <r>
    <s v="000368"/>
    <s v="10368"/>
    <d v="2020-01-06T00:00:00"/>
    <n v="24.61"/>
    <s v="Name 368"/>
    <m/>
    <m/>
    <m/>
    <m/>
    <m/>
    <x v="1"/>
    <m/>
    <m/>
    <m/>
    <m/>
    <m/>
    <m/>
    <m/>
    <m/>
    <m/>
    <m/>
    <m/>
    <x v="14"/>
    <n v="24.61"/>
    <x v="0"/>
    <n v="0"/>
    <s v="C"/>
    <m/>
    <m/>
    <m/>
    <s v="MS09"/>
  </r>
  <r>
    <s v="000369"/>
    <s v="10369"/>
    <d v="2020-11-25T00:00:00"/>
    <n v="22.53"/>
    <s v="Name 369"/>
    <m/>
    <m/>
    <m/>
    <m/>
    <m/>
    <x v="1"/>
    <m/>
    <m/>
    <m/>
    <m/>
    <m/>
    <m/>
    <m/>
    <m/>
    <m/>
    <m/>
    <m/>
    <x v="14"/>
    <n v="22.53"/>
    <x v="1"/>
    <n v="22.53"/>
    <s v="U"/>
    <m/>
    <m/>
    <m/>
    <s v="MS09"/>
  </r>
  <r>
    <s v="000370"/>
    <s v="10370"/>
    <d v="2020-06-12T00:00:00"/>
    <n v="22.24"/>
    <s v="Name 370"/>
    <m/>
    <m/>
    <m/>
    <m/>
    <m/>
    <x v="1"/>
    <m/>
    <m/>
    <m/>
    <m/>
    <m/>
    <m/>
    <m/>
    <m/>
    <m/>
    <m/>
    <m/>
    <x v="14"/>
    <n v="22.24"/>
    <x v="1"/>
    <n v="22.24"/>
    <s v="U"/>
    <m/>
    <m/>
    <m/>
    <s v="MS09"/>
  </r>
  <r>
    <s v="000371"/>
    <s v="10371"/>
    <d v="2019-01-22T00:00:00"/>
    <n v="22.22"/>
    <s v="Name 371"/>
    <m/>
    <m/>
    <m/>
    <m/>
    <m/>
    <x v="0"/>
    <m/>
    <m/>
    <m/>
    <m/>
    <m/>
    <m/>
    <m/>
    <m/>
    <m/>
    <m/>
    <m/>
    <x v="14"/>
    <n v="22.22"/>
    <x v="1"/>
    <n v="22.22"/>
    <s v="U"/>
    <m/>
    <m/>
    <m/>
    <s v="MS09"/>
  </r>
  <r>
    <s v="000372"/>
    <s v="10372"/>
    <d v="2019-06-30T00:00:00"/>
    <n v="20.89"/>
    <s v="Name 372"/>
    <m/>
    <m/>
    <m/>
    <m/>
    <m/>
    <x v="0"/>
    <m/>
    <m/>
    <m/>
    <m/>
    <m/>
    <m/>
    <m/>
    <m/>
    <m/>
    <m/>
    <m/>
    <x v="14"/>
    <n v="20.89"/>
    <x v="1"/>
    <n v="20.89"/>
    <s v="U"/>
    <m/>
    <m/>
    <m/>
    <s v="MS09"/>
  </r>
  <r>
    <s v="000373"/>
    <s v="10373"/>
    <d v="2019-04-01T00:00:00"/>
    <n v="20.75"/>
    <s v="Name 373"/>
    <m/>
    <m/>
    <m/>
    <m/>
    <m/>
    <x v="0"/>
    <m/>
    <m/>
    <m/>
    <m/>
    <m/>
    <m/>
    <m/>
    <m/>
    <m/>
    <m/>
    <m/>
    <x v="14"/>
    <n v="20.75"/>
    <x v="1"/>
    <n v="20.75"/>
    <s v="U"/>
    <m/>
    <m/>
    <m/>
    <s v="MS09"/>
  </r>
  <r>
    <s v="000374"/>
    <s v="10374"/>
    <d v="2021-05-06T00:00:00"/>
    <n v="20.39"/>
    <s v="Name 374"/>
    <m/>
    <m/>
    <m/>
    <m/>
    <m/>
    <x v="2"/>
    <m/>
    <m/>
    <m/>
    <m/>
    <m/>
    <m/>
    <m/>
    <m/>
    <m/>
    <m/>
    <m/>
    <x v="14"/>
    <n v="20.39"/>
    <x v="1"/>
    <n v="20.39"/>
    <s v="U"/>
    <m/>
    <m/>
    <m/>
    <s v="MS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B6367-12AB-40E1-B3EE-7C3C19C20EE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G36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numFmtId="43" showAll="0"/>
    <pivotField showAll="0">
      <items count="3">
        <item x="0"/>
        <item x="1"/>
        <item t="default"/>
      </items>
    </pivotField>
    <pivotField dataField="1" numFmtId="43" showAll="0"/>
    <pivotField showAll="0"/>
    <pivotField showAll="0"/>
    <pivotField showAll="0"/>
    <pivotField showAll="0"/>
    <pivotField showAll="0"/>
  </pivotFields>
  <rowFields count="1">
    <field x="2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Unresolved Amount" fld="2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8CBD4-98D1-4EDC-98DC-2D00A58AD7B3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G13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dataField="1" numFmtId="43" showAll="0"/>
    <pivotField axis="axisRow" showAll="0">
      <items count="3">
        <item x="0"/>
        <item x="1"/>
        <item t="default"/>
      </items>
    </pivotField>
    <pivotField numFmtId="43"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For Review" fld="2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29A5E-B422-4D0F-9EBC-453B712FD50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G5" firstHeaderRow="1" firstDataRow="2" firstDataCol="1"/>
  <pivotFields count="31">
    <pivotField showAll="0"/>
    <pivotField showAll="0"/>
    <pivotField numFmtId="167" showAll="0"/>
    <pivotField numFmtId="43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5"/>
        <item x="11"/>
        <item x="12"/>
        <item x="14"/>
        <item x="4"/>
        <item x="3"/>
        <item x="8"/>
        <item x="7"/>
        <item x="9"/>
        <item x="2"/>
        <item x="15"/>
        <item x="0"/>
        <item x="16"/>
        <item x="13"/>
        <item x="1"/>
        <item x="6"/>
        <item x="10"/>
        <item t="default"/>
      </items>
    </pivotField>
    <pivotField dataField="1" numFmtId="43" showAll="0"/>
    <pivotField showAll="0"/>
    <pivotField numFmtId="43" showAll="0"/>
    <pivotField showAll="0"/>
    <pivotField showAll="0"/>
    <pivotField showAll="0"/>
    <pivotField showAll="0"/>
    <pivotField showAll="0"/>
  </pivotFields>
  <rowItems count="1">
    <i/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For Review" fld="23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9521-FFFC-43AE-8271-7B83630203AC}">
  <sheetPr>
    <tabColor theme="2" tint="-0.249977111117893"/>
    <pageSetUpPr fitToPage="1"/>
  </sheetPr>
  <dimension ref="A1:P39"/>
  <sheetViews>
    <sheetView tabSelected="1" zoomScale="90" zoomScaleNormal="90" workbookViewId="0">
      <selection activeCell="G41" sqref="G41"/>
    </sheetView>
  </sheetViews>
  <sheetFormatPr defaultColWidth="9.140625" defaultRowHeight="15" x14ac:dyDescent="0.25"/>
  <cols>
    <col min="1" max="1" width="3.7109375" style="2" customWidth="1"/>
    <col min="2" max="2" width="8.7109375" style="2" customWidth="1"/>
    <col min="3" max="3" width="17.7109375" style="2" customWidth="1"/>
    <col min="4" max="4" width="2.28515625" style="2" customWidth="1"/>
    <col min="5" max="5" width="17.7109375" style="2" customWidth="1"/>
    <col min="6" max="6" width="2.28515625" style="2" customWidth="1"/>
    <col min="7" max="7" width="17.7109375" style="2" customWidth="1"/>
    <col min="8" max="8" width="2.28515625" style="2" customWidth="1"/>
    <col min="9" max="9" width="17.7109375" style="2" customWidth="1"/>
    <col min="10" max="10" width="2.28515625" style="2" customWidth="1"/>
    <col min="11" max="11" width="18" style="2" customWidth="1"/>
    <col min="12" max="12" width="2.28515625" style="2" customWidth="1"/>
    <col min="13" max="13" width="17.85546875" style="2" customWidth="1"/>
    <col min="14" max="14" width="20.42578125" style="2" customWidth="1"/>
    <col min="15" max="15" width="19.42578125" style="2" customWidth="1"/>
    <col min="16" max="16" width="3.7109375" style="2" customWidth="1"/>
    <col min="17" max="17" width="2.7109375" style="2" customWidth="1"/>
    <col min="18" max="16384" width="9.140625" style="2"/>
  </cols>
  <sheetData>
    <row r="1" spans="1:16" s="1" customFormat="1" ht="69.75" customHeight="1" thickBot="1" x14ac:dyDescent="0.4">
      <c r="A1" s="81" t="s">
        <v>1140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3"/>
    </row>
    <row r="2" spans="1:16" s="6" customFormat="1" ht="60" customHeight="1" x14ac:dyDescent="0.25">
      <c r="A2" s="46"/>
      <c r="B2" s="3" t="s">
        <v>0</v>
      </c>
      <c r="C2" s="4" t="s">
        <v>1</v>
      </c>
      <c r="D2" s="4"/>
      <c r="E2" s="4" t="s">
        <v>1148</v>
      </c>
      <c r="F2" s="4"/>
      <c r="G2" s="4" t="s">
        <v>2</v>
      </c>
      <c r="H2" s="4"/>
      <c r="I2" s="4"/>
      <c r="J2" s="4"/>
      <c r="K2" s="4"/>
      <c r="L2" s="4"/>
      <c r="M2" s="4" t="s">
        <v>3</v>
      </c>
      <c r="N2" s="4" t="s">
        <v>4</v>
      </c>
      <c r="O2" s="5" t="s">
        <v>5</v>
      </c>
      <c r="P2" s="47"/>
    </row>
    <row r="3" spans="1:16" ht="15.75" thickBot="1" x14ac:dyDescent="0.3">
      <c r="A3" s="43"/>
      <c r="B3" s="7"/>
      <c r="C3" s="86">
        <f>SUM(C5:C19)</f>
      </c>
      <c r="D3" s="86"/>
      <c r="E3" s="86">
        <f>SUM(E5:E19)</f>
      </c>
      <c r="F3" s="86"/>
      <c r="G3" s="86">
        <f>SUM(G5:G19)</f>
      </c>
      <c r="H3" s="86"/>
      <c r="I3" s="86"/>
      <c r="J3" s="86"/>
      <c r="K3" s="86"/>
      <c r="L3" s="86"/>
      <c r="M3" s="86">
        <f>SUM(M5:M19)</f>
      </c>
      <c r="N3" s="87">
        <f>SUM(N5:N7)</f>
      </c>
      <c r="O3" s="8">
        <f>M3/N3</f>
      </c>
      <c r="P3" s="45"/>
    </row>
    <row r="4" spans="1:16" ht="6" customHeight="1" thickBot="1" x14ac:dyDescent="0.3">
      <c r="A4" s="43"/>
      <c r="B4" s="49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49"/>
      <c r="P4" s="45"/>
    </row>
    <row r="5" spans="1:16" x14ac:dyDescent="0.25">
      <c r="A5" s="43"/>
      <c r="B5" s="9">
        <v>2021</v>
      </c>
      <c r="C5" s="89">
        <f>GETPIVOTDATA("For Review",Pivot!$C$3,"Year","2021")</f>
      </c>
      <c r="D5" s="90"/>
      <c r="E5" s="89">
        <f>GETPIVOTDATA("For Review",Pivot!$C$9,"Year","2021","Remediation Status","Clear")</f>
      </c>
      <c r="F5" s="90"/>
      <c r="G5" s="89">
        <f>GETPIVOTDATA("For Review",Pivot!$C$9,"Year","2021","Remediation Status",)</f>
      </c>
      <c r="H5" s="90"/>
      <c r="I5" s="129"/>
      <c r="J5" s="130"/>
      <c r="K5" s="126"/>
      <c r="L5" s="130"/>
      <c r="M5" s="90">
        <f>G5</f>
      </c>
      <c r="N5" s="91">
        <v>610380066</v>
      </c>
      <c r="O5" s="120"/>
      <c r="P5" s="45"/>
    </row>
    <row r="6" spans="1:16" x14ac:dyDescent="0.25">
      <c r="A6" s="43"/>
      <c r="B6" s="10">
        <v>2020</v>
      </c>
      <c r="C6" s="92">
        <f>GETPIVOTDATA("For Review",Pivot!$C$3,"Year","2020")</f>
      </c>
      <c r="D6" s="93"/>
      <c r="E6" s="92">
        <f>GETPIVOTDATA("For Review",Pivot!$C$9,"Year","2020","Remediation Status","Clear")</f>
      </c>
      <c r="F6" s="93"/>
      <c r="G6" s="92">
        <f>GETPIVOTDATA("For Review",Pivot!$C$9,"Year","2020","Remediation Status",)</f>
      </c>
      <c r="H6" s="93"/>
      <c r="I6" s="114"/>
      <c r="J6" s="115"/>
      <c r="K6" s="113"/>
      <c r="L6" s="115"/>
      <c r="M6" s="93">
        <f>G6</f>
      </c>
      <c r="N6" s="94">
        <v>610380066</v>
      </c>
      <c r="O6" s="121"/>
      <c r="P6" s="45"/>
    </row>
    <row r="7" spans="1:16" x14ac:dyDescent="0.25">
      <c r="A7" s="43"/>
      <c r="B7" s="10">
        <v>2019</v>
      </c>
      <c r="C7" s="92">
        <f>GETPIVOTDATA("For Review",Pivot!$C$3,"Year","2019")</f>
      </c>
      <c r="D7" s="93"/>
      <c r="E7" s="92">
        <f>GETPIVOTDATA("For Review",Pivot!$C$9,"Year","2019","Remediation Status","Clear")</f>
      </c>
      <c r="F7" s="93"/>
      <c r="G7" s="92">
        <f>GETPIVOTDATA("For Review",Pivot!$C$9,"Year","2019","Remediation Status",)</f>
      </c>
      <c r="H7" s="93"/>
      <c r="I7" s="114"/>
      <c r="J7" s="115"/>
      <c r="K7" s="113"/>
      <c r="L7" s="115"/>
      <c r="M7" s="93">
        <f>G7</f>
      </c>
      <c r="N7" s="94">
        <v>936367274</v>
      </c>
      <c r="O7" s="121"/>
      <c r="P7" s="45"/>
    </row>
    <row r="8" spans="1:16" x14ac:dyDescent="0.25">
      <c r="A8" s="43"/>
      <c r="B8" s="10">
        <v>2018</v>
      </c>
      <c r="C8" s="112"/>
      <c r="D8" s="113"/>
      <c r="E8" s="112"/>
      <c r="F8" s="113"/>
      <c r="G8" s="112"/>
      <c r="H8" s="113"/>
      <c r="I8" s="114"/>
      <c r="J8" s="115"/>
      <c r="K8" s="113"/>
      <c r="L8" s="115"/>
      <c r="M8" s="113"/>
      <c r="N8" s="94">
        <v>871902720</v>
      </c>
      <c r="O8" s="11">
        <v>3.309342498799072E-4</v>
      </c>
      <c r="P8" s="45"/>
    </row>
    <row r="9" spans="1:16" x14ac:dyDescent="0.25">
      <c r="A9" s="43"/>
      <c r="B9" s="10">
        <v>2017</v>
      </c>
      <c r="C9" s="112"/>
      <c r="D9" s="113"/>
      <c r="E9" s="112"/>
      <c r="F9" s="113"/>
      <c r="G9" s="112"/>
      <c r="H9" s="113"/>
      <c r="I9" s="114"/>
      <c r="J9" s="115"/>
      <c r="K9" s="113"/>
      <c r="L9" s="115"/>
      <c r="M9" s="113"/>
      <c r="N9" s="94">
        <v>945981332</v>
      </c>
      <c r="O9" s="11">
        <v>3.309342498799072E-4</v>
      </c>
      <c r="P9" s="45"/>
    </row>
    <row r="10" spans="1:16" x14ac:dyDescent="0.25">
      <c r="A10" s="43"/>
      <c r="B10" s="10">
        <v>2016</v>
      </c>
      <c r="C10" s="112"/>
      <c r="D10" s="113"/>
      <c r="E10" s="112"/>
      <c r="F10" s="113"/>
      <c r="G10" s="112"/>
      <c r="H10" s="113"/>
      <c r="I10" s="114"/>
      <c r="J10" s="115"/>
      <c r="K10" s="113"/>
      <c r="L10" s="115"/>
      <c r="M10" s="113"/>
      <c r="N10" s="94">
        <v>650068873</v>
      </c>
      <c r="O10" s="11">
        <v>3.309342498799072E-4</v>
      </c>
      <c r="P10" s="45"/>
    </row>
    <row r="11" spans="1:16" x14ac:dyDescent="0.25">
      <c r="A11" s="43"/>
      <c r="B11" s="10">
        <v>2015</v>
      </c>
      <c r="C11" s="112"/>
      <c r="D11" s="113"/>
      <c r="E11" s="112"/>
      <c r="F11" s="113"/>
      <c r="G11" s="112"/>
      <c r="H11" s="113"/>
      <c r="I11" s="114"/>
      <c r="J11" s="115"/>
      <c r="K11" s="113"/>
      <c r="L11" s="115"/>
      <c r="M11" s="113"/>
      <c r="N11" s="94">
        <v>671539905</v>
      </c>
      <c r="O11" s="11">
        <v>3.309342498799072E-4</v>
      </c>
      <c r="P11" s="45"/>
    </row>
    <row r="12" spans="1:16" x14ac:dyDescent="0.25">
      <c r="A12" s="43"/>
      <c r="B12" s="10">
        <v>2014</v>
      </c>
      <c r="C12" s="112"/>
      <c r="D12" s="113"/>
      <c r="E12" s="112"/>
      <c r="F12" s="113"/>
      <c r="G12" s="112"/>
      <c r="H12" s="113"/>
      <c r="I12" s="114"/>
      <c r="J12" s="115"/>
      <c r="K12" s="113"/>
      <c r="L12" s="115"/>
      <c r="M12" s="113"/>
      <c r="N12" s="94">
        <v>652603477</v>
      </c>
      <c r="O12" s="11">
        <v>3.309342498799072E-4</v>
      </c>
      <c r="P12" s="45"/>
    </row>
    <row r="13" spans="1:16" x14ac:dyDescent="0.25">
      <c r="A13" s="43"/>
      <c r="B13" s="10">
        <v>2013</v>
      </c>
      <c r="C13" s="112"/>
      <c r="D13" s="113"/>
      <c r="E13" s="112"/>
      <c r="F13" s="113"/>
      <c r="G13" s="112"/>
      <c r="H13" s="113"/>
      <c r="I13" s="114"/>
      <c r="J13" s="115"/>
      <c r="K13" s="113"/>
      <c r="L13" s="115"/>
      <c r="M13" s="113"/>
      <c r="N13" s="94">
        <v>629959474</v>
      </c>
      <c r="O13" s="11">
        <v>3.309342498799072E-4</v>
      </c>
      <c r="P13" s="45"/>
    </row>
    <row r="14" spans="1:16" x14ac:dyDescent="0.25">
      <c r="A14" s="43"/>
      <c r="B14" s="10">
        <v>2012</v>
      </c>
      <c r="C14" s="112"/>
      <c r="D14" s="113"/>
      <c r="E14" s="112"/>
      <c r="F14" s="113"/>
      <c r="G14" s="112"/>
      <c r="H14" s="113"/>
      <c r="I14" s="114"/>
      <c r="J14" s="115"/>
      <c r="K14" s="113"/>
      <c r="L14" s="115"/>
      <c r="M14" s="113"/>
      <c r="N14" s="94">
        <v>634480785</v>
      </c>
      <c r="O14" s="11">
        <v>3.309342498799072E-4</v>
      </c>
      <c r="P14" s="45"/>
    </row>
    <row r="15" spans="1:16" x14ac:dyDescent="0.25">
      <c r="A15" s="43"/>
      <c r="B15" s="10">
        <v>2011</v>
      </c>
      <c r="C15" s="112"/>
      <c r="D15" s="113"/>
      <c r="E15" s="112"/>
      <c r="F15" s="113"/>
      <c r="G15" s="112"/>
      <c r="H15" s="113"/>
      <c r="I15" s="114"/>
      <c r="J15" s="115"/>
      <c r="K15" s="113"/>
      <c r="L15" s="115"/>
      <c r="M15" s="113"/>
      <c r="N15" s="94">
        <v>531122462</v>
      </c>
      <c r="O15" s="11">
        <v>3.309342498799072E-4</v>
      </c>
      <c r="P15" s="45"/>
    </row>
    <row r="16" spans="1:16" x14ac:dyDescent="0.25">
      <c r="A16" s="43"/>
      <c r="B16" s="10">
        <v>2010</v>
      </c>
      <c r="C16" s="112"/>
      <c r="D16" s="113"/>
      <c r="E16" s="112"/>
      <c r="F16" s="113"/>
      <c r="G16" s="112"/>
      <c r="H16" s="113"/>
      <c r="I16" s="114"/>
      <c r="J16" s="115"/>
      <c r="K16" s="113"/>
      <c r="L16" s="115"/>
      <c r="M16" s="113"/>
      <c r="N16" s="94">
        <v>342064170.24000001</v>
      </c>
      <c r="O16" s="11">
        <v>3.309342498799072E-4</v>
      </c>
      <c r="P16" s="45"/>
    </row>
    <row r="17" spans="1:16" x14ac:dyDescent="0.25">
      <c r="A17" s="43"/>
      <c r="B17" s="10">
        <v>2009</v>
      </c>
      <c r="C17" s="112"/>
      <c r="D17" s="113"/>
      <c r="E17" s="112"/>
      <c r="F17" s="113"/>
      <c r="G17" s="112"/>
      <c r="H17" s="113"/>
      <c r="I17" s="114"/>
      <c r="J17" s="115"/>
      <c r="K17" s="113"/>
      <c r="L17" s="115"/>
      <c r="M17" s="113"/>
      <c r="N17" s="94">
        <v>239892122</v>
      </c>
      <c r="O17" s="11">
        <v>3.309342498799072E-4</v>
      </c>
      <c r="P17" s="45"/>
    </row>
    <row r="18" spans="1:16" x14ac:dyDescent="0.25">
      <c r="A18" s="43"/>
      <c r="B18" s="10">
        <v>2008</v>
      </c>
      <c r="C18" s="112"/>
      <c r="D18" s="113"/>
      <c r="E18" s="112"/>
      <c r="F18" s="113"/>
      <c r="G18" s="112"/>
      <c r="H18" s="113"/>
      <c r="I18" s="114"/>
      <c r="J18" s="115"/>
      <c r="K18" s="113"/>
      <c r="L18" s="115"/>
      <c r="M18" s="113"/>
      <c r="N18" s="94">
        <v>266770483</v>
      </c>
      <c r="O18" s="11">
        <v>3.309342498799072E-4</v>
      </c>
      <c r="P18" s="45"/>
    </row>
    <row r="19" spans="1:16" ht="15.75" thickBot="1" x14ac:dyDescent="0.3">
      <c r="A19" s="43"/>
      <c r="B19" s="12">
        <v>2007</v>
      </c>
      <c r="C19" s="116"/>
      <c r="D19" s="117"/>
      <c r="E19" s="116"/>
      <c r="F19" s="117"/>
      <c r="G19" s="116"/>
      <c r="H19" s="117"/>
      <c r="I19" s="118"/>
      <c r="J19" s="119"/>
      <c r="K19" s="117"/>
      <c r="L19" s="119"/>
      <c r="M19" s="117"/>
      <c r="N19" s="98">
        <v>219892366</v>
      </c>
      <c r="O19" s="13">
        <v>3.309342498799072E-4</v>
      </c>
      <c r="P19" s="45"/>
    </row>
    <row r="20" spans="1:16" ht="15.75" thickBot="1" x14ac:dyDescent="0.3">
      <c r="A20" s="43"/>
      <c r="B20" s="48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44"/>
      <c r="P20" s="45"/>
    </row>
    <row r="21" spans="1:16" s="6" customFormat="1" ht="79.5" customHeight="1" x14ac:dyDescent="0.25">
      <c r="A21" s="46"/>
      <c r="B21" s="14" t="s">
        <v>0</v>
      </c>
      <c r="C21" s="100" t="s">
        <v>11</v>
      </c>
      <c r="D21" s="100"/>
      <c r="E21" s="101"/>
      <c r="F21" s="101"/>
      <c r="G21" s="101" t="s">
        <v>12</v>
      </c>
      <c r="H21" s="100"/>
      <c r="I21" s="100" t="s">
        <v>1138</v>
      </c>
      <c r="J21" s="100"/>
      <c r="K21" s="100" t="s">
        <v>1139</v>
      </c>
      <c r="L21" s="100"/>
      <c r="M21" s="102" t="s">
        <v>1151</v>
      </c>
      <c r="N21" s="102" t="s">
        <v>1150</v>
      </c>
      <c r="O21" s="44"/>
      <c r="P21" s="45"/>
    </row>
    <row r="22" spans="1:16" ht="15.75" thickBot="1" x14ac:dyDescent="0.3">
      <c r="A22" s="43"/>
      <c r="B22" s="12"/>
      <c r="C22" s="103">
        <f>SUM(C24:C39)</f>
      </c>
      <c r="D22" s="103"/>
      <c r="E22" s="103"/>
      <c r="F22" s="103"/>
      <c r="G22" s="103">
        <f>SUM(G24:G38)</f>
      </c>
      <c r="H22" s="103"/>
      <c r="I22" s="103">
        <f>SUM(I24:I26)</f>
      </c>
      <c r="J22" s="103"/>
      <c r="K22" s="103">
        <f>SUM(K24:K39)</f>
      </c>
      <c r="L22" s="97"/>
      <c r="M22" s="104">
        <f>SUM(M24:M38)</f>
      </c>
      <c r="N22" s="104">
        <f>SUM(N24:N38)</f>
      </c>
      <c r="O22" s="44"/>
      <c r="P22" s="45"/>
    </row>
    <row r="23" spans="1:16" ht="6" customHeight="1" thickBot="1" x14ac:dyDescent="0.3">
      <c r="A23" s="43"/>
      <c r="B23" s="50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6"/>
      <c r="N23" s="106"/>
      <c r="O23" s="44"/>
      <c r="P23" s="45"/>
    </row>
    <row r="24" spans="1:16" ht="15" customHeight="1" x14ac:dyDescent="0.25">
      <c r="A24" s="43"/>
      <c r="B24" s="9">
        <v>2021</v>
      </c>
      <c r="C24" s="122"/>
      <c r="D24" s="123"/>
      <c r="E24" s="123"/>
      <c r="F24" s="122"/>
      <c r="G24" s="123"/>
      <c r="H24" s="122"/>
      <c r="I24" s="107">
        <f>GETPIVOTDATA("Unresolved Amount",Pivot!$C$17,"Year","2021","Due to State","DE")</f>
      </c>
      <c r="J24" s="89"/>
      <c r="K24" s="107">
        <f>SUM(G24,I24)</f>
      </c>
      <c r="L24" s="89"/>
      <c r="M24" s="126"/>
      <c r="N24" s="108">
        <f>K24</f>
      </c>
      <c r="O24" s="44"/>
      <c r="P24" s="45"/>
    </row>
    <row r="25" spans="1:16" x14ac:dyDescent="0.25">
      <c r="A25" s="43"/>
      <c r="B25" s="10">
        <v>2020</v>
      </c>
      <c r="C25" s="124"/>
      <c r="D25" s="124"/>
      <c r="E25" s="112"/>
      <c r="F25" s="124"/>
      <c r="G25" s="112"/>
      <c r="H25" s="124"/>
      <c r="I25" s="109">
        <f>GETPIVOTDATA("Unresolved Amount",Pivot!$C$17,"Year","2020","Due to State","DE")</f>
      </c>
      <c r="J25" s="92"/>
      <c r="K25" s="109">
        <f t="shared" ref="K25:K38" si="0">SUM(G25,I25)</f>
      </c>
      <c r="L25" s="92"/>
      <c r="M25" s="113"/>
      <c r="N25" s="110">
        <f>K25</f>
      </c>
      <c r="O25" s="44"/>
      <c r="P25" s="45"/>
    </row>
    <row r="26" spans="1:16" x14ac:dyDescent="0.25">
      <c r="A26" s="43"/>
      <c r="B26" s="10">
        <v>2019</v>
      </c>
      <c r="C26" s="124"/>
      <c r="D26" s="124"/>
      <c r="E26" s="112"/>
      <c r="F26" s="124"/>
      <c r="G26" s="112"/>
      <c r="H26" s="124"/>
      <c r="I26" s="109">
        <f>GETPIVOTDATA("Unresolved Amount",Pivot!$C$17,"Year","2019","Due to State","DE")</f>
      </c>
      <c r="J26" s="92"/>
      <c r="K26" s="109">
        <f t="shared" si="0"/>
      </c>
      <c r="L26" s="92"/>
      <c r="M26" s="93">
        <f>K26</f>
      </c>
      <c r="N26" s="127"/>
      <c r="O26" s="51"/>
      <c r="P26" s="45"/>
    </row>
    <row r="27" spans="1:16" x14ac:dyDescent="0.25">
      <c r="A27" s="43"/>
      <c r="B27" s="10">
        <v>2018</v>
      </c>
      <c r="C27" s="109">
        <f>IF(O8="","",O8*N8)</f>
      </c>
      <c r="D27" s="109"/>
      <c r="E27" s="112"/>
      <c r="F27" s="109"/>
      <c r="G27" s="92">
        <f t="shared" ref="G27:G38" si="1">IF(C27="","",C27-IF(E27="",0,E27))</f>
      </c>
      <c r="H27" s="109"/>
      <c r="I27" s="124"/>
      <c r="J27" s="92"/>
      <c r="K27" s="109">
        <f t="shared" si="0"/>
      </c>
      <c r="L27" s="92"/>
      <c r="M27" s="93">
        <f t="shared" ref="M27:M38" si="2">K27</f>
      </c>
      <c r="N27" s="127"/>
      <c r="O27" s="51"/>
      <c r="P27" s="45"/>
    </row>
    <row r="28" spans="1:16" x14ac:dyDescent="0.25">
      <c r="A28" s="43"/>
      <c r="B28" s="10">
        <v>2017</v>
      </c>
      <c r="C28" s="109">
        <f>IF(O9="","",O9*N9)</f>
      </c>
      <c r="D28" s="109"/>
      <c r="E28" s="112"/>
      <c r="F28" s="109"/>
      <c r="G28" s="92">
        <f t="shared" si="1"/>
      </c>
      <c r="H28" s="109"/>
      <c r="I28" s="124"/>
      <c r="J28" s="92"/>
      <c r="K28" s="109">
        <f t="shared" si="0"/>
      </c>
      <c r="L28" s="92"/>
      <c r="M28" s="93">
        <f t="shared" si="2"/>
      </c>
      <c r="N28" s="127"/>
      <c r="O28" s="51"/>
      <c r="P28" s="45"/>
    </row>
    <row r="29" spans="1:16" x14ac:dyDescent="0.25">
      <c r="A29" s="43"/>
      <c r="B29" s="10">
        <v>2016</v>
      </c>
      <c r="C29" s="109">
        <f>IF(O10="","",O10*N10)</f>
      </c>
      <c r="D29" s="109"/>
      <c r="E29" s="112"/>
      <c r="F29" s="109"/>
      <c r="G29" s="92">
        <f t="shared" si="1"/>
      </c>
      <c r="H29" s="109"/>
      <c r="I29" s="124"/>
      <c r="J29" s="92"/>
      <c r="K29" s="109">
        <f t="shared" si="0"/>
      </c>
      <c r="L29" s="92"/>
      <c r="M29" s="93">
        <f t="shared" si="2"/>
      </c>
      <c r="N29" s="127"/>
      <c r="O29" s="51"/>
      <c r="P29" s="45"/>
    </row>
    <row r="30" spans="1:16" x14ac:dyDescent="0.25">
      <c r="A30" s="43"/>
      <c r="B30" s="10">
        <v>2015</v>
      </c>
      <c r="C30" s="109">
        <f>IF(O11="","",O11*N11)</f>
      </c>
      <c r="D30" s="109"/>
      <c r="E30" s="112"/>
      <c r="F30" s="109"/>
      <c r="G30" s="92">
        <f t="shared" si="1"/>
      </c>
      <c r="H30" s="109"/>
      <c r="I30" s="124"/>
      <c r="J30" s="92"/>
      <c r="K30" s="109">
        <f t="shared" si="0"/>
      </c>
      <c r="L30" s="92"/>
      <c r="M30" s="93">
        <f t="shared" si="2"/>
      </c>
      <c r="N30" s="127"/>
      <c r="O30" s="51"/>
      <c r="P30" s="45"/>
    </row>
    <row r="31" spans="1:16" x14ac:dyDescent="0.25">
      <c r="A31" s="43"/>
      <c r="B31" s="10">
        <v>2014</v>
      </c>
      <c r="C31" s="109">
        <f>IF(O12="","",O12*N12)</f>
      </c>
      <c r="D31" s="109"/>
      <c r="E31" s="112"/>
      <c r="F31" s="109"/>
      <c r="G31" s="92">
        <f t="shared" si="1"/>
      </c>
      <c r="H31" s="109"/>
      <c r="I31" s="124"/>
      <c r="J31" s="92"/>
      <c r="K31" s="109">
        <f t="shared" si="0"/>
      </c>
      <c r="L31" s="92"/>
      <c r="M31" s="93">
        <f t="shared" si="2"/>
      </c>
      <c r="N31" s="127"/>
      <c r="O31" s="51"/>
      <c r="P31" s="45"/>
    </row>
    <row r="32" spans="1:16" x14ac:dyDescent="0.25">
      <c r="A32" s="43"/>
      <c r="B32" s="10">
        <v>2013</v>
      </c>
      <c r="C32" s="109">
        <f>IF(O13="","",O13*N13)</f>
      </c>
      <c r="D32" s="109"/>
      <c r="E32" s="112"/>
      <c r="F32" s="109"/>
      <c r="G32" s="92">
        <f t="shared" si="1"/>
      </c>
      <c r="H32" s="109"/>
      <c r="I32" s="124"/>
      <c r="J32" s="92"/>
      <c r="K32" s="109">
        <f t="shared" si="0"/>
      </c>
      <c r="L32" s="92"/>
      <c r="M32" s="93">
        <f t="shared" si="2"/>
      </c>
      <c r="N32" s="127"/>
      <c r="O32" s="51"/>
      <c r="P32" s="45"/>
    </row>
    <row r="33" spans="1:16" x14ac:dyDescent="0.25">
      <c r="A33" s="43"/>
      <c r="B33" s="10">
        <v>2012</v>
      </c>
      <c r="C33" s="109">
        <f>IF(O14="","",O14*N14)</f>
      </c>
      <c r="D33" s="109"/>
      <c r="E33" s="112"/>
      <c r="F33" s="109"/>
      <c r="G33" s="92">
        <f t="shared" si="1"/>
      </c>
      <c r="H33" s="109"/>
      <c r="I33" s="124"/>
      <c r="J33" s="92"/>
      <c r="K33" s="109">
        <f t="shared" si="0"/>
      </c>
      <c r="L33" s="92"/>
      <c r="M33" s="93">
        <f t="shared" si="2"/>
      </c>
      <c r="N33" s="127"/>
      <c r="O33" s="51"/>
      <c r="P33" s="45"/>
    </row>
    <row r="34" spans="1:16" x14ac:dyDescent="0.25">
      <c r="A34" s="43"/>
      <c r="B34" s="10">
        <v>2011</v>
      </c>
      <c r="C34" s="109">
        <f>IF(O15="","",O15*N15)</f>
      </c>
      <c r="D34" s="109"/>
      <c r="E34" s="112"/>
      <c r="F34" s="109"/>
      <c r="G34" s="92">
        <f t="shared" si="1"/>
      </c>
      <c r="H34" s="109"/>
      <c r="I34" s="124"/>
      <c r="J34" s="92"/>
      <c r="K34" s="109">
        <f t="shared" si="0"/>
      </c>
      <c r="L34" s="92"/>
      <c r="M34" s="93">
        <f t="shared" si="2"/>
      </c>
      <c r="N34" s="127"/>
      <c r="O34" s="51"/>
      <c r="P34" s="45"/>
    </row>
    <row r="35" spans="1:16" x14ac:dyDescent="0.25">
      <c r="A35" s="43"/>
      <c r="B35" s="10">
        <v>2010</v>
      </c>
      <c r="C35" s="109">
        <f>IF(O16="","",O16*N16)</f>
      </c>
      <c r="D35" s="109"/>
      <c r="E35" s="112"/>
      <c r="F35" s="109"/>
      <c r="G35" s="92">
        <f t="shared" si="1"/>
      </c>
      <c r="H35" s="109"/>
      <c r="I35" s="124"/>
      <c r="J35" s="92"/>
      <c r="K35" s="109">
        <f t="shared" si="0"/>
      </c>
      <c r="L35" s="92"/>
      <c r="M35" s="93">
        <f t="shared" si="2"/>
      </c>
      <c r="N35" s="127"/>
      <c r="O35" s="51"/>
      <c r="P35" s="45"/>
    </row>
    <row r="36" spans="1:16" x14ac:dyDescent="0.25">
      <c r="A36" s="43"/>
      <c r="B36" s="10">
        <v>2009</v>
      </c>
      <c r="C36" s="109">
        <f>IF(O17="","",O17*N17)</f>
      </c>
      <c r="D36" s="109"/>
      <c r="E36" s="112"/>
      <c r="F36" s="109"/>
      <c r="G36" s="92">
        <f t="shared" si="1"/>
      </c>
      <c r="H36" s="109"/>
      <c r="I36" s="124"/>
      <c r="J36" s="92"/>
      <c r="K36" s="109">
        <f t="shared" si="0"/>
      </c>
      <c r="L36" s="92"/>
      <c r="M36" s="93">
        <f t="shared" si="2"/>
      </c>
      <c r="N36" s="127"/>
      <c r="O36" s="51"/>
      <c r="P36" s="45"/>
    </row>
    <row r="37" spans="1:16" x14ac:dyDescent="0.25">
      <c r="A37" s="43"/>
      <c r="B37" s="10">
        <v>2008</v>
      </c>
      <c r="C37" s="109">
        <f>IF(O18="","",O18*N18)</f>
      </c>
      <c r="D37" s="109"/>
      <c r="E37" s="112"/>
      <c r="F37" s="109"/>
      <c r="G37" s="92">
        <f t="shared" si="1"/>
      </c>
      <c r="H37" s="109"/>
      <c r="I37" s="124"/>
      <c r="J37" s="92"/>
      <c r="K37" s="109">
        <f t="shared" si="0"/>
      </c>
      <c r="L37" s="92"/>
      <c r="M37" s="93">
        <f t="shared" si="2"/>
      </c>
      <c r="N37" s="127"/>
      <c r="O37" s="51"/>
      <c r="P37" s="45"/>
    </row>
    <row r="38" spans="1:16" ht="15.75" thickBot="1" x14ac:dyDescent="0.3">
      <c r="A38" s="43"/>
      <c r="B38" s="12">
        <v>2007</v>
      </c>
      <c r="C38" s="111">
        <f>IF(O19="","",O19*N19)</f>
      </c>
      <c r="D38" s="111"/>
      <c r="E38" s="116"/>
      <c r="F38" s="111"/>
      <c r="G38" s="95">
        <f t="shared" si="1"/>
      </c>
      <c r="H38" s="111"/>
      <c r="I38" s="125"/>
      <c r="J38" s="95"/>
      <c r="K38" s="111">
        <f t="shared" si="0"/>
      </c>
      <c r="L38" s="95"/>
      <c r="M38" s="96">
        <f t="shared" si="2"/>
      </c>
      <c r="N38" s="128"/>
      <c r="O38" s="51"/>
      <c r="P38" s="45"/>
    </row>
    <row r="39" spans="1:16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</row>
  </sheetData>
  <sheetProtection formatCells="0" formatColumns="0" formatRows="0" insertColumns="0" insertRows="0" insertHyperlinks="0" deleteColumns="0" deleteRows="0" sort="0" autoFilter="0" pivotTables="0"/>
  <mergeCells count="1">
    <mergeCell ref="A1:P1"/>
  </mergeCells>
  <pageMargins left="0.25" right="0.25" top="0.75" bottom="0.75" header="0.3" footer="0.3"/>
  <pageSetup scale="29" fitToHeight="0" orientation="portrait" r:id="rId1"/>
  <headerFooter>
    <oddHeader>&amp;C&amp;14Innovative Advocate Group</oddHeader>
    <oddFooter>&amp;C&amp;14&amp;A&amp;R&amp;14&amp;P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6B68-4F34-4EE5-9609-96BBBAF8C566}">
  <dimension ref="A1:AI1115"/>
  <sheetViews>
    <sheetView zoomScale="80" zoomScaleNormal="80" zoomScaleSheetLayoutView="85" zoomScalePageLayoutView="85" workbookViewId="0">
      <pane ySplit="10" topLeftCell="A11" activePane="bottomLeft" state="frozen"/>
      <selection pane="bottomLeft" activeCell="E26" sqref="E26"/>
    </sheetView>
  </sheetViews>
  <sheetFormatPr defaultRowHeight="15" x14ac:dyDescent="0.25"/>
  <cols>
    <col min="1" max="2" width="16.7109375" style="16" customWidth="1"/>
    <col min="3" max="3" width="14.5703125" style="16" customWidth="1"/>
    <col min="4" max="4" width="16.85546875" style="17" customWidth="1"/>
    <col min="5" max="5" width="48.5703125" style="16" bestFit="1" customWidth="1"/>
    <col min="6" max="6" width="16.140625" customWidth="1"/>
    <col min="7" max="7" width="15.5703125" customWidth="1"/>
    <col min="8" max="8" width="19.42578125" customWidth="1"/>
    <col min="9" max="9" width="10.42578125" style="18" customWidth="1"/>
    <col min="10" max="10" width="11.42578125" style="16" customWidth="1"/>
    <col min="11" max="11" width="9.28515625" style="16" customWidth="1"/>
    <col min="12" max="12" width="11.28515625" style="18" bestFit="1" customWidth="1"/>
    <col min="13" max="13" width="11.28515625" style="18" customWidth="1"/>
    <col min="14" max="16" width="11.28515625" style="16" customWidth="1"/>
    <col min="17" max="17" width="20" style="16" bestFit="1" customWidth="1"/>
    <col min="18" max="18" width="25.5703125" style="16" customWidth="1"/>
    <col min="19" max="19" width="19.42578125" style="16" bestFit="1" customWidth="1"/>
    <col min="20" max="20" width="36.42578125" style="16" bestFit="1" customWidth="1"/>
    <col min="21" max="22" width="14.85546875" style="16" customWidth="1"/>
    <col min="23" max="23" width="14.28515625" style="18" customWidth="1"/>
    <col min="24" max="24" width="15.42578125" style="16" bestFit="1" customWidth="1"/>
    <col min="25" max="25" width="18.5703125" style="18" bestFit="1" customWidth="1"/>
    <col min="26" max="26" width="19.140625" style="18" bestFit="1" customWidth="1"/>
    <col min="27" max="27" width="17.7109375" style="18" bestFit="1" customWidth="1"/>
    <col min="28" max="28" width="17.28515625" style="16" bestFit="1" customWidth="1"/>
    <col min="29" max="29" width="15.7109375" style="16" customWidth="1"/>
    <col min="30" max="30" width="50.28515625" style="16" customWidth="1"/>
    <col min="31" max="31" width="15.7109375" style="18" customWidth="1"/>
    <col min="32" max="16384" width="9.140625" style="16"/>
  </cols>
  <sheetData>
    <row r="1" spans="1:35" x14ac:dyDescent="0.25">
      <c r="A1" s="15" t="s">
        <v>76</v>
      </c>
    </row>
    <row r="2" spans="1:35" ht="15.75" thickBot="1" x14ac:dyDescent="0.3">
      <c r="A2" s="15"/>
      <c r="R2" s="19"/>
      <c r="S2" s="19"/>
      <c r="T2" s="19"/>
      <c r="U2" s="19"/>
      <c r="V2" s="19"/>
      <c r="AE2" s="20"/>
      <c r="AF2"/>
      <c r="AG2" s="21"/>
      <c r="AH2" s="21"/>
      <c r="AI2" s="22"/>
    </row>
    <row r="3" spans="1:35" x14ac:dyDescent="0.25">
      <c r="A3" s="15"/>
      <c r="R3" s="19"/>
      <c r="S3" s="19"/>
      <c r="T3" s="19"/>
      <c r="U3" s="19"/>
      <c r="V3" s="19"/>
      <c r="Z3" s="57" t="s">
        <v>13</v>
      </c>
      <c r="AA3" s="58"/>
      <c r="AE3" s="20"/>
      <c r="AF3"/>
      <c r="AG3"/>
      <c r="AH3" s="21"/>
      <c r="AI3" s="22"/>
    </row>
    <row r="4" spans="1:35" x14ac:dyDescent="0.25">
      <c r="A4" s="23"/>
      <c r="R4" s="19"/>
      <c r="S4" s="19"/>
      <c r="T4" s="19"/>
      <c r="U4" s="19"/>
      <c r="V4" s="19"/>
      <c r="Z4" s="77" t="s">
        <v>14</v>
      </c>
      <c r="AA4" s="24">
        <f>COUNTIF(AA11:AA370,"U")</f>
      </c>
      <c r="AE4" s="20"/>
      <c r="AF4"/>
      <c r="AG4"/>
      <c r="AH4" s="25"/>
      <c r="AI4" s="22"/>
    </row>
    <row r="5" spans="1:35" x14ac:dyDescent="0.25">
      <c r="A5" s="26"/>
      <c r="R5" s="19"/>
      <c r="S5" s="19"/>
      <c r="T5" s="19"/>
      <c r="U5" s="19"/>
      <c r="V5" s="19"/>
      <c r="Z5" s="77" t="s">
        <v>15</v>
      </c>
      <c r="AA5" s="24">
        <f>COUNTIF(AA11:AA370,"F")</f>
      </c>
    </row>
    <row r="6" spans="1:35" x14ac:dyDescent="0.25">
      <c r="R6" s="19"/>
      <c r="S6" s="19"/>
      <c r="T6" s="19"/>
      <c r="U6" s="19"/>
      <c r="V6" s="19"/>
      <c r="Z6" s="77" t="s">
        <v>16</v>
      </c>
      <c r="AA6" s="24">
        <f>COUNTIF(AA11:AA370,"R")</f>
      </c>
    </row>
    <row r="7" spans="1:35" ht="15.75" thickBot="1" x14ac:dyDescent="0.3">
      <c r="R7" s="19"/>
      <c r="S7" s="19"/>
      <c r="T7" s="19"/>
      <c r="U7" s="19"/>
      <c r="V7" s="19"/>
      <c r="Z7" s="78" t="s">
        <v>17</v>
      </c>
      <c r="AA7" s="27">
        <f>COUNTIF(AA11:AA370,"C")</f>
      </c>
    </row>
    <row r="8" spans="1:35" ht="16.5" thickTop="1" thickBot="1" x14ac:dyDescent="0.3">
      <c r="W8" s="28"/>
      <c r="Z8" s="75" t="s">
        <v>18</v>
      </c>
      <c r="AA8" s="29">
        <f>SUM(AA4:AA7)</f>
      </c>
    </row>
    <row r="9" spans="1:35" x14ac:dyDescent="0.25">
      <c r="A9" s="30"/>
      <c r="W9" s="28"/>
    </row>
    <row r="10" spans="1:35" ht="30" x14ac:dyDescent="0.25">
      <c r="A10" s="52" t="s">
        <v>19</v>
      </c>
      <c r="B10" s="52" t="s">
        <v>20</v>
      </c>
      <c r="C10" s="52" t="s">
        <v>21</v>
      </c>
      <c r="D10" s="53" t="s">
        <v>22</v>
      </c>
      <c r="E10" s="52" t="s">
        <v>23</v>
      </c>
      <c r="F10" s="52" t="s">
        <v>24</v>
      </c>
      <c r="G10" s="52" t="s">
        <v>25</v>
      </c>
      <c r="H10" s="52" t="s">
        <v>26</v>
      </c>
      <c r="I10" s="52" t="s">
        <v>27</v>
      </c>
      <c r="J10" s="54" t="s">
        <v>28</v>
      </c>
      <c r="K10" s="52" t="s">
        <v>0</v>
      </c>
      <c r="L10" s="52" t="s">
        <v>29</v>
      </c>
      <c r="M10" s="52" t="s">
        <v>30</v>
      </c>
      <c r="N10" s="52" t="s">
        <v>31</v>
      </c>
      <c r="O10" s="52" t="s">
        <v>1137</v>
      </c>
      <c r="P10" s="52" t="s">
        <v>32</v>
      </c>
      <c r="Q10" s="52" t="s">
        <v>33</v>
      </c>
      <c r="R10" s="52" t="s">
        <v>34</v>
      </c>
      <c r="S10" s="52" t="s">
        <v>35</v>
      </c>
      <c r="T10" s="52" t="s">
        <v>36</v>
      </c>
      <c r="U10" s="52" t="s">
        <v>37</v>
      </c>
      <c r="V10" s="52" t="s">
        <v>38</v>
      </c>
      <c r="W10" s="54" t="s">
        <v>39</v>
      </c>
      <c r="X10" s="52" t="s">
        <v>40</v>
      </c>
      <c r="Y10" s="55" t="s">
        <v>8</v>
      </c>
      <c r="Z10" s="55" t="s">
        <v>7</v>
      </c>
      <c r="AA10" s="55" t="s">
        <v>9</v>
      </c>
      <c r="AB10" s="55" t="s">
        <v>41</v>
      </c>
      <c r="AC10" s="56" t="s">
        <v>42</v>
      </c>
      <c r="AD10" s="55" t="s">
        <v>43</v>
      </c>
      <c r="AE10" s="55" t="s">
        <v>44</v>
      </c>
    </row>
    <row r="11" spans="1:35" s="64" customFormat="1" x14ac:dyDescent="0.25">
      <c r="A11" s="59" t="s">
        <v>77</v>
      </c>
      <c r="B11" s="59" t="s">
        <v>433</v>
      </c>
      <c r="C11" s="60">
        <v>43525</v>
      </c>
      <c r="D11" s="31">
        <v>29.28</v>
      </c>
      <c r="E11" s="59" t="s">
        <v>781</v>
      </c>
      <c r="F11" s="59"/>
      <c r="G11" s="59"/>
      <c r="H11" s="59"/>
      <c r="I11" s="61"/>
      <c r="J11" s="59"/>
      <c r="K11" s="59" t="s">
        <v>46</v>
      </c>
      <c r="L11" s="61"/>
      <c r="M11" s="61"/>
      <c r="N11" s="60"/>
      <c r="O11" s="59"/>
      <c r="P11" s="59"/>
      <c r="Q11" s="59"/>
      <c r="R11" s="59"/>
      <c r="S11" s="59"/>
      <c r="T11" s="59"/>
      <c r="U11" s="59"/>
      <c r="V11" s="59"/>
      <c r="W11" s="61" t="s">
        <v>49</v>
      </c>
      <c r="X11" s="31">
        <v>29.28</v>
      </c>
      <c r="Y11" s="62" t="s">
        <v>52</v>
      </c>
      <c r="Z11" s="76">
        <f t="shared" ref="Z11:Z69" si="0">IF(Y11="Clear",0,X11)</f>
      </c>
      <c r="AA11" s="62" t="s">
        <v>10</v>
      </c>
      <c r="AB11" s="63"/>
      <c r="AC11" s="63"/>
      <c r="AD11" s="63"/>
      <c r="AE11" s="61" t="s">
        <v>48</v>
      </c>
    </row>
    <row r="12" spans="1:35" s="64" customFormat="1" x14ac:dyDescent="0.25">
      <c r="A12" s="59" t="s">
        <v>78</v>
      </c>
      <c r="B12" s="59" t="s">
        <v>434</v>
      </c>
      <c r="C12" s="60">
        <v>43697</v>
      </c>
      <c r="D12" s="31">
        <v>7668.89</v>
      </c>
      <c r="E12" s="59" t="s">
        <v>782</v>
      </c>
      <c r="F12" s="59"/>
      <c r="G12" s="59"/>
      <c r="H12" s="59"/>
      <c r="I12" s="61"/>
      <c r="J12" s="59"/>
      <c r="K12" s="59" t="s">
        <v>46</v>
      </c>
      <c r="L12" s="61"/>
      <c r="M12" s="61"/>
      <c r="N12" s="60"/>
      <c r="O12" s="59"/>
      <c r="P12" s="59"/>
      <c r="Q12" s="59"/>
      <c r="R12" s="59"/>
      <c r="S12" s="59"/>
      <c r="T12" s="59"/>
      <c r="U12" s="59"/>
      <c r="V12" s="59"/>
      <c r="W12" s="61" t="s">
        <v>49</v>
      </c>
      <c r="X12" s="31">
        <v>7668.89</v>
      </c>
      <c r="Y12" s="62" t="s">
        <v>52</v>
      </c>
      <c r="Z12" s="76">
        <f t="shared" si="0"/>
      </c>
      <c r="AA12" s="62" t="s">
        <v>10</v>
      </c>
      <c r="AB12" s="63"/>
      <c r="AC12" s="63"/>
      <c r="AD12" s="63"/>
      <c r="AE12" s="61" t="s">
        <v>48</v>
      </c>
    </row>
    <row r="13" spans="1:35" s="64" customFormat="1" x14ac:dyDescent="0.25">
      <c r="A13" s="59" t="s">
        <v>79</v>
      </c>
      <c r="B13" s="59" t="s">
        <v>435</v>
      </c>
      <c r="C13" s="60">
        <v>43686</v>
      </c>
      <c r="D13" s="31">
        <v>2093.0500000000002</v>
      </c>
      <c r="E13" s="59" t="s">
        <v>783</v>
      </c>
      <c r="F13" s="59"/>
      <c r="G13" s="59"/>
      <c r="H13" s="59"/>
      <c r="I13" s="61"/>
      <c r="J13" s="59"/>
      <c r="K13" s="59" t="s">
        <v>46</v>
      </c>
      <c r="L13" s="61"/>
      <c r="M13" s="61"/>
      <c r="N13" s="60"/>
      <c r="O13" s="59"/>
      <c r="P13" s="59"/>
      <c r="Q13" s="59"/>
      <c r="R13" s="59"/>
      <c r="S13" s="59"/>
      <c r="T13" s="59"/>
      <c r="U13" s="59"/>
      <c r="V13" s="59"/>
      <c r="W13" s="61" t="s">
        <v>49</v>
      </c>
      <c r="X13" s="31">
        <v>2093.0500000000002</v>
      </c>
      <c r="Y13" s="62"/>
      <c r="Z13" s="76">
        <f t="shared" si="0"/>
      </c>
      <c r="AA13" s="62" t="s">
        <v>47</v>
      </c>
      <c r="AB13" s="63"/>
      <c r="AC13" s="63"/>
      <c r="AD13" s="63"/>
      <c r="AE13" s="61" t="s">
        <v>48</v>
      </c>
    </row>
    <row r="14" spans="1:35" s="64" customFormat="1" x14ac:dyDescent="0.25">
      <c r="A14" s="59" t="s">
        <v>80</v>
      </c>
      <c r="B14" s="59" t="s">
        <v>436</v>
      </c>
      <c r="C14" s="60">
        <v>43542</v>
      </c>
      <c r="D14" s="31">
        <v>205.11</v>
      </c>
      <c r="E14" s="59" t="s">
        <v>784</v>
      </c>
      <c r="F14" s="59"/>
      <c r="G14" s="59"/>
      <c r="H14" s="59"/>
      <c r="I14" s="61"/>
      <c r="J14" s="59"/>
      <c r="K14" s="59" t="s">
        <v>46</v>
      </c>
      <c r="L14" s="61"/>
      <c r="M14" s="61"/>
      <c r="N14" s="60"/>
      <c r="O14" s="59"/>
      <c r="P14" s="59"/>
      <c r="Q14" s="59"/>
      <c r="R14" s="59"/>
      <c r="S14" s="59"/>
      <c r="T14" s="59"/>
      <c r="U14" s="59"/>
      <c r="V14" s="59"/>
      <c r="W14" s="61" t="s">
        <v>54</v>
      </c>
      <c r="X14" s="31">
        <v>205.11</v>
      </c>
      <c r="Y14" s="62"/>
      <c r="Z14" s="76">
        <f t="shared" si="0"/>
      </c>
      <c r="AA14" s="62" t="s">
        <v>47</v>
      </c>
      <c r="AB14" s="63"/>
      <c r="AC14" s="63"/>
      <c r="AD14" s="63"/>
      <c r="AE14" s="61" t="s">
        <v>48</v>
      </c>
    </row>
    <row r="15" spans="1:35" s="64" customFormat="1" x14ac:dyDescent="0.25">
      <c r="A15" s="59" t="s">
        <v>81</v>
      </c>
      <c r="B15" s="59" t="s">
        <v>437</v>
      </c>
      <c r="C15" s="60">
        <v>43482</v>
      </c>
      <c r="D15" s="31">
        <v>262.98</v>
      </c>
      <c r="E15" s="59" t="s">
        <v>785</v>
      </c>
      <c r="F15" s="59"/>
      <c r="G15" s="59"/>
      <c r="H15" s="59"/>
      <c r="I15" s="61"/>
      <c r="J15" s="59"/>
      <c r="K15" s="59" t="s">
        <v>46</v>
      </c>
      <c r="L15" s="61"/>
      <c r="M15" s="61"/>
      <c r="N15" s="60"/>
      <c r="O15" s="59"/>
      <c r="P15" s="59"/>
      <c r="Q15" s="59"/>
      <c r="R15" s="59"/>
      <c r="S15" s="59"/>
      <c r="T15" s="59"/>
      <c r="U15" s="59"/>
      <c r="V15" s="59"/>
      <c r="W15" s="61" t="s">
        <v>54</v>
      </c>
      <c r="X15" s="31">
        <v>262.98</v>
      </c>
      <c r="Y15" s="62"/>
      <c r="Z15" s="76">
        <f t="shared" si="0"/>
      </c>
      <c r="AA15" s="62" t="s">
        <v>47</v>
      </c>
      <c r="AB15" s="63"/>
      <c r="AC15" s="63"/>
      <c r="AD15" s="63"/>
      <c r="AE15" s="61" t="s">
        <v>48</v>
      </c>
    </row>
    <row r="16" spans="1:35" s="64" customFormat="1" x14ac:dyDescent="0.25">
      <c r="A16" s="59" t="s">
        <v>82</v>
      </c>
      <c r="B16" s="59" t="s">
        <v>438</v>
      </c>
      <c r="C16" s="60">
        <v>43588</v>
      </c>
      <c r="D16" s="31">
        <v>461.74</v>
      </c>
      <c r="E16" s="59" t="s">
        <v>786</v>
      </c>
      <c r="F16" s="59"/>
      <c r="G16" s="59"/>
      <c r="H16" s="59"/>
      <c r="I16" s="61"/>
      <c r="J16" s="59"/>
      <c r="K16" s="59" t="s">
        <v>46</v>
      </c>
      <c r="L16" s="61"/>
      <c r="M16" s="61"/>
      <c r="N16" s="60"/>
      <c r="O16" s="59"/>
      <c r="P16" s="59"/>
      <c r="Q16" s="59"/>
      <c r="R16" s="59"/>
      <c r="S16" s="59"/>
      <c r="T16" s="59"/>
      <c r="U16" s="59"/>
      <c r="V16" s="59"/>
      <c r="W16" s="61" t="s">
        <v>54</v>
      </c>
      <c r="X16" s="31">
        <v>461.74</v>
      </c>
      <c r="Y16" s="62"/>
      <c r="Z16" s="76">
        <f t="shared" si="0"/>
      </c>
      <c r="AA16" s="62" t="s">
        <v>47</v>
      </c>
      <c r="AB16" s="63"/>
      <c r="AC16" s="63"/>
      <c r="AD16" s="63"/>
      <c r="AE16" s="61" t="s">
        <v>48</v>
      </c>
    </row>
    <row r="17" spans="1:31" s="64" customFormat="1" x14ac:dyDescent="0.25">
      <c r="A17" s="59" t="s">
        <v>83</v>
      </c>
      <c r="B17" s="59" t="s">
        <v>50</v>
      </c>
      <c r="C17" s="60">
        <v>43769</v>
      </c>
      <c r="D17" s="31">
        <v>263.44</v>
      </c>
      <c r="E17" s="59" t="s">
        <v>787</v>
      </c>
      <c r="F17" s="59"/>
      <c r="G17" s="59"/>
      <c r="H17" s="59"/>
      <c r="I17" s="61"/>
      <c r="J17" s="59"/>
      <c r="K17" s="59" t="s">
        <v>46</v>
      </c>
      <c r="L17" s="61"/>
      <c r="M17" s="61"/>
      <c r="N17" s="60"/>
      <c r="O17" s="59"/>
      <c r="P17" s="59"/>
      <c r="Q17" s="59"/>
      <c r="R17" s="59"/>
      <c r="S17" s="59"/>
      <c r="T17" s="59"/>
      <c r="U17" s="59"/>
      <c r="V17" s="59"/>
      <c r="W17" s="61" t="s">
        <v>54</v>
      </c>
      <c r="X17" s="31">
        <v>263.44</v>
      </c>
      <c r="Y17" s="62"/>
      <c r="Z17" s="76">
        <f t="shared" si="0"/>
      </c>
      <c r="AA17" s="62" t="s">
        <v>47</v>
      </c>
      <c r="AB17" s="63"/>
      <c r="AC17" s="63"/>
      <c r="AD17" s="63"/>
      <c r="AE17" s="61" t="s">
        <v>48</v>
      </c>
    </row>
    <row r="18" spans="1:31" s="64" customFormat="1" x14ac:dyDescent="0.25">
      <c r="A18" s="59" t="s">
        <v>84</v>
      </c>
      <c r="B18" s="59" t="s">
        <v>439</v>
      </c>
      <c r="C18" s="60">
        <v>43731</v>
      </c>
      <c r="D18" s="31">
        <v>784.4</v>
      </c>
      <c r="E18" s="59" t="s">
        <v>788</v>
      </c>
      <c r="F18" s="59"/>
      <c r="G18" s="59"/>
      <c r="H18" s="59"/>
      <c r="I18" s="61"/>
      <c r="J18" s="59"/>
      <c r="K18" s="59" t="s">
        <v>46</v>
      </c>
      <c r="L18" s="61"/>
      <c r="M18" s="61"/>
      <c r="N18" s="60"/>
      <c r="O18" s="59"/>
      <c r="P18" s="59"/>
      <c r="Q18" s="59"/>
      <c r="R18" s="59"/>
      <c r="S18" s="59"/>
      <c r="T18" s="59"/>
      <c r="U18" s="59"/>
      <c r="V18" s="59"/>
      <c r="W18" s="61" t="s">
        <v>54</v>
      </c>
      <c r="X18" s="31">
        <v>784.4</v>
      </c>
      <c r="Y18" s="62"/>
      <c r="Z18" s="76">
        <f t="shared" si="0"/>
      </c>
      <c r="AA18" s="62" t="s">
        <v>47</v>
      </c>
      <c r="AB18" s="63"/>
      <c r="AC18" s="63"/>
      <c r="AD18" s="63"/>
      <c r="AE18" s="61" t="s">
        <v>48</v>
      </c>
    </row>
    <row r="19" spans="1:31" s="64" customFormat="1" x14ac:dyDescent="0.25">
      <c r="A19" s="59" t="s">
        <v>85</v>
      </c>
      <c r="B19" s="59" t="s">
        <v>73</v>
      </c>
      <c r="C19" s="60">
        <v>43669</v>
      </c>
      <c r="D19" s="31">
        <v>110</v>
      </c>
      <c r="E19" s="59" t="s">
        <v>789</v>
      </c>
      <c r="F19" s="59"/>
      <c r="G19" s="59"/>
      <c r="H19" s="59"/>
      <c r="I19" s="61"/>
      <c r="J19" s="59"/>
      <c r="K19" s="59" t="s">
        <v>46</v>
      </c>
      <c r="L19" s="61"/>
      <c r="M19" s="61"/>
      <c r="N19" s="60"/>
      <c r="O19" s="59"/>
      <c r="P19" s="59"/>
      <c r="Q19" s="59"/>
      <c r="R19" s="59"/>
      <c r="S19" s="59"/>
      <c r="T19" s="59"/>
      <c r="U19" s="59"/>
      <c r="V19" s="59"/>
      <c r="W19" s="61" t="s">
        <v>54</v>
      </c>
      <c r="X19" s="31">
        <v>110</v>
      </c>
      <c r="Y19" s="62"/>
      <c r="Z19" s="76">
        <f t="shared" si="0"/>
      </c>
      <c r="AA19" s="62" t="s">
        <v>47</v>
      </c>
      <c r="AB19" s="63"/>
      <c r="AC19" s="63"/>
      <c r="AD19" s="63"/>
      <c r="AE19" s="61" t="s">
        <v>48</v>
      </c>
    </row>
    <row r="20" spans="1:31" s="64" customFormat="1" x14ac:dyDescent="0.25">
      <c r="A20" s="59" t="s">
        <v>86</v>
      </c>
      <c r="B20" s="59" t="s">
        <v>71</v>
      </c>
      <c r="C20" s="60">
        <v>43626</v>
      </c>
      <c r="D20" s="31">
        <v>30.97</v>
      </c>
      <c r="E20" s="59" t="s">
        <v>790</v>
      </c>
      <c r="F20" s="59"/>
      <c r="G20" s="59"/>
      <c r="H20" s="59"/>
      <c r="I20" s="61"/>
      <c r="J20" s="59"/>
      <c r="K20" s="59" t="s">
        <v>46</v>
      </c>
      <c r="L20" s="61"/>
      <c r="M20" s="61"/>
      <c r="N20" s="60"/>
      <c r="O20" s="59"/>
      <c r="P20" s="59"/>
      <c r="Q20" s="59"/>
      <c r="R20" s="59"/>
      <c r="S20" s="59"/>
      <c r="T20" s="59"/>
      <c r="U20" s="59"/>
      <c r="V20" s="59"/>
      <c r="W20" s="61" t="s">
        <v>54</v>
      </c>
      <c r="X20" s="31">
        <v>30.97</v>
      </c>
      <c r="Y20" s="62"/>
      <c r="Z20" s="76">
        <f t="shared" si="0"/>
      </c>
      <c r="AA20" s="62" t="s">
        <v>47</v>
      </c>
      <c r="AB20" s="63"/>
      <c r="AC20" s="63"/>
      <c r="AD20" s="63"/>
      <c r="AE20" s="61" t="s">
        <v>48</v>
      </c>
    </row>
    <row r="21" spans="1:31" s="64" customFormat="1" x14ac:dyDescent="0.25">
      <c r="A21" s="59" t="s">
        <v>87</v>
      </c>
      <c r="B21" s="59" t="s">
        <v>440</v>
      </c>
      <c r="C21" s="60">
        <v>43626</v>
      </c>
      <c r="D21" s="31">
        <v>26.39</v>
      </c>
      <c r="E21" s="59" t="s">
        <v>791</v>
      </c>
      <c r="F21" s="59"/>
      <c r="G21" s="59"/>
      <c r="H21" s="59"/>
      <c r="I21" s="61"/>
      <c r="J21" s="59"/>
      <c r="K21" s="59" t="s">
        <v>46</v>
      </c>
      <c r="L21" s="61"/>
      <c r="M21" s="61"/>
      <c r="N21" s="60"/>
      <c r="O21" s="59"/>
      <c r="P21" s="59"/>
      <c r="Q21" s="59"/>
      <c r="R21" s="59"/>
      <c r="S21" s="59"/>
      <c r="T21" s="59"/>
      <c r="U21" s="59"/>
      <c r="V21" s="59"/>
      <c r="W21" s="61" t="s">
        <v>54</v>
      </c>
      <c r="X21" s="31">
        <v>26.39</v>
      </c>
      <c r="Y21" s="62"/>
      <c r="Z21" s="76">
        <f t="shared" si="0"/>
      </c>
      <c r="AA21" s="62" t="s">
        <v>47</v>
      </c>
      <c r="AB21" s="63"/>
      <c r="AC21" s="63"/>
      <c r="AD21" s="63"/>
      <c r="AE21" s="61" t="s">
        <v>48</v>
      </c>
    </row>
    <row r="22" spans="1:31" s="64" customFormat="1" x14ac:dyDescent="0.25">
      <c r="A22" s="59" t="s">
        <v>88</v>
      </c>
      <c r="B22" s="59" t="s">
        <v>441</v>
      </c>
      <c r="C22" s="60">
        <v>43602</v>
      </c>
      <c r="D22" s="31">
        <v>61.25</v>
      </c>
      <c r="E22" s="59" t="s">
        <v>792</v>
      </c>
      <c r="F22" s="59"/>
      <c r="G22" s="59"/>
      <c r="H22" s="59"/>
      <c r="I22" s="61"/>
      <c r="J22" s="59"/>
      <c r="K22" s="59" t="s">
        <v>46</v>
      </c>
      <c r="L22" s="61"/>
      <c r="M22" s="61"/>
      <c r="N22" s="60"/>
      <c r="O22" s="59"/>
      <c r="P22" s="59"/>
      <c r="Q22" s="59"/>
      <c r="R22" s="59"/>
      <c r="S22" s="59"/>
      <c r="T22" s="59"/>
      <c r="U22" s="59"/>
      <c r="V22" s="59"/>
      <c r="W22" s="61" t="s">
        <v>54</v>
      </c>
      <c r="X22" s="31">
        <v>61.25</v>
      </c>
      <c r="Y22" s="62"/>
      <c r="Z22" s="76">
        <f t="shared" si="0"/>
      </c>
      <c r="AA22" s="62" t="s">
        <v>47</v>
      </c>
      <c r="AB22" s="63"/>
      <c r="AC22" s="63"/>
      <c r="AD22" s="63"/>
      <c r="AE22" s="61" t="s">
        <v>48</v>
      </c>
    </row>
    <row r="23" spans="1:31" s="64" customFormat="1" x14ac:dyDescent="0.25">
      <c r="A23" s="59" t="s">
        <v>89</v>
      </c>
      <c r="B23" s="59" t="s">
        <v>51</v>
      </c>
      <c r="C23" s="60">
        <v>43892</v>
      </c>
      <c r="D23" s="31">
        <v>2285.13</v>
      </c>
      <c r="E23" s="59" t="s">
        <v>793</v>
      </c>
      <c r="F23" s="59"/>
      <c r="G23" s="59"/>
      <c r="H23" s="59"/>
      <c r="I23" s="61"/>
      <c r="J23" s="59"/>
      <c r="K23" s="59" t="s">
        <v>55</v>
      </c>
      <c r="L23" s="61"/>
      <c r="M23" s="61"/>
      <c r="N23" s="60"/>
      <c r="O23" s="59"/>
      <c r="P23" s="59"/>
      <c r="Q23" s="59"/>
      <c r="R23" s="59"/>
      <c r="S23" s="59"/>
      <c r="T23" s="59"/>
      <c r="U23" s="59"/>
      <c r="V23" s="59"/>
      <c r="W23" s="61" t="s">
        <v>54</v>
      </c>
      <c r="X23" s="31">
        <v>2285.13</v>
      </c>
      <c r="Y23" s="62" t="s">
        <v>52</v>
      </c>
      <c r="Z23" s="76">
        <f t="shared" si="0"/>
      </c>
      <c r="AA23" s="62" t="s">
        <v>10</v>
      </c>
      <c r="AB23" s="63"/>
      <c r="AC23" s="63"/>
      <c r="AD23" s="63"/>
      <c r="AE23" s="61" t="s">
        <v>48</v>
      </c>
    </row>
    <row r="24" spans="1:31" s="64" customFormat="1" x14ac:dyDescent="0.25">
      <c r="A24" s="59" t="s">
        <v>90</v>
      </c>
      <c r="B24" s="59" t="s">
        <v>442</v>
      </c>
      <c r="C24" s="60">
        <v>44006</v>
      </c>
      <c r="D24" s="31">
        <v>2504.86</v>
      </c>
      <c r="E24" s="59" t="s">
        <v>794</v>
      </c>
      <c r="F24" s="59"/>
      <c r="G24" s="59"/>
      <c r="H24" s="59"/>
      <c r="I24" s="61"/>
      <c r="J24" s="59"/>
      <c r="K24" s="59" t="s">
        <v>55</v>
      </c>
      <c r="L24" s="61"/>
      <c r="M24" s="61"/>
      <c r="N24" s="60"/>
      <c r="O24" s="59"/>
      <c r="P24" s="59"/>
      <c r="Q24" s="59"/>
      <c r="R24" s="59"/>
      <c r="S24" s="59"/>
      <c r="T24" s="59"/>
      <c r="U24" s="59"/>
      <c r="V24" s="59"/>
      <c r="W24" s="61" t="s">
        <v>56</v>
      </c>
      <c r="X24" s="31">
        <v>2504.86</v>
      </c>
      <c r="Y24" s="62"/>
      <c r="Z24" s="76">
        <f t="shared" si="0"/>
      </c>
      <c r="AA24" s="62" t="s">
        <v>47</v>
      </c>
      <c r="AB24" s="63"/>
      <c r="AC24" s="63"/>
      <c r="AD24" s="63"/>
      <c r="AE24" s="61" t="s">
        <v>48</v>
      </c>
    </row>
    <row r="25" spans="1:31" s="64" customFormat="1" x14ac:dyDescent="0.25">
      <c r="A25" s="59" t="s">
        <v>91</v>
      </c>
      <c r="B25" s="59" t="s">
        <v>443</v>
      </c>
      <c r="C25" s="60">
        <v>43812</v>
      </c>
      <c r="D25" s="31">
        <v>3751.53</v>
      </c>
      <c r="E25" s="59" t="s">
        <v>795</v>
      </c>
      <c r="F25" s="59"/>
      <c r="G25" s="59"/>
      <c r="H25" s="59"/>
      <c r="I25" s="61"/>
      <c r="J25" s="59"/>
      <c r="K25" s="59" t="s">
        <v>46</v>
      </c>
      <c r="L25" s="61"/>
      <c r="M25" s="61"/>
      <c r="N25" s="60"/>
      <c r="O25" s="59"/>
      <c r="P25" s="59"/>
      <c r="Q25" s="59"/>
      <c r="R25" s="59"/>
      <c r="S25" s="59"/>
      <c r="T25" s="59"/>
      <c r="U25" s="59"/>
      <c r="V25" s="59"/>
      <c r="W25" s="61" t="s">
        <v>57</v>
      </c>
      <c r="X25" s="31">
        <v>3751.53</v>
      </c>
      <c r="Y25" s="62"/>
      <c r="Z25" s="76">
        <f t="shared" si="0"/>
      </c>
      <c r="AA25" s="62" t="s">
        <v>47</v>
      </c>
      <c r="AB25" s="63"/>
      <c r="AC25" s="63"/>
      <c r="AD25" s="63"/>
      <c r="AE25" s="61" t="s">
        <v>48</v>
      </c>
    </row>
    <row r="26" spans="1:31" s="64" customFormat="1" x14ac:dyDescent="0.25">
      <c r="A26" s="59" t="s">
        <v>92</v>
      </c>
      <c r="B26" s="59" t="s">
        <v>74</v>
      </c>
      <c r="C26" s="60">
        <v>43625</v>
      </c>
      <c r="D26" s="31">
        <v>20.18</v>
      </c>
      <c r="E26" s="59" t="s">
        <v>796</v>
      </c>
      <c r="F26" s="59"/>
      <c r="G26" s="59"/>
      <c r="H26" s="59"/>
      <c r="I26" s="61"/>
      <c r="J26" s="59"/>
      <c r="K26" s="59" t="s">
        <v>46</v>
      </c>
      <c r="L26" s="61"/>
      <c r="M26" s="61"/>
      <c r="N26" s="60"/>
      <c r="O26" s="59"/>
      <c r="P26" s="59"/>
      <c r="Q26" s="59"/>
      <c r="R26" s="59"/>
      <c r="S26" s="59"/>
      <c r="T26" s="59"/>
      <c r="U26" s="59"/>
      <c r="V26" s="59"/>
      <c r="W26" s="61" t="s">
        <v>57</v>
      </c>
      <c r="X26" s="31">
        <v>20.18</v>
      </c>
      <c r="Y26" s="62"/>
      <c r="Z26" s="76">
        <f t="shared" si="0"/>
      </c>
      <c r="AA26" s="62" t="s">
        <v>47</v>
      </c>
      <c r="AB26" s="63"/>
      <c r="AC26" s="63"/>
      <c r="AD26" s="63"/>
      <c r="AE26" s="61" t="s">
        <v>48</v>
      </c>
    </row>
    <row r="27" spans="1:31" s="64" customFormat="1" x14ac:dyDescent="0.25">
      <c r="A27" s="59" t="s">
        <v>93</v>
      </c>
      <c r="B27" s="59" t="s">
        <v>444</v>
      </c>
      <c r="C27" s="60">
        <v>43557</v>
      </c>
      <c r="D27" s="31">
        <v>44</v>
      </c>
      <c r="E27" s="59" t="s">
        <v>797</v>
      </c>
      <c r="F27" s="59"/>
      <c r="G27" s="59"/>
      <c r="H27" s="59"/>
      <c r="I27" s="61"/>
      <c r="J27" s="59"/>
      <c r="K27" s="59" t="s">
        <v>46</v>
      </c>
      <c r="L27" s="61"/>
      <c r="M27" s="61"/>
      <c r="N27" s="60"/>
      <c r="O27" s="59"/>
      <c r="P27" s="59"/>
      <c r="Q27" s="59"/>
      <c r="R27" s="59"/>
      <c r="S27" s="59"/>
      <c r="T27" s="59"/>
      <c r="U27" s="59"/>
      <c r="V27" s="59"/>
      <c r="W27" s="61" t="s">
        <v>57</v>
      </c>
      <c r="X27" s="31">
        <v>44</v>
      </c>
      <c r="Y27" s="62"/>
      <c r="Z27" s="76">
        <f t="shared" si="0"/>
      </c>
      <c r="AA27" s="62" t="s">
        <v>47</v>
      </c>
      <c r="AB27" s="63"/>
      <c r="AC27" s="63"/>
      <c r="AD27" s="63"/>
      <c r="AE27" s="61" t="s">
        <v>48</v>
      </c>
    </row>
    <row r="28" spans="1:31" s="64" customFormat="1" x14ac:dyDescent="0.25">
      <c r="A28" s="59" t="s">
        <v>94</v>
      </c>
      <c r="B28" s="59" t="s">
        <v>445</v>
      </c>
      <c r="C28" s="60">
        <v>43872</v>
      </c>
      <c r="D28" s="31">
        <v>427.02</v>
      </c>
      <c r="E28" s="59" t="s">
        <v>798</v>
      </c>
      <c r="F28" s="59"/>
      <c r="G28" s="59"/>
      <c r="H28" s="59"/>
      <c r="I28" s="61"/>
      <c r="J28" s="59"/>
      <c r="K28" s="59" t="s">
        <v>55</v>
      </c>
      <c r="L28" s="61"/>
      <c r="M28" s="61"/>
      <c r="N28" s="60"/>
      <c r="O28" s="59"/>
      <c r="P28" s="59"/>
      <c r="Q28" s="59"/>
      <c r="R28" s="59"/>
      <c r="S28" s="59"/>
      <c r="T28" s="59"/>
      <c r="U28" s="59"/>
      <c r="V28" s="59"/>
      <c r="W28" s="61" t="s">
        <v>57</v>
      </c>
      <c r="X28" s="31">
        <v>427.02</v>
      </c>
      <c r="Y28" s="62"/>
      <c r="Z28" s="76">
        <f t="shared" si="0"/>
      </c>
      <c r="AA28" s="62" t="s">
        <v>47</v>
      </c>
      <c r="AB28" s="63"/>
      <c r="AC28" s="63"/>
      <c r="AD28" s="63"/>
      <c r="AE28" s="61" t="s">
        <v>48</v>
      </c>
    </row>
    <row r="29" spans="1:31" s="64" customFormat="1" x14ac:dyDescent="0.25">
      <c r="A29" s="59" t="s">
        <v>95</v>
      </c>
      <c r="B29" s="59" t="s">
        <v>446</v>
      </c>
      <c r="C29" s="60">
        <v>43762</v>
      </c>
      <c r="D29" s="31">
        <v>456.42</v>
      </c>
      <c r="E29" s="59" t="s">
        <v>799</v>
      </c>
      <c r="F29" s="59"/>
      <c r="G29" s="59"/>
      <c r="H29" s="59"/>
      <c r="I29" s="61"/>
      <c r="J29" s="59"/>
      <c r="K29" s="59" t="s">
        <v>46</v>
      </c>
      <c r="L29" s="61"/>
      <c r="M29" s="61"/>
      <c r="N29" s="60"/>
      <c r="O29" s="59"/>
      <c r="P29" s="59"/>
      <c r="Q29" s="59"/>
      <c r="R29" s="59"/>
      <c r="S29" s="59"/>
      <c r="T29" s="59"/>
      <c r="U29" s="59"/>
      <c r="V29" s="59"/>
      <c r="W29" s="61" t="s">
        <v>57</v>
      </c>
      <c r="X29" s="31">
        <v>456.42</v>
      </c>
      <c r="Y29" s="62"/>
      <c r="Z29" s="76">
        <f t="shared" si="0"/>
      </c>
      <c r="AA29" s="62" t="s">
        <v>47</v>
      </c>
      <c r="AB29" s="63"/>
      <c r="AC29" s="63"/>
      <c r="AD29" s="63"/>
      <c r="AE29" s="61" t="s">
        <v>48</v>
      </c>
    </row>
    <row r="30" spans="1:31" s="64" customFormat="1" x14ac:dyDescent="0.25">
      <c r="A30" s="59" t="s">
        <v>96</v>
      </c>
      <c r="B30" s="59" t="s">
        <v>447</v>
      </c>
      <c r="C30" s="60">
        <v>43616</v>
      </c>
      <c r="D30" s="31">
        <v>50.52</v>
      </c>
      <c r="E30" s="59" t="s">
        <v>800</v>
      </c>
      <c r="F30" s="59"/>
      <c r="G30" s="59"/>
      <c r="H30" s="59"/>
      <c r="I30" s="61"/>
      <c r="J30" s="59"/>
      <c r="K30" s="59" t="s">
        <v>46</v>
      </c>
      <c r="L30" s="61"/>
      <c r="M30" s="61"/>
      <c r="N30" s="60"/>
      <c r="O30" s="59"/>
      <c r="P30" s="59"/>
      <c r="Q30" s="59"/>
      <c r="R30" s="59"/>
      <c r="S30" s="59"/>
      <c r="T30" s="59"/>
      <c r="U30" s="59"/>
      <c r="V30" s="59"/>
      <c r="W30" s="61" t="s">
        <v>57</v>
      </c>
      <c r="X30" s="31">
        <v>50.52</v>
      </c>
      <c r="Y30" s="62"/>
      <c r="Z30" s="76">
        <f t="shared" si="0"/>
      </c>
      <c r="AA30" s="62" t="s">
        <v>47</v>
      </c>
      <c r="AB30" s="63"/>
      <c r="AC30" s="63"/>
      <c r="AD30" s="63"/>
      <c r="AE30" s="61" t="s">
        <v>48</v>
      </c>
    </row>
    <row r="31" spans="1:31" s="64" customFormat="1" x14ac:dyDescent="0.25">
      <c r="A31" s="59" t="s">
        <v>97</v>
      </c>
      <c r="B31" s="59" t="s">
        <v>448</v>
      </c>
      <c r="C31" s="60">
        <v>43798</v>
      </c>
      <c r="D31" s="31">
        <v>6065.27</v>
      </c>
      <c r="E31" s="59" t="s">
        <v>801</v>
      </c>
      <c r="F31" s="59"/>
      <c r="G31" s="59"/>
      <c r="H31" s="59"/>
      <c r="I31" s="61"/>
      <c r="J31" s="59"/>
      <c r="K31" s="59" t="s">
        <v>46</v>
      </c>
      <c r="L31" s="61"/>
      <c r="M31" s="61"/>
      <c r="N31" s="60"/>
      <c r="O31" s="59"/>
      <c r="P31" s="59"/>
      <c r="Q31" s="59"/>
      <c r="R31" s="59"/>
      <c r="S31" s="59"/>
      <c r="T31" s="59"/>
      <c r="U31" s="59"/>
      <c r="V31" s="59"/>
      <c r="W31" s="61" t="s">
        <v>58</v>
      </c>
      <c r="X31" s="31">
        <v>6065.27</v>
      </c>
      <c r="Y31" s="62"/>
      <c r="Z31" s="76">
        <f t="shared" si="0"/>
      </c>
      <c r="AA31" s="62" t="s">
        <v>47</v>
      </c>
      <c r="AB31" s="63"/>
      <c r="AC31" s="63"/>
      <c r="AD31" s="63"/>
      <c r="AE31" s="61" t="s">
        <v>48</v>
      </c>
    </row>
    <row r="32" spans="1:31" s="64" customFormat="1" x14ac:dyDescent="0.25">
      <c r="A32" s="59" t="s">
        <v>98</v>
      </c>
      <c r="B32" s="59" t="s">
        <v>449</v>
      </c>
      <c r="C32" s="60">
        <v>43669</v>
      </c>
      <c r="D32" s="31">
        <v>468.99</v>
      </c>
      <c r="E32" s="59" t="s">
        <v>802</v>
      </c>
      <c r="F32" s="59"/>
      <c r="G32" s="59"/>
      <c r="H32" s="59"/>
      <c r="I32" s="61"/>
      <c r="J32" s="59"/>
      <c r="K32" s="59" t="s">
        <v>46</v>
      </c>
      <c r="L32" s="61"/>
      <c r="M32" s="61"/>
      <c r="N32" s="60"/>
      <c r="O32" s="59"/>
      <c r="P32" s="59"/>
      <c r="Q32" s="59"/>
      <c r="R32" s="59"/>
      <c r="S32" s="59"/>
      <c r="T32" s="59"/>
      <c r="U32" s="59"/>
      <c r="V32" s="59"/>
      <c r="W32" s="61" t="s">
        <v>58</v>
      </c>
      <c r="X32" s="31">
        <v>468.99</v>
      </c>
      <c r="Y32" s="62"/>
      <c r="Z32" s="76">
        <f t="shared" si="0"/>
      </c>
      <c r="AA32" s="62" t="s">
        <v>47</v>
      </c>
      <c r="AB32" s="63"/>
      <c r="AC32" s="63"/>
      <c r="AD32" s="63"/>
      <c r="AE32" s="61" t="s">
        <v>48</v>
      </c>
    </row>
    <row r="33" spans="1:31" s="64" customFormat="1" x14ac:dyDescent="0.25">
      <c r="A33" s="59" t="s">
        <v>99</v>
      </c>
      <c r="B33" s="59" t="s">
        <v>450</v>
      </c>
      <c r="C33" s="60">
        <v>43665</v>
      </c>
      <c r="D33" s="31">
        <v>101.06</v>
      </c>
      <c r="E33" s="59" t="s">
        <v>803</v>
      </c>
      <c r="F33" s="59"/>
      <c r="G33" s="59"/>
      <c r="H33" s="59"/>
      <c r="I33" s="61"/>
      <c r="J33" s="59"/>
      <c r="K33" s="59" t="s">
        <v>46</v>
      </c>
      <c r="L33" s="61"/>
      <c r="M33" s="61"/>
      <c r="N33" s="60"/>
      <c r="O33" s="59"/>
      <c r="P33" s="59"/>
      <c r="Q33" s="59"/>
      <c r="R33" s="59"/>
      <c r="S33" s="59"/>
      <c r="T33" s="59"/>
      <c r="U33" s="59"/>
      <c r="V33" s="59"/>
      <c r="W33" s="61" t="s">
        <v>58</v>
      </c>
      <c r="X33" s="31">
        <v>101.06</v>
      </c>
      <c r="Y33" s="62"/>
      <c r="Z33" s="76">
        <f t="shared" si="0"/>
      </c>
      <c r="AA33" s="62" t="s">
        <v>47</v>
      </c>
      <c r="AB33" s="63"/>
      <c r="AC33" s="63"/>
      <c r="AD33" s="63"/>
      <c r="AE33" s="61" t="s">
        <v>48</v>
      </c>
    </row>
    <row r="34" spans="1:31" s="64" customFormat="1" x14ac:dyDescent="0.25">
      <c r="A34" s="59" t="s">
        <v>100</v>
      </c>
      <c r="B34" s="59" t="s">
        <v>451</v>
      </c>
      <c r="C34" s="60">
        <v>43649</v>
      </c>
      <c r="D34" s="31">
        <v>109.25</v>
      </c>
      <c r="E34" s="59" t="s">
        <v>804</v>
      </c>
      <c r="F34" s="59"/>
      <c r="G34" s="59"/>
      <c r="H34" s="59"/>
      <c r="I34" s="61"/>
      <c r="J34" s="59"/>
      <c r="K34" s="59" t="s">
        <v>46</v>
      </c>
      <c r="L34" s="61"/>
      <c r="M34" s="61"/>
      <c r="N34" s="60"/>
      <c r="O34" s="59"/>
      <c r="P34" s="59"/>
      <c r="Q34" s="59"/>
      <c r="R34" s="59"/>
      <c r="S34" s="59"/>
      <c r="T34" s="59"/>
      <c r="U34" s="59"/>
      <c r="V34" s="59"/>
      <c r="W34" s="61" t="s">
        <v>58</v>
      </c>
      <c r="X34" s="31">
        <v>109.25</v>
      </c>
      <c r="Y34" s="62"/>
      <c r="Z34" s="76">
        <f t="shared" si="0"/>
      </c>
      <c r="AA34" s="62" t="s">
        <v>47</v>
      </c>
      <c r="AB34" s="63"/>
      <c r="AC34" s="63"/>
      <c r="AD34" s="63"/>
      <c r="AE34" s="61" t="s">
        <v>48</v>
      </c>
    </row>
    <row r="35" spans="1:31" s="64" customFormat="1" x14ac:dyDescent="0.25">
      <c r="A35" s="59" t="s">
        <v>101</v>
      </c>
      <c r="B35" s="59" t="s">
        <v>452</v>
      </c>
      <c r="C35" s="60">
        <v>43468</v>
      </c>
      <c r="D35" s="31">
        <v>1610.39</v>
      </c>
      <c r="E35" s="59" t="s">
        <v>805</v>
      </c>
      <c r="F35" s="59"/>
      <c r="G35" s="59"/>
      <c r="H35" s="59"/>
      <c r="I35" s="61"/>
      <c r="J35" s="59"/>
      <c r="K35" s="59" t="s">
        <v>46</v>
      </c>
      <c r="L35" s="61"/>
      <c r="M35" s="61"/>
      <c r="N35" s="60"/>
      <c r="O35" s="59"/>
      <c r="P35" s="59"/>
      <c r="Q35" s="59"/>
      <c r="R35" s="59"/>
      <c r="S35" s="59"/>
      <c r="T35" s="59"/>
      <c r="U35" s="59"/>
      <c r="V35" s="59"/>
      <c r="W35" s="61" t="s">
        <v>58</v>
      </c>
      <c r="X35" s="31">
        <v>1610.39</v>
      </c>
      <c r="Y35" s="62"/>
      <c r="Z35" s="76">
        <f t="shared" si="0"/>
      </c>
      <c r="AA35" s="62" t="s">
        <v>47</v>
      </c>
      <c r="AB35" s="63"/>
      <c r="AC35" s="63"/>
      <c r="AD35" s="63"/>
      <c r="AE35" s="61" t="s">
        <v>48</v>
      </c>
    </row>
    <row r="36" spans="1:31" s="64" customFormat="1" x14ac:dyDescent="0.25">
      <c r="A36" s="59" t="s">
        <v>102</v>
      </c>
      <c r="B36" s="59" t="s">
        <v>453</v>
      </c>
      <c r="C36" s="60">
        <v>43649</v>
      </c>
      <c r="D36" s="31">
        <v>477.48</v>
      </c>
      <c r="E36" s="59" t="s">
        <v>806</v>
      </c>
      <c r="F36" s="59"/>
      <c r="G36" s="59"/>
      <c r="H36" s="59"/>
      <c r="I36" s="61"/>
      <c r="J36" s="59"/>
      <c r="K36" s="59" t="s">
        <v>46</v>
      </c>
      <c r="L36" s="61"/>
      <c r="M36" s="61"/>
      <c r="N36" s="60"/>
      <c r="O36" s="59"/>
      <c r="P36" s="59"/>
      <c r="Q36" s="59"/>
      <c r="R36" s="59"/>
      <c r="S36" s="59"/>
      <c r="T36" s="59"/>
      <c r="U36" s="59"/>
      <c r="V36" s="59"/>
      <c r="W36" s="61" t="s">
        <v>58</v>
      </c>
      <c r="X36" s="31">
        <v>477.48</v>
      </c>
      <c r="Y36" s="62"/>
      <c r="Z36" s="76">
        <f t="shared" si="0"/>
      </c>
      <c r="AA36" s="62" t="s">
        <v>47</v>
      </c>
      <c r="AB36" s="63"/>
      <c r="AC36" s="63"/>
      <c r="AD36" s="63"/>
      <c r="AE36" s="61" t="s">
        <v>48</v>
      </c>
    </row>
    <row r="37" spans="1:31" s="64" customFormat="1" x14ac:dyDescent="0.25">
      <c r="A37" s="59" t="s">
        <v>103</v>
      </c>
      <c r="B37" s="59" t="s">
        <v>454</v>
      </c>
      <c r="C37" s="60">
        <v>44453</v>
      </c>
      <c r="D37" s="31">
        <v>152.88999999999999</v>
      </c>
      <c r="E37" s="59" t="s">
        <v>807</v>
      </c>
      <c r="F37" s="59"/>
      <c r="G37" s="59"/>
      <c r="H37" s="59"/>
      <c r="I37" s="61"/>
      <c r="J37" s="59"/>
      <c r="K37" s="59" t="s">
        <v>59</v>
      </c>
      <c r="L37" s="61"/>
      <c r="M37" s="61"/>
      <c r="N37" s="60"/>
      <c r="O37" s="59"/>
      <c r="P37" s="59"/>
      <c r="Q37" s="59"/>
      <c r="R37" s="59"/>
      <c r="S37" s="59"/>
      <c r="T37" s="59"/>
      <c r="U37" s="59"/>
      <c r="V37" s="59"/>
      <c r="W37" s="61" t="s">
        <v>58</v>
      </c>
      <c r="X37" s="31">
        <v>152.88999999999999</v>
      </c>
      <c r="Y37" s="62"/>
      <c r="Z37" s="76">
        <f t="shared" si="0"/>
      </c>
      <c r="AA37" s="62" t="s">
        <v>47</v>
      </c>
      <c r="AB37" s="63"/>
      <c r="AC37" s="63"/>
      <c r="AD37" s="63"/>
      <c r="AE37" s="61" t="s">
        <v>48</v>
      </c>
    </row>
    <row r="38" spans="1:31" s="64" customFormat="1" x14ac:dyDescent="0.25">
      <c r="A38" s="59" t="s">
        <v>104</v>
      </c>
      <c r="B38" s="59" t="s">
        <v>455</v>
      </c>
      <c r="C38" s="60">
        <v>43640</v>
      </c>
      <c r="D38" s="31">
        <v>8977.92</v>
      </c>
      <c r="E38" s="59" t="s">
        <v>808</v>
      </c>
      <c r="F38" s="59"/>
      <c r="G38" s="59"/>
      <c r="H38" s="59"/>
      <c r="I38" s="61"/>
      <c r="J38" s="59"/>
      <c r="K38" s="59" t="s">
        <v>46</v>
      </c>
      <c r="L38" s="61"/>
      <c r="M38" s="61"/>
      <c r="N38" s="60"/>
      <c r="O38" s="59"/>
      <c r="P38" s="59"/>
      <c r="Q38" s="59"/>
      <c r="R38" s="59"/>
      <c r="S38" s="59"/>
      <c r="T38" s="59"/>
      <c r="U38" s="59"/>
      <c r="V38" s="59"/>
      <c r="W38" s="61" t="s">
        <v>58</v>
      </c>
      <c r="X38" s="31">
        <v>8977.92</v>
      </c>
      <c r="Y38" s="62" t="s">
        <v>52</v>
      </c>
      <c r="Z38" s="76">
        <f t="shared" si="0"/>
      </c>
      <c r="AA38" s="62" t="s">
        <v>10</v>
      </c>
      <c r="AB38" s="63"/>
      <c r="AC38" s="63"/>
      <c r="AD38" s="63"/>
      <c r="AE38" s="61" t="s">
        <v>48</v>
      </c>
    </row>
    <row r="39" spans="1:31" s="64" customFormat="1" x14ac:dyDescent="0.25">
      <c r="A39" s="59" t="s">
        <v>105</v>
      </c>
      <c r="B39" s="59" t="s">
        <v>456</v>
      </c>
      <c r="C39" s="60">
        <v>43628</v>
      </c>
      <c r="D39" s="31">
        <v>8977.92</v>
      </c>
      <c r="E39" s="59" t="s">
        <v>809</v>
      </c>
      <c r="F39" s="59"/>
      <c r="G39" s="59"/>
      <c r="H39" s="59"/>
      <c r="I39" s="61"/>
      <c r="J39" s="59"/>
      <c r="K39" s="59" t="s">
        <v>46</v>
      </c>
      <c r="L39" s="61"/>
      <c r="M39" s="61"/>
      <c r="N39" s="60"/>
      <c r="O39" s="59"/>
      <c r="P39" s="59"/>
      <c r="Q39" s="59"/>
      <c r="R39" s="59"/>
      <c r="S39" s="59"/>
      <c r="T39" s="59"/>
      <c r="U39" s="59"/>
      <c r="V39" s="59"/>
      <c r="W39" s="61" t="s">
        <v>58</v>
      </c>
      <c r="X39" s="31">
        <v>8977.92</v>
      </c>
      <c r="Y39" s="62"/>
      <c r="Z39" s="76">
        <f t="shared" si="0"/>
      </c>
      <c r="AA39" s="62" t="s">
        <v>47</v>
      </c>
      <c r="AB39" s="63"/>
      <c r="AC39" s="63"/>
      <c r="AD39" s="63"/>
      <c r="AE39" s="61" t="s">
        <v>48</v>
      </c>
    </row>
    <row r="40" spans="1:31" s="64" customFormat="1" x14ac:dyDescent="0.25">
      <c r="A40" s="59" t="s">
        <v>106</v>
      </c>
      <c r="B40" s="59" t="s">
        <v>457</v>
      </c>
      <c r="C40" s="60">
        <v>44378</v>
      </c>
      <c r="D40" s="31">
        <v>2426.33</v>
      </c>
      <c r="E40" s="59" t="s">
        <v>810</v>
      </c>
      <c r="F40" s="59"/>
      <c r="G40" s="59"/>
      <c r="H40" s="59"/>
      <c r="I40" s="61"/>
      <c r="J40" s="59"/>
      <c r="K40" s="59" t="s">
        <v>59</v>
      </c>
      <c r="L40" s="61"/>
      <c r="M40" s="61"/>
      <c r="N40" s="60"/>
      <c r="O40" s="59"/>
      <c r="P40" s="59"/>
      <c r="Q40" s="59"/>
      <c r="R40" s="59"/>
      <c r="S40" s="59"/>
      <c r="T40" s="59"/>
      <c r="U40" s="59"/>
      <c r="V40" s="59"/>
      <c r="W40" s="61" t="s">
        <v>58</v>
      </c>
      <c r="X40" s="31">
        <v>2426.33</v>
      </c>
      <c r="Y40" s="62"/>
      <c r="Z40" s="76">
        <f t="shared" si="0"/>
      </c>
      <c r="AA40" s="62" t="s">
        <v>47</v>
      </c>
      <c r="AB40" s="63"/>
      <c r="AC40" s="63"/>
      <c r="AD40" s="63"/>
      <c r="AE40" s="61" t="s">
        <v>48</v>
      </c>
    </row>
    <row r="41" spans="1:31" s="64" customFormat="1" x14ac:dyDescent="0.25">
      <c r="A41" s="59" t="s">
        <v>107</v>
      </c>
      <c r="B41" s="59" t="s">
        <v>458</v>
      </c>
      <c r="C41" s="60">
        <v>43546</v>
      </c>
      <c r="D41" s="31">
        <v>130.66999999999999</v>
      </c>
      <c r="E41" s="59" t="s">
        <v>811</v>
      </c>
      <c r="F41" s="59"/>
      <c r="G41" s="59"/>
      <c r="H41" s="59"/>
      <c r="I41" s="61"/>
      <c r="J41" s="59"/>
      <c r="K41" s="59" t="s">
        <v>46</v>
      </c>
      <c r="L41" s="61"/>
      <c r="M41" s="61"/>
      <c r="N41" s="60"/>
      <c r="O41" s="59"/>
      <c r="P41" s="59"/>
      <c r="Q41" s="59"/>
      <c r="R41" s="59"/>
      <c r="S41" s="59"/>
      <c r="T41" s="59"/>
      <c r="U41" s="59"/>
      <c r="V41" s="59"/>
      <c r="W41" s="61" t="s">
        <v>60</v>
      </c>
      <c r="X41" s="31">
        <v>130.66999999999999</v>
      </c>
      <c r="Y41" s="62"/>
      <c r="Z41" s="76">
        <f t="shared" si="0"/>
      </c>
      <c r="AA41" s="62" t="s">
        <v>47</v>
      </c>
      <c r="AB41" s="63"/>
      <c r="AC41" s="63"/>
      <c r="AD41" s="63"/>
      <c r="AE41" s="61" t="s">
        <v>48</v>
      </c>
    </row>
    <row r="42" spans="1:31" s="64" customFormat="1" x14ac:dyDescent="0.25">
      <c r="A42" s="59" t="s">
        <v>108</v>
      </c>
      <c r="B42" s="59" t="s">
        <v>459</v>
      </c>
      <c r="C42" s="60">
        <v>43683</v>
      </c>
      <c r="D42" s="31">
        <v>129.9</v>
      </c>
      <c r="E42" s="59" t="s">
        <v>812</v>
      </c>
      <c r="F42" s="59"/>
      <c r="G42" s="59"/>
      <c r="H42" s="59"/>
      <c r="I42" s="61"/>
      <c r="J42" s="59"/>
      <c r="K42" s="59" t="s">
        <v>46</v>
      </c>
      <c r="L42" s="61"/>
      <c r="M42" s="61"/>
      <c r="N42" s="60"/>
      <c r="O42" s="59"/>
      <c r="P42" s="59"/>
      <c r="Q42" s="59"/>
      <c r="R42" s="59"/>
      <c r="S42" s="59"/>
      <c r="T42" s="59"/>
      <c r="U42" s="59"/>
      <c r="V42" s="59"/>
      <c r="W42" s="61" t="s">
        <v>61</v>
      </c>
      <c r="X42" s="31">
        <v>129.9</v>
      </c>
      <c r="Y42" s="62"/>
      <c r="Z42" s="76">
        <f t="shared" si="0"/>
      </c>
      <c r="AA42" s="62" t="s">
        <v>47</v>
      </c>
      <c r="AB42" s="63"/>
      <c r="AC42" s="63"/>
      <c r="AD42" s="63"/>
      <c r="AE42" s="61" t="s">
        <v>48</v>
      </c>
    </row>
    <row r="43" spans="1:31" s="64" customFormat="1" x14ac:dyDescent="0.25">
      <c r="A43" s="59" t="s">
        <v>109</v>
      </c>
      <c r="B43" s="59" t="s">
        <v>460</v>
      </c>
      <c r="C43" s="60">
        <v>44134</v>
      </c>
      <c r="D43" s="31">
        <v>2299.09</v>
      </c>
      <c r="E43" s="59" t="s">
        <v>813</v>
      </c>
      <c r="F43" s="59"/>
      <c r="G43" s="59"/>
      <c r="H43" s="59"/>
      <c r="I43" s="61"/>
      <c r="J43" s="59"/>
      <c r="K43" s="59" t="s">
        <v>55</v>
      </c>
      <c r="L43" s="61"/>
      <c r="M43" s="61"/>
      <c r="N43" s="60"/>
      <c r="O43" s="59"/>
      <c r="P43" s="59"/>
      <c r="Q43" s="59"/>
      <c r="R43" s="59"/>
      <c r="S43" s="59"/>
      <c r="T43" s="59"/>
      <c r="U43" s="59"/>
      <c r="V43" s="59"/>
      <c r="W43" s="61" t="s">
        <v>61</v>
      </c>
      <c r="X43" s="31">
        <v>2299.09</v>
      </c>
      <c r="Y43" s="62"/>
      <c r="Z43" s="76">
        <f t="shared" si="0"/>
      </c>
      <c r="AA43" s="62" t="s">
        <v>47</v>
      </c>
      <c r="AB43" s="63"/>
      <c r="AC43" s="63"/>
      <c r="AD43" s="63"/>
      <c r="AE43" s="61" t="s">
        <v>48</v>
      </c>
    </row>
    <row r="44" spans="1:31" s="64" customFormat="1" x14ac:dyDescent="0.25">
      <c r="A44" s="59" t="s">
        <v>110</v>
      </c>
      <c r="B44" s="59" t="s">
        <v>461</v>
      </c>
      <c r="C44" s="60">
        <v>44062</v>
      </c>
      <c r="D44" s="31">
        <v>4252.2</v>
      </c>
      <c r="E44" s="59" t="s">
        <v>814</v>
      </c>
      <c r="F44" s="59"/>
      <c r="G44" s="59"/>
      <c r="H44" s="59"/>
      <c r="I44" s="61"/>
      <c r="J44" s="59"/>
      <c r="K44" s="59" t="s">
        <v>55</v>
      </c>
      <c r="L44" s="61"/>
      <c r="M44" s="61"/>
      <c r="N44" s="60"/>
      <c r="O44" s="59"/>
      <c r="P44" s="59"/>
      <c r="Q44" s="59"/>
      <c r="R44" s="59"/>
      <c r="S44" s="59"/>
      <c r="T44" s="59"/>
      <c r="U44" s="59"/>
      <c r="V44" s="59"/>
      <c r="W44" s="61" t="s">
        <v>61</v>
      </c>
      <c r="X44" s="31">
        <v>47189.27</v>
      </c>
      <c r="Y44" s="62" t="s">
        <v>52</v>
      </c>
      <c r="Z44" s="76">
        <f t="shared" si="0"/>
      </c>
      <c r="AA44" s="62" t="s">
        <v>10</v>
      </c>
      <c r="AB44" s="63"/>
      <c r="AC44" s="63"/>
      <c r="AD44" s="63"/>
      <c r="AE44" s="61" t="s">
        <v>48</v>
      </c>
    </row>
    <row r="45" spans="1:31" s="64" customFormat="1" x14ac:dyDescent="0.25">
      <c r="A45" s="59" t="s">
        <v>111</v>
      </c>
      <c r="B45" s="59" t="s">
        <v>462</v>
      </c>
      <c r="C45" s="60">
        <v>43935</v>
      </c>
      <c r="D45" s="31">
        <v>11059.88</v>
      </c>
      <c r="E45" s="59" t="s">
        <v>815</v>
      </c>
      <c r="F45" s="59"/>
      <c r="G45" s="59"/>
      <c r="H45" s="59"/>
      <c r="I45" s="61"/>
      <c r="J45" s="59"/>
      <c r="K45" s="59" t="s">
        <v>55</v>
      </c>
      <c r="L45" s="61"/>
      <c r="M45" s="61"/>
      <c r="N45" s="60"/>
      <c r="O45" s="59"/>
      <c r="P45" s="59"/>
      <c r="Q45" s="59"/>
      <c r="R45" s="59"/>
      <c r="S45" s="59"/>
      <c r="T45" s="59"/>
      <c r="U45" s="59"/>
      <c r="V45" s="59"/>
      <c r="W45" s="61" t="s">
        <v>61</v>
      </c>
      <c r="X45" s="31">
        <v>11059.88</v>
      </c>
      <c r="Y45" s="62"/>
      <c r="Z45" s="76">
        <f t="shared" si="0"/>
      </c>
      <c r="AA45" s="62" t="s">
        <v>47</v>
      </c>
      <c r="AB45" s="63"/>
      <c r="AC45" s="63"/>
      <c r="AD45" s="63"/>
      <c r="AE45" s="61" t="s">
        <v>48</v>
      </c>
    </row>
    <row r="46" spans="1:31" s="64" customFormat="1" x14ac:dyDescent="0.25">
      <c r="A46" s="59" t="s">
        <v>112</v>
      </c>
      <c r="B46" s="59" t="s">
        <v>463</v>
      </c>
      <c r="C46" s="60">
        <v>43543</v>
      </c>
      <c r="D46" s="31">
        <v>936.32</v>
      </c>
      <c r="E46" s="59" t="s">
        <v>816</v>
      </c>
      <c r="F46" s="59"/>
      <c r="G46" s="59"/>
      <c r="H46" s="59"/>
      <c r="I46" s="61"/>
      <c r="J46" s="59"/>
      <c r="K46" s="59" t="s">
        <v>46</v>
      </c>
      <c r="L46" s="61"/>
      <c r="M46" s="61"/>
      <c r="N46" s="60"/>
      <c r="O46" s="59"/>
      <c r="P46" s="59"/>
      <c r="Q46" s="59"/>
      <c r="R46" s="59"/>
      <c r="S46" s="59"/>
      <c r="T46" s="59"/>
      <c r="U46" s="59"/>
      <c r="V46" s="59"/>
      <c r="W46" s="61" t="s">
        <v>61</v>
      </c>
      <c r="X46" s="31">
        <v>936.32</v>
      </c>
      <c r="Y46" s="62"/>
      <c r="Z46" s="76">
        <f t="shared" si="0"/>
      </c>
      <c r="AA46" s="62" t="s">
        <v>47</v>
      </c>
      <c r="AB46" s="63"/>
      <c r="AC46" s="63"/>
      <c r="AD46" s="63"/>
      <c r="AE46" s="61" t="s">
        <v>48</v>
      </c>
    </row>
    <row r="47" spans="1:31" s="64" customFormat="1" x14ac:dyDescent="0.25">
      <c r="A47" s="59" t="s">
        <v>113</v>
      </c>
      <c r="B47" s="59" t="s">
        <v>464</v>
      </c>
      <c r="C47" s="60">
        <v>43700</v>
      </c>
      <c r="D47" s="31">
        <v>23.78</v>
      </c>
      <c r="E47" s="59" t="s">
        <v>817</v>
      </c>
      <c r="F47" s="59"/>
      <c r="G47" s="59"/>
      <c r="H47" s="59"/>
      <c r="I47" s="61"/>
      <c r="J47" s="59"/>
      <c r="K47" s="59" t="s">
        <v>46</v>
      </c>
      <c r="L47" s="61"/>
      <c r="M47" s="61"/>
      <c r="N47" s="60"/>
      <c r="O47" s="59"/>
      <c r="P47" s="59"/>
      <c r="Q47" s="59"/>
      <c r="R47" s="59"/>
      <c r="S47" s="59"/>
      <c r="T47" s="59"/>
      <c r="U47" s="59"/>
      <c r="V47" s="59"/>
      <c r="W47" s="61" t="s">
        <v>61</v>
      </c>
      <c r="X47" s="31">
        <v>23.78</v>
      </c>
      <c r="Y47" s="62"/>
      <c r="Z47" s="76">
        <f t="shared" si="0"/>
      </c>
      <c r="AA47" s="62" t="s">
        <v>47</v>
      </c>
      <c r="AB47" s="63"/>
      <c r="AC47" s="63"/>
      <c r="AD47" s="63"/>
      <c r="AE47" s="61" t="s">
        <v>48</v>
      </c>
    </row>
    <row r="48" spans="1:31" s="64" customFormat="1" x14ac:dyDescent="0.25">
      <c r="A48" s="59" t="s">
        <v>114</v>
      </c>
      <c r="B48" s="59" t="s">
        <v>465</v>
      </c>
      <c r="C48" s="60">
        <v>43642</v>
      </c>
      <c r="D48" s="31">
        <v>26.31</v>
      </c>
      <c r="E48" s="59" t="s">
        <v>818</v>
      </c>
      <c r="F48" s="59"/>
      <c r="G48" s="59"/>
      <c r="H48" s="59"/>
      <c r="I48" s="61"/>
      <c r="J48" s="59"/>
      <c r="K48" s="59" t="s">
        <v>46</v>
      </c>
      <c r="L48" s="61"/>
      <c r="M48" s="61"/>
      <c r="N48" s="60"/>
      <c r="O48" s="59"/>
      <c r="P48" s="59"/>
      <c r="Q48" s="59"/>
      <c r="R48" s="59"/>
      <c r="S48" s="59"/>
      <c r="T48" s="59"/>
      <c r="U48" s="59"/>
      <c r="V48" s="59"/>
      <c r="W48" s="61" t="s">
        <v>61</v>
      </c>
      <c r="X48" s="31">
        <v>26.31</v>
      </c>
      <c r="Y48" s="62"/>
      <c r="Z48" s="76">
        <f t="shared" si="0"/>
      </c>
      <c r="AA48" s="62" t="s">
        <v>47</v>
      </c>
      <c r="AB48" s="63"/>
      <c r="AC48" s="63"/>
      <c r="AD48" s="63"/>
      <c r="AE48" s="61" t="s">
        <v>48</v>
      </c>
    </row>
    <row r="49" spans="1:31" s="64" customFormat="1" x14ac:dyDescent="0.25">
      <c r="A49" s="59" t="s">
        <v>115</v>
      </c>
      <c r="B49" s="59" t="s">
        <v>466</v>
      </c>
      <c r="C49" s="60">
        <v>44265</v>
      </c>
      <c r="D49" s="31">
        <v>20.38</v>
      </c>
      <c r="E49" s="59" t="s">
        <v>819</v>
      </c>
      <c r="F49" s="59"/>
      <c r="G49" s="59"/>
      <c r="H49" s="59"/>
      <c r="I49" s="61"/>
      <c r="J49" s="59"/>
      <c r="K49" s="59" t="s">
        <v>59</v>
      </c>
      <c r="L49" s="61"/>
      <c r="M49" s="61"/>
      <c r="N49" s="60"/>
      <c r="O49" s="59"/>
      <c r="P49" s="59"/>
      <c r="Q49" s="59"/>
      <c r="R49" s="59"/>
      <c r="S49" s="59"/>
      <c r="T49" s="59"/>
      <c r="U49" s="59"/>
      <c r="V49" s="59"/>
      <c r="W49" s="61" t="s">
        <v>61</v>
      </c>
      <c r="X49" s="31">
        <v>20.38</v>
      </c>
      <c r="Y49" s="62"/>
      <c r="Z49" s="76">
        <f t="shared" si="0"/>
      </c>
      <c r="AA49" s="62" t="s">
        <v>47</v>
      </c>
      <c r="AB49" s="63"/>
      <c r="AC49" s="63"/>
      <c r="AD49" s="63"/>
      <c r="AE49" s="61" t="s">
        <v>48</v>
      </c>
    </row>
    <row r="50" spans="1:31" s="64" customFormat="1" x14ac:dyDescent="0.25">
      <c r="A50" s="59" t="s">
        <v>116</v>
      </c>
      <c r="B50" s="59" t="s">
        <v>467</v>
      </c>
      <c r="C50" s="60">
        <v>43523</v>
      </c>
      <c r="D50" s="31">
        <v>46.82</v>
      </c>
      <c r="E50" s="59" t="s">
        <v>820</v>
      </c>
      <c r="F50" s="59"/>
      <c r="G50" s="59"/>
      <c r="H50" s="59"/>
      <c r="I50" s="61"/>
      <c r="J50" s="59"/>
      <c r="K50" s="59" t="s">
        <v>46</v>
      </c>
      <c r="L50" s="61"/>
      <c r="M50" s="61"/>
      <c r="N50" s="60"/>
      <c r="O50" s="59"/>
      <c r="P50" s="59"/>
      <c r="Q50" s="59"/>
      <c r="R50" s="59"/>
      <c r="S50" s="59"/>
      <c r="T50" s="59"/>
      <c r="U50" s="59"/>
      <c r="V50" s="59"/>
      <c r="W50" s="61" t="s">
        <v>61</v>
      </c>
      <c r="X50" s="31">
        <v>46.82</v>
      </c>
      <c r="Y50" s="62"/>
      <c r="Z50" s="76">
        <f t="shared" si="0"/>
      </c>
      <c r="AA50" s="62" t="s">
        <v>47</v>
      </c>
      <c r="AB50" s="63"/>
      <c r="AC50" s="63"/>
      <c r="AD50" s="63"/>
      <c r="AE50" s="61" t="s">
        <v>48</v>
      </c>
    </row>
    <row r="51" spans="1:31" s="64" customFormat="1" x14ac:dyDescent="0.25">
      <c r="A51" s="59" t="s">
        <v>117</v>
      </c>
      <c r="B51" s="59" t="s">
        <v>468</v>
      </c>
      <c r="C51" s="60">
        <v>43581</v>
      </c>
      <c r="D51" s="31">
        <v>51.94</v>
      </c>
      <c r="E51" s="59" t="s">
        <v>821</v>
      </c>
      <c r="F51" s="59"/>
      <c r="G51" s="59"/>
      <c r="H51" s="59"/>
      <c r="I51" s="61"/>
      <c r="J51" s="59"/>
      <c r="K51" s="59" t="s">
        <v>46</v>
      </c>
      <c r="L51" s="61"/>
      <c r="M51" s="61"/>
      <c r="N51" s="60"/>
      <c r="O51" s="59"/>
      <c r="P51" s="59"/>
      <c r="Q51" s="59"/>
      <c r="R51" s="59"/>
      <c r="S51" s="59"/>
      <c r="T51" s="59"/>
      <c r="U51" s="59"/>
      <c r="V51" s="59"/>
      <c r="W51" s="61" t="s">
        <v>62</v>
      </c>
      <c r="X51" s="31">
        <v>51.94</v>
      </c>
      <c r="Y51" s="62"/>
      <c r="Z51" s="76">
        <f t="shared" si="0"/>
      </c>
      <c r="AA51" s="62" t="s">
        <v>47</v>
      </c>
      <c r="AB51" s="63"/>
      <c r="AC51" s="63"/>
      <c r="AD51" s="63"/>
      <c r="AE51" s="61" t="s">
        <v>48</v>
      </c>
    </row>
    <row r="52" spans="1:31" s="64" customFormat="1" x14ac:dyDescent="0.25">
      <c r="A52" s="59" t="s">
        <v>118</v>
      </c>
      <c r="B52" s="59" t="s">
        <v>469</v>
      </c>
      <c r="C52" s="60">
        <v>43516</v>
      </c>
      <c r="D52" s="31">
        <v>67.739999999999995</v>
      </c>
      <c r="E52" s="59" t="s">
        <v>822</v>
      </c>
      <c r="F52" s="59"/>
      <c r="G52" s="59"/>
      <c r="H52" s="59"/>
      <c r="I52" s="61"/>
      <c r="J52" s="59"/>
      <c r="K52" s="59" t="s">
        <v>46</v>
      </c>
      <c r="L52" s="61"/>
      <c r="M52" s="61"/>
      <c r="N52" s="60"/>
      <c r="O52" s="59"/>
      <c r="P52" s="59"/>
      <c r="Q52" s="59"/>
      <c r="R52" s="59"/>
      <c r="S52" s="59"/>
      <c r="T52" s="59"/>
      <c r="U52" s="59"/>
      <c r="V52" s="59"/>
      <c r="W52" s="61" t="s">
        <v>62</v>
      </c>
      <c r="X52" s="31">
        <v>67.739999999999995</v>
      </c>
      <c r="Y52" s="62"/>
      <c r="Z52" s="76">
        <f t="shared" si="0"/>
      </c>
      <c r="AA52" s="62" t="s">
        <v>47</v>
      </c>
      <c r="AB52" s="63"/>
      <c r="AC52" s="63"/>
      <c r="AD52" s="63"/>
      <c r="AE52" s="61" t="s">
        <v>48</v>
      </c>
    </row>
    <row r="53" spans="1:31" s="64" customFormat="1" x14ac:dyDescent="0.25">
      <c r="A53" s="59" t="s">
        <v>119</v>
      </c>
      <c r="B53" s="59" t="s">
        <v>470</v>
      </c>
      <c r="C53" s="60">
        <v>43516</v>
      </c>
      <c r="D53" s="31">
        <v>49.94</v>
      </c>
      <c r="E53" s="59" t="s">
        <v>823</v>
      </c>
      <c r="F53" s="59"/>
      <c r="G53" s="59"/>
      <c r="H53" s="59"/>
      <c r="I53" s="61"/>
      <c r="J53" s="59"/>
      <c r="K53" s="59" t="s">
        <v>46</v>
      </c>
      <c r="L53" s="61"/>
      <c r="M53" s="61"/>
      <c r="N53" s="60"/>
      <c r="O53" s="59"/>
      <c r="P53" s="59"/>
      <c r="Q53" s="59"/>
      <c r="R53" s="59"/>
      <c r="S53" s="59"/>
      <c r="T53" s="59"/>
      <c r="U53" s="59"/>
      <c r="V53" s="59"/>
      <c r="W53" s="61" t="s">
        <v>62</v>
      </c>
      <c r="X53" s="31">
        <v>49.94</v>
      </c>
      <c r="Y53" s="62"/>
      <c r="Z53" s="76">
        <f t="shared" si="0"/>
      </c>
      <c r="AA53" s="62" t="s">
        <v>47</v>
      </c>
      <c r="AB53" s="63"/>
      <c r="AC53" s="63"/>
      <c r="AD53" s="63"/>
      <c r="AE53" s="61" t="s">
        <v>48</v>
      </c>
    </row>
    <row r="54" spans="1:31" s="64" customFormat="1" x14ac:dyDescent="0.25">
      <c r="A54" s="59" t="s">
        <v>120</v>
      </c>
      <c r="B54" s="59" t="s">
        <v>471</v>
      </c>
      <c r="C54" s="60">
        <v>43516</v>
      </c>
      <c r="D54" s="31">
        <v>28.66</v>
      </c>
      <c r="E54" s="59" t="s">
        <v>824</v>
      </c>
      <c r="F54" s="59"/>
      <c r="G54" s="59"/>
      <c r="H54" s="59"/>
      <c r="I54" s="61"/>
      <c r="J54" s="59"/>
      <c r="K54" s="59" t="s">
        <v>46</v>
      </c>
      <c r="L54" s="61"/>
      <c r="M54" s="61"/>
      <c r="N54" s="60"/>
      <c r="O54" s="59"/>
      <c r="P54" s="59"/>
      <c r="Q54" s="59"/>
      <c r="R54" s="59"/>
      <c r="S54" s="59"/>
      <c r="T54" s="59"/>
      <c r="U54" s="59"/>
      <c r="V54" s="59"/>
      <c r="W54" s="61" t="s">
        <v>62</v>
      </c>
      <c r="X54" s="31">
        <v>28.66</v>
      </c>
      <c r="Y54" s="62"/>
      <c r="Z54" s="76">
        <f t="shared" si="0"/>
      </c>
      <c r="AA54" s="62" t="s">
        <v>47</v>
      </c>
      <c r="AB54" s="63"/>
      <c r="AC54" s="63"/>
      <c r="AD54" s="63"/>
      <c r="AE54" s="61" t="s">
        <v>48</v>
      </c>
    </row>
    <row r="55" spans="1:31" s="64" customFormat="1" x14ac:dyDescent="0.25">
      <c r="A55" s="59" t="s">
        <v>121</v>
      </c>
      <c r="B55" s="59" t="s">
        <v>472</v>
      </c>
      <c r="C55" s="60">
        <v>43502</v>
      </c>
      <c r="D55" s="31">
        <v>54.08</v>
      </c>
      <c r="E55" s="59" t="s">
        <v>825</v>
      </c>
      <c r="F55" s="59"/>
      <c r="G55" s="59"/>
      <c r="H55" s="59"/>
      <c r="I55" s="61"/>
      <c r="J55" s="59"/>
      <c r="K55" s="59" t="s">
        <v>46</v>
      </c>
      <c r="L55" s="61"/>
      <c r="M55" s="61"/>
      <c r="N55" s="60"/>
      <c r="O55" s="59"/>
      <c r="P55" s="59"/>
      <c r="Q55" s="59"/>
      <c r="R55" s="59"/>
      <c r="S55" s="59"/>
      <c r="T55" s="59"/>
      <c r="U55" s="59"/>
      <c r="V55" s="59"/>
      <c r="W55" s="61" t="s">
        <v>62</v>
      </c>
      <c r="X55" s="31">
        <v>54.08</v>
      </c>
      <c r="Y55" s="62"/>
      <c r="Z55" s="76">
        <f t="shared" si="0"/>
      </c>
      <c r="AA55" s="62" t="s">
        <v>47</v>
      </c>
      <c r="AB55" s="63"/>
      <c r="AC55" s="63"/>
      <c r="AD55" s="63"/>
      <c r="AE55" s="61" t="s">
        <v>48</v>
      </c>
    </row>
    <row r="56" spans="1:31" s="64" customFormat="1" x14ac:dyDescent="0.25">
      <c r="A56" s="59" t="s">
        <v>122</v>
      </c>
      <c r="B56" s="59" t="s">
        <v>473</v>
      </c>
      <c r="C56" s="60">
        <v>43516</v>
      </c>
      <c r="D56" s="31">
        <v>116.03</v>
      </c>
      <c r="E56" s="59" t="s">
        <v>826</v>
      </c>
      <c r="F56" s="59"/>
      <c r="G56" s="59"/>
      <c r="H56" s="59"/>
      <c r="I56" s="61"/>
      <c r="J56" s="59"/>
      <c r="K56" s="59" t="s">
        <v>46</v>
      </c>
      <c r="L56" s="61"/>
      <c r="M56" s="61"/>
      <c r="N56" s="60"/>
      <c r="O56" s="59"/>
      <c r="P56" s="59"/>
      <c r="Q56" s="59"/>
      <c r="R56" s="59"/>
      <c r="S56" s="59"/>
      <c r="T56" s="59"/>
      <c r="U56" s="59"/>
      <c r="V56" s="59"/>
      <c r="W56" s="61" t="s">
        <v>62</v>
      </c>
      <c r="X56" s="31">
        <v>116.03</v>
      </c>
      <c r="Y56" s="62" t="s">
        <v>52</v>
      </c>
      <c r="Z56" s="76">
        <f t="shared" si="0"/>
      </c>
      <c r="AA56" s="62" t="s">
        <v>10</v>
      </c>
      <c r="AB56" s="63"/>
      <c r="AC56" s="63"/>
      <c r="AD56" s="63"/>
      <c r="AE56" s="61" t="s">
        <v>48</v>
      </c>
    </row>
    <row r="57" spans="1:31" s="64" customFormat="1" x14ac:dyDescent="0.25">
      <c r="A57" s="59" t="s">
        <v>123</v>
      </c>
      <c r="B57" s="59" t="s">
        <v>474</v>
      </c>
      <c r="C57" s="60">
        <v>43516</v>
      </c>
      <c r="D57" s="31">
        <v>100.14</v>
      </c>
      <c r="E57" s="59" t="s">
        <v>827</v>
      </c>
      <c r="F57" s="59"/>
      <c r="G57" s="59"/>
      <c r="H57" s="59"/>
      <c r="I57" s="61"/>
      <c r="J57" s="59"/>
      <c r="K57" s="59" t="s">
        <v>46</v>
      </c>
      <c r="L57" s="61"/>
      <c r="M57" s="61"/>
      <c r="N57" s="60"/>
      <c r="O57" s="59"/>
      <c r="P57" s="59"/>
      <c r="Q57" s="59"/>
      <c r="R57" s="59"/>
      <c r="S57" s="59"/>
      <c r="T57" s="59"/>
      <c r="U57" s="59"/>
      <c r="V57" s="59"/>
      <c r="W57" s="61" t="s">
        <v>62</v>
      </c>
      <c r="X57" s="31">
        <v>100.14</v>
      </c>
      <c r="Y57" s="62"/>
      <c r="Z57" s="76">
        <f t="shared" si="0"/>
      </c>
      <c r="AA57" s="62" t="s">
        <v>47</v>
      </c>
      <c r="AB57" s="63"/>
      <c r="AC57" s="63"/>
      <c r="AD57" s="63"/>
      <c r="AE57" s="61" t="s">
        <v>48</v>
      </c>
    </row>
    <row r="58" spans="1:31" s="64" customFormat="1" x14ac:dyDescent="0.25">
      <c r="A58" s="59" t="s">
        <v>124</v>
      </c>
      <c r="B58" s="59" t="s">
        <v>475</v>
      </c>
      <c r="C58" s="60">
        <v>43502</v>
      </c>
      <c r="D58" s="31">
        <v>147.59</v>
      </c>
      <c r="E58" s="59" t="s">
        <v>828</v>
      </c>
      <c r="F58" s="59"/>
      <c r="G58" s="59"/>
      <c r="H58" s="59"/>
      <c r="I58" s="61"/>
      <c r="J58" s="59"/>
      <c r="K58" s="59" t="s">
        <v>46</v>
      </c>
      <c r="L58" s="61"/>
      <c r="M58" s="61"/>
      <c r="N58" s="60"/>
      <c r="O58" s="59"/>
      <c r="P58" s="59"/>
      <c r="Q58" s="59"/>
      <c r="R58" s="59"/>
      <c r="S58" s="59"/>
      <c r="T58" s="59"/>
      <c r="U58" s="59"/>
      <c r="V58" s="59"/>
      <c r="W58" s="61" t="s">
        <v>62</v>
      </c>
      <c r="X58" s="31">
        <v>147.59</v>
      </c>
      <c r="Y58" s="62"/>
      <c r="Z58" s="76">
        <f t="shared" si="0"/>
      </c>
      <c r="AA58" s="62" t="s">
        <v>47</v>
      </c>
      <c r="AB58" s="63"/>
      <c r="AC58" s="63"/>
      <c r="AD58" s="63"/>
      <c r="AE58" s="61" t="s">
        <v>48</v>
      </c>
    </row>
    <row r="59" spans="1:31" s="64" customFormat="1" x14ac:dyDescent="0.25">
      <c r="A59" s="59" t="s">
        <v>125</v>
      </c>
      <c r="B59" s="59" t="s">
        <v>476</v>
      </c>
      <c r="C59" s="60">
        <v>43616</v>
      </c>
      <c r="D59" s="31">
        <v>5242.2</v>
      </c>
      <c r="E59" s="59" t="s">
        <v>829</v>
      </c>
      <c r="F59" s="59"/>
      <c r="G59" s="59"/>
      <c r="H59" s="59"/>
      <c r="I59" s="61"/>
      <c r="J59" s="59"/>
      <c r="K59" s="59" t="s">
        <v>46</v>
      </c>
      <c r="L59" s="61"/>
      <c r="M59" s="61"/>
      <c r="N59" s="60"/>
      <c r="O59" s="59"/>
      <c r="P59" s="59"/>
      <c r="Q59" s="59"/>
      <c r="R59" s="59"/>
      <c r="S59" s="59"/>
      <c r="T59" s="59"/>
      <c r="U59" s="59"/>
      <c r="V59" s="59"/>
      <c r="W59" s="61" t="s">
        <v>63</v>
      </c>
      <c r="X59" s="31">
        <v>5242.2</v>
      </c>
      <c r="Y59" s="62"/>
      <c r="Z59" s="76">
        <f t="shared" si="0"/>
      </c>
      <c r="AA59" s="62" t="s">
        <v>47</v>
      </c>
      <c r="AB59" s="63"/>
      <c r="AC59" s="63"/>
      <c r="AD59" s="63"/>
      <c r="AE59" s="61" t="s">
        <v>48</v>
      </c>
    </row>
    <row r="60" spans="1:31" s="64" customFormat="1" x14ac:dyDescent="0.25">
      <c r="A60" s="59" t="s">
        <v>126</v>
      </c>
      <c r="B60" s="59" t="s">
        <v>477</v>
      </c>
      <c r="C60" s="60">
        <v>43616</v>
      </c>
      <c r="D60" s="31">
        <v>1227.2</v>
      </c>
      <c r="E60" s="59" t="s">
        <v>830</v>
      </c>
      <c r="F60" s="59"/>
      <c r="G60" s="59"/>
      <c r="H60" s="59"/>
      <c r="I60" s="61"/>
      <c r="J60" s="59"/>
      <c r="K60" s="59" t="s">
        <v>46</v>
      </c>
      <c r="L60" s="61"/>
      <c r="M60" s="61"/>
      <c r="N60" s="60"/>
      <c r="O60" s="59"/>
      <c r="P60" s="59"/>
      <c r="Q60" s="59"/>
      <c r="R60" s="59"/>
      <c r="S60" s="59"/>
      <c r="T60" s="59"/>
      <c r="U60" s="59"/>
      <c r="V60" s="59"/>
      <c r="W60" s="61" t="s">
        <v>63</v>
      </c>
      <c r="X60" s="31">
        <v>1227.2</v>
      </c>
      <c r="Y60" s="62" t="s">
        <v>52</v>
      </c>
      <c r="Z60" s="76">
        <f t="shared" si="0"/>
      </c>
      <c r="AA60" s="62" t="s">
        <v>10</v>
      </c>
      <c r="AB60" s="63"/>
      <c r="AC60" s="63"/>
      <c r="AD60" s="63"/>
      <c r="AE60" s="61" t="s">
        <v>48</v>
      </c>
    </row>
    <row r="61" spans="1:31" s="64" customFormat="1" x14ac:dyDescent="0.25">
      <c r="A61" s="59" t="s">
        <v>127</v>
      </c>
      <c r="B61" s="59" t="s">
        <v>478</v>
      </c>
      <c r="C61" s="60">
        <v>43578</v>
      </c>
      <c r="D61" s="31">
        <v>1773.84</v>
      </c>
      <c r="E61" s="59" t="s">
        <v>831</v>
      </c>
      <c r="F61" s="59"/>
      <c r="G61" s="59"/>
      <c r="H61" s="59"/>
      <c r="I61" s="61"/>
      <c r="J61" s="59"/>
      <c r="K61" s="59" t="s">
        <v>46</v>
      </c>
      <c r="L61" s="61"/>
      <c r="M61" s="61"/>
      <c r="N61" s="60"/>
      <c r="O61" s="59"/>
      <c r="P61" s="59"/>
      <c r="Q61" s="59"/>
      <c r="R61" s="59"/>
      <c r="S61" s="59"/>
      <c r="T61" s="59"/>
      <c r="U61" s="59"/>
      <c r="V61" s="59"/>
      <c r="W61" s="61" t="s">
        <v>63</v>
      </c>
      <c r="X61" s="31">
        <v>1773.84</v>
      </c>
      <c r="Y61" s="62"/>
      <c r="Z61" s="76">
        <f t="shared" si="0"/>
      </c>
      <c r="AA61" s="62" t="s">
        <v>47</v>
      </c>
      <c r="AB61" s="63"/>
      <c r="AC61" s="63"/>
      <c r="AD61" s="63"/>
      <c r="AE61" s="61" t="s">
        <v>48</v>
      </c>
    </row>
    <row r="62" spans="1:31" s="64" customFormat="1" x14ac:dyDescent="0.25">
      <c r="A62" s="59" t="s">
        <v>128</v>
      </c>
      <c r="B62" s="59" t="s">
        <v>479</v>
      </c>
      <c r="C62" s="60">
        <v>43497</v>
      </c>
      <c r="D62" s="31">
        <v>2378.14</v>
      </c>
      <c r="E62" s="59" t="s">
        <v>832</v>
      </c>
      <c r="F62" s="59"/>
      <c r="G62" s="59"/>
      <c r="H62" s="59"/>
      <c r="I62" s="61"/>
      <c r="J62" s="59"/>
      <c r="K62" s="59" t="s">
        <v>46</v>
      </c>
      <c r="L62" s="61"/>
      <c r="M62" s="61"/>
      <c r="N62" s="60"/>
      <c r="O62" s="59"/>
      <c r="P62" s="59"/>
      <c r="Q62" s="59"/>
      <c r="R62" s="59"/>
      <c r="S62" s="59"/>
      <c r="T62" s="59"/>
      <c r="U62" s="59"/>
      <c r="V62" s="59"/>
      <c r="W62" s="61" t="s">
        <v>63</v>
      </c>
      <c r="X62" s="31">
        <v>2378.14</v>
      </c>
      <c r="Y62" s="62"/>
      <c r="Z62" s="76">
        <f t="shared" si="0"/>
      </c>
      <c r="AA62" s="62" t="s">
        <v>47</v>
      </c>
      <c r="AB62" s="63"/>
      <c r="AC62" s="63"/>
      <c r="AD62" s="63"/>
      <c r="AE62" s="61" t="s">
        <v>48</v>
      </c>
    </row>
    <row r="63" spans="1:31" s="64" customFormat="1" x14ac:dyDescent="0.25">
      <c r="A63" s="59" t="s">
        <v>129</v>
      </c>
      <c r="B63" s="59" t="s">
        <v>480</v>
      </c>
      <c r="C63" s="60">
        <v>43623</v>
      </c>
      <c r="D63" s="31">
        <v>3380.14</v>
      </c>
      <c r="E63" s="59" t="s">
        <v>833</v>
      </c>
      <c r="F63" s="59"/>
      <c r="G63" s="59"/>
      <c r="H63" s="59"/>
      <c r="I63" s="61"/>
      <c r="J63" s="59"/>
      <c r="K63" s="59" t="s">
        <v>46</v>
      </c>
      <c r="L63" s="61"/>
      <c r="M63" s="61"/>
      <c r="N63" s="60"/>
      <c r="O63" s="59"/>
      <c r="P63" s="59"/>
      <c r="Q63" s="59"/>
      <c r="R63" s="59"/>
      <c r="S63" s="59"/>
      <c r="T63" s="59"/>
      <c r="U63" s="59"/>
      <c r="V63" s="59"/>
      <c r="W63" s="61" t="s">
        <v>63</v>
      </c>
      <c r="X63" s="31">
        <v>3380.14</v>
      </c>
      <c r="Y63" s="62"/>
      <c r="Z63" s="76">
        <f t="shared" si="0"/>
      </c>
      <c r="AA63" s="62" t="s">
        <v>47</v>
      </c>
      <c r="AB63" s="63"/>
      <c r="AC63" s="63"/>
      <c r="AD63" s="63"/>
      <c r="AE63" s="61" t="s">
        <v>48</v>
      </c>
    </row>
    <row r="64" spans="1:31" s="64" customFormat="1" x14ac:dyDescent="0.25">
      <c r="A64" s="59" t="s">
        <v>130</v>
      </c>
      <c r="B64" s="59" t="s">
        <v>481</v>
      </c>
      <c r="C64" s="60">
        <v>43705</v>
      </c>
      <c r="D64" s="31">
        <v>149.88</v>
      </c>
      <c r="E64" s="59" t="s">
        <v>834</v>
      </c>
      <c r="F64" s="59"/>
      <c r="G64" s="59"/>
      <c r="H64" s="59"/>
      <c r="I64" s="61"/>
      <c r="J64" s="59"/>
      <c r="K64" s="59" t="s">
        <v>46</v>
      </c>
      <c r="L64" s="61"/>
      <c r="M64" s="61"/>
      <c r="N64" s="60"/>
      <c r="O64" s="59"/>
      <c r="P64" s="59"/>
      <c r="Q64" s="59"/>
      <c r="R64" s="59"/>
      <c r="S64" s="59"/>
      <c r="T64" s="59"/>
      <c r="U64" s="59"/>
      <c r="V64" s="59"/>
      <c r="W64" s="61" t="s">
        <v>63</v>
      </c>
      <c r="X64" s="31">
        <v>149.88</v>
      </c>
      <c r="Y64" s="62"/>
      <c r="Z64" s="76">
        <f t="shared" si="0"/>
      </c>
      <c r="AA64" s="62" t="s">
        <v>47</v>
      </c>
      <c r="AB64" s="63"/>
      <c r="AC64" s="63"/>
      <c r="AD64" s="63"/>
      <c r="AE64" s="61" t="s">
        <v>48</v>
      </c>
    </row>
    <row r="65" spans="1:31" s="64" customFormat="1" x14ac:dyDescent="0.25">
      <c r="A65" s="59" t="s">
        <v>131</v>
      </c>
      <c r="B65" s="59" t="s">
        <v>482</v>
      </c>
      <c r="C65" s="60">
        <v>43573</v>
      </c>
      <c r="D65" s="31">
        <v>101223.99</v>
      </c>
      <c r="E65" s="59" t="s">
        <v>835</v>
      </c>
      <c r="F65" s="59"/>
      <c r="G65" s="59"/>
      <c r="H65" s="59"/>
      <c r="I65" s="61"/>
      <c r="J65" s="59"/>
      <c r="K65" s="59" t="s">
        <v>46</v>
      </c>
      <c r="L65" s="61"/>
      <c r="M65" s="61"/>
      <c r="N65" s="60"/>
      <c r="O65" s="59"/>
      <c r="P65" s="59"/>
      <c r="Q65" s="59"/>
      <c r="R65" s="59"/>
      <c r="S65" s="59"/>
      <c r="T65" s="59"/>
      <c r="U65" s="59"/>
      <c r="V65" s="59"/>
      <c r="W65" s="61" t="s">
        <v>63</v>
      </c>
      <c r="X65" s="31">
        <v>101223.99</v>
      </c>
      <c r="Y65" s="62"/>
      <c r="Z65" s="76">
        <f t="shared" si="0"/>
      </c>
      <c r="AA65" s="62" t="s">
        <v>47</v>
      </c>
      <c r="AB65" s="63"/>
      <c r="AC65" s="63"/>
      <c r="AD65" s="63"/>
      <c r="AE65" s="61" t="s">
        <v>48</v>
      </c>
    </row>
    <row r="66" spans="1:31" s="64" customFormat="1" x14ac:dyDescent="0.25">
      <c r="A66" s="59" t="s">
        <v>132</v>
      </c>
      <c r="B66" s="59" t="s">
        <v>483</v>
      </c>
      <c r="C66" s="60">
        <v>43551</v>
      </c>
      <c r="D66" s="31">
        <v>2062.52</v>
      </c>
      <c r="E66" s="59" t="s">
        <v>836</v>
      </c>
      <c r="F66" s="59"/>
      <c r="G66" s="59"/>
      <c r="H66" s="59"/>
      <c r="I66" s="61"/>
      <c r="J66" s="59"/>
      <c r="K66" s="59" t="s">
        <v>46</v>
      </c>
      <c r="L66" s="61"/>
      <c r="M66" s="61"/>
      <c r="N66" s="60"/>
      <c r="O66" s="59"/>
      <c r="P66" s="59"/>
      <c r="Q66" s="59"/>
      <c r="R66" s="59"/>
      <c r="S66" s="59"/>
      <c r="T66" s="59"/>
      <c r="U66" s="59"/>
      <c r="V66" s="59"/>
      <c r="W66" s="61" t="s">
        <v>63</v>
      </c>
      <c r="X66" s="31">
        <v>2062.52</v>
      </c>
      <c r="Y66" s="62"/>
      <c r="Z66" s="76">
        <f t="shared" si="0"/>
      </c>
      <c r="AA66" s="62" t="s">
        <v>47</v>
      </c>
      <c r="AB66" s="63"/>
      <c r="AC66" s="63"/>
      <c r="AD66" s="63"/>
      <c r="AE66" s="61" t="s">
        <v>48</v>
      </c>
    </row>
    <row r="67" spans="1:31" s="64" customFormat="1" x14ac:dyDescent="0.25">
      <c r="A67" s="59" t="s">
        <v>133</v>
      </c>
      <c r="B67" s="59" t="s">
        <v>484</v>
      </c>
      <c r="C67" s="60">
        <v>43516</v>
      </c>
      <c r="D67" s="31">
        <v>784.01</v>
      </c>
      <c r="E67" s="59" t="s">
        <v>837</v>
      </c>
      <c r="F67" s="59"/>
      <c r="G67" s="59"/>
      <c r="H67" s="59"/>
      <c r="I67" s="61"/>
      <c r="J67" s="59"/>
      <c r="K67" s="59" t="s">
        <v>46</v>
      </c>
      <c r="L67" s="61"/>
      <c r="M67" s="61"/>
      <c r="N67" s="60"/>
      <c r="O67" s="59"/>
      <c r="P67" s="59"/>
      <c r="Q67" s="59"/>
      <c r="R67" s="59"/>
      <c r="S67" s="59"/>
      <c r="T67" s="59"/>
      <c r="U67" s="59"/>
      <c r="V67" s="59"/>
      <c r="W67" s="61" t="s">
        <v>63</v>
      </c>
      <c r="X67" s="31">
        <v>784.01</v>
      </c>
      <c r="Y67" s="62"/>
      <c r="Z67" s="76">
        <f t="shared" si="0"/>
      </c>
      <c r="AA67" s="62" t="s">
        <v>47</v>
      </c>
      <c r="AB67" s="63"/>
      <c r="AC67" s="63"/>
      <c r="AD67" s="63"/>
      <c r="AE67" s="61" t="s">
        <v>48</v>
      </c>
    </row>
    <row r="68" spans="1:31" s="64" customFormat="1" x14ac:dyDescent="0.25">
      <c r="A68" s="59" t="s">
        <v>134</v>
      </c>
      <c r="B68" s="59" t="s">
        <v>485</v>
      </c>
      <c r="C68" s="60">
        <v>43472</v>
      </c>
      <c r="D68" s="31">
        <v>45769.61</v>
      </c>
      <c r="E68" s="59" t="s">
        <v>838</v>
      </c>
      <c r="F68" s="59"/>
      <c r="G68" s="59"/>
      <c r="H68" s="59"/>
      <c r="I68" s="61"/>
      <c r="J68" s="59"/>
      <c r="K68" s="59" t="s">
        <v>46</v>
      </c>
      <c r="L68" s="61"/>
      <c r="M68" s="61"/>
      <c r="N68" s="60"/>
      <c r="O68" s="59"/>
      <c r="P68" s="59"/>
      <c r="Q68" s="59"/>
      <c r="R68" s="59"/>
      <c r="S68" s="59"/>
      <c r="T68" s="59"/>
      <c r="U68" s="59"/>
      <c r="V68" s="59"/>
      <c r="W68" s="61" t="s">
        <v>63</v>
      </c>
      <c r="X68" s="31">
        <v>45769.61</v>
      </c>
      <c r="Y68" s="62" t="s">
        <v>52</v>
      </c>
      <c r="Z68" s="76">
        <f t="shared" si="0"/>
      </c>
      <c r="AA68" s="62" t="s">
        <v>10</v>
      </c>
      <c r="AB68" s="63"/>
      <c r="AC68" s="63"/>
      <c r="AD68" s="63"/>
      <c r="AE68" s="61" t="s">
        <v>48</v>
      </c>
    </row>
    <row r="69" spans="1:31" s="64" customFormat="1" x14ac:dyDescent="0.25">
      <c r="A69" s="59" t="s">
        <v>135</v>
      </c>
      <c r="B69" s="59" t="s">
        <v>486</v>
      </c>
      <c r="C69" s="60">
        <v>43560</v>
      </c>
      <c r="D69" s="31">
        <v>2988.93</v>
      </c>
      <c r="E69" s="59" t="s">
        <v>839</v>
      </c>
      <c r="F69" s="59"/>
      <c r="G69" s="59"/>
      <c r="H69" s="59"/>
      <c r="I69" s="61"/>
      <c r="J69" s="59"/>
      <c r="K69" s="59" t="s">
        <v>46</v>
      </c>
      <c r="L69" s="61"/>
      <c r="M69" s="61"/>
      <c r="N69" s="60"/>
      <c r="O69" s="59"/>
      <c r="P69" s="59"/>
      <c r="Q69" s="59"/>
      <c r="R69" s="59"/>
      <c r="S69" s="59"/>
      <c r="T69" s="59"/>
      <c r="U69" s="59"/>
      <c r="V69" s="59"/>
      <c r="W69" s="61" t="s">
        <v>63</v>
      </c>
      <c r="X69" s="31">
        <v>2988.93</v>
      </c>
      <c r="Y69" s="62"/>
      <c r="Z69" s="76">
        <f t="shared" si="0"/>
      </c>
      <c r="AA69" s="62" t="s">
        <v>47</v>
      </c>
      <c r="AB69" s="63"/>
      <c r="AC69" s="63"/>
      <c r="AD69" s="63"/>
      <c r="AE69" s="61" t="s">
        <v>48</v>
      </c>
    </row>
    <row r="70" spans="1:31" s="64" customFormat="1" x14ac:dyDescent="0.25">
      <c r="A70" s="59" t="s">
        <v>136</v>
      </c>
      <c r="B70" s="59" t="s">
        <v>487</v>
      </c>
      <c r="C70" s="60">
        <v>43640</v>
      </c>
      <c r="D70" s="31">
        <v>814.69</v>
      </c>
      <c r="E70" s="59" t="s">
        <v>840</v>
      </c>
      <c r="F70" s="59"/>
      <c r="G70" s="59"/>
      <c r="H70" s="59"/>
      <c r="I70" s="61"/>
      <c r="J70" s="59"/>
      <c r="K70" s="59" t="s">
        <v>46</v>
      </c>
      <c r="L70" s="61"/>
      <c r="M70" s="61"/>
      <c r="N70" s="60"/>
      <c r="O70" s="59"/>
      <c r="P70" s="59"/>
      <c r="Q70" s="59"/>
      <c r="R70" s="59"/>
      <c r="S70" s="59"/>
      <c r="T70" s="59"/>
      <c r="U70" s="59"/>
      <c r="V70" s="59"/>
      <c r="W70" s="61" t="s">
        <v>63</v>
      </c>
      <c r="X70" s="31">
        <v>814.69</v>
      </c>
      <c r="Y70" s="62"/>
      <c r="Z70" s="76">
        <f t="shared" ref="Z70:Z131" si="1">IF(Y70="Clear",0,X70)</f>
      </c>
      <c r="AA70" s="62" t="s">
        <v>47</v>
      </c>
      <c r="AB70" s="63"/>
      <c r="AC70" s="63"/>
      <c r="AD70" s="63"/>
      <c r="AE70" s="61" t="s">
        <v>48</v>
      </c>
    </row>
    <row r="71" spans="1:31" s="64" customFormat="1" x14ac:dyDescent="0.25">
      <c r="A71" s="59" t="s">
        <v>137</v>
      </c>
      <c r="B71" s="59" t="s">
        <v>488</v>
      </c>
      <c r="C71" s="60">
        <v>43885</v>
      </c>
      <c r="D71" s="31">
        <v>60.56</v>
      </c>
      <c r="E71" s="59" t="s">
        <v>841</v>
      </c>
      <c r="F71" s="59"/>
      <c r="G71" s="59"/>
      <c r="H71" s="59"/>
      <c r="I71" s="61"/>
      <c r="J71" s="59"/>
      <c r="K71" s="59" t="s">
        <v>55</v>
      </c>
      <c r="L71" s="61"/>
      <c r="M71" s="61"/>
      <c r="N71" s="60"/>
      <c r="O71" s="59"/>
      <c r="P71" s="59"/>
      <c r="Q71" s="59"/>
      <c r="R71" s="59"/>
      <c r="S71" s="59"/>
      <c r="T71" s="59"/>
      <c r="U71" s="59"/>
      <c r="V71" s="59"/>
      <c r="W71" s="61" t="s">
        <v>63</v>
      </c>
      <c r="X71" s="31">
        <v>60.56</v>
      </c>
      <c r="Y71" s="62"/>
      <c r="Z71" s="76">
        <f t="shared" si="1"/>
      </c>
      <c r="AA71" s="62" t="s">
        <v>47</v>
      </c>
      <c r="AB71" s="63"/>
      <c r="AC71" s="63"/>
      <c r="AD71" s="63"/>
      <c r="AE71" s="61" t="s">
        <v>48</v>
      </c>
    </row>
    <row r="72" spans="1:31" s="64" customFormat="1" x14ac:dyDescent="0.25">
      <c r="A72" s="59" t="s">
        <v>138</v>
      </c>
      <c r="B72" s="59" t="s">
        <v>489</v>
      </c>
      <c r="C72" s="60">
        <v>44076</v>
      </c>
      <c r="D72" s="31">
        <v>436.55</v>
      </c>
      <c r="E72" s="59" t="s">
        <v>842</v>
      </c>
      <c r="F72" s="59"/>
      <c r="G72" s="59"/>
      <c r="H72" s="59"/>
      <c r="I72" s="61"/>
      <c r="J72" s="59"/>
      <c r="K72" s="59" t="s">
        <v>55</v>
      </c>
      <c r="L72" s="61"/>
      <c r="M72" s="61"/>
      <c r="N72" s="60"/>
      <c r="O72" s="59"/>
      <c r="P72" s="59"/>
      <c r="Q72" s="59"/>
      <c r="R72" s="59"/>
      <c r="S72" s="59"/>
      <c r="T72" s="59"/>
      <c r="U72" s="59"/>
      <c r="V72" s="59"/>
      <c r="W72" s="61" t="s">
        <v>64</v>
      </c>
      <c r="X72" s="31">
        <v>436.55</v>
      </c>
      <c r="Y72" s="62"/>
      <c r="Z72" s="76">
        <f t="shared" si="1"/>
      </c>
      <c r="AA72" s="62" t="s">
        <v>47</v>
      </c>
      <c r="AB72" s="63"/>
      <c r="AC72" s="63"/>
      <c r="AD72" s="63"/>
      <c r="AE72" s="61" t="s">
        <v>48</v>
      </c>
    </row>
    <row r="73" spans="1:31" s="64" customFormat="1" x14ac:dyDescent="0.25">
      <c r="A73" s="59" t="s">
        <v>139</v>
      </c>
      <c r="B73" s="59" t="s">
        <v>490</v>
      </c>
      <c r="C73" s="60">
        <v>44288</v>
      </c>
      <c r="D73" s="31">
        <v>5933.97</v>
      </c>
      <c r="E73" s="59" t="s">
        <v>843</v>
      </c>
      <c r="F73" s="59"/>
      <c r="G73" s="59"/>
      <c r="H73" s="59"/>
      <c r="I73" s="61"/>
      <c r="J73" s="59"/>
      <c r="K73" s="59" t="s">
        <v>59</v>
      </c>
      <c r="L73" s="61"/>
      <c r="M73" s="61"/>
      <c r="N73" s="60"/>
      <c r="O73" s="59"/>
      <c r="P73" s="59"/>
      <c r="Q73" s="59"/>
      <c r="R73" s="59"/>
      <c r="S73" s="59"/>
      <c r="T73" s="59"/>
      <c r="U73" s="59"/>
      <c r="V73" s="59"/>
      <c r="W73" s="61" t="s">
        <v>64</v>
      </c>
      <c r="X73" s="31">
        <v>5933.97</v>
      </c>
      <c r="Y73" s="62"/>
      <c r="Z73" s="76">
        <f t="shared" si="1"/>
      </c>
      <c r="AA73" s="62" t="s">
        <v>47</v>
      </c>
      <c r="AB73" s="63"/>
      <c r="AC73" s="63"/>
      <c r="AD73" s="63"/>
      <c r="AE73" s="61" t="s">
        <v>48</v>
      </c>
    </row>
    <row r="74" spans="1:31" s="64" customFormat="1" x14ac:dyDescent="0.25">
      <c r="A74" s="59" t="s">
        <v>140</v>
      </c>
      <c r="B74" s="59" t="s">
        <v>491</v>
      </c>
      <c r="C74" s="60">
        <v>44288</v>
      </c>
      <c r="D74" s="31">
        <v>1206.5</v>
      </c>
      <c r="E74" s="59" t="s">
        <v>844</v>
      </c>
      <c r="F74" s="59"/>
      <c r="G74" s="59"/>
      <c r="H74" s="59"/>
      <c r="I74" s="61"/>
      <c r="J74" s="59"/>
      <c r="K74" s="59" t="s">
        <v>59</v>
      </c>
      <c r="L74" s="61"/>
      <c r="M74" s="61"/>
      <c r="N74" s="60"/>
      <c r="O74" s="59"/>
      <c r="P74" s="59"/>
      <c r="Q74" s="59"/>
      <c r="R74" s="59"/>
      <c r="S74" s="59"/>
      <c r="T74" s="59"/>
      <c r="U74" s="59"/>
      <c r="V74" s="59"/>
      <c r="W74" s="61" t="s">
        <v>64</v>
      </c>
      <c r="X74" s="31">
        <v>1206.5</v>
      </c>
      <c r="Y74" s="62"/>
      <c r="Z74" s="76">
        <f t="shared" si="1"/>
      </c>
      <c r="AA74" s="62" t="s">
        <v>47</v>
      </c>
      <c r="AB74" s="63"/>
      <c r="AC74" s="63"/>
      <c r="AD74" s="63"/>
      <c r="AE74" s="61" t="s">
        <v>48</v>
      </c>
    </row>
    <row r="75" spans="1:31" s="64" customFormat="1" x14ac:dyDescent="0.25">
      <c r="A75" s="59" t="s">
        <v>141</v>
      </c>
      <c r="B75" s="59" t="s">
        <v>492</v>
      </c>
      <c r="C75" s="60">
        <v>44288</v>
      </c>
      <c r="D75" s="31">
        <v>785.32</v>
      </c>
      <c r="E75" s="59" t="s">
        <v>845</v>
      </c>
      <c r="F75" s="59"/>
      <c r="G75" s="59"/>
      <c r="H75" s="59"/>
      <c r="I75" s="61"/>
      <c r="J75" s="59"/>
      <c r="K75" s="59" t="s">
        <v>59</v>
      </c>
      <c r="L75" s="61"/>
      <c r="M75" s="61"/>
      <c r="N75" s="60"/>
      <c r="O75" s="59"/>
      <c r="P75" s="59"/>
      <c r="Q75" s="59"/>
      <c r="R75" s="59"/>
      <c r="S75" s="59"/>
      <c r="T75" s="59"/>
      <c r="U75" s="59"/>
      <c r="V75" s="59"/>
      <c r="W75" s="61" t="s">
        <v>64</v>
      </c>
      <c r="X75" s="31">
        <v>785.32</v>
      </c>
      <c r="Y75" s="62"/>
      <c r="Z75" s="76">
        <f t="shared" si="1"/>
      </c>
      <c r="AA75" s="62" t="s">
        <v>47</v>
      </c>
      <c r="AB75" s="63"/>
      <c r="AC75" s="63"/>
      <c r="AD75" s="63"/>
      <c r="AE75" s="61" t="s">
        <v>48</v>
      </c>
    </row>
    <row r="76" spans="1:31" s="64" customFormat="1" x14ac:dyDescent="0.25">
      <c r="A76" s="59" t="s">
        <v>142</v>
      </c>
      <c r="B76" s="59" t="s">
        <v>493</v>
      </c>
      <c r="C76" s="60">
        <v>44288</v>
      </c>
      <c r="D76" s="31">
        <v>776.49</v>
      </c>
      <c r="E76" s="59" t="s">
        <v>846</v>
      </c>
      <c r="F76" s="59"/>
      <c r="G76" s="59"/>
      <c r="H76" s="59"/>
      <c r="I76" s="61"/>
      <c r="J76" s="59"/>
      <c r="K76" s="59" t="s">
        <v>59</v>
      </c>
      <c r="L76" s="61"/>
      <c r="M76" s="61"/>
      <c r="N76" s="60"/>
      <c r="O76" s="59"/>
      <c r="P76" s="59"/>
      <c r="Q76" s="59"/>
      <c r="R76" s="59"/>
      <c r="S76" s="59"/>
      <c r="T76" s="59"/>
      <c r="U76" s="59"/>
      <c r="V76" s="59"/>
      <c r="W76" s="61" t="s">
        <v>64</v>
      </c>
      <c r="X76" s="31">
        <v>776.49</v>
      </c>
      <c r="Y76" s="62"/>
      <c r="Z76" s="76">
        <f t="shared" si="1"/>
      </c>
      <c r="AA76" s="62" t="s">
        <v>47</v>
      </c>
      <c r="AB76" s="63"/>
      <c r="AC76" s="63"/>
      <c r="AD76" s="63"/>
      <c r="AE76" s="61" t="s">
        <v>48</v>
      </c>
    </row>
    <row r="77" spans="1:31" s="64" customFormat="1" x14ac:dyDescent="0.25">
      <c r="A77" s="59" t="s">
        <v>143</v>
      </c>
      <c r="B77" s="59" t="s">
        <v>494</v>
      </c>
      <c r="C77" s="60">
        <v>43507</v>
      </c>
      <c r="D77" s="31">
        <v>500</v>
      </c>
      <c r="E77" s="59" t="s">
        <v>847</v>
      </c>
      <c r="F77" s="59"/>
      <c r="G77" s="59"/>
      <c r="H77" s="59"/>
      <c r="I77" s="61"/>
      <c r="J77" s="59"/>
      <c r="K77" s="59" t="s">
        <v>46</v>
      </c>
      <c r="L77" s="61"/>
      <c r="M77" s="61"/>
      <c r="N77" s="60"/>
      <c r="O77" s="59"/>
      <c r="P77" s="59"/>
      <c r="Q77" s="59"/>
      <c r="R77" s="59"/>
      <c r="S77" s="59"/>
      <c r="T77" s="59"/>
      <c r="U77" s="59"/>
      <c r="V77" s="59"/>
      <c r="W77" s="61" t="s">
        <v>64</v>
      </c>
      <c r="X77" s="31">
        <v>500</v>
      </c>
      <c r="Y77" s="62" t="s">
        <v>52</v>
      </c>
      <c r="Z77" s="76">
        <f t="shared" si="1"/>
      </c>
      <c r="AA77" s="62" t="s">
        <v>10</v>
      </c>
      <c r="AB77" s="63"/>
      <c r="AC77" s="63"/>
      <c r="AD77" s="63"/>
      <c r="AE77" s="61" t="s">
        <v>48</v>
      </c>
    </row>
    <row r="78" spans="1:31" s="64" customFormat="1" x14ac:dyDescent="0.25">
      <c r="A78" s="59" t="s">
        <v>144</v>
      </c>
      <c r="B78" s="59" t="s">
        <v>495</v>
      </c>
      <c r="C78" s="60">
        <v>43648</v>
      </c>
      <c r="D78" s="31">
        <v>89.25</v>
      </c>
      <c r="E78" s="59" t="s">
        <v>848</v>
      </c>
      <c r="F78" s="59"/>
      <c r="G78" s="59"/>
      <c r="H78" s="59"/>
      <c r="I78" s="61"/>
      <c r="J78" s="59"/>
      <c r="K78" s="59" t="s">
        <v>46</v>
      </c>
      <c r="L78" s="61"/>
      <c r="M78" s="61"/>
      <c r="N78" s="60"/>
      <c r="O78" s="59"/>
      <c r="P78" s="59"/>
      <c r="Q78" s="59"/>
      <c r="R78" s="59"/>
      <c r="S78" s="59"/>
      <c r="T78" s="59"/>
      <c r="U78" s="59"/>
      <c r="V78" s="59"/>
      <c r="W78" s="61" t="s">
        <v>64</v>
      </c>
      <c r="X78" s="31">
        <v>89.25</v>
      </c>
      <c r="Y78" s="62"/>
      <c r="Z78" s="76">
        <f t="shared" si="1"/>
      </c>
      <c r="AA78" s="62" t="s">
        <v>47</v>
      </c>
      <c r="AB78" s="63"/>
      <c r="AC78" s="63"/>
      <c r="AD78" s="63"/>
      <c r="AE78" s="61" t="s">
        <v>48</v>
      </c>
    </row>
    <row r="79" spans="1:31" s="64" customFormat="1" x14ac:dyDescent="0.25">
      <c r="A79" s="59" t="s">
        <v>145</v>
      </c>
      <c r="B79" s="59" t="s">
        <v>496</v>
      </c>
      <c r="C79" s="60">
        <v>43468</v>
      </c>
      <c r="D79" s="31">
        <v>1732.6</v>
      </c>
      <c r="E79" s="59" t="s">
        <v>849</v>
      </c>
      <c r="F79" s="59"/>
      <c r="G79" s="59"/>
      <c r="H79" s="59"/>
      <c r="I79" s="61"/>
      <c r="J79" s="59"/>
      <c r="K79" s="59" t="s">
        <v>46</v>
      </c>
      <c r="L79" s="61"/>
      <c r="M79" s="61"/>
      <c r="N79" s="60"/>
      <c r="O79" s="59"/>
      <c r="P79" s="59"/>
      <c r="Q79" s="59"/>
      <c r="R79" s="59"/>
      <c r="S79" s="59"/>
      <c r="T79" s="59"/>
      <c r="U79" s="59"/>
      <c r="V79" s="59"/>
      <c r="W79" s="61" t="s">
        <v>64</v>
      </c>
      <c r="X79" s="31">
        <v>1732.6</v>
      </c>
      <c r="Y79" s="62"/>
      <c r="Z79" s="76">
        <f t="shared" si="1"/>
      </c>
      <c r="AA79" s="62" t="s">
        <v>47</v>
      </c>
      <c r="AB79" s="63"/>
      <c r="AC79" s="63"/>
      <c r="AD79" s="63"/>
      <c r="AE79" s="61" t="s">
        <v>48</v>
      </c>
    </row>
    <row r="80" spans="1:31" s="64" customFormat="1" x14ac:dyDescent="0.25">
      <c r="A80" s="59" t="s">
        <v>146</v>
      </c>
      <c r="B80" s="59" t="s">
        <v>497</v>
      </c>
      <c r="C80" s="60">
        <v>43475</v>
      </c>
      <c r="D80" s="31">
        <v>190.24</v>
      </c>
      <c r="E80" s="59" t="s">
        <v>850</v>
      </c>
      <c r="F80" s="59"/>
      <c r="G80" s="59"/>
      <c r="H80" s="59"/>
      <c r="I80" s="61"/>
      <c r="J80" s="59"/>
      <c r="K80" s="59" t="s">
        <v>46</v>
      </c>
      <c r="L80" s="61"/>
      <c r="M80" s="61"/>
      <c r="N80" s="60"/>
      <c r="O80" s="59"/>
      <c r="P80" s="59"/>
      <c r="Q80" s="59"/>
      <c r="R80" s="59"/>
      <c r="S80" s="59"/>
      <c r="T80" s="59"/>
      <c r="U80" s="59"/>
      <c r="V80" s="59"/>
      <c r="W80" s="61" t="s">
        <v>65</v>
      </c>
      <c r="X80" s="31">
        <v>190.24</v>
      </c>
      <c r="Y80" s="62"/>
      <c r="Z80" s="76">
        <f t="shared" si="1"/>
      </c>
      <c r="AA80" s="62" t="s">
        <v>47</v>
      </c>
      <c r="AB80" s="63"/>
      <c r="AC80" s="63"/>
      <c r="AD80" s="63"/>
      <c r="AE80" s="61" t="s">
        <v>48</v>
      </c>
    </row>
    <row r="81" spans="1:31" s="64" customFormat="1" x14ac:dyDescent="0.25">
      <c r="A81" s="59" t="s">
        <v>147</v>
      </c>
      <c r="B81" s="59" t="s">
        <v>498</v>
      </c>
      <c r="C81" s="60">
        <v>43724</v>
      </c>
      <c r="D81" s="31">
        <v>95.34</v>
      </c>
      <c r="E81" s="59" t="s">
        <v>851</v>
      </c>
      <c r="F81" s="59"/>
      <c r="G81" s="59"/>
      <c r="H81" s="59"/>
      <c r="I81" s="61"/>
      <c r="J81" s="59"/>
      <c r="K81" s="59" t="s">
        <v>46</v>
      </c>
      <c r="L81" s="61"/>
      <c r="M81" s="61"/>
      <c r="N81" s="60"/>
      <c r="O81" s="59"/>
      <c r="P81" s="59"/>
      <c r="Q81" s="59"/>
      <c r="R81" s="59"/>
      <c r="S81" s="59"/>
      <c r="T81" s="59"/>
      <c r="U81" s="59"/>
      <c r="V81" s="59"/>
      <c r="W81" s="61" t="s">
        <v>65</v>
      </c>
      <c r="X81" s="31">
        <v>95.34</v>
      </c>
      <c r="Y81" s="62"/>
      <c r="Z81" s="76">
        <f t="shared" si="1"/>
      </c>
      <c r="AA81" s="62" t="s">
        <v>47</v>
      </c>
      <c r="AB81" s="63"/>
      <c r="AC81" s="63"/>
      <c r="AD81" s="63"/>
      <c r="AE81" s="61" t="s">
        <v>48</v>
      </c>
    </row>
    <row r="82" spans="1:31" s="64" customFormat="1" x14ac:dyDescent="0.25">
      <c r="A82" s="59" t="s">
        <v>148</v>
      </c>
      <c r="B82" s="59" t="s">
        <v>499</v>
      </c>
      <c r="C82" s="60">
        <v>44005</v>
      </c>
      <c r="D82" s="31">
        <v>3654.84</v>
      </c>
      <c r="E82" s="59" t="s">
        <v>852</v>
      </c>
      <c r="F82" s="59"/>
      <c r="G82" s="59"/>
      <c r="H82" s="59"/>
      <c r="I82" s="61"/>
      <c r="J82" s="59"/>
      <c r="K82" s="59" t="s">
        <v>55</v>
      </c>
      <c r="L82" s="61"/>
      <c r="M82" s="61"/>
      <c r="N82" s="60"/>
      <c r="O82" s="59"/>
      <c r="P82" s="59"/>
      <c r="Q82" s="59"/>
      <c r="R82" s="59"/>
      <c r="S82" s="59"/>
      <c r="T82" s="59"/>
      <c r="U82" s="59"/>
      <c r="V82" s="59"/>
      <c r="W82" s="61" t="s">
        <v>65</v>
      </c>
      <c r="X82" s="31">
        <v>3654.84</v>
      </c>
      <c r="Y82" s="62"/>
      <c r="Z82" s="76">
        <f t="shared" si="1"/>
      </c>
      <c r="AA82" s="62" t="s">
        <v>47</v>
      </c>
      <c r="AB82" s="63"/>
      <c r="AC82" s="63"/>
      <c r="AD82" s="63"/>
      <c r="AE82" s="61" t="s">
        <v>48</v>
      </c>
    </row>
    <row r="83" spans="1:31" s="64" customFormat="1" x14ac:dyDescent="0.25">
      <c r="A83" s="59" t="s">
        <v>149</v>
      </c>
      <c r="B83" s="59" t="s">
        <v>500</v>
      </c>
      <c r="C83" s="60">
        <v>43468</v>
      </c>
      <c r="D83" s="31">
        <v>7145.28</v>
      </c>
      <c r="E83" s="59" t="s">
        <v>853</v>
      </c>
      <c r="F83" s="59"/>
      <c r="G83" s="59"/>
      <c r="H83" s="59"/>
      <c r="I83" s="61"/>
      <c r="J83" s="59"/>
      <c r="K83" s="59" t="s">
        <v>46</v>
      </c>
      <c r="L83" s="61"/>
      <c r="M83" s="61"/>
      <c r="N83" s="60"/>
      <c r="O83" s="59"/>
      <c r="P83" s="59"/>
      <c r="Q83" s="59"/>
      <c r="R83" s="59"/>
      <c r="S83" s="59"/>
      <c r="T83" s="59"/>
      <c r="U83" s="59"/>
      <c r="V83" s="59"/>
      <c r="W83" s="61" t="s">
        <v>65</v>
      </c>
      <c r="X83" s="31">
        <v>7145.28</v>
      </c>
      <c r="Y83" s="62" t="s">
        <v>52</v>
      </c>
      <c r="Z83" s="76">
        <f t="shared" si="1"/>
      </c>
      <c r="AA83" s="62" t="s">
        <v>10</v>
      </c>
      <c r="AB83" s="63"/>
      <c r="AC83" s="63"/>
      <c r="AD83" s="63"/>
      <c r="AE83" s="61" t="s">
        <v>48</v>
      </c>
    </row>
    <row r="84" spans="1:31" s="64" customFormat="1" x14ac:dyDescent="0.25">
      <c r="A84" s="59" t="s">
        <v>150</v>
      </c>
      <c r="B84" s="59" t="s">
        <v>501</v>
      </c>
      <c r="C84" s="60">
        <v>44442</v>
      </c>
      <c r="D84" s="31">
        <v>4161.9399999999996</v>
      </c>
      <c r="E84" s="59" t="s">
        <v>854</v>
      </c>
      <c r="F84" s="59"/>
      <c r="G84" s="59"/>
      <c r="H84" s="59"/>
      <c r="I84" s="61"/>
      <c r="J84" s="59"/>
      <c r="K84" s="59" t="s">
        <v>59</v>
      </c>
      <c r="L84" s="61"/>
      <c r="M84" s="61"/>
      <c r="N84" s="60"/>
      <c r="O84" s="59"/>
      <c r="P84" s="59"/>
      <c r="Q84" s="59"/>
      <c r="R84" s="59"/>
      <c r="S84" s="59"/>
      <c r="T84" s="59"/>
      <c r="U84" s="59"/>
      <c r="V84" s="59"/>
      <c r="W84" s="61" t="s">
        <v>65</v>
      </c>
      <c r="X84" s="31">
        <v>4161.9399999999996</v>
      </c>
      <c r="Y84" s="62"/>
      <c r="Z84" s="76">
        <f t="shared" si="1"/>
      </c>
      <c r="AA84" s="62" t="s">
        <v>47</v>
      </c>
      <c r="AB84" s="63"/>
      <c r="AC84" s="63"/>
      <c r="AD84" s="63"/>
      <c r="AE84" s="61" t="s">
        <v>48</v>
      </c>
    </row>
    <row r="85" spans="1:31" s="64" customFormat="1" x14ac:dyDescent="0.25">
      <c r="A85" s="59" t="s">
        <v>151</v>
      </c>
      <c r="B85" s="59" t="s">
        <v>502</v>
      </c>
      <c r="C85" s="60">
        <v>44417</v>
      </c>
      <c r="D85" s="31">
        <v>6900.9</v>
      </c>
      <c r="E85" s="59" t="s">
        <v>855</v>
      </c>
      <c r="F85" s="59"/>
      <c r="G85" s="59"/>
      <c r="H85" s="59"/>
      <c r="I85" s="61"/>
      <c r="J85" s="59"/>
      <c r="K85" s="59" t="s">
        <v>59</v>
      </c>
      <c r="L85" s="61"/>
      <c r="M85" s="61"/>
      <c r="N85" s="60"/>
      <c r="O85" s="59"/>
      <c r="P85" s="59"/>
      <c r="Q85" s="59"/>
      <c r="R85" s="59"/>
      <c r="S85" s="59"/>
      <c r="T85" s="59"/>
      <c r="U85" s="59"/>
      <c r="V85" s="59"/>
      <c r="W85" s="61" t="s">
        <v>65</v>
      </c>
      <c r="X85" s="31">
        <v>6900.9</v>
      </c>
      <c r="Y85" s="62"/>
      <c r="Z85" s="76">
        <f t="shared" si="1"/>
      </c>
      <c r="AA85" s="62" t="s">
        <v>47</v>
      </c>
      <c r="AB85" s="63"/>
      <c r="AC85" s="63"/>
      <c r="AD85" s="63"/>
      <c r="AE85" s="61" t="s">
        <v>48</v>
      </c>
    </row>
    <row r="86" spans="1:31" s="64" customFormat="1" x14ac:dyDescent="0.25">
      <c r="A86" s="59" t="s">
        <v>152</v>
      </c>
      <c r="B86" s="59" t="s">
        <v>503</v>
      </c>
      <c r="C86" s="60">
        <v>43948</v>
      </c>
      <c r="D86" s="31">
        <v>1149.1099999999999</v>
      </c>
      <c r="E86" s="59" t="s">
        <v>856</v>
      </c>
      <c r="F86" s="59"/>
      <c r="G86" s="59"/>
      <c r="H86" s="59"/>
      <c r="I86" s="61"/>
      <c r="J86" s="59"/>
      <c r="K86" s="59" t="s">
        <v>55</v>
      </c>
      <c r="L86" s="61"/>
      <c r="M86" s="61"/>
      <c r="N86" s="60"/>
      <c r="O86" s="59"/>
      <c r="P86" s="59"/>
      <c r="Q86" s="59"/>
      <c r="R86" s="59"/>
      <c r="S86" s="59"/>
      <c r="T86" s="59"/>
      <c r="U86" s="59"/>
      <c r="V86" s="59"/>
      <c r="W86" s="61" t="s">
        <v>66</v>
      </c>
      <c r="X86" s="31">
        <v>1149.1099999999999</v>
      </c>
      <c r="Y86" s="62"/>
      <c r="Z86" s="76">
        <f t="shared" si="1"/>
      </c>
      <c r="AA86" s="62" t="s">
        <v>47</v>
      </c>
      <c r="AB86" s="63"/>
      <c r="AC86" s="63"/>
      <c r="AD86" s="63"/>
      <c r="AE86" s="61" t="s">
        <v>48</v>
      </c>
    </row>
    <row r="87" spans="1:31" s="64" customFormat="1" x14ac:dyDescent="0.25">
      <c r="A87" s="59" t="s">
        <v>153</v>
      </c>
      <c r="B87" s="59" t="s">
        <v>504</v>
      </c>
      <c r="C87" s="60">
        <v>43726</v>
      </c>
      <c r="D87" s="31">
        <v>255</v>
      </c>
      <c r="E87" s="59" t="s">
        <v>857</v>
      </c>
      <c r="F87" s="59"/>
      <c r="G87" s="59"/>
      <c r="H87" s="59"/>
      <c r="I87" s="61"/>
      <c r="J87" s="59"/>
      <c r="K87" s="59" t="s">
        <v>46</v>
      </c>
      <c r="L87" s="61"/>
      <c r="M87" s="61"/>
      <c r="N87" s="60"/>
      <c r="O87" s="59"/>
      <c r="P87" s="59"/>
      <c r="Q87" s="59"/>
      <c r="R87" s="59"/>
      <c r="S87" s="59"/>
      <c r="T87" s="59"/>
      <c r="U87" s="59"/>
      <c r="V87" s="59"/>
      <c r="W87" s="61" t="s">
        <v>57</v>
      </c>
      <c r="X87" s="31">
        <v>255</v>
      </c>
      <c r="Y87" s="62"/>
      <c r="Z87" s="76">
        <f t="shared" si="1"/>
      </c>
      <c r="AA87" s="62" t="s">
        <v>47</v>
      </c>
      <c r="AB87" s="63"/>
      <c r="AC87" s="63"/>
      <c r="AD87" s="63"/>
      <c r="AE87" s="61" t="s">
        <v>48</v>
      </c>
    </row>
    <row r="88" spans="1:31" s="64" customFormat="1" x14ac:dyDescent="0.25">
      <c r="A88" s="59" t="s">
        <v>154</v>
      </c>
      <c r="B88" s="59" t="s">
        <v>505</v>
      </c>
      <c r="C88" s="60">
        <v>43480</v>
      </c>
      <c r="D88" s="31">
        <v>39.75</v>
      </c>
      <c r="E88" s="59" t="s">
        <v>858</v>
      </c>
      <c r="F88" s="59"/>
      <c r="G88" s="59"/>
      <c r="H88" s="59"/>
      <c r="I88" s="61"/>
      <c r="J88" s="59"/>
      <c r="K88" s="59" t="s">
        <v>46</v>
      </c>
      <c r="L88" s="61"/>
      <c r="M88" s="61"/>
      <c r="N88" s="60"/>
      <c r="O88" s="59"/>
      <c r="P88" s="59"/>
      <c r="Q88" s="59"/>
      <c r="R88" s="59"/>
      <c r="S88" s="59"/>
      <c r="T88" s="59"/>
      <c r="U88" s="59"/>
      <c r="V88" s="59"/>
      <c r="W88" s="61" t="s">
        <v>67</v>
      </c>
      <c r="X88" s="31">
        <v>39.75</v>
      </c>
      <c r="Y88" s="62"/>
      <c r="Z88" s="76">
        <f t="shared" si="1"/>
      </c>
      <c r="AA88" s="62" t="s">
        <v>47</v>
      </c>
      <c r="AB88" s="63"/>
      <c r="AC88" s="63"/>
      <c r="AD88" s="63"/>
      <c r="AE88" s="61" t="s">
        <v>48</v>
      </c>
    </row>
    <row r="89" spans="1:31" s="64" customFormat="1" x14ac:dyDescent="0.25">
      <c r="A89" s="59" t="s">
        <v>155</v>
      </c>
      <c r="B89" s="59" t="s">
        <v>506</v>
      </c>
      <c r="C89" s="60">
        <v>43570</v>
      </c>
      <c r="D89" s="31">
        <v>649.48</v>
      </c>
      <c r="E89" s="59" t="s">
        <v>859</v>
      </c>
      <c r="F89" s="59"/>
      <c r="G89" s="59"/>
      <c r="H89" s="59"/>
      <c r="I89" s="61"/>
      <c r="J89" s="59"/>
      <c r="K89" s="59" t="s">
        <v>46</v>
      </c>
      <c r="L89" s="61"/>
      <c r="M89" s="61"/>
      <c r="N89" s="60"/>
      <c r="O89" s="59"/>
      <c r="P89" s="59"/>
      <c r="Q89" s="59"/>
      <c r="R89" s="59"/>
      <c r="S89" s="59"/>
      <c r="T89" s="59"/>
      <c r="U89" s="59"/>
      <c r="V89" s="59"/>
      <c r="W89" s="61" t="s">
        <v>67</v>
      </c>
      <c r="X89" s="31">
        <v>649.48</v>
      </c>
      <c r="Y89" s="62"/>
      <c r="Z89" s="76">
        <f t="shared" si="1"/>
      </c>
      <c r="AA89" s="62" t="s">
        <v>47</v>
      </c>
      <c r="AB89" s="63"/>
      <c r="AC89" s="63"/>
      <c r="AD89" s="63"/>
      <c r="AE89" s="61" t="s">
        <v>48</v>
      </c>
    </row>
    <row r="90" spans="1:31" s="64" customFormat="1" x14ac:dyDescent="0.25">
      <c r="A90" s="59" t="s">
        <v>156</v>
      </c>
      <c r="B90" s="59" t="s">
        <v>507</v>
      </c>
      <c r="C90" s="60">
        <v>43795</v>
      </c>
      <c r="D90" s="31">
        <v>604.30999999999995</v>
      </c>
      <c r="E90" s="59" t="s">
        <v>860</v>
      </c>
      <c r="F90" s="59"/>
      <c r="G90" s="59"/>
      <c r="H90" s="59"/>
      <c r="I90" s="61"/>
      <c r="J90" s="59"/>
      <c r="K90" s="59" t="s">
        <v>46</v>
      </c>
      <c r="L90" s="61"/>
      <c r="M90" s="61"/>
      <c r="N90" s="60"/>
      <c r="O90" s="59"/>
      <c r="P90" s="59"/>
      <c r="Q90" s="59"/>
      <c r="R90" s="59"/>
      <c r="S90" s="59"/>
      <c r="T90" s="59"/>
      <c r="U90" s="59"/>
      <c r="V90" s="59"/>
      <c r="W90" s="61" t="s">
        <v>67</v>
      </c>
      <c r="X90" s="31">
        <v>604.30999999999995</v>
      </c>
      <c r="Y90" s="62"/>
      <c r="Z90" s="76">
        <f t="shared" si="1"/>
      </c>
      <c r="AA90" s="62" t="s">
        <v>47</v>
      </c>
      <c r="AB90" s="63"/>
      <c r="AC90" s="63"/>
      <c r="AD90" s="63"/>
      <c r="AE90" s="61" t="s">
        <v>48</v>
      </c>
    </row>
    <row r="91" spans="1:31" s="64" customFormat="1" x14ac:dyDescent="0.25">
      <c r="A91" s="59" t="s">
        <v>157</v>
      </c>
      <c r="B91" s="59" t="s">
        <v>508</v>
      </c>
      <c r="C91" s="60">
        <v>43605</v>
      </c>
      <c r="D91" s="31">
        <v>570.20000000000005</v>
      </c>
      <c r="E91" s="59" t="s">
        <v>861</v>
      </c>
      <c r="F91" s="59"/>
      <c r="G91" s="59"/>
      <c r="H91" s="59"/>
      <c r="I91" s="61"/>
      <c r="J91" s="59"/>
      <c r="K91" s="59" t="s">
        <v>46</v>
      </c>
      <c r="L91" s="61"/>
      <c r="M91" s="61"/>
      <c r="N91" s="60"/>
      <c r="O91" s="59"/>
      <c r="P91" s="59"/>
      <c r="Q91" s="59"/>
      <c r="R91" s="59"/>
      <c r="S91" s="59"/>
      <c r="T91" s="59"/>
      <c r="U91" s="59"/>
      <c r="V91" s="59"/>
      <c r="W91" s="61" t="s">
        <v>67</v>
      </c>
      <c r="X91" s="31">
        <v>570.20000000000005</v>
      </c>
      <c r="Y91" s="62"/>
      <c r="Z91" s="76">
        <f t="shared" si="1"/>
      </c>
      <c r="AA91" s="62" t="s">
        <v>47</v>
      </c>
      <c r="AB91" s="63"/>
      <c r="AC91" s="63"/>
      <c r="AD91" s="63"/>
      <c r="AE91" s="61" t="s">
        <v>48</v>
      </c>
    </row>
    <row r="92" spans="1:31" s="64" customFormat="1" x14ac:dyDescent="0.25">
      <c r="A92" s="59" t="s">
        <v>158</v>
      </c>
      <c r="B92" s="59" t="s">
        <v>509</v>
      </c>
      <c r="C92" s="60">
        <v>43963</v>
      </c>
      <c r="D92" s="31">
        <v>35.28</v>
      </c>
      <c r="E92" s="59" t="s">
        <v>862</v>
      </c>
      <c r="F92" s="59"/>
      <c r="G92" s="59"/>
      <c r="H92" s="59"/>
      <c r="I92" s="61"/>
      <c r="J92" s="59"/>
      <c r="K92" s="59" t="s">
        <v>55</v>
      </c>
      <c r="L92" s="61"/>
      <c r="M92" s="61"/>
      <c r="N92" s="60"/>
      <c r="O92" s="59"/>
      <c r="P92" s="59"/>
      <c r="Q92" s="59"/>
      <c r="R92" s="59"/>
      <c r="S92" s="59"/>
      <c r="T92" s="59"/>
      <c r="U92" s="59"/>
      <c r="V92" s="59"/>
      <c r="W92" s="61" t="s">
        <v>67</v>
      </c>
      <c r="X92" s="31">
        <v>35.28</v>
      </c>
      <c r="Y92" s="62"/>
      <c r="Z92" s="76">
        <f t="shared" si="1"/>
      </c>
      <c r="AA92" s="62" t="s">
        <v>47</v>
      </c>
      <c r="AB92" s="63"/>
      <c r="AC92" s="63"/>
      <c r="AD92" s="63"/>
      <c r="AE92" s="61" t="s">
        <v>48</v>
      </c>
    </row>
    <row r="93" spans="1:31" s="64" customFormat="1" x14ac:dyDescent="0.25">
      <c r="A93" s="59" t="s">
        <v>159</v>
      </c>
      <c r="B93" s="59" t="s">
        <v>510</v>
      </c>
      <c r="C93" s="60">
        <v>43998</v>
      </c>
      <c r="D93" s="31">
        <v>1153.29</v>
      </c>
      <c r="E93" s="59" t="s">
        <v>863</v>
      </c>
      <c r="F93" s="59"/>
      <c r="G93" s="59"/>
      <c r="H93" s="59"/>
      <c r="I93" s="61"/>
      <c r="J93" s="59"/>
      <c r="K93" s="59" t="s">
        <v>55</v>
      </c>
      <c r="L93" s="61"/>
      <c r="M93" s="61"/>
      <c r="N93" s="60"/>
      <c r="O93" s="59"/>
      <c r="P93" s="59"/>
      <c r="Q93" s="59"/>
      <c r="R93" s="59"/>
      <c r="S93" s="59"/>
      <c r="T93" s="59"/>
      <c r="U93" s="59"/>
      <c r="V93" s="59"/>
      <c r="W93" s="61" t="s">
        <v>67</v>
      </c>
      <c r="X93" s="31">
        <v>1153.29</v>
      </c>
      <c r="Y93" s="62"/>
      <c r="Z93" s="76">
        <f t="shared" si="1"/>
      </c>
      <c r="AA93" s="62" t="s">
        <v>47</v>
      </c>
      <c r="AB93" s="63"/>
      <c r="AC93" s="63"/>
      <c r="AD93" s="63"/>
      <c r="AE93" s="61" t="s">
        <v>48</v>
      </c>
    </row>
    <row r="94" spans="1:31" s="64" customFormat="1" x14ac:dyDescent="0.25">
      <c r="A94" s="59" t="s">
        <v>160</v>
      </c>
      <c r="B94" s="59" t="s">
        <v>511</v>
      </c>
      <c r="C94" s="60">
        <v>43629</v>
      </c>
      <c r="D94" s="31">
        <v>882.04</v>
      </c>
      <c r="E94" s="59" t="s">
        <v>864</v>
      </c>
      <c r="F94" s="59"/>
      <c r="G94" s="59"/>
      <c r="H94" s="59"/>
      <c r="I94" s="61"/>
      <c r="J94" s="59"/>
      <c r="K94" s="59" t="s">
        <v>46</v>
      </c>
      <c r="L94" s="61"/>
      <c r="M94" s="61"/>
      <c r="N94" s="60"/>
      <c r="O94" s="59"/>
      <c r="P94" s="59"/>
      <c r="Q94" s="59"/>
      <c r="R94" s="59"/>
      <c r="S94" s="59"/>
      <c r="T94" s="59"/>
      <c r="U94" s="59"/>
      <c r="V94" s="59"/>
      <c r="W94" s="61" t="s">
        <v>68</v>
      </c>
      <c r="X94" s="31">
        <v>882.04</v>
      </c>
      <c r="Y94" s="62"/>
      <c r="Z94" s="76">
        <f t="shared" si="1"/>
      </c>
      <c r="AA94" s="62" t="s">
        <v>47</v>
      </c>
      <c r="AB94" s="63"/>
      <c r="AC94" s="63"/>
      <c r="AD94" s="63"/>
      <c r="AE94" s="61" t="s">
        <v>48</v>
      </c>
    </row>
    <row r="95" spans="1:31" s="64" customFormat="1" x14ac:dyDescent="0.25">
      <c r="A95" s="59" t="s">
        <v>161</v>
      </c>
      <c r="B95" s="59" t="s">
        <v>512</v>
      </c>
      <c r="C95" s="60">
        <v>43602</v>
      </c>
      <c r="D95" s="31">
        <v>2492.59</v>
      </c>
      <c r="E95" s="59" t="s">
        <v>865</v>
      </c>
      <c r="F95" s="59"/>
      <c r="G95" s="59"/>
      <c r="H95" s="59"/>
      <c r="I95" s="61"/>
      <c r="J95" s="59"/>
      <c r="K95" s="59" t="s">
        <v>46</v>
      </c>
      <c r="L95" s="61"/>
      <c r="M95" s="61"/>
      <c r="N95" s="60"/>
      <c r="O95" s="59"/>
      <c r="P95" s="59"/>
      <c r="Q95" s="59"/>
      <c r="R95" s="59"/>
      <c r="S95" s="59"/>
      <c r="T95" s="59"/>
      <c r="U95" s="59"/>
      <c r="V95" s="59"/>
      <c r="W95" s="61" t="s">
        <v>63</v>
      </c>
      <c r="X95" s="31">
        <v>2492.59</v>
      </c>
      <c r="Y95" s="62"/>
      <c r="Z95" s="76">
        <f t="shared" si="1"/>
      </c>
      <c r="AA95" s="62" t="s">
        <v>47</v>
      </c>
      <c r="AB95" s="63"/>
      <c r="AC95" s="63"/>
      <c r="AD95" s="63"/>
      <c r="AE95" s="61" t="s">
        <v>48</v>
      </c>
    </row>
    <row r="96" spans="1:31" s="64" customFormat="1" x14ac:dyDescent="0.25">
      <c r="A96" s="59" t="s">
        <v>162</v>
      </c>
      <c r="B96" s="59" t="s">
        <v>513</v>
      </c>
      <c r="C96" s="60">
        <v>44463</v>
      </c>
      <c r="D96" s="31">
        <v>7422.41</v>
      </c>
      <c r="E96" s="59" t="s">
        <v>866</v>
      </c>
      <c r="F96" s="59"/>
      <c r="G96" s="59"/>
      <c r="H96" s="59"/>
      <c r="I96" s="61"/>
      <c r="J96" s="59"/>
      <c r="K96" s="59" t="s">
        <v>59</v>
      </c>
      <c r="L96" s="61"/>
      <c r="M96" s="61"/>
      <c r="N96" s="60"/>
      <c r="O96" s="59"/>
      <c r="P96" s="59"/>
      <c r="Q96" s="59"/>
      <c r="R96" s="59"/>
      <c r="S96" s="59"/>
      <c r="T96" s="59"/>
      <c r="U96" s="59"/>
      <c r="V96" s="59"/>
      <c r="W96" s="61" t="s">
        <v>6</v>
      </c>
      <c r="X96" s="31">
        <v>7422.41</v>
      </c>
      <c r="Y96" s="62" t="s">
        <v>52</v>
      </c>
      <c r="Z96" s="76">
        <f t="shared" si="1"/>
      </c>
      <c r="AA96" s="62" t="s">
        <v>10</v>
      </c>
      <c r="AB96" s="63"/>
      <c r="AC96" s="63"/>
      <c r="AD96" s="63"/>
      <c r="AE96" s="61" t="s">
        <v>48</v>
      </c>
    </row>
    <row r="97" spans="1:31" s="64" customFormat="1" x14ac:dyDescent="0.25">
      <c r="A97" s="59" t="s">
        <v>163</v>
      </c>
      <c r="B97" s="59" t="s">
        <v>514</v>
      </c>
      <c r="C97" s="60">
        <v>43733</v>
      </c>
      <c r="D97" s="31">
        <v>336</v>
      </c>
      <c r="E97" s="59" t="s">
        <v>867</v>
      </c>
      <c r="F97" s="59"/>
      <c r="G97" s="59"/>
      <c r="H97" s="59"/>
      <c r="I97" s="61"/>
      <c r="J97" s="59"/>
      <c r="K97" s="59" t="s">
        <v>46</v>
      </c>
      <c r="L97" s="61"/>
      <c r="M97" s="61"/>
      <c r="N97" s="60"/>
      <c r="O97" s="59"/>
      <c r="P97" s="59"/>
      <c r="Q97" s="59"/>
      <c r="R97" s="59"/>
      <c r="S97" s="59"/>
      <c r="T97" s="59"/>
      <c r="U97" s="59"/>
      <c r="V97" s="59"/>
      <c r="W97" s="61" t="s">
        <v>6</v>
      </c>
      <c r="X97" s="31">
        <v>336</v>
      </c>
      <c r="Y97" s="62"/>
      <c r="Z97" s="76">
        <f t="shared" si="1"/>
      </c>
      <c r="AA97" s="62" t="s">
        <v>47</v>
      </c>
      <c r="AB97" s="63"/>
      <c r="AC97" s="63"/>
      <c r="AD97" s="63"/>
      <c r="AE97" s="61" t="s">
        <v>48</v>
      </c>
    </row>
    <row r="98" spans="1:31" s="64" customFormat="1" x14ac:dyDescent="0.25">
      <c r="A98" s="59" t="s">
        <v>164</v>
      </c>
      <c r="B98" s="59" t="s">
        <v>515</v>
      </c>
      <c r="C98" s="60">
        <v>44188</v>
      </c>
      <c r="D98" s="31">
        <v>1299.03</v>
      </c>
      <c r="E98" s="59" t="s">
        <v>868</v>
      </c>
      <c r="F98" s="59"/>
      <c r="G98" s="59"/>
      <c r="H98" s="59"/>
      <c r="I98" s="61"/>
      <c r="J98" s="59"/>
      <c r="K98" s="59" t="s">
        <v>55</v>
      </c>
      <c r="L98" s="61"/>
      <c r="M98" s="61"/>
      <c r="N98" s="60"/>
      <c r="O98" s="59"/>
      <c r="P98" s="59"/>
      <c r="Q98" s="59"/>
      <c r="R98" s="59"/>
      <c r="S98" s="59"/>
      <c r="T98" s="59"/>
      <c r="U98" s="59"/>
      <c r="V98" s="59"/>
      <c r="W98" s="61" t="s">
        <v>6</v>
      </c>
      <c r="X98" s="31">
        <v>1299.03</v>
      </c>
      <c r="Y98" s="62"/>
      <c r="Z98" s="76">
        <f t="shared" si="1"/>
      </c>
      <c r="AA98" s="62" t="s">
        <v>47</v>
      </c>
      <c r="AB98" s="63"/>
      <c r="AC98" s="63"/>
      <c r="AD98" s="63"/>
      <c r="AE98" s="61" t="s">
        <v>48</v>
      </c>
    </row>
    <row r="99" spans="1:31" s="64" customFormat="1" x14ac:dyDescent="0.25">
      <c r="A99" s="59" t="s">
        <v>165</v>
      </c>
      <c r="B99" s="59" t="s">
        <v>516</v>
      </c>
      <c r="C99" s="60">
        <v>43637</v>
      </c>
      <c r="D99" s="31">
        <v>1002.9</v>
      </c>
      <c r="E99" s="59" t="s">
        <v>869</v>
      </c>
      <c r="F99" s="59"/>
      <c r="G99" s="59"/>
      <c r="H99" s="59"/>
      <c r="I99" s="61"/>
      <c r="J99" s="59"/>
      <c r="K99" s="59" t="s">
        <v>46</v>
      </c>
      <c r="L99" s="61"/>
      <c r="M99" s="61"/>
      <c r="N99" s="60"/>
      <c r="O99" s="59"/>
      <c r="P99" s="59"/>
      <c r="Q99" s="59"/>
      <c r="R99" s="59"/>
      <c r="S99" s="59"/>
      <c r="T99" s="59"/>
      <c r="U99" s="59"/>
      <c r="V99" s="59"/>
      <c r="W99" s="61" t="s">
        <v>6</v>
      </c>
      <c r="X99" s="31">
        <v>1002.9</v>
      </c>
      <c r="Y99" s="62"/>
      <c r="Z99" s="76">
        <f t="shared" si="1"/>
      </c>
      <c r="AA99" s="62" t="s">
        <v>47</v>
      </c>
      <c r="AB99" s="63"/>
      <c r="AC99" s="63"/>
      <c r="AD99" s="63"/>
      <c r="AE99" s="61" t="s">
        <v>48</v>
      </c>
    </row>
    <row r="100" spans="1:31" s="64" customFormat="1" x14ac:dyDescent="0.25">
      <c r="A100" s="59" t="s">
        <v>166</v>
      </c>
      <c r="B100" s="59" t="s">
        <v>517</v>
      </c>
      <c r="C100" s="60">
        <v>44186</v>
      </c>
      <c r="D100" s="31">
        <v>483.88</v>
      </c>
      <c r="E100" s="59" t="s">
        <v>870</v>
      </c>
      <c r="F100" s="59"/>
      <c r="G100" s="59"/>
      <c r="H100" s="59"/>
      <c r="I100" s="61"/>
      <c r="J100" s="59"/>
      <c r="K100" s="59" t="s">
        <v>55</v>
      </c>
      <c r="L100" s="61"/>
      <c r="M100" s="61"/>
      <c r="N100" s="60"/>
      <c r="O100" s="59"/>
      <c r="P100" s="59"/>
      <c r="Q100" s="59"/>
      <c r="R100" s="59"/>
      <c r="S100" s="59"/>
      <c r="T100" s="59"/>
      <c r="U100" s="59"/>
      <c r="V100" s="59"/>
      <c r="W100" s="61" t="s">
        <v>6</v>
      </c>
      <c r="X100" s="31">
        <v>483.88</v>
      </c>
      <c r="Y100" s="62"/>
      <c r="Z100" s="76">
        <f t="shared" si="1"/>
      </c>
      <c r="AA100" s="62" t="s">
        <v>47</v>
      </c>
      <c r="AB100" s="63"/>
      <c r="AC100" s="63"/>
      <c r="AD100" s="63"/>
      <c r="AE100" s="61" t="s">
        <v>48</v>
      </c>
    </row>
    <row r="101" spans="1:31" s="64" customFormat="1" x14ac:dyDescent="0.25">
      <c r="A101" s="59" t="s">
        <v>167</v>
      </c>
      <c r="B101" s="59" t="s">
        <v>518</v>
      </c>
      <c r="C101" s="60">
        <v>43637</v>
      </c>
      <c r="D101" s="31">
        <v>89</v>
      </c>
      <c r="E101" s="59" t="s">
        <v>871</v>
      </c>
      <c r="F101" s="59"/>
      <c r="G101" s="59"/>
      <c r="H101" s="59"/>
      <c r="I101" s="61"/>
      <c r="J101" s="59"/>
      <c r="K101" s="59" t="s">
        <v>46</v>
      </c>
      <c r="L101" s="61"/>
      <c r="M101" s="61"/>
      <c r="N101" s="60"/>
      <c r="O101" s="59"/>
      <c r="P101" s="59"/>
      <c r="Q101" s="59"/>
      <c r="R101" s="59"/>
      <c r="S101" s="59"/>
      <c r="T101" s="59"/>
      <c r="U101" s="59"/>
      <c r="V101" s="59"/>
      <c r="W101" s="61" t="s">
        <v>6</v>
      </c>
      <c r="X101" s="31">
        <v>89</v>
      </c>
      <c r="Y101" s="62"/>
      <c r="Z101" s="76">
        <f t="shared" si="1"/>
      </c>
      <c r="AA101" s="62" t="s">
        <v>47</v>
      </c>
      <c r="AB101" s="63"/>
      <c r="AC101" s="63"/>
      <c r="AD101" s="63"/>
      <c r="AE101" s="61" t="s">
        <v>48</v>
      </c>
    </row>
    <row r="102" spans="1:31" s="64" customFormat="1" x14ac:dyDescent="0.25">
      <c r="A102" s="59" t="s">
        <v>168</v>
      </c>
      <c r="B102" s="59" t="s">
        <v>519</v>
      </c>
      <c r="C102" s="60">
        <v>43726</v>
      </c>
      <c r="D102" s="31">
        <v>50</v>
      </c>
      <c r="E102" s="59" t="s">
        <v>872</v>
      </c>
      <c r="F102" s="59"/>
      <c r="G102" s="59"/>
      <c r="H102" s="59"/>
      <c r="I102" s="61"/>
      <c r="J102" s="59"/>
      <c r="K102" s="59" t="s">
        <v>46</v>
      </c>
      <c r="L102" s="61"/>
      <c r="M102" s="61"/>
      <c r="N102" s="60"/>
      <c r="O102" s="59"/>
      <c r="P102" s="59"/>
      <c r="Q102" s="59"/>
      <c r="R102" s="59"/>
      <c r="S102" s="59"/>
      <c r="T102" s="59"/>
      <c r="U102" s="59"/>
      <c r="V102" s="59"/>
      <c r="W102" s="61" t="s">
        <v>6</v>
      </c>
      <c r="X102" s="31">
        <v>50</v>
      </c>
      <c r="Y102" s="62"/>
      <c r="Z102" s="76">
        <f t="shared" si="1"/>
      </c>
      <c r="AA102" s="62" t="s">
        <v>47</v>
      </c>
      <c r="AB102" s="63"/>
      <c r="AC102" s="63"/>
      <c r="AD102" s="63"/>
      <c r="AE102" s="61" t="s">
        <v>48</v>
      </c>
    </row>
    <row r="103" spans="1:31" s="64" customFormat="1" x14ac:dyDescent="0.25">
      <c r="A103" s="59" t="s">
        <v>169</v>
      </c>
      <c r="B103" s="59" t="s">
        <v>520</v>
      </c>
      <c r="C103" s="60">
        <v>44449</v>
      </c>
      <c r="D103" s="31">
        <v>59124.12</v>
      </c>
      <c r="E103" s="59" t="s">
        <v>873</v>
      </c>
      <c r="F103" s="59"/>
      <c r="G103" s="59"/>
      <c r="H103" s="59"/>
      <c r="I103" s="61"/>
      <c r="J103" s="59"/>
      <c r="K103" s="59" t="s">
        <v>59</v>
      </c>
      <c r="L103" s="61"/>
      <c r="M103" s="61"/>
      <c r="N103" s="60"/>
      <c r="O103" s="59"/>
      <c r="P103" s="59"/>
      <c r="Q103" s="59"/>
      <c r="R103" s="59"/>
      <c r="S103" s="59"/>
      <c r="T103" s="59"/>
      <c r="U103" s="59"/>
      <c r="V103" s="59"/>
      <c r="W103" s="61" t="s">
        <v>6</v>
      </c>
      <c r="X103" s="31">
        <v>59124.12</v>
      </c>
      <c r="Y103" s="62" t="s">
        <v>52</v>
      </c>
      <c r="Z103" s="76">
        <f t="shared" si="1"/>
      </c>
      <c r="AA103" s="62" t="s">
        <v>10</v>
      </c>
      <c r="AB103" s="63"/>
      <c r="AC103" s="63"/>
      <c r="AD103" s="63"/>
      <c r="AE103" s="61" t="s">
        <v>48</v>
      </c>
    </row>
    <row r="104" spans="1:31" s="64" customFormat="1" x14ac:dyDescent="0.25">
      <c r="A104" s="59" t="s">
        <v>170</v>
      </c>
      <c r="B104" s="59" t="s">
        <v>521</v>
      </c>
      <c r="C104" s="60">
        <v>44449</v>
      </c>
      <c r="D104" s="31">
        <v>12269.08</v>
      </c>
      <c r="E104" s="59" t="s">
        <v>874</v>
      </c>
      <c r="F104" s="59"/>
      <c r="G104" s="59"/>
      <c r="H104" s="59"/>
      <c r="I104" s="61"/>
      <c r="J104" s="59"/>
      <c r="K104" s="59" t="s">
        <v>59</v>
      </c>
      <c r="L104" s="61"/>
      <c r="M104" s="61"/>
      <c r="N104" s="60"/>
      <c r="O104" s="59"/>
      <c r="P104" s="59"/>
      <c r="Q104" s="59"/>
      <c r="R104" s="59"/>
      <c r="S104" s="59"/>
      <c r="T104" s="59"/>
      <c r="U104" s="59"/>
      <c r="V104" s="59"/>
      <c r="W104" s="61" t="s">
        <v>6</v>
      </c>
      <c r="X104" s="31">
        <v>12269.08</v>
      </c>
      <c r="Y104" s="62" t="s">
        <v>52</v>
      </c>
      <c r="Z104" s="76">
        <f t="shared" si="1"/>
      </c>
      <c r="AA104" s="62" t="s">
        <v>10</v>
      </c>
      <c r="AB104" s="63"/>
      <c r="AC104" s="63"/>
      <c r="AD104" s="63"/>
      <c r="AE104" s="61" t="s">
        <v>48</v>
      </c>
    </row>
    <row r="105" spans="1:31" s="64" customFormat="1" x14ac:dyDescent="0.25">
      <c r="A105" s="59" t="s">
        <v>171</v>
      </c>
      <c r="B105" s="59" t="s">
        <v>522</v>
      </c>
      <c r="C105" s="60">
        <v>44449</v>
      </c>
      <c r="D105" s="31">
        <v>934.96</v>
      </c>
      <c r="E105" s="59" t="s">
        <v>875</v>
      </c>
      <c r="F105" s="59"/>
      <c r="G105" s="59"/>
      <c r="H105" s="59"/>
      <c r="I105" s="61"/>
      <c r="J105" s="59"/>
      <c r="K105" s="59" t="s">
        <v>59</v>
      </c>
      <c r="L105" s="61"/>
      <c r="M105" s="61"/>
      <c r="N105" s="60"/>
      <c r="O105" s="59"/>
      <c r="P105" s="59"/>
      <c r="Q105" s="59"/>
      <c r="R105" s="59"/>
      <c r="S105" s="59"/>
      <c r="T105" s="59"/>
      <c r="U105" s="59"/>
      <c r="V105" s="59"/>
      <c r="W105" s="61" t="s">
        <v>6</v>
      </c>
      <c r="X105" s="31">
        <v>934.96</v>
      </c>
      <c r="Y105" s="62"/>
      <c r="Z105" s="76">
        <f t="shared" si="1"/>
      </c>
      <c r="AA105" s="62" t="s">
        <v>47</v>
      </c>
      <c r="AB105" s="63"/>
      <c r="AC105" s="63"/>
      <c r="AD105" s="63"/>
      <c r="AE105" s="61" t="s">
        <v>48</v>
      </c>
    </row>
    <row r="106" spans="1:31" s="64" customFormat="1" x14ac:dyDescent="0.25">
      <c r="A106" s="59" t="s">
        <v>172</v>
      </c>
      <c r="B106" s="59" t="s">
        <v>523</v>
      </c>
      <c r="C106" s="60">
        <v>43626</v>
      </c>
      <c r="D106" s="31">
        <v>100</v>
      </c>
      <c r="E106" s="59" t="s">
        <v>876</v>
      </c>
      <c r="F106" s="59"/>
      <c r="G106" s="59"/>
      <c r="H106" s="59"/>
      <c r="I106" s="61"/>
      <c r="J106" s="59"/>
      <c r="K106" s="59" t="s">
        <v>46</v>
      </c>
      <c r="L106" s="61"/>
      <c r="M106" s="61"/>
      <c r="N106" s="60"/>
      <c r="O106" s="59"/>
      <c r="P106" s="59"/>
      <c r="Q106" s="59"/>
      <c r="R106" s="59"/>
      <c r="S106" s="59"/>
      <c r="T106" s="59"/>
      <c r="U106" s="59"/>
      <c r="V106" s="59"/>
      <c r="W106" s="61" t="s">
        <v>6</v>
      </c>
      <c r="X106" s="31">
        <v>100</v>
      </c>
      <c r="Y106" s="62"/>
      <c r="Z106" s="76">
        <f t="shared" si="1"/>
      </c>
      <c r="AA106" s="62" t="s">
        <v>47</v>
      </c>
      <c r="AB106" s="63"/>
      <c r="AC106" s="63"/>
      <c r="AD106" s="63"/>
      <c r="AE106" s="61" t="s">
        <v>48</v>
      </c>
    </row>
    <row r="107" spans="1:31" s="64" customFormat="1" x14ac:dyDescent="0.25">
      <c r="A107" s="59" t="s">
        <v>173</v>
      </c>
      <c r="B107" s="59" t="s">
        <v>524</v>
      </c>
      <c r="C107" s="60">
        <v>44172</v>
      </c>
      <c r="D107" s="31">
        <v>37.65</v>
      </c>
      <c r="E107" s="59" t="s">
        <v>877</v>
      </c>
      <c r="F107" s="59"/>
      <c r="G107" s="59"/>
      <c r="H107" s="59"/>
      <c r="I107" s="61"/>
      <c r="J107" s="59"/>
      <c r="K107" s="59" t="s">
        <v>55</v>
      </c>
      <c r="L107" s="61"/>
      <c r="M107" s="61"/>
      <c r="N107" s="60"/>
      <c r="O107" s="59"/>
      <c r="P107" s="59"/>
      <c r="Q107" s="59"/>
      <c r="R107" s="59"/>
      <c r="S107" s="59"/>
      <c r="T107" s="59"/>
      <c r="U107" s="59"/>
      <c r="V107" s="59"/>
      <c r="W107" s="61" t="s">
        <v>6</v>
      </c>
      <c r="X107" s="31">
        <v>37.65</v>
      </c>
      <c r="Y107" s="62"/>
      <c r="Z107" s="76">
        <f t="shared" si="1"/>
      </c>
      <c r="AA107" s="62" t="s">
        <v>47</v>
      </c>
      <c r="AB107" s="63"/>
      <c r="AC107" s="63"/>
      <c r="AD107" s="63"/>
      <c r="AE107" s="61" t="s">
        <v>48</v>
      </c>
    </row>
    <row r="108" spans="1:31" s="64" customFormat="1" x14ac:dyDescent="0.25">
      <c r="A108" s="59" t="s">
        <v>174</v>
      </c>
      <c r="B108" s="59" t="s">
        <v>525</v>
      </c>
      <c r="C108" s="60">
        <v>44441</v>
      </c>
      <c r="D108" s="31">
        <v>582.39</v>
      </c>
      <c r="E108" s="59" t="s">
        <v>878</v>
      </c>
      <c r="F108" s="59"/>
      <c r="G108" s="59"/>
      <c r="H108" s="59"/>
      <c r="I108" s="61"/>
      <c r="J108" s="59"/>
      <c r="K108" s="59" t="s">
        <v>59</v>
      </c>
      <c r="L108" s="61"/>
      <c r="M108" s="61"/>
      <c r="N108" s="60"/>
      <c r="O108" s="59"/>
      <c r="P108" s="59"/>
      <c r="Q108" s="59"/>
      <c r="R108" s="59"/>
      <c r="S108" s="59"/>
      <c r="T108" s="59"/>
      <c r="U108" s="59"/>
      <c r="V108" s="59"/>
      <c r="W108" s="61" t="s">
        <v>6</v>
      </c>
      <c r="X108" s="31">
        <v>582.39</v>
      </c>
      <c r="Y108" s="62"/>
      <c r="Z108" s="76">
        <f t="shared" si="1"/>
      </c>
      <c r="AA108" s="62" t="s">
        <v>47</v>
      </c>
      <c r="AB108" s="63"/>
      <c r="AC108" s="63"/>
      <c r="AD108" s="63"/>
      <c r="AE108" s="61" t="s">
        <v>48</v>
      </c>
    </row>
    <row r="109" spans="1:31" s="64" customFormat="1" x14ac:dyDescent="0.25">
      <c r="A109" s="59" t="s">
        <v>175</v>
      </c>
      <c r="B109" s="59" t="s">
        <v>526</v>
      </c>
      <c r="C109" s="60">
        <v>44439</v>
      </c>
      <c r="D109" s="31">
        <v>25891.200000000001</v>
      </c>
      <c r="E109" s="59" t="s">
        <v>879</v>
      </c>
      <c r="F109" s="59"/>
      <c r="G109" s="59"/>
      <c r="H109" s="59"/>
      <c r="I109" s="61"/>
      <c r="J109" s="59"/>
      <c r="K109" s="59" t="s">
        <v>59</v>
      </c>
      <c r="L109" s="61"/>
      <c r="M109" s="61"/>
      <c r="N109" s="60"/>
      <c r="O109" s="59"/>
      <c r="P109" s="59"/>
      <c r="Q109" s="59"/>
      <c r="R109" s="59"/>
      <c r="S109" s="59"/>
      <c r="T109" s="59"/>
      <c r="U109" s="59"/>
      <c r="V109" s="59"/>
      <c r="W109" s="61" t="s">
        <v>6</v>
      </c>
      <c r="X109" s="31">
        <v>68758.44</v>
      </c>
      <c r="Y109" s="62" t="s">
        <v>52</v>
      </c>
      <c r="Z109" s="76">
        <f t="shared" si="1"/>
      </c>
      <c r="AA109" s="62" t="s">
        <v>10</v>
      </c>
      <c r="AB109" s="63"/>
      <c r="AC109" s="63"/>
      <c r="AD109" s="63"/>
      <c r="AE109" s="61" t="s">
        <v>48</v>
      </c>
    </row>
    <row r="110" spans="1:31" s="64" customFormat="1" x14ac:dyDescent="0.25">
      <c r="A110" s="59" t="s">
        <v>176</v>
      </c>
      <c r="B110" s="59" t="s">
        <v>527</v>
      </c>
      <c r="C110" s="60">
        <v>44439</v>
      </c>
      <c r="D110" s="31">
        <v>53649.35</v>
      </c>
      <c r="E110" s="59" t="s">
        <v>880</v>
      </c>
      <c r="F110" s="59"/>
      <c r="G110" s="59"/>
      <c r="H110" s="59"/>
      <c r="I110" s="61"/>
      <c r="J110" s="59"/>
      <c r="K110" s="59" t="s">
        <v>59</v>
      </c>
      <c r="L110" s="61"/>
      <c r="M110" s="61"/>
      <c r="N110" s="60"/>
      <c r="O110" s="59"/>
      <c r="P110" s="59"/>
      <c r="Q110" s="59"/>
      <c r="R110" s="59"/>
      <c r="S110" s="59"/>
      <c r="T110" s="59"/>
      <c r="U110" s="59"/>
      <c r="V110" s="59"/>
      <c r="W110" s="61" t="s">
        <v>6</v>
      </c>
      <c r="X110" s="31">
        <v>53649.35</v>
      </c>
      <c r="Y110" s="62" t="s">
        <v>52</v>
      </c>
      <c r="Z110" s="76">
        <f t="shared" si="1"/>
      </c>
      <c r="AA110" s="62" t="s">
        <v>10</v>
      </c>
      <c r="AB110" s="63"/>
      <c r="AC110" s="63"/>
      <c r="AD110" s="63"/>
      <c r="AE110" s="61" t="s">
        <v>48</v>
      </c>
    </row>
    <row r="111" spans="1:31" s="64" customFormat="1" x14ac:dyDescent="0.25">
      <c r="A111" s="59" t="s">
        <v>177</v>
      </c>
      <c r="B111" s="59" t="s">
        <v>528</v>
      </c>
      <c r="C111" s="60">
        <v>43615</v>
      </c>
      <c r="D111" s="31">
        <v>134</v>
      </c>
      <c r="E111" s="59" t="s">
        <v>881</v>
      </c>
      <c r="F111" s="59"/>
      <c r="G111" s="59"/>
      <c r="H111" s="59"/>
      <c r="I111" s="61"/>
      <c r="J111" s="59"/>
      <c r="K111" s="59" t="s">
        <v>46</v>
      </c>
      <c r="L111" s="61"/>
      <c r="M111" s="61"/>
      <c r="N111" s="60"/>
      <c r="O111" s="59"/>
      <c r="P111" s="59"/>
      <c r="Q111" s="59"/>
      <c r="R111" s="59"/>
      <c r="S111" s="59"/>
      <c r="T111" s="59"/>
      <c r="U111" s="59"/>
      <c r="V111" s="59"/>
      <c r="W111" s="61" t="s">
        <v>6</v>
      </c>
      <c r="X111" s="31">
        <v>134</v>
      </c>
      <c r="Y111" s="62" t="s">
        <v>52</v>
      </c>
      <c r="Z111" s="76">
        <f t="shared" si="1"/>
      </c>
      <c r="AA111" s="62" t="s">
        <v>10</v>
      </c>
      <c r="AB111" s="63"/>
      <c r="AC111" s="63"/>
      <c r="AD111" s="63"/>
      <c r="AE111" s="61" t="s">
        <v>48</v>
      </c>
    </row>
    <row r="112" spans="1:31" s="64" customFormat="1" x14ac:dyDescent="0.25">
      <c r="A112" s="59" t="s">
        <v>178</v>
      </c>
      <c r="B112" s="59" t="s">
        <v>529</v>
      </c>
      <c r="C112" s="60">
        <v>43613</v>
      </c>
      <c r="D112" s="31">
        <v>1124.2</v>
      </c>
      <c r="E112" s="59" t="s">
        <v>882</v>
      </c>
      <c r="F112" s="59"/>
      <c r="G112" s="59"/>
      <c r="H112" s="59"/>
      <c r="I112" s="61"/>
      <c r="J112" s="59"/>
      <c r="K112" s="59" t="s">
        <v>46</v>
      </c>
      <c r="L112" s="61"/>
      <c r="M112" s="61"/>
      <c r="N112" s="60"/>
      <c r="O112" s="59"/>
      <c r="P112" s="59"/>
      <c r="Q112" s="59"/>
      <c r="R112" s="59"/>
      <c r="S112" s="59"/>
      <c r="T112" s="59"/>
      <c r="U112" s="59"/>
      <c r="V112" s="59"/>
      <c r="W112" s="61" t="s">
        <v>6</v>
      </c>
      <c r="X112" s="31">
        <v>1124.2</v>
      </c>
      <c r="Y112" s="62"/>
      <c r="Z112" s="76">
        <f t="shared" si="1"/>
      </c>
      <c r="AA112" s="62" t="s">
        <v>47</v>
      </c>
      <c r="AB112" s="63"/>
      <c r="AC112" s="63"/>
      <c r="AD112" s="63"/>
      <c r="AE112" s="61" t="s">
        <v>48</v>
      </c>
    </row>
    <row r="113" spans="1:31" s="64" customFormat="1" x14ac:dyDescent="0.25">
      <c r="A113" s="59" t="s">
        <v>179</v>
      </c>
      <c r="B113" s="59" t="s">
        <v>530</v>
      </c>
      <c r="C113" s="60">
        <v>43607</v>
      </c>
      <c r="D113" s="31">
        <v>117.22</v>
      </c>
      <c r="E113" s="59" t="s">
        <v>883</v>
      </c>
      <c r="F113" s="59"/>
      <c r="G113" s="59"/>
      <c r="H113" s="59"/>
      <c r="I113" s="61"/>
      <c r="J113" s="59"/>
      <c r="K113" s="59" t="s">
        <v>46</v>
      </c>
      <c r="L113" s="61"/>
      <c r="M113" s="61"/>
      <c r="N113" s="60"/>
      <c r="O113" s="59"/>
      <c r="P113" s="59"/>
      <c r="Q113" s="59"/>
      <c r="R113" s="59"/>
      <c r="S113" s="59"/>
      <c r="T113" s="59"/>
      <c r="U113" s="59"/>
      <c r="V113" s="59"/>
      <c r="W113" s="61" t="s">
        <v>6</v>
      </c>
      <c r="X113" s="31">
        <v>117.22</v>
      </c>
      <c r="Y113" s="62"/>
      <c r="Z113" s="76">
        <f t="shared" si="1"/>
      </c>
      <c r="AA113" s="62" t="s">
        <v>47</v>
      </c>
      <c r="AB113" s="63"/>
      <c r="AC113" s="63"/>
      <c r="AD113" s="63"/>
      <c r="AE113" s="61" t="s">
        <v>48</v>
      </c>
    </row>
    <row r="114" spans="1:31" s="64" customFormat="1" x14ac:dyDescent="0.25">
      <c r="A114" s="59" t="s">
        <v>180</v>
      </c>
      <c r="B114" s="59" t="s">
        <v>531</v>
      </c>
      <c r="C114" s="60">
        <v>43696</v>
      </c>
      <c r="D114" s="31">
        <v>1635.35</v>
      </c>
      <c r="E114" s="59" t="s">
        <v>884</v>
      </c>
      <c r="F114" s="59"/>
      <c r="G114" s="59"/>
      <c r="H114" s="59"/>
      <c r="I114" s="61"/>
      <c r="J114" s="59"/>
      <c r="K114" s="59" t="s">
        <v>46</v>
      </c>
      <c r="L114" s="61"/>
      <c r="M114" s="61"/>
      <c r="N114" s="60"/>
      <c r="O114" s="59"/>
      <c r="P114" s="59"/>
      <c r="Q114" s="59"/>
      <c r="R114" s="59"/>
      <c r="S114" s="59"/>
      <c r="T114" s="59"/>
      <c r="U114" s="59"/>
      <c r="V114" s="59"/>
      <c r="W114" s="61" t="s">
        <v>6</v>
      </c>
      <c r="X114" s="31">
        <v>1635.35</v>
      </c>
      <c r="Y114" s="62"/>
      <c r="Z114" s="76">
        <f t="shared" si="1"/>
      </c>
      <c r="AA114" s="62" t="s">
        <v>47</v>
      </c>
      <c r="AB114" s="63"/>
      <c r="AC114" s="63"/>
      <c r="AD114" s="63"/>
      <c r="AE114" s="61" t="s">
        <v>48</v>
      </c>
    </row>
    <row r="115" spans="1:31" s="64" customFormat="1" x14ac:dyDescent="0.25">
      <c r="A115" s="59" t="s">
        <v>181</v>
      </c>
      <c r="B115" s="59" t="s">
        <v>532</v>
      </c>
      <c r="C115" s="60">
        <v>43696</v>
      </c>
      <c r="D115" s="31">
        <v>1127.49</v>
      </c>
      <c r="E115" s="59" t="s">
        <v>885</v>
      </c>
      <c r="F115" s="59"/>
      <c r="G115" s="59"/>
      <c r="H115" s="59"/>
      <c r="I115" s="61"/>
      <c r="J115" s="59"/>
      <c r="K115" s="59" t="s">
        <v>46</v>
      </c>
      <c r="L115" s="61"/>
      <c r="M115" s="61"/>
      <c r="N115" s="60"/>
      <c r="O115" s="59"/>
      <c r="P115" s="59"/>
      <c r="Q115" s="59"/>
      <c r="R115" s="59"/>
      <c r="S115" s="59"/>
      <c r="T115" s="59"/>
      <c r="U115" s="59"/>
      <c r="V115" s="59"/>
      <c r="W115" s="61" t="s">
        <v>6</v>
      </c>
      <c r="X115" s="31">
        <v>1127.49</v>
      </c>
      <c r="Y115" s="62"/>
      <c r="Z115" s="76">
        <f t="shared" si="1"/>
      </c>
      <c r="AA115" s="62" t="s">
        <v>47</v>
      </c>
      <c r="AB115" s="63"/>
      <c r="AC115" s="63"/>
      <c r="AD115" s="63"/>
      <c r="AE115" s="61" t="s">
        <v>48</v>
      </c>
    </row>
    <row r="116" spans="1:31" s="64" customFormat="1" x14ac:dyDescent="0.25">
      <c r="A116" s="59" t="s">
        <v>182</v>
      </c>
      <c r="B116" s="59" t="s">
        <v>533</v>
      </c>
      <c r="C116" s="60">
        <v>43602</v>
      </c>
      <c r="D116" s="31">
        <v>93.97</v>
      </c>
      <c r="E116" s="59" t="s">
        <v>886</v>
      </c>
      <c r="F116" s="59"/>
      <c r="G116" s="59"/>
      <c r="H116" s="59"/>
      <c r="I116" s="61"/>
      <c r="J116" s="59"/>
      <c r="K116" s="59" t="s">
        <v>46</v>
      </c>
      <c r="L116" s="61"/>
      <c r="M116" s="61"/>
      <c r="N116" s="60"/>
      <c r="O116" s="59"/>
      <c r="P116" s="59"/>
      <c r="Q116" s="59"/>
      <c r="R116" s="59"/>
      <c r="S116" s="59"/>
      <c r="T116" s="59"/>
      <c r="U116" s="59"/>
      <c r="V116" s="59"/>
      <c r="W116" s="61" t="s">
        <v>6</v>
      </c>
      <c r="X116" s="31">
        <v>93.97</v>
      </c>
      <c r="Y116" s="62"/>
      <c r="Z116" s="76">
        <f t="shared" si="1"/>
      </c>
      <c r="AA116" s="62" t="s">
        <v>47</v>
      </c>
      <c r="AB116" s="63"/>
      <c r="AC116" s="63"/>
      <c r="AD116" s="63"/>
      <c r="AE116" s="61" t="s">
        <v>48</v>
      </c>
    </row>
    <row r="117" spans="1:31" s="64" customFormat="1" x14ac:dyDescent="0.25">
      <c r="A117" s="59" t="s">
        <v>183</v>
      </c>
      <c r="B117" s="59" t="s">
        <v>534</v>
      </c>
      <c r="C117" s="60">
        <v>44421</v>
      </c>
      <c r="D117" s="31">
        <v>30411.15</v>
      </c>
      <c r="E117" s="59" t="s">
        <v>887</v>
      </c>
      <c r="F117" s="59"/>
      <c r="G117" s="59"/>
      <c r="H117" s="59"/>
      <c r="I117" s="61"/>
      <c r="J117" s="59"/>
      <c r="K117" s="59" t="s">
        <v>59</v>
      </c>
      <c r="L117" s="61"/>
      <c r="M117" s="61"/>
      <c r="N117" s="60"/>
      <c r="O117" s="59"/>
      <c r="P117" s="59"/>
      <c r="Q117" s="59"/>
      <c r="R117" s="59"/>
      <c r="S117" s="59"/>
      <c r="T117" s="59"/>
      <c r="U117" s="59"/>
      <c r="V117" s="59"/>
      <c r="W117" s="61" t="s">
        <v>6</v>
      </c>
      <c r="X117" s="31">
        <v>30411.15</v>
      </c>
      <c r="Y117" s="62"/>
      <c r="Z117" s="76">
        <f t="shared" si="1"/>
      </c>
      <c r="AA117" s="62" t="s">
        <v>47</v>
      </c>
      <c r="AB117" s="63"/>
      <c r="AC117" s="63"/>
      <c r="AD117" s="63"/>
      <c r="AE117" s="61" t="s">
        <v>48</v>
      </c>
    </row>
    <row r="118" spans="1:31" s="64" customFormat="1" x14ac:dyDescent="0.25">
      <c r="A118" s="59" t="s">
        <v>184</v>
      </c>
      <c r="B118" s="59" t="s">
        <v>535</v>
      </c>
      <c r="C118" s="60">
        <v>44417</v>
      </c>
      <c r="D118" s="31">
        <v>9900</v>
      </c>
      <c r="E118" s="59" t="s">
        <v>888</v>
      </c>
      <c r="F118" s="59"/>
      <c r="G118" s="59"/>
      <c r="H118" s="59"/>
      <c r="I118" s="61"/>
      <c r="J118" s="59"/>
      <c r="K118" s="59" t="s">
        <v>59</v>
      </c>
      <c r="L118" s="61"/>
      <c r="M118" s="61"/>
      <c r="N118" s="60"/>
      <c r="O118" s="59"/>
      <c r="P118" s="59"/>
      <c r="Q118" s="59"/>
      <c r="R118" s="59"/>
      <c r="S118" s="59"/>
      <c r="T118" s="59"/>
      <c r="U118" s="59"/>
      <c r="V118" s="59"/>
      <c r="W118" s="61" t="s">
        <v>65</v>
      </c>
      <c r="X118" s="31">
        <v>9900</v>
      </c>
      <c r="Y118" s="62"/>
      <c r="Z118" s="76">
        <f t="shared" si="1"/>
      </c>
      <c r="AA118" s="62" t="s">
        <v>47</v>
      </c>
      <c r="AB118" s="63"/>
      <c r="AC118" s="63"/>
      <c r="AD118" s="63"/>
      <c r="AE118" s="61" t="s">
        <v>48</v>
      </c>
    </row>
    <row r="119" spans="1:31" s="64" customFormat="1" x14ac:dyDescent="0.25">
      <c r="A119" s="59" t="s">
        <v>185</v>
      </c>
      <c r="B119" s="59" t="s">
        <v>536</v>
      </c>
      <c r="C119" s="60">
        <v>43594</v>
      </c>
      <c r="D119" s="31">
        <v>285.52999999999997</v>
      </c>
      <c r="E119" s="59" t="s">
        <v>889</v>
      </c>
      <c r="F119" s="59"/>
      <c r="G119" s="59"/>
      <c r="H119" s="59"/>
      <c r="I119" s="61"/>
      <c r="J119" s="59"/>
      <c r="K119" s="59" t="s">
        <v>46</v>
      </c>
      <c r="L119" s="61"/>
      <c r="M119" s="61"/>
      <c r="N119" s="60"/>
      <c r="O119" s="59"/>
      <c r="P119" s="59"/>
      <c r="Q119" s="59"/>
      <c r="R119" s="59"/>
      <c r="S119" s="59"/>
      <c r="T119" s="59"/>
      <c r="U119" s="59"/>
      <c r="V119" s="59"/>
      <c r="W119" s="61" t="s">
        <v>6</v>
      </c>
      <c r="X119" s="31">
        <v>285.52999999999997</v>
      </c>
      <c r="Y119" s="62"/>
      <c r="Z119" s="76">
        <f t="shared" si="1"/>
      </c>
      <c r="AA119" s="62" t="s">
        <v>47</v>
      </c>
      <c r="AB119" s="63"/>
      <c r="AC119" s="63"/>
      <c r="AD119" s="63"/>
      <c r="AE119" s="61" t="s">
        <v>48</v>
      </c>
    </row>
    <row r="120" spans="1:31" s="64" customFormat="1" x14ac:dyDescent="0.25">
      <c r="A120" s="59" t="s">
        <v>186</v>
      </c>
      <c r="B120" s="59" t="s">
        <v>537</v>
      </c>
      <c r="C120" s="60">
        <v>43867</v>
      </c>
      <c r="D120" s="31">
        <v>735.79</v>
      </c>
      <c r="E120" s="59" t="s">
        <v>890</v>
      </c>
      <c r="F120" s="59"/>
      <c r="G120" s="59"/>
      <c r="H120" s="59"/>
      <c r="I120" s="61"/>
      <c r="J120" s="59"/>
      <c r="K120" s="59" t="s">
        <v>55</v>
      </c>
      <c r="L120" s="61"/>
      <c r="M120" s="61"/>
      <c r="N120" s="60"/>
      <c r="O120" s="59"/>
      <c r="P120" s="59"/>
      <c r="Q120" s="59"/>
      <c r="R120" s="59"/>
      <c r="S120" s="59"/>
      <c r="T120" s="59"/>
      <c r="U120" s="59"/>
      <c r="V120" s="59"/>
      <c r="W120" s="61" t="s">
        <v>63</v>
      </c>
      <c r="X120" s="31">
        <v>735.79</v>
      </c>
      <c r="Y120" s="62"/>
      <c r="Z120" s="76">
        <f t="shared" si="1"/>
      </c>
      <c r="AA120" s="62" t="s">
        <v>47</v>
      </c>
      <c r="AB120" s="63"/>
      <c r="AC120" s="63"/>
      <c r="AD120" s="63"/>
      <c r="AE120" s="61" t="s">
        <v>48</v>
      </c>
    </row>
    <row r="121" spans="1:31" s="64" customFormat="1" x14ac:dyDescent="0.25">
      <c r="A121" s="59" t="s">
        <v>187</v>
      </c>
      <c r="B121" s="59" t="s">
        <v>538</v>
      </c>
      <c r="C121" s="60">
        <v>44409</v>
      </c>
      <c r="D121" s="31">
        <v>17011.68</v>
      </c>
      <c r="E121" s="59" t="s">
        <v>891</v>
      </c>
      <c r="F121" s="59"/>
      <c r="G121" s="59"/>
      <c r="H121" s="59"/>
      <c r="I121" s="61"/>
      <c r="J121" s="59"/>
      <c r="K121" s="59" t="s">
        <v>59</v>
      </c>
      <c r="L121" s="61"/>
      <c r="M121" s="61"/>
      <c r="N121" s="60"/>
      <c r="O121" s="59"/>
      <c r="P121" s="59"/>
      <c r="Q121" s="59"/>
      <c r="R121" s="59"/>
      <c r="S121" s="59"/>
      <c r="T121" s="59"/>
      <c r="U121" s="59"/>
      <c r="V121" s="59"/>
      <c r="W121" s="61" t="s">
        <v>6</v>
      </c>
      <c r="X121" s="31">
        <v>17011.68</v>
      </c>
      <c r="Y121" s="62"/>
      <c r="Z121" s="76">
        <f t="shared" si="1"/>
      </c>
      <c r="AA121" s="62" t="s">
        <v>47</v>
      </c>
      <c r="AB121" s="63"/>
      <c r="AC121" s="63"/>
      <c r="AD121" s="63"/>
      <c r="AE121" s="61" t="s">
        <v>48</v>
      </c>
    </row>
    <row r="122" spans="1:31" s="64" customFormat="1" x14ac:dyDescent="0.25">
      <c r="A122" s="59" t="s">
        <v>188</v>
      </c>
      <c r="B122" s="59" t="s">
        <v>539</v>
      </c>
      <c r="C122" s="60">
        <v>44409</v>
      </c>
      <c r="D122" s="31">
        <v>3595.48</v>
      </c>
      <c r="E122" s="59" t="s">
        <v>892</v>
      </c>
      <c r="F122" s="59"/>
      <c r="G122" s="59"/>
      <c r="H122" s="59"/>
      <c r="I122" s="61"/>
      <c r="J122" s="59"/>
      <c r="K122" s="59" t="s">
        <v>59</v>
      </c>
      <c r="L122" s="61"/>
      <c r="M122" s="61"/>
      <c r="N122" s="60"/>
      <c r="O122" s="59"/>
      <c r="P122" s="59"/>
      <c r="Q122" s="59"/>
      <c r="R122" s="59"/>
      <c r="S122" s="59"/>
      <c r="T122" s="59"/>
      <c r="U122" s="59"/>
      <c r="V122" s="59"/>
      <c r="W122" s="61" t="s">
        <v>6</v>
      </c>
      <c r="X122" s="31">
        <v>3595.48</v>
      </c>
      <c r="Y122" s="62"/>
      <c r="Z122" s="76">
        <f t="shared" si="1"/>
      </c>
      <c r="AA122" s="62" t="s">
        <v>47</v>
      </c>
      <c r="AB122" s="63"/>
      <c r="AC122" s="63"/>
      <c r="AD122" s="63"/>
      <c r="AE122" s="61" t="s">
        <v>48</v>
      </c>
    </row>
    <row r="123" spans="1:31" s="64" customFormat="1" x14ac:dyDescent="0.25">
      <c r="A123" s="59" t="s">
        <v>189</v>
      </c>
      <c r="B123" s="59" t="s">
        <v>75</v>
      </c>
      <c r="C123" s="60">
        <v>43676</v>
      </c>
      <c r="D123" s="31">
        <v>31018.66</v>
      </c>
      <c r="E123" s="59" t="s">
        <v>893</v>
      </c>
      <c r="F123" s="59"/>
      <c r="G123" s="59"/>
      <c r="H123" s="59"/>
      <c r="I123" s="61"/>
      <c r="J123" s="59"/>
      <c r="K123" s="59" t="s">
        <v>46</v>
      </c>
      <c r="L123" s="61"/>
      <c r="M123" s="61"/>
      <c r="N123" s="60"/>
      <c r="O123" s="59"/>
      <c r="P123" s="59"/>
      <c r="Q123" s="59"/>
      <c r="R123" s="59"/>
      <c r="S123" s="59"/>
      <c r="T123" s="59"/>
      <c r="U123" s="59"/>
      <c r="V123" s="59"/>
      <c r="W123" s="61" t="s">
        <v>69</v>
      </c>
      <c r="X123" s="31">
        <v>31018.66</v>
      </c>
      <c r="Y123" s="62"/>
      <c r="Z123" s="76">
        <f t="shared" si="1"/>
      </c>
      <c r="AA123" s="62" t="s">
        <v>47</v>
      </c>
      <c r="AB123" s="63"/>
      <c r="AC123" s="63"/>
      <c r="AD123" s="63"/>
      <c r="AE123" s="61" t="s">
        <v>48</v>
      </c>
    </row>
    <row r="124" spans="1:31" s="64" customFormat="1" x14ac:dyDescent="0.25">
      <c r="A124" s="59" t="s">
        <v>190</v>
      </c>
      <c r="B124" s="59" t="s">
        <v>540</v>
      </c>
      <c r="C124" s="60">
        <v>43581</v>
      </c>
      <c r="D124" s="31">
        <v>46.77</v>
      </c>
      <c r="E124" s="59" t="s">
        <v>894</v>
      </c>
      <c r="F124" s="59"/>
      <c r="G124" s="59"/>
      <c r="H124" s="59"/>
      <c r="I124" s="61"/>
      <c r="J124" s="59"/>
      <c r="K124" s="59" t="s">
        <v>46</v>
      </c>
      <c r="L124" s="61"/>
      <c r="M124" s="61"/>
      <c r="N124" s="60"/>
      <c r="O124" s="59"/>
      <c r="P124" s="59"/>
      <c r="Q124" s="59"/>
      <c r="R124" s="59"/>
      <c r="S124" s="59"/>
      <c r="T124" s="59"/>
      <c r="U124" s="59"/>
      <c r="V124" s="59"/>
      <c r="W124" s="61" t="s">
        <v>6</v>
      </c>
      <c r="X124" s="31">
        <v>46.77</v>
      </c>
      <c r="Y124" s="62"/>
      <c r="Z124" s="76">
        <f t="shared" si="1"/>
      </c>
      <c r="AA124" s="62" t="s">
        <v>47</v>
      </c>
      <c r="AB124" s="63"/>
      <c r="AC124" s="63"/>
      <c r="AD124" s="63"/>
      <c r="AE124" s="61" t="s">
        <v>48</v>
      </c>
    </row>
    <row r="125" spans="1:31" s="64" customFormat="1" x14ac:dyDescent="0.25">
      <c r="A125" s="59" t="s">
        <v>191</v>
      </c>
      <c r="B125" s="59" t="s">
        <v>541</v>
      </c>
      <c r="C125" s="60">
        <v>43944</v>
      </c>
      <c r="D125" s="31">
        <v>2576.9899999999998</v>
      </c>
      <c r="E125" s="59" t="s">
        <v>895</v>
      </c>
      <c r="F125" s="59"/>
      <c r="G125" s="59"/>
      <c r="H125" s="59"/>
      <c r="I125" s="61"/>
      <c r="J125" s="59"/>
      <c r="K125" s="59" t="s">
        <v>55</v>
      </c>
      <c r="L125" s="61"/>
      <c r="M125" s="61"/>
      <c r="N125" s="60"/>
      <c r="O125" s="59"/>
      <c r="P125" s="59"/>
      <c r="Q125" s="59"/>
      <c r="R125" s="59"/>
      <c r="S125" s="59"/>
      <c r="T125" s="59"/>
      <c r="U125" s="59"/>
      <c r="V125" s="59"/>
      <c r="W125" s="61" t="s">
        <v>70</v>
      </c>
      <c r="X125" s="31">
        <v>2576.9899999999998</v>
      </c>
      <c r="Y125" s="62"/>
      <c r="Z125" s="76">
        <f t="shared" si="1"/>
      </c>
      <c r="AA125" s="62" t="s">
        <v>47</v>
      </c>
      <c r="AB125" s="63"/>
      <c r="AC125" s="63"/>
      <c r="AD125" s="63"/>
      <c r="AE125" s="61" t="s">
        <v>48</v>
      </c>
    </row>
    <row r="126" spans="1:31" s="64" customFormat="1" x14ac:dyDescent="0.25">
      <c r="A126" s="59" t="s">
        <v>192</v>
      </c>
      <c r="B126" s="59" t="s">
        <v>542</v>
      </c>
      <c r="C126" s="60">
        <v>44400</v>
      </c>
      <c r="D126" s="31">
        <v>22126.97</v>
      </c>
      <c r="E126" s="59" t="s">
        <v>896</v>
      </c>
      <c r="F126" s="59"/>
      <c r="G126" s="59"/>
      <c r="H126" s="59"/>
      <c r="I126" s="61"/>
      <c r="J126" s="59"/>
      <c r="K126" s="59" t="s">
        <v>59</v>
      </c>
      <c r="L126" s="61"/>
      <c r="M126" s="61"/>
      <c r="N126" s="60"/>
      <c r="O126" s="59"/>
      <c r="P126" s="59"/>
      <c r="Q126" s="59"/>
      <c r="R126" s="59"/>
      <c r="S126" s="59"/>
      <c r="T126" s="59"/>
      <c r="U126" s="59"/>
      <c r="V126" s="59"/>
      <c r="W126" s="61" t="s">
        <v>6</v>
      </c>
      <c r="X126" s="31">
        <v>22126.97</v>
      </c>
      <c r="Y126" s="62"/>
      <c r="Z126" s="76">
        <f t="shared" si="1"/>
      </c>
      <c r="AA126" s="62" t="s">
        <v>47</v>
      </c>
      <c r="AB126" s="63"/>
      <c r="AC126" s="63"/>
      <c r="AD126" s="63"/>
      <c r="AE126" s="61" t="s">
        <v>48</v>
      </c>
    </row>
    <row r="127" spans="1:31" s="64" customFormat="1" x14ac:dyDescent="0.25">
      <c r="A127" s="59" t="s">
        <v>193</v>
      </c>
      <c r="B127" s="59" t="s">
        <v>543</v>
      </c>
      <c r="C127" s="60">
        <v>44399</v>
      </c>
      <c r="D127" s="31">
        <v>121584.54</v>
      </c>
      <c r="E127" s="59" t="s">
        <v>897</v>
      </c>
      <c r="F127" s="59"/>
      <c r="G127" s="59"/>
      <c r="H127" s="59"/>
      <c r="I127" s="61"/>
      <c r="J127" s="59"/>
      <c r="K127" s="59" t="s">
        <v>59</v>
      </c>
      <c r="L127" s="61"/>
      <c r="M127" s="61"/>
      <c r="N127" s="60"/>
      <c r="O127" s="59"/>
      <c r="P127" s="59"/>
      <c r="Q127" s="59"/>
      <c r="R127" s="59"/>
      <c r="S127" s="59"/>
      <c r="T127" s="59"/>
      <c r="U127" s="59"/>
      <c r="V127" s="59"/>
      <c r="W127" s="61" t="s">
        <v>6</v>
      </c>
      <c r="X127" s="31">
        <v>121584.54</v>
      </c>
      <c r="Y127" s="62" t="s">
        <v>52</v>
      </c>
      <c r="Z127" s="76">
        <f t="shared" si="1"/>
      </c>
      <c r="AA127" s="62" t="s">
        <v>10</v>
      </c>
      <c r="AB127" s="63"/>
      <c r="AC127" s="63"/>
      <c r="AD127" s="63"/>
      <c r="AE127" s="61" t="s">
        <v>48</v>
      </c>
    </row>
    <row r="128" spans="1:31" s="64" customFormat="1" x14ac:dyDescent="0.25">
      <c r="A128" s="59" t="s">
        <v>194</v>
      </c>
      <c r="B128" s="59" t="s">
        <v>544</v>
      </c>
      <c r="C128" s="60">
        <v>43665</v>
      </c>
      <c r="D128" s="31">
        <v>986.44</v>
      </c>
      <c r="E128" s="59" t="s">
        <v>898</v>
      </c>
      <c r="F128" s="59"/>
      <c r="G128" s="59"/>
      <c r="H128" s="59"/>
      <c r="I128" s="61"/>
      <c r="J128" s="59"/>
      <c r="K128" s="59" t="s">
        <v>46</v>
      </c>
      <c r="L128" s="61"/>
      <c r="M128" s="61"/>
      <c r="N128" s="60"/>
      <c r="O128" s="59"/>
      <c r="P128" s="59"/>
      <c r="Q128" s="59"/>
      <c r="R128" s="59"/>
      <c r="S128" s="59"/>
      <c r="T128" s="59"/>
      <c r="U128" s="59"/>
      <c r="V128" s="59"/>
      <c r="W128" s="61" t="s">
        <v>6</v>
      </c>
      <c r="X128" s="31">
        <v>986.44</v>
      </c>
      <c r="Y128" s="62"/>
      <c r="Z128" s="76">
        <f t="shared" si="1"/>
      </c>
      <c r="AA128" s="62" t="s">
        <v>47</v>
      </c>
      <c r="AB128" s="63"/>
      <c r="AC128" s="63"/>
      <c r="AD128" s="63"/>
      <c r="AE128" s="61" t="s">
        <v>48</v>
      </c>
    </row>
    <row r="129" spans="1:31" s="64" customFormat="1" x14ac:dyDescent="0.25">
      <c r="A129" s="59" t="s">
        <v>195</v>
      </c>
      <c r="B129" s="59" t="s">
        <v>545</v>
      </c>
      <c r="C129" s="60">
        <v>43937</v>
      </c>
      <c r="D129" s="31">
        <v>1537.38</v>
      </c>
      <c r="E129" s="59" t="s">
        <v>899</v>
      </c>
      <c r="F129" s="59"/>
      <c r="G129" s="59"/>
      <c r="H129" s="59"/>
      <c r="I129" s="61"/>
      <c r="J129" s="59"/>
      <c r="K129" s="59" t="s">
        <v>55</v>
      </c>
      <c r="L129" s="61"/>
      <c r="M129" s="61"/>
      <c r="N129" s="60"/>
      <c r="O129" s="59"/>
      <c r="P129" s="59"/>
      <c r="Q129" s="59"/>
      <c r="R129" s="59"/>
      <c r="S129" s="59"/>
      <c r="T129" s="59"/>
      <c r="U129" s="59"/>
      <c r="V129" s="59"/>
      <c r="W129" s="61" t="s">
        <v>70</v>
      </c>
      <c r="X129" s="31">
        <v>1537.38</v>
      </c>
      <c r="Y129" s="62"/>
      <c r="Z129" s="76">
        <f t="shared" si="1"/>
      </c>
      <c r="AA129" s="62" t="s">
        <v>47</v>
      </c>
      <c r="AB129" s="63"/>
      <c r="AC129" s="63"/>
      <c r="AD129" s="63"/>
      <c r="AE129" s="61" t="s">
        <v>48</v>
      </c>
    </row>
    <row r="130" spans="1:31" s="64" customFormat="1" x14ac:dyDescent="0.25">
      <c r="A130" s="59" t="s">
        <v>196</v>
      </c>
      <c r="B130" s="59" t="s">
        <v>546</v>
      </c>
      <c r="C130" s="60">
        <v>44386</v>
      </c>
      <c r="D130" s="31">
        <v>27457.69</v>
      </c>
      <c r="E130" s="59" t="s">
        <v>900</v>
      </c>
      <c r="F130" s="59"/>
      <c r="G130" s="59"/>
      <c r="H130" s="59"/>
      <c r="I130" s="61"/>
      <c r="J130" s="59"/>
      <c r="K130" s="59" t="s">
        <v>59</v>
      </c>
      <c r="L130" s="61"/>
      <c r="M130" s="61"/>
      <c r="N130" s="60"/>
      <c r="O130" s="59"/>
      <c r="P130" s="59"/>
      <c r="Q130" s="59"/>
      <c r="R130" s="59"/>
      <c r="S130" s="59"/>
      <c r="T130" s="59"/>
      <c r="U130" s="59"/>
      <c r="V130" s="59"/>
      <c r="W130" s="61" t="s">
        <v>6</v>
      </c>
      <c r="X130" s="31">
        <v>27457.69</v>
      </c>
      <c r="Y130" s="62"/>
      <c r="Z130" s="76">
        <f t="shared" si="1"/>
      </c>
      <c r="AA130" s="62" t="s">
        <v>47</v>
      </c>
      <c r="AB130" s="63"/>
      <c r="AC130" s="63"/>
      <c r="AD130" s="63"/>
      <c r="AE130" s="61" t="s">
        <v>48</v>
      </c>
    </row>
    <row r="131" spans="1:31" s="64" customFormat="1" x14ac:dyDescent="0.25">
      <c r="A131" s="59" t="s">
        <v>197</v>
      </c>
      <c r="B131" s="59" t="s">
        <v>547</v>
      </c>
      <c r="C131" s="60">
        <v>43563</v>
      </c>
      <c r="D131" s="31">
        <v>2694.6</v>
      </c>
      <c r="E131" s="59" t="s">
        <v>901</v>
      </c>
      <c r="F131" s="59"/>
      <c r="G131" s="59"/>
      <c r="H131" s="59"/>
      <c r="I131" s="61"/>
      <c r="J131" s="59"/>
      <c r="K131" s="59" t="s">
        <v>46</v>
      </c>
      <c r="L131" s="61"/>
      <c r="M131" s="61"/>
      <c r="N131" s="60"/>
      <c r="O131" s="59"/>
      <c r="P131" s="59"/>
      <c r="Q131" s="59"/>
      <c r="R131" s="59"/>
      <c r="S131" s="59"/>
      <c r="T131" s="59"/>
      <c r="U131" s="59"/>
      <c r="V131" s="59"/>
      <c r="W131" s="61" t="s">
        <v>6</v>
      </c>
      <c r="X131" s="31">
        <v>2694.6</v>
      </c>
      <c r="Y131" s="62"/>
      <c r="Z131" s="76">
        <f t="shared" si="1"/>
      </c>
      <c r="AA131" s="62" t="s">
        <v>47</v>
      </c>
      <c r="AB131" s="63"/>
      <c r="AC131" s="63"/>
      <c r="AD131" s="63"/>
      <c r="AE131" s="61" t="s">
        <v>48</v>
      </c>
    </row>
    <row r="132" spans="1:31" s="64" customFormat="1" x14ac:dyDescent="0.25">
      <c r="A132" s="59" t="s">
        <v>198</v>
      </c>
      <c r="B132" s="59" t="s">
        <v>548</v>
      </c>
      <c r="C132" s="60">
        <v>43550</v>
      </c>
      <c r="D132" s="31">
        <v>3847.5</v>
      </c>
      <c r="E132" s="59" t="s">
        <v>902</v>
      </c>
      <c r="F132" s="59"/>
      <c r="G132" s="59"/>
      <c r="H132" s="59"/>
      <c r="I132" s="61"/>
      <c r="J132" s="59"/>
      <c r="K132" s="59" t="s">
        <v>46</v>
      </c>
      <c r="L132" s="61"/>
      <c r="M132" s="61"/>
      <c r="N132" s="60"/>
      <c r="O132" s="59"/>
      <c r="P132" s="59"/>
      <c r="Q132" s="59"/>
      <c r="R132" s="59"/>
      <c r="S132" s="59"/>
      <c r="T132" s="59"/>
      <c r="U132" s="59"/>
      <c r="V132" s="59"/>
      <c r="W132" s="61" t="s">
        <v>6</v>
      </c>
      <c r="X132" s="31">
        <v>3847.5</v>
      </c>
      <c r="Y132" s="62" t="s">
        <v>52</v>
      </c>
      <c r="Z132" s="76">
        <f t="shared" ref="Z132:Z195" si="2">IF(Y132="Clear",0,X132)</f>
      </c>
      <c r="AA132" s="62" t="s">
        <v>10</v>
      </c>
      <c r="AB132" s="63"/>
      <c r="AC132" s="63"/>
      <c r="AD132" s="63"/>
      <c r="AE132" s="61" t="s">
        <v>48</v>
      </c>
    </row>
    <row r="133" spans="1:31" s="64" customFormat="1" x14ac:dyDescent="0.25">
      <c r="A133" s="59" t="s">
        <v>199</v>
      </c>
      <c r="B133" s="59" t="s">
        <v>549</v>
      </c>
      <c r="C133" s="60">
        <v>43549</v>
      </c>
      <c r="D133" s="31">
        <v>50.13</v>
      </c>
      <c r="E133" s="59" t="s">
        <v>903</v>
      </c>
      <c r="F133" s="59"/>
      <c r="G133" s="59"/>
      <c r="H133" s="59"/>
      <c r="I133" s="61"/>
      <c r="J133" s="59"/>
      <c r="K133" s="59" t="s">
        <v>46</v>
      </c>
      <c r="L133" s="61"/>
      <c r="M133" s="61"/>
      <c r="N133" s="60"/>
      <c r="O133" s="59"/>
      <c r="P133" s="59"/>
      <c r="Q133" s="59"/>
      <c r="R133" s="59"/>
      <c r="S133" s="59"/>
      <c r="T133" s="59"/>
      <c r="U133" s="59"/>
      <c r="V133" s="59"/>
      <c r="W133" s="61" t="s">
        <v>6</v>
      </c>
      <c r="X133" s="31">
        <v>50.13</v>
      </c>
      <c r="Y133" s="62"/>
      <c r="Z133" s="76">
        <f t="shared" si="2"/>
      </c>
      <c r="AA133" s="62" t="s">
        <v>47</v>
      </c>
      <c r="AB133" s="63"/>
      <c r="AC133" s="63"/>
      <c r="AD133" s="63"/>
      <c r="AE133" s="61" t="s">
        <v>48</v>
      </c>
    </row>
    <row r="134" spans="1:31" s="64" customFormat="1" x14ac:dyDescent="0.25">
      <c r="A134" s="59" t="s">
        <v>200</v>
      </c>
      <c r="B134" s="59" t="s">
        <v>550</v>
      </c>
      <c r="C134" s="60">
        <v>43544</v>
      </c>
      <c r="D134" s="31">
        <v>227.05</v>
      </c>
      <c r="E134" s="59" t="s">
        <v>904</v>
      </c>
      <c r="F134" s="59"/>
      <c r="G134" s="59"/>
      <c r="H134" s="59"/>
      <c r="I134" s="61"/>
      <c r="J134" s="59"/>
      <c r="K134" s="59" t="s">
        <v>46</v>
      </c>
      <c r="L134" s="61"/>
      <c r="M134" s="61"/>
      <c r="N134" s="60"/>
      <c r="O134" s="59"/>
      <c r="P134" s="59"/>
      <c r="Q134" s="59"/>
      <c r="R134" s="59"/>
      <c r="S134" s="59"/>
      <c r="T134" s="59"/>
      <c r="U134" s="59"/>
      <c r="V134" s="59"/>
      <c r="W134" s="61" t="s">
        <v>6</v>
      </c>
      <c r="X134" s="31">
        <v>227.05</v>
      </c>
      <c r="Y134" s="62"/>
      <c r="Z134" s="76">
        <f t="shared" si="2"/>
      </c>
      <c r="AA134" s="62" t="s">
        <v>47</v>
      </c>
      <c r="AB134" s="63"/>
      <c r="AC134" s="63"/>
      <c r="AD134" s="63"/>
      <c r="AE134" s="61" t="s">
        <v>48</v>
      </c>
    </row>
    <row r="135" spans="1:31" s="64" customFormat="1" x14ac:dyDescent="0.25">
      <c r="A135" s="59" t="s">
        <v>201</v>
      </c>
      <c r="B135" s="59" t="s">
        <v>551</v>
      </c>
      <c r="C135" s="60">
        <v>43542</v>
      </c>
      <c r="D135" s="31">
        <v>39.49</v>
      </c>
      <c r="E135" s="59" t="s">
        <v>905</v>
      </c>
      <c r="F135" s="59"/>
      <c r="G135" s="59"/>
      <c r="H135" s="59"/>
      <c r="I135" s="61"/>
      <c r="J135" s="59"/>
      <c r="K135" s="59" t="s">
        <v>46</v>
      </c>
      <c r="L135" s="61"/>
      <c r="M135" s="61"/>
      <c r="N135" s="60"/>
      <c r="O135" s="59"/>
      <c r="P135" s="59"/>
      <c r="Q135" s="59"/>
      <c r="R135" s="59"/>
      <c r="S135" s="59"/>
      <c r="T135" s="59"/>
      <c r="U135" s="59"/>
      <c r="V135" s="59"/>
      <c r="W135" s="61" t="s">
        <v>6</v>
      </c>
      <c r="X135" s="31">
        <v>39.49</v>
      </c>
      <c r="Y135" s="62"/>
      <c r="Z135" s="76">
        <f t="shared" si="2"/>
      </c>
      <c r="AA135" s="62" t="s">
        <v>47</v>
      </c>
      <c r="AB135" s="63"/>
      <c r="AC135" s="63"/>
      <c r="AD135" s="63"/>
      <c r="AE135" s="61" t="s">
        <v>48</v>
      </c>
    </row>
    <row r="136" spans="1:31" s="64" customFormat="1" x14ac:dyDescent="0.25">
      <c r="A136" s="59" t="s">
        <v>202</v>
      </c>
      <c r="B136" s="59" t="s">
        <v>552</v>
      </c>
      <c r="C136" s="60">
        <v>43538</v>
      </c>
      <c r="D136" s="31">
        <v>1001.02</v>
      </c>
      <c r="E136" s="59" t="s">
        <v>906</v>
      </c>
      <c r="F136" s="59"/>
      <c r="G136" s="59"/>
      <c r="H136" s="59"/>
      <c r="I136" s="61"/>
      <c r="J136" s="59"/>
      <c r="K136" s="59" t="s">
        <v>46</v>
      </c>
      <c r="L136" s="61"/>
      <c r="M136" s="61"/>
      <c r="N136" s="60"/>
      <c r="O136" s="59"/>
      <c r="P136" s="59"/>
      <c r="Q136" s="59"/>
      <c r="R136" s="59"/>
      <c r="S136" s="59"/>
      <c r="T136" s="59"/>
      <c r="U136" s="59"/>
      <c r="V136" s="59"/>
      <c r="W136" s="61" t="s">
        <v>6</v>
      </c>
      <c r="X136" s="31">
        <v>1001.02</v>
      </c>
      <c r="Y136" s="62"/>
      <c r="Z136" s="76">
        <f t="shared" si="2"/>
      </c>
      <c r="AA136" s="62" t="s">
        <v>47</v>
      </c>
      <c r="AB136" s="63"/>
      <c r="AC136" s="63"/>
      <c r="AD136" s="63"/>
      <c r="AE136" s="61" t="s">
        <v>48</v>
      </c>
    </row>
    <row r="137" spans="1:31" s="64" customFormat="1" x14ac:dyDescent="0.25">
      <c r="A137" s="59" t="s">
        <v>203</v>
      </c>
      <c r="B137" s="59" t="s">
        <v>553</v>
      </c>
      <c r="C137" s="60">
        <v>43903</v>
      </c>
      <c r="D137" s="31">
        <v>429.89</v>
      </c>
      <c r="E137" s="59" t="s">
        <v>907</v>
      </c>
      <c r="F137" s="59"/>
      <c r="G137" s="59"/>
      <c r="H137" s="59"/>
      <c r="I137" s="61"/>
      <c r="J137" s="59"/>
      <c r="K137" s="59" t="s">
        <v>55</v>
      </c>
      <c r="L137" s="61"/>
      <c r="M137" s="61"/>
      <c r="N137" s="60"/>
      <c r="O137" s="59"/>
      <c r="P137" s="59"/>
      <c r="Q137" s="59"/>
      <c r="R137" s="59"/>
      <c r="S137" s="59"/>
      <c r="T137" s="59"/>
      <c r="U137" s="59"/>
      <c r="V137" s="59"/>
      <c r="W137" s="61" t="s">
        <v>70</v>
      </c>
      <c r="X137" s="31">
        <v>429.89</v>
      </c>
      <c r="Y137" s="62" t="s">
        <v>52</v>
      </c>
      <c r="Z137" s="76">
        <f t="shared" si="2"/>
      </c>
      <c r="AA137" s="62" t="s">
        <v>10</v>
      </c>
      <c r="AB137" s="63"/>
      <c r="AC137" s="63"/>
      <c r="AD137" s="63"/>
      <c r="AE137" s="61" t="s">
        <v>48</v>
      </c>
    </row>
    <row r="138" spans="1:31" s="64" customFormat="1" x14ac:dyDescent="0.25">
      <c r="A138" s="59" t="s">
        <v>204</v>
      </c>
      <c r="B138" s="59" t="s">
        <v>554</v>
      </c>
      <c r="C138" s="60">
        <v>43532</v>
      </c>
      <c r="D138" s="31">
        <v>625.02</v>
      </c>
      <c r="E138" s="59" t="s">
        <v>908</v>
      </c>
      <c r="F138" s="59"/>
      <c r="G138" s="59"/>
      <c r="H138" s="59"/>
      <c r="I138" s="61"/>
      <c r="J138" s="59"/>
      <c r="K138" s="59" t="s">
        <v>46</v>
      </c>
      <c r="L138" s="61"/>
      <c r="M138" s="61"/>
      <c r="N138" s="60"/>
      <c r="O138" s="59"/>
      <c r="P138" s="59"/>
      <c r="Q138" s="59"/>
      <c r="R138" s="59"/>
      <c r="S138" s="59"/>
      <c r="T138" s="59"/>
      <c r="U138" s="59"/>
      <c r="V138" s="59"/>
      <c r="W138" s="61" t="s">
        <v>6</v>
      </c>
      <c r="X138" s="31">
        <v>625.02</v>
      </c>
      <c r="Y138" s="62"/>
      <c r="Z138" s="76">
        <f t="shared" si="2"/>
      </c>
      <c r="AA138" s="62" t="s">
        <v>47</v>
      </c>
      <c r="AB138" s="63"/>
      <c r="AC138" s="63"/>
      <c r="AD138" s="63"/>
      <c r="AE138" s="61" t="s">
        <v>48</v>
      </c>
    </row>
    <row r="139" spans="1:31" s="64" customFormat="1" x14ac:dyDescent="0.25">
      <c r="A139" s="59" t="s">
        <v>205</v>
      </c>
      <c r="B139" s="59" t="s">
        <v>555</v>
      </c>
      <c r="C139" s="60">
        <v>43532</v>
      </c>
      <c r="D139" s="31">
        <v>317.43</v>
      </c>
      <c r="E139" s="59" t="s">
        <v>909</v>
      </c>
      <c r="F139" s="59"/>
      <c r="G139" s="59"/>
      <c r="H139" s="59"/>
      <c r="I139" s="61"/>
      <c r="J139" s="59"/>
      <c r="K139" s="59" t="s">
        <v>46</v>
      </c>
      <c r="L139" s="61"/>
      <c r="M139" s="61"/>
      <c r="N139" s="60"/>
      <c r="O139" s="59"/>
      <c r="P139" s="59"/>
      <c r="Q139" s="59"/>
      <c r="R139" s="59"/>
      <c r="S139" s="59"/>
      <c r="T139" s="59"/>
      <c r="U139" s="59"/>
      <c r="V139" s="59"/>
      <c r="W139" s="61" t="s">
        <v>6</v>
      </c>
      <c r="X139" s="31">
        <v>317.43</v>
      </c>
      <c r="Y139" s="62"/>
      <c r="Z139" s="76">
        <f t="shared" si="2"/>
      </c>
      <c r="AA139" s="62" t="s">
        <v>47</v>
      </c>
      <c r="AB139" s="63"/>
      <c r="AC139" s="63"/>
      <c r="AD139" s="63"/>
      <c r="AE139" s="61" t="s">
        <v>48</v>
      </c>
    </row>
    <row r="140" spans="1:31" s="64" customFormat="1" x14ac:dyDescent="0.25">
      <c r="A140" s="59" t="s">
        <v>206</v>
      </c>
      <c r="B140" s="59" t="s">
        <v>556</v>
      </c>
      <c r="C140" s="60">
        <v>43532</v>
      </c>
      <c r="D140" s="31">
        <v>210</v>
      </c>
      <c r="E140" s="59" t="s">
        <v>910</v>
      </c>
      <c r="F140" s="59"/>
      <c r="G140" s="59"/>
      <c r="H140" s="59"/>
      <c r="I140" s="61"/>
      <c r="J140" s="59"/>
      <c r="K140" s="59" t="s">
        <v>46</v>
      </c>
      <c r="L140" s="61"/>
      <c r="M140" s="61"/>
      <c r="N140" s="60"/>
      <c r="O140" s="59"/>
      <c r="P140" s="59"/>
      <c r="Q140" s="59"/>
      <c r="R140" s="59"/>
      <c r="S140" s="59"/>
      <c r="T140" s="59"/>
      <c r="U140" s="59"/>
      <c r="V140" s="59"/>
      <c r="W140" s="61" t="s">
        <v>6</v>
      </c>
      <c r="X140" s="31">
        <v>210</v>
      </c>
      <c r="Y140" s="62"/>
      <c r="Z140" s="76">
        <f t="shared" si="2"/>
      </c>
      <c r="AA140" s="62" t="s">
        <v>47</v>
      </c>
      <c r="AB140" s="63"/>
      <c r="AC140" s="63"/>
      <c r="AD140" s="63"/>
      <c r="AE140" s="61" t="s">
        <v>48</v>
      </c>
    </row>
    <row r="141" spans="1:31" s="64" customFormat="1" x14ac:dyDescent="0.25">
      <c r="A141" s="59" t="s">
        <v>207</v>
      </c>
      <c r="B141" s="59" t="s">
        <v>557</v>
      </c>
      <c r="C141" s="60">
        <v>43532</v>
      </c>
      <c r="D141" s="31">
        <v>70.66</v>
      </c>
      <c r="E141" s="59" t="s">
        <v>911</v>
      </c>
      <c r="F141" s="59"/>
      <c r="G141" s="59"/>
      <c r="H141" s="59"/>
      <c r="I141" s="61"/>
      <c r="J141" s="59"/>
      <c r="K141" s="59" t="s">
        <v>46</v>
      </c>
      <c r="L141" s="61"/>
      <c r="M141" s="61"/>
      <c r="N141" s="60"/>
      <c r="O141" s="59"/>
      <c r="P141" s="59"/>
      <c r="Q141" s="59"/>
      <c r="R141" s="59"/>
      <c r="S141" s="59"/>
      <c r="T141" s="59"/>
      <c r="U141" s="59"/>
      <c r="V141" s="59"/>
      <c r="W141" s="61" t="s">
        <v>6</v>
      </c>
      <c r="X141" s="31">
        <v>70.66</v>
      </c>
      <c r="Y141" s="62"/>
      <c r="Z141" s="76">
        <f t="shared" si="2"/>
      </c>
      <c r="AA141" s="62" t="s">
        <v>47</v>
      </c>
      <c r="AB141" s="63"/>
      <c r="AC141" s="63"/>
      <c r="AD141" s="63"/>
      <c r="AE141" s="61" t="s">
        <v>48</v>
      </c>
    </row>
    <row r="142" spans="1:31" s="64" customFormat="1" x14ac:dyDescent="0.25">
      <c r="A142" s="59" t="s">
        <v>208</v>
      </c>
      <c r="B142" s="59" t="s">
        <v>558</v>
      </c>
      <c r="C142" s="60">
        <v>43623</v>
      </c>
      <c r="D142" s="31">
        <v>2150</v>
      </c>
      <c r="E142" s="59" t="s">
        <v>912</v>
      </c>
      <c r="F142" s="59"/>
      <c r="G142" s="59"/>
      <c r="H142" s="59"/>
      <c r="I142" s="61"/>
      <c r="J142" s="59"/>
      <c r="K142" s="59" t="s">
        <v>46</v>
      </c>
      <c r="L142" s="61"/>
      <c r="M142" s="61"/>
      <c r="N142" s="60"/>
      <c r="O142" s="59"/>
      <c r="P142" s="59"/>
      <c r="Q142" s="59"/>
      <c r="R142" s="59"/>
      <c r="S142" s="59"/>
      <c r="T142" s="59"/>
      <c r="U142" s="59"/>
      <c r="V142" s="59"/>
      <c r="W142" s="61" t="s">
        <v>6</v>
      </c>
      <c r="X142" s="31">
        <v>2150</v>
      </c>
      <c r="Y142" s="62"/>
      <c r="Z142" s="76">
        <f t="shared" si="2"/>
      </c>
      <c r="AA142" s="62" t="s">
        <v>47</v>
      </c>
      <c r="AB142" s="63"/>
      <c r="AC142" s="63"/>
      <c r="AD142" s="63"/>
      <c r="AE142" s="61" t="s">
        <v>48</v>
      </c>
    </row>
    <row r="143" spans="1:31" s="64" customFormat="1" x14ac:dyDescent="0.25">
      <c r="A143" s="59" t="s">
        <v>209</v>
      </c>
      <c r="B143" s="59" t="s">
        <v>559</v>
      </c>
      <c r="C143" s="60">
        <v>43525</v>
      </c>
      <c r="D143" s="31">
        <v>150.5</v>
      </c>
      <c r="E143" s="59" t="s">
        <v>913</v>
      </c>
      <c r="F143" s="59"/>
      <c r="G143" s="59"/>
      <c r="H143" s="59"/>
      <c r="I143" s="61"/>
      <c r="J143" s="59"/>
      <c r="K143" s="59" t="s">
        <v>46</v>
      </c>
      <c r="L143" s="61"/>
      <c r="M143" s="61"/>
      <c r="N143" s="60"/>
      <c r="O143" s="59"/>
      <c r="P143" s="59"/>
      <c r="Q143" s="59"/>
      <c r="R143" s="59"/>
      <c r="S143" s="59"/>
      <c r="T143" s="59"/>
      <c r="U143" s="59"/>
      <c r="V143" s="59"/>
      <c r="W143" s="61" t="s">
        <v>6</v>
      </c>
      <c r="X143" s="31">
        <v>150.5</v>
      </c>
      <c r="Y143" s="62"/>
      <c r="Z143" s="76">
        <f t="shared" si="2"/>
      </c>
      <c r="AA143" s="62" t="s">
        <v>47</v>
      </c>
      <c r="AB143" s="63"/>
      <c r="AC143" s="63"/>
      <c r="AD143" s="63"/>
      <c r="AE143" s="61" t="s">
        <v>48</v>
      </c>
    </row>
    <row r="144" spans="1:31" s="64" customFormat="1" x14ac:dyDescent="0.25">
      <c r="A144" s="59" t="s">
        <v>210</v>
      </c>
      <c r="B144" s="59" t="s">
        <v>560</v>
      </c>
      <c r="C144" s="60">
        <v>43616</v>
      </c>
      <c r="D144" s="31">
        <v>1873</v>
      </c>
      <c r="E144" s="59" t="s">
        <v>914</v>
      </c>
      <c r="F144" s="59"/>
      <c r="G144" s="59"/>
      <c r="H144" s="59"/>
      <c r="I144" s="61"/>
      <c r="J144" s="59"/>
      <c r="K144" s="59" t="s">
        <v>46</v>
      </c>
      <c r="L144" s="61"/>
      <c r="M144" s="61"/>
      <c r="N144" s="60"/>
      <c r="O144" s="59"/>
      <c r="P144" s="59"/>
      <c r="Q144" s="59"/>
      <c r="R144" s="59"/>
      <c r="S144" s="59"/>
      <c r="T144" s="59"/>
      <c r="U144" s="59"/>
      <c r="V144" s="59"/>
      <c r="W144" s="61" t="s">
        <v>6</v>
      </c>
      <c r="X144" s="31">
        <v>1873</v>
      </c>
      <c r="Y144" s="62"/>
      <c r="Z144" s="76">
        <f t="shared" si="2"/>
      </c>
      <c r="AA144" s="62" t="s">
        <v>47</v>
      </c>
      <c r="AB144" s="63"/>
      <c r="AC144" s="63"/>
      <c r="AD144" s="63"/>
      <c r="AE144" s="61" t="s">
        <v>48</v>
      </c>
    </row>
    <row r="145" spans="1:31" s="64" customFormat="1" x14ac:dyDescent="0.25">
      <c r="A145" s="59" t="s">
        <v>211</v>
      </c>
      <c r="B145" s="59" t="s">
        <v>561</v>
      </c>
      <c r="C145" s="60">
        <v>43523</v>
      </c>
      <c r="D145" s="31">
        <v>70</v>
      </c>
      <c r="E145" s="59" t="s">
        <v>915</v>
      </c>
      <c r="F145" s="59"/>
      <c r="G145" s="59"/>
      <c r="H145" s="59"/>
      <c r="I145" s="61"/>
      <c r="J145" s="59"/>
      <c r="K145" s="59" t="s">
        <v>46</v>
      </c>
      <c r="L145" s="61"/>
      <c r="M145" s="61"/>
      <c r="N145" s="60"/>
      <c r="O145" s="59"/>
      <c r="P145" s="59"/>
      <c r="Q145" s="59"/>
      <c r="R145" s="59"/>
      <c r="S145" s="59"/>
      <c r="T145" s="59"/>
      <c r="U145" s="59"/>
      <c r="V145" s="59"/>
      <c r="W145" s="61" t="s">
        <v>6</v>
      </c>
      <c r="X145" s="31">
        <v>70</v>
      </c>
      <c r="Y145" s="62"/>
      <c r="Z145" s="76">
        <f t="shared" si="2"/>
      </c>
      <c r="AA145" s="62" t="s">
        <v>47</v>
      </c>
      <c r="AB145" s="63"/>
      <c r="AC145" s="63"/>
      <c r="AD145" s="63"/>
      <c r="AE145" s="61" t="s">
        <v>48</v>
      </c>
    </row>
    <row r="146" spans="1:31" s="64" customFormat="1" x14ac:dyDescent="0.25">
      <c r="A146" s="59" t="s">
        <v>212</v>
      </c>
      <c r="B146" s="59" t="s">
        <v>562</v>
      </c>
      <c r="C146" s="60">
        <v>44070</v>
      </c>
      <c r="D146" s="31">
        <v>342.44</v>
      </c>
      <c r="E146" s="59" t="s">
        <v>916</v>
      </c>
      <c r="F146" s="59"/>
      <c r="G146" s="59"/>
      <c r="H146" s="59"/>
      <c r="I146" s="61"/>
      <c r="J146" s="59"/>
      <c r="K146" s="59" t="s">
        <v>55</v>
      </c>
      <c r="L146" s="61"/>
      <c r="M146" s="61"/>
      <c r="N146" s="60"/>
      <c r="O146" s="59"/>
      <c r="P146" s="59"/>
      <c r="Q146" s="59"/>
      <c r="R146" s="59"/>
      <c r="S146" s="59"/>
      <c r="T146" s="59"/>
      <c r="U146" s="59"/>
      <c r="V146" s="59"/>
      <c r="W146" s="61" t="s">
        <v>6</v>
      </c>
      <c r="X146" s="31">
        <v>342.44</v>
      </c>
      <c r="Y146" s="62"/>
      <c r="Z146" s="76">
        <f t="shared" si="2"/>
      </c>
      <c r="AA146" s="62" t="s">
        <v>47</v>
      </c>
      <c r="AB146" s="63"/>
      <c r="AC146" s="63"/>
      <c r="AD146" s="63"/>
      <c r="AE146" s="61" t="s">
        <v>48</v>
      </c>
    </row>
    <row r="147" spans="1:31" s="64" customFormat="1" x14ac:dyDescent="0.25">
      <c r="A147" s="59" t="s">
        <v>213</v>
      </c>
      <c r="B147" s="59" t="s">
        <v>563</v>
      </c>
      <c r="C147" s="60">
        <v>43521</v>
      </c>
      <c r="D147" s="31">
        <v>162</v>
      </c>
      <c r="E147" s="59" t="s">
        <v>917</v>
      </c>
      <c r="F147" s="59"/>
      <c r="G147" s="59"/>
      <c r="H147" s="59"/>
      <c r="I147" s="61"/>
      <c r="J147" s="59"/>
      <c r="K147" s="59" t="s">
        <v>46</v>
      </c>
      <c r="L147" s="61"/>
      <c r="M147" s="61"/>
      <c r="N147" s="60"/>
      <c r="O147" s="59"/>
      <c r="P147" s="59"/>
      <c r="Q147" s="59"/>
      <c r="R147" s="59"/>
      <c r="S147" s="59"/>
      <c r="T147" s="59"/>
      <c r="U147" s="59"/>
      <c r="V147" s="59"/>
      <c r="W147" s="61" t="s">
        <v>6</v>
      </c>
      <c r="X147" s="31">
        <v>162</v>
      </c>
      <c r="Y147" s="62"/>
      <c r="Z147" s="76">
        <f t="shared" si="2"/>
      </c>
      <c r="AA147" s="62" t="s">
        <v>47</v>
      </c>
      <c r="AB147" s="63"/>
      <c r="AC147" s="63"/>
      <c r="AD147" s="63"/>
      <c r="AE147" s="61" t="s">
        <v>48</v>
      </c>
    </row>
    <row r="148" spans="1:31" s="64" customFormat="1" x14ac:dyDescent="0.25">
      <c r="A148" s="59" t="s">
        <v>214</v>
      </c>
      <c r="B148" s="59" t="s">
        <v>564</v>
      </c>
      <c r="C148" s="60">
        <v>43516</v>
      </c>
      <c r="D148" s="31">
        <v>79.14</v>
      </c>
      <c r="E148" s="59" t="s">
        <v>918</v>
      </c>
      <c r="F148" s="59"/>
      <c r="G148" s="59"/>
      <c r="H148" s="59"/>
      <c r="I148" s="61"/>
      <c r="J148" s="59"/>
      <c r="K148" s="59" t="s">
        <v>46</v>
      </c>
      <c r="L148" s="61"/>
      <c r="M148" s="61"/>
      <c r="N148" s="60"/>
      <c r="O148" s="59"/>
      <c r="P148" s="59"/>
      <c r="Q148" s="59"/>
      <c r="R148" s="59"/>
      <c r="S148" s="59"/>
      <c r="T148" s="59"/>
      <c r="U148" s="59"/>
      <c r="V148" s="59"/>
      <c r="W148" s="61" t="s">
        <v>6</v>
      </c>
      <c r="X148" s="31">
        <v>79.14</v>
      </c>
      <c r="Y148" s="62"/>
      <c r="Z148" s="76">
        <f t="shared" si="2"/>
      </c>
      <c r="AA148" s="62" t="s">
        <v>47</v>
      </c>
      <c r="AB148" s="63"/>
      <c r="AC148" s="63"/>
      <c r="AD148" s="63"/>
      <c r="AE148" s="61" t="s">
        <v>48</v>
      </c>
    </row>
    <row r="149" spans="1:31" s="64" customFormat="1" x14ac:dyDescent="0.25">
      <c r="A149" s="59" t="s">
        <v>215</v>
      </c>
      <c r="B149" s="59" t="s">
        <v>565</v>
      </c>
      <c r="C149" s="60">
        <v>43516</v>
      </c>
      <c r="D149" s="31">
        <v>75.25</v>
      </c>
      <c r="E149" s="59" t="s">
        <v>919</v>
      </c>
      <c r="F149" s="59"/>
      <c r="G149" s="59"/>
      <c r="H149" s="59"/>
      <c r="I149" s="61"/>
      <c r="J149" s="59"/>
      <c r="K149" s="59" t="s">
        <v>46</v>
      </c>
      <c r="L149" s="61"/>
      <c r="M149" s="61"/>
      <c r="N149" s="60"/>
      <c r="O149" s="59"/>
      <c r="P149" s="59"/>
      <c r="Q149" s="59"/>
      <c r="R149" s="59"/>
      <c r="S149" s="59"/>
      <c r="T149" s="59"/>
      <c r="U149" s="59"/>
      <c r="V149" s="59"/>
      <c r="W149" s="61" t="s">
        <v>6</v>
      </c>
      <c r="X149" s="31">
        <v>75.25</v>
      </c>
      <c r="Y149" s="62"/>
      <c r="Z149" s="76">
        <f t="shared" si="2"/>
      </c>
      <c r="AA149" s="62" t="s">
        <v>47</v>
      </c>
      <c r="AB149" s="63"/>
      <c r="AC149" s="63"/>
      <c r="AD149" s="63"/>
      <c r="AE149" s="61" t="s">
        <v>48</v>
      </c>
    </row>
    <row r="150" spans="1:31" s="64" customFormat="1" x14ac:dyDescent="0.25">
      <c r="A150" s="59" t="s">
        <v>216</v>
      </c>
      <c r="B150" s="59" t="s">
        <v>566</v>
      </c>
      <c r="C150" s="60">
        <v>44330</v>
      </c>
      <c r="D150" s="31">
        <v>3754.59</v>
      </c>
      <c r="E150" s="59" t="s">
        <v>920</v>
      </c>
      <c r="F150" s="59"/>
      <c r="G150" s="59"/>
      <c r="H150" s="59"/>
      <c r="I150" s="61"/>
      <c r="J150" s="59"/>
      <c r="K150" s="59" t="s">
        <v>59</v>
      </c>
      <c r="L150" s="61"/>
      <c r="M150" s="61"/>
      <c r="N150" s="60"/>
      <c r="O150" s="59"/>
      <c r="P150" s="59"/>
      <c r="Q150" s="59"/>
      <c r="R150" s="59"/>
      <c r="S150" s="59"/>
      <c r="T150" s="59"/>
      <c r="U150" s="59"/>
      <c r="V150" s="59"/>
      <c r="W150" s="61" t="s">
        <v>6</v>
      </c>
      <c r="X150" s="31">
        <v>3754.59</v>
      </c>
      <c r="Y150" s="62"/>
      <c r="Z150" s="76">
        <f t="shared" si="2"/>
      </c>
      <c r="AA150" s="62" t="s">
        <v>47</v>
      </c>
      <c r="AB150" s="63"/>
      <c r="AC150" s="63"/>
      <c r="AD150" s="63"/>
      <c r="AE150" s="61" t="s">
        <v>48</v>
      </c>
    </row>
    <row r="151" spans="1:31" s="64" customFormat="1" x14ac:dyDescent="0.25">
      <c r="A151" s="59" t="s">
        <v>217</v>
      </c>
      <c r="B151" s="59" t="s">
        <v>567</v>
      </c>
      <c r="C151" s="60">
        <v>44329</v>
      </c>
      <c r="D151" s="31">
        <v>82872.61</v>
      </c>
      <c r="E151" s="59" t="s">
        <v>921</v>
      </c>
      <c r="F151" s="59"/>
      <c r="G151" s="59"/>
      <c r="H151" s="59"/>
      <c r="I151" s="61"/>
      <c r="J151" s="59"/>
      <c r="K151" s="59" t="s">
        <v>59</v>
      </c>
      <c r="L151" s="61"/>
      <c r="M151" s="61"/>
      <c r="N151" s="60"/>
      <c r="O151" s="59"/>
      <c r="P151" s="59"/>
      <c r="Q151" s="59"/>
      <c r="R151" s="59"/>
      <c r="S151" s="59"/>
      <c r="T151" s="59"/>
      <c r="U151" s="59"/>
      <c r="V151" s="59"/>
      <c r="W151" s="61" t="s">
        <v>6</v>
      </c>
      <c r="X151" s="31">
        <v>82872.61</v>
      </c>
      <c r="Y151" s="62" t="s">
        <v>52</v>
      </c>
      <c r="Z151" s="76">
        <f t="shared" si="2"/>
      </c>
      <c r="AA151" s="62" t="s">
        <v>10</v>
      </c>
      <c r="AB151" s="63"/>
      <c r="AC151" s="63"/>
      <c r="AD151" s="63"/>
      <c r="AE151" s="61" t="s">
        <v>48</v>
      </c>
    </row>
    <row r="152" spans="1:31" s="64" customFormat="1" x14ac:dyDescent="0.25">
      <c r="A152" s="59" t="s">
        <v>218</v>
      </c>
      <c r="B152" s="59" t="s">
        <v>568</v>
      </c>
      <c r="C152" s="60">
        <v>43507</v>
      </c>
      <c r="D152" s="31">
        <v>39.17</v>
      </c>
      <c r="E152" s="59" t="s">
        <v>922</v>
      </c>
      <c r="F152" s="59"/>
      <c r="G152" s="59"/>
      <c r="H152" s="59"/>
      <c r="I152" s="61"/>
      <c r="J152" s="59"/>
      <c r="K152" s="59" t="s">
        <v>46</v>
      </c>
      <c r="L152" s="61"/>
      <c r="M152" s="61"/>
      <c r="N152" s="60"/>
      <c r="O152" s="59"/>
      <c r="P152" s="59"/>
      <c r="Q152" s="59"/>
      <c r="R152" s="59"/>
      <c r="S152" s="59"/>
      <c r="T152" s="59"/>
      <c r="U152" s="59"/>
      <c r="V152" s="59"/>
      <c r="W152" s="61" t="s">
        <v>6</v>
      </c>
      <c r="X152" s="31">
        <v>39.17</v>
      </c>
      <c r="Y152" s="62"/>
      <c r="Z152" s="76">
        <f t="shared" si="2"/>
      </c>
      <c r="AA152" s="62" t="s">
        <v>47</v>
      </c>
      <c r="AB152" s="63"/>
      <c r="AC152" s="63"/>
      <c r="AD152" s="63"/>
      <c r="AE152" s="61" t="s">
        <v>48</v>
      </c>
    </row>
    <row r="153" spans="1:31" s="64" customFormat="1" x14ac:dyDescent="0.25">
      <c r="A153" s="59" t="s">
        <v>219</v>
      </c>
      <c r="B153" s="59" t="s">
        <v>569</v>
      </c>
      <c r="C153" s="60">
        <v>43504</v>
      </c>
      <c r="D153" s="31">
        <v>2921.52</v>
      </c>
      <c r="E153" s="59" t="s">
        <v>923</v>
      </c>
      <c r="F153" s="59"/>
      <c r="G153" s="59"/>
      <c r="H153" s="59"/>
      <c r="I153" s="61"/>
      <c r="J153" s="59"/>
      <c r="K153" s="59" t="s">
        <v>46</v>
      </c>
      <c r="L153" s="61"/>
      <c r="M153" s="61"/>
      <c r="N153" s="60"/>
      <c r="O153" s="59"/>
      <c r="P153" s="59"/>
      <c r="Q153" s="59"/>
      <c r="R153" s="59"/>
      <c r="S153" s="59"/>
      <c r="T153" s="59"/>
      <c r="U153" s="59"/>
      <c r="V153" s="59"/>
      <c r="W153" s="61" t="s">
        <v>6</v>
      </c>
      <c r="X153" s="31">
        <v>2921.52</v>
      </c>
      <c r="Y153" s="62"/>
      <c r="Z153" s="76">
        <f t="shared" si="2"/>
      </c>
      <c r="AA153" s="62" t="s">
        <v>47</v>
      </c>
      <c r="AB153" s="63"/>
      <c r="AC153" s="63"/>
      <c r="AD153" s="63"/>
      <c r="AE153" s="61" t="s">
        <v>48</v>
      </c>
    </row>
    <row r="154" spans="1:31" s="64" customFormat="1" x14ac:dyDescent="0.25">
      <c r="A154" s="59" t="s">
        <v>220</v>
      </c>
      <c r="B154" s="59" t="s">
        <v>570</v>
      </c>
      <c r="C154" s="60">
        <v>43504</v>
      </c>
      <c r="D154" s="31">
        <v>1026.73</v>
      </c>
      <c r="E154" s="59" t="s">
        <v>924</v>
      </c>
      <c r="F154" s="59"/>
      <c r="G154" s="59"/>
      <c r="H154" s="59"/>
      <c r="I154" s="61"/>
      <c r="J154" s="59"/>
      <c r="K154" s="59" t="s">
        <v>46</v>
      </c>
      <c r="L154" s="61"/>
      <c r="M154" s="61"/>
      <c r="N154" s="60"/>
      <c r="O154" s="59"/>
      <c r="P154" s="59"/>
      <c r="Q154" s="59"/>
      <c r="R154" s="59"/>
      <c r="S154" s="59"/>
      <c r="T154" s="59"/>
      <c r="U154" s="59"/>
      <c r="V154" s="59"/>
      <c r="W154" s="61" t="s">
        <v>6</v>
      </c>
      <c r="X154" s="31">
        <v>1026.73</v>
      </c>
      <c r="Y154" s="62"/>
      <c r="Z154" s="76">
        <f t="shared" si="2"/>
      </c>
      <c r="AA154" s="62" t="s">
        <v>47</v>
      </c>
      <c r="AB154" s="63"/>
      <c r="AC154" s="63"/>
      <c r="AD154" s="63"/>
      <c r="AE154" s="61" t="s">
        <v>48</v>
      </c>
    </row>
    <row r="155" spans="1:31" s="64" customFormat="1" x14ac:dyDescent="0.25">
      <c r="A155" s="59" t="s">
        <v>221</v>
      </c>
      <c r="B155" s="59" t="s">
        <v>571</v>
      </c>
      <c r="C155" s="60">
        <v>43504</v>
      </c>
      <c r="D155" s="31">
        <v>268.13</v>
      </c>
      <c r="E155" s="59" t="s">
        <v>925</v>
      </c>
      <c r="F155" s="59"/>
      <c r="G155" s="59"/>
      <c r="H155" s="59"/>
      <c r="I155" s="61"/>
      <c r="J155" s="59"/>
      <c r="K155" s="59" t="s">
        <v>46</v>
      </c>
      <c r="L155" s="61"/>
      <c r="M155" s="61"/>
      <c r="N155" s="60"/>
      <c r="O155" s="59"/>
      <c r="P155" s="59"/>
      <c r="Q155" s="59"/>
      <c r="R155" s="59"/>
      <c r="S155" s="59"/>
      <c r="T155" s="59"/>
      <c r="U155" s="59"/>
      <c r="V155" s="59"/>
      <c r="W155" s="61" t="s">
        <v>6</v>
      </c>
      <c r="X155" s="31">
        <v>268.13</v>
      </c>
      <c r="Y155" s="62"/>
      <c r="Z155" s="76">
        <f t="shared" si="2"/>
      </c>
      <c r="AA155" s="62" t="s">
        <v>47</v>
      </c>
      <c r="AB155" s="63"/>
      <c r="AC155" s="63"/>
      <c r="AD155" s="63"/>
      <c r="AE155" s="61" t="s">
        <v>48</v>
      </c>
    </row>
    <row r="156" spans="1:31" s="64" customFormat="1" x14ac:dyDescent="0.25">
      <c r="A156" s="59" t="s">
        <v>222</v>
      </c>
      <c r="B156" s="59" t="s">
        <v>572</v>
      </c>
      <c r="C156" s="60">
        <v>43501</v>
      </c>
      <c r="D156" s="31">
        <v>425.48</v>
      </c>
      <c r="E156" s="59" t="s">
        <v>926</v>
      </c>
      <c r="F156" s="59"/>
      <c r="G156" s="59"/>
      <c r="H156" s="59"/>
      <c r="I156" s="61"/>
      <c r="J156" s="59"/>
      <c r="K156" s="59" t="s">
        <v>46</v>
      </c>
      <c r="L156" s="61"/>
      <c r="M156" s="61"/>
      <c r="N156" s="60"/>
      <c r="O156" s="59"/>
      <c r="P156" s="59"/>
      <c r="Q156" s="59"/>
      <c r="R156" s="59"/>
      <c r="S156" s="59"/>
      <c r="T156" s="59"/>
      <c r="U156" s="59"/>
      <c r="V156" s="59"/>
      <c r="W156" s="61" t="s">
        <v>6</v>
      </c>
      <c r="X156" s="31">
        <v>425.48</v>
      </c>
      <c r="Y156" s="62" t="s">
        <v>52</v>
      </c>
      <c r="Z156" s="76">
        <f t="shared" si="2"/>
      </c>
      <c r="AA156" s="62" t="s">
        <v>10</v>
      </c>
      <c r="AB156" s="63"/>
      <c r="AC156" s="63"/>
      <c r="AD156" s="63"/>
      <c r="AE156" s="61" t="s">
        <v>48</v>
      </c>
    </row>
    <row r="157" spans="1:31" s="64" customFormat="1" x14ac:dyDescent="0.25">
      <c r="A157" s="59" t="s">
        <v>223</v>
      </c>
      <c r="B157" s="59" t="s">
        <v>573</v>
      </c>
      <c r="C157" s="60">
        <v>43501</v>
      </c>
      <c r="D157" s="31">
        <v>81</v>
      </c>
      <c r="E157" s="59" t="s">
        <v>927</v>
      </c>
      <c r="F157" s="59"/>
      <c r="G157" s="59"/>
      <c r="H157" s="59"/>
      <c r="I157" s="61"/>
      <c r="J157" s="59"/>
      <c r="K157" s="59" t="s">
        <v>46</v>
      </c>
      <c r="L157" s="61"/>
      <c r="M157" s="61"/>
      <c r="N157" s="60"/>
      <c r="O157" s="59"/>
      <c r="P157" s="59"/>
      <c r="Q157" s="59"/>
      <c r="R157" s="59"/>
      <c r="S157" s="59"/>
      <c r="T157" s="59"/>
      <c r="U157" s="59"/>
      <c r="V157" s="59"/>
      <c r="W157" s="61" t="s">
        <v>6</v>
      </c>
      <c r="X157" s="31">
        <v>81</v>
      </c>
      <c r="Y157" s="62"/>
      <c r="Z157" s="76">
        <f t="shared" si="2"/>
      </c>
      <c r="AA157" s="62" t="s">
        <v>47</v>
      </c>
      <c r="AB157" s="63"/>
      <c r="AC157" s="63"/>
      <c r="AD157" s="63"/>
      <c r="AE157" s="61" t="s">
        <v>48</v>
      </c>
    </row>
    <row r="158" spans="1:31" s="64" customFormat="1" x14ac:dyDescent="0.25">
      <c r="A158" s="59" t="s">
        <v>224</v>
      </c>
      <c r="B158" s="59" t="s">
        <v>574</v>
      </c>
      <c r="C158" s="60">
        <v>43587</v>
      </c>
      <c r="D158" s="31">
        <v>5851.31</v>
      </c>
      <c r="E158" s="59" t="s">
        <v>928</v>
      </c>
      <c r="F158" s="59"/>
      <c r="G158" s="59"/>
      <c r="H158" s="59"/>
      <c r="I158" s="61"/>
      <c r="J158" s="59"/>
      <c r="K158" s="59" t="s">
        <v>46</v>
      </c>
      <c r="L158" s="61"/>
      <c r="M158" s="61"/>
      <c r="N158" s="60"/>
      <c r="O158" s="59"/>
      <c r="P158" s="59"/>
      <c r="Q158" s="59"/>
      <c r="R158" s="59"/>
      <c r="S158" s="59"/>
      <c r="T158" s="59"/>
      <c r="U158" s="59"/>
      <c r="V158" s="59"/>
      <c r="W158" s="61" t="s">
        <v>6</v>
      </c>
      <c r="X158" s="31">
        <v>5851.31</v>
      </c>
      <c r="Y158" s="62"/>
      <c r="Z158" s="76">
        <f t="shared" si="2"/>
      </c>
      <c r="AA158" s="62" t="s">
        <v>47</v>
      </c>
      <c r="AB158" s="63"/>
      <c r="AC158" s="63"/>
      <c r="AD158" s="63"/>
      <c r="AE158" s="61" t="s">
        <v>48</v>
      </c>
    </row>
    <row r="159" spans="1:31" s="64" customFormat="1" x14ac:dyDescent="0.25">
      <c r="A159" s="59" t="s">
        <v>225</v>
      </c>
      <c r="B159" s="59" t="s">
        <v>575</v>
      </c>
      <c r="C159" s="60">
        <v>43495</v>
      </c>
      <c r="D159" s="31">
        <v>700</v>
      </c>
      <c r="E159" s="59" t="s">
        <v>929</v>
      </c>
      <c r="F159" s="59"/>
      <c r="G159" s="59"/>
      <c r="H159" s="59"/>
      <c r="I159" s="61"/>
      <c r="J159" s="59"/>
      <c r="K159" s="59" t="s">
        <v>46</v>
      </c>
      <c r="L159" s="61"/>
      <c r="M159" s="61"/>
      <c r="N159" s="60"/>
      <c r="O159" s="59"/>
      <c r="P159" s="59"/>
      <c r="Q159" s="59"/>
      <c r="R159" s="59"/>
      <c r="S159" s="59"/>
      <c r="T159" s="59"/>
      <c r="U159" s="59"/>
      <c r="V159" s="59"/>
      <c r="W159" s="61" t="s">
        <v>6</v>
      </c>
      <c r="X159" s="31">
        <v>700</v>
      </c>
      <c r="Y159" s="62"/>
      <c r="Z159" s="76">
        <f t="shared" si="2"/>
      </c>
      <c r="AA159" s="62" t="s">
        <v>47</v>
      </c>
      <c r="AB159" s="63"/>
      <c r="AC159" s="63"/>
      <c r="AD159" s="63"/>
      <c r="AE159" s="61" t="s">
        <v>48</v>
      </c>
    </row>
    <row r="160" spans="1:31" s="64" customFormat="1" x14ac:dyDescent="0.25">
      <c r="A160" s="59" t="s">
        <v>226</v>
      </c>
      <c r="B160" s="59" t="s">
        <v>576</v>
      </c>
      <c r="C160" s="60">
        <v>44044</v>
      </c>
      <c r="D160" s="31">
        <v>278.3</v>
      </c>
      <c r="E160" s="59" t="s">
        <v>930</v>
      </c>
      <c r="F160" s="59"/>
      <c r="G160" s="59"/>
      <c r="H160" s="59"/>
      <c r="I160" s="61"/>
      <c r="J160" s="59"/>
      <c r="K160" s="59" t="s">
        <v>55</v>
      </c>
      <c r="L160" s="61"/>
      <c r="M160" s="61"/>
      <c r="N160" s="60"/>
      <c r="O160" s="59"/>
      <c r="P160" s="59"/>
      <c r="Q160" s="59"/>
      <c r="R160" s="59"/>
      <c r="S160" s="59"/>
      <c r="T160" s="59"/>
      <c r="U160" s="59"/>
      <c r="V160" s="59"/>
      <c r="W160" s="61" t="s">
        <v>63</v>
      </c>
      <c r="X160" s="31">
        <v>278.3</v>
      </c>
      <c r="Y160" s="62"/>
      <c r="Z160" s="76">
        <f t="shared" si="2"/>
      </c>
      <c r="AA160" s="62" t="s">
        <v>47</v>
      </c>
      <c r="AB160" s="63"/>
      <c r="AC160" s="63"/>
      <c r="AD160" s="63"/>
      <c r="AE160" s="61" t="s">
        <v>48</v>
      </c>
    </row>
    <row r="161" spans="1:31" s="64" customFormat="1" x14ac:dyDescent="0.25">
      <c r="A161" s="59" t="s">
        <v>227</v>
      </c>
      <c r="B161" s="59" t="s">
        <v>577</v>
      </c>
      <c r="C161" s="60">
        <v>44313</v>
      </c>
      <c r="D161" s="31">
        <v>80043.53</v>
      </c>
      <c r="E161" s="59" t="s">
        <v>931</v>
      </c>
      <c r="F161" s="59"/>
      <c r="G161" s="59"/>
      <c r="H161" s="59"/>
      <c r="I161" s="61"/>
      <c r="J161" s="59"/>
      <c r="K161" s="59" t="s">
        <v>59</v>
      </c>
      <c r="L161" s="61"/>
      <c r="M161" s="61"/>
      <c r="N161" s="60"/>
      <c r="O161" s="59"/>
      <c r="P161" s="59"/>
      <c r="Q161" s="59"/>
      <c r="R161" s="59"/>
      <c r="S161" s="59"/>
      <c r="T161" s="59"/>
      <c r="U161" s="59"/>
      <c r="V161" s="59"/>
      <c r="W161" s="61" t="s">
        <v>6</v>
      </c>
      <c r="X161" s="31">
        <v>80043.53</v>
      </c>
      <c r="Y161" s="62" t="s">
        <v>52</v>
      </c>
      <c r="Z161" s="76">
        <f t="shared" si="2"/>
      </c>
      <c r="AA161" s="62" t="s">
        <v>10</v>
      </c>
      <c r="AB161" s="63"/>
      <c r="AC161" s="63"/>
      <c r="AD161" s="63"/>
      <c r="AE161" s="61" t="s">
        <v>48</v>
      </c>
    </row>
    <row r="162" spans="1:31" s="64" customFormat="1" x14ac:dyDescent="0.25">
      <c r="A162" s="59" t="s">
        <v>228</v>
      </c>
      <c r="B162" s="59" t="s">
        <v>578</v>
      </c>
      <c r="C162" s="60">
        <v>44309</v>
      </c>
      <c r="D162" s="31">
        <v>2368.9299999999998</v>
      </c>
      <c r="E162" s="59" t="s">
        <v>932</v>
      </c>
      <c r="F162" s="59"/>
      <c r="G162" s="59"/>
      <c r="H162" s="59"/>
      <c r="I162" s="61"/>
      <c r="J162" s="59"/>
      <c r="K162" s="59" t="s">
        <v>59</v>
      </c>
      <c r="L162" s="61"/>
      <c r="M162" s="61"/>
      <c r="N162" s="60"/>
      <c r="O162" s="59"/>
      <c r="P162" s="59"/>
      <c r="Q162" s="59"/>
      <c r="R162" s="59"/>
      <c r="S162" s="59"/>
      <c r="T162" s="59"/>
      <c r="U162" s="59"/>
      <c r="V162" s="59"/>
      <c r="W162" s="61" t="s">
        <v>6</v>
      </c>
      <c r="X162" s="31">
        <v>2368.9299999999998</v>
      </c>
      <c r="Y162" s="62"/>
      <c r="Z162" s="76">
        <f t="shared" si="2"/>
      </c>
      <c r="AA162" s="62" t="s">
        <v>47</v>
      </c>
      <c r="AB162" s="63"/>
      <c r="AC162" s="65"/>
      <c r="AD162" s="63"/>
      <c r="AE162" s="61" t="s">
        <v>48</v>
      </c>
    </row>
    <row r="163" spans="1:31" s="64" customFormat="1" x14ac:dyDescent="0.25">
      <c r="A163" s="59" t="s">
        <v>229</v>
      </c>
      <c r="B163" s="59" t="s">
        <v>579</v>
      </c>
      <c r="C163" s="60">
        <v>44307</v>
      </c>
      <c r="D163" s="31">
        <v>177.83</v>
      </c>
      <c r="E163" s="59" t="s">
        <v>933</v>
      </c>
      <c r="F163" s="59"/>
      <c r="G163" s="59"/>
      <c r="H163" s="59"/>
      <c r="I163" s="61"/>
      <c r="J163" s="59"/>
      <c r="K163" s="59" t="s">
        <v>59</v>
      </c>
      <c r="L163" s="61"/>
      <c r="M163" s="61"/>
      <c r="N163" s="60"/>
      <c r="O163" s="59"/>
      <c r="P163" s="59"/>
      <c r="Q163" s="59"/>
      <c r="R163" s="59"/>
      <c r="S163" s="59"/>
      <c r="T163" s="59"/>
      <c r="U163" s="59"/>
      <c r="V163" s="59"/>
      <c r="W163" s="61" t="s">
        <v>63</v>
      </c>
      <c r="X163" s="31">
        <v>177.83</v>
      </c>
      <c r="Y163" s="62"/>
      <c r="Z163" s="76">
        <f t="shared" si="2"/>
      </c>
      <c r="AA163" s="62" t="s">
        <v>47</v>
      </c>
      <c r="AB163" s="63"/>
      <c r="AC163" s="65"/>
      <c r="AD163" s="63"/>
      <c r="AE163" s="61" t="s">
        <v>48</v>
      </c>
    </row>
    <row r="164" spans="1:31" s="64" customFormat="1" x14ac:dyDescent="0.25">
      <c r="A164" s="59" t="s">
        <v>230</v>
      </c>
      <c r="B164" s="59" t="s">
        <v>580</v>
      </c>
      <c r="C164" s="60">
        <v>43847</v>
      </c>
      <c r="D164" s="31">
        <v>834.29</v>
      </c>
      <c r="E164" s="59" t="s">
        <v>934</v>
      </c>
      <c r="F164" s="59"/>
      <c r="G164" s="59"/>
      <c r="H164" s="59"/>
      <c r="I164" s="61"/>
      <c r="J164" s="59"/>
      <c r="K164" s="59" t="s">
        <v>55</v>
      </c>
      <c r="L164" s="61"/>
      <c r="M164" s="61"/>
      <c r="N164" s="60"/>
      <c r="O164" s="59"/>
      <c r="P164" s="59"/>
      <c r="Q164" s="59"/>
      <c r="R164" s="59"/>
      <c r="S164" s="59"/>
      <c r="T164" s="59"/>
      <c r="U164" s="59"/>
      <c r="V164" s="59"/>
      <c r="W164" s="61" t="s">
        <v>6</v>
      </c>
      <c r="X164" s="31">
        <v>834.29</v>
      </c>
      <c r="Y164" s="62"/>
      <c r="Z164" s="76">
        <f t="shared" si="2"/>
      </c>
      <c r="AA164" s="62" t="s">
        <v>47</v>
      </c>
      <c r="AB164" s="63"/>
      <c r="AC164" s="65"/>
      <c r="AD164" s="63"/>
      <c r="AE164" s="61" t="s">
        <v>48</v>
      </c>
    </row>
    <row r="165" spans="1:31" s="64" customFormat="1" x14ac:dyDescent="0.25">
      <c r="A165" s="59" t="s">
        <v>231</v>
      </c>
      <c r="B165" s="59" t="s">
        <v>581</v>
      </c>
      <c r="C165" s="60">
        <v>43482</v>
      </c>
      <c r="D165" s="31">
        <v>64.069999999999993</v>
      </c>
      <c r="E165" s="59" t="s">
        <v>935</v>
      </c>
      <c r="F165" s="59"/>
      <c r="G165" s="59"/>
      <c r="H165" s="59"/>
      <c r="I165" s="61"/>
      <c r="J165" s="59"/>
      <c r="K165" s="59" t="s">
        <v>46</v>
      </c>
      <c r="L165" s="61"/>
      <c r="M165" s="61"/>
      <c r="N165" s="60"/>
      <c r="O165" s="59"/>
      <c r="P165" s="59"/>
      <c r="Q165" s="59"/>
      <c r="R165" s="59"/>
      <c r="S165" s="59"/>
      <c r="T165" s="59"/>
      <c r="U165" s="59"/>
      <c r="V165" s="59"/>
      <c r="W165" s="61" t="s">
        <v>6</v>
      </c>
      <c r="X165" s="31">
        <v>64.069999999999993</v>
      </c>
      <c r="Y165" s="62"/>
      <c r="Z165" s="76">
        <f t="shared" si="2"/>
      </c>
      <c r="AA165" s="62" t="s">
        <v>47</v>
      </c>
      <c r="AB165" s="63"/>
      <c r="AC165" s="65"/>
      <c r="AD165" s="63"/>
      <c r="AE165" s="61" t="s">
        <v>48</v>
      </c>
    </row>
    <row r="166" spans="1:31" s="64" customFormat="1" x14ac:dyDescent="0.25">
      <c r="A166" s="59" t="s">
        <v>232</v>
      </c>
      <c r="B166" s="59" t="s">
        <v>582</v>
      </c>
      <c r="C166" s="60">
        <v>43571</v>
      </c>
      <c r="D166" s="31">
        <v>2339.79</v>
      </c>
      <c r="E166" s="59" t="s">
        <v>936</v>
      </c>
      <c r="F166" s="59"/>
      <c r="G166" s="59"/>
      <c r="H166" s="59"/>
      <c r="I166" s="61"/>
      <c r="J166" s="59"/>
      <c r="K166" s="59" t="s">
        <v>46</v>
      </c>
      <c r="L166" s="61"/>
      <c r="M166" s="61"/>
      <c r="N166" s="60"/>
      <c r="O166" s="59"/>
      <c r="P166" s="59"/>
      <c r="Q166" s="59"/>
      <c r="R166" s="59"/>
      <c r="S166" s="59"/>
      <c r="T166" s="59"/>
      <c r="U166" s="59"/>
      <c r="V166" s="59"/>
      <c r="W166" s="61" t="s">
        <v>6</v>
      </c>
      <c r="X166" s="31">
        <v>2339.79</v>
      </c>
      <c r="Y166" s="62"/>
      <c r="Z166" s="76">
        <f t="shared" si="2"/>
      </c>
      <c r="AA166" s="62" t="s">
        <v>47</v>
      </c>
      <c r="AB166" s="63"/>
      <c r="AC166" s="65"/>
      <c r="AD166" s="63"/>
      <c r="AE166" s="61" t="s">
        <v>48</v>
      </c>
    </row>
    <row r="167" spans="1:31" s="64" customFormat="1" x14ac:dyDescent="0.25">
      <c r="A167" s="59" t="s">
        <v>233</v>
      </c>
      <c r="B167" s="59" t="s">
        <v>583</v>
      </c>
      <c r="C167" s="60">
        <v>43571</v>
      </c>
      <c r="D167" s="31">
        <v>756</v>
      </c>
      <c r="E167" s="59" t="s">
        <v>937</v>
      </c>
      <c r="F167" s="59"/>
      <c r="G167" s="59"/>
      <c r="H167" s="59"/>
      <c r="I167" s="61"/>
      <c r="J167" s="59"/>
      <c r="K167" s="59" t="s">
        <v>46</v>
      </c>
      <c r="L167" s="61"/>
      <c r="M167" s="61"/>
      <c r="N167" s="60"/>
      <c r="O167" s="59"/>
      <c r="P167" s="59"/>
      <c r="Q167" s="59"/>
      <c r="R167" s="59"/>
      <c r="S167" s="59"/>
      <c r="T167" s="59"/>
      <c r="U167" s="59"/>
      <c r="V167" s="59"/>
      <c r="W167" s="61" t="s">
        <v>63</v>
      </c>
      <c r="X167" s="31">
        <v>756</v>
      </c>
      <c r="Y167" s="62"/>
      <c r="Z167" s="76">
        <f t="shared" si="2"/>
      </c>
      <c r="AA167" s="62" t="s">
        <v>47</v>
      </c>
      <c r="AB167" s="63"/>
      <c r="AC167" s="65"/>
      <c r="AD167" s="63"/>
      <c r="AE167" s="61" t="s">
        <v>48</v>
      </c>
    </row>
    <row r="168" spans="1:31" s="64" customFormat="1" x14ac:dyDescent="0.25">
      <c r="A168" s="59" t="s">
        <v>234</v>
      </c>
      <c r="B168" s="59" t="s">
        <v>584</v>
      </c>
      <c r="C168" s="60">
        <v>43476</v>
      </c>
      <c r="D168" s="31">
        <v>450.25</v>
      </c>
      <c r="E168" s="59" t="s">
        <v>938</v>
      </c>
      <c r="F168" s="59"/>
      <c r="G168" s="59"/>
      <c r="H168" s="59"/>
      <c r="I168" s="61"/>
      <c r="J168" s="59"/>
      <c r="K168" s="59" t="s">
        <v>46</v>
      </c>
      <c r="L168" s="61"/>
      <c r="M168" s="61"/>
      <c r="N168" s="60"/>
      <c r="O168" s="59"/>
      <c r="P168" s="59"/>
      <c r="Q168" s="59"/>
      <c r="R168" s="59"/>
      <c r="S168" s="59"/>
      <c r="T168" s="59"/>
      <c r="U168" s="59"/>
      <c r="V168" s="59"/>
      <c r="W168" s="61" t="s">
        <v>6</v>
      </c>
      <c r="X168" s="31">
        <v>450.25</v>
      </c>
      <c r="Y168" s="62"/>
      <c r="Z168" s="76">
        <f t="shared" si="2"/>
      </c>
      <c r="AA168" s="62" t="s">
        <v>47</v>
      </c>
      <c r="AB168" s="63"/>
      <c r="AC168" s="65"/>
      <c r="AD168" s="63"/>
      <c r="AE168" s="61" t="s">
        <v>48</v>
      </c>
    </row>
    <row r="169" spans="1:31" s="64" customFormat="1" x14ac:dyDescent="0.25">
      <c r="A169" s="59" t="s">
        <v>235</v>
      </c>
      <c r="B169" s="59" t="s">
        <v>585</v>
      </c>
      <c r="C169" s="60">
        <v>44014</v>
      </c>
      <c r="D169" s="31">
        <v>115.46</v>
      </c>
      <c r="E169" s="59" t="s">
        <v>939</v>
      </c>
      <c r="F169" s="59"/>
      <c r="G169" s="59"/>
      <c r="H169" s="59"/>
      <c r="I169" s="61"/>
      <c r="J169" s="59"/>
      <c r="K169" s="59" t="s">
        <v>55</v>
      </c>
      <c r="L169" s="61"/>
      <c r="M169" s="61"/>
      <c r="N169" s="60"/>
      <c r="O169" s="59"/>
      <c r="P169" s="59"/>
      <c r="Q169" s="59"/>
      <c r="R169" s="59"/>
      <c r="S169" s="59"/>
      <c r="T169" s="59"/>
      <c r="U169" s="59"/>
      <c r="V169" s="59"/>
      <c r="W169" s="61" t="s">
        <v>6</v>
      </c>
      <c r="X169" s="31">
        <v>115.46</v>
      </c>
      <c r="Y169" s="62"/>
      <c r="Z169" s="76">
        <f t="shared" si="2"/>
      </c>
      <c r="AA169" s="62" t="s">
        <v>47</v>
      </c>
      <c r="AB169" s="63"/>
      <c r="AC169" s="65"/>
      <c r="AD169" s="63"/>
      <c r="AE169" s="61" t="s">
        <v>48</v>
      </c>
    </row>
    <row r="170" spans="1:31" s="64" customFormat="1" x14ac:dyDescent="0.25">
      <c r="A170" s="59" t="s">
        <v>236</v>
      </c>
      <c r="B170" s="59" t="s">
        <v>586</v>
      </c>
      <c r="C170" s="60">
        <v>43556</v>
      </c>
      <c r="D170" s="31">
        <v>1084.17</v>
      </c>
      <c r="E170" s="59" t="s">
        <v>940</v>
      </c>
      <c r="F170" s="59"/>
      <c r="G170" s="59"/>
      <c r="H170" s="59"/>
      <c r="I170" s="61"/>
      <c r="J170" s="59"/>
      <c r="K170" s="59" t="s">
        <v>46</v>
      </c>
      <c r="L170" s="61"/>
      <c r="M170" s="61"/>
      <c r="N170" s="60"/>
      <c r="O170" s="59"/>
      <c r="P170" s="59"/>
      <c r="Q170" s="59"/>
      <c r="R170" s="59"/>
      <c r="S170" s="59"/>
      <c r="T170" s="59"/>
      <c r="U170" s="59"/>
      <c r="V170" s="59"/>
      <c r="W170" s="61" t="s">
        <v>63</v>
      </c>
      <c r="X170" s="31">
        <v>1084.17</v>
      </c>
      <c r="Y170" s="62"/>
      <c r="Z170" s="76">
        <f t="shared" si="2"/>
      </c>
      <c r="AA170" s="62" t="s">
        <v>47</v>
      </c>
      <c r="AB170" s="63"/>
      <c r="AC170" s="65"/>
      <c r="AD170" s="63"/>
      <c r="AE170" s="61" t="s">
        <v>48</v>
      </c>
    </row>
    <row r="171" spans="1:31" s="64" customFormat="1" x14ac:dyDescent="0.25">
      <c r="A171" s="59" t="s">
        <v>237</v>
      </c>
      <c r="B171" s="59" t="s">
        <v>587</v>
      </c>
      <c r="C171" s="60">
        <v>43556</v>
      </c>
      <c r="D171" s="31">
        <v>369.51</v>
      </c>
      <c r="E171" s="59" t="s">
        <v>941</v>
      </c>
      <c r="F171" s="59"/>
      <c r="G171" s="59"/>
      <c r="H171" s="59"/>
      <c r="I171" s="61"/>
      <c r="J171" s="59"/>
      <c r="K171" s="59" t="s">
        <v>46</v>
      </c>
      <c r="L171" s="61"/>
      <c r="M171" s="61"/>
      <c r="N171" s="60"/>
      <c r="O171" s="59"/>
      <c r="P171" s="59"/>
      <c r="Q171" s="59"/>
      <c r="R171" s="59"/>
      <c r="S171" s="59"/>
      <c r="T171" s="59"/>
      <c r="U171" s="59"/>
      <c r="V171" s="59"/>
      <c r="W171" s="61" t="s">
        <v>6</v>
      </c>
      <c r="X171" s="31">
        <v>369.51</v>
      </c>
      <c r="Y171" s="62"/>
      <c r="Z171" s="76">
        <f t="shared" si="2"/>
      </c>
      <c r="AA171" s="62" t="s">
        <v>47</v>
      </c>
      <c r="AB171" s="63"/>
      <c r="AC171" s="65"/>
      <c r="AD171" s="63"/>
      <c r="AE171" s="61" t="s">
        <v>48</v>
      </c>
    </row>
    <row r="172" spans="1:31" s="64" customFormat="1" x14ac:dyDescent="0.25">
      <c r="A172" s="59" t="s">
        <v>238</v>
      </c>
      <c r="B172" s="59" t="s">
        <v>588</v>
      </c>
      <c r="C172" s="60">
        <v>43536</v>
      </c>
      <c r="D172" s="31">
        <v>787</v>
      </c>
      <c r="E172" s="59" t="s">
        <v>942</v>
      </c>
      <c r="F172" s="59"/>
      <c r="G172" s="59"/>
      <c r="H172" s="59"/>
      <c r="I172" s="61"/>
      <c r="J172" s="59"/>
      <c r="K172" s="59" t="s">
        <v>46</v>
      </c>
      <c r="L172" s="61"/>
      <c r="M172" s="61"/>
      <c r="N172" s="60"/>
      <c r="O172" s="59"/>
      <c r="P172" s="59"/>
      <c r="Q172" s="59"/>
      <c r="R172" s="59"/>
      <c r="S172" s="59"/>
      <c r="T172" s="59"/>
      <c r="U172" s="59"/>
      <c r="V172" s="59"/>
      <c r="W172" s="61" t="s">
        <v>6</v>
      </c>
      <c r="X172" s="31">
        <v>787</v>
      </c>
      <c r="Y172" s="62"/>
      <c r="Z172" s="76">
        <f t="shared" si="2"/>
      </c>
      <c r="AA172" s="62" t="s">
        <v>47</v>
      </c>
      <c r="AB172" s="63"/>
      <c r="AC172" s="65"/>
      <c r="AD172" s="63"/>
      <c r="AE172" s="61" t="s">
        <v>48</v>
      </c>
    </row>
    <row r="173" spans="1:31" s="64" customFormat="1" x14ac:dyDescent="0.25">
      <c r="A173" s="59" t="s">
        <v>239</v>
      </c>
      <c r="B173" s="59" t="s">
        <v>589</v>
      </c>
      <c r="C173" s="60">
        <v>44239</v>
      </c>
      <c r="D173" s="31">
        <v>34743.379999999997</v>
      </c>
      <c r="E173" s="59" t="s">
        <v>943</v>
      </c>
      <c r="F173" s="59"/>
      <c r="G173" s="59"/>
      <c r="H173" s="59"/>
      <c r="I173" s="61"/>
      <c r="J173" s="59"/>
      <c r="K173" s="59" t="s">
        <v>59</v>
      </c>
      <c r="L173" s="61"/>
      <c r="M173" s="61"/>
      <c r="N173" s="60"/>
      <c r="O173" s="59"/>
      <c r="P173" s="59"/>
      <c r="Q173" s="59"/>
      <c r="R173" s="59"/>
      <c r="S173" s="59"/>
      <c r="T173" s="59"/>
      <c r="U173" s="59"/>
      <c r="V173" s="59"/>
      <c r="W173" s="61" t="s">
        <v>6</v>
      </c>
      <c r="X173" s="31">
        <v>34743.379999999997</v>
      </c>
      <c r="Y173" s="62" t="s">
        <v>52</v>
      </c>
      <c r="Z173" s="76">
        <f t="shared" si="2"/>
      </c>
      <c r="AA173" s="62" t="s">
        <v>10</v>
      </c>
      <c r="AB173" s="63"/>
      <c r="AC173" s="65"/>
      <c r="AD173" s="63"/>
      <c r="AE173" s="61" t="s">
        <v>48</v>
      </c>
    </row>
    <row r="174" spans="1:31" s="64" customFormat="1" x14ac:dyDescent="0.25">
      <c r="A174" s="59" t="s">
        <v>240</v>
      </c>
      <c r="B174" s="59" t="s">
        <v>590</v>
      </c>
      <c r="C174" s="60">
        <v>44239</v>
      </c>
      <c r="D174" s="31">
        <v>15715.58</v>
      </c>
      <c r="E174" s="59" t="s">
        <v>944</v>
      </c>
      <c r="F174" s="59"/>
      <c r="G174" s="59"/>
      <c r="H174" s="59"/>
      <c r="I174" s="61"/>
      <c r="J174" s="59"/>
      <c r="K174" s="59" t="s">
        <v>59</v>
      </c>
      <c r="L174" s="61"/>
      <c r="M174" s="61"/>
      <c r="N174" s="60"/>
      <c r="O174" s="59"/>
      <c r="P174" s="59"/>
      <c r="Q174" s="59"/>
      <c r="R174" s="59"/>
      <c r="S174" s="59"/>
      <c r="T174" s="59"/>
      <c r="U174" s="59"/>
      <c r="V174" s="59"/>
      <c r="W174" s="61" t="s">
        <v>6</v>
      </c>
      <c r="X174" s="31">
        <v>15715.58</v>
      </c>
      <c r="Y174" s="62"/>
      <c r="Z174" s="76">
        <f t="shared" si="2"/>
      </c>
      <c r="AA174" s="62" t="s">
        <v>47</v>
      </c>
      <c r="AB174" s="63"/>
      <c r="AC174" s="65"/>
      <c r="AD174" s="63"/>
      <c r="AE174" s="61" t="s">
        <v>48</v>
      </c>
    </row>
    <row r="175" spans="1:31" s="64" customFormat="1" x14ac:dyDescent="0.25">
      <c r="A175" s="59" t="s">
        <v>241</v>
      </c>
      <c r="B175" s="59" t="s">
        <v>591</v>
      </c>
      <c r="C175" s="60">
        <v>43483</v>
      </c>
      <c r="D175" s="31">
        <v>187.32</v>
      </c>
      <c r="E175" s="59" t="s">
        <v>945</v>
      </c>
      <c r="F175" s="59"/>
      <c r="G175" s="59"/>
      <c r="H175" s="59"/>
      <c r="I175" s="61"/>
      <c r="J175" s="59"/>
      <c r="K175" s="59" t="s">
        <v>46</v>
      </c>
      <c r="L175" s="61"/>
      <c r="M175" s="61"/>
      <c r="N175" s="60"/>
      <c r="O175" s="59"/>
      <c r="P175" s="59"/>
      <c r="Q175" s="59"/>
      <c r="R175" s="59"/>
      <c r="S175" s="59"/>
      <c r="T175" s="59"/>
      <c r="U175" s="59"/>
      <c r="V175" s="59"/>
      <c r="W175" s="61" t="s">
        <v>6</v>
      </c>
      <c r="X175" s="31">
        <v>187.32</v>
      </c>
      <c r="Y175" s="62"/>
      <c r="Z175" s="76">
        <f t="shared" si="2"/>
      </c>
      <c r="AA175" s="62" t="s">
        <v>47</v>
      </c>
      <c r="AB175" s="63"/>
      <c r="AC175" s="65"/>
      <c r="AD175" s="63"/>
      <c r="AE175" s="61" t="s">
        <v>48</v>
      </c>
    </row>
    <row r="176" spans="1:31" s="64" customFormat="1" x14ac:dyDescent="0.25">
      <c r="A176" s="59" t="s">
        <v>242</v>
      </c>
      <c r="B176" s="59" t="s">
        <v>592</v>
      </c>
      <c r="C176" s="60">
        <v>44186</v>
      </c>
      <c r="D176" s="31">
        <v>182.22</v>
      </c>
      <c r="E176" s="59" t="s">
        <v>946</v>
      </c>
      <c r="F176" s="59"/>
      <c r="G176" s="59"/>
      <c r="H176" s="59"/>
      <c r="I176" s="61"/>
      <c r="J176" s="59"/>
      <c r="K176" s="59" t="s">
        <v>55</v>
      </c>
      <c r="L176" s="61"/>
      <c r="M176" s="61"/>
      <c r="N176" s="60"/>
      <c r="O176" s="59"/>
      <c r="P176" s="59"/>
      <c r="Q176" s="59"/>
      <c r="R176" s="59"/>
      <c r="S176" s="59"/>
      <c r="T176" s="59"/>
      <c r="U176" s="59"/>
      <c r="V176" s="59"/>
      <c r="W176" s="61" t="s">
        <v>6</v>
      </c>
      <c r="X176" s="31">
        <v>182.22</v>
      </c>
      <c r="Y176" s="62"/>
      <c r="Z176" s="76">
        <f t="shared" si="2"/>
      </c>
      <c r="AA176" s="62" t="s">
        <v>47</v>
      </c>
      <c r="AB176" s="63"/>
      <c r="AC176" s="65"/>
      <c r="AD176" s="63"/>
      <c r="AE176" s="61" t="s">
        <v>48</v>
      </c>
    </row>
    <row r="177" spans="1:31" s="64" customFormat="1" x14ac:dyDescent="0.25">
      <c r="A177" s="59" t="s">
        <v>243</v>
      </c>
      <c r="B177" s="59" t="s">
        <v>593</v>
      </c>
      <c r="C177" s="60">
        <v>44175</v>
      </c>
      <c r="D177" s="31">
        <v>37041.839999999997</v>
      </c>
      <c r="E177" s="59" t="s">
        <v>947</v>
      </c>
      <c r="F177" s="59"/>
      <c r="G177" s="59"/>
      <c r="H177" s="59"/>
      <c r="I177" s="61"/>
      <c r="J177" s="59"/>
      <c r="K177" s="59" t="s">
        <v>55</v>
      </c>
      <c r="L177" s="61"/>
      <c r="M177" s="61"/>
      <c r="N177" s="60"/>
      <c r="O177" s="59"/>
      <c r="P177" s="59"/>
      <c r="Q177" s="59"/>
      <c r="R177" s="59"/>
      <c r="S177" s="59"/>
      <c r="T177" s="59"/>
      <c r="U177" s="59"/>
      <c r="V177" s="59"/>
      <c r="W177" s="61" t="s">
        <v>6</v>
      </c>
      <c r="X177" s="31">
        <v>37041.839999999997</v>
      </c>
      <c r="Y177" s="62"/>
      <c r="Z177" s="76">
        <f t="shared" si="2"/>
      </c>
      <c r="AA177" s="62" t="s">
        <v>47</v>
      </c>
      <c r="AB177" s="63"/>
      <c r="AC177" s="65"/>
      <c r="AD177" s="63"/>
      <c r="AE177" s="61" t="s">
        <v>48</v>
      </c>
    </row>
    <row r="178" spans="1:31" s="64" customFormat="1" x14ac:dyDescent="0.25">
      <c r="A178" s="59" t="s">
        <v>244</v>
      </c>
      <c r="B178" s="59" t="s">
        <v>594</v>
      </c>
      <c r="C178" s="60">
        <v>44175</v>
      </c>
      <c r="D178" s="31">
        <v>721.13</v>
      </c>
      <c r="E178" s="59" t="s">
        <v>948</v>
      </c>
      <c r="F178" s="59"/>
      <c r="G178" s="59"/>
      <c r="H178" s="59"/>
      <c r="I178" s="61"/>
      <c r="J178" s="59"/>
      <c r="K178" s="59" t="s">
        <v>55</v>
      </c>
      <c r="L178" s="61"/>
      <c r="M178" s="61"/>
      <c r="N178" s="60"/>
      <c r="O178" s="59"/>
      <c r="P178" s="59"/>
      <c r="Q178" s="59"/>
      <c r="R178" s="59"/>
      <c r="S178" s="59"/>
      <c r="T178" s="59"/>
      <c r="U178" s="59"/>
      <c r="V178" s="59"/>
      <c r="W178" s="61" t="s">
        <v>6</v>
      </c>
      <c r="X178" s="31">
        <v>721.13</v>
      </c>
      <c r="Y178" s="62"/>
      <c r="Z178" s="76">
        <f t="shared" si="2"/>
      </c>
      <c r="AA178" s="62" t="s">
        <v>47</v>
      </c>
      <c r="AB178" s="63"/>
      <c r="AC178" s="65"/>
      <c r="AD178" s="63"/>
      <c r="AE178" s="61" t="s">
        <v>48</v>
      </c>
    </row>
    <row r="179" spans="1:31" s="64" customFormat="1" x14ac:dyDescent="0.25">
      <c r="A179" s="59" t="s">
        <v>245</v>
      </c>
      <c r="B179" s="59" t="s">
        <v>595</v>
      </c>
      <c r="C179" s="60">
        <v>44175</v>
      </c>
      <c r="D179" s="31">
        <v>274.86</v>
      </c>
      <c r="E179" s="59" t="s">
        <v>949</v>
      </c>
      <c r="F179" s="59"/>
      <c r="G179" s="59"/>
      <c r="H179" s="59"/>
      <c r="I179" s="61"/>
      <c r="J179" s="59"/>
      <c r="K179" s="59" t="s">
        <v>55</v>
      </c>
      <c r="L179" s="61"/>
      <c r="M179" s="61"/>
      <c r="N179" s="60"/>
      <c r="O179" s="59"/>
      <c r="P179" s="59"/>
      <c r="Q179" s="59"/>
      <c r="R179" s="59"/>
      <c r="S179" s="59"/>
      <c r="T179" s="59"/>
      <c r="U179" s="59"/>
      <c r="V179" s="59"/>
      <c r="W179" s="61" t="s">
        <v>6</v>
      </c>
      <c r="X179" s="31">
        <v>274.86</v>
      </c>
      <c r="Y179" s="62"/>
      <c r="Z179" s="76">
        <f t="shared" si="2"/>
      </c>
      <c r="AA179" s="62" t="s">
        <v>47</v>
      </c>
      <c r="AB179" s="63"/>
      <c r="AC179" s="65"/>
      <c r="AD179" s="63"/>
      <c r="AE179" s="61" t="s">
        <v>48</v>
      </c>
    </row>
    <row r="180" spans="1:31" s="64" customFormat="1" x14ac:dyDescent="0.25">
      <c r="A180" s="59" t="s">
        <v>246</v>
      </c>
      <c r="B180" s="59" t="s">
        <v>596</v>
      </c>
      <c r="C180" s="60">
        <v>43902</v>
      </c>
      <c r="D180" s="31">
        <v>176.29</v>
      </c>
      <c r="E180" s="59" t="s">
        <v>950</v>
      </c>
      <c r="F180" s="59"/>
      <c r="G180" s="59"/>
      <c r="H180" s="59"/>
      <c r="I180" s="61"/>
      <c r="J180" s="59"/>
      <c r="K180" s="59" t="s">
        <v>55</v>
      </c>
      <c r="L180" s="61"/>
      <c r="M180" s="61"/>
      <c r="N180" s="60"/>
      <c r="O180" s="59"/>
      <c r="P180" s="59"/>
      <c r="Q180" s="59"/>
      <c r="R180" s="59"/>
      <c r="S180" s="59"/>
      <c r="T180" s="59"/>
      <c r="U180" s="59"/>
      <c r="V180" s="59"/>
      <c r="W180" s="61" t="s">
        <v>58</v>
      </c>
      <c r="X180" s="31">
        <v>176.29</v>
      </c>
      <c r="Y180" s="62"/>
      <c r="Z180" s="76">
        <f t="shared" si="2"/>
      </c>
      <c r="AA180" s="62" t="s">
        <v>47</v>
      </c>
      <c r="AB180" s="63"/>
      <c r="AC180" s="65"/>
      <c r="AD180" s="63"/>
      <c r="AE180" s="61" t="s">
        <v>48</v>
      </c>
    </row>
    <row r="181" spans="1:31" s="64" customFormat="1" x14ac:dyDescent="0.25">
      <c r="A181" s="59" t="s">
        <v>247</v>
      </c>
      <c r="B181" s="59" t="s">
        <v>597</v>
      </c>
      <c r="C181" s="60">
        <v>44171</v>
      </c>
      <c r="D181" s="31">
        <v>8590.41</v>
      </c>
      <c r="E181" s="59" t="s">
        <v>951</v>
      </c>
      <c r="F181" s="59"/>
      <c r="G181" s="59"/>
      <c r="H181" s="59"/>
      <c r="I181" s="61"/>
      <c r="J181" s="59"/>
      <c r="K181" s="59" t="s">
        <v>55</v>
      </c>
      <c r="L181" s="61"/>
      <c r="M181" s="61"/>
      <c r="N181" s="60"/>
      <c r="O181" s="59"/>
      <c r="P181" s="59"/>
      <c r="Q181" s="59"/>
      <c r="R181" s="59"/>
      <c r="S181" s="59"/>
      <c r="T181" s="59"/>
      <c r="U181" s="59"/>
      <c r="V181" s="59"/>
      <c r="W181" s="61" t="s">
        <v>6</v>
      </c>
      <c r="X181" s="31">
        <v>8590.41</v>
      </c>
      <c r="Y181" s="62"/>
      <c r="Z181" s="76">
        <f t="shared" si="2"/>
      </c>
      <c r="AA181" s="62" t="s">
        <v>47</v>
      </c>
      <c r="AB181" s="63"/>
      <c r="AC181" s="65"/>
      <c r="AD181" s="63"/>
      <c r="AE181" s="61" t="s">
        <v>48</v>
      </c>
    </row>
    <row r="182" spans="1:31" s="64" customFormat="1" x14ac:dyDescent="0.25">
      <c r="A182" s="59" t="s">
        <v>248</v>
      </c>
      <c r="B182" s="59" t="s">
        <v>598</v>
      </c>
      <c r="C182" s="60">
        <v>44160</v>
      </c>
      <c r="D182" s="31">
        <v>8207.3799999999992</v>
      </c>
      <c r="E182" s="59" t="s">
        <v>952</v>
      </c>
      <c r="F182" s="59"/>
      <c r="G182" s="59"/>
      <c r="H182" s="59"/>
      <c r="I182" s="61"/>
      <c r="J182" s="59"/>
      <c r="K182" s="59" t="s">
        <v>55</v>
      </c>
      <c r="L182" s="61"/>
      <c r="M182" s="61"/>
      <c r="N182" s="60"/>
      <c r="O182" s="59"/>
      <c r="P182" s="59"/>
      <c r="Q182" s="59"/>
      <c r="R182" s="59"/>
      <c r="S182" s="59"/>
      <c r="T182" s="59"/>
      <c r="U182" s="59"/>
      <c r="V182" s="59"/>
      <c r="W182" s="61" t="s">
        <v>6</v>
      </c>
      <c r="X182" s="31">
        <v>8207.3799999999992</v>
      </c>
      <c r="Y182" s="62"/>
      <c r="Z182" s="76">
        <f t="shared" si="2"/>
      </c>
      <c r="AA182" s="62" t="s">
        <v>47</v>
      </c>
      <c r="AB182" s="63"/>
      <c r="AC182" s="65"/>
      <c r="AD182" s="63"/>
      <c r="AE182" s="61" t="s">
        <v>48</v>
      </c>
    </row>
    <row r="183" spans="1:31" s="64" customFormat="1" x14ac:dyDescent="0.25">
      <c r="A183" s="59" t="s">
        <v>249</v>
      </c>
      <c r="B183" s="59" t="s">
        <v>599</v>
      </c>
      <c r="C183" s="60">
        <v>43472</v>
      </c>
      <c r="D183" s="31">
        <v>3427.68</v>
      </c>
      <c r="E183" s="59" t="s">
        <v>953</v>
      </c>
      <c r="F183" s="59"/>
      <c r="G183" s="59"/>
      <c r="H183" s="59"/>
      <c r="I183" s="61"/>
      <c r="J183" s="59"/>
      <c r="K183" s="59" t="s">
        <v>46</v>
      </c>
      <c r="L183" s="61"/>
      <c r="M183" s="61"/>
      <c r="N183" s="60"/>
      <c r="O183" s="59"/>
      <c r="P183" s="59"/>
      <c r="Q183" s="59"/>
      <c r="R183" s="59"/>
      <c r="S183" s="59"/>
      <c r="T183" s="59"/>
      <c r="U183" s="59"/>
      <c r="V183" s="59"/>
      <c r="W183" s="61" t="s">
        <v>6</v>
      </c>
      <c r="X183" s="31">
        <v>3427.68</v>
      </c>
      <c r="Y183" s="62" t="s">
        <v>52</v>
      </c>
      <c r="Z183" s="76">
        <f t="shared" si="2"/>
      </c>
      <c r="AA183" s="62" t="s">
        <v>10</v>
      </c>
      <c r="AB183" s="63"/>
      <c r="AC183" s="65"/>
      <c r="AD183" s="63"/>
      <c r="AE183" s="61" t="s">
        <v>48</v>
      </c>
    </row>
    <row r="184" spans="1:31" s="64" customFormat="1" x14ac:dyDescent="0.25">
      <c r="A184" s="59" t="s">
        <v>250</v>
      </c>
      <c r="B184" s="59" t="s">
        <v>600</v>
      </c>
      <c r="C184" s="60">
        <v>43483</v>
      </c>
      <c r="D184" s="31">
        <v>1701.18</v>
      </c>
      <c r="E184" s="59" t="s">
        <v>954</v>
      </c>
      <c r="F184" s="59"/>
      <c r="G184" s="59"/>
      <c r="H184" s="59"/>
      <c r="I184" s="61"/>
      <c r="J184" s="59"/>
      <c r="K184" s="59" t="s">
        <v>46</v>
      </c>
      <c r="L184" s="61"/>
      <c r="M184" s="61"/>
      <c r="N184" s="60"/>
      <c r="O184" s="59"/>
      <c r="P184" s="59"/>
      <c r="Q184" s="59"/>
      <c r="R184" s="59"/>
      <c r="S184" s="59"/>
      <c r="T184" s="59"/>
      <c r="U184" s="59"/>
      <c r="V184" s="59"/>
      <c r="W184" s="61" t="s">
        <v>57</v>
      </c>
      <c r="X184" s="31">
        <v>1701.18</v>
      </c>
      <c r="Y184" s="62"/>
      <c r="Z184" s="76">
        <f t="shared" si="2"/>
      </c>
      <c r="AA184" s="62" t="s">
        <v>47</v>
      </c>
      <c r="AB184" s="63"/>
      <c r="AC184" s="65"/>
      <c r="AD184" s="63"/>
      <c r="AE184" s="61" t="s">
        <v>48</v>
      </c>
    </row>
    <row r="185" spans="1:31" s="64" customFormat="1" x14ac:dyDescent="0.25">
      <c r="A185" s="59" t="s">
        <v>251</v>
      </c>
      <c r="B185" s="59" t="s">
        <v>601</v>
      </c>
      <c r="C185" s="60">
        <v>44354</v>
      </c>
      <c r="D185" s="31">
        <v>130101.4</v>
      </c>
      <c r="E185" s="59" t="s">
        <v>955</v>
      </c>
      <c r="F185" s="59"/>
      <c r="G185" s="59"/>
      <c r="H185" s="59"/>
      <c r="I185" s="61"/>
      <c r="J185" s="59"/>
      <c r="K185" s="59" t="s">
        <v>59</v>
      </c>
      <c r="L185" s="61"/>
      <c r="M185" s="66"/>
      <c r="N185" s="67"/>
      <c r="O185" s="59"/>
      <c r="P185" s="59"/>
      <c r="Q185" s="59"/>
      <c r="R185" s="59"/>
      <c r="S185" s="59"/>
      <c r="T185" s="59"/>
      <c r="U185" s="63"/>
      <c r="V185" s="59"/>
      <c r="W185" s="61" t="s">
        <v>6</v>
      </c>
      <c r="X185" s="31">
        <v>130101.4</v>
      </c>
      <c r="Y185" s="62" t="s">
        <v>52</v>
      </c>
      <c r="Z185" s="76">
        <f t="shared" si="2"/>
      </c>
      <c r="AA185" s="62" t="s">
        <v>10</v>
      </c>
      <c r="AB185" s="63"/>
      <c r="AC185" s="63"/>
      <c r="AD185" s="63"/>
      <c r="AE185" s="61" t="s">
        <v>48</v>
      </c>
    </row>
    <row r="186" spans="1:31" s="64" customFormat="1" x14ac:dyDescent="0.25">
      <c r="A186" s="59" t="s">
        <v>252</v>
      </c>
      <c r="B186" s="59" t="s">
        <v>602</v>
      </c>
      <c r="C186" s="60">
        <v>43738</v>
      </c>
      <c r="D186" s="31">
        <v>53766.26</v>
      </c>
      <c r="E186" s="59" t="s">
        <v>956</v>
      </c>
      <c r="F186" s="59"/>
      <c r="G186" s="59"/>
      <c r="H186" s="59"/>
      <c r="I186" s="61"/>
      <c r="J186" s="59"/>
      <c r="K186" s="59" t="s">
        <v>46</v>
      </c>
      <c r="L186" s="61"/>
      <c r="M186" s="66"/>
      <c r="N186" s="67"/>
      <c r="O186" s="59"/>
      <c r="P186" s="59"/>
      <c r="Q186" s="59"/>
      <c r="R186" s="59"/>
      <c r="S186" s="59"/>
      <c r="T186" s="59"/>
      <c r="U186" s="63"/>
      <c r="V186" s="59"/>
      <c r="W186" s="66" t="s">
        <v>54</v>
      </c>
      <c r="X186" s="31">
        <v>53766.26</v>
      </c>
      <c r="Y186" s="62"/>
      <c r="Z186" s="76">
        <f t="shared" si="2"/>
      </c>
      <c r="AA186" s="62" t="s">
        <v>47</v>
      </c>
      <c r="AB186" s="63"/>
      <c r="AC186" s="63"/>
      <c r="AD186" s="63"/>
      <c r="AE186" s="61" t="s">
        <v>48</v>
      </c>
    </row>
    <row r="187" spans="1:31" s="64" customFormat="1" ht="41.25" customHeight="1" x14ac:dyDescent="0.25">
      <c r="A187" s="59" t="s">
        <v>253</v>
      </c>
      <c r="B187" s="59" t="s">
        <v>603</v>
      </c>
      <c r="C187" s="60">
        <v>43630</v>
      </c>
      <c r="D187" s="31">
        <v>32625.86</v>
      </c>
      <c r="E187" s="59" t="s">
        <v>957</v>
      </c>
      <c r="F187" s="59"/>
      <c r="G187" s="59"/>
      <c r="H187" s="59"/>
      <c r="I187" s="61"/>
      <c r="J187" s="59"/>
      <c r="K187" s="59" t="s">
        <v>46</v>
      </c>
      <c r="L187" s="61"/>
      <c r="M187" s="66"/>
      <c r="N187" s="67"/>
      <c r="O187" s="59"/>
      <c r="P187" s="59"/>
      <c r="Q187" s="59"/>
      <c r="R187" s="59"/>
      <c r="S187" s="59"/>
      <c r="T187" s="59"/>
      <c r="U187" s="63"/>
      <c r="V187" s="59"/>
      <c r="W187" s="66" t="s">
        <v>54</v>
      </c>
      <c r="X187" s="31">
        <v>32625.86</v>
      </c>
      <c r="Y187" s="62" t="s">
        <v>52</v>
      </c>
      <c r="Z187" s="76">
        <f t="shared" si="2"/>
      </c>
      <c r="AA187" s="62" t="s">
        <v>10</v>
      </c>
      <c r="AB187" s="63"/>
      <c r="AC187" s="63"/>
      <c r="AD187" s="63"/>
      <c r="AE187" s="61" t="s">
        <v>48</v>
      </c>
    </row>
    <row r="188" spans="1:31" s="64" customFormat="1" x14ac:dyDescent="0.25">
      <c r="A188" s="59" t="s">
        <v>254</v>
      </c>
      <c r="B188" s="59" t="s">
        <v>604</v>
      </c>
      <c r="C188" s="60">
        <v>43635</v>
      </c>
      <c r="D188" s="31">
        <v>20027.22</v>
      </c>
      <c r="E188" s="59" t="s">
        <v>958</v>
      </c>
      <c r="F188" s="59"/>
      <c r="G188" s="59"/>
      <c r="H188" s="59"/>
      <c r="I188" s="61"/>
      <c r="J188" s="59"/>
      <c r="K188" s="59" t="s">
        <v>46</v>
      </c>
      <c r="L188" s="61"/>
      <c r="M188" s="66"/>
      <c r="N188" s="67"/>
      <c r="O188" s="59"/>
      <c r="P188" s="59"/>
      <c r="Q188" s="59"/>
      <c r="R188" s="59"/>
      <c r="S188" s="59"/>
      <c r="T188" s="59"/>
      <c r="U188" s="63"/>
      <c r="V188" s="59"/>
      <c r="W188" s="66" t="s">
        <v>67</v>
      </c>
      <c r="X188" s="31">
        <v>20027.22</v>
      </c>
      <c r="Y188" s="62"/>
      <c r="Z188" s="76">
        <f t="shared" si="2"/>
      </c>
      <c r="AA188" s="62" t="s">
        <v>47</v>
      </c>
      <c r="AB188" s="63"/>
      <c r="AC188" s="63"/>
      <c r="AD188" s="63"/>
      <c r="AE188" s="61" t="s">
        <v>48</v>
      </c>
    </row>
    <row r="189" spans="1:31" s="64" customFormat="1" x14ac:dyDescent="0.25">
      <c r="A189" s="59" t="s">
        <v>255</v>
      </c>
      <c r="B189" s="59" t="s">
        <v>605</v>
      </c>
      <c r="C189" s="60">
        <v>43623</v>
      </c>
      <c r="D189" s="31">
        <v>15041.03</v>
      </c>
      <c r="E189" s="59" t="s">
        <v>959</v>
      </c>
      <c r="F189" s="59"/>
      <c r="G189" s="59"/>
      <c r="H189" s="59"/>
      <c r="I189" s="61"/>
      <c r="J189" s="59"/>
      <c r="K189" s="59" t="s">
        <v>46</v>
      </c>
      <c r="L189" s="61"/>
      <c r="M189" s="66"/>
      <c r="N189" s="67"/>
      <c r="O189" s="59"/>
      <c r="P189" s="59"/>
      <c r="Q189" s="59"/>
      <c r="R189" s="59"/>
      <c r="S189" s="59"/>
      <c r="T189" s="59"/>
      <c r="U189" s="63"/>
      <c r="V189" s="59"/>
      <c r="W189" s="66" t="s">
        <v>67</v>
      </c>
      <c r="X189" s="31">
        <v>15041.03</v>
      </c>
      <c r="Y189" s="62"/>
      <c r="Z189" s="76">
        <f t="shared" si="2"/>
      </c>
      <c r="AA189" s="62" t="s">
        <v>47</v>
      </c>
      <c r="AB189" s="63"/>
      <c r="AC189" s="63"/>
      <c r="AD189" s="63"/>
      <c r="AE189" s="61" t="s">
        <v>48</v>
      </c>
    </row>
    <row r="190" spans="1:31" s="64" customFormat="1" x14ac:dyDescent="0.25">
      <c r="A190" s="59" t="s">
        <v>256</v>
      </c>
      <c r="B190" s="59" t="s">
        <v>606</v>
      </c>
      <c r="C190" s="60">
        <v>43630</v>
      </c>
      <c r="D190" s="31">
        <v>13676.56</v>
      </c>
      <c r="E190" s="59" t="s">
        <v>960</v>
      </c>
      <c r="F190" s="59"/>
      <c r="G190" s="59"/>
      <c r="H190" s="59"/>
      <c r="I190" s="61"/>
      <c r="J190" s="59"/>
      <c r="K190" s="59" t="s">
        <v>46</v>
      </c>
      <c r="L190" s="61"/>
      <c r="M190" s="66"/>
      <c r="N190" s="67"/>
      <c r="O190" s="59"/>
      <c r="P190" s="59"/>
      <c r="Q190" s="59"/>
      <c r="R190" s="59"/>
      <c r="S190" s="59"/>
      <c r="T190" s="59"/>
      <c r="U190" s="63"/>
      <c r="V190" s="59"/>
      <c r="W190" s="66" t="s">
        <v>69</v>
      </c>
      <c r="X190" s="31">
        <v>13676.56</v>
      </c>
      <c r="Y190" s="62"/>
      <c r="Z190" s="76">
        <f t="shared" si="2"/>
      </c>
      <c r="AA190" s="62" t="s">
        <v>47</v>
      </c>
      <c r="AB190" s="63"/>
      <c r="AC190" s="63"/>
      <c r="AD190" s="63"/>
      <c r="AE190" s="61" t="s">
        <v>48</v>
      </c>
    </row>
    <row r="191" spans="1:31" s="64" customFormat="1" x14ac:dyDescent="0.25">
      <c r="A191" s="59" t="s">
        <v>257</v>
      </c>
      <c r="B191" s="59" t="s">
        <v>607</v>
      </c>
      <c r="C191" s="60">
        <v>43829</v>
      </c>
      <c r="D191" s="31">
        <v>12240.1</v>
      </c>
      <c r="E191" s="59" t="s">
        <v>961</v>
      </c>
      <c r="F191" s="59"/>
      <c r="G191" s="59"/>
      <c r="H191" s="59"/>
      <c r="I191" s="61"/>
      <c r="J191" s="59"/>
      <c r="K191" s="59" t="s">
        <v>46</v>
      </c>
      <c r="L191" s="61"/>
      <c r="M191" s="66"/>
      <c r="N191" s="67"/>
      <c r="O191" s="59"/>
      <c r="P191" s="59"/>
      <c r="Q191" s="59"/>
      <c r="R191" s="59"/>
      <c r="S191" s="59"/>
      <c r="T191" s="59"/>
      <c r="U191" s="63"/>
      <c r="V191" s="59"/>
      <c r="W191" s="66" t="s">
        <v>54</v>
      </c>
      <c r="X191" s="31">
        <v>12240.1</v>
      </c>
      <c r="Y191" s="62"/>
      <c r="Z191" s="76">
        <f t="shared" si="2"/>
      </c>
      <c r="AA191" s="62" t="s">
        <v>47</v>
      </c>
      <c r="AB191" s="63"/>
      <c r="AC191" s="63"/>
      <c r="AD191" s="63"/>
      <c r="AE191" s="61" t="s">
        <v>48</v>
      </c>
    </row>
    <row r="192" spans="1:31" s="64" customFormat="1" x14ac:dyDescent="0.25">
      <c r="A192" s="59" t="s">
        <v>258</v>
      </c>
      <c r="B192" s="59" t="s">
        <v>608</v>
      </c>
      <c r="C192" s="60">
        <v>44441</v>
      </c>
      <c r="D192" s="31">
        <v>11114.88</v>
      </c>
      <c r="E192" s="59" t="s">
        <v>962</v>
      </c>
      <c r="F192" s="59"/>
      <c r="G192" s="59"/>
      <c r="H192" s="59"/>
      <c r="I192" s="61"/>
      <c r="J192" s="59"/>
      <c r="K192" s="59" t="s">
        <v>59</v>
      </c>
      <c r="L192" s="61"/>
      <c r="M192" s="66"/>
      <c r="N192" s="67"/>
      <c r="O192" s="59"/>
      <c r="P192" s="59"/>
      <c r="Q192" s="59"/>
      <c r="R192" s="59"/>
      <c r="S192" s="59"/>
      <c r="T192" s="59"/>
      <c r="U192" s="63"/>
      <c r="V192" s="59"/>
      <c r="W192" s="61" t="s">
        <v>6</v>
      </c>
      <c r="X192" s="31">
        <v>11114.88</v>
      </c>
      <c r="Y192" s="62"/>
      <c r="Z192" s="76">
        <f t="shared" si="2"/>
      </c>
      <c r="AA192" s="62" t="s">
        <v>47</v>
      </c>
      <c r="AB192" s="63"/>
      <c r="AC192" s="63"/>
      <c r="AD192" s="63"/>
      <c r="AE192" s="61" t="s">
        <v>48</v>
      </c>
    </row>
    <row r="193" spans="1:31" s="64" customFormat="1" x14ac:dyDescent="0.25">
      <c r="A193" s="59" t="s">
        <v>259</v>
      </c>
      <c r="B193" s="59" t="s">
        <v>609</v>
      </c>
      <c r="C193" s="60">
        <v>44239</v>
      </c>
      <c r="D193" s="31">
        <v>9668.2000000000007</v>
      </c>
      <c r="E193" s="59" t="s">
        <v>963</v>
      </c>
      <c r="F193" s="59"/>
      <c r="G193" s="59"/>
      <c r="H193" s="59"/>
      <c r="I193" s="61"/>
      <c r="J193" s="59"/>
      <c r="K193" s="59" t="s">
        <v>59</v>
      </c>
      <c r="L193" s="61"/>
      <c r="M193" s="66"/>
      <c r="N193" s="67"/>
      <c r="O193" s="59"/>
      <c r="P193" s="59"/>
      <c r="Q193" s="59"/>
      <c r="R193" s="59"/>
      <c r="S193" s="59"/>
      <c r="T193" s="59"/>
      <c r="U193" s="63"/>
      <c r="V193" s="59"/>
      <c r="W193" s="61" t="s">
        <v>6</v>
      </c>
      <c r="X193" s="31">
        <v>9668.2000000000007</v>
      </c>
      <c r="Y193" s="62"/>
      <c r="Z193" s="76">
        <f t="shared" si="2"/>
      </c>
      <c r="AA193" s="62" t="s">
        <v>47</v>
      </c>
      <c r="AB193" s="63"/>
      <c r="AC193" s="63"/>
      <c r="AD193" s="63"/>
      <c r="AE193" s="61" t="s">
        <v>48</v>
      </c>
    </row>
    <row r="194" spans="1:31" s="64" customFormat="1" x14ac:dyDescent="0.25">
      <c r="A194" s="59" t="s">
        <v>260</v>
      </c>
      <c r="B194" s="59" t="s">
        <v>610</v>
      </c>
      <c r="C194" s="60">
        <v>44288</v>
      </c>
      <c r="D194" s="31">
        <v>8670.81</v>
      </c>
      <c r="E194" s="59" t="s">
        <v>964</v>
      </c>
      <c r="F194" s="59"/>
      <c r="G194" s="59"/>
      <c r="H194" s="59"/>
      <c r="I194" s="61"/>
      <c r="J194" s="59"/>
      <c r="K194" s="59" t="s">
        <v>59</v>
      </c>
      <c r="L194" s="61"/>
      <c r="M194" s="66"/>
      <c r="N194" s="67"/>
      <c r="O194" s="59"/>
      <c r="P194" s="59"/>
      <c r="Q194" s="59"/>
      <c r="R194" s="59"/>
      <c r="S194" s="59"/>
      <c r="T194" s="59"/>
      <c r="U194" s="63"/>
      <c r="V194" s="59"/>
      <c r="W194" s="66" t="s">
        <v>64</v>
      </c>
      <c r="X194" s="31">
        <v>8670.81</v>
      </c>
      <c r="Y194" s="62"/>
      <c r="Z194" s="76">
        <f t="shared" si="2"/>
      </c>
      <c r="AA194" s="62" t="s">
        <v>47</v>
      </c>
      <c r="AB194" s="63"/>
      <c r="AC194" s="63"/>
      <c r="AD194" s="63"/>
      <c r="AE194" s="61" t="s">
        <v>48</v>
      </c>
    </row>
    <row r="195" spans="1:31" s="64" customFormat="1" x14ac:dyDescent="0.25">
      <c r="A195" s="59" t="s">
        <v>261</v>
      </c>
      <c r="B195" s="59" t="s">
        <v>611</v>
      </c>
      <c r="C195" s="60">
        <v>44421</v>
      </c>
      <c r="D195" s="31">
        <v>7830.47</v>
      </c>
      <c r="E195" s="59" t="s">
        <v>965</v>
      </c>
      <c r="F195" s="59"/>
      <c r="G195" s="59"/>
      <c r="H195" s="59"/>
      <c r="I195" s="61"/>
      <c r="J195" s="59"/>
      <c r="K195" s="59" t="s">
        <v>59</v>
      </c>
      <c r="L195" s="61"/>
      <c r="M195" s="66"/>
      <c r="N195" s="67"/>
      <c r="O195" s="59"/>
      <c r="P195" s="59"/>
      <c r="Q195" s="59"/>
      <c r="R195" s="59"/>
      <c r="S195" s="59"/>
      <c r="T195" s="59"/>
      <c r="U195" s="63"/>
      <c r="V195" s="59"/>
      <c r="W195" s="61" t="s">
        <v>6</v>
      </c>
      <c r="X195" s="31">
        <v>7830.47</v>
      </c>
      <c r="Y195" s="62"/>
      <c r="Z195" s="76">
        <f t="shared" si="2"/>
      </c>
      <c r="AA195" s="62" t="s">
        <v>47</v>
      </c>
      <c r="AB195" s="63"/>
      <c r="AC195" s="63"/>
      <c r="AD195" s="63"/>
      <c r="AE195" s="61" t="s">
        <v>48</v>
      </c>
    </row>
    <row r="196" spans="1:31" s="64" customFormat="1" x14ac:dyDescent="0.25">
      <c r="A196" s="59" t="s">
        <v>262</v>
      </c>
      <c r="B196" s="59" t="s">
        <v>612</v>
      </c>
      <c r="C196" s="60">
        <v>43916</v>
      </c>
      <c r="D196" s="31">
        <v>4467.92</v>
      </c>
      <c r="E196" s="59" t="s">
        <v>966</v>
      </c>
      <c r="F196" s="59"/>
      <c r="G196" s="59"/>
      <c r="H196" s="59"/>
      <c r="I196" s="61"/>
      <c r="J196" s="59"/>
      <c r="K196" s="59" t="s">
        <v>55</v>
      </c>
      <c r="L196" s="61"/>
      <c r="M196" s="66"/>
      <c r="N196" s="67"/>
      <c r="O196" s="59"/>
      <c r="P196" s="59"/>
      <c r="Q196" s="59"/>
      <c r="R196" s="59"/>
      <c r="S196" s="59"/>
      <c r="T196" s="59"/>
      <c r="U196" s="63"/>
      <c r="V196" s="59"/>
      <c r="W196" s="61" t="s">
        <v>6</v>
      </c>
      <c r="X196" s="31">
        <v>4467.92</v>
      </c>
      <c r="Y196" s="62"/>
      <c r="Z196" s="76">
        <f t="shared" ref="Z196:Z249" si="3">IF(Y196="Clear",0,X196)</f>
      </c>
      <c r="AA196" s="62" t="s">
        <v>47</v>
      </c>
      <c r="AB196" s="63"/>
      <c r="AC196" s="63"/>
      <c r="AD196" s="63"/>
      <c r="AE196" s="61" t="s">
        <v>48</v>
      </c>
    </row>
    <row r="197" spans="1:31" s="64" customFormat="1" x14ac:dyDescent="0.25">
      <c r="A197" s="59" t="s">
        <v>263</v>
      </c>
      <c r="B197" s="59" t="s">
        <v>613</v>
      </c>
      <c r="C197" s="60">
        <v>44288</v>
      </c>
      <c r="D197" s="31">
        <v>3355.97</v>
      </c>
      <c r="E197" s="59" t="s">
        <v>967</v>
      </c>
      <c r="F197" s="59"/>
      <c r="G197" s="59"/>
      <c r="H197" s="59"/>
      <c r="I197" s="61"/>
      <c r="J197" s="59"/>
      <c r="K197" s="59" t="s">
        <v>59</v>
      </c>
      <c r="L197" s="61"/>
      <c r="M197" s="66"/>
      <c r="N197" s="67"/>
      <c r="O197" s="59"/>
      <c r="P197" s="59"/>
      <c r="Q197" s="59"/>
      <c r="R197" s="59"/>
      <c r="S197" s="59"/>
      <c r="T197" s="59"/>
      <c r="U197" s="63"/>
      <c r="V197" s="59"/>
      <c r="W197" s="66" t="s">
        <v>64</v>
      </c>
      <c r="X197" s="31">
        <v>3355.97</v>
      </c>
      <c r="Y197" s="62"/>
      <c r="Z197" s="76">
        <f t="shared" si="3"/>
      </c>
      <c r="AA197" s="62" t="s">
        <v>47</v>
      </c>
      <c r="AB197" s="63"/>
      <c r="AC197" s="63"/>
      <c r="AD197" s="63"/>
      <c r="AE197" s="61" t="s">
        <v>48</v>
      </c>
    </row>
    <row r="198" spans="1:31" s="64" customFormat="1" x14ac:dyDescent="0.25">
      <c r="A198" s="59" t="s">
        <v>264</v>
      </c>
      <c r="B198" s="59" t="s">
        <v>614</v>
      </c>
      <c r="C198" s="60">
        <v>43837</v>
      </c>
      <c r="D198" s="31">
        <v>2739.7</v>
      </c>
      <c r="E198" s="59" t="s">
        <v>968</v>
      </c>
      <c r="F198" s="59"/>
      <c r="G198" s="59"/>
      <c r="H198" s="59"/>
      <c r="I198" s="61"/>
      <c r="J198" s="59"/>
      <c r="K198" s="59" t="s">
        <v>55</v>
      </c>
      <c r="L198" s="61"/>
      <c r="M198" s="66"/>
      <c r="N198" s="67"/>
      <c r="O198" s="59"/>
      <c r="P198" s="59"/>
      <c r="Q198" s="59"/>
      <c r="R198" s="59"/>
      <c r="S198" s="59"/>
      <c r="T198" s="59"/>
      <c r="U198" s="63"/>
      <c r="V198" s="59"/>
      <c r="W198" s="66" t="s">
        <v>54</v>
      </c>
      <c r="X198" s="31">
        <v>2739.7</v>
      </c>
      <c r="Y198" s="62"/>
      <c r="Z198" s="76">
        <f t="shared" si="3"/>
      </c>
      <c r="AA198" s="62" t="s">
        <v>47</v>
      </c>
      <c r="AB198" s="63"/>
      <c r="AC198" s="63"/>
      <c r="AD198" s="63"/>
      <c r="AE198" s="61" t="s">
        <v>48</v>
      </c>
    </row>
    <row r="199" spans="1:31" s="64" customFormat="1" x14ac:dyDescent="0.25">
      <c r="A199" s="59" t="s">
        <v>265</v>
      </c>
      <c r="B199" s="59" t="s">
        <v>615</v>
      </c>
      <c r="C199" s="60">
        <v>44432</v>
      </c>
      <c r="D199" s="31">
        <v>1350.16</v>
      </c>
      <c r="E199" s="59" t="s">
        <v>969</v>
      </c>
      <c r="F199" s="59"/>
      <c r="G199" s="59"/>
      <c r="H199" s="59"/>
      <c r="I199" s="61"/>
      <c r="J199" s="59"/>
      <c r="K199" s="59" t="s">
        <v>59</v>
      </c>
      <c r="L199" s="61"/>
      <c r="M199" s="66"/>
      <c r="N199" s="67"/>
      <c r="O199" s="59"/>
      <c r="P199" s="59"/>
      <c r="Q199" s="59"/>
      <c r="R199" s="59"/>
      <c r="S199" s="59"/>
      <c r="T199" s="59"/>
      <c r="U199" s="63"/>
      <c r="V199" s="59"/>
      <c r="W199" s="61" t="s">
        <v>6</v>
      </c>
      <c r="X199" s="31">
        <v>1350.16</v>
      </c>
      <c r="Y199" s="62" t="s">
        <v>52</v>
      </c>
      <c r="Z199" s="76">
        <f t="shared" si="3"/>
      </c>
      <c r="AA199" s="62" t="s">
        <v>10</v>
      </c>
      <c r="AB199" s="63"/>
      <c r="AC199" s="63"/>
      <c r="AD199" s="63"/>
      <c r="AE199" s="61" t="s">
        <v>48</v>
      </c>
    </row>
    <row r="200" spans="1:31" s="64" customFormat="1" x14ac:dyDescent="0.25">
      <c r="A200" s="59" t="s">
        <v>266</v>
      </c>
      <c r="B200" s="59" t="s">
        <v>616</v>
      </c>
      <c r="C200" s="60">
        <v>44446</v>
      </c>
      <c r="D200" s="31">
        <v>645115.5</v>
      </c>
      <c r="E200" s="59" t="s">
        <v>970</v>
      </c>
      <c r="F200" s="59"/>
      <c r="G200" s="59"/>
      <c r="H200" s="59"/>
      <c r="I200" s="61"/>
      <c r="J200" s="59"/>
      <c r="K200" s="59" t="s">
        <v>59</v>
      </c>
      <c r="L200" s="61"/>
      <c r="M200" s="66"/>
      <c r="N200" s="67"/>
      <c r="O200" s="59"/>
      <c r="P200" s="59"/>
      <c r="Q200" s="59"/>
      <c r="R200" s="59"/>
      <c r="S200" s="59"/>
      <c r="T200" s="59"/>
      <c r="U200" s="63"/>
      <c r="V200" s="59"/>
      <c r="W200" s="61" t="s">
        <v>6</v>
      </c>
      <c r="X200" s="31">
        <v>645115.5</v>
      </c>
      <c r="Y200" s="62" t="s">
        <v>52</v>
      </c>
      <c r="Z200" s="76">
        <f t="shared" si="3"/>
      </c>
      <c r="AA200" s="62" t="s">
        <v>10</v>
      </c>
      <c r="AB200" s="63"/>
      <c r="AC200" s="63"/>
      <c r="AD200" s="63"/>
      <c r="AE200" s="61" t="s">
        <v>48</v>
      </c>
    </row>
    <row r="201" spans="1:31" s="64" customFormat="1" x14ac:dyDescent="0.25">
      <c r="A201" s="59" t="s">
        <v>267</v>
      </c>
      <c r="B201" s="59" t="s">
        <v>617</v>
      </c>
      <c r="C201" s="60">
        <v>44418</v>
      </c>
      <c r="D201" s="31">
        <v>185563.2</v>
      </c>
      <c r="E201" s="59" t="s">
        <v>971</v>
      </c>
      <c r="F201" s="59"/>
      <c r="G201" s="59"/>
      <c r="H201" s="59"/>
      <c r="I201" s="61"/>
      <c r="J201" s="59"/>
      <c r="K201" s="59" t="s">
        <v>59</v>
      </c>
      <c r="L201" s="61"/>
      <c r="M201" s="66"/>
      <c r="N201" s="67"/>
      <c r="O201" s="59"/>
      <c r="P201" s="59"/>
      <c r="Q201" s="59"/>
      <c r="R201" s="59"/>
      <c r="S201" s="59"/>
      <c r="T201" s="59"/>
      <c r="U201" s="63"/>
      <c r="V201" s="59"/>
      <c r="W201" s="61" t="s">
        <v>6</v>
      </c>
      <c r="X201" s="31">
        <v>183127.09</v>
      </c>
      <c r="Y201" s="62" t="s">
        <v>52</v>
      </c>
      <c r="Z201" s="76">
        <f t="shared" si="3"/>
      </c>
      <c r="AA201" s="62" t="s">
        <v>10</v>
      </c>
      <c r="AB201" s="63"/>
      <c r="AC201" s="63"/>
      <c r="AD201" s="63"/>
      <c r="AE201" s="61" t="s">
        <v>48</v>
      </c>
    </row>
    <row r="202" spans="1:31" s="64" customFormat="1" x14ac:dyDescent="0.25">
      <c r="A202" s="59" t="s">
        <v>268</v>
      </c>
      <c r="B202" s="59" t="s">
        <v>618</v>
      </c>
      <c r="C202" s="60">
        <v>44400</v>
      </c>
      <c r="D202" s="31">
        <v>8695.56</v>
      </c>
      <c r="E202" s="59" t="s">
        <v>972</v>
      </c>
      <c r="F202" s="59"/>
      <c r="G202" s="59"/>
      <c r="H202" s="59"/>
      <c r="I202" s="61"/>
      <c r="J202" s="59"/>
      <c r="K202" s="59" t="s">
        <v>59</v>
      </c>
      <c r="L202" s="61"/>
      <c r="M202" s="66"/>
      <c r="N202" s="67"/>
      <c r="O202" s="59"/>
      <c r="P202" s="59"/>
      <c r="Q202" s="59"/>
      <c r="R202" s="59"/>
      <c r="S202" s="59"/>
      <c r="T202" s="59"/>
      <c r="U202" s="63"/>
      <c r="V202" s="59"/>
      <c r="W202" s="61" t="s">
        <v>6</v>
      </c>
      <c r="X202" s="31">
        <v>8695.56</v>
      </c>
      <c r="Y202" s="62" t="s">
        <v>52</v>
      </c>
      <c r="Z202" s="76">
        <f t="shared" si="3"/>
      </c>
      <c r="AA202" s="62" t="s">
        <v>10</v>
      </c>
      <c r="AB202" s="63"/>
      <c r="AC202" s="63"/>
      <c r="AD202" s="63"/>
      <c r="AE202" s="61" t="s">
        <v>48</v>
      </c>
    </row>
    <row r="203" spans="1:31" s="64" customFormat="1" x14ac:dyDescent="0.25">
      <c r="A203" s="59" t="s">
        <v>269</v>
      </c>
      <c r="B203" s="59" t="s">
        <v>619</v>
      </c>
      <c r="C203" s="60">
        <v>44414</v>
      </c>
      <c r="D203" s="31">
        <v>7034.53</v>
      </c>
      <c r="E203" s="59" t="s">
        <v>973</v>
      </c>
      <c r="F203" s="59"/>
      <c r="G203" s="59"/>
      <c r="H203" s="59"/>
      <c r="I203" s="61"/>
      <c r="J203" s="59"/>
      <c r="K203" s="59" t="s">
        <v>59</v>
      </c>
      <c r="L203" s="61"/>
      <c r="M203" s="66"/>
      <c r="N203" s="67"/>
      <c r="O203" s="59"/>
      <c r="P203" s="59"/>
      <c r="Q203" s="59"/>
      <c r="R203" s="59"/>
      <c r="S203" s="59"/>
      <c r="T203" s="59"/>
      <c r="U203" s="63"/>
      <c r="V203" s="59"/>
      <c r="W203" s="61" t="s">
        <v>6</v>
      </c>
      <c r="X203" s="31">
        <v>7034.53</v>
      </c>
      <c r="Y203" s="62"/>
      <c r="Z203" s="76">
        <f t="shared" si="3"/>
      </c>
      <c r="AA203" s="62" t="s">
        <v>47</v>
      </c>
      <c r="AB203" s="63"/>
      <c r="AC203" s="63"/>
      <c r="AD203" s="63"/>
      <c r="AE203" s="61" t="s">
        <v>48</v>
      </c>
    </row>
    <row r="204" spans="1:31" s="64" customFormat="1" x14ac:dyDescent="0.25">
      <c r="A204" s="59" t="s">
        <v>270</v>
      </c>
      <c r="B204" s="59" t="s">
        <v>620</v>
      </c>
      <c r="C204" s="60">
        <v>43536</v>
      </c>
      <c r="D204" s="31">
        <v>5869.71</v>
      </c>
      <c r="E204" s="59" t="s">
        <v>974</v>
      </c>
      <c r="F204" s="59"/>
      <c r="G204" s="59"/>
      <c r="H204" s="59"/>
      <c r="I204" s="61"/>
      <c r="J204" s="59"/>
      <c r="K204" s="59" t="s">
        <v>46</v>
      </c>
      <c r="L204" s="61"/>
      <c r="M204" s="66"/>
      <c r="N204" s="67"/>
      <c r="O204" s="59"/>
      <c r="P204" s="59"/>
      <c r="Q204" s="59"/>
      <c r="R204" s="59"/>
      <c r="S204" s="59"/>
      <c r="T204" s="59"/>
      <c r="U204" s="63"/>
      <c r="V204" s="59"/>
      <c r="W204" s="61" t="s">
        <v>6</v>
      </c>
      <c r="X204" s="31">
        <v>5869.71</v>
      </c>
      <c r="Y204" s="62"/>
      <c r="Z204" s="76">
        <f t="shared" si="3"/>
      </c>
      <c r="AA204" s="62" t="s">
        <v>47</v>
      </c>
      <c r="AB204" s="63"/>
      <c r="AC204" s="63"/>
      <c r="AD204" s="63"/>
      <c r="AE204" s="61" t="s">
        <v>48</v>
      </c>
    </row>
    <row r="205" spans="1:31" s="64" customFormat="1" x14ac:dyDescent="0.25">
      <c r="A205" s="59" t="s">
        <v>271</v>
      </c>
      <c r="B205" s="59" t="s">
        <v>621</v>
      </c>
      <c r="C205" s="60">
        <v>44462</v>
      </c>
      <c r="D205" s="31">
        <v>5000</v>
      </c>
      <c r="E205" s="59" t="s">
        <v>975</v>
      </c>
      <c r="F205" s="59"/>
      <c r="G205" s="59"/>
      <c r="H205" s="59"/>
      <c r="I205" s="61"/>
      <c r="J205" s="59"/>
      <c r="K205" s="59" t="s">
        <v>59</v>
      </c>
      <c r="L205" s="61"/>
      <c r="M205" s="66"/>
      <c r="N205" s="67"/>
      <c r="O205" s="59"/>
      <c r="P205" s="59"/>
      <c r="Q205" s="59"/>
      <c r="R205" s="59"/>
      <c r="S205" s="59"/>
      <c r="T205" s="59"/>
      <c r="U205" s="63"/>
      <c r="V205" s="59"/>
      <c r="W205" s="61" t="s">
        <v>6</v>
      </c>
      <c r="X205" s="31">
        <v>5000</v>
      </c>
      <c r="Y205" s="62"/>
      <c r="Z205" s="76">
        <f t="shared" si="3"/>
      </c>
      <c r="AA205" s="62" t="s">
        <v>47</v>
      </c>
      <c r="AB205" s="63"/>
      <c r="AC205" s="63"/>
      <c r="AD205" s="63"/>
      <c r="AE205" s="61" t="s">
        <v>48</v>
      </c>
    </row>
    <row r="206" spans="1:31" s="64" customFormat="1" x14ac:dyDescent="0.25">
      <c r="A206" s="59" t="s">
        <v>272</v>
      </c>
      <c r="B206" s="59" t="s">
        <v>622</v>
      </c>
      <c r="C206" s="60">
        <v>43678</v>
      </c>
      <c r="D206" s="31">
        <v>4747.1400000000003</v>
      </c>
      <c r="E206" s="59" t="s">
        <v>976</v>
      </c>
      <c r="F206" s="59"/>
      <c r="G206" s="59"/>
      <c r="H206" s="59"/>
      <c r="I206" s="61"/>
      <c r="J206" s="59"/>
      <c r="K206" s="59" t="s">
        <v>46</v>
      </c>
      <c r="L206" s="61"/>
      <c r="M206" s="66"/>
      <c r="N206" s="67"/>
      <c r="O206" s="59"/>
      <c r="P206" s="59"/>
      <c r="Q206" s="59"/>
      <c r="R206" s="59"/>
      <c r="S206" s="59"/>
      <c r="T206" s="59"/>
      <c r="U206" s="63"/>
      <c r="V206" s="59"/>
      <c r="W206" s="61" t="s">
        <v>6</v>
      </c>
      <c r="X206" s="31">
        <v>4747.1400000000003</v>
      </c>
      <c r="Y206" s="62"/>
      <c r="Z206" s="76">
        <f t="shared" si="3"/>
      </c>
      <c r="AA206" s="62" t="s">
        <v>47</v>
      </c>
      <c r="AB206" s="63"/>
      <c r="AC206" s="63"/>
      <c r="AD206" s="63"/>
      <c r="AE206" s="61" t="s">
        <v>48</v>
      </c>
    </row>
    <row r="207" spans="1:31" s="64" customFormat="1" x14ac:dyDescent="0.25">
      <c r="A207" s="59" t="s">
        <v>273</v>
      </c>
      <c r="B207" s="59" t="s">
        <v>623</v>
      </c>
      <c r="C207" s="60">
        <v>44368</v>
      </c>
      <c r="D207" s="31">
        <v>4171.47</v>
      </c>
      <c r="E207" s="59" t="s">
        <v>977</v>
      </c>
      <c r="F207" s="59"/>
      <c r="G207" s="59"/>
      <c r="H207" s="59"/>
      <c r="I207" s="61"/>
      <c r="J207" s="59"/>
      <c r="K207" s="59" t="s">
        <v>59</v>
      </c>
      <c r="L207" s="61"/>
      <c r="M207" s="66"/>
      <c r="N207" s="67"/>
      <c r="O207" s="59"/>
      <c r="P207" s="59"/>
      <c r="Q207" s="59"/>
      <c r="R207" s="59"/>
      <c r="S207" s="59"/>
      <c r="T207" s="59"/>
      <c r="U207" s="63"/>
      <c r="V207" s="59"/>
      <c r="W207" s="61" t="s">
        <v>6</v>
      </c>
      <c r="X207" s="31">
        <v>4171.47</v>
      </c>
      <c r="Y207" s="62"/>
      <c r="Z207" s="76">
        <f t="shared" si="3"/>
      </c>
      <c r="AA207" s="62" t="s">
        <v>47</v>
      </c>
      <c r="AB207" s="63"/>
      <c r="AC207" s="63"/>
      <c r="AD207" s="63"/>
      <c r="AE207" s="61" t="s">
        <v>48</v>
      </c>
    </row>
    <row r="208" spans="1:31" s="64" customFormat="1" x14ac:dyDescent="0.25">
      <c r="A208" s="59" t="s">
        <v>274</v>
      </c>
      <c r="B208" s="59" t="s">
        <v>624</v>
      </c>
      <c r="C208" s="60">
        <v>44239</v>
      </c>
      <c r="D208" s="31">
        <v>3954.62</v>
      </c>
      <c r="E208" s="59" t="s">
        <v>978</v>
      </c>
      <c r="F208" s="59"/>
      <c r="G208" s="59"/>
      <c r="H208" s="59"/>
      <c r="I208" s="61"/>
      <c r="J208" s="59"/>
      <c r="K208" s="59" t="s">
        <v>59</v>
      </c>
      <c r="L208" s="61"/>
      <c r="M208" s="66"/>
      <c r="N208" s="67"/>
      <c r="O208" s="59"/>
      <c r="P208" s="59"/>
      <c r="Q208" s="59"/>
      <c r="R208" s="59"/>
      <c r="S208" s="59"/>
      <c r="T208" s="59"/>
      <c r="U208" s="63"/>
      <c r="V208" s="59"/>
      <c r="W208" s="61" t="s">
        <v>6</v>
      </c>
      <c r="X208" s="31">
        <v>3954.62</v>
      </c>
      <c r="Y208" s="62" t="s">
        <v>52</v>
      </c>
      <c r="Z208" s="76">
        <f t="shared" si="3"/>
      </c>
      <c r="AA208" s="62" t="s">
        <v>10</v>
      </c>
      <c r="AB208" s="63"/>
      <c r="AC208" s="63"/>
      <c r="AD208" s="63"/>
      <c r="AE208" s="61" t="s">
        <v>48</v>
      </c>
    </row>
    <row r="209" spans="1:31" s="64" customFormat="1" x14ac:dyDescent="0.25">
      <c r="A209" s="59" t="s">
        <v>275</v>
      </c>
      <c r="B209" s="59" t="s">
        <v>625</v>
      </c>
      <c r="C209" s="60">
        <v>44439</v>
      </c>
      <c r="D209" s="31">
        <v>3917.28</v>
      </c>
      <c r="E209" s="59" t="s">
        <v>979</v>
      </c>
      <c r="F209" s="59"/>
      <c r="G209" s="59"/>
      <c r="H209" s="59"/>
      <c r="I209" s="61"/>
      <c r="J209" s="59"/>
      <c r="K209" s="59" t="s">
        <v>59</v>
      </c>
      <c r="L209" s="61"/>
      <c r="M209" s="66"/>
      <c r="N209" s="67"/>
      <c r="O209" s="59"/>
      <c r="P209" s="59"/>
      <c r="Q209" s="59"/>
      <c r="R209" s="59"/>
      <c r="S209" s="59"/>
      <c r="T209" s="59"/>
      <c r="U209" s="63"/>
      <c r="V209" s="59"/>
      <c r="W209" s="61" t="s">
        <v>6</v>
      </c>
      <c r="X209" s="31">
        <v>3917.28</v>
      </c>
      <c r="Y209" s="62"/>
      <c r="Z209" s="76">
        <f t="shared" si="3"/>
      </c>
      <c r="AA209" s="62" t="s">
        <v>47</v>
      </c>
      <c r="AB209" s="63"/>
      <c r="AC209" s="63"/>
      <c r="AD209" s="63"/>
      <c r="AE209" s="61" t="s">
        <v>48</v>
      </c>
    </row>
    <row r="210" spans="1:31" s="64" customFormat="1" x14ac:dyDescent="0.25">
      <c r="A210" s="59" t="s">
        <v>276</v>
      </c>
      <c r="B210" s="59" t="s">
        <v>626</v>
      </c>
      <c r="C210" s="60">
        <v>44330</v>
      </c>
      <c r="D210" s="31">
        <v>2200</v>
      </c>
      <c r="E210" s="59" t="s">
        <v>980</v>
      </c>
      <c r="F210" s="59"/>
      <c r="G210" s="59"/>
      <c r="H210" s="59"/>
      <c r="I210" s="61"/>
      <c r="J210" s="59"/>
      <c r="K210" s="59" t="s">
        <v>59</v>
      </c>
      <c r="L210" s="61"/>
      <c r="M210" s="66"/>
      <c r="N210" s="67"/>
      <c r="O210" s="59"/>
      <c r="P210" s="59"/>
      <c r="Q210" s="59"/>
      <c r="R210" s="59"/>
      <c r="S210" s="59"/>
      <c r="T210" s="59"/>
      <c r="U210" s="63"/>
      <c r="V210" s="59"/>
      <c r="W210" s="61" t="s">
        <v>6</v>
      </c>
      <c r="X210" s="31">
        <v>2200</v>
      </c>
      <c r="Y210" s="62"/>
      <c r="Z210" s="76">
        <f t="shared" si="3"/>
      </c>
      <c r="AA210" s="62" t="s">
        <v>47</v>
      </c>
      <c r="AB210" s="63"/>
      <c r="AC210" s="63"/>
      <c r="AD210" s="63"/>
      <c r="AE210" s="61" t="s">
        <v>48</v>
      </c>
    </row>
    <row r="211" spans="1:31" s="64" customFormat="1" x14ac:dyDescent="0.25">
      <c r="A211" s="59" t="s">
        <v>277</v>
      </c>
      <c r="B211" s="59" t="s">
        <v>627</v>
      </c>
      <c r="C211" s="60">
        <v>44439</v>
      </c>
      <c r="D211" s="31">
        <v>1998.71</v>
      </c>
      <c r="E211" s="59" t="s">
        <v>981</v>
      </c>
      <c r="F211" s="59"/>
      <c r="G211" s="59"/>
      <c r="H211" s="59"/>
      <c r="I211" s="61"/>
      <c r="J211" s="59"/>
      <c r="K211" s="59" t="s">
        <v>59</v>
      </c>
      <c r="L211" s="61"/>
      <c r="M211" s="66"/>
      <c r="N211" s="67"/>
      <c r="O211" s="59"/>
      <c r="P211" s="59"/>
      <c r="Q211" s="59"/>
      <c r="R211" s="59"/>
      <c r="S211" s="59"/>
      <c r="T211" s="59"/>
      <c r="U211" s="63"/>
      <c r="V211" s="59"/>
      <c r="W211" s="61" t="s">
        <v>6</v>
      </c>
      <c r="X211" s="31">
        <v>1998.71</v>
      </c>
      <c r="Y211" s="62"/>
      <c r="Z211" s="76">
        <f t="shared" si="3"/>
      </c>
      <c r="AA211" s="62" t="s">
        <v>47</v>
      </c>
      <c r="AB211" s="63"/>
      <c r="AC211" s="63"/>
      <c r="AD211" s="63"/>
      <c r="AE211" s="61" t="s">
        <v>48</v>
      </c>
    </row>
    <row r="212" spans="1:31" s="64" customFormat="1" x14ac:dyDescent="0.25">
      <c r="A212" s="59" t="s">
        <v>278</v>
      </c>
      <c r="B212" s="59" t="s">
        <v>628</v>
      </c>
      <c r="C212" s="60">
        <v>44441</v>
      </c>
      <c r="D212" s="31">
        <v>1977.99</v>
      </c>
      <c r="E212" s="59" t="s">
        <v>982</v>
      </c>
      <c r="F212" s="59"/>
      <c r="G212" s="59"/>
      <c r="H212" s="59"/>
      <c r="I212" s="61"/>
      <c r="J212" s="59"/>
      <c r="K212" s="59" t="s">
        <v>59</v>
      </c>
      <c r="L212" s="61"/>
      <c r="M212" s="66"/>
      <c r="N212" s="67"/>
      <c r="O212" s="59"/>
      <c r="P212" s="59"/>
      <c r="Q212" s="59"/>
      <c r="R212" s="59"/>
      <c r="S212" s="59"/>
      <c r="T212" s="59"/>
      <c r="U212" s="63"/>
      <c r="V212" s="59"/>
      <c r="W212" s="61" t="s">
        <v>6</v>
      </c>
      <c r="X212" s="31">
        <v>1977.99</v>
      </c>
      <c r="Y212" s="62"/>
      <c r="Z212" s="76">
        <f t="shared" si="3"/>
      </c>
      <c r="AA212" s="62" t="s">
        <v>47</v>
      </c>
      <c r="AB212" s="63"/>
      <c r="AC212" s="63"/>
      <c r="AD212" s="63"/>
      <c r="AE212" s="61" t="s">
        <v>48</v>
      </c>
    </row>
    <row r="213" spans="1:31" s="64" customFormat="1" x14ac:dyDescent="0.25">
      <c r="A213" s="59" t="s">
        <v>279</v>
      </c>
      <c r="B213" s="59" t="s">
        <v>629</v>
      </c>
      <c r="C213" s="60">
        <v>44336</v>
      </c>
      <c r="D213" s="31">
        <v>1883.9</v>
      </c>
      <c r="E213" s="59" t="s">
        <v>983</v>
      </c>
      <c r="F213" s="59"/>
      <c r="G213" s="59"/>
      <c r="H213" s="59"/>
      <c r="I213" s="61"/>
      <c r="J213" s="59"/>
      <c r="K213" s="59" t="s">
        <v>59</v>
      </c>
      <c r="L213" s="61"/>
      <c r="M213" s="66"/>
      <c r="N213" s="67"/>
      <c r="O213" s="59"/>
      <c r="P213" s="59"/>
      <c r="Q213" s="59"/>
      <c r="R213" s="59"/>
      <c r="S213" s="59"/>
      <c r="T213" s="59"/>
      <c r="U213" s="63"/>
      <c r="V213" s="59"/>
      <c r="W213" s="61" t="s">
        <v>6</v>
      </c>
      <c r="X213" s="31">
        <v>1883.9</v>
      </c>
      <c r="Y213" s="62"/>
      <c r="Z213" s="76">
        <f t="shared" si="3"/>
      </c>
      <c r="AA213" s="62" t="s">
        <v>47</v>
      </c>
      <c r="AB213" s="63"/>
      <c r="AC213" s="63"/>
      <c r="AD213" s="63"/>
      <c r="AE213" s="61" t="s">
        <v>48</v>
      </c>
    </row>
    <row r="214" spans="1:31" s="64" customFormat="1" x14ac:dyDescent="0.25">
      <c r="A214" s="59" t="s">
        <v>280</v>
      </c>
      <c r="B214" s="59" t="s">
        <v>630</v>
      </c>
      <c r="C214" s="60">
        <v>44085</v>
      </c>
      <c r="D214" s="31">
        <v>1649.68</v>
      </c>
      <c r="E214" s="59" t="s">
        <v>984</v>
      </c>
      <c r="F214" s="59"/>
      <c r="G214" s="59"/>
      <c r="H214" s="59"/>
      <c r="I214" s="61"/>
      <c r="J214" s="59"/>
      <c r="K214" s="59" t="s">
        <v>55</v>
      </c>
      <c r="L214" s="61"/>
      <c r="M214" s="66"/>
      <c r="N214" s="67"/>
      <c r="O214" s="59"/>
      <c r="P214" s="59"/>
      <c r="Q214" s="59"/>
      <c r="R214" s="59"/>
      <c r="S214" s="59"/>
      <c r="T214" s="59"/>
      <c r="U214" s="63"/>
      <c r="V214" s="59"/>
      <c r="W214" s="61" t="s">
        <v>6</v>
      </c>
      <c r="X214" s="31">
        <v>1649.68</v>
      </c>
      <c r="Y214" s="62"/>
      <c r="Z214" s="76">
        <f t="shared" si="3"/>
      </c>
      <c r="AA214" s="62" t="s">
        <v>47</v>
      </c>
      <c r="AB214" s="63"/>
      <c r="AC214" s="63"/>
      <c r="AD214" s="63"/>
      <c r="AE214" s="61" t="s">
        <v>48</v>
      </c>
    </row>
    <row r="215" spans="1:31" s="64" customFormat="1" x14ac:dyDescent="0.25">
      <c r="A215" s="59" t="s">
        <v>281</v>
      </c>
      <c r="B215" s="59" t="s">
        <v>631</v>
      </c>
      <c r="C215" s="60">
        <v>44378</v>
      </c>
      <c r="D215" s="31">
        <v>1596.66</v>
      </c>
      <c r="E215" s="59" t="s">
        <v>985</v>
      </c>
      <c r="F215" s="59"/>
      <c r="G215" s="59"/>
      <c r="H215" s="59"/>
      <c r="I215" s="61"/>
      <c r="J215" s="59"/>
      <c r="K215" s="59" t="s">
        <v>59</v>
      </c>
      <c r="L215" s="61"/>
      <c r="M215" s="66"/>
      <c r="N215" s="67"/>
      <c r="O215" s="59"/>
      <c r="P215" s="59"/>
      <c r="Q215" s="59"/>
      <c r="R215" s="59"/>
      <c r="S215" s="59"/>
      <c r="T215" s="59"/>
      <c r="U215" s="63"/>
      <c r="V215" s="59"/>
      <c r="W215" s="61" t="s">
        <v>6</v>
      </c>
      <c r="X215" s="31">
        <v>1596.66</v>
      </c>
      <c r="Y215" s="62"/>
      <c r="Z215" s="76">
        <f t="shared" si="3"/>
      </c>
      <c r="AA215" s="62" t="s">
        <v>47</v>
      </c>
      <c r="AB215" s="63"/>
      <c r="AC215" s="63"/>
      <c r="AD215" s="63"/>
      <c r="AE215" s="61" t="s">
        <v>48</v>
      </c>
    </row>
    <row r="216" spans="1:31" s="64" customFormat="1" x14ac:dyDescent="0.25">
      <c r="A216" s="59" t="s">
        <v>282</v>
      </c>
      <c r="B216" s="59" t="s">
        <v>632</v>
      </c>
      <c r="C216" s="60">
        <v>43698</v>
      </c>
      <c r="D216" s="31">
        <v>1473.81</v>
      </c>
      <c r="E216" s="59" t="s">
        <v>986</v>
      </c>
      <c r="F216" s="59"/>
      <c r="G216" s="59"/>
      <c r="H216" s="59"/>
      <c r="I216" s="61"/>
      <c r="J216" s="59"/>
      <c r="K216" s="59" t="s">
        <v>46</v>
      </c>
      <c r="L216" s="61"/>
      <c r="M216" s="66"/>
      <c r="N216" s="67"/>
      <c r="O216" s="59"/>
      <c r="P216" s="59"/>
      <c r="Q216" s="59"/>
      <c r="R216" s="59"/>
      <c r="S216" s="59"/>
      <c r="T216" s="59"/>
      <c r="U216" s="63"/>
      <c r="V216" s="59"/>
      <c r="W216" s="61" t="s">
        <v>6</v>
      </c>
      <c r="X216" s="31">
        <v>1473.81</v>
      </c>
      <c r="Y216" s="62"/>
      <c r="Z216" s="76">
        <f t="shared" si="3"/>
      </c>
      <c r="AA216" s="62" t="s">
        <v>47</v>
      </c>
      <c r="AB216" s="63"/>
      <c r="AC216" s="63"/>
      <c r="AD216" s="63"/>
      <c r="AE216" s="61" t="s">
        <v>48</v>
      </c>
    </row>
    <row r="217" spans="1:31" s="64" customFormat="1" x14ac:dyDescent="0.25">
      <c r="A217" s="59" t="s">
        <v>283</v>
      </c>
      <c r="B217" s="59" t="s">
        <v>633</v>
      </c>
      <c r="C217" s="60">
        <v>43934</v>
      </c>
      <c r="D217" s="31">
        <v>1457.47</v>
      </c>
      <c r="E217" s="59" t="s">
        <v>987</v>
      </c>
      <c r="F217" s="59"/>
      <c r="G217" s="59"/>
      <c r="H217" s="59"/>
      <c r="I217" s="61"/>
      <c r="J217" s="59"/>
      <c r="K217" s="59" t="s">
        <v>55</v>
      </c>
      <c r="L217" s="61"/>
      <c r="M217" s="66"/>
      <c r="N217" s="67"/>
      <c r="O217" s="59"/>
      <c r="P217" s="59"/>
      <c r="Q217" s="59"/>
      <c r="R217" s="59"/>
      <c r="S217" s="59"/>
      <c r="T217" s="59"/>
      <c r="U217" s="63"/>
      <c r="V217" s="59"/>
      <c r="W217" s="61" t="s">
        <v>6</v>
      </c>
      <c r="X217" s="31">
        <v>1457.47</v>
      </c>
      <c r="Y217" s="62"/>
      <c r="Z217" s="76">
        <f t="shared" si="3"/>
      </c>
      <c r="AA217" s="62" t="s">
        <v>47</v>
      </c>
      <c r="AB217" s="63"/>
      <c r="AC217" s="63"/>
      <c r="AD217" s="63"/>
      <c r="AE217" s="61" t="s">
        <v>48</v>
      </c>
    </row>
    <row r="218" spans="1:31" s="64" customFormat="1" x14ac:dyDescent="0.25">
      <c r="A218" s="59" t="s">
        <v>284</v>
      </c>
      <c r="B218" s="59" t="s">
        <v>634</v>
      </c>
      <c r="C218" s="60">
        <v>44320</v>
      </c>
      <c r="D218" s="31">
        <v>1427.4</v>
      </c>
      <c r="E218" s="59" t="s">
        <v>988</v>
      </c>
      <c r="F218" s="59"/>
      <c r="G218" s="59"/>
      <c r="H218" s="59"/>
      <c r="I218" s="61"/>
      <c r="J218" s="59"/>
      <c r="K218" s="59" t="s">
        <v>59</v>
      </c>
      <c r="L218" s="61"/>
      <c r="M218" s="66"/>
      <c r="N218" s="67"/>
      <c r="O218" s="59"/>
      <c r="P218" s="59"/>
      <c r="Q218" s="59"/>
      <c r="R218" s="59"/>
      <c r="S218" s="59"/>
      <c r="T218" s="59"/>
      <c r="U218" s="63"/>
      <c r="V218" s="59"/>
      <c r="W218" s="61" t="s">
        <v>6</v>
      </c>
      <c r="X218" s="31">
        <v>1427.4</v>
      </c>
      <c r="Y218" s="62"/>
      <c r="Z218" s="76">
        <f t="shared" si="3"/>
      </c>
      <c r="AA218" s="62" t="s">
        <v>47</v>
      </c>
      <c r="AB218" s="63"/>
      <c r="AC218" s="63"/>
      <c r="AD218" s="63"/>
      <c r="AE218" s="61" t="s">
        <v>48</v>
      </c>
    </row>
    <row r="219" spans="1:31" s="64" customFormat="1" x14ac:dyDescent="0.25">
      <c r="A219" s="59" t="s">
        <v>285</v>
      </c>
      <c r="B219" s="59" t="s">
        <v>635</v>
      </c>
      <c r="C219" s="60">
        <v>44266</v>
      </c>
      <c r="D219" s="31">
        <v>1320</v>
      </c>
      <c r="E219" s="59" t="s">
        <v>989</v>
      </c>
      <c r="F219" s="59"/>
      <c r="G219" s="59"/>
      <c r="H219" s="59"/>
      <c r="I219" s="61"/>
      <c r="J219" s="59"/>
      <c r="K219" s="59" t="s">
        <v>59</v>
      </c>
      <c r="L219" s="61"/>
      <c r="M219" s="66"/>
      <c r="N219" s="67"/>
      <c r="O219" s="59"/>
      <c r="P219" s="59"/>
      <c r="Q219" s="59"/>
      <c r="R219" s="59"/>
      <c r="S219" s="59"/>
      <c r="T219" s="59"/>
      <c r="U219" s="63"/>
      <c r="V219" s="59"/>
      <c r="W219" s="61" t="s">
        <v>6</v>
      </c>
      <c r="X219" s="31">
        <v>1320</v>
      </c>
      <c r="Y219" s="62"/>
      <c r="Z219" s="76">
        <f t="shared" si="3"/>
      </c>
      <c r="AA219" s="62" t="s">
        <v>47</v>
      </c>
      <c r="AB219" s="63"/>
      <c r="AC219" s="63"/>
      <c r="AD219" s="63"/>
      <c r="AE219" s="61" t="s">
        <v>48</v>
      </c>
    </row>
    <row r="220" spans="1:31" s="64" customFormat="1" x14ac:dyDescent="0.25">
      <c r="A220" s="59" t="s">
        <v>286</v>
      </c>
      <c r="B220" s="59" t="s">
        <v>636</v>
      </c>
      <c r="C220" s="60">
        <v>44409</v>
      </c>
      <c r="D220" s="31">
        <v>1299.49</v>
      </c>
      <c r="E220" s="59" t="s">
        <v>990</v>
      </c>
      <c r="F220" s="59"/>
      <c r="G220" s="59"/>
      <c r="H220" s="59"/>
      <c r="I220" s="61"/>
      <c r="J220" s="59"/>
      <c r="K220" s="59" t="s">
        <v>59</v>
      </c>
      <c r="L220" s="61"/>
      <c r="M220" s="66"/>
      <c r="N220" s="67"/>
      <c r="O220" s="59"/>
      <c r="P220" s="59"/>
      <c r="Q220" s="59"/>
      <c r="R220" s="59"/>
      <c r="S220" s="59"/>
      <c r="T220" s="59"/>
      <c r="U220" s="63"/>
      <c r="V220" s="59"/>
      <c r="W220" s="61" t="s">
        <v>6</v>
      </c>
      <c r="X220" s="31">
        <v>1299.49</v>
      </c>
      <c r="Y220" s="62"/>
      <c r="Z220" s="76">
        <f t="shared" si="3"/>
      </c>
      <c r="AA220" s="62" t="s">
        <v>47</v>
      </c>
      <c r="AB220" s="63"/>
      <c r="AC220" s="63"/>
      <c r="AD220" s="63"/>
      <c r="AE220" s="61" t="s">
        <v>48</v>
      </c>
    </row>
    <row r="221" spans="1:31" s="64" customFormat="1" x14ac:dyDescent="0.25">
      <c r="A221" s="59" t="s">
        <v>287</v>
      </c>
      <c r="B221" s="59" t="s">
        <v>637</v>
      </c>
      <c r="C221" s="60">
        <v>44239</v>
      </c>
      <c r="D221" s="31">
        <v>1268.81</v>
      </c>
      <c r="E221" s="59" t="s">
        <v>991</v>
      </c>
      <c r="F221" s="59"/>
      <c r="G221" s="59"/>
      <c r="H221" s="59"/>
      <c r="I221" s="61"/>
      <c r="J221" s="59"/>
      <c r="K221" s="59" t="s">
        <v>59</v>
      </c>
      <c r="L221" s="61"/>
      <c r="M221" s="66"/>
      <c r="N221" s="67"/>
      <c r="O221" s="59"/>
      <c r="P221" s="59"/>
      <c r="Q221" s="59"/>
      <c r="R221" s="59"/>
      <c r="S221" s="59"/>
      <c r="T221" s="59"/>
      <c r="U221" s="63"/>
      <c r="V221" s="59"/>
      <c r="W221" s="61" t="s">
        <v>6</v>
      </c>
      <c r="X221" s="31">
        <v>1268.81</v>
      </c>
      <c r="Y221" s="62"/>
      <c r="Z221" s="76">
        <f t="shared" si="3"/>
      </c>
      <c r="AA221" s="62" t="s">
        <v>47</v>
      </c>
      <c r="AB221" s="63"/>
      <c r="AC221" s="63"/>
      <c r="AD221" s="63"/>
      <c r="AE221" s="61" t="s">
        <v>48</v>
      </c>
    </row>
    <row r="222" spans="1:31" s="64" customFormat="1" x14ac:dyDescent="0.25">
      <c r="A222" s="59" t="s">
        <v>288</v>
      </c>
      <c r="B222" s="59" t="s">
        <v>638</v>
      </c>
      <c r="C222" s="60">
        <v>44239</v>
      </c>
      <c r="D222" s="31">
        <v>1246.3800000000001</v>
      </c>
      <c r="E222" s="59" t="s">
        <v>992</v>
      </c>
      <c r="F222" s="59"/>
      <c r="G222" s="59"/>
      <c r="H222" s="59"/>
      <c r="I222" s="61"/>
      <c r="J222" s="59"/>
      <c r="K222" s="59" t="s">
        <v>59</v>
      </c>
      <c r="L222" s="61"/>
      <c r="M222" s="66"/>
      <c r="N222" s="67"/>
      <c r="O222" s="59"/>
      <c r="P222" s="59"/>
      <c r="Q222" s="59"/>
      <c r="R222" s="59"/>
      <c r="S222" s="59"/>
      <c r="T222" s="59"/>
      <c r="U222" s="63"/>
      <c r="V222" s="59"/>
      <c r="W222" s="61" t="s">
        <v>6</v>
      </c>
      <c r="X222" s="31">
        <v>1246.3800000000001</v>
      </c>
      <c r="Y222" s="62"/>
      <c r="Z222" s="76">
        <f t="shared" si="3"/>
      </c>
      <c r="AA222" s="62" t="s">
        <v>47</v>
      </c>
      <c r="AB222" s="63"/>
      <c r="AC222" s="63"/>
      <c r="AD222" s="63"/>
      <c r="AE222" s="61" t="s">
        <v>48</v>
      </c>
    </row>
    <row r="223" spans="1:31" s="64" customFormat="1" x14ac:dyDescent="0.25">
      <c r="A223" s="59" t="s">
        <v>289</v>
      </c>
      <c r="B223" s="59" t="s">
        <v>639</v>
      </c>
      <c r="C223" s="60">
        <v>44320</v>
      </c>
      <c r="D223" s="31">
        <v>1200</v>
      </c>
      <c r="E223" s="59" t="s">
        <v>993</v>
      </c>
      <c r="F223" s="59"/>
      <c r="G223" s="59"/>
      <c r="H223" s="59"/>
      <c r="I223" s="61"/>
      <c r="J223" s="59"/>
      <c r="K223" s="59" t="s">
        <v>59</v>
      </c>
      <c r="L223" s="61"/>
      <c r="M223" s="66"/>
      <c r="N223" s="67"/>
      <c r="O223" s="59"/>
      <c r="P223" s="59"/>
      <c r="Q223" s="59"/>
      <c r="R223" s="59"/>
      <c r="S223" s="59"/>
      <c r="T223" s="59"/>
      <c r="U223" s="63"/>
      <c r="V223" s="59"/>
      <c r="W223" s="61" t="s">
        <v>6</v>
      </c>
      <c r="X223" s="31">
        <v>1200</v>
      </c>
      <c r="Y223" s="62"/>
      <c r="Z223" s="76">
        <f t="shared" si="3"/>
      </c>
      <c r="AA223" s="62" t="s">
        <v>47</v>
      </c>
      <c r="AB223" s="63"/>
      <c r="AC223" s="63"/>
      <c r="AD223" s="63"/>
      <c r="AE223" s="61" t="s">
        <v>48</v>
      </c>
    </row>
    <row r="224" spans="1:31" s="64" customFormat="1" x14ac:dyDescent="0.25">
      <c r="A224" s="59" t="s">
        <v>290</v>
      </c>
      <c r="B224" s="59" t="s">
        <v>640</v>
      </c>
      <c r="C224" s="60">
        <v>44239</v>
      </c>
      <c r="D224" s="31">
        <v>1155.05</v>
      </c>
      <c r="E224" s="59" t="s">
        <v>994</v>
      </c>
      <c r="F224" s="59"/>
      <c r="G224" s="59"/>
      <c r="H224" s="59"/>
      <c r="I224" s="61"/>
      <c r="J224" s="59"/>
      <c r="K224" s="59" t="s">
        <v>59</v>
      </c>
      <c r="L224" s="61"/>
      <c r="M224" s="66"/>
      <c r="N224" s="67"/>
      <c r="O224" s="59"/>
      <c r="P224" s="59"/>
      <c r="Q224" s="59"/>
      <c r="R224" s="59"/>
      <c r="S224" s="59"/>
      <c r="T224" s="59"/>
      <c r="U224" s="63"/>
      <c r="V224" s="59"/>
      <c r="W224" s="61" t="s">
        <v>6</v>
      </c>
      <c r="X224" s="31">
        <v>1155.05</v>
      </c>
      <c r="Y224" s="62"/>
      <c r="Z224" s="76">
        <f t="shared" si="3"/>
      </c>
      <c r="AA224" s="62" t="s">
        <v>47</v>
      </c>
      <c r="AB224" s="63"/>
      <c r="AC224" s="63"/>
      <c r="AD224" s="63"/>
      <c r="AE224" s="61" t="s">
        <v>48</v>
      </c>
    </row>
    <row r="225" spans="1:31" s="64" customFormat="1" x14ac:dyDescent="0.25">
      <c r="A225" s="59" t="s">
        <v>291</v>
      </c>
      <c r="B225" s="59" t="s">
        <v>641</v>
      </c>
      <c r="C225" s="60">
        <v>44421</v>
      </c>
      <c r="D225" s="31">
        <v>1146.28</v>
      </c>
      <c r="E225" s="59" t="s">
        <v>995</v>
      </c>
      <c r="F225" s="59"/>
      <c r="G225" s="59"/>
      <c r="H225" s="59"/>
      <c r="I225" s="61"/>
      <c r="J225" s="59"/>
      <c r="K225" s="59" t="s">
        <v>59</v>
      </c>
      <c r="L225" s="61"/>
      <c r="M225" s="66"/>
      <c r="N225" s="67"/>
      <c r="O225" s="59"/>
      <c r="P225" s="59"/>
      <c r="Q225" s="59"/>
      <c r="R225" s="59"/>
      <c r="S225" s="59"/>
      <c r="T225" s="59"/>
      <c r="U225" s="63"/>
      <c r="V225" s="59"/>
      <c r="W225" s="61" t="s">
        <v>6</v>
      </c>
      <c r="X225" s="31">
        <v>1146.28</v>
      </c>
      <c r="Y225" s="62" t="s">
        <v>52</v>
      </c>
      <c r="Z225" s="76">
        <f t="shared" si="3"/>
      </c>
      <c r="AA225" s="62" t="s">
        <v>10</v>
      </c>
      <c r="AB225" s="63"/>
      <c r="AC225" s="63"/>
      <c r="AD225" s="63"/>
      <c r="AE225" s="61" t="s">
        <v>48</v>
      </c>
    </row>
    <row r="226" spans="1:31" s="64" customFormat="1" x14ac:dyDescent="0.25">
      <c r="A226" s="59" t="s">
        <v>292</v>
      </c>
      <c r="B226" s="59" t="s">
        <v>642</v>
      </c>
      <c r="C226" s="60">
        <v>44239</v>
      </c>
      <c r="D226" s="31">
        <v>1136.55</v>
      </c>
      <c r="E226" s="59" t="s">
        <v>996</v>
      </c>
      <c r="F226" s="59"/>
      <c r="G226" s="59"/>
      <c r="H226" s="59"/>
      <c r="I226" s="61"/>
      <c r="J226" s="59"/>
      <c r="K226" s="59" t="s">
        <v>59</v>
      </c>
      <c r="L226" s="61"/>
      <c r="M226" s="66"/>
      <c r="N226" s="67"/>
      <c r="O226" s="59"/>
      <c r="P226" s="59"/>
      <c r="Q226" s="59"/>
      <c r="R226" s="59"/>
      <c r="S226" s="59"/>
      <c r="T226" s="59"/>
      <c r="U226" s="63"/>
      <c r="V226" s="59"/>
      <c r="W226" s="61" t="s">
        <v>6</v>
      </c>
      <c r="X226" s="31">
        <v>1136.55</v>
      </c>
      <c r="Y226" s="62"/>
      <c r="Z226" s="76">
        <f t="shared" si="3"/>
      </c>
      <c r="AA226" s="62" t="s">
        <v>47</v>
      </c>
      <c r="AB226" s="63"/>
      <c r="AC226" s="63"/>
      <c r="AD226" s="63"/>
      <c r="AE226" s="61" t="s">
        <v>48</v>
      </c>
    </row>
    <row r="227" spans="1:31" s="64" customFormat="1" x14ac:dyDescent="0.25">
      <c r="A227" s="59" t="s">
        <v>293</v>
      </c>
      <c r="B227" s="59" t="s">
        <v>643</v>
      </c>
      <c r="C227" s="60">
        <v>43628</v>
      </c>
      <c r="D227" s="31">
        <v>1097.3699999999999</v>
      </c>
      <c r="E227" s="59" t="s">
        <v>997</v>
      </c>
      <c r="F227" s="59"/>
      <c r="G227" s="59"/>
      <c r="H227" s="59"/>
      <c r="I227" s="61"/>
      <c r="J227" s="59"/>
      <c r="K227" s="59" t="s">
        <v>46</v>
      </c>
      <c r="L227" s="61"/>
      <c r="M227" s="66"/>
      <c r="N227" s="67"/>
      <c r="O227" s="59"/>
      <c r="P227" s="59"/>
      <c r="Q227" s="59"/>
      <c r="R227" s="59"/>
      <c r="S227" s="59"/>
      <c r="T227" s="59"/>
      <c r="U227" s="63"/>
      <c r="V227" s="59"/>
      <c r="W227" s="61" t="s">
        <v>6</v>
      </c>
      <c r="X227" s="31">
        <v>1097.3699999999999</v>
      </c>
      <c r="Y227" s="62"/>
      <c r="Z227" s="76">
        <f t="shared" si="3"/>
      </c>
      <c r="AA227" s="62" t="s">
        <v>47</v>
      </c>
      <c r="AB227" s="63"/>
      <c r="AC227" s="63"/>
      <c r="AD227" s="63"/>
      <c r="AE227" s="61" t="s">
        <v>48</v>
      </c>
    </row>
    <row r="228" spans="1:31" s="64" customFormat="1" x14ac:dyDescent="0.25">
      <c r="A228" s="59" t="s">
        <v>294</v>
      </c>
      <c r="B228" s="59" t="s">
        <v>644</v>
      </c>
      <c r="C228" s="60">
        <v>43700</v>
      </c>
      <c r="D228" s="31">
        <v>1000</v>
      </c>
      <c r="E228" s="59" t="s">
        <v>998</v>
      </c>
      <c r="F228" s="59"/>
      <c r="G228" s="59"/>
      <c r="H228" s="59"/>
      <c r="I228" s="61"/>
      <c r="J228" s="59"/>
      <c r="K228" s="59" t="s">
        <v>46</v>
      </c>
      <c r="L228" s="61"/>
      <c r="M228" s="66"/>
      <c r="N228" s="67"/>
      <c r="O228" s="59"/>
      <c r="P228" s="59"/>
      <c r="Q228" s="59"/>
      <c r="R228" s="59"/>
      <c r="S228" s="59"/>
      <c r="T228" s="59"/>
      <c r="U228" s="63"/>
      <c r="V228" s="59"/>
      <c r="W228" s="61" t="s">
        <v>6</v>
      </c>
      <c r="X228" s="31">
        <v>1000</v>
      </c>
      <c r="Y228" s="62"/>
      <c r="Z228" s="76">
        <f t="shared" si="3"/>
      </c>
      <c r="AA228" s="62" t="s">
        <v>47</v>
      </c>
      <c r="AB228" s="63"/>
      <c r="AC228" s="63"/>
      <c r="AD228" s="63"/>
      <c r="AE228" s="61" t="s">
        <v>48</v>
      </c>
    </row>
    <row r="229" spans="1:31" s="64" customFormat="1" x14ac:dyDescent="0.25">
      <c r="A229" s="59" t="s">
        <v>295</v>
      </c>
      <c r="B229" s="59" t="s">
        <v>645</v>
      </c>
      <c r="C229" s="60">
        <v>44266</v>
      </c>
      <c r="D229" s="31">
        <v>934.96</v>
      </c>
      <c r="E229" s="59" t="s">
        <v>999</v>
      </c>
      <c r="F229" s="59"/>
      <c r="G229" s="59"/>
      <c r="H229" s="59"/>
      <c r="I229" s="61"/>
      <c r="J229" s="59"/>
      <c r="K229" s="59" t="s">
        <v>59</v>
      </c>
      <c r="L229" s="61"/>
      <c r="M229" s="66"/>
      <c r="N229" s="67"/>
      <c r="O229" s="59"/>
      <c r="P229" s="59"/>
      <c r="Q229" s="59"/>
      <c r="R229" s="59"/>
      <c r="S229" s="59"/>
      <c r="T229" s="59"/>
      <c r="U229" s="63"/>
      <c r="V229" s="59"/>
      <c r="W229" s="61" t="s">
        <v>6</v>
      </c>
      <c r="X229" s="31">
        <v>934.96</v>
      </c>
      <c r="Y229" s="62"/>
      <c r="Z229" s="76">
        <f t="shared" si="3"/>
      </c>
      <c r="AA229" s="62" t="s">
        <v>47</v>
      </c>
      <c r="AB229" s="63"/>
      <c r="AC229" s="63"/>
      <c r="AD229" s="63"/>
      <c r="AE229" s="61" t="s">
        <v>48</v>
      </c>
    </row>
    <row r="230" spans="1:31" s="64" customFormat="1" x14ac:dyDescent="0.25">
      <c r="A230" s="59" t="s">
        <v>296</v>
      </c>
      <c r="B230" s="59" t="s">
        <v>646</v>
      </c>
      <c r="C230" s="60">
        <v>43640</v>
      </c>
      <c r="D230" s="31">
        <v>927.59</v>
      </c>
      <c r="E230" s="59" t="s">
        <v>1000</v>
      </c>
      <c r="F230" s="59"/>
      <c r="G230" s="59"/>
      <c r="H230" s="59"/>
      <c r="I230" s="61"/>
      <c r="J230" s="59"/>
      <c r="K230" s="59" t="s">
        <v>46</v>
      </c>
      <c r="L230" s="61"/>
      <c r="M230" s="66"/>
      <c r="N230" s="67"/>
      <c r="O230" s="59"/>
      <c r="P230" s="59"/>
      <c r="Q230" s="59"/>
      <c r="R230" s="59"/>
      <c r="S230" s="59"/>
      <c r="T230" s="59"/>
      <c r="U230" s="63"/>
      <c r="V230" s="59"/>
      <c r="W230" s="61" t="s">
        <v>6</v>
      </c>
      <c r="X230" s="31">
        <v>927.59</v>
      </c>
      <c r="Y230" s="62"/>
      <c r="Z230" s="76">
        <f t="shared" si="3"/>
      </c>
      <c r="AA230" s="62" t="s">
        <v>47</v>
      </c>
      <c r="AB230" s="63"/>
      <c r="AC230" s="63"/>
      <c r="AD230" s="63"/>
      <c r="AE230" s="61" t="s">
        <v>48</v>
      </c>
    </row>
    <row r="231" spans="1:31" s="64" customFormat="1" x14ac:dyDescent="0.25">
      <c r="A231" s="59" t="s">
        <v>297</v>
      </c>
      <c r="B231" s="59" t="s">
        <v>647</v>
      </c>
      <c r="C231" s="60">
        <v>43726</v>
      </c>
      <c r="D231" s="31">
        <v>900</v>
      </c>
      <c r="E231" s="59" t="s">
        <v>1001</v>
      </c>
      <c r="F231" s="59"/>
      <c r="G231" s="59"/>
      <c r="H231" s="59"/>
      <c r="I231" s="61"/>
      <c r="J231" s="59"/>
      <c r="K231" s="59" t="s">
        <v>46</v>
      </c>
      <c r="L231" s="61"/>
      <c r="M231" s="66"/>
      <c r="N231" s="67"/>
      <c r="O231" s="59"/>
      <c r="P231" s="59"/>
      <c r="Q231" s="59"/>
      <c r="R231" s="59"/>
      <c r="S231" s="59"/>
      <c r="T231" s="59"/>
      <c r="U231" s="63"/>
      <c r="V231" s="59"/>
      <c r="W231" s="61" t="s">
        <v>6</v>
      </c>
      <c r="X231" s="31">
        <v>900</v>
      </c>
      <c r="Y231" s="62"/>
      <c r="Z231" s="76">
        <f t="shared" si="3"/>
      </c>
      <c r="AA231" s="62" t="s">
        <v>47</v>
      </c>
      <c r="AB231" s="63"/>
      <c r="AC231" s="63"/>
      <c r="AD231" s="63"/>
      <c r="AE231" s="61" t="s">
        <v>48</v>
      </c>
    </row>
    <row r="232" spans="1:31" s="64" customFormat="1" x14ac:dyDescent="0.25">
      <c r="A232" s="59" t="s">
        <v>298</v>
      </c>
      <c r="B232" s="59" t="s">
        <v>648</v>
      </c>
      <c r="C232" s="60">
        <v>43916</v>
      </c>
      <c r="D232" s="31">
        <v>896.76</v>
      </c>
      <c r="E232" s="59" t="s">
        <v>1002</v>
      </c>
      <c r="F232" s="59"/>
      <c r="G232" s="59"/>
      <c r="H232" s="59"/>
      <c r="I232" s="61"/>
      <c r="J232" s="59"/>
      <c r="K232" s="59" t="s">
        <v>55</v>
      </c>
      <c r="L232" s="61"/>
      <c r="M232" s="66"/>
      <c r="N232" s="67"/>
      <c r="O232" s="59"/>
      <c r="P232" s="59"/>
      <c r="Q232" s="59"/>
      <c r="R232" s="59"/>
      <c r="S232" s="59"/>
      <c r="T232" s="59"/>
      <c r="U232" s="63"/>
      <c r="V232" s="59"/>
      <c r="W232" s="61" t="s">
        <v>6</v>
      </c>
      <c r="X232" s="31">
        <v>896.76</v>
      </c>
      <c r="Y232" s="62"/>
      <c r="Z232" s="76">
        <f t="shared" si="3"/>
      </c>
      <c r="AA232" s="62" t="s">
        <v>47</v>
      </c>
      <c r="AB232" s="63"/>
      <c r="AC232" s="63"/>
      <c r="AD232" s="63"/>
      <c r="AE232" s="61" t="s">
        <v>48</v>
      </c>
    </row>
    <row r="233" spans="1:31" s="64" customFormat="1" x14ac:dyDescent="0.25">
      <c r="A233" s="59" t="s">
        <v>299</v>
      </c>
      <c r="B233" s="59" t="s">
        <v>649</v>
      </c>
      <c r="C233" s="60">
        <v>44441</v>
      </c>
      <c r="D233" s="31">
        <v>784.71</v>
      </c>
      <c r="E233" s="59" t="s">
        <v>1003</v>
      </c>
      <c r="F233" s="59"/>
      <c r="G233" s="59"/>
      <c r="H233" s="59"/>
      <c r="I233" s="61"/>
      <c r="J233" s="59"/>
      <c r="K233" s="59" t="s">
        <v>59</v>
      </c>
      <c r="L233" s="61"/>
      <c r="M233" s="66"/>
      <c r="N233" s="67"/>
      <c r="O233" s="59"/>
      <c r="P233" s="59"/>
      <c r="Q233" s="59"/>
      <c r="R233" s="59"/>
      <c r="S233" s="59"/>
      <c r="T233" s="59"/>
      <c r="U233" s="63"/>
      <c r="V233" s="59"/>
      <c r="W233" s="61" t="s">
        <v>6</v>
      </c>
      <c r="X233" s="31">
        <v>784.71</v>
      </c>
      <c r="Y233" s="62"/>
      <c r="Z233" s="76">
        <f t="shared" si="3"/>
      </c>
      <c r="AA233" s="62" t="s">
        <v>47</v>
      </c>
      <c r="AB233" s="63"/>
      <c r="AC233" s="63"/>
      <c r="AD233" s="63"/>
      <c r="AE233" s="61" t="s">
        <v>48</v>
      </c>
    </row>
    <row r="234" spans="1:31" s="64" customFormat="1" x14ac:dyDescent="0.25">
      <c r="A234" s="59" t="s">
        <v>300</v>
      </c>
      <c r="B234" s="59" t="s">
        <v>650</v>
      </c>
      <c r="C234" s="60">
        <v>44006</v>
      </c>
      <c r="D234" s="31">
        <v>732.64</v>
      </c>
      <c r="E234" s="59" t="s">
        <v>1004</v>
      </c>
      <c r="F234" s="59"/>
      <c r="G234" s="59"/>
      <c r="H234" s="59"/>
      <c r="I234" s="61"/>
      <c r="J234" s="59"/>
      <c r="K234" s="59" t="s">
        <v>55</v>
      </c>
      <c r="L234" s="61"/>
      <c r="M234" s="66"/>
      <c r="N234" s="67"/>
      <c r="O234" s="59"/>
      <c r="P234" s="59"/>
      <c r="Q234" s="59"/>
      <c r="R234" s="59"/>
      <c r="S234" s="59"/>
      <c r="T234" s="59"/>
      <c r="U234" s="63"/>
      <c r="V234" s="59"/>
      <c r="W234" s="61" t="s">
        <v>6</v>
      </c>
      <c r="X234" s="31">
        <v>732.64</v>
      </c>
      <c r="Y234" s="62"/>
      <c r="Z234" s="76">
        <f t="shared" si="3"/>
      </c>
      <c r="AA234" s="62" t="s">
        <v>47</v>
      </c>
      <c r="AB234" s="63"/>
      <c r="AC234" s="63"/>
      <c r="AD234" s="63"/>
      <c r="AE234" s="61" t="s">
        <v>48</v>
      </c>
    </row>
    <row r="235" spans="1:31" s="64" customFormat="1" x14ac:dyDescent="0.25">
      <c r="A235" s="59" t="s">
        <v>301</v>
      </c>
      <c r="B235" s="59" t="s">
        <v>651</v>
      </c>
      <c r="C235" s="60">
        <v>43979</v>
      </c>
      <c r="D235" s="31">
        <v>732.58</v>
      </c>
      <c r="E235" s="59" t="s">
        <v>1005</v>
      </c>
      <c r="F235" s="59"/>
      <c r="G235" s="59"/>
      <c r="H235" s="59"/>
      <c r="I235" s="61"/>
      <c r="J235" s="59"/>
      <c r="K235" s="59" t="s">
        <v>55</v>
      </c>
      <c r="L235" s="61"/>
      <c r="M235" s="66"/>
      <c r="N235" s="67"/>
      <c r="O235" s="59"/>
      <c r="P235" s="59"/>
      <c r="Q235" s="59"/>
      <c r="R235" s="59"/>
      <c r="S235" s="59"/>
      <c r="T235" s="59"/>
      <c r="U235" s="63"/>
      <c r="V235" s="59"/>
      <c r="W235" s="61" t="s">
        <v>6</v>
      </c>
      <c r="X235" s="31">
        <v>732.58</v>
      </c>
      <c r="Y235" s="62" t="s">
        <v>52</v>
      </c>
      <c r="Z235" s="76">
        <f t="shared" si="3"/>
      </c>
      <c r="AA235" s="62" t="s">
        <v>10</v>
      </c>
      <c r="AB235" s="63"/>
      <c r="AC235" s="63"/>
      <c r="AD235" s="63"/>
      <c r="AE235" s="61" t="s">
        <v>48</v>
      </c>
    </row>
    <row r="236" spans="1:31" s="64" customFormat="1" x14ac:dyDescent="0.25">
      <c r="A236" s="59" t="s">
        <v>302</v>
      </c>
      <c r="B236" s="59" t="s">
        <v>652</v>
      </c>
      <c r="C236" s="60">
        <v>44421</v>
      </c>
      <c r="D236" s="31">
        <v>727.68</v>
      </c>
      <c r="E236" s="59" t="s">
        <v>1006</v>
      </c>
      <c r="F236" s="59"/>
      <c r="G236" s="59"/>
      <c r="H236" s="59"/>
      <c r="I236" s="61"/>
      <c r="J236" s="59"/>
      <c r="K236" s="59" t="s">
        <v>59</v>
      </c>
      <c r="L236" s="61"/>
      <c r="M236" s="66"/>
      <c r="N236" s="67"/>
      <c r="O236" s="59"/>
      <c r="P236" s="59"/>
      <c r="Q236" s="59"/>
      <c r="R236" s="59"/>
      <c r="S236" s="59"/>
      <c r="T236" s="59"/>
      <c r="U236" s="63"/>
      <c r="V236" s="59"/>
      <c r="W236" s="61" t="s">
        <v>6</v>
      </c>
      <c r="X236" s="31">
        <v>727.68</v>
      </c>
      <c r="Y236" s="62"/>
      <c r="Z236" s="76">
        <f t="shared" si="3"/>
      </c>
      <c r="AA236" s="62" t="s">
        <v>47</v>
      </c>
      <c r="AB236" s="63"/>
      <c r="AC236" s="63"/>
      <c r="AD236" s="63"/>
      <c r="AE236" s="61" t="s">
        <v>48</v>
      </c>
    </row>
    <row r="237" spans="1:31" s="64" customFormat="1" x14ac:dyDescent="0.25">
      <c r="A237" s="59" t="s">
        <v>303</v>
      </c>
      <c r="B237" s="59" t="s">
        <v>653</v>
      </c>
      <c r="C237" s="60">
        <v>44250</v>
      </c>
      <c r="D237" s="31">
        <v>665.47</v>
      </c>
      <c r="E237" s="59" t="s">
        <v>1007</v>
      </c>
      <c r="F237" s="59"/>
      <c r="G237" s="59"/>
      <c r="H237" s="59"/>
      <c r="I237" s="61"/>
      <c r="J237" s="59"/>
      <c r="K237" s="59" t="s">
        <v>59</v>
      </c>
      <c r="L237" s="61"/>
      <c r="M237" s="66"/>
      <c r="N237" s="67"/>
      <c r="O237" s="59"/>
      <c r="P237" s="59"/>
      <c r="Q237" s="59"/>
      <c r="R237" s="59"/>
      <c r="S237" s="59"/>
      <c r="T237" s="59"/>
      <c r="U237" s="63"/>
      <c r="V237" s="59"/>
      <c r="W237" s="61" t="s">
        <v>6</v>
      </c>
      <c r="X237" s="31">
        <v>665.47</v>
      </c>
      <c r="Y237" s="62"/>
      <c r="Z237" s="76">
        <f t="shared" si="3"/>
      </c>
      <c r="AA237" s="62" t="s">
        <v>47</v>
      </c>
      <c r="AB237" s="63"/>
      <c r="AC237" s="63"/>
      <c r="AD237" s="63"/>
      <c r="AE237" s="61" t="s">
        <v>48</v>
      </c>
    </row>
    <row r="238" spans="1:31" s="64" customFormat="1" x14ac:dyDescent="0.25">
      <c r="A238" s="59" t="s">
        <v>304</v>
      </c>
      <c r="B238" s="59" t="s">
        <v>654</v>
      </c>
      <c r="C238" s="60">
        <v>44067</v>
      </c>
      <c r="D238" s="31">
        <v>612.13</v>
      </c>
      <c r="E238" s="59" t="s">
        <v>1008</v>
      </c>
      <c r="F238" s="59"/>
      <c r="G238" s="59"/>
      <c r="H238" s="59"/>
      <c r="I238" s="61"/>
      <c r="J238" s="59"/>
      <c r="K238" s="59" t="s">
        <v>55</v>
      </c>
      <c r="L238" s="61"/>
      <c r="M238" s="66"/>
      <c r="N238" s="67"/>
      <c r="O238" s="59"/>
      <c r="P238" s="59"/>
      <c r="Q238" s="59"/>
      <c r="R238" s="59"/>
      <c r="S238" s="59"/>
      <c r="T238" s="59"/>
      <c r="U238" s="63"/>
      <c r="V238" s="59"/>
      <c r="W238" s="61" t="s">
        <v>6</v>
      </c>
      <c r="X238" s="31">
        <v>612.13</v>
      </c>
      <c r="Y238" s="62"/>
      <c r="Z238" s="76">
        <f t="shared" si="3"/>
      </c>
      <c r="AA238" s="62" t="s">
        <v>47</v>
      </c>
      <c r="AB238" s="63"/>
      <c r="AC238" s="63"/>
      <c r="AD238" s="63"/>
      <c r="AE238" s="61" t="s">
        <v>48</v>
      </c>
    </row>
    <row r="239" spans="1:31" s="64" customFormat="1" x14ac:dyDescent="0.25">
      <c r="A239" s="59" t="s">
        <v>305</v>
      </c>
      <c r="B239" s="59" t="s">
        <v>655</v>
      </c>
      <c r="C239" s="60">
        <v>43914</v>
      </c>
      <c r="D239" s="31">
        <v>602.28</v>
      </c>
      <c r="E239" s="59" t="s">
        <v>1009</v>
      </c>
      <c r="F239" s="59"/>
      <c r="G239" s="59"/>
      <c r="H239" s="59"/>
      <c r="I239" s="61"/>
      <c r="J239" s="59"/>
      <c r="K239" s="59" t="s">
        <v>55</v>
      </c>
      <c r="L239" s="61"/>
      <c r="M239" s="66"/>
      <c r="N239" s="67"/>
      <c r="O239" s="59"/>
      <c r="P239" s="59"/>
      <c r="Q239" s="59"/>
      <c r="R239" s="59"/>
      <c r="S239" s="59"/>
      <c r="T239" s="59"/>
      <c r="U239" s="63"/>
      <c r="V239" s="59"/>
      <c r="W239" s="61" t="s">
        <v>6</v>
      </c>
      <c r="X239" s="31">
        <v>602.28</v>
      </c>
      <c r="Y239" s="62"/>
      <c r="Z239" s="76">
        <f t="shared" si="3"/>
      </c>
      <c r="AA239" s="62" t="s">
        <v>47</v>
      </c>
      <c r="AB239" s="63"/>
      <c r="AC239" s="63"/>
      <c r="AD239" s="63"/>
      <c r="AE239" s="61" t="s">
        <v>48</v>
      </c>
    </row>
    <row r="240" spans="1:31" s="64" customFormat="1" x14ac:dyDescent="0.25">
      <c r="A240" s="59" t="s">
        <v>306</v>
      </c>
      <c r="B240" s="59" t="s">
        <v>656</v>
      </c>
      <c r="C240" s="60">
        <v>44312</v>
      </c>
      <c r="D240" s="31">
        <v>577.19000000000005</v>
      </c>
      <c r="E240" s="59" t="s">
        <v>1010</v>
      </c>
      <c r="F240" s="59"/>
      <c r="G240" s="59"/>
      <c r="H240" s="59"/>
      <c r="I240" s="61"/>
      <c r="J240" s="59"/>
      <c r="K240" s="59" t="s">
        <v>59</v>
      </c>
      <c r="L240" s="61"/>
      <c r="M240" s="66"/>
      <c r="N240" s="67"/>
      <c r="O240" s="59"/>
      <c r="P240" s="59"/>
      <c r="Q240" s="59"/>
      <c r="R240" s="59"/>
      <c r="S240" s="59"/>
      <c r="T240" s="59"/>
      <c r="U240" s="63"/>
      <c r="V240" s="59"/>
      <c r="W240" s="61" t="s">
        <v>6</v>
      </c>
      <c r="X240" s="31">
        <v>577.19000000000005</v>
      </c>
      <c r="Y240" s="62"/>
      <c r="Z240" s="76">
        <f t="shared" si="3"/>
      </c>
      <c r="AA240" s="62" t="s">
        <v>47</v>
      </c>
      <c r="AB240" s="63"/>
      <c r="AC240" s="63"/>
      <c r="AD240" s="63"/>
      <c r="AE240" s="61" t="s">
        <v>48</v>
      </c>
    </row>
    <row r="241" spans="1:31" s="64" customFormat="1" x14ac:dyDescent="0.25">
      <c r="A241" s="59" t="s">
        <v>307</v>
      </c>
      <c r="B241" s="59" t="s">
        <v>657</v>
      </c>
      <c r="C241" s="60">
        <v>44088</v>
      </c>
      <c r="D241" s="31">
        <v>525.66</v>
      </c>
      <c r="E241" s="59" t="s">
        <v>1011</v>
      </c>
      <c r="F241" s="59"/>
      <c r="G241" s="59"/>
      <c r="H241" s="59"/>
      <c r="I241" s="61"/>
      <c r="J241" s="59"/>
      <c r="K241" s="59" t="s">
        <v>55</v>
      </c>
      <c r="L241" s="61"/>
      <c r="M241" s="66"/>
      <c r="N241" s="67"/>
      <c r="O241" s="59"/>
      <c r="P241" s="59"/>
      <c r="Q241" s="59"/>
      <c r="R241" s="59"/>
      <c r="S241" s="59"/>
      <c r="T241" s="59"/>
      <c r="U241" s="63"/>
      <c r="V241" s="59"/>
      <c r="W241" s="61" t="s">
        <v>6</v>
      </c>
      <c r="X241" s="31">
        <v>525.66</v>
      </c>
      <c r="Y241" s="62"/>
      <c r="Z241" s="76">
        <f t="shared" si="3"/>
      </c>
      <c r="AA241" s="62" t="s">
        <v>47</v>
      </c>
      <c r="AB241" s="63"/>
      <c r="AC241" s="63"/>
      <c r="AD241" s="63"/>
      <c r="AE241" s="61" t="s">
        <v>48</v>
      </c>
    </row>
    <row r="242" spans="1:31" s="64" customFormat="1" x14ac:dyDescent="0.25">
      <c r="A242" s="59" t="s">
        <v>308</v>
      </c>
      <c r="B242" s="59" t="s">
        <v>658</v>
      </c>
      <c r="C242" s="60">
        <v>43517</v>
      </c>
      <c r="D242" s="31">
        <v>516.38</v>
      </c>
      <c r="E242" s="59" t="s">
        <v>1012</v>
      </c>
      <c r="F242" s="59"/>
      <c r="G242" s="59"/>
      <c r="H242" s="59"/>
      <c r="I242" s="61"/>
      <c r="J242" s="59"/>
      <c r="K242" s="59" t="s">
        <v>46</v>
      </c>
      <c r="L242" s="61"/>
      <c r="M242" s="66"/>
      <c r="N242" s="67"/>
      <c r="O242" s="59"/>
      <c r="P242" s="59"/>
      <c r="Q242" s="59"/>
      <c r="R242" s="59"/>
      <c r="S242" s="59"/>
      <c r="T242" s="59"/>
      <c r="U242" s="63"/>
      <c r="V242" s="59"/>
      <c r="W242" s="61" t="s">
        <v>6</v>
      </c>
      <c r="X242" s="31">
        <v>516.38</v>
      </c>
      <c r="Y242" s="62"/>
      <c r="Z242" s="76">
        <f t="shared" si="3"/>
      </c>
      <c r="AA242" s="62" t="s">
        <v>47</v>
      </c>
      <c r="AB242" s="63"/>
      <c r="AC242" s="63"/>
      <c r="AD242" s="63"/>
      <c r="AE242" s="61" t="s">
        <v>48</v>
      </c>
    </row>
    <row r="243" spans="1:31" s="64" customFormat="1" x14ac:dyDescent="0.25">
      <c r="A243" s="59" t="s">
        <v>309</v>
      </c>
      <c r="B243" s="59" t="s">
        <v>659</v>
      </c>
      <c r="C243" s="60">
        <v>43903</v>
      </c>
      <c r="D243" s="31">
        <v>511.78</v>
      </c>
      <c r="E243" s="59" t="s">
        <v>1013</v>
      </c>
      <c r="F243" s="59"/>
      <c r="G243" s="59"/>
      <c r="H243" s="59"/>
      <c r="I243" s="61"/>
      <c r="J243" s="59"/>
      <c r="K243" s="59" t="s">
        <v>55</v>
      </c>
      <c r="L243" s="61"/>
      <c r="M243" s="66"/>
      <c r="N243" s="67"/>
      <c r="O243" s="59"/>
      <c r="P243" s="59"/>
      <c r="Q243" s="59"/>
      <c r="R243" s="59"/>
      <c r="S243" s="59"/>
      <c r="T243" s="59"/>
      <c r="U243" s="63"/>
      <c r="V243" s="59"/>
      <c r="W243" s="61" t="s">
        <v>6</v>
      </c>
      <c r="X243" s="31">
        <v>511.78</v>
      </c>
      <c r="Y243" s="62"/>
      <c r="Z243" s="76">
        <f t="shared" si="3"/>
      </c>
      <c r="AA243" s="62" t="s">
        <v>47</v>
      </c>
      <c r="AB243" s="63"/>
      <c r="AC243" s="63"/>
      <c r="AD243" s="63"/>
      <c r="AE243" s="61" t="s">
        <v>48</v>
      </c>
    </row>
    <row r="244" spans="1:31" s="64" customFormat="1" x14ac:dyDescent="0.25">
      <c r="A244" s="59" t="s">
        <v>310</v>
      </c>
      <c r="B244" s="59" t="s">
        <v>660</v>
      </c>
      <c r="C244" s="60">
        <v>44441</v>
      </c>
      <c r="D244" s="31">
        <v>511.01</v>
      </c>
      <c r="E244" s="59" t="s">
        <v>1014</v>
      </c>
      <c r="F244" s="59"/>
      <c r="G244" s="59"/>
      <c r="H244" s="59"/>
      <c r="I244" s="61"/>
      <c r="J244" s="59"/>
      <c r="K244" s="59" t="s">
        <v>59</v>
      </c>
      <c r="L244" s="61"/>
      <c r="M244" s="66"/>
      <c r="N244" s="67"/>
      <c r="O244" s="59"/>
      <c r="P244" s="59"/>
      <c r="Q244" s="59"/>
      <c r="R244" s="59"/>
      <c r="S244" s="59"/>
      <c r="T244" s="59"/>
      <c r="U244" s="63"/>
      <c r="V244" s="59"/>
      <c r="W244" s="61" t="s">
        <v>6</v>
      </c>
      <c r="X244" s="31">
        <v>511.01</v>
      </c>
      <c r="Y244" s="62"/>
      <c r="Z244" s="76">
        <f t="shared" si="3"/>
      </c>
      <c r="AA244" s="62" t="s">
        <v>47</v>
      </c>
      <c r="AB244" s="63"/>
      <c r="AC244" s="63"/>
      <c r="AD244" s="63"/>
      <c r="AE244" s="61" t="s">
        <v>48</v>
      </c>
    </row>
    <row r="245" spans="1:31" s="64" customFormat="1" x14ac:dyDescent="0.25">
      <c r="A245" s="59" t="s">
        <v>311</v>
      </c>
      <c r="B245" s="59" t="s">
        <v>661</v>
      </c>
      <c r="C245" s="60">
        <v>43665</v>
      </c>
      <c r="D245" s="31">
        <v>486.77</v>
      </c>
      <c r="E245" s="59" t="s">
        <v>1015</v>
      </c>
      <c r="F245" s="59"/>
      <c r="G245" s="59"/>
      <c r="H245" s="59"/>
      <c r="I245" s="61"/>
      <c r="J245" s="59"/>
      <c r="K245" s="59" t="s">
        <v>46</v>
      </c>
      <c r="L245" s="61"/>
      <c r="M245" s="66"/>
      <c r="N245" s="67"/>
      <c r="O245" s="59"/>
      <c r="P245" s="59"/>
      <c r="Q245" s="59"/>
      <c r="R245" s="59"/>
      <c r="S245" s="59"/>
      <c r="T245" s="59"/>
      <c r="U245" s="63"/>
      <c r="V245" s="59"/>
      <c r="W245" s="61" t="s">
        <v>6</v>
      </c>
      <c r="X245" s="31">
        <v>486.77</v>
      </c>
      <c r="Y245" s="62"/>
      <c r="Z245" s="76">
        <f t="shared" si="3"/>
      </c>
      <c r="AA245" s="62" t="s">
        <v>47</v>
      </c>
      <c r="AB245" s="63"/>
      <c r="AC245" s="63"/>
      <c r="AD245" s="63"/>
      <c r="AE245" s="61" t="s">
        <v>48</v>
      </c>
    </row>
    <row r="246" spans="1:31" s="64" customFormat="1" x14ac:dyDescent="0.25">
      <c r="A246" s="59" t="s">
        <v>312</v>
      </c>
      <c r="B246" s="59" t="s">
        <v>662</v>
      </c>
      <c r="C246" s="60">
        <v>43648</v>
      </c>
      <c r="D246" s="31">
        <v>486.61</v>
      </c>
      <c r="E246" s="59" t="s">
        <v>1016</v>
      </c>
      <c r="F246" s="59"/>
      <c r="G246" s="59"/>
      <c r="H246" s="59"/>
      <c r="I246" s="61"/>
      <c r="J246" s="59"/>
      <c r="K246" s="59" t="s">
        <v>46</v>
      </c>
      <c r="L246" s="61"/>
      <c r="M246" s="66"/>
      <c r="N246" s="67"/>
      <c r="O246" s="59"/>
      <c r="P246" s="59"/>
      <c r="Q246" s="59"/>
      <c r="R246" s="59"/>
      <c r="S246" s="59"/>
      <c r="T246" s="59"/>
      <c r="U246" s="63"/>
      <c r="V246" s="59"/>
      <c r="W246" s="61" t="s">
        <v>6</v>
      </c>
      <c r="X246" s="31">
        <v>486.61</v>
      </c>
      <c r="Y246" s="62"/>
      <c r="Z246" s="76">
        <f t="shared" si="3"/>
      </c>
      <c r="AA246" s="62" t="s">
        <v>47</v>
      </c>
      <c r="AB246" s="63"/>
      <c r="AC246" s="63"/>
      <c r="AD246" s="63"/>
      <c r="AE246" s="61" t="s">
        <v>48</v>
      </c>
    </row>
    <row r="247" spans="1:31" s="64" customFormat="1" x14ac:dyDescent="0.25">
      <c r="A247" s="59" t="s">
        <v>313</v>
      </c>
      <c r="B247" s="59" t="s">
        <v>663</v>
      </c>
      <c r="C247" s="60">
        <v>44176</v>
      </c>
      <c r="D247" s="31">
        <v>481.39</v>
      </c>
      <c r="E247" s="59" t="s">
        <v>1017</v>
      </c>
      <c r="F247" s="59"/>
      <c r="G247" s="59"/>
      <c r="H247" s="59"/>
      <c r="I247" s="61"/>
      <c r="J247" s="59"/>
      <c r="K247" s="59" t="s">
        <v>55</v>
      </c>
      <c r="L247" s="61"/>
      <c r="M247" s="66"/>
      <c r="N247" s="67"/>
      <c r="O247" s="59"/>
      <c r="P247" s="59"/>
      <c r="Q247" s="59"/>
      <c r="R247" s="59"/>
      <c r="S247" s="59"/>
      <c r="T247" s="59"/>
      <c r="U247" s="63"/>
      <c r="V247" s="59"/>
      <c r="W247" s="61" t="s">
        <v>6</v>
      </c>
      <c r="X247" s="31">
        <v>481.39</v>
      </c>
      <c r="Y247" s="62"/>
      <c r="Z247" s="76">
        <f t="shared" si="3"/>
      </c>
      <c r="AA247" s="62" t="s">
        <v>47</v>
      </c>
      <c r="AB247" s="63"/>
      <c r="AC247" s="63"/>
      <c r="AD247" s="63"/>
      <c r="AE247" s="61" t="s">
        <v>48</v>
      </c>
    </row>
    <row r="248" spans="1:31" s="64" customFormat="1" x14ac:dyDescent="0.25">
      <c r="A248" s="59" t="s">
        <v>314</v>
      </c>
      <c r="B248" s="59" t="s">
        <v>664</v>
      </c>
      <c r="C248" s="60">
        <v>44239</v>
      </c>
      <c r="D248" s="31">
        <v>472.9</v>
      </c>
      <c r="E248" s="59" t="s">
        <v>1018</v>
      </c>
      <c r="F248" s="59"/>
      <c r="G248" s="59"/>
      <c r="H248" s="59"/>
      <c r="I248" s="61"/>
      <c r="J248" s="59"/>
      <c r="K248" s="59" t="s">
        <v>59</v>
      </c>
      <c r="L248" s="61"/>
      <c r="M248" s="66"/>
      <c r="N248" s="67"/>
      <c r="O248" s="59"/>
      <c r="P248" s="59"/>
      <c r="Q248" s="59"/>
      <c r="R248" s="59"/>
      <c r="S248" s="59"/>
      <c r="T248" s="59"/>
      <c r="U248" s="63"/>
      <c r="V248" s="59"/>
      <c r="W248" s="61" t="s">
        <v>6</v>
      </c>
      <c r="X248" s="31">
        <v>472.9</v>
      </c>
      <c r="Y248" s="62"/>
      <c r="Z248" s="76">
        <f t="shared" si="3"/>
      </c>
      <c r="AA248" s="62" t="s">
        <v>47</v>
      </c>
      <c r="AB248" s="63"/>
      <c r="AC248" s="63"/>
      <c r="AD248" s="63"/>
      <c r="AE248" s="61" t="s">
        <v>48</v>
      </c>
    </row>
    <row r="249" spans="1:31" s="64" customFormat="1" x14ac:dyDescent="0.25">
      <c r="A249" s="59" t="s">
        <v>315</v>
      </c>
      <c r="B249" s="59" t="s">
        <v>665</v>
      </c>
      <c r="C249" s="60">
        <v>43685</v>
      </c>
      <c r="D249" s="31">
        <v>391.12</v>
      </c>
      <c r="E249" s="59" t="s">
        <v>1019</v>
      </c>
      <c r="F249" s="59"/>
      <c r="G249" s="59"/>
      <c r="H249" s="59"/>
      <c r="I249" s="61"/>
      <c r="J249" s="59"/>
      <c r="K249" s="59" t="s">
        <v>46</v>
      </c>
      <c r="L249" s="61"/>
      <c r="M249" s="66"/>
      <c r="N249" s="67"/>
      <c r="O249" s="59"/>
      <c r="P249" s="59"/>
      <c r="Q249" s="59"/>
      <c r="R249" s="59"/>
      <c r="S249" s="59"/>
      <c r="T249" s="59"/>
      <c r="U249" s="63"/>
      <c r="V249" s="59"/>
      <c r="W249" s="61" t="s">
        <v>6</v>
      </c>
      <c r="X249" s="31">
        <v>391.12</v>
      </c>
      <c r="Y249" s="62"/>
      <c r="Z249" s="76">
        <f t="shared" si="3"/>
      </c>
      <c r="AA249" s="62" t="s">
        <v>47</v>
      </c>
      <c r="AB249" s="63"/>
      <c r="AC249" s="63"/>
      <c r="AD249" s="63"/>
      <c r="AE249" s="61" t="s">
        <v>48</v>
      </c>
    </row>
    <row r="250" spans="1:31" s="64" customFormat="1" x14ac:dyDescent="0.25">
      <c r="A250" s="59" t="s">
        <v>316</v>
      </c>
      <c r="B250" s="59" t="s">
        <v>666</v>
      </c>
      <c r="C250" s="60">
        <v>43847</v>
      </c>
      <c r="D250" s="31">
        <v>390.52</v>
      </c>
      <c r="E250" s="59" t="s">
        <v>1020</v>
      </c>
      <c r="F250" s="59"/>
      <c r="G250" s="59"/>
      <c r="H250" s="59"/>
      <c r="I250" s="61"/>
      <c r="J250" s="59"/>
      <c r="K250" s="59" t="s">
        <v>55</v>
      </c>
      <c r="L250" s="61"/>
      <c r="M250" s="66"/>
      <c r="N250" s="67"/>
      <c r="O250" s="59"/>
      <c r="P250" s="59"/>
      <c r="Q250" s="59"/>
      <c r="R250" s="59"/>
      <c r="S250" s="59"/>
      <c r="T250" s="59"/>
      <c r="U250" s="63"/>
      <c r="V250" s="59"/>
      <c r="W250" s="61" t="s">
        <v>6</v>
      </c>
      <c r="X250" s="31">
        <v>390.52</v>
      </c>
      <c r="Y250" s="62"/>
      <c r="Z250" s="76">
        <f t="shared" ref="Z250:Z313" si="4">IF(Y250="Clear",0,X250)</f>
      </c>
      <c r="AA250" s="62" t="s">
        <v>47</v>
      </c>
      <c r="AB250" s="63"/>
      <c r="AC250" s="63"/>
      <c r="AD250" s="63"/>
      <c r="AE250" s="61" t="s">
        <v>48</v>
      </c>
    </row>
    <row r="251" spans="1:31" s="64" customFormat="1" x14ac:dyDescent="0.25">
      <c r="A251" s="59" t="s">
        <v>317</v>
      </c>
      <c r="B251" s="59" t="s">
        <v>667</v>
      </c>
      <c r="C251" s="60">
        <v>44071</v>
      </c>
      <c r="D251" s="31">
        <v>388.75</v>
      </c>
      <c r="E251" s="59" t="s">
        <v>1021</v>
      </c>
      <c r="F251" s="59"/>
      <c r="G251" s="59"/>
      <c r="H251" s="59"/>
      <c r="I251" s="61"/>
      <c r="J251" s="59"/>
      <c r="K251" s="59" t="s">
        <v>55</v>
      </c>
      <c r="L251" s="61"/>
      <c r="M251" s="66"/>
      <c r="N251" s="67"/>
      <c r="O251" s="59"/>
      <c r="P251" s="59"/>
      <c r="Q251" s="59"/>
      <c r="R251" s="59"/>
      <c r="S251" s="59"/>
      <c r="T251" s="59"/>
      <c r="U251" s="63"/>
      <c r="V251" s="59"/>
      <c r="W251" s="61" t="s">
        <v>6</v>
      </c>
      <c r="X251" s="31">
        <v>388.75</v>
      </c>
      <c r="Y251" s="62"/>
      <c r="Z251" s="76">
        <f t="shared" si="4"/>
      </c>
      <c r="AA251" s="62" t="s">
        <v>47</v>
      </c>
      <c r="AB251" s="63"/>
      <c r="AC251" s="63"/>
      <c r="AD251" s="63"/>
      <c r="AE251" s="61" t="s">
        <v>48</v>
      </c>
    </row>
    <row r="252" spans="1:31" s="64" customFormat="1" x14ac:dyDescent="0.25">
      <c r="A252" s="59" t="s">
        <v>318</v>
      </c>
      <c r="B252" s="59" t="s">
        <v>72</v>
      </c>
      <c r="C252" s="60">
        <v>43566</v>
      </c>
      <c r="D252" s="31">
        <v>387.01</v>
      </c>
      <c r="E252" s="59" t="s">
        <v>1022</v>
      </c>
      <c r="F252" s="59"/>
      <c r="G252" s="59"/>
      <c r="H252" s="59"/>
      <c r="I252" s="61"/>
      <c r="J252" s="59"/>
      <c r="K252" s="59" t="s">
        <v>46</v>
      </c>
      <c r="L252" s="61"/>
      <c r="M252" s="66"/>
      <c r="N252" s="67"/>
      <c r="O252" s="59"/>
      <c r="P252" s="59"/>
      <c r="Q252" s="59"/>
      <c r="R252" s="59"/>
      <c r="S252" s="59"/>
      <c r="T252" s="59"/>
      <c r="U252" s="63"/>
      <c r="V252" s="59"/>
      <c r="W252" s="61" t="s">
        <v>6</v>
      </c>
      <c r="X252" s="31">
        <v>387.01</v>
      </c>
      <c r="Y252" s="62"/>
      <c r="Z252" s="76">
        <f t="shared" si="4"/>
      </c>
      <c r="AA252" s="62" t="s">
        <v>47</v>
      </c>
      <c r="AB252" s="63"/>
      <c r="AC252" s="63"/>
      <c r="AD252" s="63"/>
      <c r="AE252" s="61" t="s">
        <v>48</v>
      </c>
    </row>
    <row r="253" spans="1:31" s="64" customFormat="1" x14ac:dyDescent="0.25">
      <c r="A253" s="59" t="s">
        <v>319</v>
      </c>
      <c r="B253" s="59" t="s">
        <v>668</v>
      </c>
      <c r="C253" s="60">
        <v>44441</v>
      </c>
      <c r="D253" s="31">
        <v>380.76</v>
      </c>
      <c r="E253" s="59" t="s">
        <v>1023</v>
      </c>
      <c r="F253" s="59"/>
      <c r="G253" s="59"/>
      <c r="H253" s="59"/>
      <c r="I253" s="61"/>
      <c r="J253" s="59"/>
      <c r="K253" s="59" t="s">
        <v>59</v>
      </c>
      <c r="L253" s="61"/>
      <c r="M253" s="66"/>
      <c r="N253" s="67"/>
      <c r="O253" s="59"/>
      <c r="P253" s="59"/>
      <c r="Q253" s="59"/>
      <c r="R253" s="59"/>
      <c r="S253" s="59"/>
      <c r="T253" s="59"/>
      <c r="U253" s="63"/>
      <c r="V253" s="59"/>
      <c r="W253" s="61" t="s">
        <v>6</v>
      </c>
      <c r="X253" s="31">
        <v>380.76</v>
      </c>
      <c r="Y253" s="62"/>
      <c r="Z253" s="76">
        <f t="shared" si="4"/>
      </c>
      <c r="AA253" s="62" t="s">
        <v>47</v>
      </c>
      <c r="AB253" s="63"/>
      <c r="AC253" s="63"/>
      <c r="AD253" s="63"/>
      <c r="AE253" s="61" t="s">
        <v>48</v>
      </c>
    </row>
    <row r="254" spans="1:31" s="64" customFormat="1" x14ac:dyDescent="0.25">
      <c r="A254" s="59" t="s">
        <v>320</v>
      </c>
      <c r="B254" s="59" t="s">
        <v>669</v>
      </c>
      <c r="C254" s="60">
        <v>43913</v>
      </c>
      <c r="D254" s="31">
        <v>368.03</v>
      </c>
      <c r="E254" s="59" t="s">
        <v>1024</v>
      </c>
      <c r="F254" s="59"/>
      <c r="G254" s="59"/>
      <c r="H254" s="59"/>
      <c r="I254" s="61"/>
      <c r="J254" s="59"/>
      <c r="K254" s="59" t="s">
        <v>55</v>
      </c>
      <c r="L254" s="61"/>
      <c r="M254" s="66"/>
      <c r="N254" s="67"/>
      <c r="O254" s="59"/>
      <c r="P254" s="59"/>
      <c r="Q254" s="59"/>
      <c r="R254" s="59"/>
      <c r="S254" s="59"/>
      <c r="T254" s="59"/>
      <c r="U254" s="63"/>
      <c r="V254" s="59"/>
      <c r="W254" s="61" t="s">
        <v>6</v>
      </c>
      <c r="X254" s="31">
        <v>368.03</v>
      </c>
      <c r="Y254" s="62"/>
      <c r="Z254" s="76">
        <f t="shared" si="4"/>
      </c>
      <c r="AA254" s="62" t="s">
        <v>47</v>
      </c>
      <c r="AB254" s="63"/>
      <c r="AC254" s="63"/>
      <c r="AD254" s="63"/>
      <c r="AE254" s="61" t="s">
        <v>48</v>
      </c>
    </row>
    <row r="255" spans="1:31" s="64" customFormat="1" x14ac:dyDescent="0.25">
      <c r="A255" s="59" t="s">
        <v>321</v>
      </c>
      <c r="B255" s="59" t="s">
        <v>670</v>
      </c>
      <c r="C255" s="60">
        <v>44378</v>
      </c>
      <c r="D255" s="31">
        <v>357</v>
      </c>
      <c r="E255" s="59" t="s">
        <v>1025</v>
      </c>
      <c r="F255" s="59"/>
      <c r="G255" s="59"/>
      <c r="H255" s="59"/>
      <c r="I255" s="61"/>
      <c r="J255" s="59"/>
      <c r="K255" s="59" t="s">
        <v>59</v>
      </c>
      <c r="L255" s="61"/>
      <c r="M255" s="66"/>
      <c r="N255" s="67"/>
      <c r="O255" s="59"/>
      <c r="P255" s="59"/>
      <c r="Q255" s="59"/>
      <c r="R255" s="59"/>
      <c r="S255" s="59"/>
      <c r="T255" s="59"/>
      <c r="U255" s="63"/>
      <c r="V255" s="59"/>
      <c r="W255" s="61" t="s">
        <v>6</v>
      </c>
      <c r="X255" s="31">
        <v>357</v>
      </c>
      <c r="Y255" s="62"/>
      <c r="Z255" s="76">
        <f t="shared" si="4"/>
      </c>
      <c r="AA255" s="62" t="s">
        <v>47</v>
      </c>
      <c r="AB255" s="63"/>
      <c r="AC255" s="63"/>
      <c r="AD255" s="63"/>
      <c r="AE255" s="61" t="s">
        <v>48</v>
      </c>
    </row>
    <row r="256" spans="1:31" s="64" customFormat="1" x14ac:dyDescent="0.25">
      <c r="A256" s="59" t="s">
        <v>322</v>
      </c>
      <c r="B256" s="59" t="s">
        <v>671</v>
      </c>
      <c r="C256" s="60">
        <v>43620</v>
      </c>
      <c r="D256" s="31">
        <v>355.07</v>
      </c>
      <c r="E256" s="59" t="s">
        <v>1026</v>
      </c>
      <c r="F256" s="59"/>
      <c r="G256" s="59"/>
      <c r="H256" s="59"/>
      <c r="I256" s="61"/>
      <c r="J256" s="59"/>
      <c r="K256" s="59" t="s">
        <v>46</v>
      </c>
      <c r="L256" s="61"/>
      <c r="M256" s="66"/>
      <c r="N256" s="67"/>
      <c r="O256" s="59"/>
      <c r="P256" s="59"/>
      <c r="Q256" s="59"/>
      <c r="R256" s="59"/>
      <c r="S256" s="59"/>
      <c r="T256" s="59"/>
      <c r="U256" s="63"/>
      <c r="V256" s="59"/>
      <c r="W256" s="61" t="s">
        <v>6</v>
      </c>
      <c r="X256" s="31">
        <v>355.07</v>
      </c>
      <c r="Y256" s="62"/>
      <c r="Z256" s="76">
        <f t="shared" si="4"/>
      </c>
      <c r="AA256" s="62" t="s">
        <v>47</v>
      </c>
      <c r="AB256" s="63"/>
      <c r="AC256" s="63"/>
      <c r="AD256" s="63"/>
      <c r="AE256" s="61" t="s">
        <v>48</v>
      </c>
    </row>
    <row r="257" spans="1:31" s="64" customFormat="1" x14ac:dyDescent="0.25">
      <c r="A257" s="59" t="s">
        <v>323</v>
      </c>
      <c r="B257" s="59" t="s">
        <v>672</v>
      </c>
      <c r="C257" s="60">
        <v>44159</v>
      </c>
      <c r="D257" s="31">
        <v>347.02</v>
      </c>
      <c r="E257" s="59" t="s">
        <v>1027</v>
      </c>
      <c r="F257" s="59"/>
      <c r="G257" s="59"/>
      <c r="H257" s="59"/>
      <c r="I257" s="61"/>
      <c r="J257" s="59"/>
      <c r="K257" s="59" t="s">
        <v>55</v>
      </c>
      <c r="L257" s="61"/>
      <c r="M257" s="66"/>
      <c r="N257" s="67"/>
      <c r="O257" s="59"/>
      <c r="P257" s="59"/>
      <c r="Q257" s="59"/>
      <c r="R257" s="59"/>
      <c r="S257" s="59"/>
      <c r="T257" s="59"/>
      <c r="U257" s="63"/>
      <c r="V257" s="59"/>
      <c r="W257" s="61" t="s">
        <v>6</v>
      </c>
      <c r="X257" s="31">
        <v>347.02</v>
      </c>
      <c r="Y257" s="62"/>
      <c r="Z257" s="76">
        <f t="shared" si="4"/>
      </c>
      <c r="AA257" s="62" t="s">
        <v>47</v>
      </c>
      <c r="AB257" s="63"/>
      <c r="AC257" s="63"/>
      <c r="AD257" s="63"/>
      <c r="AE257" s="61" t="s">
        <v>48</v>
      </c>
    </row>
    <row r="258" spans="1:31" s="64" customFormat="1" x14ac:dyDescent="0.25">
      <c r="A258" s="59" t="s">
        <v>324</v>
      </c>
      <c r="B258" s="59" t="s">
        <v>673</v>
      </c>
      <c r="C258" s="60">
        <v>44426</v>
      </c>
      <c r="D258" s="31">
        <v>345.01</v>
      </c>
      <c r="E258" s="59" t="s">
        <v>1028</v>
      </c>
      <c r="F258" s="59"/>
      <c r="G258" s="59"/>
      <c r="H258" s="59"/>
      <c r="I258" s="61"/>
      <c r="J258" s="59"/>
      <c r="K258" s="59" t="s">
        <v>59</v>
      </c>
      <c r="L258" s="61"/>
      <c r="M258" s="66"/>
      <c r="N258" s="67"/>
      <c r="O258" s="59"/>
      <c r="P258" s="59"/>
      <c r="Q258" s="59"/>
      <c r="R258" s="59"/>
      <c r="S258" s="59"/>
      <c r="T258" s="59"/>
      <c r="U258" s="63"/>
      <c r="V258" s="59"/>
      <c r="W258" s="61" t="s">
        <v>6</v>
      </c>
      <c r="X258" s="31">
        <v>345.01</v>
      </c>
      <c r="Y258" s="62" t="s">
        <v>52</v>
      </c>
      <c r="Z258" s="76">
        <f t="shared" si="4"/>
      </c>
      <c r="AA258" s="62" t="s">
        <v>10</v>
      </c>
      <c r="AB258" s="63"/>
      <c r="AC258" s="63"/>
      <c r="AD258" s="63"/>
      <c r="AE258" s="61" t="s">
        <v>48</v>
      </c>
    </row>
    <row r="259" spans="1:31" s="64" customFormat="1" x14ac:dyDescent="0.25">
      <c r="A259" s="59" t="s">
        <v>325</v>
      </c>
      <c r="B259" s="59" t="s">
        <v>674</v>
      </c>
      <c r="C259" s="60">
        <v>43945</v>
      </c>
      <c r="D259" s="31">
        <v>333.54</v>
      </c>
      <c r="E259" s="59" t="s">
        <v>1029</v>
      </c>
      <c r="F259" s="59"/>
      <c r="G259" s="59"/>
      <c r="H259" s="59"/>
      <c r="I259" s="61"/>
      <c r="J259" s="59"/>
      <c r="K259" s="59" t="s">
        <v>55</v>
      </c>
      <c r="L259" s="61"/>
      <c r="M259" s="66"/>
      <c r="N259" s="67"/>
      <c r="O259" s="59"/>
      <c r="P259" s="59"/>
      <c r="Q259" s="59"/>
      <c r="R259" s="59"/>
      <c r="S259" s="59"/>
      <c r="T259" s="59"/>
      <c r="U259" s="63"/>
      <c r="V259" s="59"/>
      <c r="W259" s="61" t="s">
        <v>6</v>
      </c>
      <c r="X259" s="31">
        <v>333.54</v>
      </c>
      <c r="Y259" s="62"/>
      <c r="Z259" s="76">
        <f t="shared" si="4"/>
      </c>
      <c r="AA259" s="62" t="s">
        <v>47</v>
      </c>
      <c r="AB259" s="63"/>
      <c r="AC259" s="63"/>
      <c r="AD259" s="63"/>
      <c r="AE259" s="61" t="s">
        <v>48</v>
      </c>
    </row>
    <row r="260" spans="1:31" s="64" customFormat="1" x14ac:dyDescent="0.25">
      <c r="A260" s="59" t="s">
        <v>326</v>
      </c>
      <c r="B260" s="59" t="s">
        <v>675</v>
      </c>
      <c r="C260" s="60">
        <v>44159</v>
      </c>
      <c r="D260" s="31">
        <v>322.33</v>
      </c>
      <c r="E260" s="59" t="s">
        <v>1030</v>
      </c>
      <c r="F260" s="59"/>
      <c r="G260" s="59"/>
      <c r="H260" s="59"/>
      <c r="I260" s="61"/>
      <c r="J260" s="59"/>
      <c r="K260" s="59" t="s">
        <v>55</v>
      </c>
      <c r="L260" s="61"/>
      <c r="M260" s="66"/>
      <c r="N260" s="67"/>
      <c r="O260" s="59"/>
      <c r="P260" s="59"/>
      <c r="Q260" s="59"/>
      <c r="R260" s="59"/>
      <c r="S260" s="59"/>
      <c r="T260" s="59"/>
      <c r="U260" s="63"/>
      <c r="V260" s="59"/>
      <c r="W260" s="61" t="s">
        <v>6</v>
      </c>
      <c r="X260" s="31">
        <v>322.33</v>
      </c>
      <c r="Y260" s="62"/>
      <c r="Z260" s="76">
        <f t="shared" si="4"/>
      </c>
      <c r="AA260" s="62" t="s">
        <v>47</v>
      </c>
      <c r="AB260" s="63"/>
      <c r="AC260" s="63"/>
      <c r="AD260" s="63"/>
      <c r="AE260" s="61" t="s">
        <v>48</v>
      </c>
    </row>
    <row r="261" spans="1:31" s="64" customFormat="1" x14ac:dyDescent="0.25">
      <c r="A261" s="59" t="s">
        <v>327</v>
      </c>
      <c r="B261" s="59" t="s">
        <v>676</v>
      </c>
      <c r="C261" s="60">
        <v>43872</v>
      </c>
      <c r="D261" s="31">
        <v>314.54000000000002</v>
      </c>
      <c r="E261" s="59" t="s">
        <v>1031</v>
      </c>
      <c r="F261" s="59"/>
      <c r="G261" s="59"/>
      <c r="H261" s="59"/>
      <c r="I261" s="61"/>
      <c r="J261" s="59"/>
      <c r="K261" s="59" t="s">
        <v>55</v>
      </c>
      <c r="L261" s="61"/>
      <c r="M261" s="66"/>
      <c r="N261" s="67"/>
      <c r="O261" s="59"/>
      <c r="P261" s="59"/>
      <c r="Q261" s="59"/>
      <c r="R261" s="59"/>
      <c r="S261" s="59"/>
      <c r="T261" s="59"/>
      <c r="U261" s="63"/>
      <c r="V261" s="59"/>
      <c r="W261" s="61" t="s">
        <v>6</v>
      </c>
      <c r="X261" s="31">
        <v>314.54000000000002</v>
      </c>
      <c r="Y261" s="62"/>
      <c r="Z261" s="76">
        <f t="shared" si="4"/>
      </c>
      <c r="AA261" s="62" t="s">
        <v>47</v>
      </c>
      <c r="AB261" s="63"/>
      <c r="AC261" s="63"/>
      <c r="AD261" s="63"/>
      <c r="AE261" s="61" t="s">
        <v>48</v>
      </c>
    </row>
    <row r="262" spans="1:31" s="64" customFormat="1" x14ac:dyDescent="0.25">
      <c r="A262" s="59" t="s">
        <v>328</v>
      </c>
      <c r="B262" s="59" t="s">
        <v>677</v>
      </c>
      <c r="C262" s="60">
        <v>43853</v>
      </c>
      <c r="D262" s="31">
        <v>312.36</v>
      </c>
      <c r="E262" s="59" t="s">
        <v>1032</v>
      </c>
      <c r="F262" s="59"/>
      <c r="G262" s="59"/>
      <c r="H262" s="59"/>
      <c r="I262" s="61"/>
      <c r="J262" s="59"/>
      <c r="K262" s="59" t="s">
        <v>55</v>
      </c>
      <c r="L262" s="61"/>
      <c r="M262" s="66"/>
      <c r="N262" s="67"/>
      <c r="O262" s="59"/>
      <c r="P262" s="59"/>
      <c r="Q262" s="59"/>
      <c r="R262" s="59"/>
      <c r="S262" s="59"/>
      <c r="T262" s="59"/>
      <c r="U262" s="63"/>
      <c r="V262" s="59"/>
      <c r="W262" s="61" t="s">
        <v>6</v>
      </c>
      <c r="X262" s="31">
        <v>312.36</v>
      </c>
      <c r="Y262" s="62"/>
      <c r="Z262" s="76">
        <f t="shared" si="4"/>
      </c>
      <c r="AA262" s="62" t="s">
        <v>47</v>
      </c>
      <c r="AB262" s="63"/>
      <c r="AC262" s="63"/>
      <c r="AD262" s="63"/>
      <c r="AE262" s="61" t="s">
        <v>48</v>
      </c>
    </row>
    <row r="263" spans="1:31" s="64" customFormat="1" x14ac:dyDescent="0.25">
      <c r="A263" s="59" t="s">
        <v>329</v>
      </c>
      <c r="B263" s="59" t="s">
        <v>678</v>
      </c>
      <c r="C263" s="60">
        <v>43903</v>
      </c>
      <c r="D263" s="31">
        <v>311.49</v>
      </c>
      <c r="E263" s="59" t="s">
        <v>1033</v>
      </c>
      <c r="F263" s="59"/>
      <c r="G263" s="59"/>
      <c r="H263" s="59"/>
      <c r="I263" s="61"/>
      <c r="J263" s="59"/>
      <c r="K263" s="59" t="s">
        <v>55</v>
      </c>
      <c r="L263" s="61"/>
      <c r="M263" s="66"/>
      <c r="N263" s="67"/>
      <c r="O263" s="59"/>
      <c r="P263" s="59"/>
      <c r="Q263" s="59"/>
      <c r="R263" s="59"/>
      <c r="S263" s="59"/>
      <c r="T263" s="59"/>
      <c r="U263" s="63"/>
      <c r="V263" s="59"/>
      <c r="W263" s="61" t="s">
        <v>6</v>
      </c>
      <c r="X263" s="31">
        <v>311.49</v>
      </c>
      <c r="Y263" s="62"/>
      <c r="Z263" s="76">
        <f t="shared" si="4"/>
      </c>
      <c r="AA263" s="62" t="s">
        <v>47</v>
      </c>
      <c r="AB263" s="63"/>
      <c r="AC263" s="63"/>
      <c r="AD263" s="63"/>
      <c r="AE263" s="61" t="s">
        <v>48</v>
      </c>
    </row>
    <row r="264" spans="1:31" s="64" customFormat="1" x14ac:dyDescent="0.25">
      <c r="A264" s="59" t="s">
        <v>330</v>
      </c>
      <c r="B264" s="59" t="s">
        <v>679</v>
      </c>
      <c r="C264" s="60">
        <v>43913</v>
      </c>
      <c r="D264" s="31">
        <v>311.12</v>
      </c>
      <c r="E264" s="59" t="s">
        <v>1034</v>
      </c>
      <c r="F264" s="59"/>
      <c r="G264" s="59"/>
      <c r="H264" s="59"/>
      <c r="I264" s="61"/>
      <c r="J264" s="59"/>
      <c r="K264" s="59" t="s">
        <v>55</v>
      </c>
      <c r="L264" s="61"/>
      <c r="M264" s="66"/>
      <c r="N264" s="67"/>
      <c r="O264" s="59"/>
      <c r="P264" s="59"/>
      <c r="Q264" s="59"/>
      <c r="R264" s="59"/>
      <c r="S264" s="59"/>
      <c r="T264" s="59"/>
      <c r="U264" s="63"/>
      <c r="V264" s="59"/>
      <c r="W264" s="61" t="s">
        <v>6</v>
      </c>
      <c r="X264" s="31">
        <v>311.12</v>
      </c>
      <c r="Y264" s="62"/>
      <c r="Z264" s="76">
        <f t="shared" si="4"/>
      </c>
      <c r="AA264" s="62" t="s">
        <v>47</v>
      </c>
      <c r="AB264" s="63"/>
      <c r="AC264" s="63"/>
      <c r="AD264" s="63"/>
      <c r="AE264" s="61" t="s">
        <v>48</v>
      </c>
    </row>
    <row r="265" spans="1:31" s="64" customFormat="1" x14ac:dyDescent="0.25">
      <c r="A265" s="59" t="s">
        <v>331</v>
      </c>
      <c r="B265" s="59" t="s">
        <v>680</v>
      </c>
      <c r="C265" s="60">
        <v>44011</v>
      </c>
      <c r="D265" s="31">
        <v>298.49</v>
      </c>
      <c r="E265" s="59" t="s">
        <v>1035</v>
      </c>
      <c r="F265" s="59"/>
      <c r="G265" s="59"/>
      <c r="H265" s="59"/>
      <c r="I265" s="61"/>
      <c r="J265" s="59"/>
      <c r="K265" s="59" t="s">
        <v>55</v>
      </c>
      <c r="L265" s="61"/>
      <c r="M265" s="66"/>
      <c r="N265" s="67"/>
      <c r="O265" s="59"/>
      <c r="P265" s="59"/>
      <c r="Q265" s="59"/>
      <c r="R265" s="59"/>
      <c r="S265" s="59"/>
      <c r="T265" s="59"/>
      <c r="U265" s="63"/>
      <c r="V265" s="59"/>
      <c r="W265" s="61" t="s">
        <v>6</v>
      </c>
      <c r="X265" s="31">
        <v>298.49</v>
      </c>
      <c r="Y265" s="62" t="s">
        <v>52</v>
      </c>
      <c r="Z265" s="76">
        <f t="shared" si="4"/>
      </c>
      <c r="AA265" s="62" t="s">
        <v>10</v>
      </c>
      <c r="AB265" s="63"/>
      <c r="AC265" s="63"/>
      <c r="AD265" s="63"/>
      <c r="AE265" s="61" t="s">
        <v>48</v>
      </c>
    </row>
    <row r="266" spans="1:31" s="64" customFormat="1" x14ac:dyDescent="0.25">
      <c r="A266" s="59" t="s">
        <v>332</v>
      </c>
      <c r="B266" s="59" t="s">
        <v>681</v>
      </c>
      <c r="C266" s="60">
        <v>43665</v>
      </c>
      <c r="D266" s="31">
        <v>296.10000000000002</v>
      </c>
      <c r="E266" s="59" t="s">
        <v>1036</v>
      </c>
      <c r="F266" s="59"/>
      <c r="G266" s="59"/>
      <c r="H266" s="59"/>
      <c r="I266" s="61"/>
      <c r="J266" s="59"/>
      <c r="K266" s="59" t="s">
        <v>46</v>
      </c>
      <c r="L266" s="61"/>
      <c r="M266" s="66"/>
      <c r="N266" s="67"/>
      <c r="O266" s="59"/>
      <c r="P266" s="59"/>
      <c r="Q266" s="59"/>
      <c r="R266" s="59"/>
      <c r="S266" s="59"/>
      <c r="T266" s="59"/>
      <c r="U266" s="63"/>
      <c r="V266" s="59"/>
      <c r="W266" s="61" t="s">
        <v>6</v>
      </c>
      <c r="X266" s="31">
        <v>296.10000000000002</v>
      </c>
      <c r="Y266" s="62"/>
      <c r="Z266" s="76">
        <f t="shared" si="4"/>
      </c>
      <c r="AA266" s="62" t="s">
        <v>47</v>
      </c>
      <c r="AB266" s="63"/>
      <c r="AC266" s="63"/>
      <c r="AD266" s="63"/>
      <c r="AE266" s="61" t="s">
        <v>48</v>
      </c>
    </row>
    <row r="267" spans="1:31" s="64" customFormat="1" x14ac:dyDescent="0.25">
      <c r="A267" s="59" t="s">
        <v>333</v>
      </c>
      <c r="B267" s="59" t="s">
        <v>682</v>
      </c>
      <c r="C267" s="60">
        <v>43628</v>
      </c>
      <c r="D267" s="31">
        <v>291.81</v>
      </c>
      <c r="E267" s="59" t="s">
        <v>1037</v>
      </c>
      <c r="F267" s="59"/>
      <c r="G267" s="59"/>
      <c r="H267" s="59"/>
      <c r="I267" s="61"/>
      <c r="J267" s="59"/>
      <c r="K267" s="59" t="s">
        <v>46</v>
      </c>
      <c r="L267" s="61"/>
      <c r="M267" s="66"/>
      <c r="N267" s="67"/>
      <c r="O267" s="59"/>
      <c r="P267" s="59"/>
      <c r="Q267" s="59"/>
      <c r="R267" s="59"/>
      <c r="S267" s="59"/>
      <c r="T267" s="59"/>
      <c r="U267" s="63"/>
      <c r="V267" s="59"/>
      <c r="W267" s="61" t="s">
        <v>6</v>
      </c>
      <c r="X267" s="31">
        <v>291.81</v>
      </c>
      <c r="Y267" s="62"/>
      <c r="Z267" s="76">
        <f t="shared" si="4"/>
      </c>
      <c r="AA267" s="62" t="s">
        <v>47</v>
      </c>
      <c r="AB267" s="63"/>
      <c r="AC267" s="63"/>
      <c r="AD267" s="63"/>
      <c r="AE267" s="61" t="s">
        <v>48</v>
      </c>
    </row>
    <row r="268" spans="1:31" s="64" customFormat="1" x14ac:dyDescent="0.25">
      <c r="A268" s="59" t="s">
        <v>334</v>
      </c>
      <c r="B268" s="59" t="s">
        <v>683</v>
      </c>
      <c r="C268" s="60">
        <v>43627</v>
      </c>
      <c r="D268" s="31">
        <v>289.75</v>
      </c>
      <c r="E268" s="59" t="s">
        <v>1038</v>
      </c>
      <c r="F268" s="59"/>
      <c r="G268" s="59"/>
      <c r="H268" s="59"/>
      <c r="I268" s="61"/>
      <c r="J268" s="59"/>
      <c r="K268" s="59" t="s">
        <v>46</v>
      </c>
      <c r="L268" s="61"/>
      <c r="M268" s="66"/>
      <c r="N268" s="67"/>
      <c r="O268" s="59"/>
      <c r="P268" s="59"/>
      <c r="Q268" s="59"/>
      <c r="R268" s="59"/>
      <c r="S268" s="59"/>
      <c r="T268" s="59"/>
      <c r="U268" s="63"/>
      <c r="V268" s="59"/>
      <c r="W268" s="61" t="s">
        <v>6</v>
      </c>
      <c r="X268" s="31">
        <v>289.75</v>
      </c>
      <c r="Y268" s="62"/>
      <c r="Z268" s="76">
        <f t="shared" si="4"/>
      </c>
      <c r="AA268" s="62" t="s">
        <v>47</v>
      </c>
      <c r="AB268" s="63"/>
      <c r="AC268" s="63"/>
      <c r="AD268" s="63"/>
      <c r="AE268" s="61" t="s">
        <v>48</v>
      </c>
    </row>
    <row r="269" spans="1:31" s="64" customFormat="1" x14ac:dyDescent="0.25">
      <c r="A269" s="59" t="s">
        <v>335</v>
      </c>
      <c r="B269" s="59" t="s">
        <v>684</v>
      </c>
      <c r="C269" s="60">
        <v>43665</v>
      </c>
      <c r="D269" s="31">
        <v>281.35000000000002</v>
      </c>
      <c r="E269" s="59" t="s">
        <v>1039</v>
      </c>
      <c r="F269" s="59"/>
      <c r="G269" s="59"/>
      <c r="H269" s="59"/>
      <c r="I269" s="61"/>
      <c r="J269" s="59"/>
      <c r="K269" s="59" t="s">
        <v>46</v>
      </c>
      <c r="L269" s="61"/>
      <c r="M269" s="66"/>
      <c r="N269" s="67"/>
      <c r="O269" s="59"/>
      <c r="P269" s="59"/>
      <c r="Q269" s="59"/>
      <c r="R269" s="59"/>
      <c r="S269" s="59"/>
      <c r="T269" s="59"/>
      <c r="U269" s="63"/>
      <c r="V269" s="59"/>
      <c r="W269" s="61" t="s">
        <v>6</v>
      </c>
      <c r="X269" s="31">
        <v>281.35000000000002</v>
      </c>
      <c r="Y269" s="62"/>
      <c r="Z269" s="76">
        <f t="shared" si="4"/>
      </c>
      <c r="AA269" s="62" t="s">
        <v>47</v>
      </c>
      <c r="AB269" s="63"/>
      <c r="AC269" s="63"/>
      <c r="AD269" s="63"/>
      <c r="AE269" s="61" t="s">
        <v>48</v>
      </c>
    </row>
    <row r="270" spans="1:31" s="64" customFormat="1" x14ac:dyDescent="0.25">
      <c r="A270" s="59" t="s">
        <v>336</v>
      </c>
      <c r="B270" s="59" t="s">
        <v>685</v>
      </c>
      <c r="C270" s="60">
        <v>44309</v>
      </c>
      <c r="D270" s="31">
        <v>275.16000000000003</v>
      </c>
      <c r="E270" s="59" t="s">
        <v>1040</v>
      </c>
      <c r="F270" s="59"/>
      <c r="G270" s="59"/>
      <c r="H270" s="59"/>
      <c r="I270" s="61"/>
      <c r="J270" s="59"/>
      <c r="K270" s="59" t="s">
        <v>59</v>
      </c>
      <c r="L270" s="61"/>
      <c r="M270" s="66"/>
      <c r="N270" s="67"/>
      <c r="O270" s="59"/>
      <c r="P270" s="59"/>
      <c r="Q270" s="59"/>
      <c r="R270" s="59"/>
      <c r="S270" s="59"/>
      <c r="T270" s="59"/>
      <c r="U270" s="63"/>
      <c r="V270" s="59"/>
      <c r="W270" s="61" t="s">
        <v>6</v>
      </c>
      <c r="X270" s="31">
        <v>275.16000000000003</v>
      </c>
      <c r="Y270" s="62"/>
      <c r="Z270" s="76">
        <f t="shared" si="4"/>
      </c>
      <c r="AA270" s="62" t="s">
        <v>47</v>
      </c>
      <c r="AB270" s="63"/>
      <c r="AC270" s="63"/>
      <c r="AD270" s="63"/>
      <c r="AE270" s="61" t="s">
        <v>48</v>
      </c>
    </row>
    <row r="271" spans="1:31" s="64" customFormat="1" x14ac:dyDescent="0.25">
      <c r="A271" s="59" t="s">
        <v>337</v>
      </c>
      <c r="B271" s="59" t="s">
        <v>686</v>
      </c>
      <c r="C271" s="60">
        <v>44138</v>
      </c>
      <c r="D271" s="31">
        <v>271.79000000000002</v>
      </c>
      <c r="E271" s="59" t="s">
        <v>1041</v>
      </c>
      <c r="F271" s="59"/>
      <c r="G271" s="59"/>
      <c r="H271" s="59"/>
      <c r="I271" s="61"/>
      <c r="J271" s="59"/>
      <c r="K271" s="59" t="s">
        <v>55</v>
      </c>
      <c r="L271" s="61"/>
      <c r="M271" s="66"/>
      <c r="N271" s="67"/>
      <c r="O271" s="59"/>
      <c r="P271" s="59"/>
      <c r="Q271" s="59"/>
      <c r="R271" s="59"/>
      <c r="S271" s="59"/>
      <c r="T271" s="59"/>
      <c r="U271" s="63"/>
      <c r="V271" s="59"/>
      <c r="W271" s="61" t="s">
        <v>6</v>
      </c>
      <c r="X271" s="31">
        <v>271.79000000000002</v>
      </c>
      <c r="Y271" s="62"/>
      <c r="Z271" s="76">
        <f t="shared" si="4"/>
      </c>
      <c r="AA271" s="62" t="s">
        <v>47</v>
      </c>
      <c r="AB271" s="63"/>
      <c r="AC271" s="63"/>
      <c r="AD271" s="63"/>
      <c r="AE271" s="61" t="s">
        <v>48</v>
      </c>
    </row>
    <row r="272" spans="1:31" s="64" customFormat="1" x14ac:dyDescent="0.25">
      <c r="A272" s="59" t="s">
        <v>338</v>
      </c>
      <c r="B272" s="59" t="s">
        <v>687</v>
      </c>
      <c r="C272" s="60">
        <v>43754</v>
      </c>
      <c r="D272" s="31">
        <v>256.76</v>
      </c>
      <c r="E272" s="59" t="s">
        <v>1042</v>
      </c>
      <c r="F272" s="59"/>
      <c r="G272" s="59"/>
      <c r="H272" s="59"/>
      <c r="I272" s="61"/>
      <c r="J272" s="59"/>
      <c r="K272" s="59" t="s">
        <v>46</v>
      </c>
      <c r="L272" s="61"/>
      <c r="M272" s="66"/>
      <c r="N272" s="67"/>
      <c r="O272" s="59"/>
      <c r="P272" s="59"/>
      <c r="Q272" s="59"/>
      <c r="R272" s="59"/>
      <c r="S272" s="59"/>
      <c r="T272" s="59"/>
      <c r="U272" s="63"/>
      <c r="V272" s="59"/>
      <c r="W272" s="61" t="s">
        <v>6</v>
      </c>
      <c r="X272" s="31">
        <v>256.76</v>
      </c>
      <c r="Y272" s="62"/>
      <c r="Z272" s="76">
        <f t="shared" si="4"/>
      </c>
      <c r="AA272" s="62" t="s">
        <v>47</v>
      </c>
      <c r="AB272" s="63"/>
      <c r="AC272" s="63"/>
      <c r="AD272" s="63"/>
      <c r="AE272" s="61" t="s">
        <v>48</v>
      </c>
    </row>
    <row r="273" spans="1:31" s="64" customFormat="1" x14ac:dyDescent="0.25">
      <c r="A273" s="59" t="s">
        <v>339</v>
      </c>
      <c r="B273" s="59" t="s">
        <v>53</v>
      </c>
      <c r="C273" s="60">
        <v>44421</v>
      </c>
      <c r="D273" s="31">
        <v>249.63</v>
      </c>
      <c r="E273" s="59" t="s">
        <v>1043</v>
      </c>
      <c r="F273" s="59"/>
      <c r="G273" s="59"/>
      <c r="H273" s="59"/>
      <c r="I273" s="61"/>
      <c r="J273" s="59"/>
      <c r="K273" s="59" t="s">
        <v>59</v>
      </c>
      <c r="L273" s="61"/>
      <c r="M273" s="66"/>
      <c r="N273" s="67"/>
      <c r="O273" s="59"/>
      <c r="P273" s="59"/>
      <c r="Q273" s="59"/>
      <c r="R273" s="59"/>
      <c r="S273" s="59"/>
      <c r="T273" s="59"/>
      <c r="U273" s="63"/>
      <c r="V273" s="59"/>
      <c r="W273" s="61" t="s">
        <v>6</v>
      </c>
      <c r="X273" s="31">
        <v>249.63</v>
      </c>
      <c r="Y273" s="62"/>
      <c r="Z273" s="76">
        <f t="shared" si="4"/>
      </c>
      <c r="AA273" s="62" t="s">
        <v>47</v>
      </c>
      <c r="AB273" s="63"/>
      <c r="AC273" s="63"/>
      <c r="AD273" s="63"/>
      <c r="AE273" s="61" t="s">
        <v>48</v>
      </c>
    </row>
    <row r="274" spans="1:31" s="64" customFormat="1" x14ac:dyDescent="0.25">
      <c r="A274" s="59" t="s">
        <v>340</v>
      </c>
      <c r="B274" s="59" t="s">
        <v>688</v>
      </c>
      <c r="C274" s="60">
        <v>44180</v>
      </c>
      <c r="D274" s="31">
        <v>244.32</v>
      </c>
      <c r="E274" s="59" t="s">
        <v>1044</v>
      </c>
      <c r="F274" s="59"/>
      <c r="G274" s="59"/>
      <c r="H274" s="59"/>
      <c r="I274" s="61"/>
      <c r="J274" s="59"/>
      <c r="K274" s="59" t="s">
        <v>55</v>
      </c>
      <c r="L274" s="61"/>
      <c r="M274" s="66"/>
      <c r="N274" s="67"/>
      <c r="O274" s="59"/>
      <c r="P274" s="59"/>
      <c r="Q274" s="59"/>
      <c r="R274" s="59"/>
      <c r="S274" s="59"/>
      <c r="T274" s="59"/>
      <c r="U274" s="63"/>
      <c r="V274" s="59"/>
      <c r="W274" s="61" t="s">
        <v>6</v>
      </c>
      <c r="X274" s="31">
        <v>244.32</v>
      </c>
      <c r="Y274" s="62"/>
      <c r="Z274" s="76">
        <f t="shared" si="4"/>
      </c>
      <c r="AA274" s="62" t="s">
        <v>47</v>
      </c>
      <c r="AB274" s="63"/>
      <c r="AC274" s="63"/>
      <c r="AD274" s="63"/>
      <c r="AE274" s="61" t="s">
        <v>48</v>
      </c>
    </row>
    <row r="275" spans="1:31" s="64" customFormat="1" x14ac:dyDescent="0.25">
      <c r="A275" s="59" t="s">
        <v>341</v>
      </c>
      <c r="B275" s="59" t="s">
        <v>689</v>
      </c>
      <c r="C275" s="60">
        <v>43542</v>
      </c>
      <c r="D275" s="31">
        <v>236.8</v>
      </c>
      <c r="E275" s="59" t="s">
        <v>1045</v>
      </c>
      <c r="F275" s="59"/>
      <c r="G275" s="59"/>
      <c r="H275" s="59"/>
      <c r="I275" s="61"/>
      <c r="J275" s="59"/>
      <c r="K275" s="59" t="s">
        <v>46</v>
      </c>
      <c r="L275" s="61"/>
      <c r="M275" s="66"/>
      <c r="N275" s="67"/>
      <c r="O275" s="59"/>
      <c r="P275" s="59"/>
      <c r="Q275" s="59"/>
      <c r="R275" s="59"/>
      <c r="S275" s="59"/>
      <c r="T275" s="59"/>
      <c r="U275" s="63"/>
      <c r="V275" s="59"/>
      <c r="W275" s="61" t="s">
        <v>6</v>
      </c>
      <c r="X275" s="31">
        <v>236.8</v>
      </c>
      <c r="Y275" s="62"/>
      <c r="Z275" s="76">
        <f t="shared" si="4"/>
      </c>
      <c r="AA275" s="62" t="s">
        <v>47</v>
      </c>
      <c r="AB275" s="63"/>
      <c r="AC275" s="63"/>
      <c r="AD275" s="63"/>
      <c r="AE275" s="61" t="s">
        <v>48</v>
      </c>
    </row>
    <row r="276" spans="1:31" s="64" customFormat="1" x14ac:dyDescent="0.25">
      <c r="A276" s="59" t="s">
        <v>342</v>
      </c>
      <c r="B276" s="59" t="s">
        <v>690</v>
      </c>
      <c r="C276" s="60">
        <v>43665</v>
      </c>
      <c r="D276" s="31">
        <v>235</v>
      </c>
      <c r="E276" s="59" t="s">
        <v>1046</v>
      </c>
      <c r="F276" s="59"/>
      <c r="G276" s="59"/>
      <c r="H276" s="59"/>
      <c r="I276" s="61"/>
      <c r="J276" s="59"/>
      <c r="K276" s="59" t="s">
        <v>46</v>
      </c>
      <c r="L276" s="61"/>
      <c r="M276" s="66"/>
      <c r="N276" s="67"/>
      <c r="O276" s="59"/>
      <c r="P276" s="59"/>
      <c r="Q276" s="59"/>
      <c r="R276" s="59"/>
      <c r="S276" s="59"/>
      <c r="T276" s="59"/>
      <c r="U276" s="63"/>
      <c r="V276" s="59"/>
      <c r="W276" s="61" t="s">
        <v>6</v>
      </c>
      <c r="X276" s="31">
        <v>235</v>
      </c>
      <c r="Y276" s="62"/>
      <c r="Z276" s="76">
        <f t="shared" si="4"/>
      </c>
      <c r="AA276" s="62" t="s">
        <v>47</v>
      </c>
      <c r="AB276" s="63"/>
      <c r="AC276" s="63"/>
      <c r="AD276" s="63"/>
      <c r="AE276" s="61" t="s">
        <v>48</v>
      </c>
    </row>
    <row r="277" spans="1:31" s="64" customFormat="1" x14ac:dyDescent="0.25">
      <c r="A277" s="59" t="s">
        <v>343</v>
      </c>
      <c r="B277" s="59" t="s">
        <v>691</v>
      </c>
      <c r="C277" s="60">
        <v>43665</v>
      </c>
      <c r="D277" s="31">
        <v>232.52</v>
      </c>
      <c r="E277" s="59" t="s">
        <v>1047</v>
      </c>
      <c r="F277" s="59"/>
      <c r="G277" s="59"/>
      <c r="H277" s="59"/>
      <c r="I277" s="61"/>
      <c r="J277" s="59"/>
      <c r="K277" s="59" t="s">
        <v>46</v>
      </c>
      <c r="L277" s="61"/>
      <c r="M277" s="66"/>
      <c r="N277" s="67"/>
      <c r="O277" s="59"/>
      <c r="P277" s="59"/>
      <c r="Q277" s="59"/>
      <c r="R277" s="59"/>
      <c r="S277" s="59"/>
      <c r="T277" s="59"/>
      <c r="U277" s="63"/>
      <c r="V277" s="59"/>
      <c r="W277" s="61" t="s">
        <v>6</v>
      </c>
      <c r="X277" s="31">
        <v>232.52</v>
      </c>
      <c r="Y277" s="62"/>
      <c r="Z277" s="76">
        <f t="shared" si="4"/>
      </c>
      <c r="AA277" s="62" t="s">
        <v>47</v>
      </c>
      <c r="AB277" s="63"/>
      <c r="AC277" s="63"/>
      <c r="AD277" s="63"/>
      <c r="AE277" s="61" t="s">
        <v>48</v>
      </c>
    </row>
    <row r="278" spans="1:31" s="64" customFormat="1" x14ac:dyDescent="0.25">
      <c r="A278" s="59" t="s">
        <v>344</v>
      </c>
      <c r="B278" s="59" t="s">
        <v>692</v>
      </c>
      <c r="C278" s="60">
        <v>43994</v>
      </c>
      <c r="D278" s="31">
        <v>232.05</v>
      </c>
      <c r="E278" s="59" t="s">
        <v>1048</v>
      </c>
      <c r="F278" s="59"/>
      <c r="G278" s="59"/>
      <c r="H278" s="59"/>
      <c r="I278" s="61"/>
      <c r="J278" s="59"/>
      <c r="K278" s="59" t="s">
        <v>55</v>
      </c>
      <c r="L278" s="61"/>
      <c r="M278" s="66"/>
      <c r="N278" s="67"/>
      <c r="O278" s="59"/>
      <c r="P278" s="59"/>
      <c r="Q278" s="59"/>
      <c r="R278" s="59"/>
      <c r="S278" s="59"/>
      <c r="T278" s="59"/>
      <c r="U278" s="63"/>
      <c r="V278" s="59"/>
      <c r="W278" s="61" t="s">
        <v>6</v>
      </c>
      <c r="X278" s="31">
        <v>232.05</v>
      </c>
      <c r="Y278" s="62"/>
      <c r="Z278" s="76">
        <f t="shared" si="4"/>
      </c>
      <c r="AA278" s="62" t="s">
        <v>47</v>
      </c>
      <c r="AB278" s="63"/>
      <c r="AC278" s="63"/>
      <c r="AD278" s="63"/>
      <c r="AE278" s="61" t="s">
        <v>48</v>
      </c>
    </row>
    <row r="279" spans="1:31" s="64" customFormat="1" x14ac:dyDescent="0.25">
      <c r="A279" s="59" t="s">
        <v>345</v>
      </c>
      <c r="B279" s="59" t="s">
        <v>693</v>
      </c>
      <c r="C279" s="60">
        <v>43643</v>
      </c>
      <c r="D279" s="31">
        <v>226.13</v>
      </c>
      <c r="E279" s="59" t="s">
        <v>1049</v>
      </c>
      <c r="F279" s="59"/>
      <c r="G279" s="59"/>
      <c r="H279" s="59"/>
      <c r="I279" s="61"/>
      <c r="J279" s="59"/>
      <c r="K279" s="59" t="s">
        <v>46</v>
      </c>
      <c r="L279" s="61"/>
      <c r="M279" s="66"/>
      <c r="N279" s="67"/>
      <c r="O279" s="59"/>
      <c r="P279" s="59"/>
      <c r="Q279" s="59"/>
      <c r="R279" s="59"/>
      <c r="S279" s="59"/>
      <c r="T279" s="59"/>
      <c r="U279" s="63"/>
      <c r="V279" s="59"/>
      <c r="W279" s="61" t="s">
        <v>6</v>
      </c>
      <c r="X279" s="31">
        <v>226.13</v>
      </c>
      <c r="Y279" s="62"/>
      <c r="Z279" s="76">
        <f t="shared" si="4"/>
      </c>
      <c r="AA279" s="62" t="s">
        <v>47</v>
      </c>
      <c r="AB279" s="63"/>
      <c r="AC279" s="63"/>
      <c r="AD279" s="63"/>
      <c r="AE279" s="61" t="s">
        <v>48</v>
      </c>
    </row>
    <row r="280" spans="1:31" s="64" customFormat="1" x14ac:dyDescent="0.25">
      <c r="A280" s="59" t="s">
        <v>346</v>
      </c>
      <c r="B280" s="59" t="s">
        <v>694</v>
      </c>
      <c r="C280" s="60">
        <v>44179</v>
      </c>
      <c r="D280" s="31">
        <v>215.19</v>
      </c>
      <c r="E280" s="59" t="s">
        <v>1050</v>
      </c>
      <c r="F280" s="59"/>
      <c r="G280" s="59"/>
      <c r="H280" s="59"/>
      <c r="I280" s="61"/>
      <c r="J280" s="59"/>
      <c r="K280" s="59" t="s">
        <v>55</v>
      </c>
      <c r="L280" s="61"/>
      <c r="M280" s="66"/>
      <c r="N280" s="67"/>
      <c r="O280" s="59"/>
      <c r="P280" s="59"/>
      <c r="Q280" s="59"/>
      <c r="R280" s="59"/>
      <c r="S280" s="59"/>
      <c r="T280" s="59"/>
      <c r="U280" s="63"/>
      <c r="V280" s="59"/>
      <c r="W280" s="61" t="s">
        <v>6</v>
      </c>
      <c r="X280" s="31">
        <v>215.19</v>
      </c>
      <c r="Y280" s="62"/>
      <c r="Z280" s="76">
        <f t="shared" si="4"/>
      </c>
      <c r="AA280" s="62" t="s">
        <v>47</v>
      </c>
      <c r="AB280" s="63"/>
      <c r="AC280" s="63"/>
      <c r="AD280" s="63"/>
      <c r="AE280" s="61" t="s">
        <v>48</v>
      </c>
    </row>
    <row r="281" spans="1:31" s="64" customFormat="1" x14ac:dyDescent="0.25">
      <c r="A281" s="59" t="s">
        <v>347</v>
      </c>
      <c r="B281" s="59" t="s">
        <v>695</v>
      </c>
      <c r="C281" s="60">
        <v>44069</v>
      </c>
      <c r="D281" s="31">
        <v>213.41</v>
      </c>
      <c r="E281" s="59" t="s">
        <v>1051</v>
      </c>
      <c r="F281" s="59"/>
      <c r="G281" s="59"/>
      <c r="H281" s="59"/>
      <c r="I281" s="61"/>
      <c r="J281" s="59"/>
      <c r="K281" s="59" t="s">
        <v>55</v>
      </c>
      <c r="L281" s="61"/>
      <c r="M281" s="66"/>
      <c r="N281" s="67"/>
      <c r="O281" s="59"/>
      <c r="P281" s="59"/>
      <c r="Q281" s="59"/>
      <c r="R281" s="59"/>
      <c r="S281" s="59"/>
      <c r="T281" s="59"/>
      <c r="U281" s="63"/>
      <c r="V281" s="59"/>
      <c r="W281" s="61" t="s">
        <v>6</v>
      </c>
      <c r="X281" s="31">
        <v>213.41</v>
      </c>
      <c r="Y281" s="62"/>
      <c r="Z281" s="76">
        <f t="shared" si="4"/>
      </c>
      <c r="AA281" s="62" t="s">
        <v>47</v>
      </c>
      <c r="AB281" s="63"/>
      <c r="AC281" s="63"/>
      <c r="AD281" s="63"/>
      <c r="AE281" s="61" t="s">
        <v>48</v>
      </c>
    </row>
    <row r="282" spans="1:31" s="64" customFormat="1" x14ac:dyDescent="0.25">
      <c r="A282" s="59" t="s">
        <v>348</v>
      </c>
      <c r="B282" s="59" t="s">
        <v>696</v>
      </c>
      <c r="C282" s="60">
        <v>43566</v>
      </c>
      <c r="D282" s="31">
        <v>210.9</v>
      </c>
      <c r="E282" s="59" t="s">
        <v>1052</v>
      </c>
      <c r="F282" s="59"/>
      <c r="G282" s="59"/>
      <c r="H282" s="59"/>
      <c r="I282" s="61"/>
      <c r="J282" s="59"/>
      <c r="K282" s="59" t="s">
        <v>46</v>
      </c>
      <c r="L282" s="61"/>
      <c r="M282" s="66"/>
      <c r="N282" s="67"/>
      <c r="O282" s="59"/>
      <c r="P282" s="59"/>
      <c r="Q282" s="59"/>
      <c r="R282" s="59"/>
      <c r="S282" s="59"/>
      <c r="T282" s="59"/>
      <c r="U282" s="63"/>
      <c r="V282" s="59"/>
      <c r="W282" s="61" t="s">
        <v>6</v>
      </c>
      <c r="X282" s="31">
        <v>210.9</v>
      </c>
      <c r="Y282" s="62"/>
      <c r="Z282" s="76">
        <f t="shared" si="4"/>
      </c>
      <c r="AA282" s="62" t="s">
        <v>47</v>
      </c>
      <c r="AB282" s="63"/>
      <c r="AC282" s="63"/>
      <c r="AD282" s="63"/>
      <c r="AE282" s="61" t="s">
        <v>48</v>
      </c>
    </row>
    <row r="283" spans="1:31" s="64" customFormat="1" x14ac:dyDescent="0.25">
      <c r="A283" s="59" t="s">
        <v>349</v>
      </c>
      <c r="B283" s="59" t="s">
        <v>697</v>
      </c>
      <c r="C283" s="60">
        <v>43994</v>
      </c>
      <c r="D283" s="31">
        <v>202.24</v>
      </c>
      <c r="E283" s="59" t="s">
        <v>1053</v>
      </c>
      <c r="F283" s="59"/>
      <c r="G283" s="59"/>
      <c r="H283" s="59"/>
      <c r="I283" s="61"/>
      <c r="J283" s="59"/>
      <c r="K283" s="59" t="s">
        <v>55</v>
      </c>
      <c r="L283" s="61"/>
      <c r="M283" s="66"/>
      <c r="N283" s="67"/>
      <c r="O283" s="59"/>
      <c r="P283" s="59"/>
      <c r="Q283" s="59"/>
      <c r="R283" s="59"/>
      <c r="S283" s="59"/>
      <c r="T283" s="59"/>
      <c r="U283" s="63"/>
      <c r="V283" s="59"/>
      <c r="W283" s="61" t="s">
        <v>6</v>
      </c>
      <c r="X283" s="31">
        <v>202.24</v>
      </c>
      <c r="Y283" s="62"/>
      <c r="Z283" s="76">
        <f t="shared" si="4"/>
      </c>
      <c r="AA283" s="62" t="s">
        <v>47</v>
      </c>
      <c r="AB283" s="63"/>
      <c r="AC283" s="63"/>
      <c r="AD283" s="63"/>
      <c r="AE283" s="61" t="s">
        <v>48</v>
      </c>
    </row>
    <row r="284" spans="1:31" s="64" customFormat="1" x14ac:dyDescent="0.25">
      <c r="A284" s="59" t="s">
        <v>350</v>
      </c>
      <c r="B284" s="59" t="s">
        <v>698</v>
      </c>
      <c r="C284" s="60">
        <v>43672</v>
      </c>
      <c r="D284" s="31">
        <v>197.3</v>
      </c>
      <c r="E284" s="59" t="s">
        <v>1054</v>
      </c>
      <c r="F284" s="59"/>
      <c r="G284" s="59"/>
      <c r="H284" s="59"/>
      <c r="I284" s="61"/>
      <c r="J284" s="59"/>
      <c r="K284" s="59" t="s">
        <v>46</v>
      </c>
      <c r="L284" s="61"/>
      <c r="M284" s="66"/>
      <c r="N284" s="67"/>
      <c r="O284" s="59"/>
      <c r="P284" s="59"/>
      <c r="Q284" s="59"/>
      <c r="R284" s="59"/>
      <c r="S284" s="59"/>
      <c r="T284" s="59"/>
      <c r="U284" s="63"/>
      <c r="V284" s="59"/>
      <c r="W284" s="61" t="s">
        <v>6</v>
      </c>
      <c r="X284" s="31">
        <v>197.3</v>
      </c>
      <c r="Y284" s="62"/>
      <c r="Z284" s="76">
        <f t="shared" si="4"/>
      </c>
      <c r="AA284" s="62" t="s">
        <v>47</v>
      </c>
      <c r="AB284" s="63"/>
      <c r="AC284" s="63"/>
      <c r="AD284" s="63"/>
      <c r="AE284" s="61" t="s">
        <v>48</v>
      </c>
    </row>
    <row r="285" spans="1:31" s="64" customFormat="1" x14ac:dyDescent="0.25">
      <c r="A285" s="59" t="s">
        <v>351</v>
      </c>
      <c r="B285" s="59" t="s">
        <v>699</v>
      </c>
      <c r="C285" s="60">
        <v>44044</v>
      </c>
      <c r="D285" s="31">
        <v>195</v>
      </c>
      <c r="E285" s="59" t="s">
        <v>1055</v>
      </c>
      <c r="F285" s="59"/>
      <c r="G285" s="59"/>
      <c r="H285" s="59"/>
      <c r="I285" s="61"/>
      <c r="J285" s="59"/>
      <c r="K285" s="59" t="s">
        <v>55</v>
      </c>
      <c r="L285" s="61"/>
      <c r="M285" s="66"/>
      <c r="N285" s="67"/>
      <c r="O285" s="59"/>
      <c r="P285" s="59"/>
      <c r="Q285" s="59"/>
      <c r="R285" s="59"/>
      <c r="S285" s="59"/>
      <c r="T285" s="59"/>
      <c r="U285" s="63"/>
      <c r="V285" s="59"/>
      <c r="W285" s="61" t="s">
        <v>6</v>
      </c>
      <c r="X285" s="31">
        <v>195</v>
      </c>
      <c r="Y285" s="62"/>
      <c r="Z285" s="76">
        <f t="shared" si="4"/>
      </c>
      <c r="AA285" s="62" t="s">
        <v>47</v>
      </c>
      <c r="AB285" s="63"/>
      <c r="AC285" s="63"/>
      <c r="AD285" s="63"/>
      <c r="AE285" s="61" t="s">
        <v>48</v>
      </c>
    </row>
    <row r="286" spans="1:31" s="64" customFormat="1" x14ac:dyDescent="0.25">
      <c r="A286" s="59" t="s">
        <v>352</v>
      </c>
      <c r="B286" s="59" t="s">
        <v>700</v>
      </c>
      <c r="C286" s="60">
        <v>44266</v>
      </c>
      <c r="D286" s="31">
        <v>193.96</v>
      </c>
      <c r="E286" s="59" t="s">
        <v>1056</v>
      </c>
      <c r="F286" s="59"/>
      <c r="G286" s="59"/>
      <c r="H286" s="59"/>
      <c r="I286" s="61"/>
      <c r="J286" s="59"/>
      <c r="K286" s="59" t="s">
        <v>59</v>
      </c>
      <c r="L286" s="61"/>
      <c r="M286" s="66"/>
      <c r="N286" s="67"/>
      <c r="O286" s="59"/>
      <c r="P286" s="59"/>
      <c r="Q286" s="59"/>
      <c r="R286" s="59"/>
      <c r="S286" s="59"/>
      <c r="T286" s="59"/>
      <c r="U286" s="63"/>
      <c r="V286" s="59"/>
      <c r="W286" s="61" t="s">
        <v>6</v>
      </c>
      <c r="X286" s="31">
        <v>193.96</v>
      </c>
      <c r="Y286" s="62"/>
      <c r="Z286" s="76">
        <f t="shared" si="4"/>
      </c>
      <c r="AA286" s="62" t="s">
        <v>47</v>
      </c>
      <c r="AB286" s="63"/>
      <c r="AC286" s="63"/>
      <c r="AD286" s="63"/>
      <c r="AE286" s="61" t="s">
        <v>48</v>
      </c>
    </row>
    <row r="287" spans="1:31" s="64" customFormat="1" x14ac:dyDescent="0.25">
      <c r="A287" s="59" t="s">
        <v>353</v>
      </c>
      <c r="B287" s="59" t="s">
        <v>701</v>
      </c>
      <c r="C287" s="60">
        <v>43515</v>
      </c>
      <c r="D287" s="31">
        <v>191.22</v>
      </c>
      <c r="E287" s="59" t="s">
        <v>1057</v>
      </c>
      <c r="F287" s="59"/>
      <c r="G287" s="59"/>
      <c r="H287" s="59"/>
      <c r="I287" s="61"/>
      <c r="J287" s="59"/>
      <c r="K287" s="59" t="s">
        <v>46</v>
      </c>
      <c r="L287" s="61"/>
      <c r="M287" s="66"/>
      <c r="N287" s="67"/>
      <c r="O287" s="59"/>
      <c r="P287" s="59"/>
      <c r="Q287" s="59"/>
      <c r="R287" s="59"/>
      <c r="S287" s="59"/>
      <c r="T287" s="59"/>
      <c r="U287" s="63"/>
      <c r="V287" s="59"/>
      <c r="W287" s="61" t="s">
        <v>6</v>
      </c>
      <c r="X287" s="31">
        <v>191.22</v>
      </c>
      <c r="Y287" s="62"/>
      <c r="Z287" s="76">
        <f t="shared" si="4"/>
      </c>
      <c r="AA287" s="62" t="s">
        <v>47</v>
      </c>
      <c r="AB287" s="63"/>
      <c r="AC287" s="63"/>
      <c r="AD287" s="63"/>
      <c r="AE287" s="61" t="s">
        <v>48</v>
      </c>
    </row>
    <row r="288" spans="1:31" s="64" customFormat="1" x14ac:dyDescent="0.25">
      <c r="A288" s="59" t="s">
        <v>354</v>
      </c>
      <c r="B288" s="59" t="s">
        <v>702</v>
      </c>
      <c r="C288" s="60">
        <v>44239</v>
      </c>
      <c r="D288" s="31">
        <v>190.2</v>
      </c>
      <c r="E288" s="59" t="s">
        <v>1058</v>
      </c>
      <c r="F288" s="59"/>
      <c r="G288" s="59"/>
      <c r="H288" s="59"/>
      <c r="I288" s="61"/>
      <c r="J288" s="59"/>
      <c r="K288" s="59" t="s">
        <v>59</v>
      </c>
      <c r="L288" s="61"/>
      <c r="M288" s="66"/>
      <c r="N288" s="67"/>
      <c r="O288" s="59"/>
      <c r="P288" s="59"/>
      <c r="Q288" s="59"/>
      <c r="R288" s="59"/>
      <c r="S288" s="59"/>
      <c r="T288" s="59"/>
      <c r="U288" s="63"/>
      <c r="V288" s="59"/>
      <c r="W288" s="61" t="s">
        <v>6</v>
      </c>
      <c r="X288" s="31">
        <v>190.2</v>
      </c>
      <c r="Y288" s="62"/>
      <c r="Z288" s="76">
        <f t="shared" si="4"/>
      </c>
      <c r="AA288" s="62" t="s">
        <v>47</v>
      </c>
      <c r="AB288" s="63"/>
      <c r="AC288" s="63"/>
      <c r="AD288" s="63"/>
      <c r="AE288" s="61" t="s">
        <v>48</v>
      </c>
    </row>
    <row r="289" spans="1:31" s="64" customFormat="1" x14ac:dyDescent="0.25">
      <c r="A289" s="59" t="s">
        <v>355</v>
      </c>
      <c r="B289" s="59" t="s">
        <v>703</v>
      </c>
      <c r="C289" s="60">
        <v>44130</v>
      </c>
      <c r="D289" s="31">
        <v>186.07</v>
      </c>
      <c r="E289" s="59" t="s">
        <v>1059</v>
      </c>
      <c r="F289" s="59"/>
      <c r="G289" s="59"/>
      <c r="H289" s="59"/>
      <c r="I289" s="61"/>
      <c r="J289" s="59"/>
      <c r="K289" s="59" t="s">
        <v>55</v>
      </c>
      <c r="L289" s="61"/>
      <c r="M289" s="66"/>
      <c r="N289" s="67"/>
      <c r="O289" s="59"/>
      <c r="P289" s="59"/>
      <c r="Q289" s="59"/>
      <c r="R289" s="59"/>
      <c r="S289" s="59"/>
      <c r="T289" s="59"/>
      <c r="U289" s="63"/>
      <c r="V289" s="59"/>
      <c r="W289" s="61" t="s">
        <v>6</v>
      </c>
      <c r="X289" s="31">
        <v>186.07</v>
      </c>
      <c r="Y289" s="62"/>
      <c r="Z289" s="76">
        <f t="shared" si="4"/>
      </c>
      <c r="AA289" s="62" t="s">
        <v>47</v>
      </c>
      <c r="AB289" s="63"/>
      <c r="AC289" s="63"/>
      <c r="AD289" s="63"/>
      <c r="AE289" s="61" t="s">
        <v>48</v>
      </c>
    </row>
    <row r="290" spans="1:31" s="64" customFormat="1" x14ac:dyDescent="0.25">
      <c r="A290" s="59" t="s">
        <v>356</v>
      </c>
      <c r="B290" s="59" t="s">
        <v>704</v>
      </c>
      <c r="C290" s="60">
        <v>44123</v>
      </c>
      <c r="D290" s="31">
        <v>186.07</v>
      </c>
      <c r="E290" s="59" t="s">
        <v>1060</v>
      </c>
      <c r="F290" s="59"/>
      <c r="G290" s="59"/>
      <c r="H290" s="59"/>
      <c r="I290" s="61"/>
      <c r="J290" s="59"/>
      <c r="K290" s="59" t="s">
        <v>55</v>
      </c>
      <c r="L290" s="61"/>
      <c r="M290" s="66"/>
      <c r="N290" s="67"/>
      <c r="O290" s="59"/>
      <c r="P290" s="59"/>
      <c r="Q290" s="59"/>
      <c r="R290" s="59"/>
      <c r="S290" s="59"/>
      <c r="T290" s="59"/>
      <c r="U290" s="63"/>
      <c r="V290" s="59"/>
      <c r="W290" s="61" t="s">
        <v>6</v>
      </c>
      <c r="X290" s="31">
        <v>186.07</v>
      </c>
      <c r="Y290" s="62"/>
      <c r="Z290" s="76">
        <f t="shared" si="4"/>
      </c>
      <c r="AA290" s="62" t="s">
        <v>47</v>
      </c>
      <c r="AB290" s="63"/>
      <c r="AC290" s="63"/>
      <c r="AD290" s="63"/>
      <c r="AE290" s="61" t="s">
        <v>48</v>
      </c>
    </row>
    <row r="291" spans="1:31" s="64" customFormat="1" x14ac:dyDescent="0.25">
      <c r="A291" s="59" t="s">
        <v>357</v>
      </c>
      <c r="B291" s="59" t="s">
        <v>705</v>
      </c>
      <c r="C291" s="60">
        <v>43903</v>
      </c>
      <c r="D291" s="31">
        <v>173.56</v>
      </c>
      <c r="E291" s="59" t="s">
        <v>1061</v>
      </c>
      <c r="F291" s="59"/>
      <c r="G291" s="59"/>
      <c r="H291" s="59"/>
      <c r="I291" s="61"/>
      <c r="J291" s="59"/>
      <c r="K291" s="59" t="s">
        <v>55</v>
      </c>
      <c r="L291" s="61"/>
      <c r="M291" s="66"/>
      <c r="N291" s="67"/>
      <c r="O291" s="59"/>
      <c r="P291" s="59"/>
      <c r="Q291" s="59"/>
      <c r="R291" s="59"/>
      <c r="S291" s="59"/>
      <c r="T291" s="59"/>
      <c r="U291" s="63"/>
      <c r="V291" s="59"/>
      <c r="W291" s="61" t="s">
        <v>6</v>
      </c>
      <c r="X291" s="31">
        <v>173.56</v>
      </c>
      <c r="Y291" s="62"/>
      <c r="Z291" s="76">
        <f t="shared" si="4"/>
      </c>
      <c r="AA291" s="62" t="s">
        <v>47</v>
      </c>
      <c r="AB291" s="63"/>
      <c r="AC291" s="63"/>
      <c r="AD291" s="63"/>
      <c r="AE291" s="61" t="s">
        <v>48</v>
      </c>
    </row>
    <row r="292" spans="1:31" s="64" customFormat="1" x14ac:dyDescent="0.25">
      <c r="A292" s="59" t="s">
        <v>358</v>
      </c>
      <c r="B292" s="59" t="s">
        <v>706</v>
      </c>
      <c r="C292" s="60">
        <v>43468</v>
      </c>
      <c r="D292" s="31">
        <v>173.53</v>
      </c>
      <c r="E292" s="59" t="s">
        <v>1062</v>
      </c>
      <c r="F292" s="59"/>
      <c r="G292" s="59"/>
      <c r="H292" s="59"/>
      <c r="I292" s="61"/>
      <c r="J292" s="59"/>
      <c r="K292" s="59" t="s">
        <v>46</v>
      </c>
      <c r="L292" s="61"/>
      <c r="M292" s="66"/>
      <c r="N292" s="67"/>
      <c r="O292" s="59"/>
      <c r="P292" s="59"/>
      <c r="Q292" s="59"/>
      <c r="R292" s="59"/>
      <c r="S292" s="59"/>
      <c r="T292" s="59"/>
      <c r="U292" s="63"/>
      <c r="V292" s="59"/>
      <c r="W292" s="61" t="s">
        <v>6</v>
      </c>
      <c r="X292" s="31">
        <v>173.53</v>
      </c>
      <c r="Y292" s="62"/>
      <c r="Z292" s="76">
        <f t="shared" si="4"/>
      </c>
      <c r="AA292" s="62" t="s">
        <v>47</v>
      </c>
      <c r="AB292" s="63"/>
      <c r="AC292" s="63"/>
      <c r="AD292" s="63"/>
      <c r="AE292" s="61" t="s">
        <v>48</v>
      </c>
    </row>
    <row r="293" spans="1:31" s="64" customFormat="1" x14ac:dyDescent="0.25">
      <c r="A293" s="59" t="s">
        <v>359</v>
      </c>
      <c r="B293" s="59" t="s">
        <v>707</v>
      </c>
      <c r="C293" s="60">
        <v>43468</v>
      </c>
      <c r="D293" s="31">
        <v>169.83</v>
      </c>
      <c r="E293" s="59" t="s">
        <v>1063</v>
      </c>
      <c r="F293" s="59"/>
      <c r="G293" s="59"/>
      <c r="H293" s="59"/>
      <c r="I293" s="61"/>
      <c r="J293" s="59"/>
      <c r="K293" s="59" t="s">
        <v>46</v>
      </c>
      <c r="L293" s="61"/>
      <c r="M293" s="66"/>
      <c r="N293" s="67"/>
      <c r="O293" s="59"/>
      <c r="P293" s="59"/>
      <c r="Q293" s="59"/>
      <c r="R293" s="59"/>
      <c r="S293" s="59"/>
      <c r="T293" s="59"/>
      <c r="U293" s="63"/>
      <c r="V293" s="59"/>
      <c r="W293" s="61" t="s">
        <v>6</v>
      </c>
      <c r="X293" s="31">
        <v>169.83</v>
      </c>
      <c r="Y293" s="62"/>
      <c r="Z293" s="76">
        <f t="shared" si="4"/>
      </c>
      <c r="AA293" s="62" t="s">
        <v>47</v>
      </c>
      <c r="AB293" s="63"/>
      <c r="AC293" s="63"/>
      <c r="AD293" s="63"/>
      <c r="AE293" s="61" t="s">
        <v>48</v>
      </c>
    </row>
    <row r="294" spans="1:31" s="64" customFormat="1" x14ac:dyDescent="0.25">
      <c r="A294" s="59" t="s">
        <v>360</v>
      </c>
      <c r="B294" s="59" t="s">
        <v>708</v>
      </c>
      <c r="C294" s="60">
        <v>43914</v>
      </c>
      <c r="D294" s="31">
        <v>169.83</v>
      </c>
      <c r="E294" s="59" t="s">
        <v>1064</v>
      </c>
      <c r="F294" s="59"/>
      <c r="G294" s="59"/>
      <c r="H294" s="59"/>
      <c r="I294" s="61"/>
      <c r="J294" s="59"/>
      <c r="K294" s="59" t="s">
        <v>55</v>
      </c>
      <c r="L294" s="61"/>
      <c r="M294" s="66"/>
      <c r="N294" s="67"/>
      <c r="O294" s="59"/>
      <c r="P294" s="59"/>
      <c r="Q294" s="59"/>
      <c r="R294" s="59"/>
      <c r="S294" s="59"/>
      <c r="T294" s="59"/>
      <c r="U294" s="63"/>
      <c r="V294" s="59"/>
      <c r="W294" s="61" t="s">
        <v>6</v>
      </c>
      <c r="X294" s="31">
        <v>169.83</v>
      </c>
      <c r="Y294" s="62" t="s">
        <v>52</v>
      </c>
      <c r="Z294" s="76">
        <f t="shared" si="4"/>
      </c>
      <c r="AA294" s="62" t="s">
        <v>10</v>
      </c>
      <c r="AB294" s="63"/>
      <c r="AC294" s="63"/>
      <c r="AD294" s="63"/>
      <c r="AE294" s="61" t="s">
        <v>48</v>
      </c>
    </row>
    <row r="295" spans="1:31" s="64" customFormat="1" x14ac:dyDescent="0.25">
      <c r="A295" s="59" t="s">
        <v>361</v>
      </c>
      <c r="B295" s="59" t="s">
        <v>709</v>
      </c>
      <c r="C295" s="60">
        <v>43711</v>
      </c>
      <c r="D295" s="31">
        <v>152.9</v>
      </c>
      <c r="E295" s="59" t="s">
        <v>1065</v>
      </c>
      <c r="F295" s="59"/>
      <c r="G295" s="59"/>
      <c r="H295" s="59"/>
      <c r="I295" s="61"/>
      <c r="J295" s="59"/>
      <c r="K295" s="59" t="s">
        <v>46</v>
      </c>
      <c r="L295" s="61"/>
      <c r="M295" s="66"/>
      <c r="N295" s="67"/>
      <c r="O295" s="59"/>
      <c r="P295" s="59"/>
      <c r="Q295" s="59"/>
      <c r="R295" s="59"/>
      <c r="S295" s="59"/>
      <c r="T295" s="59"/>
      <c r="U295" s="63"/>
      <c r="V295" s="59"/>
      <c r="W295" s="61" t="s">
        <v>6</v>
      </c>
      <c r="X295" s="31">
        <v>152.9</v>
      </c>
      <c r="Y295" s="62"/>
      <c r="Z295" s="76">
        <f t="shared" si="4"/>
      </c>
      <c r="AA295" s="62" t="s">
        <v>47</v>
      </c>
      <c r="AB295" s="63"/>
      <c r="AC295" s="63"/>
      <c r="AD295" s="63"/>
      <c r="AE295" s="61" t="s">
        <v>48</v>
      </c>
    </row>
    <row r="296" spans="1:31" s="64" customFormat="1" x14ac:dyDescent="0.25">
      <c r="A296" s="59" t="s">
        <v>362</v>
      </c>
      <c r="B296" s="59" t="s">
        <v>710</v>
      </c>
      <c r="C296" s="60">
        <v>43720</v>
      </c>
      <c r="D296" s="31">
        <v>146.09</v>
      </c>
      <c r="E296" s="59" t="s">
        <v>1066</v>
      </c>
      <c r="F296" s="59"/>
      <c r="G296" s="59"/>
      <c r="H296" s="59"/>
      <c r="I296" s="61"/>
      <c r="J296" s="59"/>
      <c r="K296" s="59" t="s">
        <v>46</v>
      </c>
      <c r="L296" s="61"/>
      <c r="M296" s="66"/>
      <c r="N296" s="67"/>
      <c r="O296" s="59"/>
      <c r="P296" s="59"/>
      <c r="Q296" s="59"/>
      <c r="R296" s="59"/>
      <c r="S296" s="59"/>
      <c r="T296" s="59"/>
      <c r="U296" s="63"/>
      <c r="V296" s="59"/>
      <c r="W296" s="61" t="s">
        <v>6</v>
      </c>
      <c r="X296" s="31">
        <v>146.09</v>
      </c>
      <c r="Y296" s="62"/>
      <c r="Z296" s="76">
        <f t="shared" si="4"/>
      </c>
      <c r="AA296" s="62" t="s">
        <v>47</v>
      </c>
      <c r="AB296" s="63"/>
      <c r="AC296" s="63"/>
      <c r="AD296" s="63"/>
      <c r="AE296" s="61" t="s">
        <v>48</v>
      </c>
    </row>
    <row r="297" spans="1:31" s="64" customFormat="1" x14ac:dyDescent="0.25">
      <c r="A297" s="59" t="s">
        <v>363</v>
      </c>
      <c r="B297" s="59" t="s">
        <v>711</v>
      </c>
      <c r="C297" s="60">
        <v>43684</v>
      </c>
      <c r="D297" s="31">
        <v>145.47</v>
      </c>
      <c r="E297" s="59" t="s">
        <v>1067</v>
      </c>
      <c r="F297" s="59"/>
      <c r="G297" s="59"/>
      <c r="H297" s="59"/>
      <c r="I297" s="61"/>
      <c r="J297" s="59"/>
      <c r="K297" s="59" t="s">
        <v>46</v>
      </c>
      <c r="L297" s="61"/>
      <c r="M297" s="66"/>
      <c r="N297" s="67"/>
      <c r="O297" s="59"/>
      <c r="P297" s="59"/>
      <c r="Q297" s="59"/>
      <c r="R297" s="59"/>
      <c r="S297" s="59"/>
      <c r="T297" s="59"/>
      <c r="U297" s="63"/>
      <c r="V297" s="59"/>
      <c r="W297" s="61" t="s">
        <v>6</v>
      </c>
      <c r="X297" s="31">
        <v>145.47</v>
      </c>
      <c r="Y297" s="62"/>
      <c r="Z297" s="76">
        <f t="shared" si="4"/>
      </c>
      <c r="AA297" s="62" t="s">
        <v>47</v>
      </c>
      <c r="AB297" s="63"/>
      <c r="AC297" s="63"/>
      <c r="AD297" s="63"/>
      <c r="AE297" s="61" t="s">
        <v>48</v>
      </c>
    </row>
    <row r="298" spans="1:31" s="64" customFormat="1" x14ac:dyDescent="0.25">
      <c r="A298" s="59" t="s">
        <v>364</v>
      </c>
      <c r="B298" s="59" t="s">
        <v>712</v>
      </c>
      <c r="C298" s="60">
        <v>44358</v>
      </c>
      <c r="D298" s="31">
        <v>145.12</v>
      </c>
      <c r="E298" s="59" t="s">
        <v>1068</v>
      </c>
      <c r="F298" s="59"/>
      <c r="G298" s="59"/>
      <c r="H298" s="59"/>
      <c r="I298" s="61"/>
      <c r="J298" s="59"/>
      <c r="K298" s="59" t="s">
        <v>59</v>
      </c>
      <c r="L298" s="61"/>
      <c r="M298" s="66"/>
      <c r="N298" s="67"/>
      <c r="O298" s="59"/>
      <c r="P298" s="59"/>
      <c r="Q298" s="59"/>
      <c r="R298" s="59"/>
      <c r="S298" s="59"/>
      <c r="T298" s="59"/>
      <c r="U298" s="63"/>
      <c r="V298" s="59"/>
      <c r="W298" s="61" t="s">
        <v>6</v>
      </c>
      <c r="X298" s="31">
        <v>145.12</v>
      </c>
      <c r="Y298" s="62"/>
      <c r="Z298" s="76">
        <f t="shared" si="4"/>
      </c>
      <c r="AA298" s="62" t="s">
        <v>47</v>
      </c>
      <c r="AB298" s="63"/>
      <c r="AC298" s="63"/>
      <c r="AD298" s="63"/>
      <c r="AE298" s="61" t="s">
        <v>48</v>
      </c>
    </row>
    <row r="299" spans="1:31" s="64" customFormat="1" x14ac:dyDescent="0.25">
      <c r="A299" s="59" t="s">
        <v>365</v>
      </c>
      <c r="B299" s="59" t="s">
        <v>713</v>
      </c>
      <c r="C299" s="60">
        <v>44280</v>
      </c>
      <c r="D299" s="31">
        <v>145.03</v>
      </c>
      <c r="E299" s="59" t="s">
        <v>1069</v>
      </c>
      <c r="F299" s="59"/>
      <c r="G299" s="59"/>
      <c r="H299" s="59"/>
      <c r="I299" s="61"/>
      <c r="J299" s="59"/>
      <c r="K299" s="59" t="s">
        <v>59</v>
      </c>
      <c r="L299" s="61"/>
      <c r="M299" s="66"/>
      <c r="N299" s="67"/>
      <c r="O299" s="59"/>
      <c r="P299" s="59"/>
      <c r="Q299" s="59"/>
      <c r="R299" s="59"/>
      <c r="S299" s="59"/>
      <c r="T299" s="59"/>
      <c r="U299" s="63"/>
      <c r="V299" s="59"/>
      <c r="W299" s="61" t="s">
        <v>6</v>
      </c>
      <c r="X299" s="31">
        <v>145.03</v>
      </c>
      <c r="Y299" s="62"/>
      <c r="Z299" s="76">
        <f t="shared" si="4"/>
      </c>
      <c r="AA299" s="62" t="s">
        <v>47</v>
      </c>
      <c r="AB299" s="63"/>
      <c r="AC299" s="63"/>
      <c r="AD299" s="63"/>
      <c r="AE299" s="61" t="s">
        <v>48</v>
      </c>
    </row>
    <row r="300" spans="1:31" s="64" customFormat="1" x14ac:dyDescent="0.25">
      <c r="A300" s="59" t="s">
        <v>366</v>
      </c>
      <c r="B300" s="59" t="s">
        <v>714</v>
      </c>
      <c r="C300" s="60">
        <v>43542</v>
      </c>
      <c r="D300" s="31">
        <v>142.43</v>
      </c>
      <c r="E300" s="59" t="s">
        <v>1070</v>
      </c>
      <c r="F300" s="59"/>
      <c r="G300" s="59"/>
      <c r="H300" s="59"/>
      <c r="I300" s="61"/>
      <c r="J300" s="59"/>
      <c r="K300" s="59" t="s">
        <v>46</v>
      </c>
      <c r="L300" s="61"/>
      <c r="M300" s="66"/>
      <c r="N300" s="67"/>
      <c r="O300" s="59"/>
      <c r="P300" s="59"/>
      <c r="Q300" s="59"/>
      <c r="R300" s="59"/>
      <c r="S300" s="59"/>
      <c r="T300" s="59"/>
      <c r="U300" s="63"/>
      <c r="V300" s="59"/>
      <c r="W300" s="61" t="s">
        <v>6</v>
      </c>
      <c r="X300" s="31">
        <v>142.43</v>
      </c>
      <c r="Y300" s="62"/>
      <c r="Z300" s="76">
        <f t="shared" si="4"/>
      </c>
      <c r="AA300" s="62" t="s">
        <v>47</v>
      </c>
      <c r="AB300" s="63"/>
      <c r="AC300" s="63"/>
      <c r="AD300" s="63"/>
      <c r="AE300" s="61" t="s">
        <v>48</v>
      </c>
    </row>
    <row r="301" spans="1:31" s="64" customFormat="1" x14ac:dyDescent="0.25">
      <c r="A301" s="59" t="s">
        <v>367</v>
      </c>
      <c r="B301" s="59" t="s">
        <v>715</v>
      </c>
      <c r="C301" s="60">
        <v>44239</v>
      </c>
      <c r="D301" s="31">
        <v>139.78</v>
      </c>
      <c r="E301" s="59" t="s">
        <v>1071</v>
      </c>
      <c r="F301" s="59"/>
      <c r="G301" s="59"/>
      <c r="H301" s="59"/>
      <c r="I301" s="61"/>
      <c r="J301" s="59"/>
      <c r="K301" s="59" t="s">
        <v>59</v>
      </c>
      <c r="L301" s="61"/>
      <c r="M301" s="66"/>
      <c r="N301" s="67"/>
      <c r="O301" s="59"/>
      <c r="P301" s="59"/>
      <c r="Q301" s="59"/>
      <c r="R301" s="59"/>
      <c r="S301" s="59"/>
      <c r="T301" s="59"/>
      <c r="U301" s="63"/>
      <c r="V301" s="59"/>
      <c r="W301" s="61" t="s">
        <v>6</v>
      </c>
      <c r="X301" s="31">
        <v>139.78</v>
      </c>
      <c r="Y301" s="62"/>
      <c r="Z301" s="76">
        <f t="shared" si="4"/>
      </c>
      <c r="AA301" s="62" t="s">
        <v>47</v>
      </c>
      <c r="AB301" s="63"/>
      <c r="AC301" s="63"/>
      <c r="AD301" s="63"/>
      <c r="AE301" s="61" t="s">
        <v>48</v>
      </c>
    </row>
    <row r="302" spans="1:31" s="64" customFormat="1" x14ac:dyDescent="0.25">
      <c r="A302" s="59" t="s">
        <v>368</v>
      </c>
      <c r="B302" s="59" t="s">
        <v>716</v>
      </c>
      <c r="C302" s="60">
        <v>44245</v>
      </c>
      <c r="D302" s="31">
        <v>131.11000000000001</v>
      </c>
      <c r="E302" s="59" t="s">
        <v>1072</v>
      </c>
      <c r="F302" s="59"/>
      <c r="G302" s="59"/>
      <c r="H302" s="59"/>
      <c r="I302" s="61"/>
      <c r="J302" s="59"/>
      <c r="K302" s="59" t="s">
        <v>59</v>
      </c>
      <c r="L302" s="61"/>
      <c r="M302" s="66"/>
      <c r="N302" s="67"/>
      <c r="O302" s="59"/>
      <c r="P302" s="59"/>
      <c r="Q302" s="59"/>
      <c r="R302" s="59"/>
      <c r="S302" s="59"/>
      <c r="T302" s="59"/>
      <c r="U302" s="63"/>
      <c r="V302" s="59"/>
      <c r="W302" s="61" t="s">
        <v>6</v>
      </c>
      <c r="X302" s="31">
        <v>131.11000000000001</v>
      </c>
      <c r="Y302" s="62"/>
      <c r="Z302" s="76">
        <f t="shared" si="4"/>
      </c>
      <c r="AA302" s="62" t="s">
        <v>47</v>
      </c>
      <c r="AB302" s="63"/>
      <c r="AC302" s="63"/>
      <c r="AD302" s="63"/>
      <c r="AE302" s="61" t="s">
        <v>48</v>
      </c>
    </row>
    <row r="303" spans="1:31" s="64" customFormat="1" x14ac:dyDescent="0.25">
      <c r="A303" s="59" t="s">
        <v>369</v>
      </c>
      <c r="B303" s="59" t="s">
        <v>717</v>
      </c>
      <c r="C303" s="60">
        <v>43468</v>
      </c>
      <c r="D303" s="31">
        <v>130.69</v>
      </c>
      <c r="E303" s="59" t="s">
        <v>1073</v>
      </c>
      <c r="F303" s="59"/>
      <c r="G303" s="59"/>
      <c r="H303" s="59"/>
      <c r="I303" s="61"/>
      <c r="J303" s="59"/>
      <c r="K303" s="59" t="s">
        <v>46</v>
      </c>
      <c r="L303" s="61"/>
      <c r="M303" s="66"/>
      <c r="N303" s="67"/>
      <c r="O303" s="59"/>
      <c r="P303" s="59"/>
      <c r="Q303" s="59"/>
      <c r="R303" s="59"/>
      <c r="S303" s="59"/>
      <c r="T303" s="59"/>
      <c r="U303" s="63"/>
      <c r="V303" s="59"/>
      <c r="W303" s="61" t="s">
        <v>6</v>
      </c>
      <c r="X303" s="31">
        <v>130.69</v>
      </c>
      <c r="Y303" s="62"/>
      <c r="Z303" s="76">
        <f t="shared" si="4"/>
      </c>
      <c r="AA303" s="62" t="s">
        <v>47</v>
      </c>
      <c r="AB303" s="63"/>
      <c r="AC303" s="63"/>
      <c r="AD303" s="63"/>
      <c r="AE303" s="61" t="s">
        <v>48</v>
      </c>
    </row>
    <row r="304" spans="1:31" s="64" customFormat="1" x14ac:dyDescent="0.25">
      <c r="A304" s="59" t="s">
        <v>370</v>
      </c>
      <c r="B304" s="59" t="s">
        <v>718</v>
      </c>
      <c r="C304" s="60">
        <v>43591</v>
      </c>
      <c r="D304" s="31">
        <v>130.51</v>
      </c>
      <c r="E304" s="59" t="s">
        <v>1074</v>
      </c>
      <c r="F304" s="59"/>
      <c r="G304" s="59"/>
      <c r="H304" s="59"/>
      <c r="I304" s="61"/>
      <c r="J304" s="59"/>
      <c r="K304" s="59" t="s">
        <v>46</v>
      </c>
      <c r="L304" s="61"/>
      <c r="M304" s="66"/>
      <c r="N304" s="67"/>
      <c r="O304" s="59"/>
      <c r="P304" s="59"/>
      <c r="Q304" s="59"/>
      <c r="R304" s="59"/>
      <c r="S304" s="59"/>
      <c r="T304" s="59"/>
      <c r="U304" s="63"/>
      <c r="V304" s="59"/>
      <c r="W304" s="61" t="s">
        <v>6</v>
      </c>
      <c r="X304" s="31">
        <v>130.51</v>
      </c>
      <c r="Y304" s="62"/>
      <c r="Z304" s="76">
        <f t="shared" si="4"/>
      </c>
      <c r="AA304" s="62" t="s">
        <v>47</v>
      </c>
      <c r="AB304" s="63"/>
      <c r="AC304" s="63"/>
      <c r="AD304" s="63"/>
      <c r="AE304" s="61" t="s">
        <v>48</v>
      </c>
    </row>
    <row r="305" spans="1:31" s="64" customFormat="1" x14ac:dyDescent="0.25">
      <c r="A305" s="59" t="s">
        <v>371</v>
      </c>
      <c r="B305" s="59" t="s">
        <v>719</v>
      </c>
      <c r="C305" s="60">
        <v>43725</v>
      </c>
      <c r="D305" s="31">
        <v>119.88</v>
      </c>
      <c r="E305" s="59" t="s">
        <v>1075</v>
      </c>
      <c r="F305" s="59"/>
      <c r="G305" s="59"/>
      <c r="H305" s="59"/>
      <c r="I305" s="61"/>
      <c r="J305" s="59"/>
      <c r="K305" s="59" t="s">
        <v>46</v>
      </c>
      <c r="L305" s="61"/>
      <c r="M305" s="66"/>
      <c r="N305" s="67"/>
      <c r="O305" s="59"/>
      <c r="P305" s="59"/>
      <c r="Q305" s="59"/>
      <c r="R305" s="59"/>
      <c r="S305" s="59"/>
      <c r="T305" s="59"/>
      <c r="U305" s="63"/>
      <c r="V305" s="59"/>
      <c r="W305" s="61" t="s">
        <v>6</v>
      </c>
      <c r="X305" s="31">
        <v>119.88</v>
      </c>
      <c r="Y305" s="62"/>
      <c r="Z305" s="76">
        <f t="shared" si="4"/>
      </c>
      <c r="AA305" s="62" t="s">
        <v>47</v>
      </c>
      <c r="AB305" s="63"/>
      <c r="AC305" s="63"/>
      <c r="AD305" s="63"/>
      <c r="AE305" s="61" t="s">
        <v>48</v>
      </c>
    </row>
    <row r="306" spans="1:31" s="64" customFormat="1" x14ac:dyDescent="0.25">
      <c r="A306" s="59" t="s">
        <v>372</v>
      </c>
      <c r="B306" s="59" t="s">
        <v>720</v>
      </c>
      <c r="C306" s="60">
        <v>44378</v>
      </c>
      <c r="D306" s="31">
        <v>111.99</v>
      </c>
      <c r="E306" s="59" t="s">
        <v>1076</v>
      </c>
      <c r="F306" s="59"/>
      <c r="G306" s="59"/>
      <c r="H306" s="59"/>
      <c r="I306" s="61"/>
      <c r="J306" s="59"/>
      <c r="K306" s="59" t="s">
        <v>59</v>
      </c>
      <c r="L306" s="61"/>
      <c r="M306" s="66"/>
      <c r="N306" s="67"/>
      <c r="O306" s="59"/>
      <c r="P306" s="59"/>
      <c r="Q306" s="59"/>
      <c r="R306" s="59"/>
      <c r="S306" s="59"/>
      <c r="T306" s="59"/>
      <c r="U306" s="63"/>
      <c r="V306" s="59"/>
      <c r="W306" s="61" t="s">
        <v>6</v>
      </c>
      <c r="X306" s="31">
        <v>111.99</v>
      </c>
      <c r="Y306" s="62"/>
      <c r="Z306" s="76">
        <f t="shared" si="4"/>
      </c>
      <c r="AA306" s="62" t="s">
        <v>47</v>
      </c>
      <c r="AB306" s="63"/>
      <c r="AC306" s="63"/>
      <c r="AD306" s="63"/>
      <c r="AE306" s="61" t="s">
        <v>48</v>
      </c>
    </row>
    <row r="307" spans="1:31" s="64" customFormat="1" x14ac:dyDescent="0.25">
      <c r="A307" s="59" t="s">
        <v>373</v>
      </c>
      <c r="B307" s="59" t="s">
        <v>721</v>
      </c>
      <c r="C307" s="60">
        <v>44084</v>
      </c>
      <c r="D307" s="31">
        <v>110.72</v>
      </c>
      <c r="E307" s="59" t="s">
        <v>1077</v>
      </c>
      <c r="F307" s="59"/>
      <c r="G307" s="59"/>
      <c r="H307" s="59"/>
      <c r="I307" s="61"/>
      <c r="J307" s="59"/>
      <c r="K307" s="59" t="s">
        <v>55</v>
      </c>
      <c r="L307" s="61"/>
      <c r="M307" s="66"/>
      <c r="N307" s="67"/>
      <c r="O307" s="59"/>
      <c r="P307" s="59"/>
      <c r="Q307" s="59"/>
      <c r="R307" s="59"/>
      <c r="S307" s="59"/>
      <c r="T307" s="59"/>
      <c r="U307" s="63"/>
      <c r="V307" s="59"/>
      <c r="W307" s="61" t="s">
        <v>6</v>
      </c>
      <c r="X307" s="31">
        <v>110.72</v>
      </c>
      <c r="Y307" s="62"/>
      <c r="Z307" s="76">
        <f t="shared" si="4"/>
      </c>
      <c r="AA307" s="62" t="s">
        <v>47</v>
      </c>
      <c r="AB307" s="63"/>
      <c r="AC307" s="63"/>
      <c r="AD307" s="63"/>
      <c r="AE307" s="61" t="s">
        <v>48</v>
      </c>
    </row>
    <row r="308" spans="1:31" s="64" customFormat="1" x14ac:dyDescent="0.25">
      <c r="A308" s="59" t="s">
        <v>374</v>
      </c>
      <c r="B308" s="59" t="s">
        <v>722</v>
      </c>
      <c r="C308" s="60">
        <v>44004</v>
      </c>
      <c r="D308" s="31">
        <v>106.17</v>
      </c>
      <c r="E308" s="59" t="s">
        <v>1078</v>
      </c>
      <c r="F308" s="59"/>
      <c r="G308" s="59"/>
      <c r="H308" s="59"/>
      <c r="I308" s="61"/>
      <c r="J308" s="59"/>
      <c r="K308" s="59" t="s">
        <v>55</v>
      </c>
      <c r="L308" s="61"/>
      <c r="M308" s="66"/>
      <c r="N308" s="67"/>
      <c r="O308" s="59"/>
      <c r="P308" s="59"/>
      <c r="Q308" s="59"/>
      <c r="R308" s="59"/>
      <c r="S308" s="59"/>
      <c r="T308" s="59"/>
      <c r="U308" s="63"/>
      <c r="V308" s="59"/>
      <c r="W308" s="61" t="s">
        <v>6</v>
      </c>
      <c r="X308" s="31">
        <v>106.17</v>
      </c>
      <c r="Y308" s="62"/>
      <c r="Z308" s="76">
        <f t="shared" si="4"/>
      </c>
      <c r="AA308" s="62" t="s">
        <v>47</v>
      </c>
      <c r="AB308" s="63"/>
      <c r="AC308" s="63"/>
      <c r="AD308" s="63"/>
      <c r="AE308" s="61" t="s">
        <v>48</v>
      </c>
    </row>
    <row r="309" spans="1:31" s="64" customFormat="1" x14ac:dyDescent="0.25">
      <c r="A309" s="59" t="s">
        <v>375</v>
      </c>
      <c r="B309" s="59" t="s">
        <v>723</v>
      </c>
      <c r="C309" s="60">
        <v>44159</v>
      </c>
      <c r="D309" s="31">
        <v>100.33</v>
      </c>
      <c r="E309" s="59" t="s">
        <v>1079</v>
      </c>
      <c r="F309" s="59"/>
      <c r="G309" s="59"/>
      <c r="H309" s="59"/>
      <c r="I309" s="61"/>
      <c r="J309" s="59"/>
      <c r="K309" s="59" t="s">
        <v>55</v>
      </c>
      <c r="L309" s="61"/>
      <c r="M309" s="66"/>
      <c r="N309" s="67"/>
      <c r="O309" s="59"/>
      <c r="P309" s="59"/>
      <c r="Q309" s="59"/>
      <c r="R309" s="59"/>
      <c r="S309" s="59"/>
      <c r="T309" s="59"/>
      <c r="U309" s="63"/>
      <c r="V309" s="59"/>
      <c r="W309" s="61" t="s">
        <v>6</v>
      </c>
      <c r="X309" s="31">
        <v>100.33</v>
      </c>
      <c r="Y309" s="62"/>
      <c r="Z309" s="76">
        <f t="shared" si="4"/>
      </c>
      <c r="AA309" s="62" t="s">
        <v>47</v>
      </c>
      <c r="AB309" s="63"/>
      <c r="AC309" s="63"/>
      <c r="AD309" s="63"/>
      <c r="AE309" s="61" t="s">
        <v>48</v>
      </c>
    </row>
    <row r="310" spans="1:31" s="64" customFormat="1" x14ac:dyDescent="0.25">
      <c r="A310" s="59" t="s">
        <v>376</v>
      </c>
      <c r="B310" s="59" t="s">
        <v>724</v>
      </c>
      <c r="C310" s="60">
        <v>44239</v>
      </c>
      <c r="D310" s="31">
        <v>92.42</v>
      </c>
      <c r="E310" s="59" t="s">
        <v>1080</v>
      </c>
      <c r="F310" s="59"/>
      <c r="G310" s="59"/>
      <c r="H310" s="59"/>
      <c r="I310" s="61"/>
      <c r="J310" s="59"/>
      <c r="K310" s="59" t="s">
        <v>59</v>
      </c>
      <c r="L310" s="61"/>
      <c r="M310" s="66"/>
      <c r="N310" s="67"/>
      <c r="O310" s="59"/>
      <c r="P310" s="59"/>
      <c r="Q310" s="59"/>
      <c r="R310" s="59"/>
      <c r="S310" s="59"/>
      <c r="T310" s="59"/>
      <c r="U310" s="63"/>
      <c r="V310" s="59"/>
      <c r="W310" s="61" t="s">
        <v>6</v>
      </c>
      <c r="X310" s="31">
        <v>92.42</v>
      </c>
      <c r="Y310" s="62"/>
      <c r="Z310" s="76">
        <f t="shared" si="4"/>
      </c>
      <c r="AA310" s="62" t="s">
        <v>47</v>
      </c>
      <c r="AB310" s="63"/>
      <c r="AC310" s="63"/>
      <c r="AD310" s="63"/>
      <c r="AE310" s="61" t="s">
        <v>48</v>
      </c>
    </row>
    <row r="311" spans="1:31" s="64" customFormat="1" x14ac:dyDescent="0.25">
      <c r="A311" s="59" t="s">
        <v>377</v>
      </c>
      <c r="B311" s="59" t="s">
        <v>725</v>
      </c>
      <c r="C311" s="60">
        <v>43686</v>
      </c>
      <c r="D311" s="31">
        <v>90</v>
      </c>
      <c r="E311" s="59" t="s">
        <v>1081</v>
      </c>
      <c r="F311" s="59"/>
      <c r="G311" s="59"/>
      <c r="H311" s="59"/>
      <c r="I311" s="61"/>
      <c r="J311" s="59"/>
      <c r="K311" s="59" t="s">
        <v>46</v>
      </c>
      <c r="L311" s="61"/>
      <c r="M311" s="66"/>
      <c r="N311" s="67"/>
      <c r="O311" s="59"/>
      <c r="P311" s="59"/>
      <c r="Q311" s="59"/>
      <c r="R311" s="59"/>
      <c r="S311" s="59"/>
      <c r="T311" s="59"/>
      <c r="U311" s="63"/>
      <c r="V311" s="59"/>
      <c r="W311" s="61" t="s">
        <v>6</v>
      </c>
      <c r="X311" s="31">
        <v>90</v>
      </c>
      <c r="Y311" s="62"/>
      <c r="Z311" s="76">
        <f t="shared" si="4"/>
      </c>
      <c r="AA311" s="62" t="s">
        <v>47</v>
      </c>
      <c r="AB311" s="63"/>
      <c r="AC311" s="63"/>
      <c r="AD311" s="63"/>
      <c r="AE311" s="61" t="s">
        <v>48</v>
      </c>
    </row>
    <row r="312" spans="1:31" s="64" customFormat="1" x14ac:dyDescent="0.25">
      <c r="A312" s="59" t="s">
        <v>378</v>
      </c>
      <c r="B312" s="59" t="s">
        <v>726</v>
      </c>
      <c r="C312" s="60">
        <v>44067</v>
      </c>
      <c r="D312" s="31">
        <v>85.03</v>
      </c>
      <c r="E312" s="59" t="s">
        <v>1082</v>
      </c>
      <c r="F312" s="59"/>
      <c r="G312" s="59"/>
      <c r="H312" s="59"/>
      <c r="I312" s="61"/>
      <c r="J312" s="59"/>
      <c r="K312" s="59" t="s">
        <v>55</v>
      </c>
      <c r="L312" s="61"/>
      <c r="M312" s="66"/>
      <c r="N312" s="67"/>
      <c r="O312" s="59"/>
      <c r="P312" s="59"/>
      <c r="Q312" s="59"/>
      <c r="R312" s="59"/>
      <c r="S312" s="59"/>
      <c r="T312" s="59"/>
      <c r="U312" s="63"/>
      <c r="V312" s="59"/>
      <c r="W312" s="61" t="s">
        <v>6</v>
      </c>
      <c r="X312" s="31">
        <v>85.03</v>
      </c>
      <c r="Y312" s="62"/>
      <c r="Z312" s="76">
        <f t="shared" si="4"/>
      </c>
      <c r="AA312" s="62" t="s">
        <v>47</v>
      </c>
      <c r="AB312" s="63"/>
      <c r="AC312" s="63"/>
      <c r="AD312" s="63"/>
      <c r="AE312" s="61" t="s">
        <v>48</v>
      </c>
    </row>
    <row r="313" spans="1:31" s="64" customFormat="1" x14ac:dyDescent="0.25">
      <c r="A313" s="59" t="s">
        <v>379</v>
      </c>
      <c r="B313" s="59" t="s">
        <v>727</v>
      </c>
      <c r="C313" s="60">
        <v>44006</v>
      </c>
      <c r="D313" s="31">
        <v>84.66</v>
      </c>
      <c r="E313" s="59" t="s">
        <v>1083</v>
      </c>
      <c r="F313" s="59"/>
      <c r="G313" s="59"/>
      <c r="H313" s="59"/>
      <c r="I313" s="61"/>
      <c r="J313" s="59"/>
      <c r="K313" s="59" t="s">
        <v>55</v>
      </c>
      <c r="L313" s="61"/>
      <c r="M313" s="66"/>
      <c r="N313" s="67"/>
      <c r="O313" s="59"/>
      <c r="P313" s="59"/>
      <c r="Q313" s="59"/>
      <c r="R313" s="59"/>
      <c r="S313" s="59"/>
      <c r="T313" s="59"/>
      <c r="U313" s="63"/>
      <c r="V313" s="59"/>
      <c r="W313" s="61" t="s">
        <v>6</v>
      </c>
      <c r="X313" s="31">
        <v>84.66</v>
      </c>
      <c r="Y313" s="62" t="s">
        <v>52</v>
      </c>
      <c r="Z313" s="76">
        <f t="shared" si="4"/>
      </c>
      <c r="AA313" s="62" t="s">
        <v>10</v>
      </c>
      <c r="AB313" s="63"/>
      <c r="AC313" s="63"/>
      <c r="AD313" s="63"/>
      <c r="AE313" s="61" t="s">
        <v>48</v>
      </c>
    </row>
    <row r="314" spans="1:31" s="64" customFormat="1" x14ac:dyDescent="0.25">
      <c r="A314" s="59" t="s">
        <v>380</v>
      </c>
      <c r="B314" s="59" t="s">
        <v>728</v>
      </c>
      <c r="C314" s="60">
        <v>43475</v>
      </c>
      <c r="D314" s="31">
        <v>82.82</v>
      </c>
      <c r="E314" s="59" t="s">
        <v>1084</v>
      </c>
      <c r="F314" s="59"/>
      <c r="G314" s="59"/>
      <c r="H314" s="59"/>
      <c r="I314" s="61"/>
      <c r="J314" s="59"/>
      <c r="K314" s="59" t="s">
        <v>46</v>
      </c>
      <c r="L314" s="61"/>
      <c r="M314" s="66"/>
      <c r="N314" s="67"/>
      <c r="O314" s="59"/>
      <c r="P314" s="59"/>
      <c r="Q314" s="59"/>
      <c r="R314" s="59"/>
      <c r="S314" s="59"/>
      <c r="T314" s="59"/>
      <c r="U314" s="63"/>
      <c r="V314" s="59"/>
      <c r="W314" s="61" t="s">
        <v>6</v>
      </c>
      <c r="X314" s="31">
        <v>82.82</v>
      </c>
      <c r="Y314" s="62"/>
      <c r="Z314" s="76">
        <f t="shared" ref="Z314:Z366" si="5">IF(Y314="Clear",0,X314)</f>
      </c>
      <c r="AA314" s="62" t="s">
        <v>47</v>
      </c>
      <c r="AB314" s="63"/>
      <c r="AC314" s="63"/>
      <c r="AD314" s="63"/>
      <c r="AE314" s="61" t="s">
        <v>48</v>
      </c>
    </row>
    <row r="315" spans="1:31" s="64" customFormat="1" x14ac:dyDescent="0.25">
      <c r="A315" s="59" t="s">
        <v>381</v>
      </c>
      <c r="B315" s="59" t="s">
        <v>729</v>
      </c>
      <c r="C315" s="60">
        <v>43874</v>
      </c>
      <c r="D315" s="31">
        <v>80.930000000000007</v>
      </c>
      <c r="E315" s="59" t="s">
        <v>1085</v>
      </c>
      <c r="F315" s="59"/>
      <c r="G315" s="59"/>
      <c r="H315" s="59"/>
      <c r="I315" s="61"/>
      <c r="J315" s="59"/>
      <c r="K315" s="59" t="s">
        <v>55</v>
      </c>
      <c r="L315" s="61"/>
      <c r="M315" s="66"/>
      <c r="N315" s="67"/>
      <c r="O315" s="59"/>
      <c r="P315" s="59"/>
      <c r="Q315" s="59"/>
      <c r="R315" s="59"/>
      <c r="S315" s="59"/>
      <c r="T315" s="59"/>
      <c r="U315" s="63"/>
      <c r="V315" s="59"/>
      <c r="W315" s="61" t="s">
        <v>6</v>
      </c>
      <c r="X315" s="31">
        <v>80.930000000000007</v>
      </c>
      <c r="Y315" s="62"/>
      <c r="Z315" s="76">
        <f t="shared" si="5"/>
      </c>
      <c r="AA315" s="62" t="s">
        <v>47</v>
      </c>
      <c r="AB315" s="63"/>
      <c r="AC315" s="63"/>
      <c r="AD315" s="63"/>
      <c r="AE315" s="61" t="s">
        <v>48</v>
      </c>
    </row>
    <row r="316" spans="1:31" s="64" customFormat="1" x14ac:dyDescent="0.25">
      <c r="A316" s="59" t="s">
        <v>382</v>
      </c>
      <c r="B316" s="59" t="s">
        <v>730</v>
      </c>
      <c r="C316" s="60">
        <v>44167</v>
      </c>
      <c r="D316" s="31">
        <v>80.510000000000005</v>
      </c>
      <c r="E316" s="59" t="s">
        <v>1086</v>
      </c>
      <c r="F316" s="59"/>
      <c r="G316" s="59"/>
      <c r="H316" s="59"/>
      <c r="I316" s="61"/>
      <c r="J316" s="59"/>
      <c r="K316" s="59" t="s">
        <v>55</v>
      </c>
      <c r="L316" s="61"/>
      <c r="M316" s="66"/>
      <c r="N316" s="67"/>
      <c r="O316" s="59"/>
      <c r="P316" s="59"/>
      <c r="Q316" s="59"/>
      <c r="R316" s="59"/>
      <c r="S316" s="59"/>
      <c r="T316" s="59"/>
      <c r="U316" s="63"/>
      <c r="V316" s="59"/>
      <c r="W316" s="61" t="s">
        <v>6</v>
      </c>
      <c r="X316" s="31">
        <v>80.510000000000005</v>
      </c>
      <c r="Y316" s="62"/>
      <c r="Z316" s="76">
        <f t="shared" si="5"/>
      </c>
      <c r="AA316" s="62" t="s">
        <v>47</v>
      </c>
      <c r="AB316" s="63"/>
      <c r="AC316" s="63"/>
      <c r="AD316" s="63"/>
      <c r="AE316" s="61" t="s">
        <v>48</v>
      </c>
    </row>
    <row r="317" spans="1:31" s="64" customFormat="1" x14ac:dyDescent="0.25">
      <c r="A317" s="59" t="s">
        <v>383</v>
      </c>
      <c r="B317" s="59" t="s">
        <v>731</v>
      </c>
      <c r="C317" s="60">
        <v>43950</v>
      </c>
      <c r="D317" s="31">
        <v>78.16</v>
      </c>
      <c r="E317" s="59" t="s">
        <v>1087</v>
      </c>
      <c r="F317" s="59"/>
      <c r="G317" s="59"/>
      <c r="H317" s="59"/>
      <c r="I317" s="61"/>
      <c r="J317" s="59"/>
      <c r="K317" s="59" t="s">
        <v>55</v>
      </c>
      <c r="L317" s="61"/>
      <c r="M317" s="66"/>
      <c r="N317" s="67"/>
      <c r="O317" s="59"/>
      <c r="P317" s="59"/>
      <c r="Q317" s="59"/>
      <c r="R317" s="59"/>
      <c r="S317" s="59"/>
      <c r="T317" s="59"/>
      <c r="U317" s="63"/>
      <c r="V317" s="59"/>
      <c r="W317" s="61" t="s">
        <v>6</v>
      </c>
      <c r="X317" s="31">
        <v>78.16</v>
      </c>
      <c r="Y317" s="62"/>
      <c r="Z317" s="76">
        <f t="shared" si="5"/>
      </c>
      <c r="AA317" s="62" t="s">
        <v>47</v>
      </c>
      <c r="AB317" s="63"/>
      <c r="AC317" s="63"/>
      <c r="AD317" s="63"/>
      <c r="AE317" s="61" t="s">
        <v>48</v>
      </c>
    </row>
    <row r="318" spans="1:31" s="64" customFormat="1" x14ac:dyDescent="0.25">
      <c r="A318" s="59" t="s">
        <v>384</v>
      </c>
      <c r="B318" s="59" t="s">
        <v>732</v>
      </c>
      <c r="C318" s="60">
        <v>44266</v>
      </c>
      <c r="D318" s="31">
        <v>76.099999999999994</v>
      </c>
      <c r="E318" s="59" t="s">
        <v>1088</v>
      </c>
      <c r="F318" s="59"/>
      <c r="G318" s="59"/>
      <c r="H318" s="59"/>
      <c r="I318" s="61"/>
      <c r="J318" s="59"/>
      <c r="K318" s="59" t="s">
        <v>59</v>
      </c>
      <c r="L318" s="61"/>
      <c r="M318" s="66"/>
      <c r="N318" s="67"/>
      <c r="O318" s="59"/>
      <c r="P318" s="59"/>
      <c r="Q318" s="59"/>
      <c r="R318" s="59"/>
      <c r="S318" s="59"/>
      <c r="T318" s="59"/>
      <c r="U318" s="63"/>
      <c r="V318" s="59"/>
      <c r="W318" s="61" t="s">
        <v>6</v>
      </c>
      <c r="X318" s="31">
        <v>76.099999999999994</v>
      </c>
      <c r="Y318" s="62"/>
      <c r="Z318" s="76">
        <f t="shared" si="5"/>
      </c>
      <c r="AA318" s="62" t="s">
        <v>47</v>
      </c>
      <c r="AB318" s="63"/>
      <c r="AC318" s="63"/>
      <c r="AD318" s="63"/>
      <c r="AE318" s="61" t="s">
        <v>48</v>
      </c>
    </row>
    <row r="319" spans="1:31" s="64" customFormat="1" x14ac:dyDescent="0.25">
      <c r="A319" s="59" t="s">
        <v>385</v>
      </c>
      <c r="B319" s="59" t="s">
        <v>733</v>
      </c>
      <c r="C319" s="60">
        <v>43732</v>
      </c>
      <c r="D319" s="31">
        <v>72.69</v>
      </c>
      <c r="E319" s="59" t="s">
        <v>1089</v>
      </c>
      <c r="F319" s="59"/>
      <c r="G319" s="59"/>
      <c r="H319" s="59"/>
      <c r="I319" s="61"/>
      <c r="J319" s="59"/>
      <c r="K319" s="59" t="s">
        <v>46</v>
      </c>
      <c r="L319" s="61"/>
      <c r="M319" s="66"/>
      <c r="N319" s="67"/>
      <c r="O319" s="59"/>
      <c r="P319" s="59"/>
      <c r="Q319" s="59"/>
      <c r="R319" s="59"/>
      <c r="S319" s="59"/>
      <c r="T319" s="59"/>
      <c r="U319" s="63"/>
      <c r="V319" s="59"/>
      <c r="W319" s="61" t="s">
        <v>6</v>
      </c>
      <c r="X319" s="31">
        <v>72.69</v>
      </c>
      <c r="Y319" s="62"/>
      <c r="Z319" s="76">
        <f t="shared" si="5"/>
      </c>
      <c r="AA319" s="62" t="s">
        <v>47</v>
      </c>
      <c r="AB319" s="63"/>
      <c r="AC319" s="63"/>
      <c r="AD319" s="63"/>
      <c r="AE319" s="61" t="s">
        <v>48</v>
      </c>
    </row>
    <row r="320" spans="1:31" s="64" customFormat="1" x14ac:dyDescent="0.25">
      <c r="A320" s="59" t="s">
        <v>386</v>
      </c>
      <c r="B320" s="59" t="s">
        <v>734</v>
      </c>
      <c r="C320" s="60">
        <v>44159</v>
      </c>
      <c r="D320" s="31">
        <v>64.58</v>
      </c>
      <c r="E320" s="59" t="s">
        <v>1090</v>
      </c>
      <c r="F320" s="59"/>
      <c r="G320" s="59"/>
      <c r="H320" s="59"/>
      <c r="I320" s="61"/>
      <c r="J320" s="59"/>
      <c r="K320" s="59" t="s">
        <v>55</v>
      </c>
      <c r="L320" s="61"/>
      <c r="M320" s="66"/>
      <c r="N320" s="67"/>
      <c r="O320" s="59"/>
      <c r="P320" s="59"/>
      <c r="Q320" s="59"/>
      <c r="R320" s="59"/>
      <c r="S320" s="59"/>
      <c r="T320" s="59"/>
      <c r="U320" s="63"/>
      <c r="V320" s="59"/>
      <c r="W320" s="61" t="s">
        <v>6</v>
      </c>
      <c r="X320" s="31">
        <v>64.58</v>
      </c>
      <c r="Y320" s="62"/>
      <c r="Z320" s="76">
        <f t="shared" si="5"/>
      </c>
      <c r="AA320" s="62" t="s">
        <v>47</v>
      </c>
      <c r="AB320" s="63"/>
      <c r="AC320" s="63"/>
      <c r="AD320" s="63"/>
      <c r="AE320" s="61" t="s">
        <v>48</v>
      </c>
    </row>
    <row r="321" spans="1:31" s="64" customFormat="1" x14ac:dyDescent="0.25">
      <c r="A321" s="59" t="s">
        <v>387</v>
      </c>
      <c r="B321" s="59" t="s">
        <v>735</v>
      </c>
      <c r="C321" s="60">
        <v>44194</v>
      </c>
      <c r="D321" s="31">
        <v>62.11</v>
      </c>
      <c r="E321" s="59" t="s">
        <v>1091</v>
      </c>
      <c r="F321" s="59"/>
      <c r="G321" s="59"/>
      <c r="H321" s="59"/>
      <c r="I321" s="61"/>
      <c r="J321" s="59"/>
      <c r="K321" s="59" t="s">
        <v>55</v>
      </c>
      <c r="L321" s="61"/>
      <c r="M321" s="66"/>
      <c r="N321" s="67"/>
      <c r="O321" s="59"/>
      <c r="P321" s="59"/>
      <c r="Q321" s="59"/>
      <c r="R321" s="59"/>
      <c r="S321" s="59"/>
      <c r="T321" s="59"/>
      <c r="U321" s="63"/>
      <c r="V321" s="59"/>
      <c r="W321" s="61" t="s">
        <v>6</v>
      </c>
      <c r="X321" s="31">
        <v>62.11</v>
      </c>
      <c r="Y321" s="62"/>
      <c r="Z321" s="76">
        <f t="shared" si="5"/>
      </c>
      <c r="AA321" s="62" t="s">
        <v>47</v>
      </c>
      <c r="AB321" s="63"/>
      <c r="AC321" s="63"/>
      <c r="AD321" s="63"/>
      <c r="AE321" s="61" t="s">
        <v>48</v>
      </c>
    </row>
    <row r="322" spans="1:31" s="64" customFormat="1" x14ac:dyDescent="0.25">
      <c r="A322" s="59" t="s">
        <v>388</v>
      </c>
      <c r="B322" s="59" t="s">
        <v>736</v>
      </c>
      <c r="C322" s="60">
        <v>44299</v>
      </c>
      <c r="D322" s="31">
        <v>60</v>
      </c>
      <c r="E322" s="59" t="s">
        <v>1092</v>
      </c>
      <c r="F322" s="59"/>
      <c r="G322" s="59"/>
      <c r="H322" s="59"/>
      <c r="I322" s="61"/>
      <c r="J322" s="59"/>
      <c r="K322" s="59" t="s">
        <v>59</v>
      </c>
      <c r="L322" s="61"/>
      <c r="M322" s="66"/>
      <c r="N322" s="67"/>
      <c r="O322" s="59"/>
      <c r="P322" s="59"/>
      <c r="Q322" s="59"/>
      <c r="R322" s="59"/>
      <c r="S322" s="59"/>
      <c r="T322" s="59"/>
      <c r="U322" s="63"/>
      <c r="V322" s="59"/>
      <c r="W322" s="61" t="s">
        <v>6</v>
      </c>
      <c r="X322" s="31">
        <v>60</v>
      </c>
      <c r="Y322" s="62"/>
      <c r="Z322" s="76">
        <f t="shared" si="5"/>
      </c>
      <c r="AA322" s="62" t="s">
        <v>47</v>
      </c>
      <c r="AB322" s="63"/>
      <c r="AC322" s="63"/>
      <c r="AD322" s="63"/>
      <c r="AE322" s="61" t="s">
        <v>48</v>
      </c>
    </row>
    <row r="323" spans="1:31" s="64" customFormat="1" x14ac:dyDescent="0.25">
      <c r="A323" s="59" t="s">
        <v>389</v>
      </c>
      <c r="B323" s="59" t="s">
        <v>737</v>
      </c>
      <c r="C323" s="60">
        <v>43840</v>
      </c>
      <c r="D323" s="31">
        <v>59.13</v>
      </c>
      <c r="E323" s="59" t="s">
        <v>1093</v>
      </c>
      <c r="F323" s="59"/>
      <c r="G323" s="59"/>
      <c r="H323" s="59"/>
      <c r="I323" s="61"/>
      <c r="J323" s="59"/>
      <c r="K323" s="59" t="s">
        <v>55</v>
      </c>
      <c r="L323" s="61"/>
      <c r="M323" s="66"/>
      <c r="N323" s="67"/>
      <c r="O323" s="59"/>
      <c r="P323" s="59"/>
      <c r="Q323" s="59"/>
      <c r="R323" s="59"/>
      <c r="S323" s="59"/>
      <c r="T323" s="59"/>
      <c r="U323" s="63"/>
      <c r="V323" s="59"/>
      <c r="W323" s="61" t="s">
        <v>6</v>
      </c>
      <c r="X323" s="31">
        <v>59.13</v>
      </c>
      <c r="Y323" s="62"/>
      <c r="Z323" s="76">
        <f t="shared" si="5"/>
      </c>
      <c r="AA323" s="62" t="s">
        <v>47</v>
      </c>
      <c r="AB323" s="63"/>
      <c r="AC323" s="63"/>
      <c r="AD323" s="63"/>
      <c r="AE323" s="61" t="s">
        <v>48</v>
      </c>
    </row>
    <row r="324" spans="1:31" s="64" customFormat="1" x14ac:dyDescent="0.25">
      <c r="A324" s="59" t="s">
        <v>390</v>
      </c>
      <c r="B324" s="59" t="s">
        <v>738</v>
      </c>
      <c r="C324" s="60">
        <v>43678</v>
      </c>
      <c r="D324" s="31">
        <v>59.03</v>
      </c>
      <c r="E324" s="59" t="s">
        <v>1094</v>
      </c>
      <c r="F324" s="59"/>
      <c r="G324" s="59"/>
      <c r="H324" s="59"/>
      <c r="I324" s="61"/>
      <c r="J324" s="59"/>
      <c r="K324" s="59" t="s">
        <v>46</v>
      </c>
      <c r="L324" s="61"/>
      <c r="M324" s="66"/>
      <c r="N324" s="67"/>
      <c r="O324" s="59"/>
      <c r="P324" s="59"/>
      <c r="Q324" s="59"/>
      <c r="R324" s="59"/>
      <c r="S324" s="59"/>
      <c r="T324" s="59"/>
      <c r="U324" s="63"/>
      <c r="V324" s="59"/>
      <c r="W324" s="61" t="s">
        <v>6</v>
      </c>
      <c r="X324" s="31">
        <v>59.03</v>
      </c>
      <c r="Y324" s="62"/>
      <c r="Z324" s="76">
        <f t="shared" si="5"/>
      </c>
      <c r="AA324" s="62" t="s">
        <v>47</v>
      </c>
      <c r="AB324" s="63"/>
      <c r="AC324" s="63"/>
      <c r="AD324" s="63"/>
      <c r="AE324" s="61" t="s">
        <v>48</v>
      </c>
    </row>
    <row r="325" spans="1:31" s="64" customFormat="1" x14ac:dyDescent="0.25">
      <c r="A325" s="59" t="s">
        <v>391</v>
      </c>
      <c r="B325" s="59" t="s">
        <v>739</v>
      </c>
      <c r="C325" s="60">
        <v>43949</v>
      </c>
      <c r="D325" s="31">
        <v>59</v>
      </c>
      <c r="E325" s="59" t="s">
        <v>1095</v>
      </c>
      <c r="F325" s="59"/>
      <c r="G325" s="59"/>
      <c r="H325" s="59"/>
      <c r="I325" s="61"/>
      <c r="J325" s="59"/>
      <c r="K325" s="59" t="s">
        <v>55</v>
      </c>
      <c r="L325" s="61"/>
      <c r="M325" s="66"/>
      <c r="N325" s="67"/>
      <c r="O325" s="59"/>
      <c r="P325" s="59"/>
      <c r="Q325" s="59"/>
      <c r="R325" s="59"/>
      <c r="S325" s="59"/>
      <c r="T325" s="59"/>
      <c r="U325" s="63"/>
      <c r="V325" s="59"/>
      <c r="W325" s="61" t="s">
        <v>6</v>
      </c>
      <c r="X325" s="31">
        <v>59</v>
      </c>
      <c r="Y325" s="62"/>
      <c r="Z325" s="76">
        <f t="shared" si="5"/>
      </c>
      <c r="AA325" s="62" t="s">
        <v>47</v>
      </c>
      <c r="AB325" s="63"/>
      <c r="AC325" s="63"/>
      <c r="AD325" s="63"/>
      <c r="AE325" s="61" t="s">
        <v>48</v>
      </c>
    </row>
    <row r="326" spans="1:31" s="64" customFormat="1" x14ac:dyDescent="0.25">
      <c r="A326" s="59" t="s">
        <v>392</v>
      </c>
      <c r="B326" s="59" t="s">
        <v>740</v>
      </c>
      <c r="C326" s="60">
        <v>44239</v>
      </c>
      <c r="D326" s="31">
        <v>56.82</v>
      </c>
      <c r="E326" s="59" t="s">
        <v>1096</v>
      </c>
      <c r="F326" s="59"/>
      <c r="G326" s="59"/>
      <c r="H326" s="59"/>
      <c r="I326" s="61"/>
      <c r="J326" s="59"/>
      <c r="K326" s="59" t="s">
        <v>59</v>
      </c>
      <c r="L326" s="61"/>
      <c r="M326" s="66"/>
      <c r="N326" s="67"/>
      <c r="O326" s="59"/>
      <c r="P326" s="59"/>
      <c r="Q326" s="59"/>
      <c r="R326" s="59"/>
      <c r="S326" s="59"/>
      <c r="T326" s="59"/>
      <c r="U326" s="63"/>
      <c r="V326" s="59"/>
      <c r="W326" s="61" t="s">
        <v>6</v>
      </c>
      <c r="X326" s="31">
        <v>56.82</v>
      </c>
      <c r="Y326" s="62"/>
      <c r="Z326" s="76">
        <f t="shared" si="5"/>
      </c>
      <c r="AA326" s="62" t="s">
        <v>47</v>
      </c>
      <c r="AB326" s="63"/>
      <c r="AC326" s="63"/>
      <c r="AD326" s="63"/>
      <c r="AE326" s="61" t="s">
        <v>48</v>
      </c>
    </row>
    <row r="327" spans="1:31" s="64" customFormat="1" x14ac:dyDescent="0.25">
      <c r="A327" s="59" t="s">
        <v>393</v>
      </c>
      <c r="B327" s="59" t="s">
        <v>741</v>
      </c>
      <c r="C327" s="60">
        <v>44063</v>
      </c>
      <c r="D327" s="31">
        <v>56.6</v>
      </c>
      <c r="E327" s="59" t="s">
        <v>1097</v>
      </c>
      <c r="F327" s="59"/>
      <c r="G327" s="59"/>
      <c r="H327" s="59"/>
      <c r="I327" s="61"/>
      <c r="J327" s="59"/>
      <c r="K327" s="59" t="s">
        <v>55</v>
      </c>
      <c r="L327" s="61"/>
      <c r="M327" s="66"/>
      <c r="N327" s="67"/>
      <c r="O327" s="59"/>
      <c r="P327" s="59"/>
      <c r="Q327" s="59"/>
      <c r="R327" s="59"/>
      <c r="S327" s="59"/>
      <c r="T327" s="59"/>
      <c r="U327" s="63"/>
      <c r="V327" s="59"/>
      <c r="W327" s="61" t="s">
        <v>6</v>
      </c>
      <c r="X327" s="31">
        <v>56.6</v>
      </c>
      <c r="Y327" s="62" t="s">
        <v>52</v>
      </c>
      <c r="Z327" s="76">
        <f t="shared" si="5"/>
      </c>
      <c r="AA327" s="62" t="s">
        <v>10</v>
      </c>
      <c r="AB327" s="63"/>
      <c r="AC327" s="63"/>
      <c r="AD327" s="63"/>
      <c r="AE327" s="61" t="s">
        <v>48</v>
      </c>
    </row>
    <row r="328" spans="1:31" s="64" customFormat="1" x14ac:dyDescent="0.25">
      <c r="A328" s="59" t="s">
        <v>394</v>
      </c>
      <c r="B328" s="59" t="s">
        <v>742</v>
      </c>
      <c r="C328" s="60">
        <v>43833</v>
      </c>
      <c r="D328" s="31">
        <v>56.51</v>
      </c>
      <c r="E328" s="59" t="s">
        <v>1098</v>
      </c>
      <c r="F328" s="59"/>
      <c r="G328" s="59"/>
      <c r="H328" s="59"/>
      <c r="I328" s="61"/>
      <c r="J328" s="59"/>
      <c r="K328" s="59" t="s">
        <v>55</v>
      </c>
      <c r="L328" s="61"/>
      <c r="M328" s="66"/>
      <c r="N328" s="67"/>
      <c r="O328" s="59"/>
      <c r="P328" s="59"/>
      <c r="Q328" s="59"/>
      <c r="R328" s="59"/>
      <c r="S328" s="59"/>
      <c r="T328" s="59"/>
      <c r="U328" s="63"/>
      <c r="V328" s="59"/>
      <c r="W328" s="61" t="s">
        <v>6</v>
      </c>
      <c r="X328" s="31">
        <v>56.51</v>
      </c>
      <c r="Y328" s="62"/>
      <c r="Z328" s="76">
        <f t="shared" si="5"/>
      </c>
      <c r="AA328" s="62" t="s">
        <v>47</v>
      </c>
      <c r="AB328" s="63"/>
      <c r="AC328" s="63"/>
      <c r="AD328" s="63"/>
      <c r="AE328" s="61" t="s">
        <v>48</v>
      </c>
    </row>
    <row r="329" spans="1:31" s="64" customFormat="1" x14ac:dyDescent="0.25">
      <c r="A329" s="59" t="s">
        <v>395</v>
      </c>
      <c r="B329" s="59" t="s">
        <v>743</v>
      </c>
      <c r="C329" s="60">
        <v>43913</v>
      </c>
      <c r="D329" s="31">
        <v>54.33</v>
      </c>
      <c r="E329" s="59" t="s">
        <v>1099</v>
      </c>
      <c r="F329" s="59"/>
      <c r="G329" s="59"/>
      <c r="H329" s="59"/>
      <c r="I329" s="61"/>
      <c r="J329" s="59"/>
      <c r="K329" s="59" t="s">
        <v>55</v>
      </c>
      <c r="L329" s="61"/>
      <c r="M329" s="66"/>
      <c r="N329" s="67"/>
      <c r="O329" s="59"/>
      <c r="P329" s="59"/>
      <c r="Q329" s="59"/>
      <c r="R329" s="59"/>
      <c r="S329" s="59"/>
      <c r="T329" s="59"/>
      <c r="U329" s="63"/>
      <c r="V329" s="59"/>
      <c r="W329" s="61" t="s">
        <v>6</v>
      </c>
      <c r="X329" s="31">
        <v>54.33</v>
      </c>
      <c r="Y329" s="62"/>
      <c r="Z329" s="76">
        <f t="shared" si="5"/>
      </c>
      <c r="AA329" s="62" t="s">
        <v>47</v>
      </c>
      <c r="AB329" s="63"/>
      <c r="AC329" s="63"/>
      <c r="AD329" s="63"/>
      <c r="AE329" s="61" t="s">
        <v>48</v>
      </c>
    </row>
    <row r="330" spans="1:31" s="64" customFormat="1" x14ac:dyDescent="0.25">
      <c r="A330" s="59" t="s">
        <v>396</v>
      </c>
      <c r="B330" s="59" t="s">
        <v>744</v>
      </c>
      <c r="C330" s="60">
        <v>43913</v>
      </c>
      <c r="D330" s="31">
        <v>54.03</v>
      </c>
      <c r="E330" s="59" t="s">
        <v>1100</v>
      </c>
      <c r="F330" s="59"/>
      <c r="G330" s="59"/>
      <c r="H330" s="59"/>
      <c r="I330" s="61"/>
      <c r="J330" s="59"/>
      <c r="K330" s="59" t="s">
        <v>55</v>
      </c>
      <c r="L330" s="61"/>
      <c r="M330" s="66"/>
      <c r="N330" s="67"/>
      <c r="O330" s="59"/>
      <c r="P330" s="59"/>
      <c r="Q330" s="59"/>
      <c r="R330" s="59"/>
      <c r="S330" s="59"/>
      <c r="T330" s="59"/>
      <c r="U330" s="63"/>
      <c r="V330" s="59"/>
      <c r="W330" s="61" t="s">
        <v>6</v>
      </c>
      <c r="X330" s="31">
        <v>54.03</v>
      </c>
      <c r="Y330" s="62"/>
      <c r="Z330" s="76">
        <f t="shared" si="5"/>
      </c>
      <c r="AA330" s="62" t="s">
        <v>47</v>
      </c>
      <c r="AB330" s="63"/>
      <c r="AC330" s="63"/>
      <c r="AD330" s="63"/>
      <c r="AE330" s="61" t="s">
        <v>48</v>
      </c>
    </row>
    <row r="331" spans="1:31" s="64" customFormat="1" x14ac:dyDescent="0.25">
      <c r="A331" s="59" t="s">
        <v>397</v>
      </c>
      <c r="B331" s="59" t="s">
        <v>745</v>
      </c>
      <c r="C331" s="60">
        <v>43584</v>
      </c>
      <c r="D331" s="31">
        <v>53.82</v>
      </c>
      <c r="E331" s="59" t="s">
        <v>1101</v>
      </c>
      <c r="F331" s="59"/>
      <c r="G331" s="59"/>
      <c r="H331" s="59"/>
      <c r="I331" s="61"/>
      <c r="J331" s="59"/>
      <c r="K331" s="59" t="s">
        <v>46</v>
      </c>
      <c r="L331" s="61"/>
      <c r="M331" s="66"/>
      <c r="N331" s="67"/>
      <c r="O331" s="59"/>
      <c r="P331" s="59"/>
      <c r="Q331" s="59"/>
      <c r="R331" s="59"/>
      <c r="S331" s="59"/>
      <c r="T331" s="59"/>
      <c r="U331" s="63"/>
      <c r="V331" s="59"/>
      <c r="W331" s="61" t="s">
        <v>6</v>
      </c>
      <c r="X331" s="31">
        <v>53.82</v>
      </c>
      <c r="Y331" s="62"/>
      <c r="Z331" s="76">
        <f t="shared" si="5"/>
      </c>
      <c r="AA331" s="62" t="s">
        <v>47</v>
      </c>
      <c r="AB331" s="63"/>
      <c r="AC331" s="63"/>
      <c r="AD331" s="63"/>
      <c r="AE331" s="61" t="s">
        <v>48</v>
      </c>
    </row>
    <row r="332" spans="1:31" s="64" customFormat="1" x14ac:dyDescent="0.25">
      <c r="A332" s="59" t="s">
        <v>398</v>
      </c>
      <c r="B332" s="59" t="s">
        <v>746</v>
      </c>
      <c r="C332" s="60">
        <v>43818</v>
      </c>
      <c r="D332" s="31">
        <v>53.7</v>
      </c>
      <c r="E332" s="59" t="s">
        <v>1102</v>
      </c>
      <c r="F332" s="59"/>
      <c r="G332" s="59"/>
      <c r="H332" s="59"/>
      <c r="I332" s="61"/>
      <c r="J332" s="59"/>
      <c r="K332" s="59" t="s">
        <v>46</v>
      </c>
      <c r="L332" s="61"/>
      <c r="M332" s="66"/>
      <c r="N332" s="67"/>
      <c r="O332" s="59"/>
      <c r="P332" s="59"/>
      <c r="Q332" s="59"/>
      <c r="R332" s="59"/>
      <c r="S332" s="59"/>
      <c r="T332" s="59"/>
      <c r="U332" s="63"/>
      <c r="V332" s="59"/>
      <c r="W332" s="61" t="s">
        <v>6</v>
      </c>
      <c r="X332" s="31">
        <v>53.7</v>
      </c>
      <c r="Y332" s="62"/>
      <c r="Z332" s="76">
        <f t="shared" si="5"/>
      </c>
      <c r="AA332" s="62" t="s">
        <v>47</v>
      </c>
      <c r="AB332" s="63"/>
      <c r="AC332" s="63"/>
      <c r="AD332" s="63"/>
      <c r="AE332" s="61" t="s">
        <v>48</v>
      </c>
    </row>
    <row r="333" spans="1:31" s="64" customFormat="1" x14ac:dyDescent="0.25">
      <c r="A333" s="59" t="s">
        <v>399</v>
      </c>
      <c r="B333" s="59" t="s">
        <v>747</v>
      </c>
      <c r="C333" s="60">
        <v>43917</v>
      </c>
      <c r="D333" s="31">
        <v>53.49</v>
      </c>
      <c r="E333" s="59" t="s">
        <v>1103</v>
      </c>
      <c r="F333" s="59"/>
      <c r="G333" s="59"/>
      <c r="H333" s="59"/>
      <c r="I333" s="61"/>
      <c r="J333" s="59"/>
      <c r="K333" s="59" t="s">
        <v>55</v>
      </c>
      <c r="L333" s="61"/>
      <c r="M333" s="66"/>
      <c r="N333" s="67"/>
      <c r="O333" s="59"/>
      <c r="P333" s="59"/>
      <c r="Q333" s="59"/>
      <c r="R333" s="59"/>
      <c r="S333" s="59"/>
      <c r="T333" s="59"/>
      <c r="U333" s="63"/>
      <c r="V333" s="59"/>
      <c r="W333" s="61" t="s">
        <v>6</v>
      </c>
      <c r="X333" s="31">
        <v>53.49</v>
      </c>
      <c r="Y333" s="62"/>
      <c r="Z333" s="76">
        <f t="shared" si="5"/>
      </c>
      <c r="AA333" s="62" t="s">
        <v>47</v>
      </c>
      <c r="AB333" s="63"/>
      <c r="AC333" s="63"/>
      <c r="AD333" s="63"/>
      <c r="AE333" s="61" t="s">
        <v>48</v>
      </c>
    </row>
    <row r="334" spans="1:31" s="64" customFormat="1" x14ac:dyDescent="0.25">
      <c r="A334" s="59" t="s">
        <v>400</v>
      </c>
      <c r="B334" s="59" t="s">
        <v>748</v>
      </c>
      <c r="C334" s="60">
        <v>43656</v>
      </c>
      <c r="D334" s="31">
        <v>52.68</v>
      </c>
      <c r="E334" s="59" t="s">
        <v>1104</v>
      </c>
      <c r="F334" s="59"/>
      <c r="G334" s="59"/>
      <c r="H334" s="59"/>
      <c r="I334" s="61"/>
      <c r="J334" s="59"/>
      <c r="K334" s="59" t="s">
        <v>46</v>
      </c>
      <c r="L334" s="61"/>
      <c r="M334" s="66"/>
      <c r="N334" s="67"/>
      <c r="O334" s="59"/>
      <c r="P334" s="59"/>
      <c r="Q334" s="59"/>
      <c r="R334" s="59"/>
      <c r="S334" s="59"/>
      <c r="T334" s="59"/>
      <c r="U334" s="63"/>
      <c r="V334" s="59"/>
      <c r="W334" s="61" t="s">
        <v>6</v>
      </c>
      <c r="X334" s="31">
        <v>52.68</v>
      </c>
      <c r="Y334" s="62"/>
      <c r="Z334" s="76">
        <f t="shared" si="5"/>
      </c>
      <c r="AA334" s="62" t="s">
        <v>47</v>
      </c>
      <c r="AB334" s="63"/>
      <c r="AC334" s="63"/>
      <c r="AD334" s="63"/>
      <c r="AE334" s="61" t="s">
        <v>48</v>
      </c>
    </row>
    <row r="335" spans="1:31" s="64" customFormat="1" x14ac:dyDescent="0.25">
      <c r="A335" s="59" t="s">
        <v>401</v>
      </c>
      <c r="B335" s="59" t="s">
        <v>749</v>
      </c>
      <c r="C335" s="60">
        <v>44181</v>
      </c>
      <c r="D335" s="31">
        <v>51.28</v>
      </c>
      <c r="E335" s="59" t="s">
        <v>1105</v>
      </c>
      <c r="F335" s="59"/>
      <c r="G335" s="59"/>
      <c r="H335" s="59"/>
      <c r="I335" s="61"/>
      <c r="J335" s="59"/>
      <c r="K335" s="59" t="s">
        <v>55</v>
      </c>
      <c r="L335" s="61"/>
      <c r="M335" s="66"/>
      <c r="N335" s="67"/>
      <c r="O335" s="59"/>
      <c r="P335" s="59"/>
      <c r="Q335" s="59"/>
      <c r="R335" s="59"/>
      <c r="S335" s="59"/>
      <c r="T335" s="59"/>
      <c r="U335" s="63"/>
      <c r="V335" s="59"/>
      <c r="W335" s="61" t="s">
        <v>6</v>
      </c>
      <c r="X335" s="31">
        <v>51.28</v>
      </c>
      <c r="Y335" s="62"/>
      <c r="Z335" s="76">
        <f t="shared" si="5"/>
      </c>
      <c r="AA335" s="62" t="s">
        <v>47</v>
      </c>
      <c r="AB335" s="63"/>
      <c r="AC335" s="63"/>
      <c r="AD335" s="63"/>
      <c r="AE335" s="61" t="s">
        <v>48</v>
      </c>
    </row>
    <row r="336" spans="1:31" s="64" customFormat="1" x14ac:dyDescent="0.25">
      <c r="A336" s="59" t="s">
        <v>402</v>
      </c>
      <c r="B336" s="59" t="s">
        <v>750</v>
      </c>
      <c r="C336" s="60">
        <v>44378</v>
      </c>
      <c r="D336" s="31">
        <v>50</v>
      </c>
      <c r="E336" s="59" t="s">
        <v>1106</v>
      </c>
      <c r="F336" s="59"/>
      <c r="G336" s="59"/>
      <c r="H336" s="59"/>
      <c r="I336" s="61"/>
      <c r="J336" s="59"/>
      <c r="K336" s="59" t="s">
        <v>59</v>
      </c>
      <c r="L336" s="61"/>
      <c r="M336" s="66"/>
      <c r="N336" s="67"/>
      <c r="O336" s="59"/>
      <c r="P336" s="59"/>
      <c r="Q336" s="59"/>
      <c r="R336" s="59"/>
      <c r="S336" s="59"/>
      <c r="T336" s="59"/>
      <c r="U336" s="63"/>
      <c r="V336" s="59"/>
      <c r="W336" s="61" t="s">
        <v>6</v>
      </c>
      <c r="X336" s="31">
        <v>50</v>
      </c>
      <c r="Y336" s="62"/>
      <c r="Z336" s="76">
        <f t="shared" si="5"/>
      </c>
      <c r="AA336" s="62" t="s">
        <v>47</v>
      </c>
      <c r="AB336" s="63"/>
      <c r="AC336" s="63"/>
      <c r="AD336" s="63"/>
      <c r="AE336" s="61" t="s">
        <v>48</v>
      </c>
    </row>
    <row r="337" spans="1:31" s="64" customFormat="1" x14ac:dyDescent="0.25">
      <c r="A337" s="59" t="s">
        <v>403</v>
      </c>
      <c r="B337" s="59" t="s">
        <v>751</v>
      </c>
      <c r="C337" s="60">
        <v>43699</v>
      </c>
      <c r="D337" s="31">
        <v>49.7</v>
      </c>
      <c r="E337" s="59" t="s">
        <v>1107</v>
      </c>
      <c r="F337" s="59"/>
      <c r="G337" s="59"/>
      <c r="H337" s="59"/>
      <c r="I337" s="61"/>
      <c r="J337" s="59"/>
      <c r="K337" s="59" t="s">
        <v>46</v>
      </c>
      <c r="L337" s="61"/>
      <c r="M337" s="66"/>
      <c r="N337" s="67"/>
      <c r="O337" s="59"/>
      <c r="P337" s="59"/>
      <c r="Q337" s="59"/>
      <c r="R337" s="59"/>
      <c r="S337" s="59"/>
      <c r="T337" s="59"/>
      <c r="U337" s="63"/>
      <c r="V337" s="59"/>
      <c r="W337" s="61" t="s">
        <v>6</v>
      </c>
      <c r="X337" s="31">
        <v>49.7</v>
      </c>
      <c r="Y337" s="62"/>
      <c r="Z337" s="76">
        <f t="shared" si="5"/>
      </c>
      <c r="AA337" s="62" t="s">
        <v>47</v>
      </c>
      <c r="AB337" s="63"/>
      <c r="AC337" s="63"/>
      <c r="AD337" s="63"/>
      <c r="AE337" s="61" t="s">
        <v>48</v>
      </c>
    </row>
    <row r="338" spans="1:31" s="64" customFormat="1" x14ac:dyDescent="0.25">
      <c r="A338" s="59" t="s">
        <v>404</v>
      </c>
      <c r="B338" s="59" t="s">
        <v>752</v>
      </c>
      <c r="C338" s="60">
        <v>44062</v>
      </c>
      <c r="D338" s="31">
        <v>48.81</v>
      </c>
      <c r="E338" s="59" t="s">
        <v>1108</v>
      </c>
      <c r="F338" s="59"/>
      <c r="G338" s="59"/>
      <c r="H338" s="59"/>
      <c r="I338" s="61"/>
      <c r="J338" s="59"/>
      <c r="K338" s="59" t="s">
        <v>55</v>
      </c>
      <c r="L338" s="61"/>
      <c r="M338" s="66"/>
      <c r="N338" s="67"/>
      <c r="O338" s="59"/>
      <c r="P338" s="59"/>
      <c r="Q338" s="59"/>
      <c r="R338" s="59"/>
      <c r="S338" s="59"/>
      <c r="T338" s="59"/>
      <c r="U338" s="63"/>
      <c r="V338" s="59"/>
      <c r="W338" s="61" t="s">
        <v>6</v>
      </c>
      <c r="X338" s="31">
        <v>48.81</v>
      </c>
      <c r="Y338" s="62"/>
      <c r="Z338" s="76">
        <f t="shared" si="5"/>
      </c>
      <c r="AA338" s="62" t="s">
        <v>47</v>
      </c>
      <c r="AB338" s="63"/>
      <c r="AC338" s="63"/>
      <c r="AD338" s="63"/>
      <c r="AE338" s="61" t="s">
        <v>48</v>
      </c>
    </row>
    <row r="339" spans="1:31" s="64" customFormat="1" x14ac:dyDescent="0.25">
      <c r="A339" s="59" t="s">
        <v>405</v>
      </c>
      <c r="B339" s="59" t="s">
        <v>753</v>
      </c>
      <c r="C339" s="60">
        <v>44266</v>
      </c>
      <c r="D339" s="31">
        <v>47</v>
      </c>
      <c r="E339" s="59" t="s">
        <v>1109</v>
      </c>
      <c r="F339" s="59"/>
      <c r="G339" s="59"/>
      <c r="H339" s="59"/>
      <c r="I339" s="61"/>
      <c r="J339" s="59"/>
      <c r="K339" s="59" t="s">
        <v>59</v>
      </c>
      <c r="L339" s="61"/>
      <c r="M339" s="66"/>
      <c r="N339" s="67"/>
      <c r="O339" s="59"/>
      <c r="P339" s="59"/>
      <c r="Q339" s="59"/>
      <c r="R339" s="59"/>
      <c r="S339" s="59"/>
      <c r="T339" s="59"/>
      <c r="U339" s="63"/>
      <c r="V339" s="59"/>
      <c r="W339" s="61" t="s">
        <v>6</v>
      </c>
      <c r="X339" s="31">
        <v>47</v>
      </c>
      <c r="Y339" s="62"/>
      <c r="Z339" s="76">
        <f t="shared" si="5"/>
      </c>
      <c r="AA339" s="62" t="s">
        <v>47</v>
      </c>
      <c r="AB339" s="63"/>
      <c r="AC339" s="63"/>
      <c r="AD339" s="63"/>
      <c r="AE339" s="61" t="s">
        <v>48</v>
      </c>
    </row>
    <row r="340" spans="1:31" s="64" customFormat="1" x14ac:dyDescent="0.25">
      <c r="A340" s="59" t="s">
        <v>406</v>
      </c>
      <c r="B340" s="59" t="s">
        <v>754</v>
      </c>
      <c r="C340" s="60">
        <v>44070</v>
      </c>
      <c r="D340" s="31">
        <v>44.2</v>
      </c>
      <c r="E340" s="59" t="s">
        <v>1110</v>
      </c>
      <c r="F340" s="59"/>
      <c r="G340" s="59"/>
      <c r="H340" s="59"/>
      <c r="I340" s="61"/>
      <c r="J340" s="59"/>
      <c r="K340" s="59" t="s">
        <v>55</v>
      </c>
      <c r="L340" s="61"/>
      <c r="M340" s="66"/>
      <c r="N340" s="67"/>
      <c r="O340" s="59"/>
      <c r="P340" s="59"/>
      <c r="Q340" s="59"/>
      <c r="R340" s="59"/>
      <c r="S340" s="59"/>
      <c r="T340" s="59"/>
      <c r="U340" s="63"/>
      <c r="V340" s="59"/>
      <c r="W340" s="61" t="s">
        <v>6</v>
      </c>
      <c r="X340" s="31">
        <v>44.2</v>
      </c>
      <c r="Y340" s="62"/>
      <c r="Z340" s="76">
        <f t="shared" si="5"/>
      </c>
      <c r="AA340" s="62" t="s">
        <v>47</v>
      </c>
      <c r="AB340" s="63"/>
      <c r="AC340" s="63"/>
      <c r="AD340" s="63"/>
      <c r="AE340" s="61" t="s">
        <v>48</v>
      </c>
    </row>
    <row r="341" spans="1:31" s="64" customFormat="1" x14ac:dyDescent="0.25">
      <c r="A341" s="59" t="s">
        <v>407</v>
      </c>
      <c r="B341" s="59" t="s">
        <v>755</v>
      </c>
      <c r="C341" s="60">
        <v>44449</v>
      </c>
      <c r="D341" s="31">
        <v>43.71</v>
      </c>
      <c r="E341" s="59" t="s">
        <v>1111</v>
      </c>
      <c r="F341" s="59"/>
      <c r="G341" s="59"/>
      <c r="H341" s="59"/>
      <c r="I341" s="61"/>
      <c r="J341" s="59"/>
      <c r="K341" s="59" t="s">
        <v>59</v>
      </c>
      <c r="L341" s="61"/>
      <c r="M341" s="66"/>
      <c r="N341" s="67"/>
      <c r="O341" s="59"/>
      <c r="P341" s="59"/>
      <c r="Q341" s="59"/>
      <c r="R341" s="59"/>
      <c r="S341" s="59"/>
      <c r="T341" s="59"/>
      <c r="U341" s="63"/>
      <c r="V341" s="59"/>
      <c r="W341" s="61" t="s">
        <v>6</v>
      </c>
      <c r="X341" s="31">
        <v>43.71</v>
      </c>
      <c r="Y341" s="62"/>
      <c r="Z341" s="76">
        <f t="shared" si="5"/>
      </c>
      <c r="AA341" s="62" t="s">
        <v>47</v>
      </c>
      <c r="AB341" s="63"/>
      <c r="AC341" s="63"/>
      <c r="AD341" s="63"/>
      <c r="AE341" s="61" t="s">
        <v>48</v>
      </c>
    </row>
    <row r="342" spans="1:31" s="64" customFormat="1" x14ac:dyDescent="0.25">
      <c r="A342" s="59" t="s">
        <v>408</v>
      </c>
      <c r="B342" s="59" t="s">
        <v>756</v>
      </c>
      <c r="C342" s="60">
        <v>43903</v>
      </c>
      <c r="D342" s="31">
        <v>43.68</v>
      </c>
      <c r="E342" s="59" t="s">
        <v>1112</v>
      </c>
      <c r="F342" s="59"/>
      <c r="G342" s="59"/>
      <c r="H342" s="59"/>
      <c r="I342" s="61"/>
      <c r="J342" s="59"/>
      <c r="K342" s="59" t="s">
        <v>55</v>
      </c>
      <c r="L342" s="61"/>
      <c r="M342" s="66"/>
      <c r="N342" s="67"/>
      <c r="O342" s="59"/>
      <c r="P342" s="59"/>
      <c r="Q342" s="59"/>
      <c r="R342" s="59"/>
      <c r="S342" s="59"/>
      <c r="T342" s="59"/>
      <c r="U342" s="63"/>
      <c r="V342" s="59"/>
      <c r="W342" s="61" t="s">
        <v>6</v>
      </c>
      <c r="X342" s="31">
        <v>43.68</v>
      </c>
      <c r="Y342" s="62"/>
      <c r="Z342" s="76">
        <f t="shared" si="5"/>
      </c>
      <c r="AA342" s="62" t="s">
        <v>47</v>
      </c>
      <c r="AB342" s="63"/>
      <c r="AC342" s="63"/>
      <c r="AD342" s="63"/>
      <c r="AE342" s="61" t="s">
        <v>48</v>
      </c>
    </row>
    <row r="343" spans="1:31" s="64" customFormat="1" x14ac:dyDescent="0.25">
      <c r="A343" s="59" t="s">
        <v>409</v>
      </c>
      <c r="B343" s="59" t="s">
        <v>757</v>
      </c>
      <c r="C343" s="60">
        <v>44188</v>
      </c>
      <c r="D343" s="31">
        <v>42.7</v>
      </c>
      <c r="E343" s="59" t="s">
        <v>1113</v>
      </c>
      <c r="F343" s="59"/>
      <c r="G343" s="59"/>
      <c r="H343" s="59"/>
      <c r="I343" s="61"/>
      <c r="J343" s="59"/>
      <c r="K343" s="59" t="s">
        <v>55</v>
      </c>
      <c r="L343" s="61"/>
      <c r="M343" s="66"/>
      <c r="N343" s="67"/>
      <c r="O343" s="59"/>
      <c r="P343" s="59"/>
      <c r="Q343" s="59"/>
      <c r="R343" s="59"/>
      <c r="S343" s="59"/>
      <c r="T343" s="59"/>
      <c r="U343" s="63"/>
      <c r="V343" s="59"/>
      <c r="W343" s="61" t="s">
        <v>6</v>
      </c>
      <c r="X343" s="31">
        <v>42.7</v>
      </c>
      <c r="Y343" s="62"/>
      <c r="Z343" s="76">
        <f t="shared" si="5"/>
      </c>
      <c r="AA343" s="62" t="s">
        <v>47</v>
      </c>
      <c r="AB343" s="63"/>
      <c r="AC343" s="63"/>
      <c r="AD343" s="63"/>
      <c r="AE343" s="61" t="s">
        <v>48</v>
      </c>
    </row>
    <row r="344" spans="1:31" s="64" customFormat="1" x14ac:dyDescent="0.25">
      <c r="A344" s="59" t="s">
        <v>410</v>
      </c>
      <c r="B344" s="59" t="s">
        <v>758</v>
      </c>
      <c r="C344" s="60">
        <v>44313</v>
      </c>
      <c r="D344" s="31">
        <v>42.33</v>
      </c>
      <c r="E344" s="59" t="s">
        <v>1114</v>
      </c>
      <c r="F344" s="59"/>
      <c r="G344" s="59"/>
      <c r="H344" s="59"/>
      <c r="I344" s="61"/>
      <c r="J344" s="59"/>
      <c r="K344" s="59" t="s">
        <v>59</v>
      </c>
      <c r="L344" s="61"/>
      <c r="M344" s="66"/>
      <c r="N344" s="67"/>
      <c r="O344" s="59"/>
      <c r="P344" s="59"/>
      <c r="Q344" s="59"/>
      <c r="R344" s="59"/>
      <c r="S344" s="59"/>
      <c r="T344" s="59"/>
      <c r="U344" s="63"/>
      <c r="V344" s="59"/>
      <c r="W344" s="61" t="s">
        <v>6</v>
      </c>
      <c r="X344" s="31">
        <v>42.33</v>
      </c>
      <c r="Y344" s="62"/>
      <c r="Z344" s="76">
        <f t="shared" si="5"/>
      </c>
      <c r="AA344" s="62" t="s">
        <v>47</v>
      </c>
      <c r="AB344" s="63"/>
      <c r="AC344" s="63"/>
      <c r="AD344" s="63"/>
      <c r="AE344" s="61" t="s">
        <v>48</v>
      </c>
    </row>
    <row r="345" spans="1:31" s="64" customFormat="1" x14ac:dyDescent="0.25">
      <c r="A345" s="59" t="s">
        <v>411</v>
      </c>
      <c r="B345" s="59" t="s">
        <v>759</v>
      </c>
      <c r="C345" s="60">
        <v>43822</v>
      </c>
      <c r="D345" s="31">
        <v>39.18</v>
      </c>
      <c r="E345" s="59" t="s">
        <v>1115</v>
      </c>
      <c r="F345" s="59"/>
      <c r="G345" s="59"/>
      <c r="H345" s="59"/>
      <c r="I345" s="61"/>
      <c r="J345" s="59"/>
      <c r="K345" s="59" t="s">
        <v>46</v>
      </c>
      <c r="L345" s="61"/>
      <c r="M345" s="66"/>
      <c r="N345" s="67"/>
      <c r="O345" s="59"/>
      <c r="P345" s="59"/>
      <c r="Q345" s="59"/>
      <c r="R345" s="59"/>
      <c r="S345" s="59"/>
      <c r="T345" s="59"/>
      <c r="U345" s="63"/>
      <c r="V345" s="59"/>
      <c r="W345" s="61" t="s">
        <v>6</v>
      </c>
      <c r="X345" s="31">
        <v>39.18</v>
      </c>
      <c r="Y345" s="62"/>
      <c r="Z345" s="76">
        <f t="shared" si="5"/>
      </c>
      <c r="AA345" s="62" t="s">
        <v>47</v>
      </c>
      <c r="AB345" s="63"/>
      <c r="AC345" s="63"/>
      <c r="AD345" s="63"/>
      <c r="AE345" s="61" t="s">
        <v>48</v>
      </c>
    </row>
    <row r="346" spans="1:31" s="64" customFormat="1" x14ac:dyDescent="0.25">
      <c r="A346" s="59" t="s">
        <v>412</v>
      </c>
      <c r="B346" s="59" t="s">
        <v>760</v>
      </c>
      <c r="C346" s="60">
        <v>43489</v>
      </c>
      <c r="D346" s="31">
        <v>37.39</v>
      </c>
      <c r="E346" s="59" t="s">
        <v>1116</v>
      </c>
      <c r="F346" s="59"/>
      <c r="G346" s="59"/>
      <c r="H346" s="59"/>
      <c r="I346" s="61"/>
      <c r="J346" s="59"/>
      <c r="K346" s="59" t="s">
        <v>46</v>
      </c>
      <c r="L346" s="61"/>
      <c r="M346" s="66"/>
      <c r="N346" s="67"/>
      <c r="O346" s="59"/>
      <c r="P346" s="59"/>
      <c r="Q346" s="59"/>
      <c r="R346" s="59"/>
      <c r="S346" s="59"/>
      <c r="T346" s="59"/>
      <c r="U346" s="63"/>
      <c r="V346" s="59"/>
      <c r="W346" s="61" t="s">
        <v>6</v>
      </c>
      <c r="X346" s="31">
        <v>37.39</v>
      </c>
      <c r="Y346" s="62"/>
      <c r="Z346" s="76">
        <f t="shared" si="5"/>
      </c>
      <c r="AA346" s="62" t="s">
        <v>47</v>
      </c>
      <c r="AB346" s="63"/>
      <c r="AC346" s="63"/>
      <c r="AD346" s="63"/>
      <c r="AE346" s="61" t="s">
        <v>48</v>
      </c>
    </row>
    <row r="347" spans="1:31" s="64" customFormat="1" x14ac:dyDescent="0.25">
      <c r="A347" s="59" t="s">
        <v>413</v>
      </c>
      <c r="B347" s="59" t="s">
        <v>761</v>
      </c>
      <c r="C347" s="60">
        <v>44046</v>
      </c>
      <c r="D347" s="31">
        <v>37.24</v>
      </c>
      <c r="E347" s="59" t="s">
        <v>1117</v>
      </c>
      <c r="F347" s="59"/>
      <c r="G347" s="59"/>
      <c r="H347" s="59"/>
      <c r="I347" s="61"/>
      <c r="J347" s="59"/>
      <c r="K347" s="59" t="s">
        <v>55</v>
      </c>
      <c r="L347" s="61"/>
      <c r="M347" s="66"/>
      <c r="N347" s="67"/>
      <c r="O347" s="59"/>
      <c r="P347" s="59"/>
      <c r="Q347" s="59"/>
      <c r="R347" s="59"/>
      <c r="S347" s="59"/>
      <c r="T347" s="59"/>
      <c r="U347" s="63"/>
      <c r="V347" s="59"/>
      <c r="W347" s="61" t="s">
        <v>6</v>
      </c>
      <c r="X347" s="31">
        <v>37.24</v>
      </c>
      <c r="Y347" s="62" t="s">
        <v>52</v>
      </c>
      <c r="Z347" s="76">
        <f t="shared" si="5"/>
      </c>
      <c r="AA347" s="62" t="s">
        <v>10</v>
      </c>
      <c r="AB347" s="63"/>
      <c r="AC347" s="63"/>
      <c r="AD347" s="63"/>
      <c r="AE347" s="61" t="s">
        <v>48</v>
      </c>
    </row>
    <row r="348" spans="1:31" s="64" customFormat="1" x14ac:dyDescent="0.25">
      <c r="A348" s="59" t="s">
        <v>414</v>
      </c>
      <c r="B348" s="59" t="s">
        <v>762</v>
      </c>
      <c r="C348" s="60">
        <v>44309</v>
      </c>
      <c r="D348" s="31">
        <v>36.479999999999997</v>
      </c>
      <c r="E348" s="59" t="s">
        <v>1118</v>
      </c>
      <c r="F348" s="59"/>
      <c r="G348" s="59"/>
      <c r="H348" s="59"/>
      <c r="I348" s="61"/>
      <c r="J348" s="59"/>
      <c r="K348" s="59" t="s">
        <v>59</v>
      </c>
      <c r="L348" s="61"/>
      <c r="M348" s="66"/>
      <c r="N348" s="67"/>
      <c r="O348" s="59"/>
      <c r="P348" s="59"/>
      <c r="Q348" s="59"/>
      <c r="R348" s="59"/>
      <c r="S348" s="59"/>
      <c r="T348" s="59"/>
      <c r="U348" s="63"/>
      <c r="V348" s="59"/>
      <c r="W348" s="61" t="s">
        <v>6</v>
      </c>
      <c r="X348" s="31">
        <v>36.479999999999997</v>
      </c>
      <c r="Y348" s="62"/>
      <c r="Z348" s="76">
        <f t="shared" si="5"/>
      </c>
      <c r="AA348" s="62" t="s">
        <v>47</v>
      </c>
      <c r="AB348" s="63"/>
      <c r="AC348" s="63"/>
      <c r="AD348" s="63"/>
      <c r="AE348" s="61" t="s">
        <v>48</v>
      </c>
    </row>
    <row r="349" spans="1:31" s="64" customFormat="1" x14ac:dyDescent="0.25">
      <c r="A349" s="59" t="s">
        <v>415</v>
      </c>
      <c r="B349" s="59" t="s">
        <v>763</v>
      </c>
      <c r="C349" s="60">
        <v>43955</v>
      </c>
      <c r="D349" s="31">
        <v>35.15</v>
      </c>
      <c r="E349" s="59" t="s">
        <v>1119</v>
      </c>
      <c r="F349" s="59"/>
      <c r="G349" s="59"/>
      <c r="H349" s="59"/>
      <c r="I349" s="61"/>
      <c r="J349" s="59"/>
      <c r="K349" s="59" t="s">
        <v>55</v>
      </c>
      <c r="L349" s="61"/>
      <c r="M349" s="66"/>
      <c r="N349" s="67"/>
      <c r="O349" s="59"/>
      <c r="P349" s="59"/>
      <c r="Q349" s="59"/>
      <c r="R349" s="59"/>
      <c r="S349" s="59"/>
      <c r="T349" s="59"/>
      <c r="U349" s="63"/>
      <c r="V349" s="59"/>
      <c r="W349" s="61" t="s">
        <v>6</v>
      </c>
      <c r="X349" s="31">
        <v>35.15</v>
      </c>
      <c r="Y349" s="62"/>
      <c r="Z349" s="76">
        <f t="shared" si="5"/>
      </c>
      <c r="AA349" s="62" t="s">
        <v>47</v>
      </c>
      <c r="AB349" s="63"/>
      <c r="AC349" s="63"/>
      <c r="AD349" s="63"/>
      <c r="AE349" s="61" t="s">
        <v>48</v>
      </c>
    </row>
    <row r="350" spans="1:31" s="64" customFormat="1" x14ac:dyDescent="0.25">
      <c r="A350" s="59" t="s">
        <v>416</v>
      </c>
      <c r="B350" s="59" t="s">
        <v>764</v>
      </c>
      <c r="C350" s="60">
        <v>43627</v>
      </c>
      <c r="D350" s="31">
        <v>33.07</v>
      </c>
      <c r="E350" s="59" t="s">
        <v>1120</v>
      </c>
      <c r="F350" s="59"/>
      <c r="G350" s="59"/>
      <c r="H350" s="59"/>
      <c r="I350" s="61"/>
      <c r="J350" s="59"/>
      <c r="K350" s="59" t="s">
        <v>46</v>
      </c>
      <c r="L350" s="61"/>
      <c r="M350" s="66"/>
      <c r="N350" s="67"/>
      <c r="O350" s="59"/>
      <c r="P350" s="59"/>
      <c r="Q350" s="59"/>
      <c r="R350" s="59"/>
      <c r="S350" s="59"/>
      <c r="T350" s="59"/>
      <c r="U350" s="63"/>
      <c r="V350" s="59"/>
      <c r="W350" s="61" t="s">
        <v>6</v>
      </c>
      <c r="X350" s="31">
        <v>33.07</v>
      </c>
      <c r="Y350" s="62"/>
      <c r="Z350" s="76">
        <f t="shared" si="5"/>
      </c>
      <c r="AA350" s="62" t="s">
        <v>47</v>
      </c>
      <c r="AB350" s="63"/>
      <c r="AC350" s="63"/>
      <c r="AD350" s="63"/>
      <c r="AE350" s="61" t="s">
        <v>48</v>
      </c>
    </row>
    <row r="351" spans="1:31" s="64" customFormat="1" x14ac:dyDescent="0.25">
      <c r="A351" s="59" t="s">
        <v>417</v>
      </c>
      <c r="B351" s="59" t="s">
        <v>765</v>
      </c>
      <c r="C351" s="60">
        <v>43811</v>
      </c>
      <c r="D351" s="31">
        <v>31.14</v>
      </c>
      <c r="E351" s="59" t="s">
        <v>1121</v>
      </c>
      <c r="F351" s="59"/>
      <c r="G351" s="59"/>
      <c r="H351" s="59"/>
      <c r="I351" s="61"/>
      <c r="J351" s="59"/>
      <c r="K351" s="59" t="s">
        <v>46</v>
      </c>
      <c r="L351" s="61"/>
      <c r="M351" s="66"/>
      <c r="N351" s="67"/>
      <c r="O351" s="59"/>
      <c r="P351" s="59"/>
      <c r="Q351" s="59"/>
      <c r="R351" s="59"/>
      <c r="S351" s="59"/>
      <c r="T351" s="59"/>
      <c r="U351" s="63"/>
      <c r="V351" s="59"/>
      <c r="W351" s="61" t="s">
        <v>6</v>
      </c>
      <c r="X351" s="31">
        <v>31.14</v>
      </c>
      <c r="Y351" s="62"/>
      <c r="Z351" s="76">
        <f t="shared" si="5"/>
      </c>
      <c r="AA351" s="62" t="s">
        <v>47</v>
      </c>
      <c r="AB351" s="63"/>
      <c r="AC351" s="63"/>
      <c r="AD351" s="63"/>
      <c r="AE351" s="61" t="s">
        <v>48</v>
      </c>
    </row>
    <row r="352" spans="1:31" s="64" customFormat="1" x14ac:dyDescent="0.25">
      <c r="A352" s="59" t="s">
        <v>418</v>
      </c>
      <c r="B352" s="59" t="s">
        <v>766</v>
      </c>
      <c r="C352" s="60">
        <v>44076</v>
      </c>
      <c r="D352" s="31">
        <v>29.74</v>
      </c>
      <c r="E352" s="59" t="s">
        <v>1122</v>
      </c>
      <c r="F352" s="59"/>
      <c r="G352" s="59"/>
      <c r="H352" s="59"/>
      <c r="I352" s="61"/>
      <c r="J352" s="59"/>
      <c r="K352" s="59" t="s">
        <v>55</v>
      </c>
      <c r="L352" s="61"/>
      <c r="M352" s="66"/>
      <c r="N352" s="67"/>
      <c r="O352" s="59"/>
      <c r="P352" s="59"/>
      <c r="Q352" s="59"/>
      <c r="R352" s="59"/>
      <c r="S352" s="59"/>
      <c r="T352" s="59"/>
      <c r="U352" s="63"/>
      <c r="V352" s="59"/>
      <c r="W352" s="61" t="s">
        <v>6</v>
      </c>
      <c r="X352" s="31">
        <v>29.74</v>
      </c>
      <c r="Y352" s="62"/>
      <c r="Z352" s="76">
        <f t="shared" si="5"/>
      </c>
      <c r="AA352" s="62" t="s">
        <v>47</v>
      </c>
      <c r="AB352" s="63"/>
      <c r="AC352" s="63"/>
      <c r="AD352" s="63"/>
      <c r="AE352" s="61" t="s">
        <v>48</v>
      </c>
    </row>
    <row r="353" spans="1:35" s="64" customFormat="1" x14ac:dyDescent="0.25">
      <c r="A353" s="59" t="s">
        <v>419</v>
      </c>
      <c r="B353" s="59" t="s">
        <v>767</v>
      </c>
      <c r="C353" s="60">
        <v>44062</v>
      </c>
      <c r="D353" s="31">
        <v>28.15</v>
      </c>
      <c r="E353" s="59" t="s">
        <v>1123</v>
      </c>
      <c r="F353" s="59"/>
      <c r="G353" s="59"/>
      <c r="H353" s="59"/>
      <c r="I353" s="61"/>
      <c r="J353" s="59"/>
      <c r="K353" s="59" t="s">
        <v>55</v>
      </c>
      <c r="L353" s="61"/>
      <c r="M353" s="66"/>
      <c r="N353" s="67"/>
      <c r="O353" s="59"/>
      <c r="P353" s="59"/>
      <c r="Q353" s="59"/>
      <c r="R353" s="59"/>
      <c r="S353" s="59"/>
      <c r="T353" s="59"/>
      <c r="U353" s="63"/>
      <c r="V353" s="59"/>
      <c r="W353" s="61" t="s">
        <v>6</v>
      </c>
      <c r="X353" s="31">
        <v>28.15</v>
      </c>
      <c r="Y353" s="62"/>
      <c r="Z353" s="76">
        <f t="shared" si="5"/>
      </c>
      <c r="AA353" s="62" t="s">
        <v>47</v>
      </c>
      <c r="AB353" s="63"/>
      <c r="AC353" s="63"/>
      <c r="AD353" s="63"/>
      <c r="AE353" s="61" t="s">
        <v>48</v>
      </c>
    </row>
    <row r="354" spans="1:35" s="64" customFormat="1" x14ac:dyDescent="0.25">
      <c r="A354" s="59" t="s">
        <v>420</v>
      </c>
      <c r="B354" s="59" t="s">
        <v>768</v>
      </c>
      <c r="C354" s="60">
        <v>43551</v>
      </c>
      <c r="D354" s="31">
        <v>28.08</v>
      </c>
      <c r="E354" s="59" t="s">
        <v>1124</v>
      </c>
      <c r="F354" s="59"/>
      <c r="G354" s="59"/>
      <c r="H354" s="59"/>
      <c r="I354" s="61"/>
      <c r="J354" s="59"/>
      <c r="K354" s="59" t="s">
        <v>46</v>
      </c>
      <c r="L354" s="61"/>
      <c r="M354" s="66"/>
      <c r="N354" s="67"/>
      <c r="O354" s="59"/>
      <c r="P354" s="59"/>
      <c r="Q354" s="59"/>
      <c r="R354" s="59"/>
      <c r="S354" s="59"/>
      <c r="T354" s="59"/>
      <c r="U354" s="63"/>
      <c r="V354" s="59"/>
      <c r="W354" s="61" t="s">
        <v>6</v>
      </c>
      <c r="X354" s="31">
        <v>28.08</v>
      </c>
      <c r="Y354" s="62"/>
      <c r="Z354" s="76">
        <f t="shared" si="5"/>
      </c>
      <c r="AA354" s="62" t="s">
        <v>47</v>
      </c>
      <c r="AB354" s="63"/>
      <c r="AC354" s="63"/>
      <c r="AD354" s="63"/>
      <c r="AE354" s="61" t="s">
        <v>48</v>
      </c>
    </row>
    <row r="355" spans="1:35" s="64" customFormat="1" x14ac:dyDescent="0.25">
      <c r="A355" s="59" t="s">
        <v>421</v>
      </c>
      <c r="B355" s="59" t="s">
        <v>769</v>
      </c>
      <c r="C355" s="60">
        <v>44127</v>
      </c>
      <c r="D355" s="31">
        <v>27.53</v>
      </c>
      <c r="E355" s="59" t="s">
        <v>1125</v>
      </c>
      <c r="F355" s="59"/>
      <c r="G355" s="59"/>
      <c r="H355" s="59"/>
      <c r="I355" s="61"/>
      <c r="J355" s="59"/>
      <c r="K355" s="59" t="s">
        <v>55</v>
      </c>
      <c r="L355" s="61"/>
      <c r="M355" s="66"/>
      <c r="N355" s="67"/>
      <c r="O355" s="59"/>
      <c r="P355" s="59"/>
      <c r="Q355" s="59"/>
      <c r="R355" s="59"/>
      <c r="S355" s="59"/>
      <c r="T355" s="59"/>
      <c r="U355" s="63"/>
      <c r="V355" s="59"/>
      <c r="W355" s="61" t="s">
        <v>6</v>
      </c>
      <c r="X355" s="31">
        <v>27.53</v>
      </c>
      <c r="Y355" s="62"/>
      <c r="Z355" s="76">
        <f t="shared" si="5"/>
      </c>
      <c r="AA355" s="62" t="s">
        <v>47</v>
      </c>
      <c r="AB355" s="63"/>
      <c r="AC355" s="63"/>
      <c r="AD355" s="63"/>
      <c r="AE355" s="61" t="s">
        <v>48</v>
      </c>
    </row>
    <row r="356" spans="1:35" s="64" customFormat="1" x14ac:dyDescent="0.25">
      <c r="A356" s="59" t="s">
        <v>422</v>
      </c>
      <c r="B356" s="59" t="s">
        <v>770</v>
      </c>
      <c r="C356" s="60">
        <v>44000</v>
      </c>
      <c r="D356" s="31">
        <v>27.48</v>
      </c>
      <c r="E356" s="59" t="s">
        <v>1126</v>
      </c>
      <c r="F356" s="59"/>
      <c r="G356" s="59"/>
      <c r="H356" s="59"/>
      <c r="I356" s="61"/>
      <c r="J356" s="59"/>
      <c r="K356" s="59" t="s">
        <v>55</v>
      </c>
      <c r="L356" s="61"/>
      <c r="M356" s="66"/>
      <c r="N356" s="67"/>
      <c r="O356" s="59"/>
      <c r="P356" s="59"/>
      <c r="Q356" s="59"/>
      <c r="R356" s="59"/>
      <c r="S356" s="59"/>
      <c r="T356" s="59"/>
      <c r="U356" s="63"/>
      <c r="V356" s="59"/>
      <c r="W356" s="61" t="s">
        <v>6</v>
      </c>
      <c r="X356" s="31">
        <v>27.48</v>
      </c>
      <c r="Y356" s="62"/>
      <c r="Z356" s="76">
        <f t="shared" si="5"/>
      </c>
      <c r="AA356" s="62" t="s">
        <v>47</v>
      </c>
      <c r="AB356" s="63"/>
      <c r="AC356" s="63"/>
      <c r="AD356" s="63"/>
      <c r="AE356" s="61" t="s">
        <v>48</v>
      </c>
    </row>
    <row r="357" spans="1:35" s="64" customFormat="1" x14ac:dyDescent="0.25">
      <c r="A357" s="59" t="s">
        <v>423</v>
      </c>
      <c r="B357" s="59" t="s">
        <v>771</v>
      </c>
      <c r="C357" s="60">
        <v>43713</v>
      </c>
      <c r="D357" s="31">
        <v>25.35</v>
      </c>
      <c r="E357" s="59" t="s">
        <v>1127</v>
      </c>
      <c r="F357" s="59"/>
      <c r="G357" s="59"/>
      <c r="H357" s="59"/>
      <c r="I357" s="61"/>
      <c r="J357" s="59"/>
      <c r="K357" s="59" t="s">
        <v>46</v>
      </c>
      <c r="L357" s="61"/>
      <c r="M357" s="66"/>
      <c r="N357" s="67"/>
      <c r="O357" s="59"/>
      <c r="P357" s="59"/>
      <c r="Q357" s="59"/>
      <c r="R357" s="59"/>
      <c r="S357" s="59"/>
      <c r="T357" s="59"/>
      <c r="U357" s="63"/>
      <c r="V357" s="59"/>
      <c r="W357" s="61" t="s">
        <v>6</v>
      </c>
      <c r="X357" s="31">
        <v>25.35</v>
      </c>
      <c r="Y357" s="62"/>
      <c r="Z357" s="76">
        <f t="shared" si="5"/>
      </c>
      <c r="AA357" s="62" t="s">
        <v>47</v>
      </c>
      <c r="AB357" s="63"/>
      <c r="AC357" s="63"/>
      <c r="AD357" s="63"/>
      <c r="AE357" s="61" t="s">
        <v>48</v>
      </c>
    </row>
    <row r="358" spans="1:35" s="64" customFormat="1" x14ac:dyDescent="0.25">
      <c r="A358" s="59" t="s">
        <v>424</v>
      </c>
      <c r="B358" s="59" t="s">
        <v>772</v>
      </c>
      <c r="C358" s="60">
        <v>44307</v>
      </c>
      <c r="D358" s="31">
        <v>25.19</v>
      </c>
      <c r="E358" s="59" t="s">
        <v>1128</v>
      </c>
      <c r="F358" s="59"/>
      <c r="G358" s="59"/>
      <c r="H358" s="59"/>
      <c r="I358" s="61"/>
      <c r="J358" s="59"/>
      <c r="K358" s="59" t="s">
        <v>59</v>
      </c>
      <c r="L358" s="61"/>
      <c r="M358" s="66"/>
      <c r="N358" s="67"/>
      <c r="O358" s="59"/>
      <c r="P358" s="59"/>
      <c r="Q358" s="59"/>
      <c r="R358" s="59"/>
      <c r="S358" s="59"/>
      <c r="T358" s="59"/>
      <c r="U358" s="63"/>
      <c r="V358" s="59"/>
      <c r="W358" s="61" t="s">
        <v>6</v>
      </c>
      <c r="X358" s="31">
        <v>25.19</v>
      </c>
      <c r="Y358" s="62"/>
      <c r="Z358" s="76">
        <f t="shared" si="5"/>
      </c>
      <c r="AA358" s="62" t="s">
        <v>47</v>
      </c>
      <c r="AB358" s="63"/>
      <c r="AC358" s="63"/>
      <c r="AD358" s="63"/>
      <c r="AE358" s="61" t="s">
        <v>48</v>
      </c>
    </row>
    <row r="359" spans="1:35" s="64" customFormat="1" x14ac:dyDescent="0.25">
      <c r="A359" s="59" t="s">
        <v>425</v>
      </c>
      <c r="B359" s="59" t="s">
        <v>773</v>
      </c>
      <c r="C359" s="60">
        <v>44309</v>
      </c>
      <c r="D359" s="31">
        <v>25</v>
      </c>
      <c r="E359" s="59" t="s">
        <v>1129</v>
      </c>
      <c r="F359" s="59"/>
      <c r="G359" s="59"/>
      <c r="H359" s="59"/>
      <c r="I359" s="61"/>
      <c r="J359" s="59"/>
      <c r="K359" s="59" t="s">
        <v>59</v>
      </c>
      <c r="L359" s="61"/>
      <c r="M359" s="66"/>
      <c r="N359" s="67"/>
      <c r="O359" s="59"/>
      <c r="P359" s="59"/>
      <c r="Q359" s="59"/>
      <c r="R359" s="59"/>
      <c r="S359" s="59"/>
      <c r="T359" s="59"/>
      <c r="U359" s="63"/>
      <c r="V359" s="59"/>
      <c r="W359" s="61" t="s">
        <v>6</v>
      </c>
      <c r="X359" s="31">
        <v>25</v>
      </c>
      <c r="Y359" s="62"/>
      <c r="Z359" s="76">
        <f t="shared" si="5"/>
      </c>
      <c r="AA359" s="62" t="s">
        <v>47</v>
      </c>
      <c r="AB359" s="63"/>
      <c r="AC359" s="63"/>
      <c r="AD359" s="63"/>
      <c r="AE359" s="61" t="s">
        <v>48</v>
      </c>
    </row>
    <row r="360" spans="1:35" s="64" customFormat="1" x14ac:dyDescent="0.25">
      <c r="A360" s="59" t="s">
        <v>426</v>
      </c>
      <c r="B360" s="59" t="s">
        <v>774</v>
      </c>
      <c r="C360" s="60">
        <v>43836</v>
      </c>
      <c r="D360" s="31">
        <v>24.61</v>
      </c>
      <c r="E360" s="59" t="s">
        <v>1130</v>
      </c>
      <c r="F360" s="59"/>
      <c r="G360" s="59"/>
      <c r="H360" s="59"/>
      <c r="I360" s="61"/>
      <c r="J360" s="59"/>
      <c r="K360" s="59" t="s">
        <v>55</v>
      </c>
      <c r="L360" s="61"/>
      <c r="M360" s="66"/>
      <c r="N360" s="67"/>
      <c r="O360" s="59"/>
      <c r="P360" s="59"/>
      <c r="Q360" s="59"/>
      <c r="R360" s="59"/>
      <c r="S360" s="59"/>
      <c r="T360" s="59"/>
      <c r="U360" s="63"/>
      <c r="V360" s="59"/>
      <c r="W360" s="61" t="s">
        <v>6</v>
      </c>
      <c r="X360" s="31">
        <v>24.61</v>
      </c>
      <c r="Y360" s="62" t="s">
        <v>52</v>
      </c>
      <c r="Z360" s="76">
        <f t="shared" si="5"/>
      </c>
      <c r="AA360" s="62" t="s">
        <v>10</v>
      </c>
      <c r="AB360" s="63"/>
      <c r="AC360" s="63"/>
      <c r="AD360" s="63"/>
      <c r="AE360" s="61" t="s">
        <v>48</v>
      </c>
    </row>
    <row r="361" spans="1:35" s="64" customFormat="1" x14ac:dyDescent="0.25">
      <c r="A361" s="59" t="s">
        <v>427</v>
      </c>
      <c r="B361" s="59" t="s">
        <v>775</v>
      </c>
      <c r="C361" s="60">
        <v>44160</v>
      </c>
      <c r="D361" s="31">
        <v>22.53</v>
      </c>
      <c r="E361" s="59" t="s">
        <v>1131</v>
      </c>
      <c r="F361" s="59"/>
      <c r="G361" s="59"/>
      <c r="H361" s="59"/>
      <c r="I361" s="61"/>
      <c r="J361" s="59"/>
      <c r="K361" s="59" t="s">
        <v>55</v>
      </c>
      <c r="L361" s="61"/>
      <c r="M361" s="66"/>
      <c r="N361" s="67"/>
      <c r="O361" s="59"/>
      <c r="P361" s="59"/>
      <c r="Q361" s="59"/>
      <c r="R361" s="59"/>
      <c r="S361" s="59"/>
      <c r="T361" s="59"/>
      <c r="U361" s="63"/>
      <c r="V361" s="59"/>
      <c r="W361" s="61" t="s">
        <v>6</v>
      </c>
      <c r="X361" s="31">
        <v>22.53</v>
      </c>
      <c r="Y361" s="62"/>
      <c r="Z361" s="76">
        <f t="shared" si="5"/>
      </c>
      <c r="AA361" s="62" t="s">
        <v>47</v>
      </c>
      <c r="AB361" s="63"/>
      <c r="AC361" s="63"/>
      <c r="AD361" s="63"/>
      <c r="AE361" s="61" t="s">
        <v>48</v>
      </c>
    </row>
    <row r="362" spans="1:35" s="64" customFormat="1" x14ac:dyDescent="0.25">
      <c r="A362" s="59" t="s">
        <v>428</v>
      </c>
      <c r="B362" s="59" t="s">
        <v>776</v>
      </c>
      <c r="C362" s="60">
        <v>43994</v>
      </c>
      <c r="D362" s="31">
        <v>22.24</v>
      </c>
      <c r="E362" s="59" t="s">
        <v>1132</v>
      </c>
      <c r="F362" s="59"/>
      <c r="G362" s="59"/>
      <c r="H362" s="59"/>
      <c r="I362" s="61"/>
      <c r="J362" s="59"/>
      <c r="K362" s="59" t="s">
        <v>55</v>
      </c>
      <c r="L362" s="61"/>
      <c r="M362" s="66"/>
      <c r="N362" s="67"/>
      <c r="O362" s="59"/>
      <c r="P362" s="59"/>
      <c r="Q362" s="59"/>
      <c r="R362" s="59"/>
      <c r="S362" s="59"/>
      <c r="T362" s="59"/>
      <c r="U362" s="63"/>
      <c r="V362" s="59"/>
      <c r="W362" s="61" t="s">
        <v>6</v>
      </c>
      <c r="X362" s="31">
        <v>22.24</v>
      </c>
      <c r="Y362" s="62"/>
      <c r="Z362" s="76">
        <f t="shared" si="5"/>
      </c>
      <c r="AA362" s="62" t="s">
        <v>47</v>
      </c>
      <c r="AB362" s="63"/>
      <c r="AC362" s="63"/>
      <c r="AD362" s="63"/>
      <c r="AE362" s="61" t="s">
        <v>48</v>
      </c>
    </row>
    <row r="363" spans="1:35" s="64" customFormat="1" x14ac:dyDescent="0.25">
      <c r="A363" s="59" t="s">
        <v>429</v>
      </c>
      <c r="B363" s="59" t="s">
        <v>777</v>
      </c>
      <c r="C363" s="60">
        <v>43487</v>
      </c>
      <c r="D363" s="31">
        <v>22.22</v>
      </c>
      <c r="E363" s="59" t="s">
        <v>1133</v>
      </c>
      <c r="F363" s="59"/>
      <c r="G363" s="59"/>
      <c r="H363" s="59"/>
      <c r="I363" s="61"/>
      <c r="J363" s="59"/>
      <c r="K363" s="59" t="s">
        <v>46</v>
      </c>
      <c r="L363" s="61"/>
      <c r="M363" s="66"/>
      <c r="N363" s="67"/>
      <c r="O363" s="59"/>
      <c r="P363" s="59"/>
      <c r="Q363" s="59"/>
      <c r="R363" s="59"/>
      <c r="S363" s="59"/>
      <c r="T363" s="59"/>
      <c r="U363" s="63"/>
      <c r="V363" s="59"/>
      <c r="W363" s="61" t="s">
        <v>6</v>
      </c>
      <c r="X363" s="31">
        <v>22.22</v>
      </c>
      <c r="Y363" s="62"/>
      <c r="Z363" s="76">
        <f t="shared" si="5"/>
      </c>
      <c r="AA363" s="62" t="s">
        <v>47</v>
      </c>
      <c r="AB363" s="63"/>
      <c r="AC363" s="63"/>
      <c r="AD363" s="63"/>
      <c r="AE363" s="61" t="s">
        <v>48</v>
      </c>
    </row>
    <row r="364" spans="1:35" s="64" customFormat="1" x14ac:dyDescent="0.25">
      <c r="A364" s="59" t="s">
        <v>430</v>
      </c>
      <c r="B364" s="59" t="s">
        <v>778</v>
      </c>
      <c r="C364" s="60">
        <v>43646</v>
      </c>
      <c r="D364" s="31">
        <v>20.89</v>
      </c>
      <c r="E364" s="59" t="s">
        <v>1134</v>
      </c>
      <c r="F364" s="59"/>
      <c r="G364" s="59"/>
      <c r="H364" s="59"/>
      <c r="I364" s="61"/>
      <c r="J364" s="59"/>
      <c r="K364" s="59" t="s">
        <v>46</v>
      </c>
      <c r="L364" s="61"/>
      <c r="M364" s="66"/>
      <c r="N364" s="67"/>
      <c r="O364" s="59"/>
      <c r="P364" s="59"/>
      <c r="Q364" s="59"/>
      <c r="R364" s="59"/>
      <c r="S364" s="59"/>
      <c r="T364" s="59"/>
      <c r="U364" s="63"/>
      <c r="V364" s="59"/>
      <c r="W364" s="61" t="s">
        <v>6</v>
      </c>
      <c r="X364" s="31">
        <v>20.89</v>
      </c>
      <c r="Y364" s="62"/>
      <c r="Z364" s="76">
        <f t="shared" si="5"/>
      </c>
      <c r="AA364" s="62" t="s">
        <v>47</v>
      </c>
      <c r="AB364" s="63"/>
      <c r="AC364" s="63"/>
      <c r="AD364" s="63"/>
      <c r="AE364" s="61" t="s">
        <v>48</v>
      </c>
    </row>
    <row r="365" spans="1:35" s="64" customFormat="1" x14ac:dyDescent="0.25">
      <c r="A365" s="59" t="s">
        <v>431</v>
      </c>
      <c r="B365" s="59" t="s">
        <v>779</v>
      </c>
      <c r="C365" s="60">
        <v>43556</v>
      </c>
      <c r="D365" s="31">
        <v>20.75</v>
      </c>
      <c r="E365" s="59" t="s">
        <v>1135</v>
      </c>
      <c r="F365" s="59"/>
      <c r="G365" s="59"/>
      <c r="H365" s="59"/>
      <c r="I365" s="61"/>
      <c r="J365" s="59"/>
      <c r="K365" s="59" t="s">
        <v>46</v>
      </c>
      <c r="L365" s="61"/>
      <c r="M365" s="66"/>
      <c r="N365" s="67"/>
      <c r="O365" s="59"/>
      <c r="P365" s="59"/>
      <c r="Q365" s="59"/>
      <c r="R365" s="59"/>
      <c r="S365" s="59"/>
      <c r="T365" s="59"/>
      <c r="U365" s="63"/>
      <c r="V365" s="59"/>
      <c r="W365" s="61" t="s">
        <v>6</v>
      </c>
      <c r="X365" s="31">
        <v>20.75</v>
      </c>
      <c r="Y365" s="62"/>
      <c r="Z365" s="76">
        <f t="shared" si="5"/>
      </c>
      <c r="AA365" s="62" t="s">
        <v>47</v>
      </c>
      <c r="AB365" s="63"/>
      <c r="AC365" s="63"/>
      <c r="AD365" s="63"/>
      <c r="AE365" s="61" t="s">
        <v>48</v>
      </c>
    </row>
    <row r="366" spans="1:35" s="64" customFormat="1" x14ac:dyDescent="0.25">
      <c r="A366" s="59" t="s">
        <v>432</v>
      </c>
      <c r="B366" s="59" t="s">
        <v>780</v>
      </c>
      <c r="C366" s="60">
        <v>44322</v>
      </c>
      <c r="D366" s="31">
        <v>20.39</v>
      </c>
      <c r="E366" s="59" t="s">
        <v>1136</v>
      </c>
      <c r="F366" s="59"/>
      <c r="G366" s="59"/>
      <c r="H366" s="59"/>
      <c r="I366" s="61"/>
      <c r="J366" s="59"/>
      <c r="K366" s="59" t="s">
        <v>59</v>
      </c>
      <c r="L366" s="61"/>
      <c r="M366" s="66"/>
      <c r="N366" s="67"/>
      <c r="O366" s="59"/>
      <c r="P366" s="59"/>
      <c r="Q366" s="59"/>
      <c r="R366" s="59"/>
      <c r="S366" s="59"/>
      <c r="T366" s="59"/>
      <c r="U366" s="63"/>
      <c r="V366" s="59"/>
      <c r="W366" s="61" t="s">
        <v>6</v>
      </c>
      <c r="X366" s="31">
        <v>20.39</v>
      </c>
      <c r="Y366" s="62"/>
      <c r="Z366" s="76">
        <f t="shared" si="5"/>
      </c>
      <c r="AA366" s="62" t="s">
        <v>47</v>
      </c>
      <c r="AB366" s="63"/>
      <c r="AC366" s="63"/>
      <c r="AD366" s="63"/>
      <c r="AE366" s="61" t="s">
        <v>48</v>
      </c>
    </row>
    <row r="367" spans="1:35" s="64" customFormat="1" x14ac:dyDescent="0.25">
      <c r="A367" s="80"/>
      <c r="B367" s="68"/>
      <c r="C367" s="69"/>
      <c r="D367" s="34"/>
      <c r="E367" s="70"/>
      <c r="F367" s="71"/>
      <c r="G367" s="71"/>
      <c r="H367" s="71"/>
      <c r="I367" s="72"/>
      <c r="L367" s="73"/>
      <c r="M367" s="74"/>
      <c r="Q367" s="70"/>
      <c r="W367" s="74"/>
      <c r="Y367" s="74"/>
      <c r="Z367" s="79"/>
      <c r="AA367" s="74"/>
      <c r="AE367" s="74"/>
    </row>
    <row r="368" spans="1:35" s="74" customFormat="1" x14ac:dyDescent="0.25">
      <c r="A368" s="80"/>
      <c r="B368" s="68"/>
      <c r="C368" s="69"/>
      <c r="D368" s="34"/>
      <c r="E368" s="70"/>
      <c r="F368" s="71"/>
      <c r="G368" s="71"/>
      <c r="H368" s="71"/>
      <c r="I368" s="72"/>
      <c r="J368" s="64"/>
      <c r="K368" s="64"/>
      <c r="L368" s="73"/>
      <c r="N368" s="64"/>
      <c r="O368" s="64"/>
      <c r="P368" s="64"/>
      <c r="Q368" s="70"/>
      <c r="R368" s="64"/>
      <c r="S368" s="64"/>
      <c r="T368" s="64"/>
      <c r="U368" s="64"/>
      <c r="V368" s="64"/>
      <c r="X368" s="64"/>
      <c r="Z368" s="79"/>
      <c r="AB368" s="64"/>
      <c r="AC368" s="64"/>
      <c r="AD368" s="64"/>
      <c r="AF368" s="64"/>
      <c r="AG368" s="64"/>
      <c r="AH368" s="64"/>
      <c r="AI368" s="64"/>
    </row>
    <row r="369" spans="1:35" s="74" customFormat="1" x14ac:dyDescent="0.25">
      <c r="A369" s="80"/>
      <c r="B369" s="68"/>
      <c r="C369" s="69"/>
      <c r="D369" s="34"/>
      <c r="E369" s="70"/>
      <c r="F369" s="71"/>
      <c r="G369" s="71"/>
      <c r="H369" s="71"/>
      <c r="I369" s="72"/>
      <c r="J369" s="64"/>
      <c r="K369" s="64"/>
      <c r="L369" s="73"/>
      <c r="N369" s="64"/>
      <c r="O369" s="64"/>
      <c r="P369" s="64"/>
      <c r="Q369" s="70"/>
      <c r="R369" s="64"/>
      <c r="S369" s="64"/>
      <c r="T369" s="64"/>
      <c r="U369" s="64"/>
      <c r="V369" s="64"/>
      <c r="X369" s="64"/>
      <c r="Z369" s="79"/>
      <c r="AB369" s="64"/>
      <c r="AC369" s="64"/>
      <c r="AD369" s="64"/>
      <c r="AF369" s="64"/>
      <c r="AG369" s="64"/>
      <c r="AH369" s="64"/>
      <c r="AI369" s="64"/>
    </row>
    <row r="370" spans="1:35" s="74" customFormat="1" x14ac:dyDescent="0.25">
      <c r="A370" s="80"/>
      <c r="B370" s="68"/>
      <c r="C370" s="69"/>
      <c r="D370" s="34">
        <f>SUBTOTAL(9,D10:D366)</f>
      </c>
      <c r="E370" s="70"/>
      <c r="F370" s="71"/>
      <c r="G370" s="71"/>
      <c r="H370" s="71"/>
      <c r="I370" s="72"/>
      <c r="J370" s="64"/>
      <c r="K370" s="64"/>
      <c r="L370" s="73"/>
      <c r="N370" s="64"/>
      <c r="O370" s="64"/>
      <c r="P370" s="64"/>
      <c r="Q370" s="70"/>
      <c r="R370" s="64"/>
      <c r="S370" s="64"/>
      <c r="T370" s="64"/>
      <c r="U370" s="64"/>
      <c r="V370" s="64"/>
      <c r="X370" s="34">
        <f>SUBTOTAL(9,X10:X366)</f>
      </c>
      <c r="Z370" s="79"/>
      <c r="AB370" s="64"/>
      <c r="AC370" s="64"/>
      <c r="AD370" s="64"/>
      <c r="AF370" s="64"/>
      <c r="AG370" s="64"/>
      <c r="AH370" s="64"/>
      <c r="AI370" s="64"/>
    </row>
    <row r="371" spans="1:35" s="74" customFormat="1" x14ac:dyDescent="0.25">
      <c r="A371" s="80"/>
      <c r="B371" s="68"/>
      <c r="C371" s="69"/>
      <c r="D371" s="34">
        <f>SUBTOTAL(2,D10:D366)</f>
      </c>
      <c r="E371" s="70"/>
      <c r="F371" s="71"/>
      <c r="G371" s="71"/>
      <c r="H371" s="71"/>
      <c r="I371" s="72"/>
      <c r="J371" s="64"/>
      <c r="K371" s="64"/>
      <c r="L371" s="73"/>
      <c r="N371" s="64"/>
      <c r="O371" s="64"/>
      <c r="P371" s="64"/>
      <c r="Q371" s="70"/>
      <c r="R371" s="64"/>
      <c r="S371" s="64"/>
      <c r="T371" s="64"/>
      <c r="U371" s="64"/>
      <c r="V371" s="64"/>
      <c r="X371" s="34">
        <f>SUBTOTAL(2,X10:X366)</f>
      </c>
      <c r="Z371" s="79"/>
      <c r="AB371" s="64"/>
      <c r="AC371" s="64"/>
      <c r="AD371" s="64"/>
      <c r="AF371" s="64"/>
      <c r="AG371" s="64"/>
      <c r="AH371" s="64"/>
      <c r="AI371" s="64"/>
    </row>
    <row r="372" spans="1:35" s="74" customFormat="1" x14ac:dyDescent="0.25">
      <c r="A372" s="80"/>
      <c r="B372" s="68"/>
      <c r="C372" s="69"/>
      <c r="D372" s="34"/>
      <c r="E372" s="70"/>
      <c r="F372" s="71"/>
      <c r="G372" s="71"/>
      <c r="H372" s="71"/>
      <c r="I372" s="72"/>
      <c r="J372" s="64"/>
      <c r="K372" s="64"/>
      <c r="L372" s="73"/>
      <c r="N372" s="64"/>
      <c r="O372" s="64"/>
      <c r="P372" s="64"/>
      <c r="Q372" s="70"/>
      <c r="R372" s="64"/>
      <c r="S372" s="64"/>
      <c r="T372" s="64"/>
      <c r="U372" s="64"/>
      <c r="V372" s="64"/>
      <c r="X372" s="64"/>
      <c r="Z372" s="79"/>
      <c r="AB372" s="64"/>
      <c r="AC372" s="64"/>
      <c r="AD372" s="64"/>
      <c r="AF372" s="64"/>
      <c r="AG372" s="64"/>
      <c r="AH372" s="64"/>
      <c r="AI372" s="64"/>
    </row>
    <row r="373" spans="1:35" s="74" customFormat="1" x14ac:dyDescent="0.25">
      <c r="A373" s="80"/>
      <c r="B373" s="68"/>
      <c r="C373" s="69"/>
      <c r="D373" s="34"/>
      <c r="E373" s="70"/>
      <c r="F373" s="71"/>
      <c r="G373" s="71"/>
      <c r="H373" s="71"/>
      <c r="I373" s="72"/>
      <c r="J373" s="64"/>
      <c r="K373" s="64"/>
      <c r="L373" s="73"/>
      <c r="N373" s="64"/>
      <c r="O373" s="64"/>
      <c r="P373" s="64"/>
      <c r="Q373" s="70"/>
      <c r="R373" s="64"/>
      <c r="S373" s="64"/>
      <c r="T373" s="64"/>
      <c r="U373" s="64"/>
      <c r="V373" s="64"/>
      <c r="X373" s="64"/>
      <c r="Z373" s="79"/>
      <c r="AB373" s="64"/>
      <c r="AC373" s="64"/>
      <c r="AD373" s="64"/>
      <c r="AF373" s="64"/>
      <c r="AG373" s="64"/>
      <c r="AH373" s="64"/>
      <c r="AI373" s="64"/>
    </row>
    <row r="374" spans="1:35" s="74" customFormat="1" x14ac:dyDescent="0.25">
      <c r="A374" s="80"/>
      <c r="B374" s="68"/>
      <c r="C374" s="69"/>
      <c r="D374" s="34"/>
      <c r="E374" s="70"/>
      <c r="F374" s="71"/>
      <c r="G374" s="71"/>
      <c r="H374" s="71"/>
      <c r="I374" s="72"/>
      <c r="J374" s="64"/>
      <c r="K374" s="64"/>
      <c r="L374" s="73"/>
      <c r="N374" s="64"/>
      <c r="O374" s="64"/>
      <c r="P374" s="64"/>
      <c r="Q374" s="70"/>
      <c r="R374" s="64"/>
      <c r="S374" s="64"/>
      <c r="T374" s="64"/>
      <c r="U374" s="64"/>
      <c r="V374" s="64"/>
      <c r="X374" s="64"/>
      <c r="Z374" s="79"/>
      <c r="AB374" s="64"/>
      <c r="AC374" s="64"/>
      <c r="AD374" s="64"/>
      <c r="AF374" s="64"/>
      <c r="AG374" s="64"/>
      <c r="AH374" s="64"/>
      <c r="AI374" s="64"/>
    </row>
    <row r="375" spans="1:35" s="74" customFormat="1" x14ac:dyDescent="0.25">
      <c r="A375" s="80"/>
      <c r="B375" s="68"/>
      <c r="C375" s="69"/>
      <c r="D375" s="34"/>
      <c r="E375" s="70"/>
      <c r="F375" s="71"/>
      <c r="G375" s="71"/>
      <c r="H375" s="71"/>
      <c r="I375" s="72"/>
      <c r="J375" s="64"/>
      <c r="K375" s="64"/>
      <c r="L375" s="73"/>
      <c r="N375" s="64"/>
      <c r="O375" s="64"/>
      <c r="P375" s="64"/>
      <c r="Q375" s="70"/>
      <c r="R375" s="64"/>
      <c r="S375" s="64"/>
      <c r="T375" s="64"/>
      <c r="U375" s="64"/>
      <c r="V375" s="64"/>
      <c r="X375" s="64"/>
      <c r="Z375" s="79"/>
      <c r="AB375" s="64"/>
      <c r="AC375" s="64"/>
      <c r="AD375" s="64"/>
      <c r="AF375" s="64"/>
      <c r="AG375" s="64"/>
      <c r="AH375" s="64"/>
      <c r="AI375" s="64"/>
    </row>
    <row r="376" spans="1:35" s="74" customFormat="1" x14ac:dyDescent="0.25">
      <c r="A376" s="80"/>
      <c r="B376" s="68"/>
      <c r="C376" s="69"/>
      <c r="D376" s="34"/>
      <c r="E376" s="70"/>
      <c r="F376" s="71"/>
      <c r="G376" s="71"/>
      <c r="H376" s="71"/>
      <c r="I376" s="72"/>
      <c r="J376" s="64"/>
      <c r="K376" s="64"/>
      <c r="L376" s="73"/>
      <c r="N376" s="64"/>
      <c r="O376" s="64"/>
      <c r="P376" s="64"/>
      <c r="Q376" s="70"/>
      <c r="R376" s="64"/>
      <c r="S376" s="64"/>
      <c r="T376" s="64"/>
      <c r="U376" s="64"/>
      <c r="V376" s="64"/>
      <c r="X376" s="64"/>
      <c r="Z376" s="79"/>
      <c r="AB376" s="64"/>
      <c r="AC376" s="64"/>
      <c r="AD376" s="64"/>
      <c r="AF376" s="64"/>
      <c r="AG376" s="64"/>
      <c r="AH376" s="64"/>
      <c r="AI376" s="64"/>
    </row>
    <row r="377" spans="1:35" s="74" customFormat="1" x14ac:dyDescent="0.25">
      <c r="A377" s="80"/>
      <c r="B377" s="68"/>
      <c r="C377" s="69"/>
      <c r="D377" s="34"/>
      <c r="E377" s="70"/>
      <c r="F377" s="71"/>
      <c r="G377" s="71"/>
      <c r="H377" s="71"/>
      <c r="I377" s="72"/>
      <c r="J377" s="64"/>
      <c r="K377" s="64"/>
      <c r="L377" s="73"/>
      <c r="N377" s="64"/>
      <c r="O377" s="64"/>
      <c r="P377" s="64"/>
      <c r="Q377" s="70"/>
      <c r="R377" s="64"/>
      <c r="S377" s="64"/>
      <c r="T377" s="64"/>
      <c r="U377" s="64"/>
      <c r="V377" s="64"/>
      <c r="X377" s="64"/>
      <c r="Z377" s="79"/>
      <c r="AB377" s="64"/>
      <c r="AC377" s="64"/>
      <c r="AD377" s="64"/>
      <c r="AF377" s="64"/>
      <c r="AG377" s="64"/>
      <c r="AH377" s="64"/>
      <c r="AI377" s="64"/>
    </row>
    <row r="378" spans="1:35" s="74" customFormat="1" x14ac:dyDescent="0.25">
      <c r="A378" s="80"/>
      <c r="B378" s="68"/>
      <c r="C378" s="69"/>
      <c r="D378" s="34"/>
      <c r="E378" s="70"/>
      <c r="F378" s="71"/>
      <c r="G378" s="71"/>
      <c r="H378" s="71"/>
      <c r="I378" s="72"/>
      <c r="J378" s="64"/>
      <c r="K378" s="64"/>
      <c r="L378" s="73"/>
      <c r="N378" s="64"/>
      <c r="O378" s="64"/>
      <c r="P378" s="64"/>
      <c r="Q378" s="70"/>
      <c r="R378" s="64"/>
      <c r="S378" s="64"/>
      <c r="T378" s="64"/>
      <c r="U378" s="64"/>
      <c r="V378" s="64"/>
      <c r="X378" s="64"/>
      <c r="Z378" s="79"/>
      <c r="AB378" s="64"/>
      <c r="AC378" s="64"/>
      <c r="AD378" s="64"/>
      <c r="AF378" s="64"/>
      <c r="AG378" s="64"/>
      <c r="AH378" s="64"/>
      <c r="AI378" s="64"/>
    </row>
    <row r="379" spans="1:35" s="74" customFormat="1" x14ac:dyDescent="0.25">
      <c r="A379" s="80"/>
      <c r="B379" s="68"/>
      <c r="C379" s="69"/>
      <c r="D379" s="34"/>
      <c r="E379" s="70"/>
      <c r="F379" s="71"/>
      <c r="G379" s="71"/>
      <c r="H379" s="71"/>
      <c r="I379" s="72"/>
      <c r="J379" s="64"/>
      <c r="K379" s="64"/>
      <c r="L379" s="73"/>
      <c r="N379" s="64"/>
      <c r="O379" s="64"/>
      <c r="P379" s="64"/>
      <c r="Q379" s="70"/>
      <c r="R379" s="64"/>
      <c r="S379" s="64"/>
      <c r="T379" s="64"/>
      <c r="U379" s="64"/>
      <c r="V379" s="64"/>
      <c r="X379" s="64"/>
      <c r="Z379" s="79"/>
      <c r="AB379" s="64"/>
      <c r="AC379" s="64"/>
      <c r="AD379" s="64"/>
      <c r="AF379" s="64"/>
      <c r="AG379" s="64"/>
      <c r="AH379" s="64"/>
      <c r="AI379" s="64"/>
    </row>
    <row r="380" spans="1:35" s="74" customFormat="1" x14ac:dyDescent="0.25">
      <c r="A380" s="80"/>
      <c r="B380" s="68"/>
      <c r="C380" s="69"/>
      <c r="D380" s="34"/>
      <c r="E380" s="70"/>
      <c r="F380" s="71"/>
      <c r="G380" s="71"/>
      <c r="H380" s="71"/>
      <c r="I380" s="72"/>
      <c r="J380" s="64"/>
      <c r="K380" s="64"/>
      <c r="L380" s="73"/>
      <c r="N380" s="64"/>
      <c r="O380" s="64"/>
      <c r="P380" s="64"/>
      <c r="Q380" s="70"/>
      <c r="R380" s="64"/>
      <c r="S380" s="64"/>
      <c r="T380" s="64"/>
      <c r="U380" s="64"/>
      <c r="V380" s="64"/>
      <c r="X380" s="64"/>
      <c r="Z380" s="79"/>
      <c r="AB380" s="64"/>
      <c r="AC380" s="64"/>
      <c r="AD380" s="64"/>
      <c r="AF380" s="64"/>
      <c r="AG380" s="64"/>
      <c r="AH380" s="64"/>
      <c r="AI380" s="64"/>
    </row>
    <row r="381" spans="1:35" s="74" customFormat="1" x14ac:dyDescent="0.25">
      <c r="A381" s="80"/>
      <c r="B381" s="68"/>
      <c r="C381" s="69"/>
      <c r="D381" s="34"/>
      <c r="E381" s="70"/>
      <c r="F381" s="71"/>
      <c r="G381" s="71"/>
      <c r="H381" s="71"/>
      <c r="I381" s="72"/>
      <c r="J381" s="64"/>
      <c r="K381" s="64"/>
      <c r="L381" s="73"/>
      <c r="N381" s="64"/>
      <c r="O381" s="64"/>
      <c r="P381" s="64"/>
      <c r="Q381" s="70"/>
      <c r="R381" s="64"/>
      <c r="S381" s="64"/>
      <c r="T381" s="64"/>
      <c r="U381" s="64"/>
      <c r="V381" s="64"/>
      <c r="X381" s="64"/>
      <c r="Z381" s="79"/>
      <c r="AB381" s="64"/>
      <c r="AC381" s="64"/>
      <c r="AD381" s="64"/>
      <c r="AF381" s="64"/>
      <c r="AG381" s="64"/>
      <c r="AH381" s="64"/>
      <c r="AI381" s="64"/>
    </row>
    <row r="382" spans="1:35" s="74" customFormat="1" x14ac:dyDescent="0.25">
      <c r="A382" s="80"/>
      <c r="B382" s="68"/>
      <c r="C382" s="69"/>
      <c r="D382" s="34"/>
      <c r="E382" s="70"/>
      <c r="F382" s="71"/>
      <c r="G382" s="71"/>
      <c r="H382" s="71"/>
      <c r="I382" s="72"/>
      <c r="J382" s="64"/>
      <c r="K382" s="64"/>
      <c r="L382" s="73"/>
      <c r="N382" s="64"/>
      <c r="O382" s="64"/>
      <c r="P382" s="64"/>
      <c r="Q382" s="70"/>
      <c r="R382" s="64"/>
      <c r="S382" s="64"/>
      <c r="T382" s="64"/>
      <c r="U382" s="64"/>
      <c r="V382" s="64"/>
      <c r="X382" s="64"/>
      <c r="Z382" s="79"/>
      <c r="AB382" s="64"/>
      <c r="AC382" s="64"/>
      <c r="AD382" s="64"/>
      <c r="AF382" s="64"/>
      <c r="AG382" s="64"/>
      <c r="AH382" s="64"/>
      <c r="AI382" s="64"/>
    </row>
    <row r="383" spans="1:35" s="74" customFormat="1" x14ac:dyDescent="0.25">
      <c r="A383" s="80"/>
      <c r="B383" s="68"/>
      <c r="C383" s="69"/>
      <c r="D383" s="34"/>
      <c r="E383" s="70"/>
      <c r="F383" s="71"/>
      <c r="G383" s="71"/>
      <c r="H383" s="71"/>
      <c r="I383" s="72"/>
      <c r="J383" s="64"/>
      <c r="K383" s="64"/>
      <c r="L383" s="73"/>
      <c r="N383" s="64"/>
      <c r="O383" s="64"/>
      <c r="P383" s="64"/>
      <c r="Q383" s="70"/>
      <c r="R383" s="64"/>
      <c r="S383" s="64"/>
      <c r="T383" s="64"/>
      <c r="U383" s="64"/>
      <c r="V383" s="64"/>
      <c r="X383" s="64"/>
      <c r="Z383" s="79"/>
      <c r="AB383" s="64"/>
      <c r="AC383" s="64"/>
      <c r="AD383" s="64"/>
      <c r="AF383" s="64"/>
      <c r="AG383" s="64"/>
      <c r="AH383" s="64"/>
      <c r="AI383" s="64"/>
    </row>
    <row r="384" spans="1:35" s="64" customFormat="1" x14ac:dyDescent="0.25">
      <c r="A384" s="80"/>
      <c r="B384" s="68"/>
      <c r="C384" s="69"/>
      <c r="D384" s="34"/>
      <c r="E384" s="70"/>
      <c r="F384" s="71"/>
      <c r="G384" s="71"/>
      <c r="H384" s="71"/>
      <c r="I384" s="72"/>
      <c r="L384" s="73"/>
      <c r="M384" s="74"/>
      <c r="Q384" s="70"/>
      <c r="W384" s="74"/>
      <c r="Y384" s="74"/>
      <c r="Z384" s="79"/>
      <c r="AA384" s="74"/>
      <c r="AE384" s="74"/>
    </row>
    <row r="385" spans="1:31" s="64" customFormat="1" x14ac:dyDescent="0.25">
      <c r="A385" s="80"/>
      <c r="B385" s="68"/>
      <c r="C385" s="69"/>
      <c r="D385" s="34"/>
      <c r="E385" s="70"/>
      <c r="F385" s="71"/>
      <c r="G385" s="71"/>
      <c r="H385" s="71"/>
      <c r="I385" s="72"/>
      <c r="L385" s="73"/>
      <c r="M385" s="74"/>
      <c r="Q385" s="70"/>
      <c r="W385" s="74"/>
      <c r="Y385" s="74"/>
      <c r="Z385" s="79"/>
      <c r="AA385" s="74"/>
      <c r="AE385" s="74"/>
    </row>
    <row r="386" spans="1:31" s="64" customFormat="1" x14ac:dyDescent="0.25">
      <c r="A386" s="80"/>
      <c r="B386" s="68"/>
      <c r="C386" s="69"/>
      <c r="D386" s="34"/>
      <c r="E386" s="70"/>
      <c r="F386" s="71"/>
      <c r="G386" s="71"/>
      <c r="H386" s="71"/>
      <c r="I386" s="72"/>
      <c r="L386" s="73"/>
      <c r="M386" s="74"/>
      <c r="Q386" s="70"/>
      <c r="W386" s="74"/>
      <c r="Y386" s="74"/>
      <c r="Z386" s="79"/>
      <c r="AA386" s="74"/>
      <c r="AE386" s="74"/>
    </row>
    <row r="387" spans="1:31" s="64" customFormat="1" x14ac:dyDescent="0.25">
      <c r="A387" s="80"/>
      <c r="B387" s="68"/>
      <c r="C387" s="69"/>
      <c r="D387" s="34"/>
      <c r="E387" s="70"/>
      <c r="F387" s="71"/>
      <c r="G387" s="71"/>
      <c r="H387" s="71"/>
      <c r="I387" s="72"/>
      <c r="L387" s="73"/>
      <c r="M387" s="74"/>
      <c r="Q387" s="70"/>
      <c r="W387" s="74"/>
      <c r="Y387" s="74"/>
      <c r="Z387" s="79"/>
      <c r="AA387" s="74"/>
      <c r="AE387" s="74"/>
    </row>
    <row r="388" spans="1:31" s="64" customFormat="1" x14ac:dyDescent="0.25">
      <c r="A388" s="80"/>
      <c r="B388" s="68"/>
      <c r="C388" s="69"/>
      <c r="D388" s="34"/>
      <c r="E388" s="70"/>
      <c r="F388" s="71"/>
      <c r="G388" s="71"/>
      <c r="H388" s="71"/>
      <c r="I388" s="72"/>
      <c r="L388" s="73"/>
      <c r="M388" s="74"/>
      <c r="Q388" s="70"/>
      <c r="W388" s="74"/>
      <c r="Y388" s="74"/>
      <c r="Z388" s="79"/>
      <c r="AA388" s="74"/>
      <c r="AE388" s="74"/>
    </row>
    <row r="389" spans="1:31" s="64" customFormat="1" x14ac:dyDescent="0.25">
      <c r="A389" s="80"/>
      <c r="B389" s="68"/>
      <c r="C389" s="69"/>
      <c r="D389" s="34"/>
      <c r="E389" s="70"/>
      <c r="F389" s="71"/>
      <c r="G389" s="71"/>
      <c r="H389" s="71"/>
      <c r="I389" s="72"/>
      <c r="L389" s="73"/>
      <c r="M389" s="74"/>
      <c r="Q389" s="70"/>
      <c r="W389" s="74"/>
      <c r="Y389" s="74"/>
      <c r="Z389" s="79"/>
      <c r="AA389" s="74"/>
      <c r="AE389" s="74"/>
    </row>
    <row r="390" spans="1:31" s="64" customFormat="1" x14ac:dyDescent="0.25">
      <c r="A390" s="80"/>
      <c r="B390" s="68"/>
      <c r="C390" s="69"/>
      <c r="D390" s="34"/>
      <c r="E390" s="70"/>
      <c r="F390" s="71"/>
      <c r="G390" s="71"/>
      <c r="H390" s="71"/>
      <c r="I390" s="72"/>
      <c r="L390" s="73"/>
      <c r="M390" s="74"/>
      <c r="Q390" s="70"/>
      <c r="W390" s="74"/>
      <c r="Y390" s="74"/>
      <c r="Z390" s="79"/>
      <c r="AA390" s="74"/>
      <c r="AE390" s="74"/>
    </row>
    <row r="391" spans="1:31" s="64" customFormat="1" x14ac:dyDescent="0.25">
      <c r="A391" s="80"/>
      <c r="B391" s="68"/>
      <c r="C391" s="69"/>
      <c r="D391" s="34"/>
      <c r="E391" s="70"/>
      <c r="F391" s="71"/>
      <c r="G391" s="71"/>
      <c r="H391" s="71"/>
      <c r="I391" s="72"/>
      <c r="L391" s="73"/>
      <c r="M391" s="74"/>
      <c r="Q391" s="70"/>
      <c r="W391" s="74"/>
      <c r="Y391" s="74"/>
      <c r="Z391" s="79"/>
      <c r="AA391" s="74"/>
      <c r="AE391" s="74"/>
    </row>
    <row r="392" spans="1:31" s="64" customFormat="1" x14ac:dyDescent="0.25">
      <c r="A392" s="80"/>
      <c r="B392" s="68"/>
      <c r="C392" s="69"/>
      <c r="D392" s="34"/>
      <c r="E392" s="70"/>
      <c r="F392" s="71"/>
      <c r="G392" s="71"/>
      <c r="H392" s="71"/>
      <c r="I392" s="72"/>
      <c r="L392" s="73"/>
      <c r="M392" s="74"/>
      <c r="Q392" s="70"/>
      <c r="W392" s="74"/>
      <c r="Y392" s="74"/>
      <c r="Z392" s="79"/>
      <c r="AA392" s="74"/>
      <c r="AE392" s="74"/>
    </row>
    <row r="393" spans="1:31" x14ac:dyDescent="0.25">
      <c r="B393" s="32"/>
      <c r="C393" s="33"/>
      <c r="D393" s="34"/>
      <c r="E393" s="35"/>
      <c r="I393" s="36"/>
      <c r="L393" s="37"/>
      <c r="Q393" s="35"/>
    </row>
    <row r="394" spans="1:31" x14ac:dyDescent="0.25">
      <c r="B394" s="32"/>
      <c r="C394" s="33"/>
      <c r="D394" s="34"/>
      <c r="E394" s="35"/>
      <c r="I394" s="36"/>
      <c r="L394" s="37"/>
      <c r="Q394" s="35"/>
    </row>
    <row r="395" spans="1:31" x14ac:dyDescent="0.25">
      <c r="B395" s="32"/>
      <c r="C395" s="33"/>
      <c r="D395" s="34"/>
      <c r="E395" s="35"/>
      <c r="I395" s="36"/>
      <c r="L395" s="37"/>
      <c r="Q395" s="35"/>
    </row>
    <row r="396" spans="1:31" x14ac:dyDescent="0.25">
      <c r="B396" s="32"/>
      <c r="C396" s="33"/>
      <c r="D396" s="34"/>
      <c r="E396" s="35"/>
      <c r="I396" s="36"/>
      <c r="L396" s="37"/>
      <c r="Q396" s="35"/>
    </row>
    <row r="397" spans="1:31" x14ac:dyDescent="0.25">
      <c r="B397" s="32"/>
      <c r="C397" s="33"/>
      <c r="D397" s="34"/>
      <c r="E397" s="35"/>
      <c r="I397" s="36"/>
      <c r="L397" s="37"/>
      <c r="Q397" s="35"/>
    </row>
    <row r="398" spans="1:31" x14ac:dyDescent="0.25">
      <c r="B398" s="32"/>
      <c r="C398" s="33"/>
      <c r="D398" s="34"/>
      <c r="E398" s="35"/>
      <c r="I398" s="36"/>
      <c r="L398" s="37"/>
      <c r="Q398" s="35"/>
    </row>
    <row r="399" spans="1:31" x14ac:dyDescent="0.25">
      <c r="B399" s="32"/>
      <c r="C399" s="33"/>
      <c r="D399" s="34"/>
      <c r="E399" s="35"/>
      <c r="I399" s="36"/>
      <c r="L399" s="37"/>
      <c r="Q399" s="35"/>
    </row>
    <row r="400" spans="1:31" x14ac:dyDescent="0.25">
      <c r="B400" s="32"/>
      <c r="C400" s="33"/>
      <c r="D400" s="34"/>
      <c r="E400" s="35"/>
      <c r="I400" s="36"/>
      <c r="L400" s="37"/>
      <c r="Q400" s="35"/>
    </row>
    <row r="401" spans="2:17" x14ac:dyDescent="0.25">
      <c r="B401" s="32"/>
      <c r="C401" s="33"/>
      <c r="D401" s="34"/>
      <c r="E401" s="35"/>
      <c r="I401" s="36"/>
      <c r="L401" s="37"/>
      <c r="Q401" s="35"/>
    </row>
    <row r="402" spans="2:17" x14ac:dyDescent="0.25">
      <c r="B402" s="32"/>
      <c r="C402" s="33"/>
      <c r="D402" s="34"/>
      <c r="E402" s="35"/>
      <c r="I402" s="36"/>
      <c r="L402" s="37"/>
      <c r="Q402" s="35"/>
    </row>
    <row r="403" spans="2:17" x14ac:dyDescent="0.25">
      <c r="B403" s="32"/>
      <c r="C403" s="33"/>
      <c r="D403" s="34"/>
      <c r="E403" s="35"/>
      <c r="I403" s="36"/>
      <c r="L403" s="37"/>
      <c r="Q403" s="35"/>
    </row>
    <row r="404" spans="2:17" x14ac:dyDescent="0.25">
      <c r="B404" s="32"/>
      <c r="C404" s="33"/>
      <c r="D404" s="34"/>
      <c r="E404" s="35"/>
      <c r="I404" s="36"/>
      <c r="L404" s="37"/>
      <c r="Q404" s="35"/>
    </row>
    <row r="405" spans="2:17" x14ac:dyDescent="0.25">
      <c r="B405" s="32"/>
      <c r="C405" s="33"/>
      <c r="D405" s="34"/>
      <c r="E405" s="35"/>
      <c r="I405" s="36"/>
      <c r="L405" s="37"/>
      <c r="Q405" s="35"/>
    </row>
    <row r="406" spans="2:17" x14ac:dyDescent="0.25">
      <c r="B406" s="32"/>
      <c r="C406" s="33"/>
      <c r="D406" s="34"/>
      <c r="E406" s="35"/>
      <c r="I406" s="36"/>
      <c r="L406" s="37"/>
      <c r="Q406" s="35"/>
    </row>
    <row r="407" spans="2:17" x14ac:dyDescent="0.25">
      <c r="B407" s="32"/>
      <c r="C407" s="33"/>
      <c r="D407" s="34"/>
      <c r="E407" s="35"/>
      <c r="I407" s="36"/>
      <c r="L407" s="37"/>
      <c r="Q407" s="35"/>
    </row>
    <row r="408" spans="2:17" x14ac:dyDescent="0.25">
      <c r="B408" s="32"/>
      <c r="C408" s="33"/>
      <c r="D408" s="34"/>
      <c r="E408" s="35"/>
      <c r="I408" s="36"/>
      <c r="L408" s="37"/>
      <c r="Q408" s="35"/>
    </row>
    <row r="409" spans="2:17" x14ac:dyDescent="0.25">
      <c r="B409" s="32"/>
      <c r="C409" s="33"/>
      <c r="D409" s="34"/>
      <c r="E409" s="35"/>
      <c r="I409" s="36"/>
      <c r="L409" s="37"/>
      <c r="Q409" s="35"/>
    </row>
    <row r="410" spans="2:17" x14ac:dyDescent="0.25">
      <c r="B410" s="32"/>
      <c r="C410" s="33"/>
      <c r="D410" s="34"/>
      <c r="E410" s="35"/>
      <c r="I410" s="36"/>
      <c r="L410" s="37"/>
      <c r="Q410" s="35"/>
    </row>
    <row r="411" spans="2:17" x14ac:dyDescent="0.25">
      <c r="B411" s="32"/>
      <c r="C411" s="33"/>
      <c r="D411" s="34"/>
      <c r="E411" s="35"/>
      <c r="I411" s="36"/>
      <c r="L411" s="37"/>
      <c r="Q411" s="35"/>
    </row>
    <row r="412" spans="2:17" x14ac:dyDescent="0.25">
      <c r="B412" s="32"/>
      <c r="C412" s="33"/>
      <c r="D412" s="34"/>
      <c r="E412" s="35"/>
      <c r="I412" s="36"/>
      <c r="L412" s="37"/>
      <c r="Q412" s="35"/>
    </row>
    <row r="413" spans="2:17" x14ac:dyDescent="0.25">
      <c r="B413" s="32"/>
      <c r="C413" s="33"/>
      <c r="D413" s="34"/>
      <c r="E413" s="35"/>
      <c r="I413" s="36"/>
      <c r="L413" s="37"/>
      <c r="Q413" s="35"/>
    </row>
    <row r="414" spans="2:17" x14ac:dyDescent="0.25">
      <c r="B414" s="32"/>
      <c r="C414" s="33"/>
      <c r="D414" s="34"/>
      <c r="E414" s="35"/>
      <c r="I414" s="36"/>
      <c r="L414" s="37"/>
      <c r="Q414" s="35"/>
    </row>
    <row r="415" spans="2:17" x14ac:dyDescent="0.25">
      <c r="B415" s="32"/>
      <c r="C415" s="33"/>
      <c r="D415" s="34"/>
      <c r="E415" s="35"/>
      <c r="I415" s="36"/>
      <c r="L415" s="37"/>
      <c r="Q415" s="35"/>
    </row>
    <row r="416" spans="2:17" x14ac:dyDescent="0.25">
      <c r="B416" s="32"/>
      <c r="C416" s="33"/>
      <c r="D416" s="34"/>
      <c r="E416" s="35"/>
      <c r="I416" s="36"/>
      <c r="L416" s="37"/>
      <c r="Q416" s="35"/>
    </row>
    <row r="417" spans="2:17" x14ac:dyDescent="0.25">
      <c r="B417" s="32"/>
      <c r="C417" s="33"/>
      <c r="D417" s="34"/>
      <c r="E417" s="35"/>
      <c r="I417" s="36"/>
      <c r="L417" s="37"/>
      <c r="Q417" s="35"/>
    </row>
    <row r="418" spans="2:17" x14ac:dyDescent="0.25">
      <c r="B418" s="32"/>
      <c r="C418" s="33"/>
      <c r="D418" s="34"/>
      <c r="E418" s="35"/>
      <c r="I418" s="36"/>
      <c r="L418" s="37"/>
      <c r="Q418" s="35"/>
    </row>
    <row r="419" spans="2:17" x14ac:dyDescent="0.25">
      <c r="B419" s="32"/>
      <c r="C419" s="33"/>
      <c r="D419" s="34"/>
      <c r="E419" s="35"/>
      <c r="I419" s="36"/>
      <c r="L419" s="37"/>
      <c r="Q419" s="35"/>
    </row>
    <row r="420" spans="2:17" x14ac:dyDescent="0.25">
      <c r="B420" s="32"/>
      <c r="C420" s="33"/>
      <c r="D420" s="34"/>
      <c r="E420" s="35"/>
      <c r="I420" s="36"/>
      <c r="L420" s="37"/>
      <c r="Q420" s="35"/>
    </row>
    <row r="421" spans="2:17" x14ac:dyDescent="0.25">
      <c r="B421" s="32"/>
      <c r="C421" s="33"/>
      <c r="D421" s="34"/>
      <c r="E421" s="35"/>
      <c r="I421" s="36"/>
      <c r="L421" s="37"/>
      <c r="Q421" s="35"/>
    </row>
    <row r="422" spans="2:17" x14ac:dyDescent="0.25">
      <c r="B422" s="32"/>
      <c r="C422" s="33"/>
      <c r="D422" s="34"/>
      <c r="E422" s="35"/>
      <c r="I422" s="36"/>
      <c r="L422" s="37"/>
      <c r="Q422" s="35"/>
    </row>
    <row r="423" spans="2:17" x14ac:dyDescent="0.25">
      <c r="B423" s="32"/>
      <c r="C423" s="33"/>
      <c r="D423" s="34"/>
      <c r="E423" s="35"/>
      <c r="I423" s="36"/>
      <c r="L423" s="37"/>
      <c r="Q423" s="35"/>
    </row>
    <row r="424" spans="2:17" x14ac:dyDescent="0.25">
      <c r="B424" s="32"/>
      <c r="C424" s="33"/>
      <c r="D424" s="34"/>
      <c r="E424" s="35"/>
      <c r="I424" s="36"/>
      <c r="L424" s="37"/>
      <c r="Q424" s="35"/>
    </row>
    <row r="425" spans="2:17" x14ac:dyDescent="0.25">
      <c r="B425" s="32"/>
      <c r="C425" s="33"/>
      <c r="D425" s="34"/>
      <c r="E425" s="35"/>
      <c r="I425" s="36"/>
      <c r="L425" s="37"/>
      <c r="Q425" s="35"/>
    </row>
    <row r="426" spans="2:17" x14ac:dyDescent="0.25">
      <c r="B426" s="32"/>
      <c r="C426" s="33"/>
      <c r="D426" s="34"/>
      <c r="E426" s="35"/>
      <c r="I426" s="36"/>
      <c r="L426" s="37"/>
      <c r="Q426" s="35"/>
    </row>
    <row r="427" spans="2:17" x14ac:dyDescent="0.25">
      <c r="B427" s="32"/>
      <c r="C427" s="33"/>
      <c r="D427" s="34"/>
      <c r="E427" s="35"/>
      <c r="I427" s="36"/>
      <c r="L427" s="37"/>
      <c r="Q427" s="35"/>
    </row>
    <row r="428" spans="2:17" x14ac:dyDescent="0.25">
      <c r="B428" s="32"/>
      <c r="C428" s="33"/>
      <c r="D428" s="34"/>
      <c r="E428" s="35"/>
      <c r="I428" s="36"/>
      <c r="L428" s="37"/>
      <c r="Q428" s="35"/>
    </row>
    <row r="429" spans="2:17" x14ac:dyDescent="0.25">
      <c r="B429" s="32"/>
      <c r="C429" s="33"/>
      <c r="D429" s="34"/>
      <c r="E429" s="35"/>
      <c r="I429" s="36"/>
      <c r="L429" s="37"/>
      <c r="Q429" s="35"/>
    </row>
    <row r="430" spans="2:17" x14ac:dyDescent="0.25">
      <c r="B430" s="32"/>
      <c r="C430" s="33"/>
      <c r="D430" s="34"/>
      <c r="E430" s="35"/>
      <c r="I430" s="36"/>
      <c r="L430" s="37"/>
      <c r="Q430" s="35"/>
    </row>
    <row r="431" spans="2:17" x14ac:dyDescent="0.25">
      <c r="B431" s="32"/>
      <c r="C431" s="33"/>
      <c r="D431" s="34"/>
      <c r="E431" s="35"/>
      <c r="I431" s="36"/>
      <c r="L431" s="37"/>
      <c r="Q431" s="35"/>
    </row>
    <row r="432" spans="2:17" x14ac:dyDescent="0.25">
      <c r="B432" s="32"/>
      <c r="C432" s="33"/>
      <c r="D432" s="34"/>
      <c r="E432" s="35"/>
      <c r="I432" s="36"/>
      <c r="L432" s="37"/>
      <c r="Q432" s="35"/>
    </row>
    <row r="433" spans="2:17" x14ac:dyDescent="0.25">
      <c r="B433" s="32"/>
      <c r="C433" s="33"/>
      <c r="D433" s="34"/>
      <c r="E433" s="35"/>
      <c r="I433" s="36"/>
      <c r="L433" s="37"/>
      <c r="Q433" s="35"/>
    </row>
    <row r="434" spans="2:17" x14ac:dyDescent="0.25">
      <c r="B434" s="32"/>
      <c r="C434" s="33"/>
      <c r="D434" s="34"/>
      <c r="E434" s="35"/>
      <c r="I434" s="36"/>
      <c r="L434" s="37"/>
      <c r="Q434" s="35"/>
    </row>
    <row r="435" spans="2:17" x14ac:dyDescent="0.25">
      <c r="B435" s="32"/>
      <c r="C435" s="33"/>
      <c r="D435" s="34"/>
      <c r="E435" s="35"/>
      <c r="I435" s="36"/>
      <c r="L435" s="37"/>
      <c r="Q435" s="35"/>
    </row>
    <row r="436" spans="2:17" x14ac:dyDescent="0.25">
      <c r="B436" s="32"/>
      <c r="C436" s="33"/>
      <c r="D436" s="34"/>
      <c r="E436" s="35"/>
      <c r="I436" s="36"/>
      <c r="L436" s="37"/>
      <c r="Q436" s="35"/>
    </row>
    <row r="437" spans="2:17" x14ac:dyDescent="0.25">
      <c r="B437" s="32"/>
      <c r="C437" s="33"/>
      <c r="D437" s="34"/>
      <c r="E437" s="35"/>
      <c r="I437" s="36"/>
      <c r="L437" s="37"/>
      <c r="Q437" s="35"/>
    </row>
    <row r="438" spans="2:17" x14ac:dyDescent="0.25">
      <c r="B438" s="32"/>
      <c r="C438" s="33"/>
      <c r="D438" s="34"/>
      <c r="E438" s="35"/>
      <c r="I438" s="36"/>
      <c r="L438" s="37"/>
      <c r="Q438" s="35"/>
    </row>
    <row r="439" spans="2:17" x14ac:dyDescent="0.25">
      <c r="B439" s="32"/>
      <c r="C439" s="33"/>
      <c r="D439" s="34"/>
      <c r="E439" s="35"/>
      <c r="I439" s="36"/>
      <c r="L439" s="37"/>
      <c r="Q439" s="35"/>
    </row>
    <row r="440" spans="2:17" x14ac:dyDescent="0.25">
      <c r="B440" s="32"/>
      <c r="C440" s="33"/>
      <c r="D440" s="34"/>
      <c r="E440" s="35"/>
      <c r="I440" s="36"/>
      <c r="L440" s="37"/>
      <c r="Q440" s="35"/>
    </row>
    <row r="441" spans="2:17" x14ac:dyDescent="0.25">
      <c r="B441" s="32"/>
      <c r="C441" s="33"/>
      <c r="D441" s="34"/>
      <c r="E441" s="35"/>
      <c r="I441" s="36"/>
      <c r="L441" s="37"/>
      <c r="Q441" s="35"/>
    </row>
    <row r="442" spans="2:17" x14ac:dyDescent="0.25">
      <c r="B442" s="32"/>
      <c r="C442" s="33"/>
      <c r="D442" s="34"/>
      <c r="E442" s="35"/>
      <c r="I442" s="36"/>
      <c r="L442" s="37"/>
      <c r="Q442" s="35"/>
    </row>
    <row r="443" spans="2:17" x14ac:dyDescent="0.25">
      <c r="B443" s="32"/>
      <c r="C443" s="33"/>
      <c r="D443" s="34"/>
      <c r="E443" s="35"/>
      <c r="I443" s="36"/>
      <c r="L443" s="37"/>
      <c r="Q443" s="35"/>
    </row>
    <row r="444" spans="2:17" x14ac:dyDescent="0.25">
      <c r="B444" s="32"/>
      <c r="C444" s="33"/>
      <c r="D444" s="34"/>
      <c r="E444" s="35"/>
      <c r="I444" s="36"/>
      <c r="L444" s="37"/>
      <c r="Q444" s="35"/>
    </row>
    <row r="445" spans="2:17" x14ac:dyDescent="0.25">
      <c r="B445" s="32"/>
      <c r="C445" s="33"/>
      <c r="D445" s="34"/>
      <c r="E445" s="35"/>
      <c r="I445" s="36"/>
      <c r="L445" s="37"/>
      <c r="Q445" s="35"/>
    </row>
    <row r="446" spans="2:17" x14ac:dyDescent="0.25">
      <c r="B446" s="32"/>
      <c r="C446" s="33"/>
      <c r="D446" s="34"/>
      <c r="E446" s="35"/>
      <c r="I446" s="36"/>
      <c r="L446" s="37"/>
      <c r="Q446" s="35"/>
    </row>
    <row r="447" spans="2:17" x14ac:dyDescent="0.25">
      <c r="B447" s="32"/>
      <c r="C447" s="33"/>
      <c r="D447" s="34"/>
      <c r="E447" s="35"/>
      <c r="I447" s="36"/>
      <c r="L447" s="37"/>
      <c r="Q447" s="35"/>
    </row>
    <row r="448" spans="2:17" x14ac:dyDescent="0.25">
      <c r="B448" s="32"/>
      <c r="C448" s="33"/>
      <c r="D448" s="34"/>
      <c r="E448" s="35"/>
      <c r="I448" s="36"/>
      <c r="L448" s="37"/>
      <c r="Q448" s="35"/>
    </row>
    <row r="449" spans="2:17" x14ac:dyDescent="0.25">
      <c r="B449" s="32"/>
      <c r="C449" s="33"/>
      <c r="D449" s="34"/>
      <c r="E449" s="35"/>
      <c r="I449" s="36"/>
      <c r="L449" s="37"/>
      <c r="Q449" s="35"/>
    </row>
    <row r="450" spans="2:17" x14ac:dyDescent="0.25">
      <c r="B450" s="32"/>
      <c r="C450" s="33"/>
      <c r="D450" s="34"/>
      <c r="E450" s="35"/>
      <c r="I450" s="36"/>
      <c r="L450" s="37"/>
      <c r="Q450" s="35"/>
    </row>
    <row r="451" spans="2:17" x14ac:dyDescent="0.25">
      <c r="B451" s="32"/>
      <c r="C451" s="33"/>
      <c r="D451" s="34"/>
      <c r="E451" s="35"/>
      <c r="I451" s="36"/>
      <c r="L451" s="37"/>
      <c r="Q451" s="35"/>
    </row>
    <row r="452" spans="2:17" x14ac:dyDescent="0.25">
      <c r="B452" s="32"/>
      <c r="C452" s="33"/>
      <c r="D452" s="34"/>
      <c r="E452" s="35"/>
      <c r="I452" s="36"/>
      <c r="L452" s="37"/>
      <c r="Q452" s="35"/>
    </row>
    <row r="453" spans="2:17" x14ac:dyDescent="0.25">
      <c r="B453" s="32"/>
      <c r="C453" s="33"/>
      <c r="D453" s="34"/>
      <c r="E453" s="35"/>
      <c r="I453" s="36"/>
      <c r="L453" s="37"/>
      <c r="Q453" s="35"/>
    </row>
    <row r="454" spans="2:17" x14ac:dyDescent="0.25">
      <c r="B454" s="32"/>
      <c r="C454" s="33"/>
      <c r="D454" s="34"/>
      <c r="E454" s="35"/>
      <c r="I454" s="36"/>
      <c r="L454" s="37"/>
      <c r="Q454" s="35"/>
    </row>
    <row r="455" spans="2:17" x14ac:dyDescent="0.25">
      <c r="B455" s="32"/>
      <c r="C455" s="33"/>
      <c r="D455" s="34"/>
      <c r="E455" s="35"/>
      <c r="I455" s="36"/>
      <c r="L455" s="37"/>
      <c r="Q455" s="35"/>
    </row>
    <row r="456" spans="2:17" x14ac:dyDescent="0.25">
      <c r="B456" s="32"/>
      <c r="C456" s="33"/>
      <c r="D456" s="34"/>
      <c r="E456" s="35"/>
      <c r="I456" s="36"/>
      <c r="L456" s="37"/>
      <c r="Q456" s="35"/>
    </row>
    <row r="457" spans="2:17" x14ac:dyDescent="0.25">
      <c r="B457" s="32"/>
      <c r="C457" s="33"/>
      <c r="D457" s="34"/>
      <c r="E457" s="35"/>
      <c r="I457" s="36"/>
      <c r="L457" s="37"/>
      <c r="Q457" s="35"/>
    </row>
    <row r="458" spans="2:17" x14ac:dyDescent="0.25">
      <c r="B458" s="32"/>
      <c r="C458" s="33"/>
      <c r="D458" s="34"/>
      <c r="E458" s="35"/>
      <c r="I458" s="36"/>
      <c r="L458" s="37"/>
      <c r="Q458" s="35"/>
    </row>
    <row r="459" spans="2:17" x14ac:dyDescent="0.25">
      <c r="B459" s="32"/>
      <c r="C459" s="33"/>
      <c r="D459" s="34"/>
      <c r="E459" s="35"/>
      <c r="I459" s="36"/>
      <c r="L459" s="37"/>
      <c r="Q459" s="35"/>
    </row>
    <row r="460" spans="2:17" x14ac:dyDescent="0.25">
      <c r="B460" s="32"/>
      <c r="C460" s="33"/>
      <c r="D460" s="34"/>
      <c r="E460" s="35"/>
      <c r="I460" s="36"/>
      <c r="L460" s="37"/>
      <c r="Q460" s="35"/>
    </row>
    <row r="461" spans="2:17" x14ac:dyDescent="0.25">
      <c r="B461" s="32"/>
      <c r="C461" s="33"/>
      <c r="D461" s="34"/>
      <c r="E461" s="35"/>
      <c r="I461" s="36"/>
      <c r="L461" s="37"/>
      <c r="Q461" s="35"/>
    </row>
    <row r="462" spans="2:17" x14ac:dyDescent="0.25">
      <c r="B462" s="32"/>
      <c r="C462" s="33"/>
      <c r="D462" s="34"/>
      <c r="E462" s="35"/>
      <c r="I462" s="36"/>
      <c r="L462" s="37"/>
      <c r="Q462" s="35"/>
    </row>
    <row r="463" spans="2:17" x14ac:dyDescent="0.25">
      <c r="B463" s="32"/>
      <c r="C463" s="33"/>
      <c r="D463" s="34"/>
      <c r="E463" s="35"/>
      <c r="I463" s="36"/>
      <c r="L463" s="37"/>
      <c r="Q463" s="35"/>
    </row>
    <row r="464" spans="2:17" x14ac:dyDescent="0.25">
      <c r="B464" s="32"/>
      <c r="C464" s="33"/>
      <c r="D464" s="34"/>
      <c r="E464" s="35"/>
      <c r="I464" s="36"/>
      <c r="L464" s="37"/>
      <c r="Q464" s="35"/>
    </row>
    <row r="465" spans="2:17" x14ac:dyDescent="0.25">
      <c r="B465" s="32"/>
      <c r="C465" s="33"/>
      <c r="D465" s="34"/>
      <c r="E465" s="35"/>
      <c r="I465" s="36"/>
      <c r="L465" s="37"/>
      <c r="Q465" s="35"/>
    </row>
    <row r="466" spans="2:17" x14ac:dyDescent="0.25">
      <c r="B466" s="32"/>
      <c r="C466" s="33"/>
      <c r="D466" s="34"/>
      <c r="E466" s="35"/>
      <c r="I466" s="36"/>
      <c r="L466" s="37"/>
      <c r="Q466" s="35"/>
    </row>
    <row r="467" spans="2:17" x14ac:dyDescent="0.25">
      <c r="B467" s="32"/>
      <c r="C467" s="33"/>
      <c r="D467" s="34"/>
      <c r="E467" s="35"/>
      <c r="I467" s="36"/>
      <c r="L467" s="37"/>
      <c r="Q467" s="35"/>
    </row>
    <row r="468" spans="2:17" x14ac:dyDescent="0.25">
      <c r="B468" s="32"/>
      <c r="C468" s="33"/>
      <c r="D468" s="34"/>
      <c r="E468" s="35"/>
      <c r="I468" s="36"/>
      <c r="L468" s="37"/>
      <c r="Q468" s="35"/>
    </row>
    <row r="469" spans="2:17" x14ac:dyDescent="0.25">
      <c r="B469" s="32"/>
      <c r="C469" s="33"/>
      <c r="D469" s="34"/>
      <c r="E469" s="35"/>
      <c r="I469" s="36"/>
      <c r="L469" s="37"/>
      <c r="Q469" s="35"/>
    </row>
    <row r="470" spans="2:17" x14ac:dyDescent="0.25">
      <c r="B470" s="32"/>
      <c r="C470" s="33"/>
      <c r="D470" s="34"/>
      <c r="E470" s="35"/>
      <c r="I470" s="36"/>
      <c r="L470" s="37"/>
      <c r="Q470" s="35"/>
    </row>
    <row r="471" spans="2:17" x14ac:dyDescent="0.25">
      <c r="B471" s="32"/>
      <c r="C471" s="33"/>
      <c r="D471" s="34"/>
      <c r="E471" s="35"/>
      <c r="I471" s="36"/>
      <c r="L471" s="37"/>
      <c r="Q471" s="35"/>
    </row>
    <row r="472" spans="2:17" x14ac:dyDescent="0.25">
      <c r="B472" s="32"/>
      <c r="C472" s="33"/>
      <c r="D472" s="34"/>
      <c r="E472" s="35"/>
      <c r="I472" s="36"/>
      <c r="L472" s="37"/>
      <c r="Q472" s="35"/>
    </row>
    <row r="473" spans="2:17" x14ac:dyDescent="0.25">
      <c r="B473" s="32"/>
      <c r="C473" s="33"/>
      <c r="D473" s="34"/>
      <c r="E473" s="35"/>
      <c r="I473" s="36"/>
      <c r="L473" s="37"/>
      <c r="Q473" s="35"/>
    </row>
    <row r="474" spans="2:17" x14ac:dyDescent="0.25">
      <c r="B474" s="32"/>
      <c r="C474" s="33"/>
      <c r="D474" s="34"/>
      <c r="E474" s="35"/>
      <c r="I474" s="36"/>
      <c r="L474" s="37"/>
      <c r="Q474" s="35"/>
    </row>
    <row r="475" spans="2:17" x14ac:dyDescent="0.25">
      <c r="B475" s="32"/>
      <c r="C475" s="33"/>
      <c r="D475" s="34"/>
      <c r="E475" s="35"/>
      <c r="I475" s="36"/>
      <c r="L475" s="37"/>
      <c r="Q475" s="35"/>
    </row>
    <row r="476" spans="2:17" x14ac:dyDescent="0.25">
      <c r="B476" s="32"/>
      <c r="C476" s="33"/>
      <c r="D476" s="34"/>
      <c r="E476" s="35"/>
      <c r="I476" s="36"/>
      <c r="L476" s="37"/>
      <c r="Q476" s="35"/>
    </row>
    <row r="477" spans="2:17" x14ac:dyDescent="0.25">
      <c r="B477" s="32"/>
      <c r="C477" s="33"/>
      <c r="D477" s="34"/>
      <c r="E477" s="35"/>
      <c r="I477" s="36"/>
      <c r="L477" s="37"/>
      <c r="Q477" s="35"/>
    </row>
    <row r="478" spans="2:17" x14ac:dyDescent="0.25">
      <c r="B478" s="32"/>
      <c r="C478" s="33"/>
      <c r="D478" s="34"/>
      <c r="E478" s="35"/>
      <c r="I478" s="36"/>
      <c r="L478" s="37"/>
      <c r="Q478" s="35"/>
    </row>
    <row r="479" spans="2:17" x14ac:dyDescent="0.25">
      <c r="B479" s="32"/>
      <c r="C479" s="33"/>
      <c r="D479" s="34"/>
      <c r="E479" s="35"/>
      <c r="I479" s="36"/>
      <c r="L479" s="37"/>
      <c r="Q479" s="35"/>
    </row>
    <row r="480" spans="2:17" x14ac:dyDescent="0.25">
      <c r="B480" s="32"/>
      <c r="C480" s="33"/>
      <c r="D480" s="34"/>
      <c r="E480" s="35"/>
      <c r="I480" s="36"/>
      <c r="L480" s="37"/>
      <c r="Q480" s="35"/>
    </row>
    <row r="481" spans="2:17" x14ac:dyDescent="0.25">
      <c r="B481" s="32"/>
      <c r="C481" s="33"/>
      <c r="D481" s="34"/>
      <c r="E481" s="35"/>
      <c r="I481" s="36"/>
      <c r="L481" s="37"/>
      <c r="Q481" s="35"/>
    </row>
    <row r="482" spans="2:17" x14ac:dyDescent="0.25">
      <c r="B482" s="32"/>
      <c r="C482" s="33"/>
      <c r="D482" s="34"/>
      <c r="E482" s="35"/>
      <c r="I482" s="36"/>
      <c r="L482" s="37"/>
      <c r="Q482" s="35"/>
    </row>
    <row r="483" spans="2:17" x14ac:dyDescent="0.25">
      <c r="B483" s="32"/>
      <c r="C483" s="33"/>
      <c r="D483" s="34"/>
      <c r="E483" s="35"/>
      <c r="I483" s="36"/>
      <c r="L483" s="37"/>
      <c r="Q483" s="35"/>
    </row>
    <row r="484" spans="2:17" x14ac:dyDescent="0.25">
      <c r="B484" s="32"/>
      <c r="C484" s="33"/>
      <c r="D484" s="34"/>
      <c r="E484" s="35"/>
      <c r="I484" s="36"/>
      <c r="L484" s="37"/>
      <c r="Q484" s="35"/>
    </row>
    <row r="485" spans="2:17" x14ac:dyDescent="0.25">
      <c r="B485" s="32"/>
      <c r="C485" s="33"/>
      <c r="D485" s="34"/>
      <c r="E485" s="35"/>
      <c r="I485" s="36"/>
      <c r="L485" s="37"/>
      <c r="Q485" s="35"/>
    </row>
    <row r="486" spans="2:17" x14ac:dyDescent="0.25">
      <c r="B486" s="32"/>
      <c r="C486" s="33"/>
      <c r="D486" s="34"/>
      <c r="E486" s="35"/>
      <c r="I486" s="36"/>
      <c r="L486" s="37"/>
      <c r="Q486" s="35"/>
    </row>
    <row r="487" spans="2:17" x14ac:dyDescent="0.25">
      <c r="B487" s="32"/>
      <c r="C487" s="33"/>
      <c r="D487" s="34"/>
      <c r="E487" s="35"/>
      <c r="I487" s="36"/>
      <c r="L487" s="37"/>
      <c r="Q487" s="35"/>
    </row>
    <row r="488" spans="2:17" x14ac:dyDescent="0.25">
      <c r="B488" s="32"/>
      <c r="C488" s="33"/>
      <c r="D488" s="34"/>
      <c r="E488" s="35"/>
      <c r="I488" s="36"/>
      <c r="L488" s="37"/>
      <c r="Q488" s="35"/>
    </row>
    <row r="489" spans="2:17" x14ac:dyDescent="0.25">
      <c r="B489" s="32"/>
      <c r="C489" s="33"/>
      <c r="D489" s="34"/>
      <c r="E489" s="35"/>
      <c r="I489" s="36"/>
      <c r="L489" s="37"/>
      <c r="Q489" s="35"/>
    </row>
    <row r="490" spans="2:17" x14ac:dyDescent="0.25">
      <c r="B490" s="32"/>
      <c r="C490" s="33"/>
      <c r="D490" s="34"/>
      <c r="E490" s="35"/>
      <c r="I490" s="36"/>
      <c r="L490" s="37"/>
      <c r="Q490" s="35"/>
    </row>
    <row r="491" spans="2:17" x14ac:dyDescent="0.25">
      <c r="B491" s="32"/>
      <c r="C491" s="33"/>
      <c r="D491" s="34"/>
      <c r="E491" s="35"/>
      <c r="I491" s="36"/>
      <c r="L491" s="37"/>
      <c r="Q491" s="35"/>
    </row>
    <row r="492" spans="2:17" x14ac:dyDescent="0.25">
      <c r="B492" s="32"/>
      <c r="C492" s="33"/>
      <c r="D492" s="34"/>
      <c r="E492" s="35"/>
      <c r="I492" s="36"/>
      <c r="L492" s="37"/>
      <c r="Q492" s="35"/>
    </row>
    <row r="493" spans="2:17" x14ac:dyDescent="0.25">
      <c r="B493" s="32"/>
      <c r="C493" s="33"/>
      <c r="D493" s="34"/>
      <c r="E493" s="35"/>
      <c r="I493" s="36"/>
      <c r="L493" s="37"/>
      <c r="Q493" s="35"/>
    </row>
    <row r="494" spans="2:17" x14ac:dyDescent="0.25">
      <c r="B494" s="32"/>
      <c r="C494" s="33"/>
      <c r="D494" s="34"/>
      <c r="E494" s="35"/>
      <c r="I494" s="36"/>
      <c r="L494" s="37"/>
      <c r="Q494" s="35"/>
    </row>
    <row r="495" spans="2:17" x14ac:dyDescent="0.25">
      <c r="B495" s="32"/>
      <c r="C495" s="33"/>
      <c r="D495" s="34"/>
      <c r="E495" s="35"/>
      <c r="I495" s="36"/>
      <c r="L495" s="37"/>
      <c r="Q495" s="35"/>
    </row>
    <row r="496" spans="2:17" x14ac:dyDescent="0.25">
      <c r="B496" s="32"/>
      <c r="C496" s="33"/>
      <c r="D496" s="34"/>
      <c r="E496" s="35"/>
      <c r="I496" s="36"/>
      <c r="L496" s="37"/>
      <c r="Q496" s="35"/>
    </row>
    <row r="497" spans="2:17" x14ac:dyDescent="0.25">
      <c r="B497" s="32"/>
      <c r="C497" s="33"/>
      <c r="D497" s="34"/>
      <c r="E497" s="35"/>
      <c r="I497" s="36"/>
      <c r="L497" s="37"/>
      <c r="Q497" s="35"/>
    </row>
    <row r="498" spans="2:17" x14ac:dyDescent="0.25">
      <c r="B498" s="32"/>
      <c r="C498" s="33"/>
      <c r="D498" s="34"/>
      <c r="E498" s="35"/>
      <c r="I498" s="36"/>
      <c r="L498" s="37"/>
      <c r="Q498" s="35"/>
    </row>
    <row r="499" spans="2:17" x14ac:dyDescent="0.25">
      <c r="B499" s="32"/>
      <c r="C499" s="33"/>
      <c r="D499" s="34"/>
      <c r="E499" s="35"/>
      <c r="I499" s="36"/>
      <c r="L499" s="37"/>
      <c r="Q499" s="35"/>
    </row>
    <row r="500" spans="2:17" x14ac:dyDescent="0.25">
      <c r="B500" s="32"/>
      <c r="C500" s="33"/>
      <c r="D500" s="34"/>
      <c r="E500" s="35"/>
      <c r="I500" s="36"/>
      <c r="L500" s="37"/>
      <c r="Q500" s="35"/>
    </row>
    <row r="501" spans="2:17" x14ac:dyDescent="0.25">
      <c r="B501" s="32"/>
      <c r="C501" s="33"/>
      <c r="D501" s="34"/>
      <c r="E501" s="35"/>
      <c r="I501" s="36"/>
      <c r="L501" s="37"/>
      <c r="Q501" s="35"/>
    </row>
    <row r="502" spans="2:17" x14ac:dyDescent="0.25">
      <c r="B502" s="32"/>
      <c r="C502" s="33"/>
      <c r="D502" s="34"/>
      <c r="E502" s="35"/>
      <c r="I502" s="36"/>
      <c r="L502" s="37"/>
      <c r="Q502" s="35"/>
    </row>
    <row r="503" spans="2:17" x14ac:dyDescent="0.25">
      <c r="B503" s="32"/>
      <c r="C503" s="33"/>
      <c r="D503" s="34"/>
      <c r="E503" s="35"/>
      <c r="I503" s="36"/>
      <c r="L503" s="37"/>
      <c r="Q503" s="35"/>
    </row>
    <row r="504" spans="2:17" x14ac:dyDescent="0.25">
      <c r="B504" s="32"/>
      <c r="C504" s="33"/>
      <c r="D504" s="34"/>
      <c r="E504" s="35"/>
      <c r="I504" s="36"/>
      <c r="L504" s="37"/>
      <c r="Q504" s="35"/>
    </row>
    <row r="505" spans="2:17" x14ac:dyDescent="0.25">
      <c r="B505" s="32"/>
      <c r="C505" s="33"/>
      <c r="D505" s="34"/>
      <c r="E505" s="35"/>
      <c r="I505" s="36"/>
      <c r="L505" s="37"/>
      <c r="Q505" s="35"/>
    </row>
    <row r="506" spans="2:17" x14ac:dyDescent="0.25">
      <c r="B506" s="32"/>
      <c r="C506" s="33"/>
      <c r="D506" s="34"/>
      <c r="E506" s="35"/>
      <c r="I506" s="36"/>
      <c r="L506" s="37"/>
      <c r="Q506" s="35"/>
    </row>
    <row r="507" spans="2:17" x14ac:dyDescent="0.25">
      <c r="B507" s="32"/>
      <c r="C507" s="33"/>
      <c r="D507" s="34"/>
      <c r="E507" s="35"/>
      <c r="I507" s="36"/>
      <c r="L507" s="37"/>
      <c r="Q507" s="35"/>
    </row>
    <row r="508" spans="2:17" x14ac:dyDescent="0.25">
      <c r="B508" s="32"/>
      <c r="C508" s="33"/>
      <c r="D508" s="34"/>
      <c r="E508" s="35"/>
      <c r="I508" s="36"/>
      <c r="L508" s="37"/>
      <c r="Q508" s="35"/>
    </row>
    <row r="509" spans="2:17" x14ac:dyDescent="0.25">
      <c r="B509" s="32"/>
      <c r="C509" s="33"/>
      <c r="D509" s="34"/>
      <c r="E509" s="35"/>
      <c r="L509" s="37"/>
      <c r="Q509" s="35"/>
    </row>
    <row r="510" spans="2:17" x14ac:dyDescent="0.25">
      <c r="B510" s="32"/>
      <c r="C510" s="33"/>
      <c r="D510" s="34"/>
      <c r="E510" s="35"/>
      <c r="L510" s="37"/>
      <c r="Q510" s="35"/>
    </row>
    <row r="511" spans="2:17" x14ac:dyDescent="0.25">
      <c r="B511" s="32"/>
      <c r="C511" s="33"/>
      <c r="D511" s="34"/>
      <c r="E511" s="35"/>
      <c r="L511" s="37"/>
      <c r="Q511" s="35"/>
    </row>
    <row r="512" spans="2:17" x14ac:dyDescent="0.25">
      <c r="B512" s="32"/>
      <c r="C512" s="33"/>
      <c r="D512" s="34"/>
      <c r="E512" s="35"/>
      <c r="L512" s="37"/>
      <c r="Q512" s="35"/>
    </row>
    <row r="513" spans="2:17" x14ac:dyDescent="0.25">
      <c r="B513" s="32"/>
      <c r="C513" s="33"/>
      <c r="D513" s="34"/>
      <c r="E513" s="35"/>
      <c r="L513" s="37"/>
      <c r="Q513" s="35"/>
    </row>
    <row r="514" spans="2:17" x14ac:dyDescent="0.25">
      <c r="B514" s="32"/>
      <c r="C514" s="33"/>
      <c r="D514" s="34"/>
      <c r="E514" s="35"/>
      <c r="L514" s="37"/>
      <c r="Q514" s="35"/>
    </row>
    <row r="515" spans="2:17" x14ac:dyDescent="0.25">
      <c r="B515" s="32"/>
      <c r="C515" s="33"/>
      <c r="D515" s="34"/>
      <c r="E515" s="35"/>
      <c r="L515" s="37"/>
      <c r="Q515" s="35"/>
    </row>
    <row r="516" spans="2:17" x14ac:dyDescent="0.25">
      <c r="B516" s="32"/>
      <c r="C516" s="33"/>
      <c r="D516" s="34"/>
      <c r="E516" s="35"/>
      <c r="L516" s="37"/>
      <c r="Q516" s="35"/>
    </row>
    <row r="517" spans="2:17" x14ac:dyDescent="0.25">
      <c r="B517" s="32"/>
      <c r="C517" s="33"/>
      <c r="D517" s="34"/>
      <c r="E517" s="35"/>
      <c r="L517" s="37"/>
      <c r="Q517" s="35"/>
    </row>
    <row r="518" spans="2:17" x14ac:dyDescent="0.25">
      <c r="B518" s="32"/>
      <c r="C518" s="33"/>
      <c r="D518" s="34"/>
      <c r="E518" s="35"/>
      <c r="L518" s="37"/>
      <c r="Q518" s="35"/>
    </row>
    <row r="519" spans="2:17" x14ac:dyDescent="0.25">
      <c r="B519" s="32"/>
      <c r="C519" s="33"/>
      <c r="D519" s="34"/>
      <c r="E519" s="35"/>
      <c r="L519" s="37"/>
      <c r="Q519" s="35"/>
    </row>
    <row r="520" spans="2:17" x14ac:dyDescent="0.25">
      <c r="B520" s="32"/>
      <c r="C520" s="33"/>
      <c r="D520" s="34"/>
      <c r="E520" s="35"/>
      <c r="L520" s="37"/>
      <c r="Q520" s="35"/>
    </row>
    <row r="521" spans="2:17" x14ac:dyDescent="0.25">
      <c r="B521" s="32"/>
      <c r="C521" s="33"/>
      <c r="D521" s="34"/>
      <c r="E521" s="35"/>
      <c r="L521" s="37"/>
      <c r="Q521" s="35"/>
    </row>
    <row r="522" spans="2:17" x14ac:dyDescent="0.25">
      <c r="B522" s="32"/>
      <c r="C522" s="33"/>
      <c r="D522" s="34"/>
      <c r="E522" s="35"/>
      <c r="L522" s="37"/>
      <c r="Q522" s="35"/>
    </row>
    <row r="523" spans="2:17" x14ac:dyDescent="0.25">
      <c r="B523" s="32"/>
      <c r="C523" s="33"/>
      <c r="D523" s="34"/>
      <c r="E523" s="35"/>
      <c r="L523" s="37"/>
      <c r="Q523" s="35"/>
    </row>
    <row r="524" spans="2:17" x14ac:dyDescent="0.25">
      <c r="B524" s="32"/>
      <c r="C524" s="33"/>
      <c r="D524" s="34"/>
      <c r="E524" s="35"/>
      <c r="L524" s="37"/>
      <c r="Q524" s="35"/>
    </row>
    <row r="525" spans="2:17" x14ac:dyDescent="0.25">
      <c r="B525" s="32"/>
      <c r="C525" s="33"/>
      <c r="D525" s="34"/>
      <c r="E525" s="35"/>
      <c r="L525" s="37"/>
      <c r="Q525" s="35"/>
    </row>
    <row r="526" spans="2:17" x14ac:dyDescent="0.25">
      <c r="B526" s="32"/>
      <c r="C526" s="33"/>
      <c r="D526" s="34"/>
      <c r="E526" s="35"/>
      <c r="L526" s="37"/>
      <c r="Q526" s="35"/>
    </row>
    <row r="527" spans="2:17" x14ac:dyDescent="0.25">
      <c r="B527" s="32"/>
      <c r="C527" s="33"/>
      <c r="D527" s="34"/>
      <c r="E527" s="35"/>
      <c r="L527" s="37"/>
      <c r="Q527" s="35"/>
    </row>
    <row r="528" spans="2:17" x14ac:dyDescent="0.25">
      <c r="B528" s="32"/>
      <c r="C528" s="33"/>
      <c r="D528" s="34"/>
      <c r="E528" s="35"/>
      <c r="L528" s="37"/>
      <c r="Q528" s="35"/>
    </row>
    <row r="529" spans="2:17" x14ac:dyDescent="0.25">
      <c r="B529" s="32"/>
      <c r="C529" s="33"/>
      <c r="D529" s="34"/>
      <c r="E529" s="35"/>
      <c r="L529" s="37"/>
      <c r="Q529" s="35"/>
    </row>
    <row r="530" spans="2:17" x14ac:dyDescent="0.25">
      <c r="B530" s="32"/>
      <c r="C530" s="33"/>
      <c r="D530" s="34"/>
      <c r="E530" s="35"/>
      <c r="L530" s="37"/>
      <c r="Q530" s="35"/>
    </row>
    <row r="531" spans="2:17" x14ac:dyDescent="0.25">
      <c r="B531" s="32"/>
      <c r="C531" s="33"/>
      <c r="D531" s="34"/>
      <c r="E531" s="35"/>
      <c r="L531" s="37"/>
      <c r="Q531" s="35"/>
    </row>
    <row r="532" spans="2:17" x14ac:dyDescent="0.25">
      <c r="B532" s="32"/>
      <c r="C532" s="33"/>
      <c r="D532" s="34"/>
      <c r="E532" s="35"/>
      <c r="L532" s="37"/>
      <c r="Q532" s="35"/>
    </row>
    <row r="533" spans="2:17" x14ac:dyDescent="0.25">
      <c r="B533" s="32"/>
      <c r="C533" s="33"/>
      <c r="D533" s="34"/>
      <c r="E533" s="35"/>
      <c r="L533" s="37"/>
      <c r="Q533" s="35"/>
    </row>
    <row r="534" spans="2:17" x14ac:dyDescent="0.25">
      <c r="B534" s="32"/>
      <c r="C534" s="33"/>
      <c r="D534" s="34"/>
      <c r="E534" s="35"/>
      <c r="L534" s="37"/>
      <c r="Q534" s="35"/>
    </row>
    <row r="535" spans="2:17" x14ac:dyDescent="0.25">
      <c r="B535" s="32"/>
      <c r="C535" s="33"/>
      <c r="D535" s="34"/>
      <c r="E535" s="35"/>
      <c r="L535" s="37"/>
      <c r="Q535" s="35"/>
    </row>
    <row r="536" spans="2:17" x14ac:dyDescent="0.25">
      <c r="B536" s="32"/>
      <c r="C536" s="33"/>
      <c r="D536" s="34"/>
      <c r="E536" s="35"/>
      <c r="L536" s="37"/>
      <c r="Q536" s="35"/>
    </row>
    <row r="537" spans="2:17" x14ac:dyDescent="0.25">
      <c r="B537" s="32"/>
      <c r="C537" s="33"/>
      <c r="D537" s="34"/>
      <c r="E537" s="35"/>
      <c r="L537" s="37"/>
      <c r="Q537" s="35"/>
    </row>
    <row r="538" spans="2:17" x14ac:dyDescent="0.25">
      <c r="B538" s="32"/>
      <c r="C538" s="33"/>
      <c r="D538" s="34"/>
      <c r="E538" s="35"/>
      <c r="L538" s="37"/>
      <c r="Q538" s="35"/>
    </row>
    <row r="539" spans="2:17" x14ac:dyDescent="0.25">
      <c r="B539" s="32"/>
      <c r="C539" s="33"/>
      <c r="D539" s="34"/>
      <c r="E539" s="35"/>
      <c r="L539" s="37"/>
      <c r="Q539" s="35"/>
    </row>
    <row r="540" spans="2:17" x14ac:dyDescent="0.25">
      <c r="B540" s="32"/>
      <c r="C540" s="33"/>
      <c r="D540" s="34"/>
      <c r="E540" s="35"/>
      <c r="L540" s="37"/>
      <c r="Q540" s="35"/>
    </row>
    <row r="541" spans="2:17" x14ac:dyDescent="0.25">
      <c r="B541" s="32"/>
      <c r="C541" s="33"/>
      <c r="D541" s="34"/>
      <c r="E541" s="35"/>
      <c r="L541" s="37"/>
      <c r="Q541" s="35"/>
    </row>
    <row r="542" spans="2:17" x14ac:dyDescent="0.25">
      <c r="B542" s="32"/>
      <c r="C542" s="33"/>
      <c r="D542" s="34"/>
      <c r="E542" s="35"/>
      <c r="L542" s="37"/>
      <c r="Q542" s="35"/>
    </row>
    <row r="543" spans="2:17" x14ac:dyDescent="0.25">
      <c r="B543" s="32"/>
      <c r="C543" s="33"/>
      <c r="D543" s="34"/>
      <c r="E543" s="35"/>
      <c r="L543" s="37"/>
      <c r="Q543" s="35"/>
    </row>
    <row r="544" spans="2:17" x14ac:dyDescent="0.25">
      <c r="B544" s="32"/>
      <c r="C544" s="33"/>
      <c r="D544" s="34"/>
      <c r="E544" s="35"/>
      <c r="L544" s="37"/>
      <c r="Q544" s="35"/>
    </row>
    <row r="545" spans="2:17" x14ac:dyDescent="0.25">
      <c r="B545" s="32"/>
      <c r="C545" s="33"/>
      <c r="D545" s="34"/>
      <c r="E545" s="35"/>
      <c r="L545" s="37"/>
      <c r="Q545" s="35"/>
    </row>
    <row r="546" spans="2:17" x14ac:dyDescent="0.25">
      <c r="B546" s="32"/>
      <c r="C546" s="33"/>
      <c r="D546" s="34"/>
      <c r="E546" s="35"/>
      <c r="L546" s="37"/>
      <c r="Q546" s="35"/>
    </row>
    <row r="547" spans="2:17" x14ac:dyDescent="0.25">
      <c r="B547" s="32"/>
      <c r="C547" s="33"/>
      <c r="D547" s="34"/>
      <c r="E547" s="35"/>
      <c r="L547" s="37"/>
      <c r="Q547" s="35"/>
    </row>
    <row r="548" spans="2:17" x14ac:dyDescent="0.25">
      <c r="B548" s="32"/>
      <c r="C548" s="33"/>
      <c r="D548" s="34"/>
      <c r="E548" s="35"/>
      <c r="L548" s="37"/>
      <c r="Q548" s="35"/>
    </row>
    <row r="549" spans="2:17" x14ac:dyDescent="0.25">
      <c r="B549" s="32"/>
      <c r="C549" s="33"/>
      <c r="D549" s="34"/>
      <c r="E549" s="35"/>
      <c r="L549" s="37"/>
      <c r="Q549" s="35"/>
    </row>
    <row r="550" spans="2:17" x14ac:dyDescent="0.25">
      <c r="B550" s="32"/>
      <c r="C550" s="33"/>
      <c r="D550" s="34"/>
      <c r="E550" s="35"/>
      <c r="L550" s="37"/>
      <c r="Q550" s="35"/>
    </row>
    <row r="551" spans="2:17" x14ac:dyDescent="0.25">
      <c r="B551" s="32"/>
      <c r="C551" s="33"/>
      <c r="D551" s="34"/>
      <c r="E551" s="35"/>
      <c r="L551" s="37"/>
      <c r="Q551" s="35"/>
    </row>
    <row r="552" spans="2:17" x14ac:dyDescent="0.25">
      <c r="B552" s="32"/>
      <c r="C552" s="33"/>
      <c r="D552" s="34"/>
      <c r="E552" s="35"/>
      <c r="L552" s="37"/>
      <c r="Q552" s="35"/>
    </row>
    <row r="553" spans="2:17" x14ac:dyDescent="0.25">
      <c r="B553" s="32"/>
      <c r="C553" s="33"/>
      <c r="D553" s="34"/>
      <c r="E553" s="35"/>
      <c r="L553" s="37"/>
      <c r="Q553" s="35"/>
    </row>
    <row r="554" spans="2:17" x14ac:dyDescent="0.25">
      <c r="B554" s="32"/>
      <c r="C554" s="33"/>
      <c r="D554" s="34"/>
      <c r="E554" s="35"/>
      <c r="L554" s="37"/>
      <c r="Q554" s="35"/>
    </row>
    <row r="555" spans="2:17" x14ac:dyDescent="0.25">
      <c r="B555" s="32"/>
      <c r="C555" s="33"/>
      <c r="D555" s="34"/>
      <c r="E555" s="35"/>
      <c r="L555" s="37"/>
      <c r="Q555" s="35"/>
    </row>
    <row r="556" spans="2:17" x14ac:dyDescent="0.25">
      <c r="B556" s="32"/>
      <c r="C556" s="33"/>
      <c r="D556" s="34"/>
      <c r="E556" s="35"/>
      <c r="L556" s="37"/>
      <c r="Q556" s="35"/>
    </row>
    <row r="557" spans="2:17" x14ac:dyDescent="0.25">
      <c r="B557" s="32"/>
      <c r="C557" s="33"/>
      <c r="D557" s="34"/>
      <c r="E557" s="35"/>
      <c r="L557" s="37"/>
      <c r="Q557" s="35"/>
    </row>
    <row r="558" spans="2:17" x14ac:dyDescent="0.25">
      <c r="B558" s="32"/>
      <c r="C558" s="33"/>
      <c r="D558" s="34"/>
      <c r="E558" s="35"/>
      <c r="L558" s="37"/>
      <c r="Q558" s="35"/>
    </row>
    <row r="559" spans="2:17" x14ac:dyDescent="0.25">
      <c r="B559" s="32"/>
      <c r="C559" s="33"/>
      <c r="D559" s="34"/>
      <c r="E559" s="35"/>
      <c r="L559" s="37"/>
      <c r="Q559" s="35"/>
    </row>
    <row r="560" spans="2:17" x14ac:dyDescent="0.25">
      <c r="B560" s="32"/>
      <c r="C560" s="33"/>
      <c r="D560" s="34"/>
      <c r="E560" s="35"/>
      <c r="L560" s="37"/>
      <c r="Q560" s="35"/>
    </row>
    <row r="561" spans="2:17" x14ac:dyDescent="0.25">
      <c r="B561" s="32"/>
      <c r="C561" s="33"/>
      <c r="D561" s="34"/>
      <c r="E561" s="35"/>
      <c r="L561" s="37"/>
      <c r="Q561" s="35"/>
    </row>
    <row r="562" spans="2:17" x14ac:dyDescent="0.25">
      <c r="B562" s="32"/>
      <c r="C562" s="33"/>
      <c r="D562" s="34"/>
      <c r="E562" s="35"/>
      <c r="L562" s="37"/>
      <c r="Q562" s="35"/>
    </row>
    <row r="563" spans="2:17" x14ac:dyDescent="0.25">
      <c r="B563" s="32"/>
      <c r="C563" s="33"/>
      <c r="D563" s="34"/>
      <c r="E563" s="35"/>
      <c r="L563" s="37"/>
      <c r="Q563" s="35"/>
    </row>
    <row r="564" spans="2:17" x14ac:dyDescent="0.25">
      <c r="B564" s="32"/>
      <c r="C564" s="33"/>
      <c r="D564" s="34"/>
      <c r="E564" s="35"/>
      <c r="L564" s="37"/>
      <c r="Q564" s="35"/>
    </row>
    <row r="565" spans="2:17" x14ac:dyDescent="0.25">
      <c r="B565" s="32"/>
      <c r="C565" s="33"/>
      <c r="D565" s="34"/>
      <c r="E565" s="35"/>
      <c r="L565" s="37"/>
      <c r="Q565" s="35"/>
    </row>
    <row r="566" spans="2:17" x14ac:dyDescent="0.25">
      <c r="B566" s="32"/>
      <c r="C566" s="33"/>
      <c r="D566" s="34"/>
      <c r="E566" s="35"/>
      <c r="L566" s="37"/>
      <c r="Q566" s="35"/>
    </row>
    <row r="567" spans="2:17" x14ac:dyDescent="0.25">
      <c r="B567" s="32"/>
      <c r="C567" s="33"/>
      <c r="D567" s="34"/>
      <c r="E567" s="35"/>
      <c r="L567" s="37"/>
      <c r="Q567" s="35"/>
    </row>
    <row r="568" spans="2:17" x14ac:dyDescent="0.25">
      <c r="B568" s="32"/>
      <c r="C568" s="33"/>
      <c r="D568" s="34"/>
      <c r="E568" s="35"/>
      <c r="L568" s="37"/>
      <c r="Q568" s="35"/>
    </row>
    <row r="569" spans="2:17" x14ac:dyDescent="0.25">
      <c r="B569" s="32"/>
      <c r="C569" s="33"/>
      <c r="D569" s="34"/>
      <c r="E569" s="35"/>
      <c r="L569" s="37"/>
      <c r="Q569" s="35"/>
    </row>
    <row r="570" spans="2:17" x14ac:dyDescent="0.25">
      <c r="B570" s="32"/>
      <c r="C570" s="33"/>
      <c r="D570" s="34"/>
      <c r="E570" s="35"/>
      <c r="L570" s="37"/>
      <c r="Q570" s="35"/>
    </row>
    <row r="571" spans="2:17" x14ac:dyDescent="0.25">
      <c r="B571" s="32"/>
      <c r="C571" s="33"/>
      <c r="D571" s="34"/>
      <c r="E571" s="35"/>
      <c r="L571" s="37"/>
      <c r="Q571" s="35"/>
    </row>
    <row r="572" spans="2:17" x14ac:dyDescent="0.25">
      <c r="B572" s="32"/>
      <c r="C572" s="33"/>
      <c r="D572" s="34"/>
      <c r="E572" s="35"/>
      <c r="L572" s="37"/>
      <c r="Q572" s="35"/>
    </row>
    <row r="573" spans="2:17" x14ac:dyDescent="0.25">
      <c r="B573" s="32"/>
      <c r="C573" s="33"/>
      <c r="D573" s="34"/>
      <c r="E573" s="35"/>
      <c r="L573" s="37"/>
      <c r="Q573" s="35"/>
    </row>
    <row r="574" spans="2:17" x14ac:dyDescent="0.25">
      <c r="B574" s="32"/>
      <c r="C574" s="33"/>
      <c r="D574" s="34"/>
      <c r="E574" s="35"/>
      <c r="L574" s="37"/>
      <c r="Q574" s="35"/>
    </row>
    <row r="575" spans="2:17" x14ac:dyDescent="0.25">
      <c r="B575" s="32"/>
      <c r="C575" s="33"/>
      <c r="D575" s="34"/>
      <c r="E575" s="35"/>
      <c r="L575" s="37"/>
      <c r="Q575" s="35"/>
    </row>
    <row r="576" spans="2:17" x14ac:dyDescent="0.25">
      <c r="B576" s="32"/>
      <c r="C576" s="33"/>
      <c r="D576" s="34"/>
      <c r="E576" s="35"/>
      <c r="L576" s="37"/>
      <c r="Q576" s="35"/>
    </row>
    <row r="577" spans="2:17" x14ac:dyDescent="0.25">
      <c r="B577" s="32"/>
      <c r="C577" s="33"/>
      <c r="D577" s="34"/>
      <c r="E577" s="35"/>
      <c r="L577" s="37"/>
      <c r="Q577" s="35"/>
    </row>
    <row r="578" spans="2:17" x14ac:dyDescent="0.25">
      <c r="B578" s="32"/>
      <c r="C578" s="33"/>
      <c r="D578" s="34"/>
      <c r="E578" s="35"/>
      <c r="L578" s="37"/>
      <c r="Q578" s="35"/>
    </row>
    <row r="579" spans="2:17" x14ac:dyDescent="0.25">
      <c r="B579" s="32"/>
      <c r="C579" s="33"/>
      <c r="D579" s="34"/>
      <c r="E579" s="35"/>
      <c r="L579" s="37"/>
      <c r="Q579" s="35"/>
    </row>
    <row r="580" spans="2:17" x14ac:dyDescent="0.25">
      <c r="B580" s="32"/>
      <c r="C580" s="33"/>
      <c r="D580" s="34"/>
      <c r="E580" s="35"/>
      <c r="L580" s="37"/>
      <c r="Q580" s="35"/>
    </row>
    <row r="581" spans="2:17" x14ac:dyDescent="0.25">
      <c r="B581" s="32"/>
      <c r="C581" s="33"/>
      <c r="D581" s="34"/>
      <c r="E581" s="35"/>
      <c r="L581" s="37"/>
      <c r="Q581" s="35"/>
    </row>
    <row r="582" spans="2:17" x14ac:dyDescent="0.25">
      <c r="B582" s="32"/>
      <c r="C582" s="33"/>
      <c r="D582" s="34"/>
      <c r="E582" s="35"/>
      <c r="L582" s="37"/>
      <c r="Q582" s="35"/>
    </row>
    <row r="583" spans="2:17" x14ac:dyDescent="0.25">
      <c r="B583" s="32"/>
      <c r="C583" s="33"/>
      <c r="D583" s="34"/>
      <c r="E583" s="35"/>
      <c r="L583" s="37"/>
      <c r="Q583" s="35"/>
    </row>
    <row r="584" spans="2:17" x14ac:dyDescent="0.25">
      <c r="B584" s="32"/>
      <c r="C584" s="33"/>
      <c r="D584" s="34"/>
      <c r="E584" s="35"/>
      <c r="L584" s="37"/>
      <c r="Q584" s="35"/>
    </row>
    <row r="585" spans="2:17" x14ac:dyDescent="0.25">
      <c r="B585" s="32"/>
      <c r="C585" s="33"/>
      <c r="D585" s="34"/>
      <c r="E585" s="35"/>
      <c r="L585" s="37"/>
      <c r="Q585" s="35"/>
    </row>
    <row r="586" spans="2:17" x14ac:dyDescent="0.25">
      <c r="B586" s="32"/>
      <c r="C586" s="33"/>
      <c r="D586" s="34"/>
      <c r="E586" s="35"/>
      <c r="L586" s="37"/>
      <c r="Q586" s="35"/>
    </row>
    <row r="587" spans="2:17" x14ac:dyDescent="0.25">
      <c r="B587" s="32"/>
      <c r="C587" s="33"/>
      <c r="D587" s="34"/>
      <c r="E587" s="35"/>
      <c r="L587" s="37"/>
      <c r="Q587" s="35"/>
    </row>
    <row r="588" spans="2:17" x14ac:dyDescent="0.25">
      <c r="B588" s="32"/>
      <c r="C588" s="33"/>
      <c r="D588" s="34"/>
      <c r="E588" s="35"/>
      <c r="L588" s="37"/>
      <c r="Q588" s="35"/>
    </row>
    <row r="589" spans="2:17" x14ac:dyDescent="0.25">
      <c r="B589" s="32"/>
      <c r="C589" s="33"/>
      <c r="D589" s="34"/>
      <c r="E589" s="35"/>
      <c r="L589" s="37"/>
      <c r="Q589" s="35"/>
    </row>
    <row r="590" spans="2:17" x14ac:dyDescent="0.25">
      <c r="B590" s="32"/>
      <c r="C590" s="33"/>
      <c r="D590" s="34"/>
      <c r="E590" s="35"/>
      <c r="L590" s="37"/>
      <c r="Q590" s="35"/>
    </row>
    <row r="591" spans="2:17" x14ac:dyDescent="0.25">
      <c r="B591" s="32"/>
      <c r="C591" s="33"/>
      <c r="D591" s="34"/>
      <c r="E591" s="35"/>
      <c r="L591" s="37"/>
      <c r="Q591" s="35"/>
    </row>
    <row r="592" spans="2:17" x14ac:dyDescent="0.25">
      <c r="B592" s="32"/>
      <c r="C592" s="33"/>
      <c r="D592" s="34"/>
      <c r="E592" s="35"/>
      <c r="L592" s="37"/>
      <c r="Q592" s="35"/>
    </row>
    <row r="593" spans="2:17" x14ac:dyDescent="0.25">
      <c r="B593" s="32"/>
      <c r="C593" s="33"/>
      <c r="D593" s="34"/>
      <c r="E593" s="35"/>
      <c r="L593" s="37"/>
      <c r="Q593" s="35"/>
    </row>
    <row r="594" spans="2:17" x14ac:dyDescent="0.25">
      <c r="B594" s="32"/>
      <c r="C594" s="33"/>
      <c r="D594" s="34"/>
      <c r="E594" s="35"/>
      <c r="L594" s="37"/>
      <c r="Q594" s="35"/>
    </row>
    <row r="595" spans="2:17" x14ac:dyDescent="0.25">
      <c r="B595" s="32"/>
      <c r="C595" s="33"/>
      <c r="D595" s="34"/>
      <c r="E595" s="35"/>
      <c r="L595" s="37"/>
      <c r="Q595" s="35"/>
    </row>
    <row r="596" spans="2:17" x14ac:dyDescent="0.25">
      <c r="B596" s="32"/>
      <c r="C596" s="33"/>
      <c r="D596" s="34"/>
      <c r="E596" s="35"/>
      <c r="L596" s="37"/>
      <c r="Q596" s="35"/>
    </row>
    <row r="597" spans="2:17" x14ac:dyDescent="0.25">
      <c r="B597" s="32"/>
      <c r="C597" s="33"/>
      <c r="D597" s="34"/>
      <c r="E597" s="35"/>
      <c r="L597" s="37"/>
      <c r="Q597" s="35"/>
    </row>
    <row r="598" spans="2:17" x14ac:dyDescent="0.25">
      <c r="B598" s="32"/>
      <c r="C598" s="33"/>
      <c r="D598" s="34"/>
      <c r="E598" s="35"/>
      <c r="L598" s="37"/>
      <c r="Q598" s="35"/>
    </row>
    <row r="599" spans="2:17" x14ac:dyDescent="0.25">
      <c r="B599" s="32"/>
      <c r="C599" s="33"/>
      <c r="D599" s="34"/>
      <c r="E599" s="35"/>
      <c r="L599" s="37"/>
      <c r="Q599" s="35"/>
    </row>
    <row r="600" spans="2:17" x14ac:dyDescent="0.25">
      <c r="B600" s="32"/>
      <c r="C600" s="33"/>
      <c r="D600" s="34"/>
      <c r="E600" s="35"/>
      <c r="L600" s="37"/>
      <c r="Q600" s="35"/>
    </row>
    <row r="601" spans="2:17" x14ac:dyDescent="0.25">
      <c r="B601" s="32"/>
      <c r="C601" s="33"/>
      <c r="D601" s="34"/>
      <c r="E601" s="35"/>
      <c r="L601" s="37"/>
      <c r="Q601" s="35"/>
    </row>
    <row r="602" spans="2:17" x14ac:dyDescent="0.25">
      <c r="B602" s="32"/>
      <c r="C602" s="33"/>
      <c r="D602" s="34"/>
      <c r="E602" s="35"/>
      <c r="L602" s="37"/>
      <c r="Q602" s="35"/>
    </row>
    <row r="603" spans="2:17" x14ac:dyDescent="0.25">
      <c r="B603" s="32"/>
      <c r="C603" s="33"/>
      <c r="D603" s="34"/>
      <c r="E603" s="35"/>
      <c r="L603" s="37"/>
      <c r="Q603" s="35"/>
    </row>
    <row r="604" spans="2:17" x14ac:dyDescent="0.25">
      <c r="B604" s="32"/>
      <c r="C604" s="33"/>
      <c r="D604" s="34"/>
      <c r="E604" s="35"/>
      <c r="L604" s="37"/>
      <c r="Q604" s="35"/>
    </row>
    <row r="605" spans="2:17" x14ac:dyDescent="0.25">
      <c r="B605" s="32"/>
      <c r="C605" s="33"/>
      <c r="D605" s="34"/>
      <c r="E605" s="35"/>
      <c r="L605" s="37"/>
      <c r="Q605" s="35"/>
    </row>
    <row r="606" spans="2:17" x14ac:dyDescent="0.25">
      <c r="B606" s="32"/>
      <c r="C606" s="33"/>
      <c r="D606" s="34"/>
      <c r="E606" s="35"/>
      <c r="L606" s="37"/>
      <c r="Q606" s="35"/>
    </row>
    <row r="607" spans="2:17" x14ac:dyDescent="0.25">
      <c r="B607" s="32"/>
      <c r="C607" s="33"/>
      <c r="D607" s="34"/>
      <c r="E607" s="35"/>
      <c r="L607" s="37"/>
      <c r="Q607" s="35"/>
    </row>
    <row r="608" spans="2:17" x14ac:dyDescent="0.25">
      <c r="B608" s="32"/>
      <c r="C608" s="33"/>
      <c r="D608" s="34"/>
      <c r="E608" s="35"/>
      <c r="L608" s="37"/>
      <c r="Q608" s="35"/>
    </row>
    <row r="609" spans="2:17" x14ac:dyDescent="0.25">
      <c r="B609" s="32"/>
      <c r="C609" s="33"/>
      <c r="D609" s="34"/>
      <c r="E609" s="35"/>
      <c r="L609" s="37"/>
      <c r="Q609" s="35"/>
    </row>
    <row r="610" spans="2:17" x14ac:dyDescent="0.25">
      <c r="B610" s="32"/>
      <c r="C610" s="33"/>
      <c r="D610" s="34"/>
      <c r="E610" s="35"/>
      <c r="L610" s="37"/>
      <c r="Q610" s="35"/>
    </row>
    <row r="611" spans="2:17" x14ac:dyDescent="0.25">
      <c r="B611" s="32"/>
      <c r="C611" s="33"/>
      <c r="D611" s="34"/>
      <c r="E611" s="35"/>
      <c r="L611" s="37"/>
      <c r="Q611" s="35"/>
    </row>
    <row r="612" spans="2:17" x14ac:dyDescent="0.25">
      <c r="B612" s="32"/>
      <c r="C612" s="33"/>
      <c r="D612" s="34"/>
      <c r="E612" s="35"/>
      <c r="L612" s="37"/>
      <c r="Q612" s="35"/>
    </row>
    <row r="613" spans="2:17" x14ac:dyDescent="0.25">
      <c r="B613" s="32"/>
      <c r="C613" s="33"/>
      <c r="D613" s="34"/>
      <c r="E613" s="35"/>
      <c r="L613" s="37"/>
      <c r="Q613" s="35"/>
    </row>
    <row r="614" spans="2:17" x14ac:dyDescent="0.25">
      <c r="B614" s="32"/>
      <c r="C614" s="33"/>
      <c r="D614" s="34"/>
      <c r="E614" s="35"/>
      <c r="L614" s="37"/>
      <c r="Q614" s="35"/>
    </row>
    <row r="615" spans="2:17" x14ac:dyDescent="0.25">
      <c r="B615" s="32"/>
      <c r="C615" s="33"/>
      <c r="D615" s="34"/>
      <c r="E615" s="35"/>
      <c r="L615" s="37"/>
      <c r="Q615" s="35"/>
    </row>
    <row r="616" spans="2:17" x14ac:dyDescent="0.25">
      <c r="B616" s="32"/>
      <c r="C616" s="33"/>
      <c r="D616" s="34"/>
      <c r="E616" s="35"/>
      <c r="L616" s="37"/>
      <c r="Q616" s="35"/>
    </row>
    <row r="617" spans="2:17" x14ac:dyDescent="0.25">
      <c r="B617" s="32"/>
      <c r="C617" s="33"/>
      <c r="D617" s="34"/>
      <c r="E617" s="35"/>
      <c r="L617" s="37"/>
      <c r="Q617" s="35"/>
    </row>
    <row r="618" spans="2:17" x14ac:dyDescent="0.25">
      <c r="B618" s="32"/>
      <c r="C618" s="33"/>
      <c r="D618" s="34"/>
      <c r="E618" s="35"/>
      <c r="L618" s="37"/>
      <c r="Q618" s="35"/>
    </row>
    <row r="619" spans="2:17" x14ac:dyDescent="0.25">
      <c r="B619" s="32"/>
      <c r="C619" s="33"/>
      <c r="D619" s="34"/>
      <c r="E619" s="35"/>
      <c r="L619" s="37"/>
      <c r="Q619" s="35"/>
    </row>
    <row r="620" spans="2:17" x14ac:dyDescent="0.25">
      <c r="B620" s="32"/>
      <c r="C620" s="33"/>
      <c r="D620" s="34"/>
      <c r="E620" s="35"/>
      <c r="L620" s="37"/>
      <c r="Q620" s="35"/>
    </row>
    <row r="621" spans="2:17" x14ac:dyDescent="0.25">
      <c r="B621" s="32"/>
      <c r="C621" s="33"/>
      <c r="D621" s="34"/>
      <c r="E621" s="35"/>
      <c r="L621" s="37"/>
      <c r="Q621" s="35"/>
    </row>
    <row r="622" spans="2:17" x14ac:dyDescent="0.25">
      <c r="B622" s="32"/>
      <c r="C622" s="33"/>
      <c r="D622" s="34"/>
      <c r="E622" s="35"/>
      <c r="L622" s="37"/>
      <c r="Q622" s="35"/>
    </row>
    <row r="623" spans="2:17" x14ac:dyDescent="0.25">
      <c r="B623" s="32"/>
      <c r="C623" s="33"/>
      <c r="D623" s="34"/>
      <c r="E623" s="35"/>
      <c r="L623" s="37"/>
      <c r="Q623" s="35"/>
    </row>
    <row r="624" spans="2:17" x14ac:dyDescent="0.25">
      <c r="B624" s="32"/>
      <c r="C624" s="33"/>
      <c r="D624" s="34"/>
      <c r="E624" s="35"/>
      <c r="L624" s="37"/>
      <c r="Q624" s="35"/>
    </row>
    <row r="625" spans="2:17" x14ac:dyDescent="0.25">
      <c r="B625" s="32"/>
      <c r="C625" s="33"/>
      <c r="D625" s="34"/>
      <c r="E625" s="35"/>
      <c r="L625" s="37"/>
      <c r="Q625" s="35"/>
    </row>
    <row r="626" spans="2:17" x14ac:dyDescent="0.25">
      <c r="B626" s="32"/>
      <c r="C626" s="33"/>
      <c r="D626" s="34"/>
      <c r="E626" s="35"/>
      <c r="L626" s="37"/>
      <c r="Q626" s="35"/>
    </row>
    <row r="627" spans="2:17" x14ac:dyDescent="0.25">
      <c r="B627" s="32"/>
      <c r="C627" s="33"/>
      <c r="D627" s="34"/>
      <c r="E627" s="35"/>
      <c r="L627" s="37"/>
      <c r="Q627" s="35"/>
    </row>
    <row r="628" spans="2:17" x14ac:dyDescent="0.25">
      <c r="B628" s="32"/>
      <c r="C628" s="33"/>
      <c r="D628" s="34"/>
      <c r="E628" s="35"/>
      <c r="L628" s="37"/>
      <c r="Q628" s="35"/>
    </row>
    <row r="629" spans="2:17" x14ac:dyDescent="0.25">
      <c r="B629" s="32"/>
      <c r="C629" s="33"/>
      <c r="D629" s="34"/>
      <c r="E629" s="35"/>
      <c r="L629" s="37"/>
      <c r="Q629" s="35"/>
    </row>
    <row r="630" spans="2:17" x14ac:dyDescent="0.25">
      <c r="B630" s="32"/>
      <c r="C630" s="33"/>
      <c r="D630" s="34"/>
      <c r="E630" s="35"/>
      <c r="L630" s="37"/>
      <c r="Q630" s="35"/>
    </row>
    <row r="631" spans="2:17" x14ac:dyDescent="0.25">
      <c r="B631" s="32"/>
      <c r="C631" s="33"/>
      <c r="D631" s="34"/>
      <c r="E631" s="35"/>
      <c r="L631" s="37"/>
      <c r="Q631" s="35"/>
    </row>
    <row r="632" spans="2:17" x14ac:dyDescent="0.25">
      <c r="B632" s="32"/>
      <c r="C632" s="33"/>
      <c r="D632" s="34"/>
      <c r="E632" s="35"/>
      <c r="L632" s="37"/>
      <c r="Q632" s="35"/>
    </row>
    <row r="633" spans="2:17" x14ac:dyDescent="0.25">
      <c r="B633" s="32"/>
      <c r="C633" s="33"/>
      <c r="D633" s="34"/>
      <c r="E633" s="35"/>
      <c r="L633" s="37"/>
      <c r="Q633" s="35"/>
    </row>
    <row r="634" spans="2:17" x14ac:dyDescent="0.25">
      <c r="B634" s="32"/>
      <c r="C634" s="33"/>
      <c r="D634" s="34"/>
      <c r="E634" s="35"/>
      <c r="L634" s="37"/>
      <c r="Q634" s="35"/>
    </row>
    <row r="635" spans="2:17" x14ac:dyDescent="0.25">
      <c r="B635" s="32"/>
      <c r="C635" s="33"/>
      <c r="D635" s="34"/>
      <c r="E635" s="35"/>
      <c r="L635" s="37"/>
      <c r="Q635" s="35"/>
    </row>
    <row r="636" spans="2:17" x14ac:dyDescent="0.25">
      <c r="B636" s="32"/>
      <c r="C636" s="33"/>
      <c r="D636" s="34"/>
      <c r="E636" s="35"/>
      <c r="L636" s="37"/>
      <c r="Q636" s="35"/>
    </row>
    <row r="637" spans="2:17" x14ac:dyDescent="0.25">
      <c r="B637" s="32"/>
      <c r="C637" s="33"/>
      <c r="D637" s="34"/>
      <c r="E637" s="35"/>
      <c r="L637" s="37"/>
      <c r="Q637" s="35"/>
    </row>
    <row r="638" spans="2:17" x14ac:dyDescent="0.25">
      <c r="B638" s="32"/>
      <c r="C638" s="33"/>
      <c r="D638" s="34"/>
      <c r="E638" s="35"/>
      <c r="L638" s="37"/>
      <c r="Q638" s="35"/>
    </row>
    <row r="639" spans="2:17" x14ac:dyDescent="0.25">
      <c r="B639" s="32"/>
      <c r="C639" s="33"/>
      <c r="D639" s="34"/>
      <c r="E639" s="35"/>
      <c r="L639" s="37"/>
      <c r="Q639" s="35"/>
    </row>
    <row r="640" spans="2:17" x14ac:dyDescent="0.25">
      <c r="B640" s="32"/>
      <c r="C640" s="33"/>
      <c r="D640" s="34"/>
      <c r="E640" s="35"/>
      <c r="L640" s="37"/>
      <c r="Q640" s="35"/>
    </row>
    <row r="641" spans="2:17" x14ac:dyDescent="0.25">
      <c r="B641" s="32"/>
      <c r="C641" s="33"/>
      <c r="D641" s="34"/>
      <c r="E641" s="35"/>
      <c r="L641" s="37"/>
      <c r="Q641" s="35"/>
    </row>
    <row r="642" spans="2:17" x14ac:dyDescent="0.25">
      <c r="B642" s="32"/>
      <c r="C642" s="33"/>
      <c r="D642" s="34"/>
      <c r="E642" s="35"/>
      <c r="L642" s="37"/>
      <c r="Q642" s="35"/>
    </row>
    <row r="643" spans="2:17" x14ac:dyDescent="0.25">
      <c r="B643" s="32"/>
      <c r="C643" s="33"/>
      <c r="D643" s="34"/>
      <c r="E643" s="35"/>
      <c r="L643" s="37"/>
      <c r="Q643" s="35"/>
    </row>
    <row r="644" spans="2:17" x14ac:dyDescent="0.25">
      <c r="B644" s="32"/>
      <c r="C644" s="33"/>
      <c r="D644" s="34"/>
      <c r="E644" s="35"/>
      <c r="L644" s="37"/>
      <c r="Q644" s="35"/>
    </row>
    <row r="645" spans="2:17" x14ac:dyDescent="0.25">
      <c r="B645" s="32"/>
      <c r="C645" s="33"/>
      <c r="D645" s="34"/>
      <c r="E645" s="35"/>
      <c r="L645" s="37"/>
      <c r="Q645" s="35"/>
    </row>
    <row r="646" spans="2:17" x14ac:dyDescent="0.25">
      <c r="B646" s="32"/>
      <c r="C646" s="33"/>
      <c r="D646" s="34"/>
      <c r="E646" s="35"/>
      <c r="L646" s="37"/>
      <c r="Q646" s="35"/>
    </row>
    <row r="647" spans="2:17" x14ac:dyDescent="0.25">
      <c r="B647" s="32"/>
      <c r="C647" s="33"/>
      <c r="D647" s="34"/>
      <c r="E647" s="35"/>
      <c r="L647" s="37"/>
      <c r="Q647" s="35"/>
    </row>
    <row r="648" spans="2:17" x14ac:dyDescent="0.25">
      <c r="B648" s="32"/>
      <c r="C648" s="33"/>
      <c r="D648" s="34"/>
      <c r="E648" s="35"/>
      <c r="L648" s="37"/>
      <c r="Q648" s="35"/>
    </row>
    <row r="649" spans="2:17" x14ac:dyDescent="0.25">
      <c r="B649" s="32"/>
      <c r="C649" s="33"/>
      <c r="D649" s="34"/>
      <c r="E649" s="35"/>
      <c r="L649" s="37"/>
      <c r="Q649" s="35"/>
    </row>
    <row r="650" spans="2:17" x14ac:dyDescent="0.25">
      <c r="B650" s="32"/>
      <c r="C650" s="33"/>
      <c r="D650" s="34"/>
      <c r="E650" s="35"/>
      <c r="L650" s="37"/>
      <c r="Q650" s="35"/>
    </row>
    <row r="651" spans="2:17" x14ac:dyDescent="0.25">
      <c r="B651" s="32"/>
      <c r="C651" s="33"/>
      <c r="D651" s="34"/>
      <c r="E651" s="35"/>
      <c r="L651" s="37"/>
      <c r="Q651" s="35"/>
    </row>
    <row r="652" spans="2:17" x14ac:dyDescent="0.25">
      <c r="B652" s="32"/>
      <c r="C652" s="33"/>
      <c r="D652" s="34"/>
      <c r="E652" s="35"/>
      <c r="L652" s="37"/>
      <c r="Q652" s="35"/>
    </row>
    <row r="653" spans="2:17" x14ac:dyDescent="0.25">
      <c r="B653" s="32"/>
      <c r="C653" s="33"/>
      <c r="D653" s="34"/>
      <c r="E653" s="35"/>
      <c r="L653" s="37"/>
      <c r="Q653" s="35"/>
    </row>
    <row r="654" spans="2:17" x14ac:dyDescent="0.25">
      <c r="B654" s="32"/>
      <c r="C654" s="33"/>
      <c r="D654" s="34"/>
      <c r="E654" s="35"/>
      <c r="L654" s="37"/>
      <c r="Q654" s="35"/>
    </row>
    <row r="655" spans="2:17" x14ac:dyDescent="0.25">
      <c r="B655" s="32"/>
      <c r="C655" s="33"/>
      <c r="D655" s="34"/>
      <c r="E655" s="35"/>
      <c r="L655" s="37"/>
      <c r="Q655" s="35"/>
    </row>
    <row r="656" spans="2:17" x14ac:dyDescent="0.25">
      <c r="B656" s="32"/>
      <c r="C656" s="33"/>
      <c r="D656" s="34"/>
      <c r="E656" s="35"/>
      <c r="L656" s="37"/>
      <c r="Q656" s="35"/>
    </row>
    <row r="657" spans="2:17" x14ac:dyDescent="0.25">
      <c r="B657" s="32"/>
      <c r="C657" s="33"/>
      <c r="D657" s="34"/>
      <c r="E657" s="35"/>
      <c r="L657" s="37"/>
      <c r="Q657" s="35"/>
    </row>
    <row r="658" spans="2:17" x14ac:dyDescent="0.25">
      <c r="B658" s="32"/>
      <c r="C658" s="33"/>
      <c r="D658" s="34"/>
      <c r="E658" s="35"/>
      <c r="L658" s="37"/>
      <c r="Q658" s="35"/>
    </row>
    <row r="659" spans="2:17" x14ac:dyDescent="0.25">
      <c r="B659" s="32"/>
      <c r="C659" s="33"/>
      <c r="D659" s="34"/>
      <c r="E659" s="35"/>
      <c r="L659" s="37"/>
      <c r="Q659" s="35"/>
    </row>
    <row r="660" spans="2:17" x14ac:dyDescent="0.25">
      <c r="B660" s="32"/>
      <c r="C660" s="33"/>
      <c r="D660" s="34"/>
      <c r="E660" s="35"/>
      <c r="L660" s="37"/>
      <c r="Q660" s="35"/>
    </row>
    <row r="661" spans="2:17" x14ac:dyDescent="0.25">
      <c r="B661" s="32"/>
      <c r="C661" s="33"/>
      <c r="D661" s="34"/>
      <c r="E661" s="35"/>
      <c r="L661" s="37"/>
      <c r="Q661" s="35"/>
    </row>
    <row r="662" spans="2:17" x14ac:dyDescent="0.25">
      <c r="B662" s="32"/>
      <c r="C662" s="33"/>
      <c r="D662" s="34"/>
      <c r="E662" s="35"/>
      <c r="L662" s="37"/>
      <c r="Q662" s="35"/>
    </row>
    <row r="663" spans="2:17" x14ac:dyDescent="0.25">
      <c r="B663" s="32"/>
      <c r="C663" s="33"/>
      <c r="D663" s="34"/>
      <c r="E663" s="35"/>
      <c r="L663" s="37"/>
      <c r="Q663" s="35"/>
    </row>
    <row r="664" spans="2:17" x14ac:dyDescent="0.25">
      <c r="B664" s="32"/>
      <c r="C664" s="33"/>
      <c r="D664" s="34"/>
      <c r="E664" s="35"/>
      <c r="L664" s="37"/>
      <c r="Q664" s="35"/>
    </row>
    <row r="665" spans="2:17" x14ac:dyDescent="0.25">
      <c r="B665" s="32"/>
      <c r="C665" s="33"/>
      <c r="D665" s="34"/>
      <c r="E665" s="35"/>
      <c r="L665" s="37"/>
      <c r="Q665" s="35"/>
    </row>
    <row r="666" spans="2:17" x14ac:dyDescent="0.25">
      <c r="B666" s="32"/>
      <c r="C666" s="33"/>
      <c r="D666" s="34"/>
      <c r="E666" s="35"/>
      <c r="L666" s="37"/>
      <c r="Q666" s="35"/>
    </row>
    <row r="667" spans="2:17" x14ac:dyDescent="0.25">
      <c r="B667" s="32"/>
      <c r="C667" s="33"/>
      <c r="D667" s="34"/>
      <c r="E667" s="35"/>
      <c r="L667" s="37"/>
      <c r="Q667" s="35"/>
    </row>
    <row r="668" spans="2:17" x14ac:dyDescent="0.25">
      <c r="B668" s="32"/>
      <c r="C668" s="33"/>
      <c r="D668" s="34"/>
      <c r="E668" s="35"/>
      <c r="L668" s="37"/>
      <c r="Q668" s="35"/>
    </row>
    <row r="669" spans="2:17" x14ac:dyDescent="0.25">
      <c r="B669" s="32"/>
      <c r="C669" s="33"/>
      <c r="D669" s="34"/>
      <c r="E669" s="35"/>
      <c r="L669" s="37"/>
      <c r="Q669" s="35"/>
    </row>
    <row r="670" spans="2:17" x14ac:dyDescent="0.25">
      <c r="B670" s="32"/>
      <c r="C670" s="33"/>
      <c r="D670" s="34"/>
      <c r="E670" s="35"/>
      <c r="L670" s="37"/>
      <c r="Q670" s="35"/>
    </row>
    <row r="671" spans="2:17" x14ac:dyDescent="0.25">
      <c r="B671" s="32"/>
      <c r="C671" s="33"/>
      <c r="D671" s="34"/>
      <c r="E671" s="35"/>
      <c r="L671" s="37"/>
      <c r="Q671" s="35"/>
    </row>
    <row r="672" spans="2:17" x14ac:dyDescent="0.25">
      <c r="B672" s="32"/>
      <c r="C672" s="33"/>
      <c r="D672" s="34"/>
      <c r="E672" s="35"/>
      <c r="L672" s="37"/>
      <c r="Q672" s="35"/>
    </row>
    <row r="673" spans="2:17" x14ac:dyDescent="0.25">
      <c r="B673" s="32"/>
      <c r="C673" s="33"/>
      <c r="D673" s="34"/>
      <c r="E673" s="35"/>
      <c r="L673" s="37"/>
      <c r="Q673" s="35"/>
    </row>
    <row r="674" spans="2:17" x14ac:dyDescent="0.25">
      <c r="B674" s="32"/>
      <c r="C674" s="33"/>
      <c r="D674" s="34"/>
      <c r="E674" s="35"/>
      <c r="L674" s="37"/>
      <c r="Q674" s="35"/>
    </row>
    <row r="675" spans="2:17" x14ac:dyDescent="0.25">
      <c r="B675" s="32"/>
      <c r="C675" s="33"/>
      <c r="D675" s="34"/>
      <c r="E675" s="35"/>
      <c r="L675" s="37"/>
      <c r="Q675" s="35"/>
    </row>
    <row r="676" spans="2:17" x14ac:dyDescent="0.25">
      <c r="B676" s="32"/>
      <c r="C676" s="33"/>
      <c r="D676" s="34"/>
      <c r="E676" s="35"/>
      <c r="L676" s="37"/>
      <c r="Q676" s="35"/>
    </row>
    <row r="677" spans="2:17" x14ac:dyDescent="0.25">
      <c r="B677" s="32"/>
      <c r="C677" s="33"/>
      <c r="D677" s="34"/>
      <c r="E677" s="35"/>
      <c r="L677" s="37"/>
      <c r="Q677" s="35"/>
    </row>
    <row r="678" spans="2:17" x14ac:dyDescent="0.25">
      <c r="B678" s="32"/>
      <c r="C678" s="33"/>
      <c r="D678" s="34"/>
      <c r="E678" s="35"/>
      <c r="L678" s="37"/>
      <c r="Q678" s="35"/>
    </row>
    <row r="679" spans="2:17" x14ac:dyDescent="0.25">
      <c r="B679" s="32"/>
      <c r="C679" s="33"/>
      <c r="D679" s="34"/>
      <c r="E679" s="35"/>
      <c r="L679" s="37"/>
      <c r="Q679" s="35"/>
    </row>
    <row r="680" spans="2:17" x14ac:dyDescent="0.25">
      <c r="B680" s="32"/>
      <c r="C680" s="33"/>
      <c r="D680" s="34"/>
      <c r="E680" s="35"/>
      <c r="L680" s="37"/>
      <c r="Q680" s="35"/>
    </row>
    <row r="681" spans="2:17" x14ac:dyDescent="0.25">
      <c r="B681" s="32"/>
      <c r="C681" s="33"/>
      <c r="D681" s="34"/>
      <c r="E681" s="35"/>
      <c r="L681" s="37"/>
      <c r="Q681" s="35"/>
    </row>
    <row r="682" spans="2:17" x14ac:dyDescent="0.25">
      <c r="B682" s="32"/>
      <c r="C682" s="33"/>
      <c r="D682" s="34"/>
      <c r="E682" s="35"/>
      <c r="L682" s="37"/>
      <c r="Q682" s="35"/>
    </row>
    <row r="683" spans="2:17" x14ac:dyDescent="0.25">
      <c r="B683" s="32"/>
      <c r="C683" s="33"/>
      <c r="D683" s="34"/>
      <c r="E683" s="35"/>
      <c r="L683" s="37"/>
      <c r="Q683" s="35"/>
    </row>
    <row r="684" spans="2:17" x14ac:dyDescent="0.25">
      <c r="B684" s="32"/>
      <c r="C684" s="33"/>
      <c r="D684" s="34"/>
      <c r="E684" s="35"/>
      <c r="L684" s="37"/>
      <c r="Q684" s="35"/>
    </row>
    <row r="685" spans="2:17" x14ac:dyDescent="0.25">
      <c r="B685" s="32"/>
      <c r="C685" s="33"/>
      <c r="D685" s="34"/>
      <c r="E685" s="35"/>
      <c r="L685" s="37"/>
      <c r="Q685" s="35"/>
    </row>
    <row r="686" spans="2:17" x14ac:dyDescent="0.25">
      <c r="B686" s="32"/>
      <c r="C686" s="33"/>
      <c r="D686" s="34"/>
      <c r="E686" s="35"/>
      <c r="L686" s="37"/>
      <c r="Q686" s="35"/>
    </row>
    <row r="687" spans="2:17" x14ac:dyDescent="0.25">
      <c r="B687" s="32"/>
      <c r="C687" s="33"/>
      <c r="D687" s="34"/>
      <c r="E687" s="35"/>
      <c r="L687" s="37"/>
      <c r="Q687" s="35"/>
    </row>
    <row r="688" spans="2:17" x14ac:dyDescent="0.25">
      <c r="B688" s="32"/>
      <c r="C688" s="33"/>
      <c r="D688" s="34"/>
      <c r="E688" s="35"/>
      <c r="L688" s="37"/>
      <c r="Q688" s="35"/>
    </row>
    <row r="689" spans="2:17" x14ac:dyDescent="0.25">
      <c r="B689" s="32"/>
      <c r="C689" s="33"/>
      <c r="D689" s="34"/>
      <c r="E689" s="35"/>
      <c r="L689" s="37"/>
      <c r="Q689" s="35"/>
    </row>
    <row r="690" spans="2:17" x14ac:dyDescent="0.25">
      <c r="B690" s="32"/>
      <c r="C690" s="33"/>
      <c r="D690" s="34"/>
      <c r="E690" s="35"/>
      <c r="L690" s="37"/>
      <c r="Q690" s="35"/>
    </row>
    <row r="691" spans="2:17" x14ac:dyDescent="0.25">
      <c r="B691" s="32"/>
      <c r="C691" s="33"/>
      <c r="D691" s="34"/>
      <c r="E691" s="35"/>
      <c r="L691" s="37"/>
      <c r="Q691" s="35"/>
    </row>
    <row r="692" spans="2:17" x14ac:dyDescent="0.25">
      <c r="B692" s="32"/>
      <c r="C692" s="33"/>
      <c r="D692" s="34"/>
      <c r="E692" s="35"/>
      <c r="L692" s="37"/>
      <c r="Q692" s="35"/>
    </row>
    <row r="693" spans="2:17" x14ac:dyDescent="0.25">
      <c r="B693" s="32"/>
      <c r="C693" s="33"/>
      <c r="D693" s="34"/>
      <c r="E693" s="35"/>
      <c r="L693" s="37"/>
      <c r="Q693" s="35"/>
    </row>
    <row r="694" spans="2:17" x14ac:dyDescent="0.25">
      <c r="B694" s="32"/>
      <c r="C694" s="33"/>
      <c r="D694" s="34"/>
      <c r="E694" s="35"/>
      <c r="L694" s="37"/>
      <c r="Q694" s="35"/>
    </row>
    <row r="695" spans="2:17" x14ac:dyDescent="0.25">
      <c r="B695" s="32"/>
      <c r="C695" s="33"/>
      <c r="D695" s="34"/>
      <c r="E695" s="35"/>
      <c r="L695" s="37"/>
      <c r="Q695" s="35"/>
    </row>
    <row r="696" spans="2:17" x14ac:dyDescent="0.25">
      <c r="B696" s="32"/>
      <c r="C696" s="33"/>
      <c r="D696" s="34"/>
      <c r="E696" s="35"/>
      <c r="L696" s="37"/>
      <c r="Q696" s="35"/>
    </row>
    <row r="697" spans="2:17" x14ac:dyDescent="0.25">
      <c r="B697" s="32"/>
      <c r="C697" s="33"/>
      <c r="D697" s="34"/>
      <c r="E697" s="35"/>
      <c r="L697" s="37"/>
      <c r="Q697" s="35"/>
    </row>
    <row r="698" spans="2:17" x14ac:dyDescent="0.25">
      <c r="B698" s="32"/>
      <c r="C698" s="33"/>
      <c r="D698" s="34"/>
      <c r="E698" s="35"/>
      <c r="L698" s="37"/>
      <c r="Q698" s="35"/>
    </row>
    <row r="699" spans="2:17" x14ac:dyDescent="0.25">
      <c r="B699" s="32"/>
      <c r="C699" s="33"/>
      <c r="D699" s="34"/>
      <c r="E699" s="35"/>
      <c r="L699" s="37"/>
      <c r="Q699" s="35"/>
    </row>
    <row r="700" spans="2:17" x14ac:dyDescent="0.25">
      <c r="B700" s="32"/>
      <c r="C700" s="33"/>
      <c r="D700" s="34"/>
      <c r="E700" s="35"/>
      <c r="L700" s="37"/>
      <c r="Q700" s="35"/>
    </row>
    <row r="701" spans="2:17" x14ac:dyDescent="0.25">
      <c r="B701" s="32"/>
      <c r="C701" s="33"/>
      <c r="D701" s="34"/>
      <c r="E701" s="35"/>
      <c r="L701" s="37"/>
      <c r="Q701" s="35"/>
    </row>
    <row r="702" spans="2:17" x14ac:dyDescent="0.25">
      <c r="B702" s="32"/>
      <c r="C702" s="33"/>
      <c r="D702" s="34"/>
      <c r="E702" s="35"/>
      <c r="L702" s="37"/>
      <c r="Q702" s="35"/>
    </row>
    <row r="703" spans="2:17" x14ac:dyDescent="0.25">
      <c r="B703" s="32"/>
      <c r="C703" s="33"/>
      <c r="D703" s="34"/>
      <c r="E703" s="35"/>
      <c r="L703" s="37"/>
      <c r="Q703" s="35"/>
    </row>
    <row r="704" spans="2:17" x14ac:dyDescent="0.25">
      <c r="B704" s="32"/>
      <c r="C704" s="33"/>
      <c r="D704" s="34"/>
      <c r="E704" s="35"/>
      <c r="L704" s="37"/>
      <c r="Q704" s="35"/>
    </row>
    <row r="705" spans="2:17" x14ac:dyDescent="0.25">
      <c r="B705" s="32"/>
      <c r="C705" s="33"/>
      <c r="D705" s="34"/>
      <c r="E705" s="35"/>
      <c r="L705" s="37"/>
      <c r="Q705" s="35"/>
    </row>
    <row r="706" spans="2:17" x14ac:dyDescent="0.25">
      <c r="B706" s="32"/>
      <c r="C706" s="33"/>
      <c r="D706" s="34"/>
      <c r="E706" s="35"/>
      <c r="L706" s="37"/>
      <c r="Q706" s="35"/>
    </row>
    <row r="707" spans="2:17" x14ac:dyDescent="0.25">
      <c r="B707" s="32"/>
      <c r="C707" s="33"/>
      <c r="D707" s="34"/>
      <c r="E707" s="35"/>
      <c r="L707" s="37"/>
      <c r="Q707" s="35"/>
    </row>
    <row r="708" spans="2:17" x14ac:dyDescent="0.25">
      <c r="B708" s="32"/>
      <c r="C708" s="33"/>
      <c r="D708" s="34"/>
      <c r="E708" s="35"/>
      <c r="L708" s="37"/>
      <c r="Q708" s="35"/>
    </row>
    <row r="709" spans="2:17" x14ac:dyDescent="0.25">
      <c r="B709" s="32"/>
      <c r="C709" s="33"/>
      <c r="D709" s="34"/>
      <c r="E709" s="35"/>
      <c r="L709" s="37"/>
      <c r="Q709" s="35"/>
    </row>
    <row r="710" spans="2:17" x14ac:dyDescent="0.25">
      <c r="B710" s="32"/>
      <c r="C710" s="33"/>
      <c r="D710" s="34"/>
      <c r="E710" s="35"/>
      <c r="L710" s="37"/>
      <c r="Q710" s="35"/>
    </row>
    <row r="711" spans="2:17" x14ac:dyDescent="0.25">
      <c r="B711" s="32"/>
      <c r="C711" s="33"/>
      <c r="D711" s="34"/>
      <c r="E711" s="35"/>
      <c r="L711" s="37"/>
      <c r="Q711" s="35"/>
    </row>
    <row r="712" spans="2:17" x14ac:dyDescent="0.25">
      <c r="B712" s="32"/>
      <c r="C712" s="33"/>
      <c r="D712" s="34"/>
      <c r="E712" s="35"/>
      <c r="L712" s="37"/>
      <c r="Q712" s="35"/>
    </row>
    <row r="713" spans="2:17" x14ac:dyDescent="0.25">
      <c r="B713" s="32"/>
      <c r="C713" s="33"/>
      <c r="D713" s="34"/>
      <c r="E713" s="35"/>
      <c r="L713" s="37"/>
      <c r="Q713" s="35"/>
    </row>
    <row r="714" spans="2:17" x14ac:dyDescent="0.25">
      <c r="B714" s="32"/>
      <c r="C714" s="33"/>
      <c r="D714" s="34"/>
      <c r="E714" s="35"/>
      <c r="L714" s="37"/>
      <c r="Q714" s="35"/>
    </row>
    <row r="715" spans="2:17" x14ac:dyDescent="0.25">
      <c r="B715" s="32"/>
      <c r="C715" s="33"/>
      <c r="D715" s="34"/>
      <c r="E715" s="35"/>
      <c r="L715" s="37"/>
      <c r="Q715" s="35"/>
    </row>
    <row r="716" spans="2:17" x14ac:dyDescent="0.25">
      <c r="B716" s="32"/>
      <c r="C716" s="33"/>
      <c r="D716" s="34"/>
      <c r="E716" s="35"/>
      <c r="L716" s="37"/>
      <c r="Q716" s="35"/>
    </row>
    <row r="717" spans="2:17" x14ac:dyDescent="0.25">
      <c r="B717" s="32"/>
      <c r="C717" s="33"/>
      <c r="D717" s="34"/>
      <c r="E717" s="35"/>
      <c r="L717" s="37"/>
      <c r="Q717" s="35"/>
    </row>
    <row r="718" spans="2:17" x14ac:dyDescent="0.25">
      <c r="B718" s="32"/>
      <c r="C718" s="33"/>
      <c r="D718" s="34"/>
      <c r="E718" s="35"/>
      <c r="L718" s="37"/>
      <c r="Q718" s="35"/>
    </row>
    <row r="719" spans="2:17" x14ac:dyDescent="0.25">
      <c r="B719" s="32"/>
      <c r="C719" s="33"/>
      <c r="D719" s="34"/>
      <c r="E719" s="35"/>
      <c r="L719" s="37"/>
      <c r="Q719" s="35"/>
    </row>
    <row r="720" spans="2:17" x14ac:dyDescent="0.25">
      <c r="B720" s="32"/>
      <c r="C720" s="33"/>
      <c r="D720" s="34"/>
      <c r="E720" s="35"/>
      <c r="L720" s="37"/>
      <c r="Q720" s="35"/>
    </row>
    <row r="721" spans="1:35" x14ac:dyDescent="0.25">
      <c r="B721" s="32"/>
      <c r="C721" s="33"/>
      <c r="D721" s="34"/>
      <c r="E721" s="35"/>
      <c r="L721" s="37"/>
      <c r="Q721" s="35"/>
    </row>
    <row r="722" spans="1:35" x14ac:dyDescent="0.25">
      <c r="B722" s="32"/>
      <c r="C722" s="33"/>
      <c r="D722" s="34"/>
      <c r="E722" s="35"/>
      <c r="L722" s="37"/>
      <c r="Q722" s="35"/>
    </row>
    <row r="723" spans="1:35" x14ac:dyDescent="0.25">
      <c r="B723" s="32"/>
      <c r="C723" s="33"/>
      <c r="D723" s="34"/>
      <c r="E723" s="35"/>
      <c r="L723" s="37"/>
      <c r="Q723" s="35"/>
    </row>
    <row r="724" spans="1:35" x14ac:dyDescent="0.25">
      <c r="B724" s="32"/>
      <c r="C724" s="33"/>
      <c r="D724" s="34"/>
      <c r="E724" s="35"/>
      <c r="L724" s="37"/>
      <c r="Q724" s="35"/>
    </row>
    <row r="725" spans="1:35" x14ac:dyDescent="0.25">
      <c r="B725" s="32"/>
      <c r="C725" s="33"/>
      <c r="D725" s="34"/>
      <c r="E725" s="35"/>
      <c r="L725" s="37"/>
      <c r="Q725" s="35"/>
    </row>
    <row r="726" spans="1:35" x14ac:dyDescent="0.25">
      <c r="B726" s="32"/>
      <c r="C726" s="33"/>
      <c r="D726" s="34"/>
      <c r="E726" s="35"/>
      <c r="L726" s="37"/>
      <c r="Q726" s="35"/>
    </row>
    <row r="727" spans="1:35" x14ac:dyDescent="0.25">
      <c r="B727" s="32"/>
      <c r="C727" s="33"/>
      <c r="D727" s="34"/>
      <c r="E727" s="35"/>
      <c r="L727" s="37"/>
      <c r="Q727" s="35"/>
    </row>
    <row r="728" spans="1:35" x14ac:dyDescent="0.25">
      <c r="B728" s="32"/>
      <c r="C728" s="33"/>
      <c r="D728" s="34"/>
      <c r="E728" s="35"/>
      <c r="L728" s="37"/>
      <c r="Q728" s="35"/>
    </row>
    <row r="729" spans="1:35" x14ac:dyDescent="0.25">
      <c r="B729" s="32"/>
      <c r="C729" s="33"/>
      <c r="D729" s="34"/>
      <c r="E729" s="35"/>
      <c r="L729" s="37"/>
      <c r="Q729" s="35"/>
    </row>
    <row r="730" spans="1:35" x14ac:dyDescent="0.25">
      <c r="B730" s="32"/>
      <c r="C730" s="33"/>
      <c r="D730" s="34"/>
      <c r="E730" s="35"/>
      <c r="L730" s="37"/>
      <c r="Q730" s="35"/>
    </row>
    <row r="731" spans="1:35" x14ac:dyDescent="0.25">
      <c r="B731" s="32"/>
      <c r="C731" s="33"/>
      <c r="D731" s="34"/>
      <c r="E731" s="35"/>
      <c r="L731" s="37"/>
      <c r="Q731" s="35"/>
    </row>
    <row r="732" spans="1:35" x14ac:dyDescent="0.25">
      <c r="B732" s="32"/>
      <c r="C732" s="33"/>
      <c r="D732" s="34"/>
      <c r="E732" s="35"/>
      <c r="L732" s="37"/>
      <c r="Q732" s="35"/>
    </row>
    <row r="733" spans="1:35" x14ac:dyDescent="0.25">
      <c r="B733" s="32"/>
      <c r="C733" s="33"/>
      <c r="D733" s="34"/>
      <c r="E733" s="35"/>
      <c r="L733" s="37"/>
      <c r="Q733" s="35"/>
    </row>
    <row r="734" spans="1:35" x14ac:dyDescent="0.25">
      <c r="B734" s="32"/>
      <c r="C734" s="33"/>
      <c r="D734" s="34"/>
      <c r="E734" s="35"/>
      <c r="L734" s="37"/>
      <c r="Q734" s="35"/>
    </row>
    <row r="735" spans="1:35" x14ac:dyDescent="0.25">
      <c r="B735" s="32"/>
      <c r="C735" s="33"/>
      <c r="D735" s="34"/>
      <c r="E735" s="35"/>
      <c r="L735" s="37"/>
      <c r="Q735" s="35"/>
    </row>
    <row r="736" spans="1:35" s="18" customFormat="1" x14ac:dyDescent="0.25">
      <c r="A736" s="16"/>
      <c r="B736" s="16"/>
      <c r="C736" s="16"/>
      <c r="D736" s="17"/>
      <c r="E736" s="16"/>
      <c r="F736"/>
      <c r="G736"/>
      <c r="H736"/>
      <c r="J736" s="16"/>
      <c r="K736" s="16"/>
      <c r="L736" s="37"/>
      <c r="N736" s="16"/>
      <c r="O736" s="16"/>
      <c r="P736" s="16"/>
      <c r="Q736" s="16"/>
      <c r="R736" s="16"/>
      <c r="S736" s="16"/>
      <c r="T736" s="16"/>
      <c r="U736" s="16"/>
      <c r="V736" s="16"/>
      <c r="X736" s="16"/>
      <c r="AB736" s="16"/>
      <c r="AC736" s="16"/>
      <c r="AD736" s="16"/>
      <c r="AF736" s="16"/>
      <c r="AG736" s="16"/>
      <c r="AH736" s="16"/>
      <c r="AI736" s="16"/>
    </row>
    <row r="737" spans="1:35" s="18" customFormat="1" x14ac:dyDescent="0.25">
      <c r="A737" s="16"/>
      <c r="B737" s="16"/>
      <c r="C737" s="16"/>
      <c r="D737" s="17"/>
      <c r="E737" s="16"/>
      <c r="F737"/>
      <c r="G737"/>
      <c r="H737"/>
      <c r="J737" s="16"/>
      <c r="K737" s="16"/>
      <c r="L737" s="37"/>
      <c r="N737" s="16"/>
      <c r="O737" s="16"/>
      <c r="P737" s="16"/>
      <c r="Q737" s="16"/>
      <c r="R737" s="16"/>
      <c r="S737" s="16"/>
      <c r="T737" s="16"/>
      <c r="U737" s="16"/>
      <c r="V737" s="16"/>
      <c r="X737" s="16"/>
      <c r="AB737" s="16"/>
      <c r="AC737" s="16"/>
      <c r="AD737" s="16"/>
      <c r="AF737" s="16"/>
      <c r="AG737" s="16"/>
      <c r="AH737" s="16"/>
      <c r="AI737" s="16"/>
    </row>
    <row r="738" spans="1:35" s="18" customFormat="1" x14ac:dyDescent="0.25">
      <c r="A738" s="16"/>
      <c r="B738" s="16"/>
      <c r="C738" s="16"/>
      <c r="D738" s="38"/>
      <c r="E738" s="16"/>
      <c r="F738"/>
      <c r="G738"/>
      <c r="H738"/>
      <c r="J738" s="16"/>
      <c r="K738" s="16"/>
      <c r="L738" s="37"/>
      <c r="N738" s="16"/>
      <c r="O738" s="16"/>
      <c r="P738" s="16"/>
      <c r="Q738" s="16"/>
      <c r="R738" s="16"/>
      <c r="S738" s="16"/>
      <c r="T738" s="16"/>
      <c r="U738" s="16"/>
      <c r="V738" s="16"/>
      <c r="X738" s="16"/>
      <c r="AB738" s="16"/>
      <c r="AC738" s="16"/>
      <c r="AD738" s="16"/>
      <c r="AF738" s="16"/>
      <c r="AG738" s="16"/>
      <c r="AH738" s="16"/>
      <c r="AI738" s="16"/>
    </row>
    <row r="739" spans="1:35" s="18" customFormat="1" x14ac:dyDescent="0.25">
      <c r="A739" s="16"/>
      <c r="B739" s="16"/>
      <c r="C739" s="16"/>
      <c r="D739" s="17"/>
      <c r="E739" s="16"/>
      <c r="F739"/>
      <c r="G739"/>
      <c r="H739"/>
      <c r="J739" s="16"/>
      <c r="K739" s="16"/>
      <c r="L739" s="37"/>
      <c r="N739" s="16"/>
      <c r="O739" s="16"/>
      <c r="P739" s="16"/>
      <c r="Q739" s="16"/>
      <c r="R739" s="16"/>
      <c r="S739" s="16"/>
      <c r="T739" s="16"/>
      <c r="U739" s="16"/>
      <c r="V739" s="16"/>
      <c r="X739" s="16"/>
      <c r="AB739" s="16"/>
      <c r="AC739" s="16"/>
      <c r="AD739" s="16"/>
      <c r="AF739" s="16"/>
      <c r="AG739" s="16"/>
      <c r="AH739" s="16"/>
      <c r="AI739" s="16"/>
    </row>
    <row r="740" spans="1:35" s="18" customFormat="1" x14ac:dyDescent="0.25">
      <c r="A740" s="16"/>
      <c r="B740" s="16"/>
      <c r="C740" s="16"/>
      <c r="D740" s="17"/>
      <c r="E740" s="16"/>
      <c r="F740"/>
      <c r="G740"/>
      <c r="H740"/>
      <c r="J740" s="16"/>
      <c r="K740" s="16"/>
      <c r="L740" s="37"/>
      <c r="N740" s="16"/>
      <c r="O740" s="16"/>
      <c r="P740" s="16"/>
      <c r="Q740" s="16"/>
      <c r="R740" s="16"/>
      <c r="S740" s="16"/>
      <c r="T740" s="16"/>
      <c r="U740" s="16"/>
      <c r="V740" s="16"/>
      <c r="X740" s="16"/>
      <c r="AB740" s="16"/>
      <c r="AC740" s="16"/>
      <c r="AD740" s="16"/>
      <c r="AF740" s="16"/>
      <c r="AG740" s="16"/>
      <c r="AH740" s="16"/>
      <c r="AI740" s="16"/>
    </row>
    <row r="741" spans="1:35" s="18" customFormat="1" x14ac:dyDescent="0.25">
      <c r="A741" s="16"/>
      <c r="B741" s="16"/>
      <c r="C741" s="16"/>
      <c r="D741" s="17"/>
      <c r="E741" s="16"/>
      <c r="F741"/>
      <c r="G741"/>
      <c r="H741"/>
      <c r="J741" s="16"/>
      <c r="K741" s="16"/>
      <c r="L741" s="37"/>
      <c r="N741" s="16"/>
      <c r="O741" s="16"/>
      <c r="P741" s="16"/>
      <c r="Q741" s="16"/>
      <c r="R741" s="16"/>
      <c r="S741" s="16"/>
      <c r="T741" s="16"/>
      <c r="U741" s="16"/>
      <c r="V741" s="16"/>
      <c r="X741" s="16"/>
      <c r="AB741" s="16"/>
      <c r="AC741" s="16"/>
      <c r="AD741" s="16"/>
      <c r="AF741" s="16"/>
      <c r="AG741" s="16"/>
      <c r="AH741" s="16"/>
      <c r="AI741" s="16"/>
    </row>
    <row r="742" spans="1:35" s="18" customFormat="1" x14ac:dyDescent="0.25">
      <c r="A742" s="16"/>
      <c r="B742" s="39"/>
      <c r="C742"/>
      <c r="D742" s="40"/>
      <c r="E742"/>
      <c r="F742"/>
      <c r="G742"/>
      <c r="H742"/>
      <c r="J742" s="16"/>
      <c r="K742" s="16"/>
      <c r="L742" s="37"/>
      <c r="N742" s="16"/>
      <c r="O742" s="16"/>
      <c r="P742" s="16"/>
      <c r="Q742" s="16"/>
      <c r="R742" s="16"/>
      <c r="S742" s="16"/>
      <c r="T742" s="16"/>
      <c r="U742" s="16"/>
      <c r="V742" s="16"/>
      <c r="X742" s="16"/>
      <c r="AB742" s="16"/>
      <c r="AC742" s="16"/>
      <c r="AD742" s="16"/>
      <c r="AF742" s="16"/>
      <c r="AG742" s="16"/>
      <c r="AH742" s="16"/>
      <c r="AI742" s="16"/>
    </row>
    <row r="743" spans="1:35" s="18" customFormat="1" x14ac:dyDescent="0.25">
      <c r="A743" s="16"/>
      <c r="B743" s="41"/>
      <c r="C743"/>
      <c r="D743" s="40"/>
      <c r="E743" s="42"/>
      <c r="F743"/>
      <c r="G743"/>
      <c r="H743"/>
      <c r="J743" s="16"/>
      <c r="K743" s="16"/>
      <c r="L743" s="37"/>
      <c r="N743" s="16"/>
      <c r="O743" s="16"/>
      <c r="P743" s="16"/>
      <c r="Q743" s="16"/>
      <c r="R743" s="16"/>
      <c r="S743" s="16"/>
      <c r="T743" s="16"/>
      <c r="U743" s="16"/>
      <c r="V743" s="16"/>
      <c r="X743" s="16"/>
      <c r="AB743" s="16"/>
      <c r="AC743" s="16"/>
      <c r="AD743" s="16"/>
      <c r="AF743" s="16"/>
      <c r="AG743" s="16"/>
      <c r="AH743" s="16"/>
      <c r="AI743" s="16"/>
    </row>
    <row r="744" spans="1:35" s="18" customFormat="1" x14ac:dyDescent="0.25">
      <c r="A744" s="16"/>
      <c r="B744" s="41"/>
      <c r="C744"/>
      <c r="D744" s="40"/>
      <c r="E744" s="42"/>
      <c r="F744"/>
      <c r="G744"/>
      <c r="H744"/>
      <c r="J744" s="16"/>
      <c r="K744" s="16"/>
      <c r="L744" s="37"/>
      <c r="N744" s="16"/>
      <c r="O744" s="16"/>
      <c r="P744" s="16"/>
      <c r="Q744" s="16"/>
      <c r="R744" s="16"/>
      <c r="S744" s="16"/>
      <c r="T744" s="16"/>
      <c r="U744" s="16"/>
      <c r="V744" s="16"/>
      <c r="X744" s="16"/>
      <c r="AB744" s="16"/>
      <c r="AC744" s="16"/>
      <c r="AD744" s="16"/>
      <c r="AF744" s="16"/>
      <c r="AG744" s="16"/>
      <c r="AH744" s="16"/>
      <c r="AI744" s="16"/>
    </row>
    <row r="745" spans="1:35" s="18" customFormat="1" x14ac:dyDescent="0.25">
      <c r="A745" s="16"/>
      <c r="B745" s="41"/>
      <c r="C745"/>
      <c r="D745" s="40"/>
      <c r="E745" s="42"/>
      <c r="F745"/>
      <c r="G745"/>
      <c r="H745"/>
      <c r="J745" s="16"/>
      <c r="K745" s="16"/>
      <c r="L745" s="37"/>
      <c r="N745" s="16"/>
      <c r="O745" s="16"/>
      <c r="P745" s="16"/>
      <c r="Q745" s="16"/>
      <c r="R745" s="16"/>
      <c r="S745" s="16"/>
      <c r="T745" s="16"/>
      <c r="U745" s="16"/>
      <c r="V745" s="16"/>
      <c r="X745" s="16"/>
      <c r="AB745" s="16"/>
      <c r="AC745" s="16"/>
      <c r="AD745" s="16"/>
      <c r="AF745" s="16"/>
      <c r="AG745" s="16"/>
      <c r="AH745" s="16"/>
      <c r="AI745" s="16"/>
    </row>
    <row r="746" spans="1:35" s="18" customFormat="1" x14ac:dyDescent="0.25">
      <c r="A746" s="16"/>
      <c r="B746"/>
      <c r="C746"/>
      <c r="D746" s="40"/>
      <c r="E746"/>
      <c r="F746"/>
      <c r="G746"/>
      <c r="H746"/>
      <c r="J746" s="16"/>
      <c r="K746" s="16"/>
      <c r="L746" s="37"/>
      <c r="N746" s="16"/>
      <c r="O746" s="16"/>
      <c r="P746" s="16"/>
      <c r="Q746" s="16"/>
      <c r="R746" s="16"/>
      <c r="S746" s="16"/>
      <c r="T746" s="16"/>
      <c r="U746" s="16"/>
      <c r="V746" s="16"/>
      <c r="X746" s="16"/>
      <c r="AB746" s="16"/>
      <c r="AC746" s="16"/>
      <c r="AD746" s="16"/>
      <c r="AF746" s="16"/>
      <c r="AG746" s="16"/>
      <c r="AH746" s="16"/>
      <c r="AI746" s="16"/>
    </row>
    <row r="747" spans="1:35" s="18" customFormat="1" x14ac:dyDescent="0.25">
      <c r="A747" s="16"/>
      <c r="B747" s="41"/>
      <c r="C747"/>
      <c r="D747" s="40"/>
      <c r="E747" s="25"/>
      <c r="F747"/>
      <c r="G747"/>
      <c r="H747"/>
      <c r="J747" s="16"/>
      <c r="K747" s="16"/>
      <c r="L747" s="37"/>
      <c r="N747" s="16"/>
      <c r="O747" s="16"/>
      <c r="P747" s="16"/>
      <c r="Q747" s="16"/>
      <c r="R747" s="16"/>
      <c r="S747" s="16"/>
      <c r="T747" s="16"/>
      <c r="U747" s="16"/>
      <c r="V747" s="16"/>
      <c r="X747" s="16"/>
      <c r="AB747" s="16"/>
      <c r="AC747" s="16"/>
      <c r="AD747" s="16"/>
      <c r="AF747" s="16"/>
      <c r="AG747" s="16"/>
      <c r="AH747" s="16"/>
      <c r="AI747" s="16"/>
    </row>
    <row r="748" spans="1:35" s="18" customFormat="1" x14ac:dyDescent="0.25">
      <c r="A748" s="16"/>
      <c r="B748" s="16"/>
      <c r="C748" s="16"/>
      <c r="D748" s="17"/>
      <c r="E748" s="16"/>
      <c r="F748"/>
      <c r="G748"/>
      <c r="H748"/>
      <c r="J748" s="16"/>
      <c r="K748" s="16"/>
      <c r="L748" s="37"/>
      <c r="N748" s="16"/>
      <c r="O748" s="16"/>
      <c r="P748" s="16"/>
      <c r="Q748" s="16"/>
      <c r="R748" s="16"/>
      <c r="S748" s="16"/>
      <c r="T748" s="16"/>
      <c r="U748" s="16"/>
      <c r="V748" s="16"/>
      <c r="X748" s="16"/>
      <c r="AB748" s="16"/>
      <c r="AC748" s="16"/>
      <c r="AD748" s="16"/>
      <c r="AF748" s="16"/>
      <c r="AG748" s="16"/>
      <c r="AH748" s="16"/>
      <c r="AI748" s="16"/>
    </row>
    <row r="749" spans="1:35" s="18" customFormat="1" x14ac:dyDescent="0.25">
      <c r="A749" s="16"/>
      <c r="B749" s="16"/>
      <c r="C749" s="16"/>
      <c r="D749" s="17"/>
      <c r="E749" s="16"/>
      <c r="F749"/>
      <c r="G749"/>
      <c r="H749"/>
      <c r="J749" s="16"/>
      <c r="K749" s="16"/>
      <c r="L749" s="37"/>
      <c r="N749" s="16"/>
      <c r="O749" s="16"/>
      <c r="P749" s="16"/>
      <c r="Q749" s="16"/>
      <c r="R749" s="16"/>
      <c r="S749" s="16"/>
      <c r="T749" s="16"/>
      <c r="U749" s="16"/>
      <c r="V749" s="16"/>
      <c r="X749" s="16"/>
      <c r="AB749" s="16"/>
      <c r="AC749" s="16"/>
      <c r="AD749" s="16"/>
      <c r="AF749" s="16"/>
      <c r="AG749" s="16"/>
      <c r="AH749" s="16"/>
      <c r="AI749" s="16"/>
    </row>
    <row r="750" spans="1:35" s="18" customFormat="1" x14ac:dyDescent="0.25">
      <c r="A750" s="16"/>
      <c r="B750" s="16"/>
      <c r="C750" s="16"/>
      <c r="D750" s="17"/>
      <c r="E750" s="16"/>
      <c r="F750"/>
      <c r="G750"/>
      <c r="H750"/>
      <c r="J750" s="16"/>
      <c r="K750" s="16"/>
      <c r="L750" s="37"/>
      <c r="N750" s="16"/>
      <c r="O750" s="16"/>
      <c r="P750" s="16"/>
      <c r="Q750" s="16"/>
      <c r="R750" s="16"/>
      <c r="S750" s="16"/>
      <c r="T750" s="16"/>
      <c r="U750" s="16"/>
      <c r="V750" s="16"/>
      <c r="X750" s="16"/>
      <c r="AB750" s="16"/>
      <c r="AC750" s="16"/>
      <c r="AD750" s="16"/>
      <c r="AF750" s="16"/>
      <c r="AG750" s="16"/>
      <c r="AH750" s="16"/>
      <c r="AI750" s="16"/>
    </row>
    <row r="751" spans="1:35" s="18" customFormat="1" x14ac:dyDescent="0.25">
      <c r="A751" s="16"/>
      <c r="B751" s="16"/>
      <c r="C751" s="16"/>
      <c r="D751" s="17"/>
      <c r="E751" s="16"/>
      <c r="F751"/>
      <c r="G751"/>
      <c r="H751"/>
      <c r="J751" s="16"/>
      <c r="K751" s="16"/>
      <c r="L751" s="37"/>
      <c r="N751" s="16"/>
      <c r="O751" s="16"/>
      <c r="P751" s="16"/>
      <c r="Q751" s="16"/>
      <c r="R751" s="16"/>
      <c r="S751" s="16"/>
      <c r="T751" s="16"/>
      <c r="U751" s="16"/>
      <c r="V751" s="16"/>
      <c r="X751" s="16"/>
      <c r="AB751" s="16"/>
      <c r="AC751" s="16"/>
      <c r="AD751" s="16"/>
      <c r="AF751" s="16"/>
      <c r="AG751" s="16"/>
      <c r="AH751" s="16"/>
      <c r="AI751" s="16"/>
    </row>
    <row r="752" spans="1:35" s="18" customFormat="1" x14ac:dyDescent="0.25">
      <c r="A752" s="16"/>
      <c r="B752" s="16"/>
      <c r="C752" s="16"/>
      <c r="D752" s="17"/>
      <c r="E752" s="16"/>
      <c r="F752"/>
      <c r="G752"/>
      <c r="H752"/>
      <c r="J752" s="16"/>
      <c r="K752" s="16"/>
      <c r="L752" s="37"/>
      <c r="N752" s="16"/>
      <c r="O752" s="16"/>
      <c r="P752" s="16"/>
      <c r="Q752" s="16"/>
      <c r="R752" s="16"/>
      <c r="S752" s="16"/>
      <c r="T752" s="16"/>
      <c r="U752" s="16"/>
      <c r="V752" s="16"/>
      <c r="X752" s="16"/>
      <c r="AB752" s="16"/>
      <c r="AC752" s="16"/>
      <c r="AD752" s="16"/>
      <c r="AF752" s="16"/>
      <c r="AG752" s="16"/>
      <c r="AH752" s="16"/>
      <c r="AI752" s="16"/>
    </row>
    <row r="753" spans="1:35" s="18" customFormat="1" x14ac:dyDescent="0.25">
      <c r="A753" s="16"/>
      <c r="B753" s="16"/>
      <c r="C753" s="16"/>
      <c r="D753" s="17"/>
      <c r="E753" s="16"/>
      <c r="F753"/>
      <c r="G753"/>
      <c r="H753"/>
      <c r="J753" s="16"/>
      <c r="K753" s="16"/>
      <c r="L753" s="37"/>
      <c r="N753" s="16"/>
      <c r="O753" s="16"/>
      <c r="P753" s="16"/>
      <c r="Q753" s="16"/>
      <c r="R753" s="16"/>
      <c r="S753" s="16"/>
      <c r="T753" s="16"/>
      <c r="U753" s="16"/>
      <c r="V753" s="16"/>
      <c r="X753" s="16"/>
      <c r="AB753" s="16"/>
      <c r="AC753" s="16"/>
      <c r="AD753" s="16"/>
      <c r="AF753" s="16"/>
      <c r="AG753" s="16"/>
      <c r="AH753" s="16"/>
      <c r="AI753" s="16"/>
    </row>
    <row r="754" spans="1:35" s="18" customFormat="1" x14ac:dyDescent="0.25">
      <c r="A754" s="16"/>
      <c r="B754" s="16"/>
      <c r="C754" s="16"/>
      <c r="D754" s="17"/>
      <c r="E754" s="16"/>
      <c r="F754"/>
      <c r="G754"/>
      <c r="H754"/>
      <c r="J754" s="16"/>
      <c r="K754" s="16"/>
      <c r="L754" s="37"/>
      <c r="N754" s="16"/>
      <c r="O754" s="16"/>
      <c r="P754" s="16"/>
      <c r="Q754" s="16"/>
      <c r="R754" s="16"/>
      <c r="S754" s="16"/>
      <c r="T754" s="16"/>
      <c r="U754" s="16"/>
      <c r="V754" s="16"/>
      <c r="X754" s="16"/>
      <c r="AB754" s="16"/>
      <c r="AC754" s="16"/>
      <c r="AD754" s="16"/>
      <c r="AF754" s="16"/>
      <c r="AG754" s="16"/>
      <c r="AH754" s="16"/>
      <c r="AI754" s="16"/>
    </row>
    <row r="755" spans="1:35" s="18" customFormat="1" x14ac:dyDescent="0.25">
      <c r="A755" s="16"/>
      <c r="B755" s="16"/>
      <c r="C755" s="16"/>
      <c r="D755" s="17"/>
      <c r="E755" s="16"/>
      <c r="F755"/>
      <c r="G755"/>
      <c r="H755"/>
      <c r="J755" s="16"/>
      <c r="K755" s="16"/>
      <c r="L755" s="37"/>
      <c r="N755" s="16"/>
      <c r="O755" s="16"/>
      <c r="P755" s="16"/>
      <c r="Q755" s="16"/>
      <c r="R755" s="16"/>
      <c r="S755" s="16"/>
      <c r="T755" s="16"/>
      <c r="U755" s="16"/>
      <c r="V755" s="16"/>
      <c r="X755" s="16"/>
      <c r="AB755" s="16"/>
      <c r="AC755" s="16"/>
      <c r="AD755" s="16"/>
      <c r="AF755" s="16"/>
      <c r="AG755" s="16"/>
      <c r="AH755" s="16"/>
      <c r="AI755" s="16"/>
    </row>
    <row r="756" spans="1:35" s="18" customFormat="1" x14ac:dyDescent="0.25">
      <c r="A756" s="16"/>
      <c r="B756" s="16"/>
      <c r="C756" s="16"/>
      <c r="D756" s="17"/>
      <c r="E756" s="16"/>
      <c r="F756"/>
      <c r="G756"/>
      <c r="H756"/>
      <c r="J756" s="16"/>
      <c r="K756" s="16"/>
      <c r="L756" s="37"/>
      <c r="N756" s="16"/>
      <c r="O756" s="16"/>
      <c r="P756" s="16"/>
      <c r="Q756" s="16"/>
      <c r="R756" s="16"/>
      <c r="S756" s="16"/>
      <c r="T756" s="16"/>
      <c r="U756" s="16"/>
      <c r="V756" s="16"/>
      <c r="X756" s="16"/>
      <c r="AB756" s="16"/>
      <c r="AC756" s="16"/>
      <c r="AD756" s="16"/>
      <c r="AF756" s="16"/>
      <c r="AG756" s="16"/>
      <c r="AH756" s="16"/>
      <c r="AI756" s="16"/>
    </row>
    <row r="757" spans="1:35" s="18" customFormat="1" x14ac:dyDescent="0.25">
      <c r="A757" s="16"/>
      <c r="B757" s="16"/>
      <c r="C757" s="16"/>
      <c r="D757" s="17"/>
      <c r="E757" s="16"/>
      <c r="F757"/>
      <c r="G757"/>
      <c r="H757"/>
      <c r="J757" s="16"/>
      <c r="K757" s="16"/>
      <c r="L757" s="37"/>
      <c r="N757" s="16"/>
      <c r="O757" s="16"/>
      <c r="P757" s="16"/>
      <c r="Q757" s="16"/>
      <c r="R757" s="16"/>
      <c r="S757" s="16"/>
      <c r="T757" s="16"/>
      <c r="U757" s="16"/>
      <c r="V757" s="16"/>
      <c r="X757" s="16"/>
      <c r="AB757" s="16"/>
      <c r="AC757" s="16"/>
      <c r="AD757" s="16"/>
      <c r="AF757" s="16"/>
      <c r="AG757" s="16"/>
      <c r="AH757" s="16"/>
      <c r="AI757" s="16"/>
    </row>
    <row r="758" spans="1:35" s="18" customFormat="1" x14ac:dyDescent="0.25">
      <c r="A758" s="16"/>
      <c r="B758" s="16"/>
      <c r="C758" s="16"/>
      <c r="D758" s="17"/>
      <c r="E758" s="16"/>
      <c r="F758"/>
      <c r="G758"/>
      <c r="H758"/>
      <c r="J758" s="16"/>
      <c r="K758" s="16"/>
      <c r="L758" s="37"/>
      <c r="N758" s="16"/>
      <c r="O758" s="16"/>
      <c r="P758" s="16"/>
      <c r="Q758" s="16"/>
      <c r="R758" s="16"/>
      <c r="S758" s="16"/>
      <c r="T758" s="16"/>
      <c r="U758" s="16"/>
      <c r="V758" s="16"/>
      <c r="X758" s="16"/>
      <c r="AB758" s="16"/>
      <c r="AC758" s="16"/>
      <c r="AD758" s="16"/>
      <c r="AF758" s="16"/>
      <c r="AG758" s="16"/>
      <c r="AH758" s="16"/>
      <c r="AI758" s="16"/>
    </row>
    <row r="759" spans="1:35" s="18" customFormat="1" x14ac:dyDescent="0.25">
      <c r="A759" s="16"/>
      <c r="B759" s="16"/>
      <c r="C759" s="16"/>
      <c r="D759" s="17"/>
      <c r="E759" s="16"/>
      <c r="F759"/>
      <c r="G759"/>
      <c r="H759"/>
      <c r="J759" s="16"/>
      <c r="K759" s="16"/>
      <c r="L759" s="37"/>
      <c r="N759" s="16"/>
      <c r="O759" s="16"/>
      <c r="P759" s="16"/>
      <c r="Q759" s="16"/>
      <c r="R759" s="16"/>
      <c r="S759" s="16"/>
      <c r="T759" s="16"/>
      <c r="U759" s="16"/>
      <c r="V759" s="16"/>
      <c r="X759" s="16"/>
      <c r="AB759" s="16"/>
      <c r="AC759" s="16"/>
      <c r="AD759" s="16"/>
      <c r="AF759" s="16"/>
      <c r="AG759" s="16"/>
      <c r="AH759" s="16"/>
      <c r="AI759" s="16"/>
    </row>
    <row r="760" spans="1:35" s="18" customFormat="1" x14ac:dyDescent="0.25">
      <c r="A760" s="16"/>
      <c r="B760" s="16"/>
      <c r="C760" s="16"/>
      <c r="D760" s="17"/>
      <c r="E760" s="16"/>
      <c r="F760"/>
      <c r="G760"/>
      <c r="H760"/>
      <c r="J760" s="16"/>
      <c r="K760" s="16"/>
      <c r="L760" s="37"/>
      <c r="N760" s="16"/>
      <c r="O760" s="16"/>
      <c r="P760" s="16"/>
      <c r="Q760" s="16"/>
      <c r="R760" s="16"/>
      <c r="S760" s="16"/>
      <c r="T760" s="16"/>
      <c r="U760" s="16"/>
      <c r="V760" s="16"/>
      <c r="X760" s="16"/>
      <c r="AB760" s="16"/>
      <c r="AC760" s="16"/>
      <c r="AD760" s="16"/>
      <c r="AF760" s="16"/>
      <c r="AG760" s="16"/>
      <c r="AH760" s="16"/>
      <c r="AI760" s="16"/>
    </row>
    <row r="761" spans="1:35" s="18" customFormat="1" x14ac:dyDescent="0.25">
      <c r="A761" s="16"/>
      <c r="B761" s="16"/>
      <c r="C761" s="16"/>
      <c r="D761" s="17"/>
      <c r="E761" s="16"/>
      <c r="F761"/>
      <c r="G761"/>
      <c r="H761"/>
      <c r="J761" s="16"/>
      <c r="K761" s="16"/>
      <c r="L761" s="37"/>
      <c r="N761" s="16"/>
      <c r="O761" s="16"/>
      <c r="P761" s="16"/>
      <c r="Q761" s="16"/>
      <c r="R761" s="16"/>
      <c r="S761" s="16"/>
      <c r="T761" s="16"/>
      <c r="U761" s="16"/>
      <c r="V761" s="16"/>
      <c r="X761" s="16"/>
      <c r="AB761" s="16"/>
      <c r="AC761" s="16"/>
      <c r="AD761" s="16"/>
      <c r="AF761" s="16"/>
      <c r="AG761" s="16"/>
      <c r="AH761" s="16"/>
      <c r="AI761" s="16"/>
    </row>
    <row r="762" spans="1:35" s="18" customFormat="1" x14ac:dyDescent="0.25">
      <c r="A762" s="16"/>
      <c r="B762" s="16"/>
      <c r="C762" s="16"/>
      <c r="D762" s="17"/>
      <c r="E762" s="16"/>
      <c r="F762"/>
      <c r="G762"/>
      <c r="H762"/>
      <c r="J762" s="16"/>
      <c r="K762" s="16"/>
      <c r="L762" s="37"/>
      <c r="N762" s="16"/>
      <c r="O762" s="16"/>
      <c r="P762" s="16"/>
      <c r="Q762" s="16"/>
      <c r="R762" s="16"/>
      <c r="S762" s="16"/>
      <c r="T762" s="16"/>
      <c r="U762" s="16"/>
      <c r="V762" s="16"/>
      <c r="X762" s="16"/>
      <c r="AB762" s="16"/>
      <c r="AC762" s="16"/>
      <c r="AD762" s="16"/>
      <c r="AF762" s="16"/>
      <c r="AG762" s="16"/>
      <c r="AH762" s="16"/>
      <c r="AI762" s="16"/>
    </row>
    <row r="763" spans="1:35" s="18" customFormat="1" x14ac:dyDescent="0.25">
      <c r="A763" s="16"/>
      <c r="B763" s="16"/>
      <c r="C763" s="16"/>
      <c r="D763" s="17"/>
      <c r="E763" s="16"/>
      <c r="F763"/>
      <c r="G763"/>
      <c r="H763"/>
      <c r="J763" s="16"/>
      <c r="K763" s="16"/>
      <c r="L763" s="37"/>
      <c r="N763" s="16"/>
      <c r="O763" s="16"/>
      <c r="P763" s="16"/>
      <c r="Q763" s="16"/>
      <c r="R763" s="16"/>
      <c r="S763" s="16"/>
      <c r="T763" s="16"/>
      <c r="U763" s="16"/>
      <c r="V763" s="16"/>
      <c r="X763" s="16"/>
      <c r="AB763" s="16"/>
      <c r="AC763" s="16"/>
      <c r="AD763" s="16"/>
      <c r="AF763" s="16"/>
      <c r="AG763" s="16"/>
      <c r="AH763" s="16"/>
      <c r="AI763" s="16"/>
    </row>
    <row r="764" spans="1:35" s="18" customFormat="1" x14ac:dyDescent="0.25">
      <c r="A764" s="16"/>
      <c r="B764" s="16"/>
      <c r="C764" s="16"/>
      <c r="D764" s="17"/>
      <c r="E764" s="16"/>
      <c r="F764"/>
      <c r="G764"/>
      <c r="H764"/>
      <c r="J764" s="16"/>
      <c r="K764" s="16"/>
      <c r="L764" s="37"/>
      <c r="N764" s="16"/>
      <c r="O764" s="16"/>
      <c r="P764" s="16"/>
      <c r="Q764" s="16"/>
      <c r="R764" s="16"/>
      <c r="S764" s="16"/>
      <c r="T764" s="16"/>
      <c r="U764" s="16"/>
      <c r="V764" s="16"/>
      <c r="X764" s="16"/>
      <c r="AB764" s="16"/>
      <c r="AC764" s="16"/>
      <c r="AD764" s="16"/>
      <c r="AF764" s="16"/>
      <c r="AG764" s="16"/>
      <c r="AH764" s="16"/>
      <c r="AI764" s="16"/>
    </row>
    <row r="765" spans="1:35" s="18" customFormat="1" x14ac:dyDescent="0.25">
      <c r="A765" s="16"/>
      <c r="B765" s="16"/>
      <c r="C765" s="16"/>
      <c r="D765" s="17"/>
      <c r="E765" s="16"/>
      <c r="F765"/>
      <c r="G765"/>
      <c r="H765"/>
      <c r="J765" s="16"/>
      <c r="K765" s="16"/>
      <c r="L765" s="37"/>
      <c r="N765" s="16"/>
      <c r="O765" s="16"/>
      <c r="P765" s="16"/>
      <c r="Q765" s="16"/>
      <c r="R765" s="16"/>
      <c r="S765" s="16"/>
      <c r="T765" s="16"/>
      <c r="U765" s="16"/>
      <c r="V765" s="16"/>
      <c r="X765" s="16"/>
      <c r="AB765" s="16"/>
      <c r="AC765" s="16"/>
      <c r="AD765" s="16"/>
      <c r="AF765" s="16"/>
      <c r="AG765" s="16"/>
      <c r="AH765" s="16"/>
      <c r="AI765" s="16"/>
    </row>
    <row r="766" spans="1:35" s="18" customFormat="1" x14ac:dyDescent="0.25">
      <c r="A766" s="16"/>
      <c r="B766" s="16"/>
      <c r="C766" s="16"/>
      <c r="D766" s="17"/>
      <c r="E766" s="16"/>
      <c r="F766"/>
      <c r="G766"/>
      <c r="H766"/>
      <c r="J766" s="16"/>
      <c r="K766" s="16"/>
      <c r="L766" s="37"/>
      <c r="N766" s="16"/>
      <c r="O766" s="16"/>
      <c r="P766" s="16"/>
      <c r="Q766" s="16"/>
      <c r="R766" s="16"/>
      <c r="S766" s="16"/>
      <c r="T766" s="16"/>
      <c r="U766" s="16"/>
      <c r="V766" s="16"/>
      <c r="X766" s="16"/>
      <c r="AB766" s="16"/>
      <c r="AC766" s="16"/>
      <c r="AD766" s="16"/>
      <c r="AF766" s="16"/>
      <c r="AG766" s="16"/>
      <c r="AH766" s="16"/>
      <c r="AI766" s="16"/>
    </row>
    <row r="767" spans="1:35" s="18" customFormat="1" x14ac:dyDescent="0.25">
      <c r="A767" s="16"/>
      <c r="B767" s="16"/>
      <c r="C767" s="16"/>
      <c r="D767" s="17"/>
      <c r="E767" s="16"/>
      <c r="F767"/>
      <c r="G767"/>
      <c r="H767"/>
      <c r="J767" s="16"/>
      <c r="K767" s="16"/>
      <c r="L767" s="37"/>
      <c r="N767" s="16"/>
      <c r="O767" s="16"/>
      <c r="P767" s="16"/>
      <c r="Q767" s="16"/>
      <c r="R767" s="16"/>
      <c r="S767" s="16"/>
      <c r="T767" s="16"/>
      <c r="U767" s="16"/>
      <c r="V767" s="16"/>
      <c r="X767" s="16"/>
      <c r="AB767" s="16"/>
      <c r="AC767" s="16"/>
      <c r="AD767" s="16"/>
      <c r="AF767" s="16"/>
      <c r="AG767" s="16"/>
      <c r="AH767" s="16"/>
      <c r="AI767" s="16"/>
    </row>
    <row r="768" spans="1:35" s="18" customFormat="1" x14ac:dyDescent="0.25">
      <c r="A768" s="16"/>
      <c r="B768" s="16"/>
      <c r="C768" s="16"/>
      <c r="D768" s="17"/>
      <c r="E768" s="16"/>
      <c r="F768"/>
      <c r="G768"/>
      <c r="H768"/>
      <c r="J768" s="16"/>
      <c r="K768" s="16"/>
      <c r="L768" s="37"/>
      <c r="N768" s="16"/>
      <c r="O768" s="16"/>
      <c r="P768" s="16"/>
      <c r="Q768" s="16"/>
      <c r="R768" s="16"/>
      <c r="S768" s="16"/>
      <c r="T768" s="16"/>
      <c r="U768" s="16"/>
      <c r="V768" s="16"/>
      <c r="X768" s="16"/>
      <c r="AB768" s="16"/>
      <c r="AC768" s="16"/>
      <c r="AD768" s="16"/>
      <c r="AF768" s="16"/>
      <c r="AG768" s="16"/>
      <c r="AH768" s="16"/>
      <c r="AI768" s="16"/>
    </row>
    <row r="769" spans="1:35" s="18" customFormat="1" x14ac:dyDescent="0.25">
      <c r="A769" s="16"/>
      <c r="B769" s="16"/>
      <c r="C769" s="16"/>
      <c r="D769" s="17"/>
      <c r="E769" s="16"/>
      <c r="F769"/>
      <c r="G769"/>
      <c r="H769"/>
      <c r="J769" s="16"/>
      <c r="K769" s="16"/>
      <c r="L769" s="37"/>
      <c r="N769" s="16"/>
      <c r="O769" s="16"/>
      <c r="P769" s="16"/>
      <c r="Q769" s="16"/>
      <c r="R769" s="16"/>
      <c r="S769" s="16"/>
      <c r="T769" s="16"/>
      <c r="U769" s="16"/>
      <c r="V769" s="16"/>
      <c r="X769" s="16"/>
      <c r="AB769" s="16"/>
      <c r="AC769" s="16"/>
      <c r="AD769" s="16"/>
      <c r="AF769" s="16"/>
      <c r="AG769" s="16"/>
      <c r="AH769" s="16"/>
      <c r="AI769" s="16"/>
    </row>
    <row r="770" spans="1:35" s="18" customFormat="1" x14ac:dyDescent="0.25">
      <c r="A770" s="16"/>
      <c r="B770" s="16"/>
      <c r="C770" s="16"/>
      <c r="D770" s="17"/>
      <c r="E770" s="16"/>
      <c r="F770"/>
      <c r="G770"/>
      <c r="H770"/>
      <c r="J770" s="16"/>
      <c r="K770" s="16"/>
      <c r="L770" s="37"/>
      <c r="N770" s="16"/>
      <c r="O770" s="16"/>
      <c r="P770" s="16"/>
      <c r="Q770" s="16"/>
      <c r="R770" s="16"/>
      <c r="S770" s="16"/>
      <c r="T770" s="16"/>
      <c r="U770" s="16"/>
      <c r="V770" s="16"/>
      <c r="X770" s="16"/>
      <c r="AB770" s="16"/>
      <c r="AC770" s="16"/>
      <c r="AD770" s="16"/>
      <c r="AF770" s="16"/>
      <c r="AG770" s="16"/>
      <c r="AH770" s="16"/>
      <c r="AI770" s="16"/>
    </row>
    <row r="771" spans="1:35" s="18" customFormat="1" x14ac:dyDescent="0.25">
      <c r="A771" s="16"/>
      <c r="B771" s="16"/>
      <c r="C771" s="16"/>
      <c r="D771" s="17"/>
      <c r="E771" s="16"/>
      <c r="F771"/>
      <c r="G771"/>
      <c r="H771"/>
      <c r="J771" s="16"/>
      <c r="K771" s="16"/>
      <c r="L771" s="37"/>
      <c r="N771" s="16"/>
      <c r="O771" s="16"/>
      <c r="P771" s="16"/>
      <c r="Q771" s="16"/>
      <c r="R771" s="16"/>
      <c r="S771" s="16"/>
      <c r="T771" s="16"/>
      <c r="U771" s="16"/>
      <c r="V771" s="16"/>
      <c r="X771" s="16"/>
      <c r="AB771" s="16"/>
      <c r="AC771" s="16"/>
      <c r="AD771" s="16"/>
      <c r="AF771" s="16"/>
      <c r="AG771" s="16"/>
      <c r="AH771" s="16"/>
      <c r="AI771" s="16"/>
    </row>
    <row r="772" spans="1:35" s="18" customFormat="1" x14ac:dyDescent="0.25">
      <c r="A772" s="16"/>
      <c r="B772" s="16"/>
      <c r="C772" s="16"/>
      <c r="D772" s="17"/>
      <c r="E772" s="16"/>
      <c r="F772"/>
      <c r="G772"/>
      <c r="H772"/>
      <c r="J772" s="16"/>
      <c r="K772" s="16"/>
      <c r="L772" s="37"/>
      <c r="N772" s="16"/>
      <c r="O772" s="16"/>
      <c r="P772" s="16"/>
      <c r="Q772" s="16"/>
      <c r="R772" s="16"/>
      <c r="S772" s="16"/>
      <c r="T772" s="16"/>
      <c r="U772" s="16"/>
      <c r="V772" s="16"/>
      <c r="X772" s="16"/>
      <c r="AB772" s="16"/>
      <c r="AC772" s="16"/>
      <c r="AD772" s="16"/>
      <c r="AF772" s="16"/>
      <c r="AG772" s="16"/>
      <c r="AH772" s="16"/>
      <c r="AI772" s="16"/>
    </row>
    <row r="773" spans="1:35" s="18" customFormat="1" x14ac:dyDescent="0.25">
      <c r="A773" s="16"/>
      <c r="B773" s="16"/>
      <c r="C773" s="16"/>
      <c r="D773" s="17"/>
      <c r="E773" s="16"/>
      <c r="F773"/>
      <c r="G773"/>
      <c r="H773"/>
      <c r="J773" s="16"/>
      <c r="K773" s="16"/>
      <c r="L773" s="37"/>
      <c r="N773" s="16"/>
      <c r="O773" s="16"/>
      <c r="P773" s="16"/>
      <c r="Q773" s="16"/>
      <c r="R773" s="16"/>
      <c r="S773" s="16"/>
      <c r="T773" s="16"/>
      <c r="U773" s="16"/>
      <c r="V773" s="16"/>
      <c r="X773" s="16"/>
      <c r="AB773" s="16"/>
      <c r="AC773" s="16"/>
      <c r="AD773" s="16"/>
      <c r="AF773" s="16"/>
      <c r="AG773" s="16"/>
      <c r="AH773" s="16"/>
      <c r="AI773" s="16"/>
    </row>
    <row r="774" spans="1:35" s="18" customFormat="1" x14ac:dyDescent="0.25">
      <c r="A774" s="16"/>
      <c r="B774" s="16"/>
      <c r="C774" s="16"/>
      <c r="D774" s="17"/>
      <c r="E774" s="16"/>
      <c r="F774"/>
      <c r="G774"/>
      <c r="H774"/>
      <c r="J774" s="16"/>
      <c r="K774" s="16"/>
      <c r="L774" s="37"/>
      <c r="N774" s="16"/>
      <c r="O774" s="16"/>
      <c r="P774" s="16"/>
      <c r="Q774" s="16"/>
      <c r="R774" s="16"/>
      <c r="S774" s="16"/>
      <c r="T774" s="16"/>
      <c r="U774" s="16"/>
      <c r="V774" s="16"/>
      <c r="X774" s="16"/>
      <c r="AB774" s="16"/>
      <c r="AC774" s="16"/>
      <c r="AD774" s="16"/>
      <c r="AF774" s="16"/>
      <c r="AG774" s="16"/>
      <c r="AH774" s="16"/>
      <c r="AI774" s="16"/>
    </row>
    <row r="775" spans="1:35" s="18" customFormat="1" x14ac:dyDescent="0.25">
      <c r="A775" s="16"/>
      <c r="B775" s="16"/>
      <c r="C775" s="16"/>
      <c r="D775" s="17"/>
      <c r="E775" s="16"/>
      <c r="F775"/>
      <c r="G775"/>
      <c r="H775"/>
      <c r="J775" s="16"/>
      <c r="K775" s="16"/>
      <c r="L775" s="37"/>
      <c r="N775" s="16"/>
      <c r="O775" s="16"/>
      <c r="P775" s="16"/>
      <c r="Q775" s="16"/>
      <c r="R775" s="16"/>
      <c r="S775" s="16"/>
      <c r="T775" s="16"/>
      <c r="U775" s="16"/>
      <c r="V775" s="16"/>
      <c r="X775" s="16"/>
      <c r="AB775" s="16"/>
      <c r="AC775" s="16"/>
      <c r="AD775" s="16"/>
      <c r="AF775" s="16"/>
      <c r="AG775" s="16"/>
      <c r="AH775" s="16"/>
      <c r="AI775" s="16"/>
    </row>
    <row r="776" spans="1:35" s="18" customFormat="1" x14ac:dyDescent="0.25">
      <c r="A776" s="16"/>
      <c r="B776" s="16"/>
      <c r="C776" s="16"/>
      <c r="D776" s="17"/>
      <c r="E776" s="16"/>
      <c r="F776"/>
      <c r="G776"/>
      <c r="H776"/>
      <c r="J776" s="16"/>
      <c r="K776" s="16"/>
      <c r="L776" s="37"/>
      <c r="N776" s="16"/>
      <c r="O776" s="16"/>
      <c r="P776" s="16"/>
      <c r="Q776" s="16"/>
      <c r="R776" s="16"/>
      <c r="S776" s="16"/>
      <c r="T776" s="16"/>
      <c r="U776" s="16"/>
      <c r="V776" s="16"/>
      <c r="X776" s="16"/>
      <c r="AB776" s="16"/>
      <c r="AC776" s="16"/>
      <c r="AD776" s="16"/>
      <c r="AF776" s="16"/>
      <c r="AG776" s="16"/>
      <c r="AH776" s="16"/>
      <c r="AI776" s="16"/>
    </row>
    <row r="777" spans="1:35" s="18" customFormat="1" x14ac:dyDescent="0.25">
      <c r="A777" s="16"/>
      <c r="B777" s="16"/>
      <c r="C777" s="16"/>
      <c r="D777" s="17"/>
      <c r="E777" s="16"/>
      <c r="F777"/>
      <c r="G777"/>
      <c r="H777"/>
      <c r="J777" s="16"/>
      <c r="K777" s="16"/>
      <c r="L777" s="37"/>
      <c r="N777" s="16"/>
      <c r="O777" s="16"/>
      <c r="P777" s="16"/>
      <c r="Q777" s="16"/>
      <c r="R777" s="16"/>
      <c r="S777" s="16"/>
      <c r="T777" s="16"/>
      <c r="U777" s="16"/>
      <c r="V777" s="16"/>
      <c r="X777" s="16"/>
      <c r="AB777" s="16"/>
      <c r="AC777" s="16"/>
      <c r="AD777" s="16"/>
      <c r="AF777" s="16"/>
      <c r="AG777" s="16"/>
      <c r="AH777" s="16"/>
      <c r="AI777" s="16"/>
    </row>
    <row r="778" spans="1:35" s="18" customFormat="1" x14ac:dyDescent="0.25">
      <c r="A778" s="16"/>
      <c r="B778" s="16"/>
      <c r="C778" s="16"/>
      <c r="D778" s="17"/>
      <c r="E778" s="16"/>
      <c r="F778"/>
      <c r="G778"/>
      <c r="H778"/>
      <c r="J778" s="16"/>
      <c r="K778" s="16"/>
      <c r="L778" s="37"/>
      <c r="N778" s="16"/>
      <c r="O778" s="16"/>
      <c r="P778" s="16"/>
      <c r="Q778" s="16"/>
      <c r="R778" s="16"/>
      <c r="S778" s="16"/>
      <c r="T778" s="16"/>
      <c r="U778" s="16"/>
      <c r="V778" s="16"/>
      <c r="X778" s="16"/>
      <c r="AB778" s="16"/>
      <c r="AC778" s="16"/>
      <c r="AD778" s="16"/>
      <c r="AF778" s="16"/>
      <c r="AG778" s="16"/>
      <c r="AH778" s="16"/>
      <c r="AI778" s="16"/>
    </row>
    <row r="779" spans="1:35" s="18" customFormat="1" x14ac:dyDescent="0.25">
      <c r="A779" s="16"/>
      <c r="B779" s="16"/>
      <c r="C779" s="16"/>
      <c r="D779" s="17"/>
      <c r="E779" s="16"/>
      <c r="F779"/>
      <c r="G779"/>
      <c r="H779"/>
      <c r="J779" s="16"/>
      <c r="K779" s="16"/>
      <c r="L779" s="37"/>
      <c r="N779" s="16"/>
      <c r="O779" s="16"/>
      <c r="P779" s="16"/>
      <c r="Q779" s="16"/>
      <c r="R779" s="16"/>
      <c r="S779" s="16"/>
      <c r="T779" s="16"/>
      <c r="U779" s="16"/>
      <c r="V779" s="16"/>
      <c r="X779" s="16"/>
      <c r="AB779" s="16"/>
      <c r="AC779" s="16"/>
      <c r="AD779" s="16"/>
      <c r="AF779" s="16"/>
      <c r="AG779" s="16"/>
      <c r="AH779" s="16"/>
      <c r="AI779" s="16"/>
    </row>
    <row r="780" spans="1:35" s="18" customFormat="1" x14ac:dyDescent="0.25">
      <c r="A780" s="16"/>
      <c r="B780" s="16"/>
      <c r="C780" s="16"/>
      <c r="D780" s="17"/>
      <c r="E780" s="16"/>
      <c r="F780"/>
      <c r="G780"/>
      <c r="H780"/>
      <c r="J780" s="16"/>
      <c r="K780" s="16"/>
      <c r="L780" s="37"/>
      <c r="N780" s="16"/>
      <c r="O780" s="16"/>
      <c r="P780" s="16"/>
      <c r="Q780" s="16"/>
      <c r="R780" s="16"/>
      <c r="S780" s="16"/>
      <c r="T780" s="16"/>
      <c r="U780" s="16"/>
      <c r="V780" s="16"/>
      <c r="X780" s="16"/>
      <c r="AB780" s="16"/>
      <c r="AC780" s="16"/>
      <c r="AD780" s="16"/>
      <c r="AF780" s="16"/>
      <c r="AG780" s="16"/>
      <c r="AH780" s="16"/>
      <c r="AI780" s="16"/>
    </row>
    <row r="781" spans="1:35" s="18" customFormat="1" x14ac:dyDescent="0.25">
      <c r="A781" s="16"/>
      <c r="B781" s="16"/>
      <c r="C781" s="16"/>
      <c r="D781" s="17"/>
      <c r="E781" s="16"/>
      <c r="F781"/>
      <c r="G781"/>
      <c r="H781"/>
      <c r="J781" s="16"/>
      <c r="K781" s="16"/>
      <c r="L781" s="37"/>
      <c r="N781" s="16"/>
      <c r="O781" s="16"/>
      <c r="P781" s="16"/>
      <c r="Q781" s="16"/>
      <c r="R781" s="16"/>
      <c r="S781" s="16"/>
      <c r="T781" s="16"/>
      <c r="U781" s="16"/>
      <c r="V781" s="16"/>
      <c r="X781" s="16"/>
      <c r="AB781" s="16"/>
      <c r="AC781" s="16"/>
      <c r="AD781" s="16"/>
      <c r="AF781" s="16"/>
      <c r="AG781" s="16"/>
      <c r="AH781" s="16"/>
      <c r="AI781" s="16"/>
    </row>
    <row r="782" spans="1:35" s="18" customFormat="1" x14ac:dyDescent="0.25">
      <c r="A782" s="16"/>
      <c r="B782" s="16"/>
      <c r="C782" s="16"/>
      <c r="D782" s="17"/>
      <c r="E782" s="16"/>
      <c r="F782"/>
      <c r="G782"/>
      <c r="H782"/>
      <c r="J782" s="16"/>
      <c r="K782" s="16"/>
      <c r="L782" s="37"/>
      <c r="N782" s="16"/>
      <c r="O782" s="16"/>
      <c r="P782" s="16"/>
      <c r="Q782" s="16"/>
      <c r="R782" s="16"/>
      <c r="S782" s="16"/>
      <c r="T782" s="16"/>
      <c r="U782" s="16"/>
      <c r="V782" s="16"/>
      <c r="X782" s="16"/>
      <c r="AB782" s="16"/>
      <c r="AC782" s="16"/>
      <c r="AD782" s="16"/>
      <c r="AF782" s="16"/>
      <c r="AG782" s="16"/>
      <c r="AH782" s="16"/>
      <c r="AI782" s="16"/>
    </row>
    <row r="783" spans="1:35" s="18" customFormat="1" x14ac:dyDescent="0.25">
      <c r="A783" s="16"/>
      <c r="B783" s="16"/>
      <c r="C783" s="16"/>
      <c r="D783" s="17"/>
      <c r="E783" s="16"/>
      <c r="F783"/>
      <c r="G783"/>
      <c r="H783"/>
      <c r="J783" s="16"/>
      <c r="K783" s="16"/>
      <c r="L783" s="37"/>
      <c r="N783" s="16"/>
      <c r="O783" s="16"/>
      <c r="P783" s="16"/>
      <c r="Q783" s="16"/>
      <c r="R783" s="16"/>
      <c r="S783" s="16"/>
      <c r="T783" s="16"/>
      <c r="U783" s="16"/>
      <c r="V783" s="16"/>
      <c r="X783" s="16"/>
      <c r="AB783" s="16"/>
      <c r="AC783" s="16"/>
      <c r="AD783" s="16"/>
      <c r="AF783" s="16"/>
      <c r="AG783" s="16"/>
      <c r="AH783" s="16"/>
      <c r="AI783" s="16"/>
    </row>
    <row r="784" spans="1:35" s="18" customFormat="1" x14ac:dyDescent="0.25">
      <c r="A784" s="16"/>
      <c r="B784" s="16"/>
      <c r="C784" s="16"/>
      <c r="D784" s="17"/>
      <c r="E784" s="16"/>
      <c r="F784"/>
      <c r="G784"/>
      <c r="H784"/>
      <c r="J784" s="16"/>
      <c r="K784" s="16"/>
      <c r="L784" s="37"/>
      <c r="N784" s="16"/>
      <c r="O784" s="16"/>
      <c r="P784" s="16"/>
      <c r="Q784" s="16"/>
      <c r="R784" s="16"/>
      <c r="S784" s="16"/>
      <c r="T784" s="16"/>
      <c r="U784" s="16"/>
      <c r="V784" s="16"/>
      <c r="X784" s="16"/>
      <c r="AB784" s="16"/>
      <c r="AC784" s="16"/>
      <c r="AD784" s="16"/>
      <c r="AF784" s="16"/>
      <c r="AG784" s="16"/>
      <c r="AH784" s="16"/>
      <c r="AI784" s="16"/>
    </row>
    <row r="785" spans="1:35" s="18" customFormat="1" x14ac:dyDescent="0.25">
      <c r="A785" s="16"/>
      <c r="B785" s="16"/>
      <c r="C785" s="16"/>
      <c r="D785" s="17"/>
      <c r="E785" s="16"/>
      <c r="F785"/>
      <c r="G785"/>
      <c r="H785"/>
      <c r="J785" s="16"/>
      <c r="K785" s="16"/>
      <c r="L785" s="37"/>
      <c r="N785" s="16"/>
      <c r="O785" s="16"/>
      <c r="P785" s="16"/>
      <c r="Q785" s="16"/>
      <c r="R785" s="16"/>
      <c r="S785" s="16"/>
      <c r="T785" s="16"/>
      <c r="U785" s="16"/>
      <c r="V785" s="16"/>
      <c r="X785" s="16"/>
      <c r="AB785" s="16"/>
      <c r="AC785" s="16"/>
      <c r="AD785" s="16"/>
      <c r="AF785" s="16"/>
      <c r="AG785" s="16"/>
      <c r="AH785" s="16"/>
      <c r="AI785" s="16"/>
    </row>
    <row r="786" spans="1:35" s="18" customFormat="1" x14ac:dyDescent="0.25">
      <c r="A786" s="16"/>
      <c r="B786" s="16"/>
      <c r="C786" s="16"/>
      <c r="D786" s="17"/>
      <c r="E786" s="16"/>
      <c r="F786"/>
      <c r="G786"/>
      <c r="H786"/>
      <c r="J786" s="16"/>
      <c r="K786" s="16"/>
      <c r="L786" s="37"/>
      <c r="N786" s="16"/>
      <c r="O786" s="16"/>
      <c r="P786" s="16"/>
      <c r="Q786" s="16"/>
      <c r="R786" s="16"/>
      <c r="S786" s="16"/>
      <c r="T786" s="16"/>
      <c r="U786" s="16"/>
      <c r="V786" s="16"/>
      <c r="X786" s="16"/>
      <c r="AB786" s="16"/>
      <c r="AC786" s="16"/>
      <c r="AD786" s="16"/>
      <c r="AF786" s="16"/>
      <c r="AG786" s="16"/>
      <c r="AH786" s="16"/>
      <c r="AI786" s="16"/>
    </row>
    <row r="787" spans="1:35" s="18" customFormat="1" x14ac:dyDescent="0.25">
      <c r="A787" s="16"/>
      <c r="B787" s="16"/>
      <c r="C787" s="16"/>
      <c r="D787" s="17"/>
      <c r="E787" s="16"/>
      <c r="F787"/>
      <c r="G787"/>
      <c r="H787"/>
      <c r="J787" s="16"/>
      <c r="K787" s="16"/>
      <c r="L787" s="37"/>
      <c r="N787" s="16"/>
      <c r="O787" s="16"/>
      <c r="P787" s="16"/>
      <c r="Q787" s="16"/>
      <c r="R787" s="16"/>
      <c r="S787" s="16"/>
      <c r="T787" s="16"/>
      <c r="U787" s="16"/>
      <c r="V787" s="16"/>
      <c r="X787" s="16"/>
      <c r="AB787" s="16"/>
      <c r="AC787" s="16"/>
      <c r="AD787" s="16"/>
      <c r="AF787" s="16"/>
      <c r="AG787" s="16"/>
      <c r="AH787" s="16"/>
      <c r="AI787" s="16"/>
    </row>
    <row r="788" spans="1:35" s="18" customFormat="1" x14ac:dyDescent="0.25">
      <c r="A788" s="16"/>
      <c r="B788" s="16"/>
      <c r="C788" s="16"/>
      <c r="D788" s="17"/>
      <c r="E788" s="16"/>
      <c r="F788"/>
      <c r="G788"/>
      <c r="H788"/>
      <c r="J788" s="16"/>
      <c r="K788" s="16"/>
      <c r="L788" s="37"/>
      <c r="N788" s="16"/>
      <c r="O788" s="16"/>
      <c r="P788" s="16"/>
      <c r="Q788" s="16"/>
      <c r="R788" s="16"/>
      <c r="S788" s="16"/>
      <c r="T788" s="16"/>
      <c r="U788" s="16"/>
      <c r="V788" s="16"/>
      <c r="X788" s="16"/>
      <c r="AB788" s="16"/>
      <c r="AC788" s="16"/>
      <c r="AD788" s="16"/>
      <c r="AF788" s="16"/>
      <c r="AG788" s="16"/>
      <c r="AH788" s="16"/>
      <c r="AI788" s="16"/>
    </row>
    <row r="789" spans="1:35" s="18" customFormat="1" x14ac:dyDescent="0.25">
      <c r="A789" s="16"/>
      <c r="B789" s="16"/>
      <c r="C789" s="16"/>
      <c r="D789" s="17"/>
      <c r="E789" s="16"/>
      <c r="F789"/>
      <c r="G789"/>
      <c r="H789"/>
      <c r="J789" s="16"/>
      <c r="K789" s="16"/>
      <c r="L789" s="37"/>
      <c r="N789" s="16"/>
      <c r="O789" s="16"/>
      <c r="P789" s="16"/>
      <c r="Q789" s="16"/>
      <c r="R789" s="16"/>
      <c r="S789" s="16"/>
      <c r="T789" s="16"/>
      <c r="U789" s="16"/>
      <c r="V789" s="16"/>
      <c r="X789" s="16"/>
      <c r="AB789" s="16"/>
      <c r="AC789" s="16"/>
      <c r="AD789" s="16"/>
      <c r="AF789" s="16"/>
      <c r="AG789" s="16"/>
      <c r="AH789" s="16"/>
      <c r="AI789" s="16"/>
    </row>
    <row r="790" spans="1:35" s="18" customFormat="1" x14ac:dyDescent="0.25">
      <c r="A790" s="16"/>
      <c r="B790" s="16"/>
      <c r="C790" s="16"/>
      <c r="D790" s="17"/>
      <c r="E790" s="16"/>
      <c r="F790"/>
      <c r="G790"/>
      <c r="H790"/>
      <c r="J790" s="16"/>
      <c r="K790" s="16"/>
      <c r="L790" s="37"/>
      <c r="N790" s="16"/>
      <c r="O790" s="16"/>
      <c r="P790" s="16"/>
      <c r="Q790" s="16"/>
      <c r="R790" s="16"/>
      <c r="S790" s="16"/>
      <c r="T790" s="16"/>
      <c r="U790" s="16"/>
      <c r="V790" s="16"/>
      <c r="X790" s="16"/>
      <c r="AB790" s="16"/>
      <c r="AC790" s="16"/>
      <c r="AD790" s="16"/>
      <c r="AF790" s="16"/>
      <c r="AG790" s="16"/>
      <c r="AH790" s="16"/>
      <c r="AI790" s="16"/>
    </row>
    <row r="791" spans="1:35" s="18" customFormat="1" x14ac:dyDescent="0.25">
      <c r="A791" s="16"/>
      <c r="B791" s="16"/>
      <c r="C791" s="16"/>
      <c r="D791" s="17"/>
      <c r="E791" s="16"/>
      <c r="F791"/>
      <c r="G791"/>
      <c r="H791"/>
      <c r="J791" s="16"/>
      <c r="K791" s="16"/>
      <c r="L791" s="37"/>
      <c r="N791" s="16"/>
      <c r="O791" s="16"/>
      <c r="P791" s="16"/>
      <c r="Q791" s="16"/>
      <c r="R791" s="16"/>
      <c r="S791" s="16"/>
      <c r="T791" s="16"/>
      <c r="U791" s="16"/>
      <c r="V791" s="16"/>
      <c r="X791" s="16"/>
      <c r="AB791" s="16"/>
      <c r="AC791" s="16"/>
      <c r="AD791" s="16"/>
      <c r="AF791" s="16"/>
      <c r="AG791" s="16"/>
      <c r="AH791" s="16"/>
      <c r="AI791" s="16"/>
    </row>
    <row r="792" spans="1:35" s="18" customFormat="1" x14ac:dyDescent="0.25">
      <c r="A792" s="16"/>
      <c r="B792" s="16"/>
      <c r="C792" s="16"/>
      <c r="D792" s="17"/>
      <c r="E792" s="16"/>
      <c r="F792"/>
      <c r="G792"/>
      <c r="H792"/>
      <c r="J792" s="16"/>
      <c r="K792" s="16"/>
      <c r="L792" s="37"/>
      <c r="N792" s="16"/>
      <c r="O792" s="16"/>
      <c r="P792" s="16"/>
      <c r="Q792" s="16"/>
      <c r="R792" s="16"/>
      <c r="S792" s="16"/>
      <c r="T792" s="16"/>
      <c r="U792" s="16"/>
      <c r="V792" s="16"/>
      <c r="X792" s="16"/>
      <c r="AB792" s="16"/>
      <c r="AC792" s="16"/>
      <c r="AD792" s="16"/>
      <c r="AF792" s="16"/>
      <c r="AG792" s="16"/>
      <c r="AH792" s="16"/>
      <c r="AI792" s="16"/>
    </row>
    <row r="793" spans="1:35" s="18" customFormat="1" x14ac:dyDescent="0.25">
      <c r="A793" s="16"/>
      <c r="B793" s="16"/>
      <c r="C793" s="16"/>
      <c r="D793" s="17"/>
      <c r="E793" s="16"/>
      <c r="F793"/>
      <c r="G793"/>
      <c r="H793"/>
      <c r="J793" s="16"/>
      <c r="K793" s="16"/>
      <c r="L793" s="37"/>
      <c r="N793" s="16"/>
      <c r="O793" s="16"/>
      <c r="P793" s="16"/>
      <c r="Q793" s="16"/>
      <c r="R793" s="16"/>
      <c r="S793" s="16"/>
      <c r="T793" s="16"/>
      <c r="U793" s="16"/>
      <c r="V793" s="16"/>
      <c r="X793" s="16"/>
      <c r="AB793" s="16"/>
      <c r="AC793" s="16"/>
      <c r="AD793" s="16"/>
      <c r="AF793" s="16"/>
      <c r="AG793" s="16"/>
      <c r="AH793" s="16"/>
      <c r="AI793" s="16"/>
    </row>
    <row r="794" spans="1:35" s="18" customFormat="1" x14ac:dyDescent="0.25">
      <c r="A794" s="16"/>
      <c r="B794" s="16"/>
      <c r="C794" s="16"/>
      <c r="D794" s="17"/>
      <c r="E794" s="16"/>
      <c r="F794"/>
      <c r="G794"/>
      <c r="H794"/>
      <c r="J794" s="16"/>
      <c r="K794" s="16"/>
      <c r="L794" s="37"/>
      <c r="N794" s="16"/>
      <c r="O794" s="16"/>
      <c r="P794" s="16"/>
      <c r="Q794" s="16"/>
      <c r="R794" s="16"/>
      <c r="S794" s="16"/>
      <c r="T794" s="16"/>
      <c r="U794" s="16"/>
      <c r="V794" s="16"/>
      <c r="X794" s="16"/>
      <c r="AB794" s="16"/>
      <c r="AC794" s="16"/>
      <c r="AD794" s="16"/>
      <c r="AF794" s="16"/>
      <c r="AG794" s="16"/>
      <c r="AH794" s="16"/>
      <c r="AI794" s="16"/>
    </row>
    <row r="795" spans="1:35" s="18" customFormat="1" x14ac:dyDescent="0.25">
      <c r="A795" s="16"/>
      <c r="B795" s="16"/>
      <c r="C795" s="16"/>
      <c r="D795" s="17"/>
      <c r="E795" s="16"/>
      <c r="F795"/>
      <c r="G795"/>
      <c r="H795"/>
      <c r="J795" s="16"/>
      <c r="K795" s="16"/>
      <c r="L795" s="37"/>
      <c r="N795" s="16"/>
      <c r="O795" s="16"/>
      <c r="P795" s="16"/>
      <c r="Q795" s="16"/>
      <c r="R795" s="16"/>
      <c r="S795" s="16"/>
      <c r="T795" s="16"/>
      <c r="U795" s="16"/>
      <c r="V795" s="16"/>
      <c r="X795" s="16"/>
      <c r="AB795" s="16"/>
      <c r="AC795" s="16"/>
      <c r="AD795" s="16"/>
      <c r="AF795" s="16"/>
      <c r="AG795" s="16"/>
      <c r="AH795" s="16"/>
      <c r="AI795" s="16"/>
    </row>
    <row r="796" spans="1:35" s="18" customFormat="1" x14ac:dyDescent="0.25">
      <c r="A796" s="16"/>
      <c r="B796" s="16"/>
      <c r="C796" s="16"/>
      <c r="D796" s="17"/>
      <c r="E796" s="16"/>
      <c r="F796"/>
      <c r="G796"/>
      <c r="H796"/>
      <c r="J796" s="16"/>
      <c r="K796" s="16"/>
      <c r="L796" s="37"/>
      <c r="N796" s="16"/>
      <c r="O796" s="16"/>
      <c r="P796" s="16"/>
      <c r="Q796" s="16"/>
      <c r="R796" s="16"/>
      <c r="S796" s="16"/>
      <c r="T796" s="16"/>
      <c r="U796" s="16"/>
      <c r="V796" s="16"/>
      <c r="X796" s="16"/>
      <c r="AB796" s="16"/>
      <c r="AC796" s="16"/>
      <c r="AD796" s="16"/>
      <c r="AF796" s="16"/>
      <c r="AG796" s="16"/>
      <c r="AH796" s="16"/>
      <c r="AI796" s="16"/>
    </row>
    <row r="797" spans="1:35" s="18" customFormat="1" x14ac:dyDescent="0.25">
      <c r="A797" s="16"/>
      <c r="B797" s="16"/>
      <c r="C797" s="16"/>
      <c r="D797" s="17"/>
      <c r="E797" s="16"/>
      <c r="F797"/>
      <c r="G797"/>
      <c r="H797"/>
      <c r="J797" s="16"/>
      <c r="K797" s="16"/>
      <c r="L797" s="37"/>
      <c r="N797" s="16"/>
      <c r="O797" s="16"/>
      <c r="P797" s="16"/>
      <c r="Q797" s="16"/>
      <c r="R797" s="16"/>
      <c r="S797" s="16"/>
      <c r="T797" s="16"/>
      <c r="U797" s="16"/>
      <c r="V797" s="16"/>
      <c r="X797" s="16"/>
      <c r="AB797" s="16"/>
      <c r="AC797" s="16"/>
      <c r="AD797" s="16"/>
      <c r="AF797" s="16"/>
      <c r="AG797" s="16"/>
      <c r="AH797" s="16"/>
      <c r="AI797" s="16"/>
    </row>
    <row r="798" spans="1:35" s="18" customFormat="1" x14ac:dyDescent="0.25">
      <c r="A798" s="16"/>
      <c r="B798" s="16"/>
      <c r="C798" s="16"/>
      <c r="D798" s="17"/>
      <c r="E798" s="16"/>
      <c r="F798"/>
      <c r="G798"/>
      <c r="H798"/>
      <c r="J798" s="16"/>
      <c r="K798" s="16"/>
      <c r="L798" s="37"/>
      <c r="N798" s="16"/>
      <c r="O798" s="16"/>
      <c r="P798" s="16"/>
      <c r="Q798" s="16"/>
      <c r="R798" s="16"/>
      <c r="S798" s="16"/>
      <c r="T798" s="16"/>
      <c r="U798" s="16"/>
      <c r="V798" s="16"/>
      <c r="X798" s="16"/>
      <c r="AB798" s="16"/>
      <c r="AC798" s="16"/>
      <c r="AD798" s="16"/>
      <c r="AF798" s="16"/>
      <c r="AG798" s="16"/>
      <c r="AH798" s="16"/>
      <c r="AI798" s="16"/>
    </row>
    <row r="799" spans="1:35" s="18" customFormat="1" x14ac:dyDescent="0.25">
      <c r="A799" s="16"/>
      <c r="B799" s="16"/>
      <c r="C799" s="16"/>
      <c r="D799" s="17"/>
      <c r="E799" s="16"/>
      <c r="F799"/>
      <c r="G799"/>
      <c r="H799"/>
      <c r="J799" s="16"/>
      <c r="K799" s="16"/>
      <c r="L799" s="37"/>
      <c r="N799" s="16"/>
      <c r="O799" s="16"/>
      <c r="P799" s="16"/>
      <c r="Q799" s="16"/>
      <c r="R799" s="16"/>
      <c r="S799" s="16"/>
      <c r="T799" s="16"/>
      <c r="U799" s="16"/>
      <c r="V799" s="16"/>
      <c r="X799" s="16"/>
      <c r="AB799" s="16"/>
      <c r="AC799" s="16"/>
      <c r="AD799" s="16"/>
      <c r="AF799" s="16"/>
      <c r="AG799" s="16"/>
      <c r="AH799" s="16"/>
      <c r="AI799" s="16"/>
    </row>
    <row r="800" spans="1:35" s="18" customFormat="1" x14ac:dyDescent="0.25">
      <c r="A800" s="16"/>
      <c r="B800" s="16"/>
      <c r="C800" s="16"/>
      <c r="D800" s="17"/>
      <c r="E800" s="16"/>
      <c r="F800"/>
      <c r="G800"/>
      <c r="H800"/>
      <c r="J800" s="16"/>
      <c r="K800" s="16"/>
      <c r="L800" s="37"/>
      <c r="N800" s="16"/>
      <c r="O800" s="16"/>
      <c r="P800" s="16"/>
      <c r="Q800" s="16"/>
      <c r="R800" s="16"/>
      <c r="S800" s="16"/>
      <c r="T800" s="16"/>
      <c r="U800" s="16"/>
      <c r="V800" s="16"/>
      <c r="X800" s="16"/>
      <c r="AB800" s="16"/>
      <c r="AC800" s="16"/>
      <c r="AD800" s="16"/>
      <c r="AF800" s="16"/>
      <c r="AG800" s="16"/>
      <c r="AH800" s="16"/>
      <c r="AI800" s="16"/>
    </row>
    <row r="801" spans="1:35" s="18" customFormat="1" x14ac:dyDescent="0.25">
      <c r="A801" s="16"/>
      <c r="B801" s="16"/>
      <c r="C801" s="16"/>
      <c r="D801" s="17"/>
      <c r="E801" s="16"/>
      <c r="F801"/>
      <c r="G801"/>
      <c r="H801"/>
      <c r="J801" s="16"/>
      <c r="K801" s="16"/>
      <c r="L801" s="37"/>
      <c r="N801" s="16"/>
      <c r="O801" s="16"/>
      <c r="P801" s="16"/>
      <c r="Q801" s="16"/>
      <c r="R801" s="16"/>
      <c r="S801" s="16"/>
      <c r="T801" s="16"/>
      <c r="U801" s="16"/>
      <c r="V801" s="16"/>
      <c r="X801" s="16"/>
      <c r="AB801" s="16"/>
      <c r="AC801" s="16"/>
      <c r="AD801" s="16"/>
      <c r="AF801" s="16"/>
      <c r="AG801" s="16"/>
      <c r="AH801" s="16"/>
      <c r="AI801" s="16"/>
    </row>
    <row r="802" spans="1:35" s="18" customFormat="1" x14ac:dyDescent="0.25">
      <c r="A802" s="16"/>
      <c r="B802" s="16"/>
      <c r="C802" s="16"/>
      <c r="D802" s="17"/>
      <c r="E802" s="16"/>
      <c r="F802"/>
      <c r="G802"/>
      <c r="H802"/>
      <c r="J802" s="16"/>
      <c r="K802" s="16"/>
      <c r="L802" s="37"/>
      <c r="N802" s="16"/>
      <c r="O802" s="16"/>
      <c r="P802" s="16"/>
      <c r="Q802" s="16"/>
      <c r="R802" s="16"/>
      <c r="S802" s="16"/>
      <c r="T802" s="16"/>
      <c r="U802" s="16"/>
      <c r="V802" s="16"/>
      <c r="X802" s="16"/>
      <c r="AB802" s="16"/>
      <c r="AC802" s="16"/>
      <c r="AD802" s="16"/>
      <c r="AF802" s="16"/>
      <c r="AG802" s="16"/>
      <c r="AH802" s="16"/>
      <c r="AI802" s="16"/>
    </row>
    <row r="803" spans="1:35" s="18" customFormat="1" x14ac:dyDescent="0.25">
      <c r="A803" s="16"/>
      <c r="B803" s="16"/>
      <c r="C803" s="16"/>
      <c r="D803" s="17"/>
      <c r="E803" s="16"/>
      <c r="F803"/>
      <c r="G803"/>
      <c r="H803"/>
      <c r="J803" s="16"/>
      <c r="K803" s="16"/>
      <c r="L803" s="37"/>
      <c r="N803" s="16"/>
      <c r="O803" s="16"/>
      <c r="P803" s="16"/>
      <c r="Q803" s="16"/>
      <c r="R803" s="16"/>
      <c r="S803" s="16"/>
      <c r="T803" s="16"/>
      <c r="U803" s="16"/>
      <c r="V803" s="16"/>
      <c r="X803" s="16"/>
      <c r="AB803" s="16"/>
      <c r="AC803" s="16"/>
      <c r="AD803" s="16"/>
      <c r="AF803" s="16"/>
      <c r="AG803" s="16"/>
      <c r="AH803" s="16"/>
      <c r="AI803" s="16"/>
    </row>
    <row r="804" spans="1:35" s="18" customFormat="1" x14ac:dyDescent="0.25">
      <c r="A804" s="16"/>
      <c r="B804" s="16"/>
      <c r="C804" s="16"/>
      <c r="D804" s="17"/>
      <c r="E804" s="16"/>
      <c r="F804"/>
      <c r="G804"/>
      <c r="H804"/>
      <c r="J804" s="16"/>
      <c r="K804" s="16"/>
      <c r="L804" s="37"/>
      <c r="N804" s="16"/>
      <c r="O804" s="16"/>
      <c r="P804" s="16"/>
      <c r="Q804" s="16"/>
      <c r="R804" s="16"/>
      <c r="S804" s="16"/>
      <c r="T804" s="16"/>
      <c r="U804" s="16"/>
      <c r="V804" s="16"/>
      <c r="X804" s="16"/>
      <c r="AB804" s="16"/>
      <c r="AC804" s="16"/>
      <c r="AD804" s="16"/>
      <c r="AF804" s="16"/>
      <c r="AG804" s="16"/>
      <c r="AH804" s="16"/>
      <c r="AI804" s="16"/>
    </row>
    <row r="805" spans="1:35" s="18" customFormat="1" x14ac:dyDescent="0.25">
      <c r="A805" s="16"/>
      <c r="B805" s="16"/>
      <c r="C805" s="16"/>
      <c r="D805" s="17"/>
      <c r="E805" s="16"/>
      <c r="F805"/>
      <c r="G805"/>
      <c r="H805"/>
      <c r="J805" s="16"/>
      <c r="K805" s="16"/>
      <c r="L805" s="37"/>
      <c r="N805" s="16"/>
      <c r="O805" s="16"/>
      <c r="P805" s="16"/>
      <c r="Q805" s="16"/>
      <c r="R805" s="16"/>
      <c r="S805" s="16"/>
      <c r="T805" s="16"/>
      <c r="U805" s="16"/>
      <c r="V805" s="16"/>
      <c r="X805" s="16"/>
      <c r="AB805" s="16"/>
      <c r="AC805" s="16"/>
      <c r="AD805" s="16"/>
      <c r="AF805" s="16"/>
      <c r="AG805" s="16"/>
      <c r="AH805" s="16"/>
      <c r="AI805" s="16"/>
    </row>
    <row r="806" spans="1:35" s="18" customFormat="1" x14ac:dyDescent="0.25">
      <c r="A806" s="16"/>
      <c r="B806" s="16"/>
      <c r="C806" s="16"/>
      <c r="D806" s="17"/>
      <c r="E806" s="16"/>
      <c r="F806"/>
      <c r="G806"/>
      <c r="H806"/>
      <c r="J806" s="16"/>
      <c r="K806" s="16"/>
      <c r="L806" s="37"/>
      <c r="N806" s="16"/>
      <c r="O806" s="16"/>
      <c r="P806" s="16"/>
      <c r="Q806" s="16"/>
      <c r="R806" s="16"/>
      <c r="S806" s="16"/>
      <c r="T806" s="16"/>
      <c r="U806" s="16"/>
      <c r="V806" s="16"/>
      <c r="X806" s="16"/>
      <c r="AB806" s="16"/>
      <c r="AC806" s="16"/>
      <c r="AD806" s="16"/>
      <c r="AF806" s="16"/>
      <c r="AG806" s="16"/>
      <c r="AH806" s="16"/>
      <c r="AI806" s="16"/>
    </row>
    <row r="807" spans="1:35" s="18" customFormat="1" x14ac:dyDescent="0.25">
      <c r="A807" s="16"/>
      <c r="B807" s="16"/>
      <c r="C807" s="16"/>
      <c r="D807" s="17"/>
      <c r="E807" s="16"/>
      <c r="F807"/>
      <c r="G807"/>
      <c r="H807"/>
      <c r="J807" s="16"/>
      <c r="K807" s="16"/>
      <c r="L807" s="37"/>
      <c r="N807" s="16"/>
      <c r="O807" s="16"/>
      <c r="P807" s="16"/>
      <c r="Q807" s="16"/>
      <c r="R807" s="16"/>
      <c r="S807" s="16"/>
      <c r="T807" s="16"/>
      <c r="U807" s="16"/>
      <c r="V807" s="16"/>
      <c r="X807" s="16"/>
      <c r="AB807" s="16"/>
      <c r="AC807" s="16"/>
      <c r="AD807" s="16"/>
      <c r="AF807" s="16"/>
      <c r="AG807" s="16"/>
      <c r="AH807" s="16"/>
      <c r="AI807" s="16"/>
    </row>
    <row r="808" spans="1:35" s="18" customFormat="1" x14ac:dyDescent="0.25">
      <c r="A808" s="16"/>
      <c r="B808" s="16"/>
      <c r="C808" s="16"/>
      <c r="D808" s="17"/>
      <c r="E808" s="16"/>
      <c r="F808"/>
      <c r="G808"/>
      <c r="H808"/>
      <c r="J808" s="16"/>
      <c r="K808" s="16"/>
      <c r="L808" s="37"/>
      <c r="N808" s="16"/>
      <c r="O808" s="16"/>
      <c r="P808" s="16"/>
      <c r="Q808" s="16"/>
      <c r="R808" s="16"/>
      <c r="S808" s="16"/>
      <c r="T808" s="16"/>
      <c r="U808" s="16"/>
      <c r="V808" s="16"/>
      <c r="X808" s="16"/>
      <c r="AB808" s="16"/>
      <c r="AC808" s="16"/>
      <c r="AD808" s="16"/>
      <c r="AF808" s="16"/>
      <c r="AG808" s="16"/>
      <c r="AH808" s="16"/>
      <c r="AI808" s="16"/>
    </row>
    <row r="809" spans="1:35" s="18" customFormat="1" x14ac:dyDescent="0.25">
      <c r="A809" s="16"/>
      <c r="B809" s="16"/>
      <c r="C809" s="16"/>
      <c r="D809" s="17"/>
      <c r="E809" s="16"/>
      <c r="F809"/>
      <c r="G809"/>
      <c r="H809"/>
      <c r="J809" s="16"/>
      <c r="K809" s="16"/>
      <c r="L809" s="37"/>
      <c r="N809" s="16"/>
      <c r="O809" s="16"/>
      <c r="P809" s="16"/>
      <c r="Q809" s="16"/>
      <c r="R809" s="16"/>
      <c r="S809" s="16"/>
      <c r="T809" s="16"/>
      <c r="U809" s="16"/>
      <c r="V809" s="16"/>
      <c r="X809" s="16"/>
      <c r="AB809" s="16"/>
      <c r="AC809" s="16"/>
      <c r="AD809" s="16"/>
      <c r="AF809" s="16"/>
      <c r="AG809" s="16"/>
      <c r="AH809" s="16"/>
      <c r="AI809" s="16"/>
    </row>
    <row r="810" spans="1:35" s="18" customFormat="1" x14ac:dyDescent="0.25">
      <c r="A810" s="16"/>
      <c r="B810" s="16"/>
      <c r="C810" s="16"/>
      <c r="D810" s="17"/>
      <c r="E810" s="16"/>
      <c r="F810"/>
      <c r="G810"/>
      <c r="H810"/>
      <c r="J810" s="16"/>
      <c r="K810" s="16"/>
      <c r="L810" s="37"/>
      <c r="N810" s="16"/>
      <c r="O810" s="16"/>
      <c r="P810" s="16"/>
      <c r="Q810" s="16"/>
      <c r="R810" s="16"/>
      <c r="S810" s="16"/>
      <c r="T810" s="16"/>
      <c r="U810" s="16"/>
      <c r="V810" s="16"/>
      <c r="X810" s="16"/>
      <c r="AB810" s="16"/>
      <c r="AC810" s="16"/>
      <c r="AD810" s="16"/>
      <c r="AF810" s="16"/>
      <c r="AG810" s="16"/>
      <c r="AH810" s="16"/>
      <c r="AI810" s="16"/>
    </row>
    <row r="811" spans="1:35" s="18" customFormat="1" x14ac:dyDescent="0.25">
      <c r="A811" s="16"/>
      <c r="B811" s="16"/>
      <c r="C811" s="16"/>
      <c r="D811" s="17"/>
      <c r="E811" s="16"/>
      <c r="F811"/>
      <c r="G811"/>
      <c r="H811"/>
      <c r="J811" s="16"/>
      <c r="K811" s="16"/>
      <c r="L811" s="37"/>
      <c r="N811" s="16"/>
      <c r="O811" s="16"/>
      <c r="P811" s="16"/>
      <c r="Q811" s="16"/>
      <c r="R811" s="16"/>
      <c r="S811" s="16"/>
      <c r="T811" s="16"/>
      <c r="U811" s="16"/>
      <c r="V811" s="16"/>
      <c r="X811" s="16"/>
      <c r="AB811" s="16"/>
      <c r="AC811" s="16"/>
      <c r="AD811" s="16"/>
      <c r="AF811" s="16"/>
      <c r="AG811" s="16"/>
      <c r="AH811" s="16"/>
      <c r="AI811" s="16"/>
    </row>
    <row r="812" spans="1:35" s="18" customFormat="1" x14ac:dyDescent="0.25">
      <c r="A812" s="16"/>
      <c r="B812" s="16"/>
      <c r="C812" s="16"/>
      <c r="D812" s="17"/>
      <c r="E812" s="16"/>
      <c r="F812"/>
      <c r="G812"/>
      <c r="H812"/>
      <c r="J812" s="16"/>
      <c r="K812" s="16"/>
      <c r="L812" s="37"/>
      <c r="N812" s="16"/>
      <c r="O812" s="16"/>
      <c r="P812" s="16"/>
      <c r="Q812" s="16"/>
      <c r="R812" s="16"/>
      <c r="S812" s="16"/>
      <c r="T812" s="16"/>
      <c r="U812" s="16"/>
      <c r="V812" s="16"/>
      <c r="X812" s="16"/>
      <c r="AB812" s="16"/>
      <c r="AC812" s="16"/>
      <c r="AD812" s="16"/>
      <c r="AF812" s="16"/>
      <c r="AG812" s="16"/>
      <c r="AH812" s="16"/>
      <c r="AI812" s="16"/>
    </row>
    <row r="813" spans="1:35" s="18" customFormat="1" x14ac:dyDescent="0.25">
      <c r="A813" s="16"/>
      <c r="B813" s="16"/>
      <c r="C813" s="16"/>
      <c r="D813" s="17"/>
      <c r="E813" s="16"/>
      <c r="F813"/>
      <c r="G813"/>
      <c r="H813"/>
      <c r="J813" s="16"/>
      <c r="K813" s="16"/>
      <c r="L813" s="37"/>
      <c r="N813" s="16"/>
      <c r="O813" s="16"/>
      <c r="P813" s="16"/>
      <c r="Q813" s="16"/>
      <c r="R813" s="16"/>
      <c r="S813" s="16"/>
      <c r="T813" s="16"/>
      <c r="U813" s="16"/>
      <c r="V813" s="16"/>
      <c r="X813" s="16"/>
      <c r="AB813" s="16"/>
      <c r="AC813" s="16"/>
      <c r="AD813" s="16"/>
      <c r="AF813" s="16"/>
      <c r="AG813" s="16"/>
      <c r="AH813" s="16"/>
      <c r="AI813" s="16"/>
    </row>
    <row r="814" spans="1:35" s="18" customFormat="1" x14ac:dyDescent="0.25">
      <c r="A814" s="16"/>
      <c r="B814" s="16"/>
      <c r="C814" s="16"/>
      <c r="D814" s="17"/>
      <c r="E814" s="16"/>
      <c r="F814"/>
      <c r="G814"/>
      <c r="H814"/>
      <c r="J814" s="16"/>
      <c r="K814" s="16"/>
      <c r="L814" s="37"/>
      <c r="N814" s="16"/>
      <c r="O814" s="16"/>
      <c r="P814" s="16"/>
      <c r="Q814" s="16"/>
      <c r="R814" s="16"/>
      <c r="S814" s="16"/>
      <c r="T814" s="16"/>
      <c r="U814" s="16"/>
      <c r="V814" s="16"/>
      <c r="X814" s="16"/>
      <c r="AB814" s="16"/>
      <c r="AC814" s="16"/>
      <c r="AD814" s="16"/>
      <c r="AF814" s="16"/>
      <c r="AG814" s="16"/>
      <c r="AH814" s="16"/>
      <c r="AI814" s="16"/>
    </row>
    <row r="815" spans="1:35" s="18" customFormat="1" x14ac:dyDescent="0.25">
      <c r="A815" s="16"/>
      <c r="B815" s="16"/>
      <c r="C815" s="16"/>
      <c r="D815" s="17"/>
      <c r="E815" s="16"/>
      <c r="F815"/>
      <c r="G815"/>
      <c r="H815"/>
      <c r="J815" s="16"/>
      <c r="K815" s="16"/>
      <c r="L815" s="37"/>
      <c r="N815" s="16"/>
      <c r="O815" s="16"/>
      <c r="P815" s="16"/>
      <c r="Q815" s="16"/>
      <c r="R815" s="16"/>
      <c r="S815" s="16"/>
      <c r="T815" s="16"/>
      <c r="U815" s="16"/>
      <c r="V815" s="16"/>
      <c r="X815" s="16"/>
      <c r="AB815" s="16"/>
      <c r="AC815" s="16"/>
      <c r="AD815" s="16"/>
      <c r="AF815" s="16"/>
      <c r="AG815" s="16"/>
      <c r="AH815" s="16"/>
      <c r="AI815" s="16"/>
    </row>
    <row r="816" spans="1:35" s="18" customFormat="1" x14ac:dyDescent="0.25">
      <c r="A816" s="16"/>
      <c r="B816" s="16"/>
      <c r="C816" s="16"/>
      <c r="D816" s="17"/>
      <c r="E816" s="16"/>
      <c r="F816"/>
      <c r="G816"/>
      <c r="H816"/>
      <c r="J816" s="16"/>
      <c r="K816" s="16"/>
      <c r="L816" s="37"/>
      <c r="N816" s="16"/>
      <c r="O816" s="16"/>
      <c r="P816" s="16"/>
      <c r="Q816" s="16"/>
      <c r="R816" s="16"/>
      <c r="S816" s="16"/>
      <c r="T816" s="16"/>
      <c r="U816" s="16"/>
      <c r="V816" s="16"/>
      <c r="X816" s="16"/>
      <c r="AB816" s="16"/>
      <c r="AC816" s="16"/>
      <c r="AD816" s="16"/>
      <c r="AF816" s="16"/>
      <c r="AG816" s="16"/>
      <c r="AH816" s="16"/>
      <c r="AI816" s="16"/>
    </row>
    <row r="817" spans="1:35" s="18" customFormat="1" x14ac:dyDescent="0.25">
      <c r="A817" s="16"/>
      <c r="B817" s="16"/>
      <c r="C817" s="16"/>
      <c r="D817" s="17"/>
      <c r="E817" s="16"/>
      <c r="F817"/>
      <c r="G817"/>
      <c r="H817"/>
      <c r="J817" s="16"/>
      <c r="K817" s="16"/>
      <c r="L817" s="37"/>
      <c r="N817" s="16"/>
      <c r="O817" s="16"/>
      <c r="P817" s="16"/>
      <c r="Q817" s="16"/>
      <c r="R817" s="16"/>
      <c r="S817" s="16"/>
      <c r="T817" s="16"/>
      <c r="U817" s="16"/>
      <c r="V817" s="16"/>
      <c r="X817" s="16"/>
      <c r="AB817" s="16"/>
      <c r="AC817" s="16"/>
      <c r="AD817" s="16"/>
      <c r="AF817" s="16"/>
      <c r="AG817" s="16"/>
      <c r="AH817" s="16"/>
      <c r="AI817" s="16"/>
    </row>
    <row r="818" spans="1:35" s="18" customFormat="1" x14ac:dyDescent="0.25">
      <c r="A818" s="16"/>
      <c r="B818" s="16"/>
      <c r="C818" s="16"/>
      <c r="D818" s="17"/>
      <c r="E818" s="16"/>
      <c r="F818"/>
      <c r="G818"/>
      <c r="H818"/>
      <c r="J818" s="16"/>
      <c r="K818" s="16"/>
      <c r="L818" s="37"/>
      <c r="N818" s="16"/>
      <c r="O818" s="16"/>
      <c r="P818" s="16"/>
      <c r="Q818" s="16"/>
      <c r="R818" s="16"/>
      <c r="S818" s="16"/>
      <c r="T818" s="16"/>
      <c r="U818" s="16"/>
      <c r="V818" s="16"/>
      <c r="X818" s="16"/>
      <c r="AB818" s="16"/>
      <c r="AC818" s="16"/>
      <c r="AD818" s="16"/>
      <c r="AF818" s="16"/>
      <c r="AG818" s="16"/>
      <c r="AH818" s="16"/>
      <c r="AI818" s="16"/>
    </row>
    <row r="819" spans="1:35" s="18" customFormat="1" x14ac:dyDescent="0.25">
      <c r="A819" s="16"/>
      <c r="B819" s="16"/>
      <c r="C819" s="16"/>
      <c r="D819" s="17"/>
      <c r="E819" s="16"/>
      <c r="F819"/>
      <c r="G819"/>
      <c r="H819"/>
      <c r="J819" s="16"/>
      <c r="K819" s="16"/>
      <c r="L819" s="37"/>
      <c r="N819" s="16"/>
      <c r="O819" s="16"/>
      <c r="P819" s="16"/>
      <c r="Q819" s="16"/>
      <c r="R819" s="16"/>
      <c r="S819" s="16"/>
      <c r="T819" s="16"/>
      <c r="U819" s="16"/>
      <c r="V819" s="16"/>
      <c r="X819" s="16"/>
      <c r="AB819" s="16"/>
      <c r="AC819" s="16"/>
      <c r="AD819" s="16"/>
      <c r="AF819" s="16"/>
      <c r="AG819" s="16"/>
      <c r="AH819" s="16"/>
      <c r="AI819" s="16"/>
    </row>
    <row r="820" spans="1:35" s="18" customFormat="1" x14ac:dyDescent="0.25">
      <c r="A820" s="16"/>
      <c r="B820" s="16"/>
      <c r="C820" s="16"/>
      <c r="D820" s="17"/>
      <c r="E820" s="16"/>
      <c r="F820"/>
      <c r="G820"/>
      <c r="H820"/>
      <c r="J820" s="16"/>
      <c r="K820" s="16"/>
      <c r="L820" s="37"/>
      <c r="N820" s="16"/>
      <c r="O820" s="16"/>
      <c r="P820" s="16"/>
      <c r="Q820" s="16"/>
      <c r="R820" s="16"/>
      <c r="S820" s="16"/>
      <c r="T820" s="16"/>
      <c r="U820" s="16"/>
      <c r="V820" s="16"/>
      <c r="X820" s="16"/>
      <c r="AB820" s="16"/>
      <c r="AC820" s="16"/>
      <c r="AD820" s="16"/>
      <c r="AF820" s="16"/>
      <c r="AG820" s="16"/>
      <c r="AH820" s="16"/>
      <c r="AI820" s="16"/>
    </row>
    <row r="821" spans="1:35" s="18" customFormat="1" x14ac:dyDescent="0.25">
      <c r="A821" s="16"/>
      <c r="B821" s="16"/>
      <c r="C821" s="16"/>
      <c r="D821" s="17"/>
      <c r="E821" s="16"/>
      <c r="F821"/>
      <c r="G821"/>
      <c r="H821"/>
      <c r="J821" s="16"/>
      <c r="K821" s="16"/>
      <c r="L821" s="37"/>
      <c r="N821" s="16"/>
      <c r="O821" s="16"/>
      <c r="P821" s="16"/>
      <c r="Q821" s="16"/>
      <c r="R821" s="16"/>
      <c r="S821" s="16"/>
      <c r="T821" s="16"/>
      <c r="U821" s="16"/>
      <c r="V821" s="16"/>
      <c r="X821" s="16"/>
      <c r="AB821" s="16"/>
      <c r="AC821" s="16"/>
      <c r="AD821" s="16"/>
      <c r="AF821" s="16"/>
      <c r="AG821" s="16"/>
      <c r="AH821" s="16"/>
      <c r="AI821" s="16"/>
    </row>
    <row r="822" spans="1:35" s="18" customFormat="1" x14ac:dyDescent="0.25">
      <c r="A822" s="16"/>
      <c r="B822" s="16"/>
      <c r="C822" s="16"/>
      <c r="D822" s="17"/>
      <c r="E822" s="16"/>
      <c r="F822"/>
      <c r="G822"/>
      <c r="H822"/>
      <c r="J822" s="16"/>
      <c r="K822" s="16"/>
      <c r="L822" s="37"/>
      <c r="N822" s="16"/>
      <c r="O822" s="16"/>
      <c r="P822" s="16"/>
      <c r="Q822" s="16"/>
      <c r="R822" s="16"/>
      <c r="S822" s="16"/>
      <c r="T822" s="16"/>
      <c r="U822" s="16"/>
      <c r="V822" s="16"/>
      <c r="X822" s="16"/>
      <c r="AB822" s="16"/>
      <c r="AC822" s="16"/>
      <c r="AD822" s="16"/>
      <c r="AF822" s="16"/>
      <c r="AG822" s="16"/>
      <c r="AH822" s="16"/>
      <c r="AI822" s="16"/>
    </row>
    <row r="823" spans="1:35" s="18" customFormat="1" x14ac:dyDescent="0.25">
      <c r="A823" s="16"/>
      <c r="B823" s="16"/>
      <c r="C823" s="16"/>
      <c r="D823" s="17"/>
      <c r="E823" s="16"/>
      <c r="F823"/>
      <c r="G823"/>
      <c r="H823"/>
      <c r="J823" s="16"/>
      <c r="K823" s="16"/>
      <c r="L823" s="37"/>
      <c r="N823" s="16"/>
      <c r="O823" s="16"/>
      <c r="P823" s="16"/>
      <c r="Q823" s="16"/>
      <c r="R823" s="16"/>
      <c r="S823" s="16"/>
      <c r="T823" s="16"/>
      <c r="U823" s="16"/>
      <c r="V823" s="16"/>
      <c r="X823" s="16"/>
      <c r="AB823" s="16"/>
      <c r="AC823" s="16"/>
      <c r="AD823" s="16"/>
      <c r="AF823" s="16"/>
      <c r="AG823" s="16"/>
      <c r="AH823" s="16"/>
      <c r="AI823" s="16"/>
    </row>
    <row r="824" spans="1:35" s="18" customFormat="1" x14ac:dyDescent="0.25">
      <c r="A824" s="16"/>
      <c r="B824" s="16"/>
      <c r="C824" s="16"/>
      <c r="D824" s="17"/>
      <c r="E824" s="16"/>
      <c r="F824"/>
      <c r="G824"/>
      <c r="H824"/>
      <c r="J824" s="16"/>
      <c r="K824" s="16"/>
      <c r="L824" s="37"/>
      <c r="N824" s="16"/>
      <c r="O824" s="16"/>
      <c r="P824" s="16"/>
      <c r="Q824" s="16"/>
      <c r="R824" s="16"/>
      <c r="S824" s="16"/>
      <c r="T824" s="16"/>
      <c r="U824" s="16"/>
      <c r="V824" s="16"/>
      <c r="X824" s="16"/>
      <c r="AB824" s="16"/>
      <c r="AC824" s="16"/>
      <c r="AD824" s="16"/>
      <c r="AF824" s="16"/>
      <c r="AG824" s="16"/>
      <c r="AH824" s="16"/>
      <c r="AI824" s="16"/>
    </row>
    <row r="825" spans="1:35" s="18" customFormat="1" x14ac:dyDescent="0.25">
      <c r="A825" s="16"/>
      <c r="B825" s="16"/>
      <c r="C825" s="16"/>
      <c r="D825" s="17"/>
      <c r="E825" s="16"/>
      <c r="F825"/>
      <c r="G825"/>
      <c r="H825"/>
      <c r="J825" s="16"/>
      <c r="K825" s="16"/>
      <c r="L825" s="37"/>
      <c r="N825" s="16"/>
      <c r="O825" s="16"/>
      <c r="P825" s="16"/>
      <c r="Q825" s="16"/>
      <c r="R825" s="16"/>
      <c r="S825" s="16"/>
      <c r="T825" s="16"/>
      <c r="U825" s="16"/>
      <c r="V825" s="16"/>
      <c r="X825" s="16"/>
      <c r="AB825" s="16"/>
      <c r="AC825" s="16"/>
      <c r="AD825" s="16"/>
      <c r="AF825" s="16"/>
      <c r="AG825" s="16"/>
      <c r="AH825" s="16"/>
      <c r="AI825" s="16"/>
    </row>
    <row r="826" spans="1:35" s="18" customFormat="1" x14ac:dyDescent="0.25">
      <c r="A826" s="16"/>
      <c r="B826" s="16"/>
      <c r="C826" s="16"/>
      <c r="D826" s="17"/>
      <c r="E826" s="16"/>
      <c r="F826"/>
      <c r="G826"/>
      <c r="H826"/>
      <c r="J826" s="16"/>
      <c r="K826" s="16"/>
      <c r="L826" s="37"/>
      <c r="N826" s="16"/>
      <c r="O826" s="16"/>
      <c r="P826" s="16"/>
      <c r="Q826" s="16"/>
      <c r="R826" s="16"/>
      <c r="S826" s="16"/>
      <c r="T826" s="16"/>
      <c r="U826" s="16"/>
      <c r="V826" s="16"/>
      <c r="X826" s="16"/>
      <c r="AB826" s="16"/>
      <c r="AC826" s="16"/>
      <c r="AD826" s="16"/>
      <c r="AF826" s="16"/>
      <c r="AG826" s="16"/>
      <c r="AH826" s="16"/>
      <c r="AI826" s="16"/>
    </row>
    <row r="827" spans="1:35" s="18" customFormat="1" x14ac:dyDescent="0.25">
      <c r="A827" s="16"/>
      <c r="B827" s="16"/>
      <c r="C827" s="16"/>
      <c r="D827" s="17"/>
      <c r="E827" s="16"/>
      <c r="F827"/>
      <c r="G827"/>
      <c r="H827"/>
      <c r="J827" s="16"/>
      <c r="K827" s="16"/>
      <c r="L827" s="37"/>
      <c r="N827" s="16"/>
      <c r="O827" s="16"/>
      <c r="P827" s="16"/>
      <c r="Q827" s="16"/>
      <c r="R827" s="16"/>
      <c r="S827" s="16"/>
      <c r="T827" s="16"/>
      <c r="U827" s="16"/>
      <c r="V827" s="16"/>
      <c r="X827" s="16"/>
      <c r="AB827" s="16"/>
      <c r="AC827" s="16"/>
      <c r="AD827" s="16"/>
      <c r="AF827" s="16"/>
      <c r="AG827" s="16"/>
      <c r="AH827" s="16"/>
      <c r="AI827" s="16"/>
    </row>
    <row r="828" spans="1:35" s="18" customFormat="1" x14ac:dyDescent="0.25">
      <c r="A828" s="16"/>
      <c r="B828" s="16"/>
      <c r="C828" s="16"/>
      <c r="D828" s="17"/>
      <c r="E828" s="16"/>
      <c r="F828"/>
      <c r="G828"/>
      <c r="H828"/>
      <c r="J828" s="16"/>
      <c r="K828" s="16"/>
      <c r="L828" s="37"/>
      <c r="N828" s="16"/>
      <c r="O828" s="16"/>
      <c r="P828" s="16"/>
      <c r="Q828" s="16"/>
      <c r="R828" s="16"/>
      <c r="S828" s="16"/>
      <c r="T828" s="16"/>
      <c r="U828" s="16"/>
      <c r="V828" s="16"/>
      <c r="X828" s="16"/>
      <c r="AB828" s="16"/>
      <c r="AC828" s="16"/>
      <c r="AD828" s="16"/>
      <c r="AF828" s="16"/>
      <c r="AG828" s="16"/>
      <c r="AH828" s="16"/>
      <c r="AI828" s="16"/>
    </row>
    <row r="829" spans="1:35" s="18" customFormat="1" x14ac:dyDescent="0.25">
      <c r="A829" s="16"/>
      <c r="B829" s="16"/>
      <c r="C829" s="16"/>
      <c r="D829" s="17"/>
      <c r="E829" s="16"/>
      <c r="F829"/>
      <c r="G829"/>
      <c r="H829"/>
      <c r="J829" s="16"/>
      <c r="K829" s="16"/>
      <c r="L829" s="37"/>
      <c r="N829" s="16"/>
      <c r="O829" s="16"/>
      <c r="P829" s="16"/>
      <c r="Q829" s="16"/>
      <c r="R829" s="16"/>
      <c r="S829" s="16"/>
      <c r="T829" s="16"/>
      <c r="U829" s="16"/>
      <c r="V829" s="16"/>
      <c r="X829" s="16"/>
      <c r="AB829" s="16"/>
      <c r="AC829" s="16"/>
      <c r="AD829" s="16"/>
      <c r="AF829" s="16"/>
      <c r="AG829" s="16"/>
      <c r="AH829" s="16"/>
      <c r="AI829" s="16"/>
    </row>
    <row r="830" spans="1:35" s="18" customFormat="1" x14ac:dyDescent="0.25">
      <c r="A830" s="16"/>
      <c r="B830" s="16"/>
      <c r="C830" s="16"/>
      <c r="D830" s="17"/>
      <c r="E830" s="16"/>
      <c r="F830"/>
      <c r="G830"/>
      <c r="H830"/>
      <c r="J830" s="16"/>
      <c r="K830" s="16"/>
      <c r="L830" s="37"/>
      <c r="N830" s="16"/>
      <c r="O830" s="16"/>
      <c r="P830" s="16"/>
      <c r="Q830" s="16"/>
      <c r="R830" s="16"/>
      <c r="S830" s="16"/>
      <c r="T830" s="16"/>
      <c r="U830" s="16"/>
      <c r="V830" s="16"/>
      <c r="X830" s="16"/>
      <c r="AB830" s="16"/>
      <c r="AC830" s="16"/>
      <c r="AD830" s="16"/>
      <c r="AF830" s="16"/>
      <c r="AG830" s="16"/>
      <c r="AH830" s="16"/>
      <c r="AI830" s="16"/>
    </row>
    <row r="831" spans="1:35" s="18" customFormat="1" x14ac:dyDescent="0.25">
      <c r="A831" s="16"/>
      <c r="B831" s="16"/>
      <c r="C831" s="16"/>
      <c r="D831" s="17"/>
      <c r="E831" s="16"/>
      <c r="F831"/>
      <c r="G831"/>
      <c r="H831"/>
      <c r="J831" s="16"/>
      <c r="K831" s="16"/>
      <c r="L831" s="37"/>
      <c r="N831" s="16"/>
      <c r="O831" s="16"/>
      <c r="P831" s="16"/>
      <c r="Q831" s="16"/>
      <c r="R831" s="16"/>
      <c r="S831" s="16"/>
      <c r="T831" s="16"/>
      <c r="U831" s="16"/>
      <c r="V831" s="16"/>
      <c r="X831" s="16"/>
      <c r="AB831" s="16"/>
      <c r="AC831" s="16"/>
      <c r="AD831" s="16"/>
      <c r="AF831" s="16"/>
      <c r="AG831" s="16"/>
      <c r="AH831" s="16"/>
      <c r="AI831" s="16"/>
    </row>
    <row r="832" spans="1:35" s="18" customFormat="1" x14ac:dyDescent="0.25">
      <c r="A832" s="16"/>
      <c r="B832" s="16"/>
      <c r="C832" s="16"/>
      <c r="D832" s="17"/>
      <c r="E832" s="16"/>
      <c r="F832"/>
      <c r="G832"/>
      <c r="H832"/>
      <c r="J832" s="16"/>
      <c r="K832" s="16"/>
      <c r="L832" s="37"/>
      <c r="N832" s="16"/>
      <c r="O832" s="16"/>
      <c r="P832" s="16"/>
      <c r="Q832" s="16"/>
      <c r="R832" s="16"/>
      <c r="S832" s="16"/>
      <c r="T832" s="16"/>
      <c r="U832" s="16"/>
      <c r="V832" s="16"/>
      <c r="X832" s="16"/>
      <c r="AB832" s="16"/>
      <c r="AC832" s="16"/>
      <c r="AD832" s="16"/>
      <c r="AF832" s="16"/>
      <c r="AG832" s="16"/>
      <c r="AH832" s="16"/>
      <c r="AI832" s="16"/>
    </row>
    <row r="833" spans="1:35" s="18" customFormat="1" x14ac:dyDescent="0.25">
      <c r="A833" s="16"/>
      <c r="B833" s="16"/>
      <c r="C833" s="16"/>
      <c r="D833" s="17"/>
      <c r="E833" s="16"/>
      <c r="F833"/>
      <c r="G833"/>
      <c r="H833"/>
      <c r="J833" s="16"/>
      <c r="K833" s="16"/>
      <c r="L833" s="37"/>
      <c r="N833" s="16"/>
      <c r="O833" s="16"/>
      <c r="P833" s="16"/>
      <c r="Q833" s="16"/>
      <c r="R833" s="16"/>
      <c r="S833" s="16"/>
      <c r="T833" s="16"/>
      <c r="U833" s="16"/>
      <c r="V833" s="16"/>
      <c r="X833" s="16"/>
      <c r="AB833" s="16"/>
      <c r="AC833" s="16"/>
      <c r="AD833" s="16"/>
      <c r="AF833" s="16"/>
      <c r="AG833" s="16"/>
      <c r="AH833" s="16"/>
      <c r="AI833" s="16"/>
    </row>
    <row r="834" spans="1:35" s="18" customFormat="1" x14ac:dyDescent="0.25">
      <c r="A834" s="16"/>
      <c r="B834" s="16"/>
      <c r="C834" s="16"/>
      <c r="D834" s="17"/>
      <c r="E834" s="16"/>
      <c r="F834"/>
      <c r="G834"/>
      <c r="H834"/>
      <c r="J834" s="16"/>
      <c r="K834" s="16"/>
      <c r="L834" s="37"/>
      <c r="N834" s="16"/>
      <c r="O834" s="16"/>
      <c r="P834" s="16"/>
      <c r="Q834" s="16"/>
      <c r="R834" s="16"/>
      <c r="S834" s="16"/>
      <c r="T834" s="16"/>
      <c r="U834" s="16"/>
      <c r="V834" s="16"/>
      <c r="X834" s="16"/>
      <c r="AB834" s="16"/>
      <c r="AC834" s="16"/>
      <c r="AD834" s="16"/>
      <c r="AF834" s="16"/>
      <c r="AG834" s="16"/>
      <c r="AH834" s="16"/>
      <c r="AI834" s="16"/>
    </row>
    <row r="835" spans="1:35" s="18" customFormat="1" x14ac:dyDescent="0.25">
      <c r="A835" s="16"/>
      <c r="B835" s="16"/>
      <c r="C835" s="16"/>
      <c r="D835" s="17"/>
      <c r="E835" s="16"/>
      <c r="F835"/>
      <c r="G835"/>
      <c r="H835"/>
      <c r="J835" s="16"/>
      <c r="K835" s="16"/>
      <c r="L835" s="37"/>
      <c r="N835" s="16"/>
      <c r="O835" s="16"/>
      <c r="P835" s="16"/>
      <c r="Q835" s="16"/>
      <c r="R835" s="16"/>
      <c r="S835" s="16"/>
      <c r="T835" s="16"/>
      <c r="U835" s="16"/>
      <c r="V835" s="16"/>
      <c r="X835" s="16"/>
      <c r="AB835" s="16"/>
      <c r="AC835" s="16"/>
      <c r="AD835" s="16"/>
      <c r="AF835" s="16"/>
      <c r="AG835" s="16"/>
      <c r="AH835" s="16"/>
      <c r="AI835" s="16"/>
    </row>
    <row r="836" spans="1:35" s="18" customFormat="1" x14ac:dyDescent="0.25">
      <c r="A836" s="16"/>
      <c r="B836" s="16"/>
      <c r="C836" s="16"/>
      <c r="D836" s="17"/>
      <c r="E836" s="16"/>
      <c r="F836"/>
      <c r="G836"/>
      <c r="H836"/>
      <c r="J836" s="16"/>
      <c r="K836" s="16"/>
      <c r="L836" s="37"/>
      <c r="N836" s="16"/>
      <c r="O836" s="16"/>
      <c r="P836" s="16"/>
      <c r="Q836" s="16"/>
      <c r="R836" s="16"/>
      <c r="S836" s="16"/>
      <c r="T836" s="16"/>
      <c r="U836" s="16"/>
      <c r="V836" s="16"/>
      <c r="X836" s="16"/>
      <c r="AB836" s="16"/>
      <c r="AC836" s="16"/>
      <c r="AD836" s="16"/>
      <c r="AF836" s="16"/>
      <c r="AG836" s="16"/>
      <c r="AH836" s="16"/>
      <c r="AI836" s="16"/>
    </row>
    <row r="837" spans="1:35" s="18" customFormat="1" x14ac:dyDescent="0.25">
      <c r="A837" s="16"/>
      <c r="B837" s="16"/>
      <c r="C837" s="16"/>
      <c r="D837" s="17"/>
      <c r="E837" s="16"/>
      <c r="F837"/>
      <c r="G837"/>
      <c r="H837"/>
      <c r="J837" s="16"/>
      <c r="K837" s="16"/>
      <c r="L837" s="37"/>
      <c r="N837" s="16"/>
      <c r="O837" s="16"/>
      <c r="P837" s="16"/>
      <c r="Q837" s="16"/>
      <c r="R837" s="16"/>
      <c r="S837" s="16"/>
      <c r="T837" s="16"/>
      <c r="U837" s="16"/>
      <c r="V837" s="16"/>
      <c r="X837" s="16"/>
      <c r="AB837" s="16"/>
      <c r="AC837" s="16"/>
      <c r="AD837" s="16"/>
      <c r="AF837" s="16"/>
      <c r="AG837" s="16"/>
      <c r="AH837" s="16"/>
      <c r="AI837" s="16"/>
    </row>
    <row r="838" spans="1:35" s="18" customFormat="1" x14ac:dyDescent="0.25">
      <c r="A838" s="16"/>
      <c r="B838" s="16"/>
      <c r="C838" s="16"/>
      <c r="D838" s="17"/>
      <c r="E838" s="16"/>
      <c r="F838"/>
      <c r="G838"/>
      <c r="H838"/>
      <c r="J838" s="16"/>
      <c r="K838" s="16"/>
      <c r="L838" s="37"/>
      <c r="N838" s="16"/>
      <c r="O838" s="16"/>
      <c r="P838" s="16"/>
      <c r="Q838" s="16"/>
      <c r="R838" s="16"/>
      <c r="S838" s="16"/>
      <c r="T838" s="16"/>
      <c r="U838" s="16"/>
      <c r="V838" s="16"/>
      <c r="X838" s="16"/>
      <c r="AB838" s="16"/>
      <c r="AC838" s="16"/>
      <c r="AD838" s="16"/>
      <c r="AF838" s="16"/>
      <c r="AG838" s="16"/>
      <c r="AH838" s="16"/>
      <c r="AI838" s="16"/>
    </row>
    <row r="839" spans="1:35" s="18" customFormat="1" x14ac:dyDescent="0.25">
      <c r="A839" s="16"/>
      <c r="B839" s="16"/>
      <c r="C839" s="16"/>
      <c r="D839" s="17"/>
      <c r="E839" s="16"/>
      <c r="F839"/>
      <c r="G839"/>
      <c r="H839"/>
      <c r="J839" s="16"/>
      <c r="K839" s="16"/>
      <c r="L839" s="37"/>
      <c r="N839" s="16"/>
      <c r="O839" s="16"/>
      <c r="P839" s="16"/>
      <c r="Q839" s="16"/>
      <c r="R839" s="16"/>
      <c r="S839" s="16"/>
      <c r="T839" s="16"/>
      <c r="U839" s="16"/>
      <c r="V839" s="16"/>
      <c r="X839" s="16"/>
      <c r="AB839" s="16"/>
      <c r="AC839" s="16"/>
      <c r="AD839" s="16"/>
      <c r="AF839" s="16"/>
      <c r="AG839" s="16"/>
      <c r="AH839" s="16"/>
      <c r="AI839" s="16"/>
    </row>
    <row r="840" spans="1:35" s="18" customFormat="1" x14ac:dyDescent="0.25">
      <c r="A840" s="16"/>
      <c r="B840" s="16"/>
      <c r="C840" s="16"/>
      <c r="D840" s="17"/>
      <c r="E840" s="16"/>
      <c r="F840"/>
      <c r="G840"/>
      <c r="H840"/>
      <c r="J840" s="16"/>
      <c r="K840" s="16"/>
      <c r="L840" s="37"/>
      <c r="N840" s="16"/>
      <c r="O840" s="16"/>
      <c r="P840" s="16"/>
      <c r="Q840" s="16"/>
      <c r="R840" s="16"/>
      <c r="S840" s="16"/>
      <c r="T840" s="16"/>
      <c r="U840" s="16"/>
      <c r="V840" s="16"/>
      <c r="X840" s="16"/>
      <c r="AB840" s="16"/>
      <c r="AC840" s="16"/>
      <c r="AD840" s="16"/>
      <c r="AF840" s="16"/>
      <c r="AG840" s="16"/>
      <c r="AH840" s="16"/>
      <c r="AI840" s="16"/>
    </row>
    <row r="841" spans="1:35" s="18" customFormat="1" x14ac:dyDescent="0.25">
      <c r="A841" s="16"/>
      <c r="B841" s="16"/>
      <c r="C841" s="16"/>
      <c r="D841" s="17"/>
      <c r="E841" s="16"/>
      <c r="F841"/>
      <c r="G841"/>
      <c r="H841"/>
      <c r="J841" s="16"/>
      <c r="K841" s="16"/>
      <c r="L841" s="37"/>
      <c r="N841" s="16"/>
      <c r="O841" s="16"/>
      <c r="P841" s="16"/>
      <c r="Q841" s="16"/>
      <c r="R841" s="16"/>
      <c r="S841" s="16"/>
      <c r="T841" s="16"/>
      <c r="U841" s="16"/>
      <c r="V841" s="16"/>
      <c r="X841" s="16"/>
      <c r="AB841" s="16"/>
      <c r="AC841" s="16"/>
      <c r="AD841" s="16"/>
      <c r="AF841" s="16"/>
      <c r="AG841" s="16"/>
      <c r="AH841" s="16"/>
      <c r="AI841" s="16"/>
    </row>
    <row r="842" spans="1:35" s="18" customFormat="1" x14ac:dyDescent="0.25">
      <c r="A842" s="16"/>
      <c r="B842" s="16"/>
      <c r="C842" s="16"/>
      <c r="D842" s="17"/>
      <c r="E842" s="16"/>
      <c r="F842"/>
      <c r="G842"/>
      <c r="H842"/>
      <c r="J842" s="16"/>
      <c r="K842" s="16"/>
      <c r="L842" s="37"/>
      <c r="N842" s="16"/>
      <c r="O842" s="16"/>
      <c r="P842" s="16"/>
      <c r="Q842" s="16"/>
      <c r="R842" s="16"/>
      <c r="S842" s="16"/>
      <c r="T842" s="16"/>
      <c r="U842" s="16"/>
      <c r="V842" s="16"/>
      <c r="X842" s="16"/>
      <c r="AB842" s="16"/>
      <c r="AC842" s="16"/>
      <c r="AD842" s="16"/>
      <c r="AF842" s="16"/>
      <c r="AG842" s="16"/>
      <c r="AH842" s="16"/>
      <c r="AI842" s="16"/>
    </row>
    <row r="843" spans="1:35" s="18" customFormat="1" x14ac:dyDescent="0.25">
      <c r="A843" s="16"/>
      <c r="B843" s="16"/>
      <c r="C843" s="16"/>
      <c r="D843" s="17"/>
      <c r="E843" s="16"/>
      <c r="F843"/>
      <c r="G843"/>
      <c r="H843"/>
      <c r="J843" s="16"/>
      <c r="K843" s="16"/>
      <c r="L843" s="37"/>
      <c r="N843" s="16"/>
      <c r="O843" s="16"/>
      <c r="P843" s="16"/>
      <c r="Q843" s="16"/>
      <c r="R843" s="16"/>
      <c r="S843" s="16"/>
      <c r="T843" s="16"/>
      <c r="U843" s="16"/>
      <c r="V843" s="16"/>
      <c r="X843" s="16"/>
      <c r="AB843" s="16"/>
      <c r="AC843" s="16"/>
      <c r="AD843" s="16"/>
      <c r="AF843" s="16"/>
      <c r="AG843" s="16"/>
      <c r="AH843" s="16"/>
      <c r="AI843" s="16"/>
    </row>
    <row r="844" spans="1:35" s="18" customFormat="1" x14ac:dyDescent="0.25">
      <c r="A844" s="16"/>
      <c r="B844" s="16"/>
      <c r="C844" s="16"/>
      <c r="D844" s="17"/>
      <c r="E844" s="16"/>
      <c r="F844"/>
      <c r="G844"/>
      <c r="H844"/>
      <c r="J844" s="16"/>
      <c r="K844" s="16"/>
      <c r="L844" s="37"/>
      <c r="N844" s="16"/>
      <c r="O844" s="16"/>
      <c r="P844" s="16"/>
      <c r="Q844" s="16"/>
      <c r="R844" s="16"/>
      <c r="S844" s="16"/>
      <c r="T844" s="16"/>
      <c r="U844" s="16"/>
      <c r="V844" s="16"/>
      <c r="X844" s="16"/>
      <c r="AB844" s="16"/>
      <c r="AC844" s="16"/>
      <c r="AD844" s="16"/>
      <c r="AF844" s="16"/>
      <c r="AG844" s="16"/>
      <c r="AH844" s="16"/>
      <c r="AI844" s="16"/>
    </row>
    <row r="845" spans="1:35" s="18" customFormat="1" x14ac:dyDescent="0.25">
      <c r="A845" s="16"/>
      <c r="B845" s="16"/>
      <c r="C845" s="16"/>
      <c r="D845" s="17"/>
      <c r="E845" s="16"/>
      <c r="F845"/>
      <c r="G845"/>
      <c r="H845"/>
      <c r="J845" s="16"/>
      <c r="K845" s="16"/>
      <c r="L845" s="37"/>
      <c r="N845" s="16"/>
      <c r="O845" s="16"/>
      <c r="P845" s="16"/>
      <c r="Q845" s="16"/>
      <c r="R845" s="16"/>
      <c r="S845" s="16"/>
      <c r="T845" s="16"/>
      <c r="U845" s="16"/>
      <c r="V845" s="16"/>
      <c r="X845" s="16"/>
      <c r="AB845" s="16"/>
      <c r="AC845" s="16"/>
      <c r="AD845" s="16"/>
      <c r="AF845" s="16"/>
      <c r="AG845" s="16"/>
      <c r="AH845" s="16"/>
      <c r="AI845" s="16"/>
    </row>
    <row r="846" spans="1:35" s="18" customFormat="1" x14ac:dyDescent="0.25">
      <c r="A846" s="16"/>
      <c r="B846" s="16"/>
      <c r="C846" s="16"/>
      <c r="D846" s="17"/>
      <c r="E846" s="16"/>
      <c r="F846"/>
      <c r="G846"/>
      <c r="H846"/>
      <c r="J846" s="16"/>
      <c r="K846" s="16"/>
      <c r="L846" s="37"/>
      <c r="N846" s="16"/>
      <c r="O846" s="16"/>
      <c r="P846" s="16"/>
      <c r="Q846" s="16"/>
      <c r="R846" s="16"/>
      <c r="S846" s="16"/>
      <c r="T846" s="16"/>
      <c r="U846" s="16"/>
      <c r="V846" s="16"/>
      <c r="X846" s="16"/>
      <c r="AB846" s="16"/>
      <c r="AC846" s="16"/>
      <c r="AD846" s="16"/>
      <c r="AF846" s="16"/>
      <c r="AG846" s="16"/>
      <c r="AH846" s="16"/>
      <c r="AI846" s="16"/>
    </row>
    <row r="847" spans="1:35" s="18" customFormat="1" x14ac:dyDescent="0.25">
      <c r="A847" s="16"/>
      <c r="B847" s="16"/>
      <c r="C847" s="16"/>
      <c r="D847" s="17"/>
      <c r="E847" s="16"/>
      <c r="F847"/>
      <c r="G847"/>
      <c r="H847"/>
      <c r="J847" s="16"/>
      <c r="K847" s="16"/>
      <c r="L847" s="37"/>
      <c r="N847" s="16"/>
      <c r="O847" s="16"/>
      <c r="P847" s="16"/>
      <c r="Q847" s="16"/>
      <c r="R847" s="16"/>
      <c r="S847" s="16"/>
      <c r="T847" s="16"/>
      <c r="U847" s="16"/>
      <c r="V847" s="16"/>
      <c r="X847" s="16"/>
      <c r="AB847" s="16"/>
      <c r="AC847" s="16"/>
      <c r="AD847" s="16"/>
      <c r="AF847" s="16"/>
      <c r="AG847" s="16"/>
      <c r="AH847" s="16"/>
      <c r="AI847" s="16"/>
    </row>
    <row r="848" spans="1:35" s="18" customFormat="1" x14ac:dyDescent="0.25">
      <c r="A848" s="16"/>
      <c r="B848" s="16"/>
      <c r="C848" s="16"/>
      <c r="D848" s="17"/>
      <c r="E848" s="16"/>
      <c r="F848"/>
      <c r="G848"/>
      <c r="H848"/>
      <c r="J848" s="16"/>
      <c r="K848" s="16"/>
      <c r="L848" s="37"/>
      <c r="N848" s="16"/>
      <c r="O848" s="16"/>
      <c r="P848" s="16"/>
      <c r="Q848" s="16"/>
      <c r="R848" s="16"/>
      <c r="S848" s="16"/>
      <c r="T848" s="16"/>
      <c r="U848" s="16"/>
      <c r="V848" s="16"/>
      <c r="X848" s="16"/>
      <c r="AB848" s="16"/>
      <c r="AC848" s="16"/>
      <c r="AD848" s="16"/>
      <c r="AF848" s="16"/>
      <c r="AG848" s="16"/>
      <c r="AH848" s="16"/>
      <c r="AI848" s="16"/>
    </row>
    <row r="849" spans="1:35" s="18" customFormat="1" x14ac:dyDescent="0.25">
      <c r="A849" s="16"/>
      <c r="B849" s="16"/>
      <c r="C849" s="16"/>
      <c r="D849" s="17"/>
      <c r="E849" s="16"/>
      <c r="F849"/>
      <c r="G849"/>
      <c r="H849"/>
      <c r="J849" s="16"/>
      <c r="K849" s="16"/>
      <c r="L849" s="37"/>
      <c r="N849" s="16"/>
      <c r="O849" s="16"/>
      <c r="P849" s="16"/>
      <c r="Q849" s="16"/>
      <c r="R849" s="16"/>
      <c r="S849" s="16"/>
      <c r="T849" s="16"/>
      <c r="U849" s="16"/>
      <c r="V849" s="16"/>
      <c r="X849" s="16"/>
      <c r="AB849" s="16"/>
      <c r="AC849" s="16"/>
      <c r="AD849" s="16"/>
      <c r="AF849" s="16"/>
      <c r="AG849" s="16"/>
      <c r="AH849" s="16"/>
      <c r="AI849" s="16"/>
    </row>
    <row r="850" spans="1:35" s="18" customFormat="1" x14ac:dyDescent="0.25">
      <c r="A850" s="16"/>
      <c r="B850" s="16"/>
      <c r="C850" s="16"/>
      <c r="D850" s="17"/>
      <c r="E850" s="16"/>
      <c r="F850"/>
      <c r="G850"/>
      <c r="H850"/>
      <c r="J850" s="16"/>
      <c r="K850" s="16"/>
      <c r="L850" s="37"/>
      <c r="N850" s="16"/>
      <c r="O850" s="16"/>
      <c r="P850" s="16"/>
      <c r="Q850" s="16"/>
      <c r="R850" s="16"/>
      <c r="S850" s="16"/>
      <c r="T850" s="16"/>
      <c r="U850" s="16"/>
      <c r="V850" s="16"/>
      <c r="X850" s="16"/>
      <c r="AB850" s="16"/>
      <c r="AC850" s="16"/>
      <c r="AD850" s="16"/>
      <c r="AF850" s="16"/>
      <c r="AG850" s="16"/>
      <c r="AH850" s="16"/>
      <c r="AI850" s="16"/>
    </row>
    <row r="851" spans="1:35" s="18" customFormat="1" x14ac:dyDescent="0.25">
      <c r="A851" s="16"/>
      <c r="B851" s="16"/>
      <c r="C851" s="16"/>
      <c r="D851" s="17"/>
      <c r="E851" s="16"/>
      <c r="F851"/>
      <c r="G851"/>
      <c r="H851"/>
      <c r="J851" s="16"/>
      <c r="K851" s="16"/>
      <c r="L851" s="37"/>
      <c r="N851" s="16"/>
      <c r="O851" s="16"/>
      <c r="P851" s="16"/>
      <c r="Q851" s="16"/>
      <c r="R851" s="16"/>
      <c r="S851" s="16"/>
      <c r="T851" s="16"/>
      <c r="U851" s="16"/>
      <c r="V851" s="16"/>
      <c r="X851" s="16"/>
      <c r="AB851" s="16"/>
      <c r="AC851" s="16"/>
      <c r="AD851" s="16"/>
      <c r="AF851" s="16"/>
      <c r="AG851" s="16"/>
      <c r="AH851" s="16"/>
      <c r="AI851" s="16"/>
    </row>
    <row r="852" spans="1:35" s="18" customFormat="1" x14ac:dyDescent="0.25">
      <c r="A852" s="16"/>
      <c r="B852" s="16"/>
      <c r="C852" s="16"/>
      <c r="D852" s="17"/>
      <c r="E852" s="16"/>
      <c r="F852"/>
      <c r="G852"/>
      <c r="H852"/>
      <c r="J852" s="16"/>
      <c r="K852" s="16"/>
      <c r="L852" s="37"/>
      <c r="N852" s="16"/>
      <c r="O852" s="16"/>
      <c r="P852" s="16"/>
      <c r="Q852" s="16"/>
      <c r="R852" s="16"/>
      <c r="S852" s="16"/>
      <c r="T852" s="16"/>
      <c r="U852" s="16"/>
      <c r="V852" s="16"/>
      <c r="X852" s="16"/>
      <c r="AB852" s="16"/>
      <c r="AC852" s="16"/>
      <c r="AD852" s="16"/>
      <c r="AF852" s="16"/>
      <c r="AG852" s="16"/>
      <c r="AH852" s="16"/>
      <c r="AI852" s="16"/>
    </row>
    <row r="853" spans="1:35" s="18" customFormat="1" x14ac:dyDescent="0.25">
      <c r="A853" s="16"/>
      <c r="B853" s="16"/>
      <c r="C853" s="16"/>
      <c r="D853" s="17"/>
      <c r="E853" s="16"/>
      <c r="F853"/>
      <c r="G853"/>
      <c r="H853"/>
      <c r="J853" s="16"/>
      <c r="K853" s="16"/>
      <c r="L853" s="37"/>
      <c r="N853" s="16"/>
      <c r="O853" s="16"/>
      <c r="P853" s="16"/>
      <c r="Q853" s="16"/>
      <c r="R853" s="16"/>
      <c r="S853" s="16"/>
      <c r="T853" s="16"/>
      <c r="U853" s="16"/>
      <c r="V853" s="16"/>
      <c r="X853" s="16"/>
      <c r="AB853" s="16"/>
      <c r="AC853" s="16"/>
      <c r="AD853" s="16"/>
      <c r="AF853" s="16"/>
      <c r="AG853" s="16"/>
      <c r="AH853" s="16"/>
      <c r="AI853" s="16"/>
    </row>
    <row r="854" spans="1:35" s="18" customFormat="1" x14ac:dyDescent="0.25">
      <c r="A854" s="16"/>
      <c r="B854" s="16"/>
      <c r="C854" s="16"/>
      <c r="D854" s="17"/>
      <c r="E854" s="16"/>
      <c r="F854"/>
      <c r="G854"/>
      <c r="H854"/>
      <c r="J854" s="16"/>
      <c r="K854" s="16"/>
      <c r="L854" s="37"/>
      <c r="N854" s="16"/>
      <c r="O854" s="16"/>
      <c r="P854" s="16"/>
      <c r="Q854" s="16"/>
      <c r="R854" s="16"/>
      <c r="S854" s="16"/>
      <c r="T854" s="16"/>
      <c r="U854" s="16"/>
      <c r="V854" s="16"/>
      <c r="X854" s="16"/>
      <c r="AB854" s="16"/>
      <c r="AC854" s="16"/>
      <c r="AD854" s="16"/>
      <c r="AF854" s="16"/>
      <c r="AG854" s="16"/>
      <c r="AH854" s="16"/>
      <c r="AI854" s="16"/>
    </row>
    <row r="855" spans="1:35" s="18" customFormat="1" x14ac:dyDescent="0.25">
      <c r="A855" s="16"/>
      <c r="B855" s="16"/>
      <c r="C855" s="16"/>
      <c r="D855" s="17"/>
      <c r="E855" s="16"/>
      <c r="F855"/>
      <c r="G855"/>
      <c r="H855"/>
      <c r="J855" s="16"/>
      <c r="K855" s="16"/>
      <c r="L855" s="37"/>
      <c r="N855" s="16"/>
      <c r="O855" s="16"/>
      <c r="P855" s="16"/>
      <c r="Q855" s="16"/>
      <c r="R855" s="16"/>
      <c r="S855" s="16"/>
      <c r="T855" s="16"/>
      <c r="U855" s="16"/>
      <c r="V855" s="16"/>
      <c r="X855" s="16"/>
      <c r="AB855" s="16"/>
      <c r="AC855" s="16"/>
      <c r="AD855" s="16"/>
      <c r="AF855" s="16"/>
      <c r="AG855" s="16"/>
      <c r="AH855" s="16"/>
      <c r="AI855" s="16"/>
    </row>
    <row r="856" spans="1:35" s="18" customFormat="1" x14ac:dyDescent="0.25">
      <c r="A856" s="16"/>
      <c r="B856" s="16"/>
      <c r="C856" s="16"/>
      <c r="D856" s="17"/>
      <c r="E856" s="16"/>
      <c r="F856"/>
      <c r="G856"/>
      <c r="H856"/>
      <c r="J856" s="16"/>
      <c r="K856" s="16"/>
      <c r="L856" s="37"/>
      <c r="N856" s="16"/>
      <c r="O856" s="16"/>
      <c r="P856" s="16"/>
      <c r="Q856" s="16"/>
      <c r="R856" s="16"/>
      <c r="S856" s="16"/>
      <c r="T856" s="16"/>
      <c r="U856" s="16"/>
      <c r="V856" s="16"/>
      <c r="X856" s="16"/>
      <c r="AB856" s="16"/>
      <c r="AC856" s="16"/>
      <c r="AD856" s="16"/>
      <c r="AF856" s="16"/>
      <c r="AG856" s="16"/>
      <c r="AH856" s="16"/>
      <c r="AI856" s="16"/>
    </row>
    <row r="857" spans="1:35" s="18" customFormat="1" x14ac:dyDescent="0.25">
      <c r="A857" s="16"/>
      <c r="B857" s="16"/>
      <c r="C857" s="16"/>
      <c r="D857" s="17"/>
      <c r="E857" s="16"/>
      <c r="F857"/>
      <c r="G857"/>
      <c r="H857"/>
      <c r="J857" s="16"/>
      <c r="K857" s="16"/>
      <c r="L857" s="37"/>
      <c r="N857" s="16"/>
      <c r="O857" s="16"/>
      <c r="P857" s="16"/>
      <c r="Q857" s="16"/>
      <c r="R857" s="16"/>
      <c r="S857" s="16"/>
      <c r="T857" s="16"/>
      <c r="U857" s="16"/>
      <c r="V857" s="16"/>
      <c r="X857" s="16"/>
      <c r="AB857" s="16"/>
      <c r="AC857" s="16"/>
      <c r="AD857" s="16"/>
      <c r="AF857" s="16"/>
      <c r="AG857" s="16"/>
      <c r="AH857" s="16"/>
      <c r="AI857" s="16"/>
    </row>
    <row r="858" spans="1:35" s="18" customFormat="1" x14ac:dyDescent="0.25">
      <c r="A858" s="16"/>
      <c r="B858" s="16"/>
      <c r="C858" s="16"/>
      <c r="D858" s="17"/>
      <c r="E858" s="16"/>
      <c r="F858"/>
      <c r="G858"/>
      <c r="H858"/>
      <c r="J858" s="16"/>
      <c r="K858" s="16"/>
      <c r="L858" s="37"/>
      <c r="N858" s="16"/>
      <c r="O858" s="16"/>
      <c r="P858" s="16"/>
      <c r="Q858" s="16"/>
      <c r="R858" s="16"/>
      <c r="S858" s="16"/>
      <c r="T858" s="16"/>
      <c r="U858" s="16"/>
      <c r="V858" s="16"/>
      <c r="X858" s="16"/>
      <c r="AB858" s="16"/>
      <c r="AC858" s="16"/>
      <c r="AD858" s="16"/>
      <c r="AF858" s="16"/>
      <c r="AG858" s="16"/>
      <c r="AH858" s="16"/>
      <c r="AI858" s="16"/>
    </row>
    <row r="859" spans="1:35" s="18" customFormat="1" x14ac:dyDescent="0.25">
      <c r="A859" s="16"/>
      <c r="B859" s="16"/>
      <c r="C859" s="16"/>
      <c r="D859" s="17"/>
      <c r="E859" s="16"/>
      <c r="F859"/>
      <c r="G859"/>
      <c r="H859"/>
      <c r="J859" s="16"/>
      <c r="K859" s="16"/>
      <c r="L859" s="37"/>
      <c r="N859" s="16"/>
      <c r="O859" s="16"/>
      <c r="P859" s="16"/>
      <c r="Q859" s="16"/>
      <c r="R859" s="16"/>
      <c r="S859" s="16"/>
      <c r="T859" s="16"/>
      <c r="U859" s="16"/>
      <c r="V859" s="16"/>
      <c r="X859" s="16"/>
      <c r="AB859" s="16"/>
      <c r="AC859" s="16"/>
      <c r="AD859" s="16"/>
      <c r="AF859" s="16"/>
      <c r="AG859" s="16"/>
      <c r="AH859" s="16"/>
      <c r="AI859" s="16"/>
    </row>
    <row r="860" spans="1:35" s="18" customFormat="1" x14ac:dyDescent="0.25">
      <c r="A860" s="16"/>
      <c r="B860" s="16"/>
      <c r="C860" s="16"/>
      <c r="D860" s="17"/>
      <c r="E860" s="16"/>
      <c r="F860"/>
      <c r="G860"/>
      <c r="H860"/>
      <c r="J860" s="16"/>
      <c r="K860" s="16"/>
      <c r="L860" s="37"/>
      <c r="N860" s="16"/>
      <c r="O860" s="16"/>
      <c r="P860" s="16"/>
      <c r="Q860" s="16"/>
      <c r="R860" s="16"/>
      <c r="S860" s="16"/>
      <c r="T860" s="16"/>
      <c r="U860" s="16"/>
      <c r="V860" s="16"/>
      <c r="X860" s="16"/>
      <c r="AB860" s="16"/>
      <c r="AC860" s="16"/>
      <c r="AD860" s="16"/>
      <c r="AF860" s="16"/>
      <c r="AG860" s="16"/>
      <c r="AH860" s="16"/>
      <c r="AI860" s="16"/>
    </row>
    <row r="861" spans="1:35" s="18" customFormat="1" x14ac:dyDescent="0.25">
      <c r="A861" s="16"/>
      <c r="B861" s="16"/>
      <c r="C861" s="16"/>
      <c r="D861" s="17"/>
      <c r="E861" s="16"/>
      <c r="F861"/>
      <c r="G861"/>
      <c r="H861"/>
      <c r="J861" s="16"/>
      <c r="K861" s="16"/>
      <c r="L861" s="37"/>
      <c r="N861" s="16"/>
      <c r="O861" s="16"/>
      <c r="P861" s="16"/>
      <c r="Q861" s="16"/>
      <c r="R861" s="16"/>
      <c r="S861" s="16"/>
      <c r="T861" s="16"/>
      <c r="U861" s="16"/>
      <c r="V861" s="16"/>
      <c r="X861" s="16"/>
      <c r="AB861" s="16"/>
      <c r="AC861" s="16"/>
      <c r="AD861" s="16"/>
      <c r="AF861" s="16"/>
      <c r="AG861" s="16"/>
      <c r="AH861" s="16"/>
      <c r="AI861" s="16"/>
    </row>
    <row r="862" spans="1:35" s="18" customFormat="1" x14ac:dyDescent="0.25">
      <c r="A862" s="16"/>
      <c r="B862" s="16"/>
      <c r="C862" s="16"/>
      <c r="D862" s="17"/>
      <c r="E862" s="16"/>
      <c r="F862"/>
      <c r="G862"/>
      <c r="H862"/>
      <c r="J862" s="16"/>
      <c r="K862" s="16"/>
      <c r="L862" s="37"/>
      <c r="N862" s="16"/>
      <c r="O862" s="16"/>
      <c r="P862" s="16"/>
      <c r="Q862" s="16"/>
      <c r="R862" s="16"/>
      <c r="S862" s="16"/>
      <c r="T862" s="16"/>
      <c r="U862" s="16"/>
      <c r="V862" s="16"/>
      <c r="X862" s="16"/>
      <c r="AB862" s="16"/>
      <c r="AC862" s="16"/>
      <c r="AD862" s="16"/>
      <c r="AF862" s="16"/>
      <c r="AG862" s="16"/>
      <c r="AH862" s="16"/>
      <c r="AI862" s="16"/>
    </row>
    <row r="863" spans="1:35" s="18" customFormat="1" x14ac:dyDescent="0.25">
      <c r="A863" s="16"/>
      <c r="B863" s="16"/>
      <c r="C863" s="16"/>
      <c r="D863" s="17"/>
      <c r="E863" s="16"/>
      <c r="F863"/>
      <c r="G863"/>
      <c r="H863"/>
      <c r="J863" s="16"/>
      <c r="K863" s="16"/>
      <c r="L863" s="37"/>
      <c r="N863" s="16"/>
      <c r="O863" s="16"/>
      <c r="P863" s="16"/>
      <c r="Q863" s="16"/>
      <c r="R863" s="16"/>
      <c r="S863" s="16"/>
      <c r="T863" s="16"/>
      <c r="U863" s="16"/>
      <c r="V863" s="16"/>
      <c r="X863" s="16"/>
      <c r="AB863" s="16"/>
      <c r="AC863" s="16"/>
      <c r="AD863" s="16"/>
      <c r="AF863" s="16"/>
      <c r="AG863" s="16"/>
      <c r="AH863" s="16"/>
      <c r="AI863" s="16"/>
    </row>
    <row r="864" spans="1:35" s="18" customFormat="1" x14ac:dyDescent="0.25">
      <c r="A864" s="16"/>
      <c r="B864" s="16"/>
      <c r="C864" s="16"/>
      <c r="D864" s="17"/>
      <c r="E864" s="16"/>
      <c r="F864"/>
      <c r="G864"/>
      <c r="H864"/>
      <c r="J864" s="16"/>
      <c r="K864" s="16"/>
      <c r="L864" s="37"/>
      <c r="N864" s="16"/>
      <c r="O864" s="16"/>
      <c r="P864" s="16"/>
      <c r="Q864" s="16"/>
      <c r="R864" s="16"/>
      <c r="S864" s="16"/>
      <c r="T864" s="16"/>
      <c r="U864" s="16"/>
      <c r="V864" s="16"/>
      <c r="X864" s="16"/>
      <c r="AB864" s="16"/>
      <c r="AC864" s="16"/>
      <c r="AD864" s="16"/>
      <c r="AF864" s="16"/>
      <c r="AG864" s="16"/>
      <c r="AH864" s="16"/>
      <c r="AI864" s="16"/>
    </row>
    <row r="865" spans="1:35" s="18" customFormat="1" x14ac:dyDescent="0.25">
      <c r="A865" s="16"/>
      <c r="B865" s="16"/>
      <c r="C865" s="16"/>
      <c r="D865" s="17"/>
      <c r="E865" s="16"/>
      <c r="F865"/>
      <c r="G865"/>
      <c r="H865"/>
      <c r="J865" s="16"/>
      <c r="K865" s="16"/>
      <c r="L865" s="37"/>
      <c r="N865" s="16"/>
      <c r="O865" s="16"/>
      <c r="P865" s="16"/>
      <c r="Q865" s="16"/>
      <c r="R865" s="16"/>
      <c r="S865" s="16"/>
      <c r="T865" s="16"/>
      <c r="U865" s="16"/>
      <c r="V865" s="16"/>
      <c r="X865" s="16"/>
      <c r="AB865" s="16"/>
      <c r="AC865" s="16"/>
      <c r="AD865" s="16"/>
      <c r="AF865" s="16"/>
      <c r="AG865" s="16"/>
      <c r="AH865" s="16"/>
      <c r="AI865" s="16"/>
    </row>
    <row r="866" spans="1:35" s="18" customFormat="1" x14ac:dyDescent="0.25">
      <c r="A866" s="16"/>
      <c r="B866" s="16"/>
      <c r="C866" s="16"/>
      <c r="D866" s="17"/>
      <c r="E866" s="16"/>
      <c r="F866"/>
      <c r="G866"/>
      <c r="H866"/>
      <c r="J866" s="16"/>
      <c r="K866" s="16"/>
      <c r="L866" s="37"/>
      <c r="N866" s="16"/>
      <c r="O866" s="16"/>
      <c r="P866" s="16"/>
      <c r="Q866" s="16"/>
      <c r="R866" s="16"/>
      <c r="S866" s="16"/>
      <c r="T866" s="16"/>
      <c r="U866" s="16"/>
      <c r="V866" s="16"/>
      <c r="X866" s="16"/>
      <c r="AB866" s="16"/>
      <c r="AC866" s="16"/>
      <c r="AD866" s="16"/>
      <c r="AF866" s="16"/>
      <c r="AG866" s="16"/>
      <c r="AH866" s="16"/>
      <c r="AI866" s="16"/>
    </row>
    <row r="867" spans="1:35" s="18" customFormat="1" x14ac:dyDescent="0.25">
      <c r="A867" s="16"/>
      <c r="B867" s="16"/>
      <c r="C867" s="16"/>
      <c r="D867" s="17"/>
      <c r="E867" s="16"/>
      <c r="F867"/>
      <c r="G867"/>
      <c r="H867"/>
      <c r="J867" s="16"/>
      <c r="K867" s="16"/>
      <c r="L867" s="37"/>
      <c r="N867" s="16"/>
      <c r="O867" s="16"/>
      <c r="P867" s="16"/>
      <c r="Q867" s="16"/>
      <c r="R867" s="16"/>
      <c r="S867" s="16"/>
      <c r="T867" s="16"/>
      <c r="U867" s="16"/>
      <c r="V867" s="16"/>
      <c r="X867" s="16"/>
      <c r="AB867" s="16"/>
      <c r="AC867" s="16"/>
      <c r="AD867" s="16"/>
      <c r="AF867" s="16"/>
      <c r="AG867" s="16"/>
      <c r="AH867" s="16"/>
      <c r="AI867" s="16"/>
    </row>
    <row r="868" spans="1:35" s="18" customFormat="1" x14ac:dyDescent="0.25">
      <c r="A868" s="16"/>
      <c r="B868" s="16"/>
      <c r="C868" s="16"/>
      <c r="D868" s="17"/>
      <c r="E868" s="16"/>
      <c r="F868"/>
      <c r="G868"/>
      <c r="H868"/>
      <c r="J868" s="16"/>
      <c r="K868" s="16"/>
      <c r="L868" s="37"/>
      <c r="N868" s="16"/>
      <c r="O868" s="16"/>
      <c r="P868" s="16"/>
      <c r="Q868" s="16"/>
      <c r="R868" s="16"/>
      <c r="S868" s="16"/>
      <c r="T868" s="16"/>
      <c r="U868" s="16"/>
      <c r="V868" s="16"/>
      <c r="X868" s="16"/>
      <c r="AB868" s="16"/>
      <c r="AC868" s="16"/>
      <c r="AD868" s="16"/>
      <c r="AF868" s="16"/>
      <c r="AG868" s="16"/>
      <c r="AH868" s="16"/>
      <c r="AI868" s="16"/>
    </row>
    <row r="869" spans="1:35" s="18" customFormat="1" x14ac:dyDescent="0.25">
      <c r="A869" s="16"/>
      <c r="B869" s="16"/>
      <c r="C869" s="16"/>
      <c r="D869" s="17"/>
      <c r="E869" s="16"/>
      <c r="F869"/>
      <c r="G869"/>
      <c r="H869"/>
      <c r="J869" s="16"/>
      <c r="K869" s="16"/>
      <c r="L869" s="37"/>
      <c r="N869" s="16"/>
      <c r="O869" s="16"/>
      <c r="P869" s="16"/>
      <c r="Q869" s="16"/>
      <c r="R869" s="16"/>
      <c r="S869" s="16"/>
      <c r="T869" s="16"/>
      <c r="U869" s="16"/>
      <c r="V869" s="16"/>
      <c r="X869" s="16"/>
      <c r="AB869" s="16"/>
      <c r="AC869" s="16"/>
      <c r="AD869" s="16"/>
      <c r="AF869" s="16"/>
      <c r="AG869" s="16"/>
      <c r="AH869" s="16"/>
      <c r="AI869" s="16"/>
    </row>
    <row r="870" spans="1:35" s="18" customFormat="1" x14ac:dyDescent="0.25">
      <c r="A870" s="16"/>
      <c r="B870" s="16"/>
      <c r="C870" s="16"/>
      <c r="D870" s="17"/>
      <c r="E870" s="16"/>
      <c r="F870"/>
      <c r="G870"/>
      <c r="H870"/>
      <c r="J870" s="16"/>
      <c r="K870" s="16"/>
      <c r="L870" s="37"/>
      <c r="N870" s="16"/>
      <c r="O870" s="16"/>
      <c r="P870" s="16"/>
      <c r="Q870" s="16"/>
      <c r="R870" s="16"/>
      <c r="S870" s="16"/>
      <c r="T870" s="16"/>
      <c r="U870" s="16"/>
      <c r="V870" s="16"/>
      <c r="X870" s="16"/>
      <c r="AB870" s="16"/>
      <c r="AC870" s="16"/>
      <c r="AD870" s="16"/>
      <c r="AF870" s="16"/>
      <c r="AG870" s="16"/>
      <c r="AH870" s="16"/>
      <c r="AI870" s="16"/>
    </row>
    <row r="871" spans="1:35" s="18" customFormat="1" x14ac:dyDescent="0.25">
      <c r="A871" s="16"/>
      <c r="B871" s="16"/>
      <c r="C871" s="16"/>
      <c r="D871" s="17"/>
      <c r="E871" s="16"/>
      <c r="F871"/>
      <c r="G871"/>
      <c r="H871"/>
      <c r="J871" s="16"/>
      <c r="K871" s="16"/>
      <c r="L871" s="37"/>
      <c r="N871" s="16"/>
      <c r="O871" s="16"/>
      <c r="P871" s="16"/>
      <c r="Q871" s="16"/>
      <c r="R871" s="16"/>
      <c r="S871" s="16"/>
      <c r="T871" s="16"/>
      <c r="U871" s="16"/>
      <c r="V871" s="16"/>
      <c r="X871" s="16"/>
      <c r="AB871" s="16"/>
      <c r="AC871" s="16"/>
      <c r="AD871" s="16"/>
      <c r="AF871" s="16"/>
      <c r="AG871" s="16"/>
      <c r="AH871" s="16"/>
      <c r="AI871" s="16"/>
    </row>
    <row r="872" spans="1:35" s="18" customFormat="1" x14ac:dyDescent="0.25">
      <c r="A872" s="16"/>
      <c r="B872" s="16"/>
      <c r="C872" s="16"/>
      <c r="D872" s="17"/>
      <c r="E872" s="16"/>
      <c r="F872"/>
      <c r="G872"/>
      <c r="H872"/>
      <c r="J872" s="16"/>
      <c r="K872" s="16"/>
      <c r="L872" s="37"/>
      <c r="N872" s="16"/>
      <c r="O872" s="16"/>
      <c r="P872" s="16"/>
      <c r="Q872" s="16"/>
      <c r="R872" s="16"/>
      <c r="S872" s="16"/>
      <c r="T872" s="16"/>
      <c r="U872" s="16"/>
      <c r="V872" s="16"/>
      <c r="X872" s="16"/>
      <c r="AB872" s="16"/>
      <c r="AC872" s="16"/>
      <c r="AD872" s="16"/>
      <c r="AF872" s="16"/>
      <c r="AG872" s="16"/>
      <c r="AH872" s="16"/>
      <c r="AI872" s="16"/>
    </row>
    <row r="873" spans="1:35" s="18" customFormat="1" x14ac:dyDescent="0.25">
      <c r="A873" s="16"/>
      <c r="B873" s="16"/>
      <c r="C873" s="16"/>
      <c r="D873" s="17"/>
      <c r="E873" s="16"/>
      <c r="F873"/>
      <c r="G873"/>
      <c r="H873"/>
      <c r="J873" s="16"/>
      <c r="K873" s="16"/>
      <c r="L873" s="37"/>
      <c r="N873" s="16"/>
      <c r="O873" s="16"/>
      <c r="P873" s="16"/>
      <c r="Q873" s="16"/>
      <c r="R873" s="16"/>
      <c r="S873" s="16"/>
      <c r="T873" s="16"/>
      <c r="U873" s="16"/>
      <c r="V873" s="16"/>
      <c r="X873" s="16"/>
      <c r="AB873" s="16"/>
      <c r="AC873" s="16"/>
      <c r="AD873" s="16"/>
      <c r="AF873" s="16"/>
      <c r="AG873" s="16"/>
      <c r="AH873" s="16"/>
      <c r="AI873" s="16"/>
    </row>
    <row r="874" spans="1:35" s="18" customFormat="1" x14ac:dyDescent="0.25">
      <c r="A874" s="16"/>
      <c r="B874" s="16"/>
      <c r="C874" s="16"/>
      <c r="D874" s="17"/>
      <c r="E874" s="16"/>
      <c r="F874"/>
      <c r="G874"/>
      <c r="H874"/>
      <c r="J874" s="16"/>
      <c r="K874" s="16"/>
      <c r="L874" s="37"/>
      <c r="N874" s="16"/>
      <c r="O874" s="16"/>
      <c r="P874" s="16"/>
      <c r="Q874" s="16"/>
      <c r="R874" s="16"/>
      <c r="S874" s="16"/>
      <c r="T874" s="16"/>
      <c r="U874" s="16"/>
      <c r="V874" s="16"/>
      <c r="X874" s="16"/>
      <c r="AB874" s="16"/>
      <c r="AC874" s="16"/>
      <c r="AD874" s="16"/>
      <c r="AF874" s="16"/>
      <c r="AG874" s="16"/>
      <c r="AH874" s="16"/>
      <c r="AI874" s="16"/>
    </row>
    <row r="875" spans="1:35" s="18" customFormat="1" x14ac:dyDescent="0.25">
      <c r="A875" s="16"/>
      <c r="B875" s="16"/>
      <c r="C875" s="16"/>
      <c r="D875" s="17"/>
      <c r="E875" s="16"/>
      <c r="F875"/>
      <c r="G875"/>
      <c r="H875"/>
      <c r="J875" s="16"/>
      <c r="K875" s="16"/>
      <c r="L875" s="37"/>
      <c r="N875" s="16"/>
      <c r="O875" s="16"/>
      <c r="P875" s="16"/>
      <c r="Q875" s="16"/>
      <c r="R875" s="16"/>
      <c r="S875" s="16"/>
      <c r="T875" s="16"/>
      <c r="U875" s="16"/>
      <c r="V875" s="16"/>
      <c r="X875" s="16"/>
      <c r="AB875" s="16"/>
      <c r="AC875" s="16"/>
      <c r="AD875" s="16"/>
      <c r="AF875" s="16"/>
      <c r="AG875" s="16"/>
      <c r="AH875" s="16"/>
      <c r="AI875" s="16"/>
    </row>
    <row r="876" spans="1:35" s="18" customFormat="1" x14ac:dyDescent="0.25">
      <c r="A876" s="16"/>
      <c r="B876" s="16"/>
      <c r="C876" s="16"/>
      <c r="D876" s="17"/>
      <c r="E876" s="16"/>
      <c r="F876"/>
      <c r="G876"/>
      <c r="H876"/>
      <c r="J876" s="16"/>
      <c r="K876" s="16"/>
      <c r="L876" s="37"/>
      <c r="N876" s="16"/>
      <c r="O876" s="16"/>
      <c r="P876" s="16"/>
      <c r="Q876" s="16"/>
      <c r="R876" s="16"/>
      <c r="S876" s="16"/>
      <c r="T876" s="16"/>
      <c r="U876" s="16"/>
      <c r="V876" s="16"/>
      <c r="X876" s="16"/>
      <c r="AB876" s="16"/>
      <c r="AC876" s="16"/>
      <c r="AD876" s="16"/>
      <c r="AF876" s="16"/>
      <c r="AG876" s="16"/>
      <c r="AH876" s="16"/>
      <c r="AI876" s="16"/>
    </row>
    <row r="877" spans="1:35" s="18" customFormat="1" x14ac:dyDescent="0.25">
      <c r="A877" s="16"/>
      <c r="B877" s="16"/>
      <c r="C877" s="16"/>
      <c r="D877" s="17"/>
      <c r="E877" s="16"/>
      <c r="F877"/>
      <c r="G877"/>
      <c r="H877"/>
      <c r="J877" s="16"/>
      <c r="K877" s="16"/>
      <c r="L877" s="37"/>
      <c r="N877" s="16"/>
      <c r="O877" s="16"/>
      <c r="P877" s="16"/>
      <c r="Q877" s="16"/>
      <c r="R877" s="16"/>
      <c r="S877" s="16"/>
      <c r="T877" s="16"/>
      <c r="U877" s="16"/>
      <c r="V877" s="16"/>
      <c r="X877" s="16"/>
      <c r="AB877" s="16"/>
      <c r="AC877" s="16"/>
      <c r="AD877" s="16"/>
      <c r="AF877" s="16"/>
      <c r="AG877" s="16"/>
      <c r="AH877" s="16"/>
      <c r="AI877" s="16"/>
    </row>
    <row r="878" spans="1:35" s="18" customFormat="1" x14ac:dyDescent="0.25">
      <c r="A878" s="16"/>
      <c r="B878" s="16"/>
      <c r="C878" s="16"/>
      <c r="D878" s="17"/>
      <c r="E878" s="16"/>
      <c r="F878"/>
      <c r="G878"/>
      <c r="H878"/>
      <c r="J878" s="16"/>
      <c r="K878" s="16"/>
      <c r="L878" s="37"/>
      <c r="N878" s="16"/>
      <c r="O878" s="16"/>
      <c r="P878" s="16"/>
      <c r="Q878" s="16"/>
      <c r="R878" s="16"/>
      <c r="S878" s="16"/>
      <c r="T878" s="16"/>
      <c r="U878" s="16"/>
      <c r="V878" s="16"/>
      <c r="X878" s="16"/>
      <c r="AB878" s="16"/>
      <c r="AC878" s="16"/>
      <c r="AD878" s="16"/>
      <c r="AF878" s="16"/>
      <c r="AG878" s="16"/>
      <c r="AH878" s="16"/>
      <c r="AI878" s="16"/>
    </row>
    <row r="879" spans="1:35" s="18" customFormat="1" x14ac:dyDescent="0.25">
      <c r="A879" s="16"/>
      <c r="B879" s="16"/>
      <c r="C879" s="16"/>
      <c r="D879" s="17"/>
      <c r="E879" s="16"/>
      <c r="F879"/>
      <c r="G879"/>
      <c r="H879"/>
      <c r="J879" s="16"/>
      <c r="K879" s="16"/>
      <c r="L879" s="37"/>
      <c r="N879" s="16"/>
      <c r="O879" s="16"/>
      <c r="P879" s="16"/>
      <c r="Q879" s="16"/>
      <c r="R879" s="16"/>
      <c r="S879" s="16"/>
      <c r="T879" s="16"/>
      <c r="U879" s="16"/>
      <c r="V879" s="16"/>
      <c r="X879" s="16"/>
      <c r="AB879" s="16"/>
      <c r="AC879" s="16"/>
      <c r="AD879" s="16"/>
      <c r="AF879" s="16"/>
      <c r="AG879" s="16"/>
      <c r="AH879" s="16"/>
      <c r="AI879" s="16"/>
    </row>
    <row r="880" spans="1:35" s="18" customFormat="1" x14ac:dyDescent="0.25">
      <c r="A880" s="16"/>
      <c r="B880" s="16"/>
      <c r="C880" s="16"/>
      <c r="D880" s="17"/>
      <c r="E880" s="16"/>
      <c r="F880"/>
      <c r="G880"/>
      <c r="H880"/>
      <c r="J880" s="16"/>
      <c r="K880" s="16"/>
      <c r="L880" s="37"/>
      <c r="N880" s="16"/>
      <c r="O880" s="16"/>
      <c r="P880" s="16"/>
      <c r="Q880" s="16"/>
      <c r="R880" s="16"/>
      <c r="S880" s="16"/>
      <c r="T880" s="16"/>
      <c r="U880" s="16"/>
      <c r="V880" s="16"/>
      <c r="X880" s="16"/>
      <c r="AB880" s="16"/>
      <c r="AC880" s="16"/>
      <c r="AD880" s="16"/>
      <c r="AF880" s="16"/>
      <c r="AG880" s="16"/>
      <c r="AH880" s="16"/>
      <c r="AI880" s="16"/>
    </row>
    <row r="881" spans="1:35" s="18" customFormat="1" x14ac:dyDescent="0.25">
      <c r="A881" s="16"/>
      <c r="B881" s="16"/>
      <c r="C881" s="16"/>
      <c r="D881" s="17"/>
      <c r="E881" s="16"/>
      <c r="F881"/>
      <c r="G881"/>
      <c r="H881"/>
      <c r="J881" s="16"/>
      <c r="K881" s="16"/>
      <c r="L881" s="37"/>
      <c r="N881" s="16"/>
      <c r="O881" s="16"/>
      <c r="P881" s="16"/>
      <c r="Q881" s="16"/>
      <c r="R881" s="16"/>
      <c r="S881" s="16"/>
      <c r="T881" s="16"/>
      <c r="U881" s="16"/>
      <c r="V881" s="16"/>
      <c r="X881" s="16"/>
      <c r="AB881" s="16"/>
      <c r="AC881" s="16"/>
      <c r="AD881" s="16"/>
      <c r="AF881" s="16"/>
      <c r="AG881" s="16"/>
      <c r="AH881" s="16"/>
      <c r="AI881" s="16"/>
    </row>
    <row r="882" spans="1:35" s="18" customFormat="1" x14ac:dyDescent="0.25">
      <c r="A882" s="16"/>
      <c r="B882" s="16"/>
      <c r="C882" s="16"/>
      <c r="D882" s="17"/>
      <c r="E882" s="16"/>
      <c r="F882"/>
      <c r="G882"/>
      <c r="H882"/>
      <c r="J882" s="16"/>
      <c r="K882" s="16"/>
      <c r="L882" s="37"/>
      <c r="N882" s="16"/>
      <c r="O882" s="16"/>
      <c r="P882" s="16"/>
      <c r="Q882" s="16"/>
      <c r="R882" s="16"/>
      <c r="S882" s="16"/>
      <c r="T882" s="16"/>
      <c r="U882" s="16"/>
      <c r="V882" s="16"/>
      <c r="X882" s="16"/>
      <c r="AB882" s="16"/>
      <c r="AC882" s="16"/>
      <c r="AD882" s="16"/>
      <c r="AF882" s="16"/>
      <c r="AG882" s="16"/>
      <c r="AH882" s="16"/>
      <c r="AI882" s="16"/>
    </row>
    <row r="883" spans="1:35" s="18" customFormat="1" x14ac:dyDescent="0.25">
      <c r="A883" s="16"/>
      <c r="B883" s="16"/>
      <c r="C883" s="16"/>
      <c r="D883" s="17"/>
      <c r="E883" s="16"/>
      <c r="F883"/>
      <c r="G883"/>
      <c r="H883"/>
      <c r="J883" s="16"/>
      <c r="K883" s="16"/>
      <c r="L883" s="37"/>
      <c r="N883" s="16"/>
      <c r="O883" s="16"/>
      <c r="P883" s="16"/>
      <c r="Q883" s="16"/>
      <c r="R883" s="16"/>
      <c r="S883" s="16"/>
      <c r="T883" s="16"/>
      <c r="U883" s="16"/>
      <c r="V883" s="16"/>
      <c r="X883" s="16"/>
      <c r="AB883" s="16"/>
      <c r="AC883" s="16"/>
      <c r="AD883" s="16"/>
      <c r="AF883" s="16"/>
      <c r="AG883" s="16"/>
      <c r="AH883" s="16"/>
      <c r="AI883" s="16"/>
    </row>
    <row r="884" spans="1:35" s="18" customFormat="1" x14ac:dyDescent="0.25">
      <c r="A884" s="16"/>
      <c r="B884" s="16"/>
      <c r="C884" s="16"/>
      <c r="D884" s="17"/>
      <c r="E884" s="16"/>
      <c r="F884"/>
      <c r="G884"/>
      <c r="H884"/>
      <c r="J884" s="16"/>
      <c r="K884" s="16"/>
      <c r="L884" s="37"/>
      <c r="N884" s="16"/>
      <c r="O884" s="16"/>
      <c r="P884" s="16"/>
      <c r="Q884" s="16"/>
      <c r="R884" s="16"/>
      <c r="S884" s="16"/>
      <c r="T884" s="16"/>
      <c r="U884" s="16"/>
      <c r="V884" s="16"/>
      <c r="X884" s="16"/>
      <c r="AB884" s="16"/>
      <c r="AC884" s="16"/>
      <c r="AD884" s="16"/>
      <c r="AF884" s="16"/>
      <c r="AG884" s="16"/>
      <c r="AH884" s="16"/>
      <c r="AI884" s="16"/>
    </row>
    <row r="885" spans="1:35" s="18" customFormat="1" x14ac:dyDescent="0.25">
      <c r="A885" s="16"/>
      <c r="B885" s="16"/>
      <c r="C885" s="16"/>
      <c r="D885" s="17"/>
      <c r="E885" s="16"/>
      <c r="F885"/>
      <c r="G885"/>
      <c r="H885"/>
      <c r="J885" s="16"/>
      <c r="K885" s="16"/>
      <c r="L885" s="37"/>
      <c r="N885" s="16"/>
      <c r="O885" s="16"/>
      <c r="P885" s="16"/>
      <c r="Q885" s="16"/>
      <c r="R885" s="16"/>
      <c r="S885" s="16"/>
      <c r="T885" s="16"/>
      <c r="U885" s="16"/>
      <c r="V885" s="16"/>
      <c r="X885" s="16"/>
      <c r="AB885" s="16"/>
      <c r="AC885" s="16"/>
      <c r="AD885" s="16"/>
      <c r="AF885" s="16"/>
      <c r="AG885" s="16"/>
      <c r="AH885" s="16"/>
      <c r="AI885" s="16"/>
    </row>
    <row r="886" spans="1:35" s="18" customFormat="1" x14ac:dyDescent="0.25">
      <c r="A886" s="16"/>
      <c r="B886" s="16"/>
      <c r="C886" s="16"/>
      <c r="D886" s="17"/>
      <c r="E886" s="16"/>
      <c r="F886"/>
      <c r="G886"/>
      <c r="H886"/>
      <c r="J886" s="16"/>
      <c r="K886" s="16"/>
      <c r="L886" s="37"/>
      <c r="N886" s="16"/>
      <c r="O886" s="16"/>
      <c r="P886" s="16"/>
      <c r="Q886" s="16"/>
      <c r="R886" s="16"/>
      <c r="S886" s="16"/>
      <c r="T886" s="16"/>
      <c r="U886" s="16"/>
      <c r="V886" s="16"/>
      <c r="X886" s="16"/>
      <c r="AB886" s="16"/>
      <c r="AC886" s="16"/>
      <c r="AD886" s="16"/>
      <c r="AF886" s="16"/>
      <c r="AG886" s="16"/>
      <c r="AH886" s="16"/>
      <c r="AI886" s="16"/>
    </row>
    <row r="887" spans="1:35" s="18" customFormat="1" x14ac:dyDescent="0.25">
      <c r="A887" s="16"/>
      <c r="B887" s="16"/>
      <c r="C887" s="16"/>
      <c r="D887" s="17"/>
      <c r="E887" s="16"/>
      <c r="F887"/>
      <c r="G887"/>
      <c r="H887"/>
      <c r="J887" s="16"/>
      <c r="K887" s="16"/>
      <c r="L887" s="37"/>
      <c r="N887" s="16"/>
      <c r="O887" s="16"/>
      <c r="P887" s="16"/>
      <c r="Q887" s="16"/>
      <c r="R887" s="16"/>
      <c r="S887" s="16"/>
      <c r="T887" s="16"/>
      <c r="U887" s="16"/>
      <c r="V887" s="16"/>
      <c r="X887" s="16"/>
      <c r="AB887" s="16"/>
      <c r="AC887" s="16"/>
      <c r="AD887" s="16"/>
      <c r="AF887" s="16"/>
      <c r="AG887" s="16"/>
      <c r="AH887" s="16"/>
      <c r="AI887" s="16"/>
    </row>
    <row r="888" spans="1:35" s="18" customFormat="1" x14ac:dyDescent="0.25">
      <c r="A888" s="16"/>
      <c r="B888" s="16"/>
      <c r="C888" s="16"/>
      <c r="D888" s="17"/>
      <c r="E888" s="16"/>
      <c r="F888"/>
      <c r="G888"/>
      <c r="H888"/>
      <c r="J888" s="16"/>
      <c r="K888" s="16"/>
      <c r="L888" s="37"/>
      <c r="N888" s="16"/>
      <c r="O888" s="16"/>
      <c r="P888" s="16"/>
      <c r="Q888" s="16"/>
      <c r="R888" s="16"/>
      <c r="S888" s="16"/>
      <c r="T888" s="16"/>
      <c r="U888" s="16"/>
      <c r="V888" s="16"/>
      <c r="X888" s="16"/>
      <c r="AB888" s="16"/>
      <c r="AC888" s="16"/>
      <c r="AD888" s="16"/>
      <c r="AF888" s="16"/>
      <c r="AG888" s="16"/>
      <c r="AH888" s="16"/>
      <c r="AI888" s="16"/>
    </row>
    <row r="889" spans="1:35" s="18" customFormat="1" x14ac:dyDescent="0.25">
      <c r="A889" s="16"/>
      <c r="B889" s="16"/>
      <c r="C889" s="16"/>
      <c r="D889" s="17"/>
      <c r="E889" s="16"/>
      <c r="F889"/>
      <c r="G889"/>
      <c r="H889"/>
      <c r="J889" s="16"/>
      <c r="K889" s="16"/>
      <c r="L889" s="37"/>
      <c r="N889" s="16"/>
      <c r="O889" s="16"/>
      <c r="P889" s="16"/>
      <c r="Q889" s="16"/>
      <c r="R889" s="16"/>
      <c r="S889" s="16"/>
      <c r="T889" s="16"/>
      <c r="U889" s="16"/>
      <c r="V889" s="16"/>
      <c r="X889" s="16"/>
      <c r="AB889" s="16"/>
      <c r="AC889" s="16"/>
      <c r="AD889" s="16"/>
      <c r="AF889" s="16"/>
      <c r="AG889" s="16"/>
      <c r="AH889" s="16"/>
      <c r="AI889" s="16"/>
    </row>
    <row r="890" spans="1:35" s="18" customFormat="1" x14ac:dyDescent="0.25">
      <c r="A890" s="16"/>
      <c r="B890" s="16"/>
      <c r="C890" s="16"/>
      <c r="D890" s="17"/>
      <c r="E890" s="16"/>
      <c r="F890"/>
      <c r="G890"/>
      <c r="H890"/>
      <c r="J890" s="16"/>
      <c r="K890" s="16"/>
      <c r="L890" s="37"/>
      <c r="N890" s="16"/>
      <c r="O890" s="16"/>
      <c r="P890" s="16"/>
      <c r="Q890" s="16"/>
      <c r="R890" s="16"/>
      <c r="S890" s="16"/>
      <c r="T890" s="16"/>
      <c r="U890" s="16"/>
      <c r="V890" s="16"/>
      <c r="X890" s="16"/>
      <c r="AB890" s="16"/>
      <c r="AC890" s="16"/>
      <c r="AD890" s="16"/>
      <c r="AF890" s="16"/>
      <c r="AG890" s="16"/>
      <c r="AH890" s="16"/>
      <c r="AI890" s="16"/>
    </row>
    <row r="891" spans="1:35" s="18" customFormat="1" x14ac:dyDescent="0.25">
      <c r="A891" s="16"/>
      <c r="B891" s="16"/>
      <c r="C891" s="16"/>
      <c r="D891" s="17"/>
      <c r="E891" s="16"/>
      <c r="F891"/>
      <c r="G891"/>
      <c r="H891"/>
      <c r="J891" s="16"/>
      <c r="K891" s="16"/>
      <c r="L891" s="37"/>
      <c r="N891" s="16"/>
      <c r="O891" s="16"/>
      <c r="P891" s="16"/>
      <c r="Q891" s="16"/>
      <c r="R891" s="16"/>
      <c r="S891" s="16"/>
      <c r="T891" s="16"/>
      <c r="U891" s="16"/>
      <c r="V891" s="16"/>
      <c r="X891" s="16"/>
      <c r="AB891" s="16"/>
      <c r="AC891" s="16"/>
      <c r="AD891" s="16"/>
      <c r="AF891" s="16"/>
      <c r="AG891" s="16"/>
      <c r="AH891" s="16"/>
      <c r="AI891" s="16"/>
    </row>
    <row r="892" spans="1:35" s="18" customFormat="1" x14ac:dyDescent="0.25">
      <c r="A892" s="16"/>
      <c r="B892" s="16"/>
      <c r="C892" s="16"/>
      <c r="D892" s="17"/>
      <c r="E892" s="16"/>
      <c r="F892"/>
      <c r="G892"/>
      <c r="H892"/>
      <c r="J892" s="16"/>
      <c r="K892" s="16"/>
      <c r="L892" s="37"/>
      <c r="N892" s="16"/>
      <c r="O892" s="16"/>
      <c r="P892" s="16"/>
      <c r="Q892" s="16"/>
      <c r="R892" s="16"/>
      <c r="S892" s="16"/>
      <c r="T892" s="16"/>
      <c r="U892" s="16"/>
      <c r="V892" s="16"/>
      <c r="X892" s="16"/>
      <c r="AB892" s="16"/>
      <c r="AC892" s="16"/>
      <c r="AD892" s="16"/>
      <c r="AF892" s="16"/>
      <c r="AG892" s="16"/>
      <c r="AH892" s="16"/>
      <c r="AI892" s="16"/>
    </row>
    <row r="893" spans="1:35" s="18" customFormat="1" x14ac:dyDescent="0.25">
      <c r="A893" s="16"/>
      <c r="B893" s="16"/>
      <c r="C893" s="16"/>
      <c r="D893" s="17"/>
      <c r="E893" s="16"/>
      <c r="F893"/>
      <c r="G893"/>
      <c r="H893"/>
      <c r="J893" s="16"/>
      <c r="K893" s="16"/>
      <c r="L893" s="37"/>
      <c r="N893" s="16"/>
      <c r="O893" s="16"/>
      <c r="P893" s="16"/>
      <c r="Q893" s="16"/>
      <c r="R893" s="16"/>
      <c r="S893" s="16"/>
      <c r="T893" s="16"/>
      <c r="U893" s="16"/>
      <c r="V893" s="16"/>
      <c r="X893" s="16"/>
      <c r="AB893" s="16"/>
      <c r="AC893" s="16"/>
      <c r="AD893" s="16"/>
      <c r="AF893" s="16"/>
      <c r="AG893" s="16"/>
      <c r="AH893" s="16"/>
      <c r="AI893" s="16"/>
    </row>
    <row r="894" spans="1:35" s="18" customFormat="1" x14ac:dyDescent="0.25">
      <c r="A894" s="16"/>
      <c r="B894" s="16"/>
      <c r="C894" s="16"/>
      <c r="D894" s="17"/>
      <c r="E894" s="16"/>
      <c r="F894"/>
      <c r="G894"/>
      <c r="H894"/>
      <c r="J894" s="16"/>
      <c r="K894" s="16"/>
      <c r="L894" s="37"/>
      <c r="N894" s="16"/>
      <c r="O894" s="16"/>
      <c r="P894" s="16"/>
      <c r="Q894" s="16"/>
      <c r="R894" s="16"/>
      <c r="S894" s="16"/>
      <c r="T894" s="16"/>
      <c r="U894" s="16"/>
      <c r="V894" s="16"/>
      <c r="X894" s="16"/>
      <c r="AB894" s="16"/>
      <c r="AC894" s="16"/>
      <c r="AD894" s="16"/>
      <c r="AF894" s="16"/>
      <c r="AG894" s="16"/>
      <c r="AH894" s="16"/>
      <c r="AI894" s="16"/>
    </row>
    <row r="895" spans="1:35" s="18" customFormat="1" x14ac:dyDescent="0.25">
      <c r="A895" s="16"/>
      <c r="B895" s="16"/>
      <c r="C895" s="16"/>
      <c r="D895" s="17"/>
      <c r="E895" s="16"/>
      <c r="F895"/>
      <c r="G895"/>
      <c r="H895"/>
      <c r="J895" s="16"/>
      <c r="K895" s="16"/>
      <c r="L895" s="37"/>
      <c r="N895" s="16"/>
      <c r="O895" s="16"/>
      <c r="P895" s="16"/>
      <c r="Q895" s="16"/>
      <c r="R895" s="16"/>
      <c r="S895" s="16"/>
      <c r="T895" s="16"/>
      <c r="U895" s="16"/>
      <c r="V895" s="16"/>
      <c r="X895" s="16"/>
      <c r="AB895" s="16"/>
      <c r="AC895" s="16"/>
      <c r="AD895" s="16"/>
      <c r="AF895" s="16"/>
      <c r="AG895" s="16"/>
      <c r="AH895" s="16"/>
      <c r="AI895" s="16"/>
    </row>
    <row r="896" spans="1:35" s="18" customFormat="1" x14ac:dyDescent="0.25">
      <c r="A896" s="16"/>
      <c r="B896" s="16"/>
      <c r="C896" s="16"/>
      <c r="D896" s="17"/>
      <c r="E896" s="16"/>
      <c r="F896"/>
      <c r="G896"/>
      <c r="H896"/>
      <c r="J896" s="16"/>
      <c r="K896" s="16"/>
      <c r="L896" s="37"/>
      <c r="N896" s="16"/>
      <c r="O896" s="16"/>
      <c r="P896" s="16"/>
      <c r="Q896" s="16"/>
      <c r="R896" s="16"/>
      <c r="S896" s="16"/>
      <c r="T896" s="16"/>
      <c r="U896" s="16"/>
      <c r="V896" s="16"/>
      <c r="X896" s="16"/>
      <c r="AB896" s="16"/>
      <c r="AC896" s="16"/>
      <c r="AD896" s="16"/>
      <c r="AF896" s="16"/>
      <c r="AG896" s="16"/>
      <c r="AH896" s="16"/>
      <c r="AI896" s="16"/>
    </row>
    <row r="897" spans="1:35" s="18" customFormat="1" x14ac:dyDescent="0.25">
      <c r="A897" s="16"/>
      <c r="B897" s="16"/>
      <c r="C897" s="16"/>
      <c r="D897" s="17"/>
      <c r="E897" s="16"/>
      <c r="F897"/>
      <c r="G897"/>
      <c r="H897"/>
      <c r="J897" s="16"/>
      <c r="K897" s="16"/>
      <c r="L897" s="37"/>
      <c r="N897" s="16"/>
      <c r="O897" s="16"/>
      <c r="P897" s="16"/>
      <c r="Q897" s="16"/>
      <c r="R897" s="16"/>
      <c r="S897" s="16"/>
      <c r="T897" s="16"/>
      <c r="U897" s="16"/>
      <c r="V897" s="16"/>
      <c r="X897" s="16"/>
      <c r="AB897" s="16"/>
      <c r="AC897" s="16"/>
      <c r="AD897" s="16"/>
      <c r="AF897" s="16"/>
      <c r="AG897" s="16"/>
      <c r="AH897" s="16"/>
      <c r="AI897" s="16"/>
    </row>
    <row r="898" spans="1:35" s="18" customFormat="1" x14ac:dyDescent="0.25">
      <c r="A898" s="16"/>
      <c r="B898" s="16"/>
      <c r="C898" s="16"/>
      <c r="D898" s="17"/>
      <c r="E898" s="16"/>
      <c r="F898"/>
      <c r="G898"/>
      <c r="H898"/>
      <c r="J898" s="16"/>
      <c r="K898" s="16"/>
      <c r="L898" s="37"/>
      <c r="N898" s="16"/>
      <c r="O898" s="16"/>
      <c r="P898" s="16"/>
      <c r="Q898" s="16"/>
      <c r="R898" s="16"/>
      <c r="S898" s="16"/>
      <c r="T898" s="16"/>
      <c r="U898" s="16"/>
      <c r="V898" s="16"/>
      <c r="X898" s="16"/>
      <c r="AB898" s="16"/>
      <c r="AC898" s="16"/>
      <c r="AD898" s="16"/>
      <c r="AF898" s="16"/>
      <c r="AG898" s="16"/>
      <c r="AH898" s="16"/>
      <c r="AI898" s="16"/>
    </row>
    <row r="899" spans="1:35" s="18" customFormat="1" x14ac:dyDescent="0.25">
      <c r="A899" s="16"/>
      <c r="B899" s="16"/>
      <c r="C899" s="16"/>
      <c r="D899" s="17"/>
      <c r="E899" s="16"/>
      <c r="F899"/>
      <c r="G899"/>
      <c r="H899"/>
      <c r="J899" s="16"/>
      <c r="K899" s="16"/>
      <c r="L899" s="37"/>
      <c r="N899" s="16"/>
      <c r="O899" s="16"/>
      <c r="P899" s="16"/>
      <c r="Q899" s="16"/>
      <c r="R899" s="16"/>
      <c r="S899" s="16"/>
      <c r="T899" s="16"/>
      <c r="U899" s="16"/>
      <c r="V899" s="16"/>
      <c r="X899" s="16"/>
      <c r="AB899" s="16"/>
      <c r="AC899" s="16"/>
      <c r="AD899" s="16"/>
      <c r="AF899" s="16"/>
      <c r="AG899" s="16"/>
      <c r="AH899" s="16"/>
      <c r="AI899" s="16"/>
    </row>
    <row r="900" spans="1:35" s="18" customFormat="1" x14ac:dyDescent="0.25">
      <c r="A900" s="16"/>
      <c r="B900" s="16"/>
      <c r="C900" s="16"/>
      <c r="D900" s="17"/>
      <c r="E900" s="16"/>
      <c r="F900"/>
      <c r="G900"/>
      <c r="H900"/>
      <c r="J900" s="16"/>
      <c r="K900" s="16"/>
      <c r="L900" s="37"/>
      <c r="N900" s="16"/>
      <c r="O900" s="16"/>
      <c r="P900" s="16"/>
      <c r="Q900" s="16"/>
      <c r="R900" s="16"/>
      <c r="S900" s="16"/>
      <c r="T900" s="16"/>
      <c r="U900" s="16"/>
      <c r="V900" s="16"/>
      <c r="X900" s="16"/>
      <c r="AB900" s="16"/>
      <c r="AC900" s="16"/>
      <c r="AD900" s="16"/>
      <c r="AF900" s="16"/>
      <c r="AG900" s="16"/>
      <c r="AH900" s="16"/>
      <c r="AI900" s="16"/>
    </row>
    <row r="901" spans="1:35" s="18" customFormat="1" x14ac:dyDescent="0.25">
      <c r="A901" s="16"/>
      <c r="B901" s="16"/>
      <c r="C901" s="16"/>
      <c r="D901" s="17"/>
      <c r="E901" s="16"/>
      <c r="F901"/>
      <c r="G901"/>
      <c r="H901"/>
      <c r="J901" s="16"/>
      <c r="K901" s="16"/>
      <c r="L901" s="37"/>
      <c r="N901" s="16"/>
      <c r="O901" s="16"/>
      <c r="P901" s="16"/>
      <c r="Q901" s="16"/>
      <c r="R901" s="16"/>
      <c r="S901" s="16"/>
      <c r="T901" s="16"/>
      <c r="U901" s="16"/>
      <c r="V901" s="16"/>
      <c r="X901" s="16"/>
      <c r="AB901" s="16"/>
      <c r="AC901" s="16"/>
      <c r="AD901" s="16"/>
      <c r="AF901" s="16"/>
      <c r="AG901" s="16"/>
      <c r="AH901" s="16"/>
      <c r="AI901" s="16"/>
    </row>
    <row r="902" spans="1:35" s="18" customFormat="1" x14ac:dyDescent="0.25">
      <c r="A902" s="16"/>
      <c r="B902" s="16"/>
      <c r="C902" s="16"/>
      <c r="D902" s="17"/>
      <c r="E902" s="16"/>
      <c r="F902"/>
      <c r="G902"/>
      <c r="H902"/>
      <c r="J902" s="16"/>
      <c r="K902" s="16"/>
      <c r="L902" s="37"/>
      <c r="N902" s="16"/>
      <c r="O902" s="16"/>
      <c r="P902" s="16"/>
      <c r="Q902" s="16"/>
      <c r="R902" s="16"/>
      <c r="S902" s="16"/>
      <c r="T902" s="16"/>
      <c r="U902" s="16"/>
      <c r="V902" s="16"/>
      <c r="X902" s="16"/>
      <c r="AB902" s="16"/>
      <c r="AC902" s="16"/>
      <c r="AD902" s="16"/>
      <c r="AF902" s="16"/>
      <c r="AG902" s="16"/>
      <c r="AH902" s="16"/>
      <c r="AI902" s="16"/>
    </row>
    <row r="903" spans="1:35" s="18" customFormat="1" x14ac:dyDescent="0.25">
      <c r="A903" s="16"/>
      <c r="B903" s="16"/>
      <c r="C903" s="16"/>
      <c r="D903" s="17"/>
      <c r="E903" s="16"/>
      <c r="F903"/>
      <c r="G903"/>
      <c r="H903"/>
      <c r="J903" s="16"/>
      <c r="K903" s="16"/>
      <c r="L903" s="37"/>
      <c r="N903" s="16"/>
      <c r="O903" s="16"/>
      <c r="P903" s="16"/>
      <c r="Q903" s="16"/>
      <c r="R903" s="16"/>
      <c r="S903" s="16"/>
      <c r="T903" s="16"/>
      <c r="U903" s="16"/>
      <c r="V903" s="16"/>
      <c r="X903" s="16"/>
      <c r="AB903" s="16"/>
      <c r="AC903" s="16"/>
      <c r="AD903" s="16"/>
      <c r="AF903" s="16"/>
      <c r="AG903" s="16"/>
      <c r="AH903" s="16"/>
      <c r="AI903" s="16"/>
    </row>
    <row r="904" spans="1:35" s="18" customFormat="1" x14ac:dyDescent="0.25">
      <c r="A904" s="16"/>
      <c r="B904" s="16"/>
      <c r="C904" s="16"/>
      <c r="D904" s="17"/>
      <c r="E904" s="16"/>
      <c r="F904"/>
      <c r="G904"/>
      <c r="H904"/>
      <c r="J904" s="16"/>
      <c r="K904" s="16"/>
      <c r="L904" s="37"/>
      <c r="N904" s="16"/>
      <c r="O904" s="16"/>
      <c r="P904" s="16"/>
      <c r="Q904" s="16"/>
      <c r="R904" s="16"/>
      <c r="S904" s="16"/>
      <c r="T904" s="16"/>
      <c r="U904" s="16"/>
      <c r="V904" s="16"/>
      <c r="X904" s="16"/>
      <c r="AB904" s="16"/>
      <c r="AC904" s="16"/>
      <c r="AD904" s="16"/>
      <c r="AF904" s="16"/>
      <c r="AG904" s="16"/>
      <c r="AH904" s="16"/>
      <c r="AI904" s="16"/>
    </row>
    <row r="905" spans="1:35" s="18" customFormat="1" x14ac:dyDescent="0.25">
      <c r="A905" s="16"/>
      <c r="B905" s="16"/>
      <c r="C905" s="16"/>
      <c r="D905" s="17"/>
      <c r="E905" s="16"/>
      <c r="F905"/>
      <c r="G905"/>
      <c r="H905"/>
      <c r="J905" s="16"/>
      <c r="K905" s="16"/>
      <c r="L905" s="37"/>
      <c r="N905" s="16"/>
      <c r="O905" s="16"/>
      <c r="P905" s="16"/>
      <c r="Q905" s="16"/>
      <c r="R905" s="16"/>
      <c r="S905" s="16"/>
      <c r="T905" s="16"/>
      <c r="U905" s="16"/>
      <c r="V905" s="16"/>
      <c r="X905" s="16"/>
      <c r="AB905" s="16"/>
      <c r="AC905" s="16"/>
      <c r="AD905" s="16"/>
      <c r="AF905" s="16"/>
      <c r="AG905" s="16"/>
      <c r="AH905" s="16"/>
      <c r="AI905" s="16"/>
    </row>
    <row r="906" spans="1:35" s="18" customFormat="1" x14ac:dyDescent="0.25">
      <c r="A906" s="16"/>
      <c r="B906" s="16"/>
      <c r="C906" s="16"/>
      <c r="D906" s="17"/>
      <c r="E906" s="16"/>
      <c r="F906"/>
      <c r="G906"/>
      <c r="H906"/>
      <c r="J906" s="16"/>
      <c r="K906" s="16"/>
      <c r="L906" s="37"/>
      <c r="N906" s="16"/>
      <c r="O906" s="16"/>
      <c r="P906" s="16"/>
      <c r="Q906" s="16"/>
      <c r="R906" s="16"/>
      <c r="S906" s="16"/>
      <c r="T906" s="16"/>
      <c r="U906" s="16"/>
      <c r="V906" s="16"/>
      <c r="X906" s="16"/>
      <c r="AB906" s="16"/>
      <c r="AC906" s="16"/>
      <c r="AD906" s="16"/>
      <c r="AF906" s="16"/>
      <c r="AG906" s="16"/>
      <c r="AH906" s="16"/>
      <c r="AI906" s="16"/>
    </row>
    <row r="907" spans="1:35" s="18" customFormat="1" x14ac:dyDescent="0.25">
      <c r="A907" s="16"/>
      <c r="B907" s="16"/>
      <c r="C907" s="16"/>
      <c r="D907" s="17"/>
      <c r="E907" s="16"/>
      <c r="F907"/>
      <c r="G907"/>
      <c r="H907"/>
      <c r="J907" s="16"/>
      <c r="K907" s="16"/>
      <c r="L907" s="37"/>
      <c r="N907" s="16"/>
      <c r="O907" s="16"/>
      <c r="P907" s="16"/>
      <c r="Q907" s="16"/>
      <c r="R907" s="16"/>
      <c r="S907" s="16"/>
      <c r="T907" s="16"/>
      <c r="U907" s="16"/>
      <c r="V907" s="16"/>
      <c r="X907" s="16"/>
      <c r="AB907" s="16"/>
      <c r="AC907" s="16"/>
      <c r="AD907" s="16"/>
      <c r="AF907" s="16"/>
      <c r="AG907" s="16"/>
      <c r="AH907" s="16"/>
      <c r="AI907" s="16"/>
    </row>
    <row r="908" spans="1:35" s="18" customFormat="1" x14ac:dyDescent="0.25">
      <c r="A908" s="16"/>
      <c r="B908" s="16"/>
      <c r="C908" s="16"/>
      <c r="D908" s="17"/>
      <c r="E908" s="16"/>
      <c r="F908"/>
      <c r="G908"/>
      <c r="H908"/>
      <c r="J908" s="16"/>
      <c r="K908" s="16"/>
      <c r="L908" s="37"/>
      <c r="N908" s="16"/>
      <c r="O908" s="16"/>
      <c r="P908" s="16"/>
      <c r="Q908" s="16"/>
      <c r="R908" s="16"/>
      <c r="S908" s="16"/>
      <c r="T908" s="16"/>
      <c r="U908" s="16"/>
      <c r="V908" s="16"/>
      <c r="X908" s="16"/>
      <c r="AB908" s="16"/>
      <c r="AC908" s="16"/>
      <c r="AD908" s="16"/>
      <c r="AF908" s="16"/>
      <c r="AG908" s="16"/>
      <c r="AH908" s="16"/>
      <c r="AI908" s="16"/>
    </row>
    <row r="909" spans="1:35" s="18" customFormat="1" x14ac:dyDescent="0.25">
      <c r="A909" s="16"/>
      <c r="B909" s="16"/>
      <c r="C909" s="16"/>
      <c r="D909" s="17"/>
      <c r="E909" s="16"/>
      <c r="F909"/>
      <c r="G909"/>
      <c r="H909"/>
      <c r="J909" s="16"/>
      <c r="K909" s="16"/>
      <c r="L909" s="37"/>
      <c r="N909" s="16"/>
      <c r="O909" s="16"/>
      <c r="P909" s="16"/>
      <c r="Q909" s="16"/>
      <c r="R909" s="16"/>
      <c r="S909" s="16"/>
      <c r="T909" s="16"/>
      <c r="U909" s="16"/>
      <c r="V909" s="16"/>
      <c r="X909" s="16"/>
      <c r="AB909" s="16"/>
      <c r="AC909" s="16"/>
      <c r="AD909" s="16"/>
      <c r="AF909" s="16"/>
      <c r="AG909" s="16"/>
      <c r="AH909" s="16"/>
      <c r="AI909" s="16"/>
    </row>
    <row r="910" spans="1:35" s="18" customFormat="1" x14ac:dyDescent="0.25">
      <c r="A910" s="16"/>
      <c r="B910" s="16"/>
      <c r="C910" s="16"/>
      <c r="D910" s="17"/>
      <c r="E910" s="16"/>
      <c r="F910"/>
      <c r="G910"/>
      <c r="H910"/>
      <c r="J910" s="16"/>
      <c r="K910" s="16"/>
      <c r="L910" s="37"/>
      <c r="N910" s="16"/>
      <c r="O910" s="16"/>
      <c r="P910" s="16"/>
      <c r="Q910" s="16"/>
      <c r="R910" s="16"/>
      <c r="S910" s="16"/>
      <c r="T910" s="16"/>
      <c r="U910" s="16"/>
      <c r="V910" s="16"/>
      <c r="X910" s="16"/>
      <c r="AB910" s="16"/>
      <c r="AC910" s="16"/>
      <c r="AD910" s="16"/>
      <c r="AF910" s="16"/>
      <c r="AG910" s="16"/>
      <c r="AH910" s="16"/>
      <c r="AI910" s="16"/>
    </row>
    <row r="911" spans="1:35" s="18" customFormat="1" x14ac:dyDescent="0.25">
      <c r="A911" s="16"/>
      <c r="B911" s="16"/>
      <c r="C911" s="16"/>
      <c r="D911" s="17"/>
      <c r="E911" s="16"/>
      <c r="F911"/>
      <c r="G911"/>
      <c r="H911"/>
      <c r="J911" s="16"/>
      <c r="K911" s="16"/>
      <c r="L911" s="37"/>
      <c r="N911" s="16"/>
      <c r="O911" s="16"/>
      <c r="P911" s="16"/>
      <c r="Q911" s="16"/>
      <c r="R911" s="16"/>
      <c r="S911" s="16"/>
      <c r="T911" s="16"/>
      <c r="U911" s="16"/>
      <c r="V911" s="16"/>
      <c r="X911" s="16"/>
      <c r="AB911" s="16"/>
      <c r="AC911" s="16"/>
      <c r="AD911" s="16"/>
      <c r="AF911" s="16"/>
      <c r="AG911" s="16"/>
      <c r="AH911" s="16"/>
      <c r="AI911" s="16"/>
    </row>
    <row r="912" spans="1:35" s="18" customFormat="1" x14ac:dyDescent="0.25">
      <c r="A912" s="16"/>
      <c r="B912" s="16"/>
      <c r="C912" s="16"/>
      <c r="D912" s="17"/>
      <c r="E912" s="16"/>
      <c r="F912"/>
      <c r="G912"/>
      <c r="H912"/>
      <c r="J912" s="16"/>
      <c r="K912" s="16"/>
      <c r="L912" s="37"/>
      <c r="N912" s="16"/>
      <c r="O912" s="16"/>
      <c r="P912" s="16"/>
      <c r="Q912" s="16"/>
      <c r="R912" s="16"/>
      <c r="S912" s="16"/>
      <c r="T912" s="16"/>
      <c r="U912" s="16"/>
      <c r="V912" s="16"/>
      <c r="X912" s="16"/>
      <c r="AB912" s="16"/>
      <c r="AC912" s="16"/>
      <c r="AD912" s="16"/>
      <c r="AF912" s="16"/>
      <c r="AG912" s="16"/>
      <c r="AH912" s="16"/>
      <c r="AI912" s="16"/>
    </row>
    <row r="913" spans="1:35" s="18" customFormat="1" x14ac:dyDescent="0.25">
      <c r="A913" s="16"/>
      <c r="B913" s="16"/>
      <c r="C913" s="16"/>
      <c r="D913" s="17"/>
      <c r="E913" s="16"/>
      <c r="F913"/>
      <c r="G913"/>
      <c r="H913"/>
      <c r="J913" s="16"/>
      <c r="K913" s="16"/>
      <c r="L913" s="37"/>
      <c r="N913" s="16"/>
      <c r="O913" s="16"/>
      <c r="P913" s="16"/>
      <c r="Q913" s="16"/>
      <c r="R913" s="16"/>
      <c r="S913" s="16"/>
      <c r="T913" s="16"/>
      <c r="U913" s="16"/>
      <c r="V913" s="16"/>
      <c r="X913" s="16"/>
      <c r="AB913" s="16"/>
      <c r="AC913" s="16"/>
      <c r="AD913" s="16"/>
      <c r="AF913" s="16"/>
      <c r="AG913" s="16"/>
      <c r="AH913" s="16"/>
      <c r="AI913" s="16"/>
    </row>
    <row r="914" spans="1:35" s="18" customFormat="1" x14ac:dyDescent="0.25">
      <c r="A914" s="16"/>
      <c r="B914" s="16"/>
      <c r="C914" s="16"/>
      <c r="D914" s="17"/>
      <c r="E914" s="16"/>
      <c r="F914"/>
      <c r="G914"/>
      <c r="H914"/>
      <c r="J914" s="16"/>
      <c r="K914" s="16"/>
      <c r="L914" s="37"/>
      <c r="N914" s="16"/>
      <c r="O914" s="16"/>
      <c r="P914" s="16"/>
      <c r="Q914" s="16"/>
      <c r="R914" s="16"/>
      <c r="S914" s="16"/>
      <c r="T914" s="16"/>
      <c r="U914" s="16"/>
      <c r="V914" s="16"/>
      <c r="X914" s="16"/>
      <c r="AB914" s="16"/>
      <c r="AC914" s="16"/>
      <c r="AD914" s="16"/>
      <c r="AF914" s="16"/>
      <c r="AG914" s="16"/>
      <c r="AH914" s="16"/>
      <c r="AI914" s="16"/>
    </row>
    <row r="915" spans="1:35" s="18" customFormat="1" x14ac:dyDescent="0.25">
      <c r="A915" s="16"/>
      <c r="B915" s="16"/>
      <c r="C915" s="16"/>
      <c r="D915" s="17"/>
      <c r="E915" s="16"/>
      <c r="F915"/>
      <c r="G915"/>
      <c r="H915"/>
      <c r="J915" s="16"/>
      <c r="K915" s="16"/>
      <c r="L915" s="37"/>
      <c r="N915" s="16"/>
      <c r="O915" s="16"/>
      <c r="P915" s="16"/>
      <c r="Q915" s="16"/>
      <c r="R915" s="16"/>
      <c r="S915" s="16"/>
      <c r="T915" s="16"/>
      <c r="U915" s="16"/>
      <c r="V915" s="16"/>
      <c r="X915" s="16"/>
      <c r="AB915" s="16"/>
      <c r="AC915" s="16"/>
      <c r="AD915" s="16"/>
      <c r="AF915" s="16"/>
      <c r="AG915" s="16"/>
      <c r="AH915" s="16"/>
      <c r="AI915" s="16"/>
    </row>
    <row r="916" spans="1:35" s="18" customFormat="1" x14ac:dyDescent="0.25">
      <c r="A916" s="16"/>
      <c r="B916" s="16"/>
      <c r="C916" s="16"/>
      <c r="D916" s="17"/>
      <c r="E916" s="16"/>
      <c r="F916"/>
      <c r="G916"/>
      <c r="H916"/>
      <c r="J916" s="16"/>
      <c r="K916" s="16"/>
      <c r="L916" s="37"/>
      <c r="N916" s="16"/>
      <c r="O916" s="16"/>
      <c r="P916" s="16"/>
      <c r="Q916" s="16"/>
      <c r="R916" s="16"/>
      <c r="S916" s="16"/>
      <c r="T916" s="16"/>
      <c r="U916" s="16"/>
      <c r="V916" s="16"/>
      <c r="X916" s="16"/>
      <c r="AB916" s="16"/>
      <c r="AC916" s="16"/>
      <c r="AD916" s="16"/>
      <c r="AF916" s="16"/>
      <c r="AG916" s="16"/>
      <c r="AH916" s="16"/>
      <c r="AI916" s="16"/>
    </row>
    <row r="917" spans="1:35" s="18" customFormat="1" x14ac:dyDescent="0.25">
      <c r="A917" s="16"/>
      <c r="B917" s="16"/>
      <c r="C917" s="16"/>
      <c r="D917" s="17"/>
      <c r="E917" s="16"/>
      <c r="F917"/>
      <c r="G917"/>
      <c r="H917"/>
      <c r="J917" s="16"/>
      <c r="K917" s="16"/>
      <c r="L917" s="37"/>
      <c r="N917" s="16"/>
      <c r="O917" s="16"/>
      <c r="P917" s="16"/>
      <c r="Q917" s="16"/>
      <c r="R917" s="16"/>
      <c r="S917" s="16"/>
      <c r="T917" s="16"/>
      <c r="U917" s="16"/>
      <c r="V917" s="16"/>
      <c r="X917" s="16"/>
      <c r="AB917" s="16"/>
      <c r="AC917" s="16"/>
      <c r="AD917" s="16"/>
      <c r="AF917" s="16"/>
      <c r="AG917" s="16"/>
      <c r="AH917" s="16"/>
      <c r="AI917" s="16"/>
    </row>
    <row r="918" spans="1:35" s="18" customFormat="1" x14ac:dyDescent="0.25">
      <c r="A918" s="16"/>
      <c r="B918" s="16"/>
      <c r="C918" s="16"/>
      <c r="D918" s="17"/>
      <c r="E918" s="16"/>
      <c r="F918"/>
      <c r="G918"/>
      <c r="H918"/>
      <c r="J918" s="16"/>
      <c r="K918" s="16"/>
      <c r="L918" s="37"/>
      <c r="N918" s="16"/>
      <c r="O918" s="16"/>
      <c r="P918" s="16"/>
      <c r="Q918" s="16"/>
      <c r="R918" s="16"/>
      <c r="S918" s="16"/>
      <c r="T918" s="16"/>
      <c r="U918" s="16"/>
      <c r="V918" s="16"/>
      <c r="X918" s="16"/>
      <c r="AB918" s="16"/>
      <c r="AC918" s="16"/>
      <c r="AD918" s="16"/>
      <c r="AF918" s="16"/>
      <c r="AG918" s="16"/>
      <c r="AH918" s="16"/>
      <c r="AI918" s="16"/>
    </row>
    <row r="919" spans="1:35" s="18" customFormat="1" x14ac:dyDescent="0.25">
      <c r="A919" s="16"/>
      <c r="B919" s="16"/>
      <c r="C919" s="16"/>
      <c r="D919" s="17"/>
      <c r="E919" s="16"/>
      <c r="F919"/>
      <c r="G919"/>
      <c r="H919"/>
      <c r="J919" s="16"/>
      <c r="K919" s="16"/>
      <c r="L919" s="37"/>
      <c r="N919" s="16"/>
      <c r="O919" s="16"/>
      <c r="P919" s="16"/>
      <c r="Q919" s="16"/>
      <c r="R919" s="16"/>
      <c r="S919" s="16"/>
      <c r="T919" s="16"/>
      <c r="U919" s="16"/>
      <c r="V919" s="16"/>
      <c r="X919" s="16"/>
      <c r="AB919" s="16"/>
      <c r="AC919" s="16"/>
      <c r="AD919" s="16"/>
      <c r="AF919" s="16"/>
      <c r="AG919" s="16"/>
      <c r="AH919" s="16"/>
      <c r="AI919" s="16"/>
    </row>
    <row r="920" spans="1:35" s="18" customFormat="1" x14ac:dyDescent="0.25">
      <c r="A920" s="16"/>
      <c r="B920" s="16"/>
      <c r="C920" s="16"/>
      <c r="D920" s="17"/>
      <c r="E920" s="16"/>
      <c r="F920"/>
      <c r="G920"/>
      <c r="H920"/>
      <c r="J920" s="16"/>
      <c r="K920" s="16"/>
      <c r="L920" s="37"/>
      <c r="N920" s="16"/>
      <c r="O920" s="16"/>
      <c r="P920" s="16"/>
      <c r="Q920" s="16"/>
      <c r="R920" s="16"/>
      <c r="S920" s="16"/>
      <c r="T920" s="16"/>
      <c r="U920" s="16"/>
      <c r="V920" s="16"/>
      <c r="X920" s="16"/>
      <c r="AB920" s="16"/>
      <c r="AC920" s="16"/>
      <c r="AD920" s="16"/>
      <c r="AF920" s="16"/>
      <c r="AG920" s="16"/>
      <c r="AH920" s="16"/>
      <c r="AI920" s="16"/>
    </row>
    <row r="921" spans="1:35" s="18" customFormat="1" x14ac:dyDescent="0.25">
      <c r="A921" s="16"/>
      <c r="B921" s="16"/>
      <c r="C921" s="16"/>
      <c r="D921" s="17"/>
      <c r="E921" s="16"/>
      <c r="F921"/>
      <c r="G921"/>
      <c r="H921"/>
      <c r="J921" s="16"/>
      <c r="K921" s="16"/>
      <c r="L921" s="37"/>
      <c r="N921" s="16"/>
      <c r="O921" s="16"/>
      <c r="P921" s="16"/>
      <c r="Q921" s="16"/>
      <c r="R921" s="16"/>
      <c r="S921" s="16"/>
      <c r="T921" s="16"/>
      <c r="U921" s="16"/>
      <c r="V921" s="16"/>
      <c r="X921" s="16"/>
      <c r="AB921" s="16"/>
      <c r="AC921" s="16"/>
      <c r="AD921" s="16"/>
      <c r="AF921" s="16"/>
      <c r="AG921" s="16"/>
      <c r="AH921" s="16"/>
      <c r="AI921" s="16"/>
    </row>
    <row r="922" spans="1:35" s="18" customFormat="1" x14ac:dyDescent="0.25">
      <c r="A922" s="16"/>
      <c r="B922" s="16"/>
      <c r="C922" s="16"/>
      <c r="D922" s="17"/>
      <c r="E922" s="16"/>
      <c r="F922"/>
      <c r="G922"/>
      <c r="H922"/>
      <c r="J922" s="16"/>
      <c r="K922" s="16"/>
      <c r="L922" s="37"/>
      <c r="N922" s="16"/>
      <c r="O922" s="16"/>
      <c r="P922" s="16"/>
      <c r="Q922" s="16"/>
      <c r="R922" s="16"/>
      <c r="S922" s="16"/>
      <c r="T922" s="16"/>
      <c r="U922" s="16"/>
      <c r="V922" s="16"/>
      <c r="X922" s="16"/>
      <c r="AB922" s="16"/>
      <c r="AC922" s="16"/>
      <c r="AD922" s="16"/>
      <c r="AF922" s="16"/>
      <c r="AG922" s="16"/>
      <c r="AH922" s="16"/>
      <c r="AI922" s="16"/>
    </row>
    <row r="923" spans="1:35" s="18" customFormat="1" x14ac:dyDescent="0.25">
      <c r="A923" s="16"/>
      <c r="B923" s="16"/>
      <c r="C923" s="16"/>
      <c r="D923" s="17"/>
      <c r="E923" s="16"/>
      <c r="F923"/>
      <c r="G923"/>
      <c r="H923"/>
      <c r="J923" s="16"/>
      <c r="K923" s="16"/>
      <c r="L923" s="37"/>
      <c r="N923" s="16"/>
      <c r="O923" s="16"/>
      <c r="P923" s="16"/>
      <c r="Q923" s="16"/>
      <c r="R923" s="16"/>
      <c r="S923" s="16"/>
      <c r="T923" s="16"/>
      <c r="U923" s="16"/>
      <c r="V923" s="16"/>
      <c r="X923" s="16"/>
      <c r="AB923" s="16"/>
      <c r="AC923" s="16"/>
      <c r="AD923" s="16"/>
      <c r="AF923" s="16"/>
      <c r="AG923" s="16"/>
      <c r="AH923" s="16"/>
      <c r="AI923" s="16"/>
    </row>
    <row r="924" spans="1:35" s="18" customFormat="1" x14ac:dyDescent="0.25">
      <c r="A924" s="16"/>
      <c r="B924" s="16"/>
      <c r="C924" s="16"/>
      <c r="D924" s="17"/>
      <c r="E924" s="16"/>
      <c r="F924"/>
      <c r="G924"/>
      <c r="H924"/>
      <c r="J924" s="16"/>
      <c r="K924" s="16"/>
      <c r="L924" s="37"/>
      <c r="N924" s="16"/>
      <c r="O924" s="16"/>
      <c r="P924" s="16"/>
      <c r="Q924" s="16"/>
      <c r="R924" s="16"/>
      <c r="S924" s="16"/>
      <c r="T924" s="16"/>
      <c r="U924" s="16"/>
      <c r="V924" s="16"/>
      <c r="X924" s="16"/>
      <c r="AB924" s="16"/>
      <c r="AC924" s="16"/>
      <c r="AD924" s="16"/>
      <c r="AF924" s="16"/>
      <c r="AG924" s="16"/>
      <c r="AH924" s="16"/>
      <c r="AI924" s="16"/>
    </row>
    <row r="925" spans="1:35" s="18" customFormat="1" x14ac:dyDescent="0.25">
      <c r="A925" s="16"/>
      <c r="B925" s="16"/>
      <c r="C925" s="16"/>
      <c r="D925" s="17"/>
      <c r="E925" s="16"/>
      <c r="F925"/>
      <c r="G925"/>
      <c r="H925"/>
      <c r="J925" s="16"/>
      <c r="K925" s="16"/>
      <c r="L925" s="37"/>
      <c r="N925" s="16"/>
      <c r="O925" s="16"/>
      <c r="P925" s="16"/>
      <c r="Q925" s="16"/>
      <c r="R925" s="16"/>
      <c r="S925" s="16"/>
      <c r="T925" s="16"/>
      <c r="U925" s="16"/>
      <c r="V925" s="16"/>
      <c r="X925" s="16"/>
      <c r="AB925" s="16"/>
      <c r="AC925" s="16"/>
      <c r="AD925" s="16"/>
      <c r="AF925" s="16"/>
      <c r="AG925" s="16"/>
      <c r="AH925" s="16"/>
      <c r="AI925" s="16"/>
    </row>
    <row r="926" spans="1:35" s="18" customFormat="1" x14ac:dyDescent="0.25">
      <c r="A926" s="16"/>
      <c r="B926" s="16"/>
      <c r="C926" s="16"/>
      <c r="D926" s="17"/>
      <c r="E926" s="16"/>
      <c r="F926"/>
      <c r="G926"/>
      <c r="H926"/>
      <c r="J926" s="16"/>
      <c r="K926" s="16"/>
      <c r="L926" s="37"/>
      <c r="N926" s="16"/>
      <c r="O926" s="16"/>
      <c r="P926" s="16"/>
      <c r="Q926" s="16"/>
      <c r="R926" s="16"/>
      <c r="S926" s="16"/>
      <c r="T926" s="16"/>
      <c r="U926" s="16"/>
      <c r="V926" s="16"/>
      <c r="X926" s="16"/>
      <c r="AB926" s="16"/>
      <c r="AC926" s="16"/>
      <c r="AD926" s="16"/>
      <c r="AF926" s="16"/>
      <c r="AG926" s="16"/>
      <c r="AH926" s="16"/>
      <c r="AI926" s="16"/>
    </row>
    <row r="927" spans="1:35" s="18" customFormat="1" x14ac:dyDescent="0.25">
      <c r="A927" s="16"/>
      <c r="B927" s="16"/>
      <c r="C927" s="16"/>
      <c r="D927" s="17"/>
      <c r="E927" s="16"/>
      <c r="F927"/>
      <c r="G927"/>
      <c r="H927"/>
      <c r="J927" s="16"/>
      <c r="K927" s="16"/>
      <c r="L927" s="37"/>
      <c r="N927" s="16"/>
      <c r="O927" s="16"/>
      <c r="P927" s="16"/>
      <c r="Q927" s="16"/>
      <c r="R927" s="16"/>
      <c r="S927" s="16"/>
      <c r="T927" s="16"/>
      <c r="U927" s="16"/>
      <c r="V927" s="16"/>
      <c r="X927" s="16"/>
      <c r="AB927" s="16"/>
      <c r="AC927" s="16"/>
      <c r="AD927" s="16"/>
      <c r="AF927" s="16"/>
      <c r="AG927" s="16"/>
      <c r="AH927" s="16"/>
      <c r="AI927" s="16"/>
    </row>
    <row r="928" spans="1:35" s="18" customFormat="1" x14ac:dyDescent="0.25">
      <c r="A928" s="16"/>
      <c r="B928" s="16"/>
      <c r="C928" s="16"/>
      <c r="D928" s="17"/>
      <c r="E928" s="16"/>
      <c r="F928"/>
      <c r="G928"/>
      <c r="H928"/>
      <c r="J928" s="16"/>
      <c r="K928" s="16"/>
      <c r="L928" s="37"/>
      <c r="N928" s="16"/>
      <c r="O928" s="16"/>
      <c r="P928" s="16"/>
      <c r="Q928" s="16"/>
      <c r="R928" s="16"/>
      <c r="S928" s="16"/>
      <c r="T928" s="16"/>
      <c r="U928" s="16"/>
      <c r="V928" s="16"/>
      <c r="X928" s="16"/>
      <c r="AB928" s="16"/>
      <c r="AC928" s="16"/>
      <c r="AD928" s="16"/>
      <c r="AF928" s="16"/>
      <c r="AG928" s="16"/>
      <c r="AH928" s="16"/>
      <c r="AI928" s="16"/>
    </row>
    <row r="929" spans="1:35" s="18" customFormat="1" x14ac:dyDescent="0.25">
      <c r="A929" s="16"/>
      <c r="B929" s="16"/>
      <c r="C929" s="16"/>
      <c r="D929" s="17"/>
      <c r="E929" s="16"/>
      <c r="F929"/>
      <c r="G929"/>
      <c r="H929"/>
      <c r="J929" s="16"/>
      <c r="K929" s="16"/>
      <c r="L929" s="37"/>
      <c r="N929" s="16"/>
      <c r="O929" s="16"/>
      <c r="P929" s="16"/>
      <c r="Q929" s="16"/>
      <c r="R929" s="16"/>
      <c r="S929" s="16"/>
      <c r="T929" s="16"/>
      <c r="U929" s="16"/>
      <c r="V929" s="16"/>
      <c r="X929" s="16"/>
      <c r="AB929" s="16"/>
      <c r="AC929" s="16"/>
      <c r="AD929" s="16"/>
      <c r="AF929" s="16"/>
      <c r="AG929" s="16"/>
      <c r="AH929" s="16"/>
      <c r="AI929" s="16"/>
    </row>
    <row r="930" spans="1:35" s="18" customFormat="1" x14ac:dyDescent="0.25">
      <c r="A930" s="16"/>
      <c r="B930" s="16"/>
      <c r="C930" s="16"/>
      <c r="D930" s="17"/>
      <c r="E930" s="16"/>
      <c r="F930"/>
      <c r="G930"/>
      <c r="H930"/>
      <c r="J930" s="16"/>
      <c r="K930" s="16"/>
      <c r="L930" s="37"/>
      <c r="N930" s="16"/>
      <c r="O930" s="16"/>
      <c r="P930" s="16"/>
      <c r="Q930" s="16"/>
      <c r="R930" s="16"/>
      <c r="S930" s="16"/>
      <c r="T930" s="16"/>
      <c r="U930" s="16"/>
      <c r="V930" s="16"/>
      <c r="X930" s="16"/>
      <c r="AB930" s="16"/>
      <c r="AC930" s="16"/>
      <c r="AD930" s="16"/>
      <c r="AF930" s="16"/>
      <c r="AG930" s="16"/>
      <c r="AH930" s="16"/>
      <c r="AI930" s="16"/>
    </row>
    <row r="931" spans="1:35" s="18" customFormat="1" x14ac:dyDescent="0.25">
      <c r="A931" s="16"/>
      <c r="B931" s="16"/>
      <c r="C931" s="16"/>
      <c r="D931" s="17"/>
      <c r="E931" s="16"/>
      <c r="F931"/>
      <c r="G931"/>
      <c r="H931"/>
      <c r="J931" s="16"/>
      <c r="K931" s="16"/>
      <c r="L931" s="37"/>
      <c r="N931" s="16"/>
      <c r="O931" s="16"/>
      <c r="P931" s="16"/>
      <c r="Q931" s="16"/>
      <c r="R931" s="16"/>
      <c r="S931" s="16"/>
      <c r="T931" s="16"/>
      <c r="U931" s="16"/>
      <c r="V931" s="16"/>
      <c r="X931" s="16"/>
      <c r="AB931" s="16"/>
      <c r="AC931" s="16"/>
      <c r="AD931" s="16"/>
      <c r="AF931" s="16"/>
      <c r="AG931" s="16"/>
      <c r="AH931" s="16"/>
      <c r="AI931" s="16"/>
    </row>
    <row r="932" spans="1:35" s="18" customFormat="1" x14ac:dyDescent="0.25">
      <c r="A932" s="16"/>
      <c r="B932" s="16"/>
      <c r="C932" s="16"/>
      <c r="D932" s="17"/>
      <c r="E932" s="16"/>
      <c r="F932"/>
      <c r="G932"/>
      <c r="H932"/>
      <c r="J932" s="16"/>
      <c r="K932" s="16"/>
      <c r="L932" s="37"/>
      <c r="N932" s="16"/>
      <c r="O932" s="16"/>
      <c r="P932" s="16"/>
      <c r="Q932" s="16"/>
      <c r="R932" s="16"/>
      <c r="S932" s="16"/>
      <c r="T932" s="16"/>
      <c r="U932" s="16"/>
      <c r="V932" s="16"/>
      <c r="X932" s="16"/>
      <c r="AB932" s="16"/>
      <c r="AC932" s="16"/>
      <c r="AD932" s="16"/>
      <c r="AF932" s="16"/>
      <c r="AG932" s="16"/>
      <c r="AH932" s="16"/>
      <c r="AI932" s="16"/>
    </row>
    <row r="933" spans="1:35" s="18" customFormat="1" x14ac:dyDescent="0.25">
      <c r="A933" s="16"/>
      <c r="B933" s="16"/>
      <c r="C933" s="16"/>
      <c r="D933" s="17"/>
      <c r="E933" s="16"/>
      <c r="F933"/>
      <c r="G933"/>
      <c r="H933"/>
      <c r="J933" s="16"/>
      <c r="K933" s="16"/>
      <c r="L933" s="37"/>
      <c r="N933" s="16"/>
      <c r="O933" s="16"/>
      <c r="P933" s="16"/>
      <c r="Q933" s="16"/>
      <c r="R933" s="16"/>
      <c r="S933" s="16"/>
      <c r="T933" s="16"/>
      <c r="U933" s="16"/>
      <c r="V933" s="16"/>
      <c r="X933" s="16"/>
      <c r="AB933" s="16"/>
      <c r="AC933" s="16"/>
      <c r="AD933" s="16"/>
      <c r="AF933" s="16"/>
      <c r="AG933" s="16"/>
      <c r="AH933" s="16"/>
      <c r="AI933" s="16"/>
    </row>
    <row r="934" spans="1:35" s="18" customFormat="1" x14ac:dyDescent="0.25">
      <c r="A934" s="16"/>
      <c r="B934" s="16"/>
      <c r="C934" s="16"/>
      <c r="D934" s="17"/>
      <c r="E934" s="16"/>
      <c r="F934"/>
      <c r="G934"/>
      <c r="H934"/>
      <c r="J934" s="16"/>
      <c r="K934" s="16"/>
      <c r="L934" s="37"/>
      <c r="N934" s="16"/>
      <c r="O934" s="16"/>
      <c r="P934" s="16"/>
      <c r="Q934" s="16"/>
      <c r="R934" s="16"/>
      <c r="S934" s="16"/>
      <c r="T934" s="16"/>
      <c r="U934" s="16"/>
      <c r="V934" s="16"/>
      <c r="X934" s="16"/>
      <c r="AB934" s="16"/>
      <c r="AC934" s="16"/>
      <c r="AD934" s="16"/>
      <c r="AF934" s="16"/>
      <c r="AG934" s="16"/>
      <c r="AH934" s="16"/>
      <c r="AI934" s="16"/>
    </row>
    <row r="935" spans="1:35" s="18" customFormat="1" x14ac:dyDescent="0.25">
      <c r="A935" s="16"/>
      <c r="B935" s="16"/>
      <c r="C935" s="16"/>
      <c r="D935" s="17"/>
      <c r="E935" s="16"/>
      <c r="F935"/>
      <c r="G935"/>
      <c r="H935"/>
      <c r="J935" s="16"/>
      <c r="K935" s="16"/>
      <c r="L935" s="37"/>
      <c r="N935" s="16"/>
      <c r="O935" s="16"/>
      <c r="P935" s="16"/>
      <c r="Q935" s="16"/>
      <c r="R935" s="16"/>
      <c r="S935" s="16"/>
      <c r="T935" s="16"/>
      <c r="U935" s="16"/>
      <c r="V935" s="16"/>
      <c r="X935" s="16"/>
      <c r="AB935" s="16"/>
      <c r="AC935" s="16"/>
      <c r="AD935" s="16"/>
      <c r="AF935" s="16"/>
      <c r="AG935" s="16"/>
      <c r="AH935" s="16"/>
      <c r="AI935" s="16"/>
    </row>
    <row r="936" spans="1:35" s="18" customFormat="1" x14ac:dyDescent="0.25">
      <c r="A936" s="16"/>
      <c r="B936" s="16"/>
      <c r="C936" s="16"/>
      <c r="D936" s="17"/>
      <c r="E936" s="16"/>
      <c r="F936"/>
      <c r="G936"/>
      <c r="H936"/>
      <c r="J936" s="16"/>
      <c r="K936" s="16"/>
      <c r="L936" s="37"/>
      <c r="N936" s="16"/>
      <c r="O936" s="16"/>
      <c r="P936" s="16"/>
      <c r="Q936" s="16"/>
      <c r="R936" s="16"/>
      <c r="S936" s="16"/>
      <c r="T936" s="16"/>
      <c r="U936" s="16"/>
      <c r="V936" s="16"/>
      <c r="X936" s="16"/>
      <c r="AB936" s="16"/>
      <c r="AC936" s="16"/>
      <c r="AD936" s="16"/>
      <c r="AF936" s="16"/>
      <c r="AG936" s="16"/>
      <c r="AH936" s="16"/>
      <c r="AI936" s="16"/>
    </row>
    <row r="937" spans="1:35" s="18" customFormat="1" x14ac:dyDescent="0.25">
      <c r="A937" s="16"/>
      <c r="B937" s="16"/>
      <c r="C937" s="16"/>
      <c r="D937" s="17"/>
      <c r="E937" s="16"/>
      <c r="F937"/>
      <c r="G937"/>
      <c r="H937"/>
      <c r="J937" s="16"/>
      <c r="K937" s="16"/>
      <c r="L937" s="37"/>
      <c r="N937" s="16"/>
      <c r="O937" s="16"/>
      <c r="P937" s="16"/>
      <c r="Q937" s="16"/>
      <c r="R937" s="16"/>
      <c r="S937" s="16"/>
      <c r="T937" s="16"/>
      <c r="U937" s="16"/>
      <c r="V937" s="16"/>
      <c r="X937" s="16"/>
      <c r="AB937" s="16"/>
      <c r="AC937" s="16"/>
      <c r="AD937" s="16"/>
      <c r="AF937" s="16"/>
      <c r="AG937" s="16"/>
      <c r="AH937" s="16"/>
      <c r="AI937" s="16"/>
    </row>
    <row r="938" spans="1:35" s="18" customFormat="1" x14ac:dyDescent="0.25">
      <c r="A938" s="16"/>
      <c r="B938" s="16"/>
      <c r="C938" s="16"/>
      <c r="D938" s="17"/>
      <c r="E938" s="16"/>
      <c r="F938"/>
      <c r="G938"/>
      <c r="H938"/>
      <c r="J938" s="16"/>
      <c r="K938" s="16"/>
      <c r="L938" s="37"/>
      <c r="N938" s="16"/>
      <c r="O938" s="16"/>
      <c r="P938" s="16"/>
      <c r="Q938" s="16"/>
      <c r="R938" s="16"/>
      <c r="S938" s="16"/>
      <c r="T938" s="16"/>
      <c r="U938" s="16"/>
      <c r="V938" s="16"/>
      <c r="X938" s="16"/>
      <c r="AB938" s="16"/>
      <c r="AC938" s="16"/>
      <c r="AD938" s="16"/>
      <c r="AF938" s="16"/>
      <c r="AG938" s="16"/>
      <c r="AH938" s="16"/>
      <c r="AI938" s="16"/>
    </row>
    <row r="939" spans="1:35" s="18" customFormat="1" x14ac:dyDescent="0.25">
      <c r="A939" s="16"/>
      <c r="B939" s="16"/>
      <c r="C939" s="16"/>
      <c r="D939" s="17"/>
      <c r="E939" s="16"/>
      <c r="F939"/>
      <c r="G939"/>
      <c r="H939"/>
      <c r="J939" s="16"/>
      <c r="K939" s="16"/>
      <c r="L939" s="37"/>
      <c r="N939" s="16"/>
      <c r="O939" s="16"/>
      <c r="P939" s="16"/>
      <c r="Q939" s="16"/>
      <c r="R939" s="16"/>
      <c r="S939" s="16"/>
      <c r="T939" s="16"/>
      <c r="U939" s="16"/>
      <c r="V939" s="16"/>
      <c r="X939" s="16"/>
      <c r="AB939" s="16"/>
      <c r="AC939" s="16"/>
      <c r="AD939" s="16"/>
      <c r="AF939" s="16"/>
      <c r="AG939" s="16"/>
      <c r="AH939" s="16"/>
      <c r="AI939" s="16"/>
    </row>
    <row r="940" spans="1:35" s="18" customFormat="1" x14ac:dyDescent="0.25">
      <c r="A940" s="16"/>
      <c r="B940" s="16"/>
      <c r="C940" s="16"/>
      <c r="D940" s="17"/>
      <c r="E940" s="16"/>
      <c r="F940"/>
      <c r="G940"/>
      <c r="H940"/>
      <c r="J940" s="16"/>
      <c r="K940" s="16"/>
      <c r="L940" s="37"/>
      <c r="N940" s="16"/>
      <c r="O940" s="16"/>
      <c r="P940" s="16"/>
      <c r="Q940" s="16"/>
      <c r="R940" s="16"/>
      <c r="S940" s="16"/>
      <c r="T940" s="16"/>
      <c r="U940" s="16"/>
      <c r="V940" s="16"/>
      <c r="X940" s="16"/>
      <c r="AB940" s="16"/>
      <c r="AC940" s="16"/>
      <c r="AD940" s="16"/>
      <c r="AF940" s="16"/>
      <c r="AG940" s="16"/>
      <c r="AH940" s="16"/>
      <c r="AI940" s="16"/>
    </row>
    <row r="941" spans="1:35" s="18" customFormat="1" x14ac:dyDescent="0.25">
      <c r="A941" s="16"/>
      <c r="B941" s="16"/>
      <c r="C941" s="16"/>
      <c r="D941" s="17"/>
      <c r="E941" s="16"/>
      <c r="F941"/>
      <c r="G941"/>
      <c r="H941"/>
      <c r="J941" s="16"/>
      <c r="K941" s="16"/>
      <c r="L941" s="37"/>
      <c r="N941" s="16"/>
      <c r="O941" s="16"/>
      <c r="P941" s="16"/>
      <c r="Q941" s="16"/>
      <c r="R941" s="16"/>
      <c r="S941" s="16"/>
      <c r="T941" s="16"/>
      <c r="U941" s="16"/>
      <c r="V941" s="16"/>
      <c r="X941" s="16"/>
      <c r="AB941" s="16"/>
      <c r="AC941" s="16"/>
      <c r="AD941" s="16"/>
      <c r="AF941" s="16"/>
      <c r="AG941" s="16"/>
      <c r="AH941" s="16"/>
      <c r="AI941" s="16"/>
    </row>
    <row r="942" spans="1:35" s="18" customFormat="1" x14ac:dyDescent="0.25">
      <c r="A942" s="16"/>
      <c r="B942" s="16"/>
      <c r="C942" s="16"/>
      <c r="D942" s="17"/>
      <c r="E942" s="16"/>
      <c r="F942"/>
      <c r="G942"/>
      <c r="H942"/>
      <c r="J942" s="16"/>
      <c r="K942" s="16"/>
      <c r="L942" s="37"/>
      <c r="N942" s="16"/>
      <c r="O942" s="16"/>
      <c r="P942" s="16"/>
      <c r="Q942" s="16"/>
      <c r="R942" s="16"/>
      <c r="S942" s="16"/>
      <c r="T942" s="16"/>
      <c r="U942" s="16"/>
      <c r="V942" s="16"/>
      <c r="X942" s="16"/>
      <c r="AB942" s="16"/>
      <c r="AC942" s="16"/>
      <c r="AD942" s="16"/>
      <c r="AF942" s="16"/>
      <c r="AG942" s="16"/>
      <c r="AH942" s="16"/>
      <c r="AI942" s="16"/>
    </row>
    <row r="943" spans="1:35" s="18" customFormat="1" x14ac:dyDescent="0.25">
      <c r="A943" s="16"/>
      <c r="B943" s="16"/>
      <c r="C943" s="16"/>
      <c r="D943" s="17"/>
      <c r="E943" s="16"/>
      <c r="F943"/>
      <c r="G943"/>
      <c r="H943"/>
      <c r="J943" s="16"/>
      <c r="K943" s="16"/>
      <c r="L943" s="37"/>
      <c r="N943" s="16"/>
      <c r="O943" s="16"/>
      <c r="P943" s="16"/>
      <c r="Q943" s="16"/>
      <c r="R943" s="16"/>
      <c r="S943" s="16"/>
      <c r="T943" s="16"/>
      <c r="U943" s="16"/>
      <c r="V943" s="16"/>
      <c r="X943" s="16"/>
      <c r="AB943" s="16"/>
      <c r="AC943" s="16"/>
      <c r="AD943" s="16"/>
      <c r="AF943" s="16"/>
      <c r="AG943" s="16"/>
      <c r="AH943" s="16"/>
      <c r="AI943" s="16"/>
    </row>
    <row r="944" spans="1:35" s="18" customFormat="1" x14ac:dyDescent="0.25">
      <c r="A944" s="16"/>
      <c r="B944" s="16"/>
      <c r="C944" s="16"/>
      <c r="D944" s="17"/>
      <c r="E944" s="16"/>
      <c r="F944"/>
      <c r="G944"/>
      <c r="H944"/>
      <c r="J944" s="16"/>
      <c r="K944" s="16"/>
      <c r="L944" s="37"/>
      <c r="N944" s="16"/>
      <c r="O944" s="16"/>
      <c r="P944" s="16"/>
      <c r="Q944" s="16"/>
      <c r="R944" s="16"/>
      <c r="S944" s="16"/>
      <c r="T944" s="16"/>
      <c r="U944" s="16"/>
      <c r="V944" s="16"/>
      <c r="X944" s="16"/>
      <c r="AB944" s="16"/>
      <c r="AC944" s="16"/>
      <c r="AD944" s="16"/>
      <c r="AF944" s="16"/>
      <c r="AG944" s="16"/>
      <c r="AH944" s="16"/>
      <c r="AI944" s="16"/>
    </row>
    <row r="945" spans="1:35" s="18" customFormat="1" x14ac:dyDescent="0.25">
      <c r="A945" s="16"/>
      <c r="B945" s="16"/>
      <c r="C945" s="16"/>
      <c r="D945" s="17"/>
      <c r="E945" s="16"/>
      <c r="F945"/>
      <c r="G945"/>
      <c r="H945"/>
      <c r="J945" s="16"/>
      <c r="K945" s="16"/>
      <c r="L945" s="37"/>
      <c r="N945" s="16"/>
      <c r="O945" s="16"/>
      <c r="P945" s="16"/>
      <c r="Q945" s="16"/>
      <c r="R945" s="16"/>
      <c r="S945" s="16"/>
      <c r="T945" s="16"/>
      <c r="U945" s="16"/>
      <c r="V945" s="16"/>
      <c r="X945" s="16"/>
      <c r="AB945" s="16"/>
      <c r="AC945" s="16"/>
      <c r="AD945" s="16"/>
      <c r="AF945" s="16"/>
      <c r="AG945" s="16"/>
      <c r="AH945" s="16"/>
      <c r="AI945" s="16"/>
    </row>
    <row r="946" spans="1:35" s="18" customFormat="1" x14ac:dyDescent="0.25">
      <c r="A946" s="16"/>
      <c r="B946" s="16"/>
      <c r="C946" s="16"/>
      <c r="D946" s="17"/>
      <c r="E946" s="16"/>
      <c r="F946"/>
      <c r="G946"/>
      <c r="H946"/>
      <c r="J946" s="16"/>
      <c r="K946" s="16"/>
      <c r="L946" s="37"/>
      <c r="N946" s="16"/>
      <c r="O946" s="16"/>
      <c r="P946" s="16"/>
      <c r="Q946" s="16"/>
      <c r="R946" s="16"/>
      <c r="S946" s="16"/>
      <c r="T946" s="16"/>
      <c r="U946" s="16"/>
      <c r="V946" s="16"/>
      <c r="X946" s="16"/>
      <c r="AB946" s="16"/>
      <c r="AC946" s="16"/>
      <c r="AD946" s="16"/>
      <c r="AF946" s="16"/>
      <c r="AG946" s="16"/>
      <c r="AH946" s="16"/>
      <c r="AI946" s="16"/>
    </row>
    <row r="947" spans="1:35" s="18" customFormat="1" x14ac:dyDescent="0.25">
      <c r="A947" s="16"/>
      <c r="B947" s="16"/>
      <c r="C947" s="16"/>
      <c r="D947" s="17"/>
      <c r="E947" s="16"/>
      <c r="F947"/>
      <c r="G947"/>
      <c r="H947"/>
      <c r="J947" s="16"/>
      <c r="K947" s="16"/>
      <c r="L947" s="37"/>
      <c r="N947" s="16"/>
      <c r="O947" s="16"/>
      <c r="P947" s="16"/>
      <c r="Q947" s="16"/>
      <c r="R947" s="16"/>
      <c r="S947" s="16"/>
      <c r="T947" s="16"/>
      <c r="U947" s="16"/>
      <c r="V947" s="16"/>
      <c r="X947" s="16"/>
      <c r="AB947" s="16"/>
      <c r="AC947" s="16"/>
      <c r="AD947" s="16"/>
      <c r="AF947" s="16"/>
      <c r="AG947" s="16"/>
      <c r="AH947" s="16"/>
      <c r="AI947" s="16"/>
    </row>
    <row r="948" spans="1:35" s="18" customFormat="1" x14ac:dyDescent="0.25">
      <c r="A948" s="16"/>
      <c r="B948" s="16"/>
      <c r="C948" s="16"/>
      <c r="D948" s="17"/>
      <c r="E948" s="16"/>
      <c r="F948"/>
      <c r="G948"/>
      <c r="H948"/>
      <c r="J948" s="16"/>
      <c r="K948" s="16"/>
      <c r="L948" s="37"/>
      <c r="N948" s="16"/>
      <c r="O948" s="16"/>
      <c r="P948" s="16"/>
      <c r="Q948" s="16"/>
      <c r="R948" s="16"/>
      <c r="S948" s="16"/>
      <c r="T948" s="16"/>
      <c r="U948" s="16"/>
      <c r="V948" s="16"/>
      <c r="X948" s="16"/>
      <c r="AB948" s="16"/>
      <c r="AC948" s="16"/>
      <c r="AD948" s="16"/>
      <c r="AF948" s="16"/>
      <c r="AG948" s="16"/>
      <c r="AH948" s="16"/>
      <c r="AI948" s="16"/>
    </row>
    <row r="949" spans="1:35" s="18" customFormat="1" x14ac:dyDescent="0.25">
      <c r="A949" s="16"/>
      <c r="B949" s="16"/>
      <c r="C949" s="16"/>
      <c r="D949" s="17"/>
      <c r="E949" s="16"/>
      <c r="F949"/>
      <c r="G949"/>
      <c r="H949"/>
      <c r="J949" s="16"/>
      <c r="K949" s="16"/>
      <c r="L949" s="37"/>
      <c r="N949" s="16"/>
      <c r="O949" s="16"/>
      <c r="P949" s="16"/>
      <c r="Q949" s="16"/>
      <c r="R949" s="16"/>
      <c r="S949" s="16"/>
      <c r="T949" s="16"/>
      <c r="U949" s="16"/>
      <c r="V949" s="16"/>
      <c r="X949" s="16"/>
      <c r="AB949" s="16"/>
      <c r="AC949" s="16"/>
      <c r="AD949" s="16"/>
      <c r="AF949" s="16"/>
      <c r="AG949" s="16"/>
      <c r="AH949" s="16"/>
      <c r="AI949" s="16"/>
    </row>
    <row r="950" spans="1:35" s="18" customFormat="1" x14ac:dyDescent="0.25">
      <c r="A950" s="16"/>
      <c r="B950" s="16"/>
      <c r="C950" s="16"/>
      <c r="D950" s="17"/>
      <c r="E950" s="16"/>
      <c r="F950"/>
      <c r="G950"/>
      <c r="H950"/>
      <c r="J950" s="16"/>
      <c r="K950" s="16"/>
      <c r="L950" s="37"/>
      <c r="N950" s="16"/>
      <c r="O950" s="16"/>
      <c r="P950" s="16"/>
      <c r="Q950" s="16"/>
      <c r="R950" s="16"/>
      <c r="S950" s="16"/>
      <c r="T950" s="16"/>
      <c r="U950" s="16"/>
      <c r="V950" s="16"/>
      <c r="X950" s="16"/>
      <c r="AB950" s="16"/>
      <c r="AC950" s="16"/>
      <c r="AD950" s="16"/>
      <c r="AF950" s="16"/>
      <c r="AG950" s="16"/>
      <c r="AH950" s="16"/>
      <c r="AI950" s="16"/>
    </row>
    <row r="951" spans="1:35" s="18" customFormat="1" x14ac:dyDescent="0.25">
      <c r="A951" s="16"/>
      <c r="B951" s="16"/>
      <c r="C951" s="16"/>
      <c r="D951" s="17"/>
      <c r="E951" s="16"/>
      <c r="F951"/>
      <c r="G951"/>
      <c r="H951"/>
      <c r="J951" s="16"/>
      <c r="K951" s="16"/>
      <c r="L951" s="37"/>
      <c r="N951" s="16"/>
      <c r="O951" s="16"/>
      <c r="P951" s="16"/>
      <c r="Q951" s="16"/>
      <c r="R951" s="16"/>
      <c r="S951" s="16"/>
      <c r="T951" s="16"/>
      <c r="U951" s="16"/>
      <c r="V951" s="16"/>
      <c r="X951" s="16"/>
      <c r="AB951" s="16"/>
      <c r="AC951" s="16"/>
      <c r="AD951" s="16"/>
      <c r="AF951" s="16"/>
      <c r="AG951" s="16"/>
      <c r="AH951" s="16"/>
      <c r="AI951" s="16"/>
    </row>
    <row r="952" spans="1:35" s="18" customFormat="1" x14ac:dyDescent="0.25">
      <c r="A952" s="16"/>
      <c r="B952" s="16"/>
      <c r="C952" s="16"/>
      <c r="D952" s="17"/>
      <c r="E952" s="16"/>
      <c r="F952"/>
      <c r="G952"/>
      <c r="H952"/>
      <c r="J952" s="16"/>
      <c r="K952" s="16"/>
      <c r="L952" s="37"/>
      <c r="N952" s="16"/>
      <c r="O952" s="16"/>
      <c r="P952" s="16"/>
      <c r="Q952" s="16"/>
      <c r="R952" s="16"/>
      <c r="S952" s="16"/>
      <c r="T952" s="16"/>
      <c r="U952" s="16"/>
      <c r="V952" s="16"/>
      <c r="X952" s="16"/>
      <c r="AB952" s="16"/>
      <c r="AC952" s="16"/>
      <c r="AD952" s="16"/>
      <c r="AF952" s="16"/>
      <c r="AG952" s="16"/>
      <c r="AH952" s="16"/>
      <c r="AI952" s="16"/>
    </row>
    <row r="953" spans="1:35" s="18" customFormat="1" x14ac:dyDescent="0.25">
      <c r="A953" s="16"/>
      <c r="B953" s="16"/>
      <c r="C953" s="16"/>
      <c r="D953" s="17"/>
      <c r="E953" s="16"/>
      <c r="F953"/>
      <c r="G953"/>
      <c r="H953"/>
      <c r="J953" s="16"/>
      <c r="K953" s="16"/>
      <c r="L953" s="37"/>
      <c r="N953" s="16"/>
      <c r="O953" s="16"/>
      <c r="P953" s="16"/>
      <c r="Q953" s="16"/>
      <c r="R953" s="16"/>
      <c r="S953" s="16"/>
      <c r="T953" s="16"/>
      <c r="U953" s="16"/>
      <c r="V953" s="16"/>
      <c r="X953" s="16"/>
      <c r="AB953" s="16"/>
      <c r="AC953" s="16"/>
      <c r="AD953" s="16"/>
      <c r="AF953" s="16"/>
      <c r="AG953" s="16"/>
      <c r="AH953" s="16"/>
      <c r="AI953" s="16"/>
    </row>
    <row r="954" spans="1:35" s="18" customFormat="1" x14ac:dyDescent="0.25">
      <c r="A954" s="16"/>
      <c r="B954" s="16"/>
      <c r="C954" s="16"/>
      <c r="D954" s="17"/>
      <c r="E954" s="16"/>
      <c r="F954"/>
      <c r="G954"/>
      <c r="H954"/>
      <c r="J954" s="16"/>
      <c r="K954" s="16"/>
      <c r="L954" s="37"/>
      <c r="N954" s="16"/>
      <c r="O954" s="16"/>
      <c r="P954" s="16"/>
      <c r="Q954" s="16"/>
      <c r="R954" s="16"/>
      <c r="S954" s="16"/>
      <c r="T954" s="16"/>
      <c r="U954" s="16"/>
      <c r="V954" s="16"/>
      <c r="X954" s="16"/>
      <c r="AB954" s="16"/>
      <c r="AC954" s="16"/>
      <c r="AD954" s="16"/>
      <c r="AF954" s="16"/>
      <c r="AG954" s="16"/>
      <c r="AH954" s="16"/>
      <c r="AI954" s="16"/>
    </row>
    <row r="955" spans="1:35" s="18" customFormat="1" x14ac:dyDescent="0.25">
      <c r="A955" s="16"/>
      <c r="B955" s="16"/>
      <c r="C955" s="16"/>
      <c r="D955" s="17"/>
      <c r="E955" s="16"/>
      <c r="F955"/>
      <c r="G955"/>
      <c r="H955"/>
      <c r="J955" s="16"/>
      <c r="K955" s="16"/>
      <c r="L955" s="37"/>
      <c r="N955" s="16"/>
      <c r="O955" s="16"/>
      <c r="P955" s="16"/>
      <c r="Q955" s="16"/>
      <c r="R955" s="16"/>
      <c r="S955" s="16"/>
      <c r="T955" s="16"/>
      <c r="U955" s="16"/>
      <c r="V955" s="16"/>
      <c r="X955" s="16"/>
      <c r="AB955" s="16"/>
      <c r="AC955" s="16"/>
      <c r="AD955" s="16"/>
      <c r="AF955" s="16"/>
      <c r="AG955" s="16"/>
      <c r="AH955" s="16"/>
      <c r="AI955" s="16"/>
    </row>
    <row r="956" spans="1:35" s="18" customFormat="1" x14ac:dyDescent="0.25">
      <c r="A956" s="16"/>
      <c r="B956" s="16"/>
      <c r="C956" s="16"/>
      <c r="D956" s="17"/>
      <c r="E956" s="16"/>
      <c r="F956"/>
      <c r="G956"/>
      <c r="H956"/>
      <c r="J956" s="16"/>
      <c r="K956" s="16"/>
      <c r="L956" s="37"/>
      <c r="N956" s="16"/>
      <c r="O956" s="16"/>
      <c r="P956" s="16"/>
      <c r="Q956" s="16"/>
      <c r="R956" s="16"/>
      <c r="S956" s="16"/>
      <c r="T956" s="16"/>
      <c r="U956" s="16"/>
      <c r="V956" s="16"/>
      <c r="X956" s="16"/>
      <c r="AB956" s="16"/>
      <c r="AC956" s="16"/>
      <c r="AD956" s="16"/>
      <c r="AF956" s="16"/>
      <c r="AG956" s="16"/>
      <c r="AH956" s="16"/>
      <c r="AI956" s="16"/>
    </row>
    <row r="957" spans="1:35" s="18" customFormat="1" x14ac:dyDescent="0.25">
      <c r="A957" s="16"/>
      <c r="B957" s="16"/>
      <c r="C957" s="16"/>
      <c r="D957" s="17"/>
      <c r="E957" s="16"/>
      <c r="F957"/>
      <c r="G957"/>
      <c r="H957"/>
      <c r="J957" s="16"/>
      <c r="K957" s="16"/>
      <c r="L957" s="37"/>
      <c r="N957" s="16"/>
      <c r="O957" s="16"/>
      <c r="P957" s="16"/>
      <c r="Q957" s="16"/>
      <c r="R957" s="16"/>
      <c r="S957" s="16"/>
      <c r="T957" s="16"/>
      <c r="U957" s="16"/>
      <c r="V957" s="16"/>
      <c r="X957" s="16"/>
      <c r="AB957" s="16"/>
      <c r="AC957" s="16"/>
      <c r="AD957" s="16"/>
      <c r="AF957" s="16"/>
      <c r="AG957" s="16"/>
      <c r="AH957" s="16"/>
      <c r="AI957" s="16"/>
    </row>
    <row r="958" spans="1:35" s="18" customFormat="1" x14ac:dyDescent="0.25">
      <c r="A958" s="16"/>
      <c r="B958" s="16"/>
      <c r="C958" s="16"/>
      <c r="D958" s="17"/>
      <c r="E958" s="16"/>
      <c r="F958"/>
      <c r="G958"/>
      <c r="H958"/>
      <c r="J958" s="16"/>
      <c r="K958" s="16"/>
      <c r="L958" s="37"/>
      <c r="N958" s="16"/>
      <c r="O958" s="16"/>
      <c r="P958" s="16"/>
      <c r="Q958" s="16"/>
      <c r="R958" s="16"/>
      <c r="S958" s="16"/>
      <c r="T958" s="16"/>
      <c r="U958" s="16"/>
      <c r="V958" s="16"/>
      <c r="X958" s="16"/>
      <c r="AB958" s="16"/>
      <c r="AC958" s="16"/>
      <c r="AD958" s="16"/>
      <c r="AF958" s="16"/>
      <c r="AG958" s="16"/>
      <c r="AH958" s="16"/>
      <c r="AI958" s="16"/>
    </row>
    <row r="959" spans="1:35" s="18" customFormat="1" x14ac:dyDescent="0.25">
      <c r="A959" s="16"/>
      <c r="B959" s="16"/>
      <c r="C959" s="16"/>
      <c r="D959" s="17"/>
      <c r="E959" s="16"/>
      <c r="F959"/>
      <c r="G959"/>
      <c r="H959"/>
      <c r="J959" s="16"/>
      <c r="K959" s="16"/>
      <c r="L959" s="37"/>
      <c r="N959" s="16"/>
      <c r="O959" s="16"/>
      <c r="P959" s="16"/>
      <c r="Q959" s="16"/>
      <c r="R959" s="16"/>
      <c r="S959" s="16"/>
      <c r="T959" s="16"/>
      <c r="U959" s="16"/>
      <c r="V959" s="16"/>
      <c r="X959" s="16"/>
      <c r="AB959" s="16"/>
      <c r="AC959" s="16"/>
      <c r="AD959" s="16"/>
      <c r="AF959" s="16"/>
      <c r="AG959" s="16"/>
      <c r="AH959" s="16"/>
      <c r="AI959" s="16"/>
    </row>
    <row r="960" spans="1:35" s="18" customFormat="1" x14ac:dyDescent="0.25">
      <c r="A960" s="16"/>
      <c r="B960" s="16"/>
      <c r="C960" s="16"/>
      <c r="D960" s="17"/>
      <c r="E960" s="16"/>
      <c r="F960"/>
      <c r="G960"/>
      <c r="H960"/>
      <c r="J960" s="16"/>
      <c r="K960" s="16"/>
      <c r="L960" s="37"/>
      <c r="N960" s="16"/>
      <c r="O960" s="16"/>
      <c r="P960" s="16"/>
      <c r="Q960" s="16"/>
      <c r="R960" s="16"/>
      <c r="S960" s="16"/>
      <c r="T960" s="16"/>
      <c r="U960" s="16"/>
      <c r="V960" s="16"/>
      <c r="X960" s="16"/>
      <c r="AB960" s="16"/>
      <c r="AC960" s="16"/>
      <c r="AD960" s="16"/>
      <c r="AF960" s="16"/>
      <c r="AG960" s="16"/>
      <c r="AH960" s="16"/>
      <c r="AI960" s="16"/>
    </row>
    <row r="961" spans="1:35" s="18" customFormat="1" x14ac:dyDescent="0.25">
      <c r="A961" s="16"/>
      <c r="B961" s="16"/>
      <c r="C961" s="16"/>
      <c r="D961" s="17"/>
      <c r="E961" s="16"/>
      <c r="F961"/>
      <c r="G961"/>
      <c r="H961"/>
      <c r="J961" s="16"/>
      <c r="K961" s="16"/>
      <c r="L961" s="37"/>
      <c r="N961" s="16"/>
      <c r="O961" s="16"/>
      <c r="P961" s="16"/>
      <c r="Q961" s="16"/>
      <c r="R961" s="16"/>
      <c r="S961" s="16"/>
      <c r="T961" s="16"/>
      <c r="U961" s="16"/>
      <c r="V961" s="16"/>
      <c r="X961" s="16"/>
      <c r="AB961" s="16"/>
      <c r="AC961" s="16"/>
      <c r="AD961" s="16"/>
      <c r="AF961" s="16"/>
      <c r="AG961" s="16"/>
      <c r="AH961" s="16"/>
      <c r="AI961" s="16"/>
    </row>
    <row r="962" spans="1:35" s="18" customFormat="1" x14ac:dyDescent="0.25">
      <c r="A962" s="16"/>
      <c r="B962" s="16"/>
      <c r="C962" s="16"/>
      <c r="D962" s="17"/>
      <c r="E962" s="16"/>
      <c r="F962"/>
      <c r="G962"/>
      <c r="H962"/>
      <c r="J962" s="16"/>
      <c r="K962" s="16"/>
      <c r="L962" s="37"/>
      <c r="N962" s="16"/>
      <c r="O962" s="16"/>
      <c r="P962" s="16"/>
      <c r="Q962" s="16"/>
      <c r="R962" s="16"/>
      <c r="S962" s="16"/>
      <c r="T962" s="16"/>
      <c r="U962" s="16"/>
      <c r="V962" s="16"/>
      <c r="X962" s="16"/>
      <c r="AB962" s="16"/>
      <c r="AC962" s="16"/>
      <c r="AD962" s="16"/>
      <c r="AF962" s="16"/>
      <c r="AG962" s="16"/>
      <c r="AH962" s="16"/>
      <c r="AI962" s="16"/>
    </row>
    <row r="963" spans="1:35" s="18" customFormat="1" x14ac:dyDescent="0.25">
      <c r="A963" s="16"/>
      <c r="B963" s="16"/>
      <c r="C963" s="16"/>
      <c r="D963" s="17"/>
      <c r="E963" s="16"/>
      <c r="F963"/>
      <c r="G963"/>
      <c r="H963"/>
      <c r="J963" s="16"/>
      <c r="K963" s="16"/>
      <c r="L963" s="37"/>
      <c r="N963" s="16"/>
      <c r="O963" s="16"/>
      <c r="P963" s="16"/>
      <c r="Q963" s="16"/>
      <c r="R963" s="16"/>
      <c r="S963" s="16"/>
      <c r="T963" s="16"/>
      <c r="U963" s="16"/>
      <c r="V963" s="16"/>
      <c r="X963" s="16"/>
      <c r="AB963" s="16"/>
      <c r="AC963" s="16"/>
      <c r="AD963" s="16"/>
      <c r="AF963" s="16"/>
      <c r="AG963" s="16"/>
      <c r="AH963" s="16"/>
      <c r="AI963" s="16"/>
    </row>
    <row r="964" spans="1:35" s="18" customFormat="1" x14ac:dyDescent="0.25">
      <c r="A964" s="16"/>
      <c r="B964" s="16"/>
      <c r="C964" s="16"/>
      <c r="D964" s="17"/>
      <c r="E964" s="16"/>
      <c r="F964"/>
      <c r="G964"/>
      <c r="H964"/>
      <c r="J964" s="16"/>
      <c r="K964" s="16"/>
      <c r="L964" s="37"/>
      <c r="N964" s="16"/>
      <c r="O964" s="16"/>
      <c r="P964" s="16"/>
      <c r="Q964" s="16"/>
      <c r="R964" s="16"/>
      <c r="S964" s="16"/>
      <c r="T964" s="16"/>
      <c r="U964" s="16"/>
      <c r="V964" s="16"/>
      <c r="X964" s="16"/>
      <c r="AB964" s="16"/>
      <c r="AC964" s="16"/>
      <c r="AD964" s="16"/>
      <c r="AF964" s="16"/>
      <c r="AG964" s="16"/>
      <c r="AH964" s="16"/>
      <c r="AI964" s="16"/>
    </row>
    <row r="965" spans="1:35" s="18" customFormat="1" x14ac:dyDescent="0.25">
      <c r="A965" s="16"/>
      <c r="B965" s="16"/>
      <c r="C965" s="16"/>
      <c r="D965" s="17"/>
      <c r="E965" s="16"/>
      <c r="F965"/>
      <c r="G965"/>
      <c r="H965"/>
      <c r="J965" s="16"/>
      <c r="K965" s="16"/>
      <c r="L965" s="37"/>
      <c r="N965" s="16"/>
      <c r="O965" s="16"/>
      <c r="P965" s="16"/>
      <c r="Q965" s="16"/>
      <c r="R965" s="16"/>
      <c r="S965" s="16"/>
      <c r="T965" s="16"/>
      <c r="U965" s="16"/>
      <c r="V965" s="16"/>
      <c r="X965" s="16"/>
      <c r="AB965" s="16"/>
      <c r="AC965" s="16"/>
      <c r="AD965" s="16"/>
      <c r="AF965" s="16"/>
      <c r="AG965" s="16"/>
      <c r="AH965" s="16"/>
      <c r="AI965" s="16"/>
    </row>
    <row r="966" spans="1:35" s="18" customFormat="1" x14ac:dyDescent="0.25">
      <c r="A966" s="16"/>
      <c r="B966" s="16"/>
      <c r="C966" s="16"/>
      <c r="D966" s="17"/>
      <c r="E966" s="16"/>
      <c r="F966"/>
      <c r="G966"/>
      <c r="H966"/>
      <c r="J966" s="16"/>
      <c r="K966" s="16"/>
      <c r="L966" s="37"/>
      <c r="N966" s="16"/>
      <c r="O966" s="16"/>
      <c r="P966" s="16"/>
      <c r="Q966" s="16"/>
      <c r="R966" s="16"/>
      <c r="S966" s="16"/>
      <c r="T966" s="16"/>
      <c r="U966" s="16"/>
      <c r="V966" s="16"/>
      <c r="X966" s="16"/>
      <c r="AB966" s="16"/>
      <c r="AC966" s="16"/>
      <c r="AD966" s="16"/>
      <c r="AF966" s="16"/>
      <c r="AG966" s="16"/>
      <c r="AH966" s="16"/>
      <c r="AI966" s="16"/>
    </row>
    <row r="967" spans="1:35" s="18" customFormat="1" x14ac:dyDescent="0.25">
      <c r="A967" s="16"/>
      <c r="B967" s="16"/>
      <c r="C967" s="16"/>
      <c r="D967" s="17"/>
      <c r="E967" s="16"/>
      <c r="F967"/>
      <c r="G967"/>
      <c r="H967"/>
      <c r="J967" s="16"/>
      <c r="K967" s="16"/>
      <c r="L967" s="37"/>
      <c r="N967" s="16"/>
      <c r="O967" s="16"/>
      <c r="P967" s="16"/>
      <c r="Q967" s="16"/>
      <c r="R967" s="16"/>
      <c r="S967" s="16"/>
      <c r="T967" s="16"/>
      <c r="U967" s="16"/>
      <c r="V967" s="16"/>
      <c r="X967" s="16"/>
      <c r="AB967" s="16"/>
      <c r="AC967" s="16"/>
      <c r="AD967" s="16"/>
      <c r="AF967" s="16"/>
      <c r="AG967" s="16"/>
      <c r="AH967" s="16"/>
      <c r="AI967" s="16"/>
    </row>
    <row r="968" spans="1:35" s="18" customFormat="1" x14ac:dyDescent="0.25">
      <c r="A968" s="16"/>
      <c r="B968" s="16"/>
      <c r="C968" s="16"/>
      <c r="D968" s="17"/>
      <c r="E968" s="16"/>
      <c r="F968"/>
      <c r="G968"/>
      <c r="H968"/>
      <c r="J968" s="16"/>
      <c r="K968" s="16"/>
      <c r="L968" s="37"/>
      <c r="N968" s="16"/>
      <c r="O968" s="16"/>
      <c r="P968" s="16"/>
      <c r="Q968" s="16"/>
      <c r="R968" s="16"/>
      <c r="S968" s="16"/>
      <c r="T968" s="16"/>
      <c r="U968" s="16"/>
      <c r="V968" s="16"/>
      <c r="X968" s="16"/>
      <c r="AB968" s="16"/>
      <c r="AC968" s="16"/>
      <c r="AD968" s="16"/>
      <c r="AF968" s="16"/>
      <c r="AG968" s="16"/>
      <c r="AH968" s="16"/>
      <c r="AI968" s="16"/>
    </row>
    <row r="969" spans="1:35" s="18" customFormat="1" x14ac:dyDescent="0.25">
      <c r="A969" s="16"/>
      <c r="B969" s="16"/>
      <c r="C969" s="16"/>
      <c r="D969" s="17"/>
      <c r="E969" s="16"/>
      <c r="F969"/>
      <c r="G969"/>
      <c r="H969"/>
      <c r="J969" s="16"/>
      <c r="K969" s="16"/>
      <c r="L969" s="37"/>
      <c r="N969" s="16"/>
      <c r="O969" s="16"/>
      <c r="P969" s="16"/>
      <c r="Q969" s="16"/>
      <c r="R969" s="16"/>
      <c r="S969" s="16"/>
      <c r="T969" s="16"/>
      <c r="U969" s="16"/>
      <c r="V969" s="16"/>
      <c r="X969" s="16"/>
      <c r="AB969" s="16"/>
      <c r="AC969" s="16"/>
      <c r="AD969" s="16"/>
      <c r="AF969" s="16"/>
      <c r="AG969" s="16"/>
      <c r="AH969" s="16"/>
      <c r="AI969" s="16"/>
    </row>
    <row r="970" spans="1:35" s="18" customFormat="1" x14ac:dyDescent="0.25">
      <c r="A970" s="16"/>
      <c r="B970" s="16"/>
      <c r="C970" s="16"/>
      <c r="D970" s="17"/>
      <c r="E970" s="16"/>
      <c r="F970"/>
      <c r="G970"/>
      <c r="H970"/>
      <c r="J970" s="16"/>
      <c r="K970" s="16"/>
      <c r="L970" s="37"/>
      <c r="N970" s="16"/>
      <c r="O970" s="16"/>
      <c r="P970" s="16"/>
      <c r="Q970" s="16"/>
      <c r="R970" s="16"/>
      <c r="S970" s="16"/>
      <c r="T970" s="16"/>
      <c r="U970" s="16"/>
      <c r="V970" s="16"/>
      <c r="X970" s="16"/>
      <c r="AB970" s="16"/>
      <c r="AC970" s="16"/>
      <c r="AD970" s="16"/>
      <c r="AF970" s="16"/>
      <c r="AG970" s="16"/>
      <c r="AH970" s="16"/>
      <c r="AI970" s="16"/>
    </row>
    <row r="971" spans="1:35" s="18" customFormat="1" x14ac:dyDescent="0.25">
      <c r="A971" s="16"/>
      <c r="B971" s="16"/>
      <c r="C971" s="16"/>
      <c r="D971" s="17"/>
      <c r="E971" s="16"/>
      <c r="F971"/>
      <c r="G971"/>
      <c r="H971"/>
      <c r="J971" s="16"/>
      <c r="K971" s="16"/>
      <c r="L971" s="37"/>
      <c r="N971" s="16"/>
      <c r="O971" s="16"/>
      <c r="P971" s="16"/>
      <c r="Q971" s="16"/>
      <c r="R971" s="16"/>
      <c r="S971" s="16"/>
      <c r="T971" s="16"/>
      <c r="U971" s="16"/>
      <c r="V971" s="16"/>
      <c r="X971" s="16"/>
      <c r="AB971" s="16"/>
      <c r="AC971" s="16"/>
      <c r="AD971" s="16"/>
      <c r="AF971" s="16"/>
      <c r="AG971" s="16"/>
      <c r="AH971" s="16"/>
      <c r="AI971" s="16"/>
    </row>
    <row r="972" spans="1:35" s="18" customFormat="1" x14ac:dyDescent="0.25">
      <c r="A972" s="16"/>
      <c r="B972" s="16"/>
      <c r="C972" s="16"/>
      <c r="D972" s="17"/>
      <c r="E972" s="16"/>
      <c r="F972"/>
      <c r="G972"/>
      <c r="H972"/>
      <c r="J972" s="16"/>
      <c r="K972" s="16"/>
      <c r="L972" s="37"/>
      <c r="N972" s="16"/>
      <c r="O972" s="16"/>
      <c r="P972" s="16"/>
      <c r="Q972" s="16"/>
      <c r="R972" s="16"/>
      <c r="S972" s="16"/>
      <c r="T972" s="16"/>
      <c r="U972" s="16"/>
      <c r="V972" s="16"/>
      <c r="X972" s="16"/>
      <c r="AB972" s="16"/>
      <c r="AC972" s="16"/>
      <c r="AD972" s="16"/>
      <c r="AF972" s="16"/>
      <c r="AG972" s="16"/>
      <c r="AH972" s="16"/>
      <c r="AI972" s="16"/>
    </row>
    <row r="973" spans="1:35" s="18" customFormat="1" x14ac:dyDescent="0.25">
      <c r="A973" s="16"/>
      <c r="B973" s="16"/>
      <c r="C973" s="16"/>
      <c r="D973" s="17"/>
      <c r="E973" s="16"/>
      <c r="F973"/>
      <c r="G973"/>
      <c r="H973"/>
      <c r="J973" s="16"/>
      <c r="K973" s="16"/>
      <c r="L973" s="37"/>
      <c r="N973" s="16"/>
      <c r="O973" s="16"/>
      <c r="P973" s="16"/>
      <c r="Q973" s="16"/>
      <c r="R973" s="16"/>
      <c r="S973" s="16"/>
      <c r="T973" s="16"/>
      <c r="U973" s="16"/>
      <c r="V973" s="16"/>
      <c r="X973" s="16"/>
      <c r="AB973" s="16"/>
      <c r="AC973" s="16"/>
      <c r="AD973" s="16"/>
      <c r="AF973" s="16"/>
      <c r="AG973" s="16"/>
      <c r="AH973" s="16"/>
      <c r="AI973" s="16"/>
    </row>
    <row r="974" spans="1:35" s="18" customFormat="1" x14ac:dyDescent="0.25">
      <c r="A974" s="16"/>
      <c r="B974" s="16"/>
      <c r="C974" s="16"/>
      <c r="D974" s="17"/>
      <c r="E974" s="16"/>
      <c r="F974"/>
      <c r="G974"/>
      <c r="H974"/>
      <c r="J974" s="16"/>
      <c r="K974" s="16"/>
      <c r="L974" s="37"/>
      <c r="N974" s="16"/>
      <c r="O974" s="16"/>
      <c r="P974" s="16"/>
      <c r="Q974" s="16"/>
      <c r="R974" s="16"/>
      <c r="S974" s="16"/>
      <c r="T974" s="16"/>
      <c r="U974" s="16"/>
      <c r="V974" s="16"/>
      <c r="X974" s="16"/>
      <c r="AB974" s="16"/>
      <c r="AC974" s="16"/>
      <c r="AD974" s="16"/>
      <c r="AF974" s="16"/>
      <c r="AG974" s="16"/>
      <c r="AH974" s="16"/>
      <c r="AI974" s="16"/>
    </row>
    <row r="975" spans="1:35" s="18" customFormat="1" x14ac:dyDescent="0.25">
      <c r="A975" s="16"/>
      <c r="B975" s="16"/>
      <c r="C975" s="16"/>
      <c r="D975" s="17"/>
      <c r="E975" s="16"/>
      <c r="F975"/>
      <c r="G975"/>
      <c r="H975"/>
      <c r="J975" s="16"/>
      <c r="K975" s="16"/>
      <c r="L975" s="37"/>
      <c r="N975" s="16"/>
      <c r="O975" s="16"/>
      <c r="P975" s="16"/>
      <c r="Q975" s="16"/>
      <c r="R975" s="16"/>
      <c r="S975" s="16"/>
      <c r="T975" s="16"/>
      <c r="U975" s="16"/>
      <c r="V975" s="16"/>
      <c r="X975" s="16"/>
      <c r="AB975" s="16"/>
      <c r="AC975" s="16"/>
      <c r="AD975" s="16"/>
      <c r="AF975" s="16"/>
      <c r="AG975" s="16"/>
      <c r="AH975" s="16"/>
      <c r="AI975" s="16"/>
    </row>
    <row r="976" spans="1:35" s="18" customFormat="1" x14ac:dyDescent="0.25">
      <c r="A976" s="16"/>
      <c r="B976" s="16"/>
      <c r="C976" s="16"/>
      <c r="D976" s="17"/>
      <c r="E976" s="16"/>
      <c r="F976"/>
      <c r="G976"/>
      <c r="H976"/>
      <c r="J976" s="16"/>
      <c r="K976" s="16"/>
      <c r="L976" s="37"/>
      <c r="N976" s="16"/>
      <c r="O976" s="16"/>
      <c r="P976" s="16"/>
      <c r="Q976" s="16"/>
      <c r="R976" s="16"/>
      <c r="S976" s="16"/>
      <c r="T976" s="16"/>
      <c r="U976" s="16"/>
      <c r="V976" s="16"/>
      <c r="X976" s="16"/>
      <c r="AB976" s="16"/>
      <c r="AC976" s="16"/>
      <c r="AD976" s="16"/>
      <c r="AF976" s="16"/>
      <c r="AG976" s="16"/>
      <c r="AH976" s="16"/>
      <c r="AI976" s="16"/>
    </row>
    <row r="977" spans="1:35" s="18" customFormat="1" x14ac:dyDescent="0.25">
      <c r="A977" s="16"/>
      <c r="B977" s="16"/>
      <c r="C977" s="16"/>
      <c r="D977" s="17"/>
      <c r="E977" s="16"/>
      <c r="F977"/>
      <c r="G977"/>
      <c r="H977"/>
      <c r="J977" s="16"/>
      <c r="K977" s="16"/>
      <c r="L977" s="37"/>
      <c r="N977" s="16"/>
      <c r="O977" s="16"/>
      <c r="P977" s="16"/>
      <c r="Q977" s="16"/>
      <c r="R977" s="16"/>
      <c r="S977" s="16"/>
      <c r="T977" s="16"/>
      <c r="U977" s="16"/>
      <c r="V977" s="16"/>
      <c r="X977" s="16"/>
      <c r="AB977" s="16"/>
      <c r="AC977" s="16"/>
      <c r="AD977" s="16"/>
      <c r="AF977" s="16"/>
      <c r="AG977" s="16"/>
      <c r="AH977" s="16"/>
      <c r="AI977" s="16"/>
    </row>
    <row r="978" spans="1:35" s="18" customFormat="1" x14ac:dyDescent="0.25">
      <c r="A978" s="16"/>
      <c r="B978" s="16"/>
      <c r="C978" s="16"/>
      <c r="D978" s="17"/>
      <c r="E978" s="16"/>
      <c r="F978"/>
      <c r="G978"/>
      <c r="H978"/>
      <c r="J978" s="16"/>
      <c r="K978" s="16"/>
      <c r="L978" s="37"/>
      <c r="N978" s="16"/>
      <c r="O978" s="16"/>
      <c r="P978" s="16"/>
      <c r="Q978" s="16"/>
      <c r="R978" s="16"/>
      <c r="S978" s="16"/>
      <c r="T978" s="16"/>
      <c r="U978" s="16"/>
      <c r="V978" s="16"/>
      <c r="X978" s="16"/>
      <c r="AB978" s="16"/>
      <c r="AC978" s="16"/>
      <c r="AD978" s="16"/>
      <c r="AF978" s="16"/>
      <c r="AG978" s="16"/>
      <c r="AH978" s="16"/>
      <c r="AI978" s="16"/>
    </row>
    <row r="979" spans="1:35" s="18" customFormat="1" x14ac:dyDescent="0.25">
      <c r="A979" s="16"/>
      <c r="B979" s="16"/>
      <c r="C979" s="16"/>
      <c r="D979" s="17"/>
      <c r="E979" s="16"/>
      <c r="F979"/>
      <c r="G979"/>
      <c r="H979"/>
      <c r="J979" s="16"/>
      <c r="K979" s="16"/>
      <c r="L979" s="37"/>
      <c r="N979" s="16"/>
      <c r="O979" s="16"/>
      <c r="P979" s="16"/>
      <c r="Q979" s="16"/>
      <c r="R979" s="16"/>
      <c r="S979" s="16"/>
      <c r="T979" s="16"/>
      <c r="U979" s="16"/>
      <c r="V979" s="16"/>
      <c r="X979" s="16"/>
      <c r="AB979" s="16"/>
      <c r="AC979" s="16"/>
      <c r="AD979" s="16"/>
      <c r="AF979" s="16"/>
      <c r="AG979" s="16"/>
      <c r="AH979" s="16"/>
      <c r="AI979" s="16"/>
    </row>
    <row r="980" spans="1:35" s="18" customFormat="1" x14ac:dyDescent="0.25">
      <c r="A980" s="16"/>
      <c r="B980" s="16"/>
      <c r="C980" s="16"/>
      <c r="D980" s="17"/>
      <c r="E980" s="16"/>
      <c r="F980"/>
      <c r="G980"/>
      <c r="H980"/>
      <c r="J980" s="16"/>
      <c r="K980" s="16"/>
      <c r="L980" s="37"/>
      <c r="N980" s="16"/>
      <c r="O980" s="16"/>
      <c r="P980" s="16"/>
      <c r="Q980" s="16"/>
      <c r="R980" s="16"/>
      <c r="S980" s="16"/>
      <c r="T980" s="16"/>
      <c r="U980" s="16"/>
      <c r="V980" s="16"/>
      <c r="X980" s="16"/>
      <c r="AB980" s="16"/>
      <c r="AC980" s="16"/>
      <c r="AD980" s="16"/>
      <c r="AF980" s="16"/>
      <c r="AG980" s="16"/>
      <c r="AH980" s="16"/>
      <c r="AI980" s="16"/>
    </row>
    <row r="981" spans="1:35" s="18" customFormat="1" x14ac:dyDescent="0.25">
      <c r="A981" s="16"/>
      <c r="B981" s="16"/>
      <c r="C981" s="16"/>
      <c r="D981" s="17"/>
      <c r="E981" s="16"/>
      <c r="F981"/>
      <c r="G981"/>
      <c r="H981"/>
      <c r="J981" s="16"/>
      <c r="K981" s="16"/>
      <c r="L981" s="37"/>
      <c r="N981" s="16"/>
      <c r="O981" s="16"/>
      <c r="P981" s="16"/>
      <c r="Q981" s="16"/>
      <c r="R981" s="16"/>
      <c r="S981" s="16"/>
      <c r="T981" s="16"/>
      <c r="U981" s="16"/>
      <c r="V981" s="16"/>
      <c r="X981" s="16"/>
      <c r="AB981" s="16"/>
      <c r="AC981" s="16"/>
      <c r="AD981" s="16"/>
      <c r="AF981" s="16"/>
      <c r="AG981" s="16"/>
      <c r="AH981" s="16"/>
      <c r="AI981" s="16"/>
    </row>
    <row r="982" spans="1:35" s="18" customFormat="1" x14ac:dyDescent="0.25">
      <c r="A982" s="16"/>
      <c r="B982" s="16"/>
      <c r="C982" s="16"/>
      <c r="D982" s="17"/>
      <c r="E982" s="16"/>
      <c r="F982"/>
      <c r="G982"/>
      <c r="H982"/>
      <c r="J982" s="16"/>
      <c r="K982" s="16"/>
      <c r="L982" s="37"/>
      <c r="N982" s="16"/>
      <c r="O982" s="16"/>
      <c r="P982" s="16"/>
      <c r="Q982" s="16"/>
      <c r="R982" s="16"/>
      <c r="S982" s="16"/>
      <c r="T982" s="16"/>
      <c r="U982" s="16"/>
      <c r="V982" s="16"/>
      <c r="X982" s="16"/>
      <c r="AB982" s="16"/>
      <c r="AC982" s="16"/>
      <c r="AD982" s="16"/>
      <c r="AF982" s="16"/>
      <c r="AG982" s="16"/>
      <c r="AH982" s="16"/>
      <c r="AI982" s="16"/>
    </row>
    <row r="983" spans="1:35" s="18" customFormat="1" x14ac:dyDescent="0.25">
      <c r="A983" s="16"/>
      <c r="B983" s="16"/>
      <c r="C983" s="16"/>
      <c r="D983" s="17"/>
      <c r="E983" s="16"/>
      <c r="F983"/>
      <c r="G983"/>
      <c r="H983"/>
      <c r="J983" s="16"/>
      <c r="K983" s="16"/>
      <c r="L983" s="37"/>
      <c r="N983" s="16"/>
      <c r="O983" s="16"/>
      <c r="P983" s="16"/>
      <c r="Q983" s="16"/>
      <c r="R983" s="16"/>
      <c r="S983" s="16"/>
      <c r="T983" s="16"/>
      <c r="U983" s="16"/>
      <c r="V983" s="16"/>
      <c r="X983" s="16"/>
      <c r="AB983" s="16"/>
      <c r="AC983" s="16"/>
      <c r="AD983" s="16"/>
      <c r="AF983" s="16"/>
      <c r="AG983" s="16"/>
      <c r="AH983" s="16"/>
      <c r="AI983" s="16"/>
    </row>
    <row r="984" spans="1:35" s="18" customFormat="1" x14ac:dyDescent="0.25">
      <c r="A984" s="16"/>
      <c r="B984" s="16"/>
      <c r="C984" s="16"/>
      <c r="D984" s="17"/>
      <c r="E984" s="16"/>
      <c r="F984"/>
      <c r="G984"/>
      <c r="H984"/>
      <c r="J984" s="16"/>
      <c r="K984" s="16"/>
      <c r="L984" s="37"/>
      <c r="N984" s="16"/>
      <c r="O984" s="16"/>
      <c r="P984" s="16"/>
      <c r="Q984" s="16"/>
      <c r="R984" s="16"/>
      <c r="S984" s="16"/>
      <c r="T984" s="16"/>
      <c r="U984" s="16"/>
      <c r="V984" s="16"/>
      <c r="X984" s="16"/>
      <c r="AB984" s="16"/>
      <c r="AC984" s="16"/>
      <c r="AD984" s="16"/>
      <c r="AF984" s="16"/>
      <c r="AG984" s="16"/>
      <c r="AH984" s="16"/>
      <c r="AI984" s="16"/>
    </row>
    <row r="985" spans="1:35" s="18" customFormat="1" x14ac:dyDescent="0.25">
      <c r="A985" s="16"/>
      <c r="B985" s="16"/>
      <c r="C985" s="16"/>
      <c r="D985" s="17"/>
      <c r="E985" s="16"/>
      <c r="F985"/>
      <c r="G985"/>
      <c r="H985"/>
      <c r="J985" s="16"/>
      <c r="K985" s="16"/>
      <c r="L985" s="37"/>
      <c r="N985" s="16"/>
      <c r="O985" s="16"/>
      <c r="P985" s="16"/>
      <c r="Q985" s="16"/>
      <c r="R985" s="16"/>
      <c r="S985" s="16"/>
      <c r="T985" s="16"/>
      <c r="U985" s="16"/>
      <c r="V985" s="16"/>
      <c r="X985" s="16"/>
      <c r="AB985" s="16"/>
      <c r="AC985" s="16"/>
      <c r="AD985" s="16"/>
      <c r="AF985" s="16"/>
      <c r="AG985" s="16"/>
      <c r="AH985" s="16"/>
      <c r="AI985" s="16"/>
    </row>
    <row r="986" spans="1:35" s="18" customFormat="1" x14ac:dyDescent="0.25">
      <c r="A986" s="16"/>
      <c r="B986" s="16"/>
      <c r="C986" s="16"/>
      <c r="D986" s="17"/>
      <c r="E986" s="16"/>
      <c r="F986"/>
      <c r="G986"/>
      <c r="H986"/>
      <c r="J986" s="16"/>
      <c r="K986" s="16"/>
      <c r="L986" s="37"/>
      <c r="N986" s="16"/>
      <c r="O986" s="16"/>
      <c r="P986" s="16"/>
      <c r="Q986" s="16"/>
      <c r="R986" s="16"/>
      <c r="S986" s="16"/>
      <c r="T986" s="16"/>
      <c r="U986" s="16"/>
      <c r="V986" s="16"/>
      <c r="X986" s="16"/>
      <c r="AB986" s="16"/>
      <c r="AC986" s="16"/>
      <c r="AD986" s="16"/>
      <c r="AF986" s="16"/>
      <c r="AG986" s="16"/>
      <c r="AH986" s="16"/>
      <c r="AI986" s="16"/>
    </row>
    <row r="987" spans="1:35" s="18" customFormat="1" x14ac:dyDescent="0.25">
      <c r="A987" s="16"/>
      <c r="B987" s="16"/>
      <c r="C987" s="16"/>
      <c r="D987" s="17"/>
      <c r="E987" s="16"/>
      <c r="F987"/>
      <c r="G987"/>
      <c r="H987"/>
      <c r="J987" s="16"/>
      <c r="K987" s="16"/>
      <c r="L987" s="37"/>
      <c r="N987" s="16"/>
      <c r="O987" s="16"/>
      <c r="P987" s="16"/>
      <c r="Q987" s="16"/>
      <c r="R987" s="16"/>
      <c r="S987" s="16"/>
      <c r="T987" s="16"/>
      <c r="U987" s="16"/>
      <c r="V987" s="16"/>
      <c r="X987" s="16"/>
      <c r="AB987" s="16"/>
      <c r="AC987" s="16"/>
      <c r="AD987" s="16"/>
      <c r="AF987" s="16"/>
      <c r="AG987" s="16"/>
      <c r="AH987" s="16"/>
      <c r="AI987" s="16"/>
    </row>
    <row r="988" spans="1:35" s="18" customFormat="1" x14ac:dyDescent="0.25">
      <c r="A988" s="16"/>
      <c r="B988" s="16"/>
      <c r="C988" s="16"/>
      <c r="D988" s="17"/>
      <c r="E988" s="16"/>
      <c r="F988"/>
      <c r="G988"/>
      <c r="H988"/>
      <c r="J988" s="16"/>
      <c r="K988" s="16"/>
      <c r="L988" s="37"/>
      <c r="N988" s="16"/>
      <c r="O988" s="16"/>
      <c r="P988" s="16"/>
      <c r="Q988" s="16"/>
      <c r="R988" s="16"/>
      <c r="S988" s="16"/>
      <c r="T988" s="16"/>
      <c r="U988" s="16"/>
      <c r="V988" s="16"/>
      <c r="X988" s="16"/>
      <c r="AB988" s="16"/>
      <c r="AC988" s="16"/>
      <c r="AD988" s="16"/>
      <c r="AF988" s="16"/>
      <c r="AG988" s="16"/>
      <c r="AH988" s="16"/>
      <c r="AI988" s="16"/>
    </row>
    <row r="989" spans="1:35" s="18" customFormat="1" x14ac:dyDescent="0.25">
      <c r="A989" s="16"/>
      <c r="B989" s="16"/>
      <c r="C989" s="16"/>
      <c r="D989" s="17"/>
      <c r="E989" s="16"/>
      <c r="F989"/>
      <c r="G989"/>
      <c r="H989"/>
      <c r="J989" s="16"/>
      <c r="K989" s="16"/>
      <c r="L989" s="37"/>
      <c r="N989" s="16"/>
      <c r="O989" s="16"/>
      <c r="P989" s="16"/>
      <c r="Q989" s="16"/>
      <c r="R989" s="16"/>
      <c r="S989" s="16"/>
      <c r="T989" s="16"/>
      <c r="U989" s="16"/>
      <c r="V989" s="16"/>
      <c r="X989" s="16"/>
      <c r="AB989" s="16"/>
      <c r="AC989" s="16"/>
      <c r="AD989" s="16"/>
      <c r="AF989" s="16"/>
      <c r="AG989" s="16"/>
      <c r="AH989" s="16"/>
      <c r="AI989" s="16"/>
    </row>
    <row r="990" spans="1:35" s="18" customFormat="1" x14ac:dyDescent="0.25">
      <c r="A990" s="16"/>
      <c r="B990" s="16"/>
      <c r="C990" s="16"/>
      <c r="D990" s="17"/>
      <c r="E990" s="16"/>
      <c r="F990"/>
      <c r="G990"/>
      <c r="H990"/>
      <c r="J990" s="16"/>
      <c r="K990" s="16"/>
      <c r="L990" s="37"/>
      <c r="N990" s="16"/>
      <c r="O990" s="16"/>
      <c r="P990" s="16"/>
      <c r="Q990" s="16"/>
      <c r="R990" s="16"/>
      <c r="S990" s="16"/>
      <c r="T990" s="16"/>
      <c r="U990" s="16"/>
      <c r="V990" s="16"/>
      <c r="X990" s="16"/>
      <c r="AB990" s="16"/>
      <c r="AC990" s="16"/>
      <c r="AD990" s="16"/>
      <c r="AF990" s="16"/>
      <c r="AG990" s="16"/>
      <c r="AH990" s="16"/>
      <c r="AI990" s="16"/>
    </row>
    <row r="991" spans="1:35" s="18" customFormat="1" x14ac:dyDescent="0.25">
      <c r="A991" s="16"/>
      <c r="B991" s="16"/>
      <c r="C991" s="16"/>
      <c r="D991" s="17"/>
      <c r="E991" s="16"/>
      <c r="F991"/>
      <c r="G991"/>
      <c r="H991"/>
      <c r="J991" s="16"/>
      <c r="K991" s="16"/>
      <c r="L991" s="37"/>
      <c r="N991" s="16"/>
      <c r="O991" s="16"/>
      <c r="P991" s="16"/>
      <c r="Q991" s="16"/>
      <c r="R991" s="16"/>
      <c r="S991" s="16"/>
      <c r="T991" s="16"/>
      <c r="U991" s="16"/>
      <c r="V991" s="16"/>
      <c r="X991" s="16"/>
      <c r="AB991" s="16"/>
      <c r="AC991" s="16"/>
      <c r="AD991" s="16"/>
      <c r="AF991" s="16"/>
      <c r="AG991" s="16"/>
      <c r="AH991" s="16"/>
      <c r="AI991" s="16"/>
    </row>
    <row r="992" spans="1:35" s="18" customFormat="1" x14ac:dyDescent="0.25">
      <c r="A992" s="16"/>
      <c r="B992" s="16"/>
      <c r="C992" s="16"/>
      <c r="D992" s="17"/>
      <c r="E992" s="16"/>
      <c r="F992"/>
      <c r="G992"/>
      <c r="H992"/>
      <c r="J992" s="16"/>
      <c r="K992" s="16"/>
      <c r="L992" s="37"/>
      <c r="N992" s="16"/>
      <c r="O992" s="16"/>
      <c r="P992" s="16"/>
      <c r="Q992" s="16"/>
      <c r="R992" s="16"/>
      <c r="S992" s="16"/>
      <c r="T992" s="16"/>
      <c r="U992" s="16"/>
      <c r="V992" s="16"/>
      <c r="X992" s="16"/>
      <c r="AB992" s="16"/>
      <c r="AC992" s="16"/>
      <c r="AD992" s="16"/>
      <c r="AF992" s="16"/>
      <c r="AG992" s="16"/>
      <c r="AH992" s="16"/>
      <c r="AI992" s="16"/>
    </row>
    <row r="993" spans="1:35" s="18" customFormat="1" x14ac:dyDescent="0.25">
      <c r="A993" s="16"/>
      <c r="B993" s="16"/>
      <c r="C993" s="16"/>
      <c r="D993" s="17"/>
      <c r="E993" s="16"/>
      <c r="F993"/>
      <c r="G993"/>
      <c r="H993"/>
      <c r="J993" s="16"/>
      <c r="K993" s="16"/>
      <c r="L993" s="37"/>
      <c r="N993" s="16"/>
      <c r="O993" s="16"/>
      <c r="P993" s="16"/>
      <c r="Q993" s="16"/>
      <c r="R993" s="16"/>
      <c r="S993" s="16"/>
      <c r="T993" s="16"/>
      <c r="U993" s="16"/>
      <c r="V993" s="16"/>
      <c r="X993" s="16"/>
      <c r="AB993" s="16"/>
      <c r="AC993" s="16"/>
      <c r="AD993" s="16"/>
      <c r="AF993" s="16"/>
      <c r="AG993" s="16"/>
      <c r="AH993" s="16"/>
      <c r="AI993" s="16"/>
    </row>
    <row r="994" spans="1:35" s="18" customFormat="1" x14ac:dyDescent="0.25">
      <c r="A994" s="16"/>
      <c r="B994" s="16"/>
      <c r="C994" s="16"/>
      <c r="D994" s="17"/>
      <c r="E994" s="16"/>
      <c r="F994"/>
      <c r="G994"/>
      <c r="H994"/>
      <c r="J994" s="16"/>
      <c r="K994" s="16"/>
      <c r="L994" s="37"/>
      <c r="N994" s="16"/>
      <c r="O994" s="16"/>
      <c r="P994" s="16"/>
      <c r="Q994" s="16"/>
      <c r="R994" s="16"/>
      <c r="S994" s="16"/>
      <c r="T994" s="16"/>
      <c r="U994" s="16"/>
      <c r="V994" s="16"/>
      <c r="X994" s="16"/>
      <c r="AB994" s="16"/>
      <c r="AC994" s="16"/>
      <c r="AD994" s="16"/>
      <c r="AF994" s="16"/>
      <c r="AG994" s="16"/>
      <c r="AH994" s="16"/>
      <c r="AI994" s="16"/>
    </row>
    <row r="995" spans="1:35" s="18" customFormat="1" x14ac:dyDescent="0.25">
      <c r="A995" s="16"/>
      <c r="B995" s="16"/>
      <c r="C995" s="16"/>
      <c r="D995" s="17"/>
      <c r="E995" s="16"/>
      <c r="F995"/>
      <c r="G995"/>
      <c r="H995"/>
      <c r="J995" s="16"/>
      <c r="K995" s="16"/>
      <c r="L995" s="37"/>
      <c r="N995" s="16"/>
      <c r="O995" s="16"/>
      <c r="P995" s="16"/>
      <c r="Q995" s="16"/>
      <c r="R995" s="16"/>
      <c r="S995" s="16"/>
      <c r="T995" s="16"/>
      <c r="U995" s="16"/>
      <c r="V995" s="16"/>
      <c r="X995" s="16"/>
      <c r="AB995" s="16"/>
      <c r="AC995" s="16"/>
      <c r="AD995" s="16"/>
      <c r="AF995" s="16"/>
      <c r="AG995" s="16"/>
      <c r="AH995" s="16"/>
      <c r="AI995" s="16"/>
    </row>
    <row r="996" spans="1:35" s="18" customFormat="1" x14ac:dyDescent="0.25">
      <c r="A996" s="16"/>
      <c r="B996" s="16"/>
      <c r="C996" s="16"/>
      <c r="D996" s="17"/>
      <c r="E996" s="16"/>
      <c r="F996"/>
      <c r="G996"/>
      <c r="H996"/>
      <c r="J996" s="16"/>
      <c r="K996" s="16"/>
      <c r="L996" s="37"/>
      <c r="N996" s="16"/>
      <c r="O996" s="16"/>
      <c r="P996" s="16"/>
      <c r="Q996" s="16"/>
      <c r="R996" s="16"/>
      <c r="S996" s="16"/>
      <c r="T996" s="16"/>
      <c r="U996" s="16"/>
      <c r="V996" s="16"/>
      <c r="X996" s="16"/>
      <c r="AB996" s="16"/>
      <c r="AC996" s="16"/>
      <c r="AD996" s="16"/>
      <c r="AF996" s="16"/>
      <c r="AG996" s="16"/>
      <c r="AH996" s="16"/>
      <c r="AI996" s="16"/>
    </row>
    <row r="997" spans="1:35" s="18" customFormat="1" x14ac:dyDescent="0.25">
      <c r="A997" s="16"/>
      <c r="B997" s="16"/>
      <c r="C997" s="16"/>
      <c r="D997" s="17"/>
      <c r="E997" s="16"/>
      <c r="F997"/>
      <c r="G997"/>
      <c r="H997"/>
      <c r="J997" s="16"/>
      <c r="K997" s="16"/>
      <c r="L997" s="37"/>
      <c r="N997" s="16"/>
      <c r="O997" s="16"/>
      <c r="P997" s="16"/>
      <c r="Q997" s="16"/>
      <c r="R997" s="16"/>
      <c r="S997" s="16"/>
      <c r="T997" s="16"/>
      <c r="U997" s="16"/>
      <c r="V997" s="16"/>
      <c r="X997" s="16"/>
      <c r="AB997" s="16"/>
      <c r="AC997" s="16"/>
      <c r="AD997" s="16"/>
      <c r="AF997" s="16"/>
      <c r="AG997" s="16"/>
      <c r="AH997" s="16"/>
      <c r="AI997" s="16"/>
    </row>
    <row r="998" spans="1:35" s="18" customFormat="1" x14ac:dyDescent="0.25">
      <c r="A998" s="16"/>
      <c r="B998" s="16"/>
      <c r="C998" s="16"/>
      <c r="D998" s="17"/>
      <c r="E998" s="16"/>
      <c r="F998"/>
      <c r="G998"/>
      <c r="H998"/>
      <c r="J998" s="16"/>
      <c r="K998" s="16"/>
      <c r="L998" s="37"/>
      <c r="N998" s="16"/>
      <c r="O998" s="16"/>
      <c r="P998" s="16"/>
      <c r="Q998" s="16"/>
      <c r="R998" s="16"/>
      <c r="S998" s="16"/>
      <c r="T998" s="16"/>
      <c r="U998" s="16"/>
      <c r="V998" s="16"/>
      <c r="X998" s="16"/>
      <c r="AB998" s="16"/>
      <c r="AC998" s="16"/>
      <c r="AD998" s="16"/>
      <c r="AF998" s="16"/>
      <c r="AG998" s="16"/>
      <c r="AH998" s="16"/>
      <c r="AI998" s="16"/>
    </row>
    <row r="999" spans="1:35" s="18" customFormat="1" x14ac:dyDescent="0.25">
      <c r="A999" s="16"/>
      <c r="B999" s="16"/>
      <c r="C999" s="16"/>
      <c r="D999" s="17"/>
      <c r="E999" s="16"/>
      <c r="F999"/>
      <c r="G999"/>
      <c r="H999"/>
      <c r="J999" s="16"/>
      <c r="K999" s="16"/>
      <c r="L999" s="37"/>
      <c r="N999" s="16"/>
      <c r="O999" s="16"/>
      <c r="P999" s="16"/>
      <c r="Q999" s="16"/>
      <c r="R999" s="16"/>
      <c r="S999" s="16"/>
      <c r="T999" s="16"/>
      <c r="U999" s="16"/>
      <c r="V999" s="16"/>
      <c r="X999" s="16"/>
      <c r="AB999" s="16"/>
      <c r="AC999" s="16"/>
      <c r="AD999" s="16"/>
      <c r="AF999" s="16"/>
      <c r="AG999" s="16"/>
      <c r="AH999" s="16"/>
      <c r="AI999" s="16"/>
    </row>
    <row r="1000" spans="1:35" s="18" customFormat="1" x14ac:dyDescent="0.25">
      <c r="A1000" s="16"/>
      <c r="B1000" s="16"/>
      <c r="C1000" s="16"/>
      <c r="D1000" s="17"/>
      <c r="E1000" s="16"/>
      <c r="F1000"/>
      <c r="G1000"/>
      <c r="H1000"/>
      <c r="J1000" s="16"/>
      <c r="K1000" s="16"/>
      <c r="L1000" s="37"/>
      <c r="N1000" s="16"/>
      <c r="O1000" s="16"/>
      <c r="P1000" s="16"/>
      <c r="Q1000" s="16"/>
      <c r="R1000" s="16"/>
      <c r="S1000" s="16"/>
      <c r="T1000" s="16"/>
      <c r="U1000" s="16"/>
      <c r="V1000" s="16"/>
      <c r="X1000" s="16"/>
      <c r="AB1000" s="16"/>
      <c r="AC1000" s="16"/>
      <c r="AD1000" s="16"/>
      <c r="AF1000" s="16"/>
      <c r="AG1000" s="16"/>
      <c r="AH1000" s="16"/>
      <c r="AI1000" s="16"/>
    </row>
    <row r="1001" spans="1:35" s="18" customFormat="1" x14ac:dyDescent="0.25">
      <c r="A1001" s="16"/>
      <c r="B1001" s="16"/>
      <c r="C1001" s="16"/>
      <c r="D1001" s="17"/>
      <c r="E1001" s="16"/>
      <c r="F1001"/>
      <c r="G1001"/>
      <c r="H1001"/>
      <c r="J1001" s="16"/>
      <c r="K1001" s="16"/>
      <c r="L1001" s="37"/>
      <c r="N1001" s="16"/>
      <c r="O1001" s="16"/>
      <c r="P1001" s="16"/>
      <c r="Q1001" s="16"/>
      <c r="R1001" s="16"/>
      <c r="S1001" s="16"/>
      <c r="T1001" s="16"/>
      <c r="U1001" s="16"/>
      <c r="V1001" s="16"/>
      <c r="X1001" s="16"/>
      <c r="AB1001" s="16"/>
      <c r="AC1001" s="16"/>
      <c r="AD1001" s="16"/>
      <c r="AF1001" s="16"/>
      <c r="AG1001" s="16"/>
      <c r="AH1001" s="16"/>
      <c r="AI1001" s="16"/>
    </row>
    <row r="1002" spans="1:35" s="18" customFormat="1" x14ac:dyDescent="0.25">
      <c r="A1002" s="16"/>
      <c r="B1002" s="16"/>
      <c r="C1002" s="16"/>
      <c r="D1002" s="17"/>
      <c r="E1002" s="16"/>
      <c r="F1002"/>
      <c r="G1002"/>
      <c r="H1002"/>
      <c r="J1002" s="16"/>
      <c r="K1002" s="16"/>
      <c r="L1002" s="37"/>
      <c r="N1002" s="16"/>
      <c r="O1002" s="16"/>
      <c r="P1002" s="16"/>
      <c r="Q1002" s="16"/>
      <c r="R1002" s="16"/>
      <c r="S1002" s="16"/>
      <c r="T1002" s="16"/>
      <c r="U1002" s="16"/>
      <c r="V1002" s="16"/>
      <c r="X1002" s="16"/>
      <c r="AB1002" s="16"/>
      <c r="AC1002" s="16"/>
      <c r="AD1002" s="16"/>
      <c r="AF1002" s="16"/>
      <c r="AG1002" s="16"/>
      <c r="AH1002" s="16"/>
      <c r="AI1002" s="16"/>
    </row>
    <row r="1003" spans="1:35" s="18" customFormat="1" x14ac:dyDescent="0.25">
      <c r="A1003" s="16"/>
      <c r="B1003" s="16"/>
      <c r="C1003" s="16"/>
      <c r="D1003" s="17"/>
      <c r="E1003" s="16"/>
      <c r="F1003"/>
      <c r="G1003"/>
      <c r="H1003"/>
      <c r="J1003" s="16"/>
      <c r="K1003" s="16"/>
      <c r="L1003" s="37"/>
      <c r="N1003" s="16"/>
      <c r="O1003" s="16"/>
      <c r="P1003" s="16"/>
      <c r="Q1003" s="16"/>
      <c r="R1003" s="16"/>
      <c r="S1003" s="16"/>
      <c r="T1003" s="16"/>
      <c r="U1003" s="16"/>
      <c r="V1003" s="16"/>
      <c r="X1003" s="16"/>
      <c r="AB1003" s="16"/>
      <c r="AC1003" s="16"/>
      <c r="AD1003" s="16"/>
      <c r="AF1003" s="16"/>
      <c r="AG1003" s="16"/>
      <c r="AH1003" s="16"/>
      <c r="AI1003" s="16"/>
    </row>
    <row r="1004" spans="1:35" s="18" customFormat="1" x14ac:dyDescent="0.25">
      <c r="A1004" s="16"/>
      <c r="B1004" s="16"/>
      <c r="C1004" s="16"/>
      <c r="D1004" s="17"/>
      <c r="E1004" s="16"/>
      <c r="F1004"/>
      <c r="G1004"/>
      <c r="H1004"/>
      <c r="J1004" s="16"/>
      <c r="K1004" s="16"/>
      <c r="L1004" s="37"/>
      <c r="N1004" s="16"/>
      <c r="O1004" s="16"/>
      <c r="P1004" s="16"/>
      <c r="Q1004" s="16"/>
      <c r="R1004" s="16"/>
      <c r="S1004" s="16"/>
      <c r="T1004" s="16"/>
      <c r="U1004" s="16"/>
      <c r="V1004" s="16"/>
      <c r="X1004" s="16"/>
      <c r="AB1004" s="16"/>
      <c r="AC1004" s="16"/>
      <c r="AD1004" s="16"/>
      <c r="AF1004" s="16"/>
      <c r="AG1004" s="16"/>
      <c r="AH1004" s="16"/>
      <c r="AI1004" s="16"/>
    </row>
    <row r="1005" spans="1:35" s="18" customFormat="1" x14ac:dyDescent="0.25">
      <c r="A1005" s="16"/>
      <c r="B1005" s="16"/>
      <c r="C1005" s="16"/>
      <c r="D1005" s="17"/>
      <c r="E1005" s="16"/>
      <c r="F1005"/>
      <c r="G1005"/>
      <c r="H1005"/>
      <c r="J1005" s="16"/>
      <c r="K1005" s="16"/>
      <c r="L1005" s="37"/>
      <c r="N1005" s="16"/>
      <c r="O1005" s="16"/>
      <c r="P1005" s="16"/>
      <c r="Q1005" s="16"/>
      <c r="R1005" s="16"/>
      <c r="S1005" s="16"/>
      <c r="T1005" s="16"/>
      <c r="U1005" s="16"/>
      <c r="V1005" s="16"/>
      <c r="X1005" s="16"/>
      <c r="AB1005" s="16"/>
      <c r="AC1005" s="16"/>
      <c r="AD1005" s="16"/>
      <c r="AF1005" s="16"/>
      <c r="AG1005" s="16"/>
      <c r="AH1005" s="16"/>
      <c r="AI1005" s="16"/>
    </row>
    <row r="1006" spans="1:35" s="18" customFormat="1" x14ac:dyDescent="0.25">
      <c r="A1006" s="16"/>
      <c r="B1006" s="16"/>
      <c r="C1006" s="16"/>
      <c r="D1006" s="17"/>
      <c r="E1006" s="16"/>
      <c r="F1006"/>
      <c r="G1006"/>
      <c r="H1006"/>
      <c r="J1006" s="16"/>
      <c r="K1006" s="16"/>
      <c r="L1006" s="37"/>
      <c r="N1006" s="16"/>
      <c r="O1006" s="16"/>
      <c r="P1006" s="16"/>
      <c r="Q1006" s="16"/>
      <c r="R1006" s="16"/>
      <c r="S1006" s="16"/>
      <c r="T1006" s="16"/>
      <c r="U1006" s="16"/>
      <c r="V1006" s="16"/>
      <c r="X1006" s="16"/>
      <c r="AB1006" s="16"/>
      <c r="AC1006" s="16"/>
      <c r="AD1006" s="16"/>
      <c r="AF1006" s="16"/>
      <c r="AG1006" s="16"/>
      <c r="AH1006" s="16"/>
      <c r="AI1006" s="16"/>
    </row>
    <row r="1007" spans="1:35" s="18" customFormat="1" x14ac:dyDescent="0.25">
      <c r="A1007" s="16"/>
      <c r="B1007" s="16"/>
      <c r="C1007" s="16"/>
      <c r="D1007" s="17"/>
      <c r="E1007" s="16"/>
      <c r="F1007"/>
      <c r="G1007"/>
      <c r="H1007"/>
      <c r="J1007" s="16"/>
      <c r="K1007" s="16"/>
      <c r="L1007" s="37"/>
      <c r="N1007" s="16"/>
      <c r="O1007" s="16"/>
      <c r="P1007" s="16"/>
      <c r="Q1007" s="16"/>
      <c r="R1007" s="16"/>
      <c r="S1007" s="16"/>
      <c r="T1007" s="16"/>
      <c r="U1007" s="16"/>
      <c r="V1007" s="16"/>
      <c r="X1007" s="16"/>
      <c r="AB1007" s="16"/>
      <c r="AC1007" s="16"/>
      <c r="AD1007" s="16"/>
      <c r="AF1007" s="16"/>
      <c r="AG1007" s="16"/>
      <c r="AH1007" s="16"/>
      <c r="AI1007" s="16"/>
    </row>
    <row r="1008" spans="1:35" s="18" customFormat="1" x14ac:dyDescent="0.25">
      <c r="A1008" s="16"/>
      <c r="B1008" s="16"/>
      <c r="C1008" s="16"/>
      <c r="D1008" s="17"/>
      <c r="E1008" s="16"/>
      <c r="F1008"/>
      <c r="G1008"/>
      <c r="H1008"/>
      <c r="J1008" s="16"/>
      <c r="K1008" s="16"/>
      <c r="L1008" s="37"/>
      <c r="N1008" s="16"/>
      <c r="O1008" s="16"/>
      <c r="P1008" s="16"/>
      <c r="Q1008" s="16"/>
      <c r="R1008" s="16"/>
      <c r="S1008" s="16"/>
      <c r="T1008" s="16"/>
      <c r="U1008" s="16"/>
      <c r="V1008" s="16"/>
      <c r="X1008" s="16"/>
      <c r="AB1008" s="16"/>
      <c r="AC1008" s="16"/>
      <c r="AD1008" s="16"/>
      <c r="AF1008" s="16"/>
      <c r="AG1008" s="16"/>
      <c r="AH1008" s="16"/>
      <c r="AI1008" s="16"/>
    </row>
    <row r="1009" spans="1:35" s="18" customFormat="1" x14ac:dyDescent="0.25">
      <c r="A1009" s="16"/>
      <c r="B1009" s="16"/>
      <c r="C1009" s="16"/>
      <c r="D1009" s="17"/>
      <c r="E1009" s="16"/>
      <c r="F1009"/>
      <c r="G1009"/>
      <c r="H1009"/>
      <c r="J1009" s="16"/>
      <c r="K1009" s="16"/>
      <c r="L1009" s="37"/>
      <c r="N1009" s="16"/>
      <c r="O1009" s="16"/>
      <c r="P1009" s="16"/>
      <c r="Q1009" s="16"/>
      <c r="R1009" s="16"/>
      <c r="S1009" s="16"/>
      <c r="T1009" s="16"/>
      <c r="U1009" s="16"/>
      <c r="V1009" s="16"/>
      <c r="X1009" s="16"/>
      <c r="AB1009" s="16"/>
      <c r="AC1009" s="16"/>
      <c r="AD1009" s="16"/>
      <c r="AF1009" s="16"/>
      <c r="AG1009" s="16"/>
      <c r="AH1009" s="16"/>
      <c r="AI1009" s="16"/>
    </row>
    <row r="1010" spans="1:35" s="18" customFormat="1" x14ac:dyDescent="0.25">
      <c r="A1010" s="16"/>
      <c r="B1010" s="16"/>
      <c r="C1010" s="16"/>
      <c r="D1010" s="17"/>
      <c r="E1010" s="16"/>
      <c r="F1010"/>
      <c r="G1010"/>
      <c r="H1010"/>
      <c r="J1010" s="16"/>
      <c r="K1010" s="16"/>
      <c r="L1010" s="37"/>
      <c r="N1010" s="16"/>
      <c r="O1010" s="16"/>
      <c r="P1010" s="16"/>
      <c r="Q1010" s="16"/>
      <c r="R1010" s="16"/>
      <c r="S1010" s="16"/>
      <c r="T1010" s="16"/>
      <c r="U1010" s="16"/>
      <c r="V1010" s="16"/>
      <c r="X1010" s="16"/>
      <c r="AB1010" s="16"/>
      <c r="AC1010" s="16"/>
      <c r="AD1010" s="16"/>
      <c r="AF1010" s="16"/>
      <c r="AG1010" s="16"/>
      <c r="AH1010" s="16"/>
      <c r="AI1010" s="16"/>
    </row>
    <row r="1011" spans="1:35" s="18" customFormat="1" x14ac:dyDescent="0.25">
      <c r="A1011" s="16"/>
      <c r="B1011" s="16"/>
      <c r="C1011" s="16"/>
      <c r="D1011" s="17"/>
      <c r="E1011" s="16"/>
      <c r="F1011"/>
      <c r="G1011"/>
      <c r="H1011"/>
      <c r="J1011" s="16"/>
      <c r="K1011" s="16"/>
      <c r="L1011" s="37"/>
      <c r="N1011" s="16"/>
      <c r="O1011" s="16"/>
      <c r="P1011" s="16"/>
      <c r="Q1011" s="16"/>
      <c r="R1011" s="16"/>
      <c r="S1011" s="16"/>
      <c r="T1011" s="16"/>
      <c r="U1011" s="16"/>
      <c r="V1011" s="16"/>
      <c r="X1011" s="16"/>
      <c r="AB1011" s="16"/>
      <c r="AC1011" s="16"/>
      <c r="AD1011" s="16"/>
      <c r="AF1011" s="16"/>
      <c r="AG1011" s="16"/>
      <c r="AH1011" s="16"/>
      <c r="AI1011" s="16"/>
    </row>
    <row r="1012" spans="1:35" s="18" customFormat="1" x14ac:dyDescent="0.25">
      <c r="A1012" s="16"/>
      <c r="B1012" s="16"/>
      <c r="C1012" s="16"/>
      <c r="D1012" s="17"/>
      <c r="E1012" s="16"/>
      <c r="F1012"/>
      <c r="G1012"/>
      <c r="H1012"/>
      <c r="J1012" s="16"/>
      <c r="K1012" s="16"/>
      <c r="L1012" s="37"/>
      <c r="N1012" s="16"/>
      <c r="O1012" s="16"/>
      <c r="P1012" s="16"/>
      <c r="Q1012" s="16"/>
      <c r="R1012" s="16"/>
      <c r="S1012" s="16"/>
      <c r="T1012" s="16"/>
      <c r="U1012" s="16"/>
      <c r="V1012" s="16"/>
      <c r="X1012" s="16"/>
      <c r="AB1012" s="16"/>
      <c r="AC1012" s="16"/>
      <c r="AD1012" s="16"/>
      <c r="AF1012" s="16"/>
      <c r="AG1012" s="16"/>
      <c r="AH1012" s="16"/>
      <c r="AI1012" s="16"/>
    </row>
    <row r="1013" spans="1:35" s="18" customFormat="1" x14ac:dyDescent="0.25">
      <c r="A1013" s="16"/>
      <c r="B1013" s="16"/>
      <c r="C1013" s="16"/>
      <c r="D1013" s="17"/>
      <c r="E1013" s="16"/>
      <c r="F1013"/>
      <c r="G1013"/>
      <c r="H1013"/>
      <c r="J1013" s="16"/>
      <c r="K1013" s="16"/>
      <c r="L1013" s="37"/>
      <c r="N1013" s="16"/>
      <c r="O1013" s="16"/>
      <c r="P1013" s="16"/>
      <c r="Q1013" s="16"/>
      <c r="R1013" s="16"/>
      <c r="S1013" s="16"/>
      <c r="T1013" s="16"/>
      <c r="U1013" s="16"/>
      <c r="V1013" s="16"/>
      <c r="X1013" s="16"/>
      <c r="AB1013" s="16"/>
      <c r="AC1013" s="16"/>
      <c r="AD1013" s="16"/>
      <c r="AF1013" s="16"/>
      <c r="AG1013" s="16"/>
      <c r="AH1013" s="16"/>
      <c r="AI1013" s="16"/>
    </row>
    <row r="1014" spans="1:35" s="18" customFormat="1" x14ac:dyDescent="0.25">
      <c r="A1014" s="16"/>
      <c r="B1014" s="16"/>
      <c r="C1014" s="16"/>
      <c r="D1014" s="17"/>
      <c r="E1014" s="16"/>
      <c r="F1014"/>
      <c r="G1014"/>
      <c r="H1014"/>
      <c r="J1014" s="16"/>
      <c r="K1014" s="16"/>
      <c r="L1014" s="37"/>
      <c r="N1014" s="16"/>
      <c r="O1014" s="16"/>
      <c r="P1014" s="16"/>
      <c r="Q1014" s="16"/>
      <c r="R1014" s="16"/>
      <c r="S1014" s="16"/>
      <c r="T1014" s="16"/>
      <c r="U1014" s="16"/>
      <c r="V1014" s="16"/>
      <c r="X1014" s="16"/>
      <c r="AB1014" s="16"/>
      <c r="AC1014" s="16"/>
      <c r="AD1014" s="16"/>
      <c r="AF1014" s="16"/>
      <c r="AG1014" s="16"/>
      <c r="AH1014" s="16"/>
      <c r="AI1014" s="16"/>
    </row>
    <row r="1015" spans="1:35" s="18" customFormat="1" x14ac:dyDescent="0.25">
      <c r="A1015" s="16"/>
      <c r="B1015" s="16"/>
      <c r="C1015" s="16"/>
      <c r="D1015" s="17"/>
      <c r="E1015" s="16"/>
      <c r="F1015"/>
      <c r="G1015"/>
      <c r="H1015"/>
      <c r="J1015" s="16"/>
      <c r="K1015" s="16"/>
      <c r="L1015" s="37"/>
      <c r="N1015" s="16"/>
      <c r="O1015" s="16"/>
      <c r="P1015" s="16"/>
      <c r="Q1015" s="16"/>
      <c r="R1015" s="16"/>
      <c r="S1015" s="16"/>
      <c r="T1015" s="16"/>
      <c r="U1015" s="16"/>
      <c r="V1015" s="16"/>
      <c r="X1015" s="16"/>
      <c r="AB1015" s="16"/>
      <c r="AC1015" s="16"/>
      <c r="AD1015" s="16"/>
      <c r="AF1015" s="16"/>
      <c r="AG1015" s="16"/>
      <c r="AH1015" s="16"/>
      <c r="AI1015" s="16"/>
    </row>
    <row r="1016" spans="1:35" s="18" customFormat="1" x14ac:dyDescent="0.25">
      <c r="A1016" s="16"/>
      <c r="B1016" s="16"/>
      <c r="C1016" s="16"/>
      <c r="D1016" s="17"/>
      <c r="E1016" s="16"/>
      <c r="F1016"/>
      <c r="G1016"/>
      <c r="H1016"/>
      <c r="J1016" s="16"/>
      <c r="K1016" s="16"/>
      <c r="L1016" s="37"/>
      <c r="N1016" s="16"/>
      <c r="O1016" s="16"/>
      <c r="P1016" s="16"/>
      <c r="Q1016" s="16"/>
      <c r="R1016" s="16"/>
      <c r="S1016" s="16"/>
      <c r="T1016" s="16"/>
      <c r="U1016" s="16"/>
      <c r="V1016" s="16"/>
      <c r="X1016" s="16"/>
      <c r="AB1016" s="16"/>
      <c r="AC1016" s="16"/>
      <c r="AD1016" s="16"/>
      <c r="AF1016" s="16"/>
      <c r="AG1016" s="16"/>
      <c r="AH1016" s="16"/>
      <c r="AI1016" s="16"/>
    </row>
    <row r="1017" spans="1:35" s="18" customFormat="1" x14ac:dyDescent="0.25">
      <c r="A1017" s="16"/>
      <c r="B1017" s="16"/>
      <c r="C1017" s="16"/>
      <c r="D1017" s="17"/>
      <c r="E1017" s="16"/>
      <c r="F1017"/>
      <c r="G1017"/>
      <c r="H1017"/>
      <c r="J1017" s="16"/>
      <c r="K1017" s="16"/>
      <c r="L1017" s="37"/>
      <c r="N1017" s="16"/>
      <c r="O1017" s="16"/>
      <c r="P1017" s="16"/>
      <c r="Q1017" s="16"/>
      <c r="R1017" s="16"/>
      <c r="S1017" s="16"/>
      <c r="T1017" s="16"/>
      <c r="U1017" s="16"/>
      <c r="V1017" s="16"/>
      <c r="X1017" s="16"/>
      <c r="AB1017" s="16"/>
      <c r="AC1017" s="16"/>
      <c r="AD1017" s="16"/>
      <c r="AF1017" s="16"/>
      <c r="AG1017" s="16"/>
      <c r="AH1017" s="16"/>
      <c r="AI1017" s="16"/>
    </row>
    <row r="1018" spans="1:35" s="18" customFormat="1" x14ac:dyDescent="0.25">
      <c r="A1018" s="16"/>
      <c r="B1018" s="16"/>
      <c r="C1018" s="16"/>
      <c r="D1018" s="17"/>
      <c r="E1018" s="16"/>
      <c r="F1018"/>
      <c r="G1018"/>
      <c r="H1018"/>
      <c r="J1018" s="16"/>
      <c r="K1018" s="16"/>
      <c r="L1018" s="37"/>
      <c r="N1018" s="16"/>
      <c r="O1018" s="16"/>
      <c r="P1018" s="16"/>
      <c r="Q1018" s="16"/>
      <c r="R1018" s="16"/>
      <c r="S1018" s="16"/>
      <c r="T1018" s="16"/>
      <c r="U1018" s="16"/>
      <c r="V1018" s="16"/>
      <c r="X1018" s="16"/>
      <c r="AB1018" s="16"/>
      <c r="AC1018" s="16"/>
      <c r="AD1018" s="16"/>
      <c r="AF1018" s="16"/>
      <c r="AG1018" s="16"/>
      <c r="AH1018" s="16"/>
      <c r="AI1018" s="16"/>
    </row>
    <row r="1019" spans="1:35" s="18" customFormat="1" x14ac:dyDescent="0.25">
      <c r="A1019" s="16"/>
      <c r="B1019" s="16"/>
      <c r="C1019" s="16"/>
      <c r="D1019" s="17"/>
      <c r="E1019" s="16"/>
      <c r="F1019"/>
      <c r="G1019"/>
      <c r="H1019"/>
      <c r="J1019" s="16"/>
      <c r="K1019" s="16"/>
      <c r="L1019" s="37"/>
      <c r="N1019" s="16"/>
      <c r="O1019" s="16"/>
      <c r="P1019" s="16"/>
      <c r="Q1019" s="16"/>
      <c r="R1019" s="16"/>
      <c r="S1019" s="16"/>
      <c r="T1019" s="16"/>
      <c r="U1019" s="16"/>
      <c r="V1019" s="16"/>
      <c r="X1019" s="16"/>
      <c r="AB1019" s="16"/>
      <c r="AC1019" s="16"/>
      <c r="AD1019" s="16"/>
      <c r="AF1019" s="16"/>
      <c r="AG1019" s="16"/>
      <c r="AH1019" s="16"/>
      <c r="AI1019" s="16"/>
    </row>
    <row r="1020" spans="1:35" s="18" customFormat="1" x14ac:dyDescent="0.25">
      <c r="A1020" s="16"/>
      <c r="B1020" s="16"/>
      <c r="C1020" s="16"/>
      <c r="D1020" s="17"/>
      <c r="E1020" s="16"/>
      <c r="F1020"/>
      <c r="G1020"/>
      <c r="H1020"/>
      <c r="J1020" s="16"/>
      <c r="K1020" s="16"/>
      <c r="L1020" s="37"/>
      <c r="N1020" s="16"/>
      <c r="O1020" s="16"/>
      <c r="P1020" s="16"/>
      <c r="Q1020" s="16"/>
      <c r="R1020" s="16"/>
      <c r="S1020" s="16"/>
      <c r="T1020" s="16"/>
      <c r="U1020" s="16"/>
      <c r="V1020" s="16"/>
      <c r="X1020" s="16"/>
      <c r="AB1020" s="16"/>
      <c r="AC1020" s="16"/>
      <c r="AD1020" s="16"/>
      <c r="AF1020" s="16"/>
      <c r="AG1020" s="16"/>
      <c r="AH1020" s="16"/>
      <c r="AI1020" s="16"/>
    </row>
    <row r="1021" spans="1:35" s="18" customFormat="1" x14ac:dyDescent="0.25">
      <c r="A1021" s="16"/>
      <c r="B1021" s="16"/>
      <c r="C1021" s="16"/>
      <c r="D1021" s="17"/>
      <c r="E1021" s="16"/>
      <c r="F1021"/>
      <c r="G1021"/>
      <c r="H1021"/>
      <c r="J1021" s="16"/>
      <c r="K1021" s="16"/>
      <c r="L1021" s="37"/>
      <c r="N1021" s="16"/>
      <c r="O1021" s="16"/>
      <c r="P1021" s="16"/>
      <c r="Q1021" s="16"/>
      <c r="R1021" s="16"/>
      <c r="S1021" s="16"/>
      <c r="T1021" s="16"/>
      <c r="U1021" s="16"/>
      <c r="V1021" s="16"/>
      <c r="X1021" s="16"/>
      <c r="AB1021" s="16"/>
      <c r="AC1021" s="16"/>
      <c r="AD1021" s="16"/>
      <c r="AF1021" s="16"/>
      <c r="AG1021" s="16"/>
      <c r="AH1021" s="16"/>
      <c r="AI1021" s="16"/>
    </row>
    <row r="1022" spans="1:35" s="18" customFormat="1" x14ac:dyDescent="0.25">
      <c r="A1022" s="16"/>
      <c r="B1022" s="16"/>
      <c r="C1022" s="16"/>
      <c r="D1022" s="17"/>
      <c r="E1022" s="16"/>
      <c r="F1022"/>
      <c r="G1022"/>
      <c r="H1022"/>
      <c r="J1022" s="16"/>
      <c r="K1022" s="16"/>
      <c r="L1022" s="37"/>
      <c r="N1022" s="16"/>
      <c r="O1022" s="16"/>
      <c r="P1022" s="16"/>
      <c r="Q1022" s="16"/>
      <c r="R1022" s="16"/>
      <c r="S1022" s="16"/>
      <c r="T1022" s="16"/>
      <c r="U1022" s="16"/>
      <c r="V1022" s="16"/>
      <c r="X1022" s="16"/>
      <c r="AB1022" s="16"/>
      <c r="AC1022" s="16"/>
      <c r="AD1022" s="16"/>
      <c r="AF1022" s="16"/>
      <c r="AG1022" s="16"/>
      <c r="AH1022" s="16"/>
      <c r="AI1022" s="16"/>
    </row>
    <row r="1023" spans="1:35" s="18" customFormat="1" x14ac:dyDescent="0.25">
      <c r="A1023" s="16"/>
      <c r="B1023" s="16"/>
      <c r="C1023" s="16"/>
      <c r="D1023" s="17"/>
      <c r="E1023" s="16"/>
      <c r="F1023"/>
      <c r="G1023"/>
      <c r="H1023"/>
      <c r="J1023" s="16"/>
      <c r="K1023" s="16"/>
      <c r="L1023" s="37"/>
      <c r="N1023" s="16"/>
      <c r="O1023" s="16"/>
      <c r="P1023" s="16"/>
      <c r="Q1023" s="16"/>
      <c r="R1023" s="16"/>
      <c r="S1023" s="16"/>
      <c r="T1023" s="16"/>
      <c r="U1023" s="16"/>
      <c r="V1023" s="16"/>
      <c r="X1023" s="16"/>
      <c r="AB1023" s="16"/>
      <c r="AC1023" s="16"/>
      <c r="AD1023" s="16"/>
      <c r="AF1023" s="16"/>
      <c r="AG1023" s="16"/>
      <c r="AH1023" s="16"/>
      <c r="AI1023" s="16"/>
    </row>
    <row r="1024" spans="1:35" s="18" customFormat="1" x14ac:dyDescent="0.25">
      <c r="A1024" s="16"/>
      <c r="B1024" s="16"/>
      <c r="C1024" s="16"/>
      <c r="D1024" s="17"/>
      <c r="E1024" s="16"/>
      <c r="F1024"/>
      <c r="G1024"/>
      <c r="H1024"/>
      <c r="J1024" s="16"/>
      <c r="K1024" s="16"/>
      <c r="L1024" s="37"/>
      <c r="N1024" s="16"/>
      <c r="O1024" s="16"/>
      <c r="P1024" s="16"/>
      <c r="Q1024" s="16"/>
      <c r="R1024" s="16"/>
      <c r="S1024" s="16"/>
      <c r="T1024" s="16"/>
      <c r="U1024" s="16"/>
      <c r="V1024" s="16"/>
      <c r="X1024" s="16"/>
      <c r="AB1024" s="16"/>
      <c r="AC1024" s="16"/>
      <c r="AD1024" s="16"/>
      <c r="AF1024" s="16"/>
      <c r="AG1024" s="16"/>
      <c r="AH1024" s="16"/>
      <c r="AI1024" s="16"/>
    </row>
    <row r="1025" spans="1:35" s="18" customFormat="1" x14ac:dyDescent="0.25">
      <c r="A1025" s="16"/>
      <c r="B1025" s="16"/>
      <c r="C1025" s="16"/>
      <c r="D1025" s="17"/>
      <c r="E1025" s="16"/>
      <c r="F1025"/>
      <c r="G1025"/>
      <c r="H1025"/>
      <c r="J1025" s="16"/>
      <c r="K1025" s="16"/>
      <c r="L1025" s="37"/>
      <c r="N1025" s="16"/>
      <c r="O1025" s="16"/>
      <c r="P1025" s="16"/>
      <c r="Q1025" s="16"/>
      <c r="R1025" s="16"/>
      <c r="S1025" s="16"/>
      <c r="T1025" s="16"/>
      <c r="U1025" s="16"/>
      <c r="V1025" s="16"/>
      <c r="X1025" s="16"/>
      <c r="AB1025" s="16"/>
      <c r="AC1025" s="16"/>
      <c r="AD1025" s="16"/>
      <c r="AF1025" s="16"/>
      <c r="AG1025" s="16"/>
      <c r="AH1025" s="16"/>
      <c r="AI1025" s="16"/>
    </row>
    <row r="1026" spans="1:35" s="18" customFormat="1" x14ac:dyDescent="0.25">
      <c r="A1026" s="16"/>
      <c r="B1026" s="16"/>
      <c r="C1026" s="16"/>
      <c r="D1026" s="17"/>
      <c r="E1026" s="16"/>
      <c r="F1026"/>
      <c r="G1026"/>
      <c r="H1026"/>
      <c r="J1026" s="16"/>
      <c r="K1026" s="16"/>
      <c r="L1026" s="37"/>
      <c r="N1026" s="16"/>
      <c r="O1026" s="16"/>
      <c r="P1026" s="16"/>
      <c r="Q1026" s="16"/>
      <c r="R1026" s="16"/>
      <c r="S1026" s="16"/>
      <c r="T1026" s="16"/>
      <c r="U1026" s="16"/>
      <c r="V1026" s="16"/>
      <c r="X1026" s="16"/>
      <c r="AB1026" s="16"/>
      <c r="AC1026" s="16"/>
      <c r="AD1026" s="16"/>
      <c r="AF1026" s="16"/>
      <c r="AG1026" s="16"/>
      <c r="AH1026" s="16"/>
      <c r="AI1026" s="16"/>
    </row>
    <row r="1027" spans="1:35" s="18" customFormat="1" x14ac:dyDescent="0.25">
      <c r="A1027" s="16"/>
      <c r="B1027" s="16"/>
      <c r="C1027" s="16"/>
      <c r="D1027" s="17"/>
      <c r="E1027" s="16"/>
      <c r="F1027"/>
      <c r="G1027"/>
      <c r="H1027"/>
      <c r="J1027" s="16"/>
      <c r="K1027" s="16"/>
      <c r="L1027" s="37"/>
      <c r="N1027" s="16"/>
      <c r="O1027" s="16"/>
      <c r="P1027" s="16"/>
      <c r="Q1027" s="16"/>
      <c r="R1027" s="16"/>
      <c r="S1027" s="16"/>
      <c r="T1027" s="16"/>
      <c r="U1027" s="16"/>
      <c r="V1027" s="16"/>
      <c r="X1027" s="16"/>
      <c r="AB1027" s="16"/>
      <c r="AC1027" s="16"/>
      <c r="AD1027" s="16"/>
      <c r="AF1027" s="16"/>
      <c r="AG1027" s="16"/>
      <c r="AH1027" s="16"/>
      <c r="AI1027" s="16"/>
    </row>
    <row r="1028" spans="1:35" s="18" customFormat="1" x14ac:dyDescent="0.25">
      <c r="A1028" s="16"/>
      <c r="B1028" s="16"/>
      <c r="C1028" s="16"/>
      <c r="D1028" s="17"/>
      <c r="E1028" s="16"/>
      <c r="F1028"/>
      <c r="G1028"/>
      <c r="H1028"/>
      <c r="J1028" s="16"/>
      <c r="K1028" s="16"/>
      <c r="L1028" s="37"/>
      <c r="N1028" s="16"/>
      <c r="O1028" s="16"/>
      <c r="P1028" s="16"/>
      <c r="Q1028" s="16"/>
      <c r="R1028" s="16"/>
      <c r="S1028" s="16"/>
      <c r="T1028" s="16"/>
      <c r="U1028" s="16"/>
      <c r="V1028" s="16"/>
      <c r="X1028" s="16"/>
      <c r="AB1028" s="16"/>
      <c r="AC1028" s="16"/>
      <c r="AD1028" s="16"/>
      <c r="AF1028" s="16"/>
      <c r="AG1028" s="16"/>
      <c r="AH1028" s="16"/>
      <c r="AI1028" s="16"/>
    </row>
    <row r="1029" spans="1:35" s="18" customFormat="1" x14ac:dyDescent="0.25">
      <c r="A1029" s="16"/>
      <c r="B1029" s="16"/>
      <c r="C1029" s="16"/>
      <c r="D1029" s="17"/>
      <c r="E1029" s="16"/>
      <c r="F1029"/>
      <c r="G1029"/>
      <c r="H1029"/>
      <c r="J1029" s="16"/>
      <c r="K1029" s="16"/>
      <c r="L1029" s="37"/>
      <c r="N1029" s="16"/>
      <c r="O1029" s="16"/>
      <c r="P1029" s="16"/>
      <c r="Q1029" s="16"/>
      <c r="R1029" s="16"/>
      <c r="S1029" s="16"/>
      <c r="T1029" s="16"/>
      <c r="U1029" s="16"/>
      <c r="V1029" s="16"/>
      <c r="X1029" s="16"/>
      <c r="AB1029" s="16"/>
      <c r="AC1029" s="16"/>
      <c r="AD1029" s="16"/>
      <c r="AF1029" s="16"/>
      <c r="AG1029" s="16"/>
      <c r="AH1029" s="16"/>
      <c r="AI1029" s="16"/>
    </row>
    <row r="1030" spans="1:35" s="18" customFormat="1" x14ac:dyDescent="0.25">
      <c r="A1030" s="16"/>
      <c r="B1030" s="16"/>
      <c r="C1030" s="16"/>
      <c r="D1030" s="17"/>
      <c r="E1030" s="16"/>
      <c r="F1030"/>
      <c r="G1030"/>
      <c r="H1030"/>
      <c r="J1030" s="16"/>
      <c r="K1030" s="16"/>
      <c r="L1030" s="37"/>
      <c r="N1030" s="16"/>
      <c r="O1030" s="16"/>
      <c r="P1030" s="16"/>
      <c r="Q1030" s="16"/>
      <c r="R1030" s="16"/>
      <c r="S1030" s="16"/>
      <c r="T1030" s="16"/>
      <c r="U1030" s="16"/>
      <c r="V1030" s="16"/>
      <c r="X1030" s="16"/>
      <c r="AB1030" s="16"/>
      <c r="AC1030" s="16"/>
      <c r="AD1030" s="16"/>
      <c r="AF1030" s="16"/>
      <c r="AG1030" s="16"/>
      <c r="AH1030" s="16"/>
      <c r="AI1030" s="16"/>
    </row>
    <row r="1031" spans="1:35" s="18" customFormat="1" x14ac:dyDescent="0.25">
      <c r="A1031" s="16"/>
      <c r="B1031" s="16"/>
      <c r="C1031" s="16"/>
      <c r="D1031" s="17"/>
      <c r="E1031" s="16"/>
      <c r="F1031"/>
      <c r="G1031"/>
      <c r="H1031"/>
      <c r="J1031" s="16"/>
      <c r="K1031" s="16"/>
      <c r="L1031" s="37"/>
      <c r="N1031" s="16"/>
      <c r="O1031" s="16"/>
      <c r="P1031" s="16"/>
      <c r="Q1031" s="16"/>
      <c r="R1031" s="16"/>
      <c r="S1031" s="16"/>
      <c r="T1031" s="16"/>
      <c r="U1031" s="16"/>
      <c r="V1031" s="16"/>
      <c r="X1031" s="16"/>
      <c r="AB1031" s="16"/>
      <c r="AC1031" s="16"/>
      <c r="AD1031" s="16"/>
      <c r="AF1031" s="16"/>
      <c r="AG1031" s="16"/>
      <c r="AH1031" s="16"/>
      <c r="AI1031" s="16"/>
    </row>
    <row r="1032" spans="1:35" s="18" customFormat="1" x14ac:dyDescent="0.25">
      <c r="A1032" s="16"/>
      <c r="B1032" s="16"/>
      <c r="C1032" s="16"/>
      <c r="D1032" s="17"/>
      <c r="E1032" s="16"/>
      <c r="F1032"/>
      <c r="G1032"/>
      <c r="H1032"/>
      <c r="J1032" s="16"/>
      <c r="K1032" s="16"/>
      <c r="L1032" s="37"/>
      <c r="N1032" s="16"/>
      <c r="O1032" s="16"/>
      <c r="P1032" s="16"/>
      <c r="Q1032" s="16"/>
      <c r="R1032" s="16"/>
      <c r="S1032" s="16"/>
      <c r="T1032" s="16"/>
      <c r="U1032" s="16"/>
      <c r="V1032" s="16"/>
      <c r="X1032" s="16"/>
      <c r="AB1032" s="16"/>
      <c r="AC1032" s="16"/>
      <c r="AD1032" s="16"/>
      <c r="AF1032" s="16"/>
      <c r="AG1032" s="16"/>
      <c r="AH1032" s="16"/>
      <c r="AI1032" s="16"/>
    </row>
    <row r="1033" spans="1:35" s="18" customFormat="1" x14ac:dyDescent="0.25">
      <c r="A1033" s="16"/>
      <c r="B1033" s="16"/>
      <c r="C1033" s="16"/>
      <c r="D1033" s="17"/>
      <c r="E1033" s="16"/>
      <c r="F1033"/>
      <c r="G1033"/>
      <c r="H1033"/>
      <c r="J1033" s="16"/>
      <c r="K1033" s="16"/>
      <c r="L1033" s="37"/>
      <c r="N1033" s="16"/>
      <c r="O1033" s="16"/>
      <c r="P1033" s="16"/>
      <c r="Q1033" s="16"/>
      <c r="R1033" s="16"/>
      <c r="S1033" s="16"/>
      <c r="T1033" s="16"/>
      <c r="U1033" s="16"/>
      <c r="V1033" s="16"/>
      <c r="X1033" s="16"/>
      <c r="AB1033" s="16"/>
      <c r="AC1033" s="16"/>
      <c r="AD1033" s="16"/>
      <c r="AF1033" s="16"/>
      <c r="AG1033" s="16"/>
      <c r="AH1033" s="16"/>
      <c r="AI1033" s="16"/>
    </row>
    <row r="1034" spans="1:35" s="18" customFormat="1" x14ac:dyDescent="0.25">
      <c r="A1034" s="16"/>
      <c r="B1034" s="16"/>
      <c r="C1034" s="16"/>
      <c r="D1034" s="17"/>
      <c r="E1034" s="16"/>
      <c r="F1034"/>
      <c r="G1034"/>
      <c r="H1034"/>
      <c r="J1034" s="16"/>
      <c r="K1034" s="16"/>
      <c r="L1034" s="37"/>
      <c r="N1034" s="16"/>
      <c r="O1034" s="16"/>
      <c r="P1034" s="16"/>
      <c r="Q1034" s="16"/>
      <c r="R1034" s="16"/>
      <c r="S1034" s="16"/>
      <c r="T1034" s="16"/>
      <c r="U1034" s="16"/>
      <c r="V1034" s="16"/>
      <c r="X1034" s="16"/>
      <c r="AB1034" s="16"/>
      <c r="AC1034" s="16"/>
      <c r="AD1034" s="16"/>
      <c r="AF1034" s="16"/>
      <c r="AG1034" s="16"/>
      <c r="AH1034" s="16"/>
      <c r="AI1034" s="16"/>
    </row>
    <row r="1035" spans="1:35" s="18" customFormat="1" x14ac:dyDescent="0.25">
      <c r="A1035" s="16"/>
      <c r="B1035" s="16"/>
      <c r="C1035" s="16"/>
      <c r="D1035" s="17"/>
      <c r="E1035" s="16"/>
      <c r="F1035"/>
      <c r="G1035"/>
      <c r="H1035"/>
      <c r="J1035" s="16"/>
      <c r="K1035" s="16"/>
      <c r="L1035" s="37"/>
      <c r="N1035" s="16"/>
      <c r="O1035" s="16"/>
      <c r="P1035" s="16"/>
      <c r="Q1035" s="16"/>
      <c r="R1035" s="16"/>
      <c r="S1035" s="16"/>
      <c r="T1035" s="16"/>
      <c r="U1035" s="16"/>
      <c r="V1035" s="16"/>
      <c r="X1035" s="16"/>
      <c r="AB1035" s="16"/>
      <c r="AC1035" s="16"/>
      <c r="AD1035" s="16"/>
      <c r="AF1035" s="16"/>
      <c r="AG1035" s="16"/>
      <c r="AH1035" s="16"/>
      <c r="AI1035" s="16"/>
    </row>
    <row r="1036" spans="1:35" s="18" customFormat="1" x14ac:dyDescent="0.25">
      <c r="A1036" s="16"/>
      <c r="B1036" s="16"/>
      <c r="C1036" s="16"/>
      <c r="D1036" s="17"/>
      <c r="E1036" s="16"/>
      <c r="F1036"/>
      <c r="G1036"/>
      <c r="H1036"/>
      <c r="J1036" s="16"/>
      <c r="K1036" s="16"/>
      <c r="L1036" s="37"/>
      <c r="N1036" s="16"/>
      <c r="O1036" s="16"/>
      <c r="P1036" s="16"/>
      <c r="Q1036" s="16"/>
      <c r="R1036" s="16"/>
      <c r="S1036" s="16"/>
      <c r="T1036" s="16"/>
      <c r="U1036" s="16"/>
      <c r="V1036" s="16"/>
      <c r="X1036" s="16"/>
      <c r="AB1036" s="16"/>
      <c r="AC1036" s="16"/>
      <c r="AD1036" s="16"/>
      <c r="AF1036" s="16"/>
      <c r="AG1036" s="16"/>
      <c r="AH1036" s="16"/>
      <c r="AI1036" s="16"/>
    </row>
    <row r="1037" spans="1:35" s="18" customFormat="1" x14ac:dyDescent="0.25">
      <c r="A1037" s="16"/>
      <c r="B1037" s="16"/>
      <c r="C1037" s="16"/>
      <c r="D1037" s="17"/>
      <c r="E1037" s="16"/>
      <c r="F1037"/>
      <c r="G1037"/>
      <c r="H1037"/>
      <c r="J1037" s="16"/>
      <c r="K1037" s="16"/>
      <c r="L1037" s="37"/>
      <c r="N1037" s="16"/>
      <c r="O1037" s="16"/>
      <c r="P1037" s="16"/>
      <c r="Q1037" s="16"/>
      <c r="R1037" s="16"/>
      <c r="S1037" s="16"/>
      <c r="T1037" s="16"/>
      <c r="U1037" s="16"/>
      <c r="V1037" s="16"/>
      <c r="X1037" s="16"/>
      <c r="AB1037" s="16"/>
      <c r="AC1037" s="16"/>
      <c r="AD1037" s="16"/>
      <c r="AF1037" s="16"/>
      <c r="AG1037" s="16"/>
      <c r="AH1037" s="16"/>
      <c r="AI1037" s="16"/>
    </row>
    <row r="1038" spans="1:35" s="18" customFormat="1" x14ac:dyDescent="0.25">
      <c r="A1038" s="16"/>
      <c r="B1038" s="16"/>
      <c r="C1038" s="16"/>
      <c r="D1038" s="17"/>
      <c r="E1038" s="16"/>
      <c r="F1038"/>
      <c r="G1038"/>
      <c r="H1038"/>
      <c r="J1038" s="16"/>
      <c r="K1038" s="16"/>
      <c r="L1038" s="37"/>
      <c r="N1038" s="16"/>
      <c r="O1038" s="16"/>
      <c r="P1038" s="16"/>
      <c r="Q1038" s="16"/>
      <c r="R1038" s="16"/>
      <c r="S1038" s="16"/>
      <c r="T1038" s="16"/>
      <c r="U1038" s="16"/>
      <c r="V1038" s="16"/>
      <c r="X1038" s="16"/>
      <c r="AB1038" s="16"/>
      <c r="AC1038" s="16"/>
      <c r="AD1038" s="16"/>
      <c r="AF1038" s="16"/>
      <c r="AG1038" s="16"/>
      <c r="AH1038" s="16"/>
      <c r="AI1038" s="16"/>
    </row>
    <row r="1039" spans="1:35" s="18" customFormat="1" x14ac:dyDescent="0.25">
      <c r="A1039" s="16"/>
      <c r="B1039" s="16"/>
      <c r="C1039" s="16"/>
      <c r="D1039" s="17"/>
      <c r="E1039" s="16"/>
      <c r="F1039"/>
      <c r="G1039"/>
      <c r="H1039"/>
      <c r="J1039" s="16"/>
      <c r="K1039" s="16"/>
      <c r="L1039" s="37"/>
      <c r="N1039" s="16"/>
      <c r="O1039" s="16"/>
      <c r="P1039" s="16"/>
      <c r="Q1039" s="16"/>
      <c r="R1039" s="16"/>
      <c r="S1039" s="16"/>
      <c r="T1039" s="16"/>
      <c r="U1039" s="16"/>
      <c r="V1039" s="16"/>
      <c r="X1039" s="16"/>
      <c r="AB1039" s="16"/>
      <c r="AC1039" s="16"/>
      <c r="AD1039" s="16"/>
      <c r="AF1039" s="16"/>
      <c r="AG1039" s="16"/>
      <c r="AH1039" s="16"/>
      <c r="AI1039" s="16"/>
    </row>
    <row r="1040" spans="1:35" s="18" customFormat="1" x14ac:dyDescent="0.25">
      <c r="A1040" s="16"/>
      <c r="B1040" s="16"/>
      <c r="C1040" s="16"/>
      <c r="D1040" s="17"/>
      <c r="E1040" s="16"/>
      <c r="F1040"/>
      <c r="G1040"/>
      <c r="H1040"/>
      <c r="J1040" s="16"/>
      <c r="K1040" s="16"/>
      <c r="L1040" s="37"/>
      <c r="N1040" s="16"/>
      <c r="O1040" s="16"/>
      <c r="P1040" s="16"/>
      <c r="Q1040" s="16"/>
      <c r="R1040" s="16"/>
      <c r="S1040" s="16"/>
      <c r="T1040" s="16"/>
      <c r="U1040" s="16"/>
      <c r="V1040" s="16"/>
      <c r="X1040" s="16"/>
      <c r="AB1040" s="16"/>
      <c r="AC1040" s="16"/>
      <c r="AD1040" s="16"/>
      <c r="AF1040" s="16"/>
      <c r="AG1040" s="16"/>
      <c r="AH1040" s="16"/>
      <c r="AI1040" s="16"/>
    </row>
    <row r="1041" spans="1:35" s="18" customFormat="1" x14ac:dyDescent="0.25">
      <c r="A1041" s="16"/>
      <c r="B1041" s="16"/>
      <c r="C1041" s="16"/>
      <c r="D1041" s="17"/>
      <c r="E1041" s="16"/>
      <c r="F1041"/>
      <c r="G1041"/>
      <c r="H1041"/>
      <c r="J1041" s="16"/>
      <c r="K1041" s="16"/>
      <c r="L1041" s="37"/>
      <c r="N1041" s="16"/>
      <c r="O1041" s="16"/>
      <c r="P1041" s="16"/>
      <c r="Q1041" s="16"/>
      <c r="R1041" s="16"/>
      <c r="S1041" s="16"/>
      <c r="T1041" s="16"/>
      <c r="U1041" s="16"/>
      <c r="V1041" s="16"/>
      <c r="X1041" s="16"/>
      <c r="AB1041" s="16"/>
      <c r="AC1041" s="16"/>
      <c r="AD1041" s="16"/>
      <c r="AF1041" s="16"/>
      <c r="AG1041" s="16"/>
      <c r="AH1041" s="16"/>
      <c r="AI1041" s="16"/>
    </row>
    <row r="1042" spans="1:35" s="18" customFormat="1" x14ac:dyDescent="0.25">
      <c r="A1042" s="16"/>
      <c r="B1042" s="16"/>
      <c r="C1042" s="16"/>
      <c r="D1042" s="17"/>
      <c r="E1042" s="16"/>
      <c r="F1042"/>
      <c r="G1042"/>
      <c r="H1042"/>
      <c r="J1042" s="16"/>
      <c r="K1042" s="16"/>
      <c r="L1042" s="37"/>
      <c r="N1042" s="16"/>
      <c r="O1042" s="16"/>
      <c r="P1042" s="16"/>
      <c r="Q1042" s="16"/>
      <c r="R1042" s="16"/>
      <c r="S1042" s="16"/>
      <c r="T1042" s="16"/>
      <c r="U1042" s="16"/>
      <c r="V1042" s="16"/>
      <c r="X1042" s="16"/>
      <c r="AB1042" s="16"/>
      <c r="AC1042" s="16"/>
      <c r="AD1042" s="16"/>
      <c r="AF1042" s="16"/>
      <c r="AG1042" s="16"/>
      <c r="AH1042" s="16"/>
      <c r="AI1042" s="16"/>
    </row>
    <row r="1043" spans="1:35" s="18" customFormat="1" x14ac:dyDescent="0.25">
      <c r="A1043" s="16"/>
      <c r="B1043" s="16"/>
      <c r="C1043" s="16"/>
      <c r="D1043" s="17"/>
      <c r="E1043" s="16"/>
      <c r="F1043"/>
      <c r="G1043"/>
      <c r="H1043"/>
      <c r="J1043" s="16"/>
      <c r="K1043" s="16"/>
      <c r="L1043" s="37"/>
      <c r="N1043" s="16"/>
      <c r="O1043" s="16"/>
      <c r="P1043" s="16"/>
      <c r="Q1043" s="16"/>
      <c r="R1043" s="16"/>
      <c r="S1043" s="16"/>
      <c r="T1043" s="16"/>
      <c r="U1043" s="16"/>
      <c r="V1043" s="16"/>
      <c r="X1043" s="16"/>
      <c r="AB1043" s="16"/>
      <c r="AC1043" s="16"/>
      <c r="AD1043" s="16"/>
      <c r="AF1043" s="16"/>
      <c r="AG1043" s="16"/>
      <c r="AH1043" s="16"/>
      <c r="AI1043" s="16"/>
    </row>
    <row r="1044" spans="1:35" s="18" customFormat="1" x14ac:dyDescent="0.25">
      <c r="A1044" s="16"/>
      <c r="B1044" s="16"/>
      <c r="C1044" s="16"/>
      <c r="D1044" s="17"/>
      <c r="E1044" s="16"/>
      <c r="F1044"/>
      <c r="G1044"/>
      <c r="H1044"/>
      <c r="J1044" s="16"/>
      <c r="K1044" s="16"/>
      <c r="L1044" s="37"/>
      <c r="N1044" s="16"/>
      <c r="O1044" s="16"/>
      <c r="P1044" s="16"/>
      <c r="Q1044" s="16"/>
      <c r="R1044" s="16"/>
      <c r="S1044" s="16"/>
      <c r="T1044" s="16"/>
      <c r="U1044" s="16"/>
      <c r="V1044" s="16"/>
      <c r="X1044" s="16"/>
      <c r="AB1044" s="16"/>
      <c r="AC1044" s="16"/>
      <c r="AD1044" s="16"/>
      <c r="AF1044" s="16"/>
      <c r="AG1044" s="16"/>
      <c r="AH1044" s="16"/>
      <c r="AI1044" s="16"/>
    </row>
    <row r="1045" spans="1:35" s="18" customFormat="1" x14ac:dyDescent="0.25">
      <c r="A1045" s="16"/>
      <c r="B1045" s="16"/>
      <c r="C1045" s="16"/>
      <c r="D1045" s="17"/>
      <c r="E1045" s="16"/>
      <c r="F1045"/>
      <c r="G1045"/>
      <c r="H1045"/>
      <c r="J1045" s="16"/>
      <c r="K1045" s="16"/>
      <c r="L1045" s="37"/>
      <c r="N1045" s="16"/>
      <c r="O1045" s="16"/>
      <c r="P1045" s="16"/>
      <c r="Q1045" s="16"/>
      <c r="R1045" s="16"/>
      <c r="S1045" s="16"/>
      <c r="T1045" s="16"/>
      <c r="U1045" s="16"/>
      <c r="V1045" s="16"/>
      <c r="X1045" s="16"/>
      <c r="AB1045" s="16"/>
      <c r="AC1045" s="16"/>
      <c r="AD1045" s="16"/>
      <c r="AF1045" s="16"/>
      <c r="AG1045" s="16"/>
      <c r="AH1045" s="16"/>
      <c r="AI1045" s="16"/>
    </row>
    <row r="1046" spans="1:35" s="18" customFormat="1" x14ac:dyDescent="0.25">
      <c r="A1046" s="16"/>
      <c r="B1046" s="16"/>
      <c r="C1046" s="16"/>
      <c r="D1046" s="17"/>
      <c r="E1046" s="16"/>
      <c r="F1046"/>
      <c r="G1046"/>
      <c r="H1046"/>
      <c r="J1046" s="16"/>
      <c r="K1046" s="16"/>
      <c r="L1046" s="37"/>
      <c r="N1046" s="16"/>
      <c r="O1046" s="16"/>
      <c r="P1046" s="16"/>
      <c r="Q1046" s="16"/>
      <c r="R1046" s="16"/>
      <c r="S1046" s="16"/>
      <c r="T1046" s="16"/>
      <c r="U1046" s="16"/>
      <c r="V1046" s="16"/>
      <c r="X1046" s="16"/>
      <c r="AB1046" s="16"/>
      <c r="AC1046" s="16"/>
      <c r="AD1046" s="16"/>
      <c r="AF1046" s="16"/>
      <c r="AG1046" s="16"/>
      <c r="AH1046" s="16"/>
      <c r="AI1046" s="16"/>
    </row>
    <row r="1047" spans="1:35" s="18" customFormat="1" x14ac:dyDescent="0.25">
      <c r="A1047" s="16"/>
      <c r="B1047" s="16"/>
      <c r="C1047" s="16"/>
      <c r="D1047" s="17"/>
      <c r="E1047" s="16"/>
      <c r="F1047"/>
      <c r="G1047"/>
      <c r="H1047"/>
      <c r="J1047" s="16"/>
      <c r="K1047" s="16"/>
      <c r="L1047" s="37"/>
      <c r="N1047" s="16"/>
      <c r="O1047" s="16"/>
      <c r="P1047" s="16"/>
      <c r="Q1047" s="16"/>
      <c r="R1047" s="16"/>
      <c r="S1047" s="16"/>
      <c r="T1047" s="16"/>
      <c r="U1047" s="16"/>
      <c r="V1047" s="16"/>
      <c r="X1047" s="16"/>
      <c r="AB1047" s="16"/>
      <c r="AC1047" s="16"/>
      <c r="AD1047" s="16"/>
      <c r="AF1047" s="16"/>
      <c r="AG1047" s="16"/>
      <c r="AH1047" s="16"/>
      <c r="AI1047" s="16"/>
    </row>
    <row r="1048" spans="1:35" s="18" customFormat="1" x14ac:dyDescent="0.25">
      <c r="A1048" s="16"/>
      <c r="B1048" s="16"/>
      <c r="C1048" s="16"/>
      <c r="D1048" s="17"/>
      <c r="E1048" s="16"/>
      <c r="F1048"/>
      <c r="G1048"/>
      <c r="H1048"/>
      <c r="J1048" s="16"/>
      <c r="K1048" s="16"/>
      <c r="L1048" s="37"/>
      <c r="N1048" s="16"/>
      <c r="O1048" s="16"/>
      <c r="P1048" s="16"/>
      <c r="Q1048" s="16"/>
      <c r="R1048" s="16"/>
      <c r="S1048" s="16"/>
      <c r="T1048" s="16"/>
      <c r="U1048" s="16"/>
      <c r="V1048" s="16"/>
      <c r="X1048" s="16"/>
      <c r="AB1048" s="16"/>
      <c r="AC1048" s="16"/>
      <c r="AD1048" s="16"/>
      <c r="AF1048" s="16"/>
      <c r="AG1048" s="16"/>
      <c r="AH1048" s="16"/>
      <c r="AI1048" s="16"/>
    </row>
    <row r="1049" spans="1:35" s="18" customFormat="1" x14ac:dyDescent="0.25">
      <c r="A1049" s="16"/>
      <c r="B1049" s="16"/>
      <c r="C1049" s="16"/>
      <c r="D1049" s="17"/>
      <c r="E1049" s="16"/>
      <c r="F1049"/>
      <c r="G1049"/>
      <c r="H1049"/>
      <c r="J1049" s="16"/>
      <c r="K1049" s="16"/>
      <c r="L1049" s="37"/>
      <c r="N1049" s="16"/>
      <c r="O1049" s="16"/>
      <c r="P1049" s="16"/>
      <c r="Q1049" s="16"/>
      <c r="R1049" s="16"/>
      <c r="S1049" s="16"/>
      <c r="T1049" s="16"/>
      <c r="U1049" s="16"/>
      <c r="V1049" s="16"/>
      <c r="X1049" s="16"/>
      <c r="AB1049" s="16"/>
      <c r="AC1049" s="16"/>
      <c r="AD1049" s="16"/>
      <c r="AF1049" s="16"/>
      <c r="AG1049" s="16"/>
      <c r="AH1049" s="16"/>
      <c r="AI1049" s="16"/>
    </row>
    <row r="1050" spans="1:35" s="18" customFormat="1" x14ac:dyDescent="0.25">
      <c r="A1050" s="16"/>
      <c r="B1050" s="16"/>
      <c r="C1050" s="16"/>
      <c r="D1050" s="17"/>
      <c r="E1050" s="16"/>
      <c r="F1050"/>
      <c r="G1050"/>
      <c r="H1050"/>
      <c r="J1050" s="16"/>
      <c r="K1050" s="16"/>
      <c r="L1050" s="37"/>
      <c r="N1050" s="16"/>
      <c r="O1050" s="16"/>
      <c r="P1050" s="16"/>
      <c r="Q1050" s="16"/>
      <c r="R1050" s="16"/>
      <c r="S1050" s="16"/>
      <c r="T1050" s="16"/>
      <c r="U1050" s="16"/>
      <c r="V1050" s="16"/>
      <c r="X1050" s="16"/>
      <c r="AB1050" s="16"/>
      <c r="AC1050" s="16"/>
      <c r="AD1050" s="16"/>
      <c r="AF1050" s="16"/>
      <c r="AG1050" s="16"/>
      <c r="AH1050" s="16"/>
      <c r="AI1050" s="16"/>
    </row>
    <row r="1051" spans="1:35" s="18" customFormat="1" x14ac:dyDescent="0.25">
      <c r="A1051" s="16"/>
      <c r="B1051" s="16"/>
      <c r="C1051" s="16"/>
      <c r="D1051" s="17"/>
      <c r="E1051" s="16"/>
      <c r="F1051"/>
      <c r="G1051"/>
      <c r="H1051"/>
      <c r="J1051" s="16"/>
      <c r="K1051" s="16"/>
      <c r="L1051" s="37"/>
      <c r="N1051" s="16"/>
      <c r="O1051" s="16"/>
      <c r="P1051" s="16"/>
      <c r="Q1051" s="16"/>
      <c r="R1051" s="16"/>
      <c r="S1051" s="16"/>
      <c r="T1051" s="16"/>
      <c r="U1051" s="16"/>
      <c r="V1051" s="16"/>
      <c r="X1051" s="16"/>
      <c r="AB1051" s="16"/>
      <c r="AC1051" s="16"/>
      <c r="AD1051" s="16"/>
      <c r="AF1051" s="16"/>
      <c r="AG1051" s="16"/>
      <c r="AH1051" s="16"/>
      <c r="AI1051" s="16"/>
    </row>
    <row r="1052" spans="1:35" s="18" customFormat="1" x14ac:dyDescent="0.25">
      <c r="A1052" s="16"/>
      <c r="B1052" s="16"/>
      <c r="C1052" s="16"/>
      <c r="D1052" s="17"/>
      <c r="E1052" s="16"/>
      <c r="F1052"/>
      <c r="G1052"/>
      <c r="H1052"/>
      <c r="J1052" s="16"/>
      <c r="K1052" s="16"/>
      <c r="L1052" s="37"/>
      <c r="N1052" s="16"/>
      <c r="O1052" s="16"/>
      <c r="P1052" s="16"/>
      <c r="Q1052" s="16"/>
      <c r="R1052" s="16"/>
      <c r="S1052" s="16"/>
      <c r="T1052" s="16"/>
      <c r="U1052" s="16"/>
      <c r="V1052" s="16"/>
      <c r="X1052" s="16"/>
      <c r="AB1052" s="16"/>
      <c r="AC1052" s="16"/>
      <c r="AD1052" s="16"/>
      <c r="AF1052" s="16"/>
      <c r="AG1052" s="16"/>
      <c r="AH1052" s="16"/>
      <c r="AI1052" s="16"/>
    </row>
    <row r="1053" spans="1:35" s="18" customFormat="1" x14ac:dyDescent="0.25">
      <c r="A1053" s="16"/>
      <c r="B1053" s="16"/>
      <c r="C1053" s="16"/>
      <c r="D1053" s="17"/>
      <c r="E1053" s="16"/>
      <c r="F1053"/>
      <c r="G1053"/>
      <c r="H1053"/>
      <c r="J1053" s="16"/>
      <c r="K1053" s="16"/>
      <c r="L1053" s="37"/>
      <c r="N1053" s="16"/>
      <c r="O1053" s="16"/>
      <c r="P1053" s="16"/>
      <c r="Q1053" s="16"/>
      <c r="R1053" s="16"/>
      <c r="S1053" s="16"/>
      <c r="T1053" s="16"/>
      <c r="U1053" s="16"/>
      <c r="V1053" s="16"/>
      <c r="X1053" s="16"/>
      <c r="AB1053" s="16"/>
      <c r="AC1053" s="16"/>
      <c r="AD1053" s="16"/>
      <c r="AF1053" s="16"/>
      <c r="AG1053" s="16"/>
      <c r="AH1053" s="16"/>
      <c r="AI1053" s="16"/>
    </row>
    <row r="1054" spans="1:35" s="18" customFormat="1" x14ac:dyDescent="0.25">
      <c r="A1054" s="16"/>
      <c r="B1054" s="16"/>
      <c r="C1054" s="16"/>
      <c r="D1054" s="17"/>
      <c r="E1054" s="16"/>
      <c r="F1054"/>
      <c r="G1054"/>
      <c r="H1054"/>
      <c r="J1054" s="16"/>
      <c r="K1054" s="16"/>
      <c r="L1054" s="37"/>
      <c r="N1054" s="16"/>
      <c r="O1054" s="16"/>
      <c r="P1054" s="16"/>
      <c r="Q1054" s="16"/>
      <c r="R1054" s="16"/>
      <c r="S1054" s="16"/>
      <c r="T1054" s="16"/>
      <c r="U1054" s="16"/>
      <c r="V1054" s="16"/>
      <c r="X1054" s="16"/>
      <c r="AB1054" s="16"/>
      <c r="AC1054" s="16"/>
      <c r="AD1054" s="16"/>
      <c r="AF1054" s="16"/>
      <c r="AG1054" s="16"/>
      <c r="AH1054" s="16"/>
      <c r="AI1054" s="16"/>
    </row>
    <row r="1055" spans="1:35" s="18" customFormat="1" x14ac:dyDescent="0.25">
      <c r="A1055" s="16"/>
      <c r="B1055" s="16"/>
      <c r="C1055" s="16"/>
      <c r="D1055" s="17"/>
      <c r="E1055" s="16"/>
      <c r="F1055"/>
      <c r="G1055"/>
      <c r="H1055"/>
      <c r="J1055" s="16"/>
      <c r="K1055" s="16"/>
      <c r="L1055" s="37"/>
      <c r="N1055" s="16"/>
      <c r="O1055" s="16"/>
      <c r="P1055" s="16"/>
      <c r="Q1055" s="16"/>
      <c r="R1055" s="16"/>
      <c r="S1055" s="16"/>
      <c r="T1055" s="16"/>
      <c r="U1055" s="16"/>
      <c r="V1055" s="16"/>
      <c r="X1055" s="16"/>
      <c r="AB1055" s="16"/>
      <c r="AC1055" s="16"/>
      <c r="AD1055" s="16"/>
      <c r="AF1055" s="16"/>
      <c r="AG1055" s="16"/>
      <c r="AH1055" s="16"/>
      <c r="AI1055" s="16"/>
    </row>
    <row r="1056" spans="1:35" s="18" customFormat="1" x14ac:dyDescent="0.25">
      <c r="A1056" s="16"/>
      <c r="B1056" s="16"/>
      <c r="C1056" s="16"/>
      <c r="D1056" s="17"/>
      <c r="E1056" s="16"/>
      <c r="F1056"/>
      <c r="G1056"/>
      <c r="H1056"/>
      <c r="J1056" s="16"/>
      <c r="K1056" s="16"/>
      <c r="L1056" s="37"/>
      <c r="N1056" s="16"/>
      <c r="O1056" s="16"/>
      <c r="P1056" s="16"/>
      <c r="Q1056" s="16"/>
      <c r="R1056" s="16"/>
      <c r="S1056" s="16"/>
      <c r="T1056" s="16"/>
      <c r="U1056" s="16"/>
      <c r="V1056" s="16"/>
      <c r="X1056" s="16"/>
      <c r="AB1056" s="16"/>
      <c r="AC1056" s="16"/>
      <c r="AD1056" s="16"/>
      <c r="AF1056" s="16"/>
      <c r="AG1056" s="16"/>
      <c r="AH1056" s="16"/>
      <c r="AI1056" s="16"/>
    </row>
    <row r="1057" spans="1:35" s="18" customFormat="1" x14ac:dyDescent="0.25">
      <c r="A1057" s="16"/>
      <c r="B1057" s="16"/>
      <c r="C1057" s="16"/>
      <c r="D1057" s="17"/>
      <c r="E1057" s="16"/>
      <c r="F1057"/>
      <c r="G1057"/>
      <c r="H1057"/>
      <c r="J1057" s="16"/>
      <c r="K1057" s="16"/>
      <c r="L1057" s="37"/>
      <c r="N1057" s="16"/>
      <c r="O1057" s="16"/>
      <c r="P1057" s="16"/>
      <c r="Q1057" s="16"/>
      <c r="R1057" s="16"/>
      <c r="S1057" s="16"/>
      <c r="T1057" s="16"/>
      <c r="U1057" s="16"/>
      <c r="V1057" s="16"/>
      <c r="X1057" s="16"/>
      <c r="AB1057" s="16"/>
      <c r="AC1057" s="16"/>
      <c r="AD1057" s="16"/>
      <c r="AF1057" s="16"/>
      <c r="AG1057" s="16"/>
      <c r="AH1057" s="16"/>
      <c r="AI1057" s="16"/>
    </row>
    <row r="1058" spans="1:35" s="18" customFormat="1" x14ac:dyDescent="0.25">
      <c r="A1058" s="16"/>
      <c r="B1058" s="16"/>
      <c r="C1058" s="16"/>
      <c r="D1058" s="17"/>
      <c r="E1058" s="16"/>
      <c r="F1058"/>
      <c r="G1058"/>
      <c r="H1058"/>
      <c r="J1058" s="16"/>
      <c r="K1058" s="16"/>
      <c r="L1058" s="37"/>
      <c r="N1058" s="16"/>
      <c r="O1058" s="16"/>
      <c r="P1058" s="16"/>
      <c r="Q1058" s="16"/>
      <c r="R1058" s="16"/>
      <c r="S1058" s="16"/>
      <c r="T1058" s="16"/>
      <c r="U1058" s="16"/>
      <c r="V1058" s="16"/>
      <c r="X1058" s="16"/>
      <c r="AB1058" s="16"/>
      <c r="AC1058" s="16"/>
      <c r="AD1058" s="16"/>
      <c r="AF1058" s="16"/>
      <c r="AG1058" s="16"/>
      <c r="AH1058" s="16"/>
      <c r="AI1058" s="16"/>
    </row>
    <row r="1059" spans="1:35" s="18" customFormat="1" x14ac:dyDescent="0.25">
      <c r="A1059" s="16"/>
      <c r="B1059" s="16"/>
      <c r="C1059" s="16"/>
      <c r="D1059" s="17"/>
      <c r="E1059" s="16"/>
      <c r="F1059"/>
      <c r="G1059"/>
      <c r="H1059"/>
      <c r="J1059" s="16"/>
      <c r="K1059" s="16"/>
      <c r="L1059" s="37"/>
      <c r="N1059" s="16"/>
      <c r="O1059" s="16"/>
      <c r="P1059" s="16"/>
      <c r="Q1059" s="16"/>
      <c r="R1059" s="16"/>
      <c r="S1059" s="16"/>
      <c r="T1059" s="16"/>
      <c r="U1059" s="16"/>
      <c r="V1059" s="16"/>
      <c r="X1059" s="16"/>
      <c r="AB1059" s="16"/>
      <c r="AC1059" s="16"/>
      <c r="AD1059" s="16"/>
      <c r="AF1059" s="16"/>
      <c r="AG1059" s="16"/>
      <c r="AH1059" s="16"/>
      <c r="AI1059" s="16"/>
    </row>
    <row r="1060" spans="1:35" s="18" customFormat="1" x14ac:dyDescent="0.25">
      <c r="A1060" s="16"/>
      <c r="B1060" s="16"/>
      <c r="C1060" s="16"/>
      <c r="D1060" s="17"/>
      <c r="E1060" s="16"/>
      <c r="F1060"/>
      <c r="G1060"/>
      <c r="H1060"/>
      <c r="J1060" s="16"/>
      <c r="K1060" s="16"/>
      <c r="L1060" s="37"/>
      <c r="N1060" s="16"/>
      <c r="O1060" s="16"/>
      <c r="P1060" s="16"/>
      <c r="Q1060" s="16"/>
      <c r="R1060" s="16"/>
      <c r="S1060" s="16"/>
      <c r="T1060" s="16"/>
      <c r="U1060" s="16"/>
      <c r="V1060" s="16"/>
      <c r="X1060" s="16"/>
      <c r="AB1060" s="16"/>
      <c r="AC1060" s="16"/>
      <c r="AD1060" s="16"/>
      <c r="AF1060" s="16"/>
      <c r="AG1060" s="16"/>
      <c r="AH1060" s="16"/>
      <c r="AI1060" s="16"/>
    </row>
    <row r="1061" spans="1:35" s="18" customFormat="1" x14ac:dyDescent="0.25">
      <c r="A1061" s="16"/>
      <c r="B1061" s="16"/>
      <c r="C1061" s="16"/>
      <c r="D1061" s="17"/>
      <c r="E1061" s="16"/>
      <c r="F1061"/>
      <c r="G1061"/>
      <c r="H1061"/>
      <c r="J1061" s="16"/>
      <c r="K1061" s="16"/>
      <c r="L1061" s="37"/>
      <c r="N1061" s="16"/>
      <c r="O1061" s="16"/>
      <c r="P1061" s="16"/>
      <c r="Q1061" s="16"/>
      <c r="R1061" s="16"/>
      <c r="S1061" s="16"/>
      <c r="T1061" s="16"/>
      <c r="U1061" s="16"/>
      <c r="V1061" s="16"/>
      <c r="X1061" s="16"/>
      <c r="AB1061" s="16"/>
      <c r="AC1061" s="16"/>
      <c r="AD1061" s="16"/>
      <c r="AF1061" s="16"/>
      <c r="AG1061" s="16"/>
      <c r="AH1061" s="16"/>
      <c r="AI1061" s="16"/>
    </row>
    <row r="1062" spans="1:35" s="18" customFormat="1" x14ac:dyDescent="0.25">
      <c r="A1062" s="16"/>
      <c r="B1062" s="16"/>
      <c r="C1062" s="16"/>
      <c r="D1062" s="17"/>
      <c r="E1062" s="16"/>
      <c r="F1062"/>
      <c r="G1062"/>
      <c r="H1062"/>
      <c r="J1062" s="16"/>
      <c r="K1062" s="16"/>
      <c r="L1062" s="37"/>
      <c r="N1062" s="16"/>
      <c r="O1062" s="16"/>
      <c r="P1062" s="16"/>
      <c r="Q1062" s="16"/>
      <c r="R1062" s="16"/>
      <c r="S1062" s="16"/>
      <c r="T1062" s="16"/>
      <c r="U1062" s="16"/>
      <c r="V1062" s="16"/>
      <c r="X1062" s="16"/>
      <c r="AB1062" s="16"/>
      <c r="AC1062" s="16"/>
      <c r="AD1062" s="16"/>
      <c r="AF1062" s="16"/>
      <c r="AG1062" s="16"/>
      <c r="AH1062" s="16"/>
      <c r="AI1062" s="16"/>
    </row>
    <row r="1063" spans="1:35" s="18" customFormat="1" x14ac:dyDescent="0.25">
      <c r="A1063" s="16"/>
      <c r="B1063" s="16"/>
      <c r="C1063" s="16"/>
      <c r="D1063" s="17"/>
      <c r="E1063" s="16"/>
      <c r="F1063"/>
      <c r="G1063"/>
      <c r="H1063"/>
      <c r="J1063" s="16"/>
      <c r="K1063" s="16"/>
      <c r="L1063" s="37"/>
      <c r="N1063" s="16"/>
      <c r="O1063" s="16"/>
      <c r="P1063" s="16"/>
      <c r="Q1063" s="16"/>
      <c r="R1063" s="16"/>
      <c r="S1063" s="16"/>
      <c r="T1063" s="16"/>
      <c r="U1063" s="16"/>
      <c r="V1063" s="16"/>
      <c r="X1063" s="16"/>
      <c r="AB1063" s="16"/>
      <c r="AC1063" s="16"/>
      <c r="AD1063" s="16"/>
      <c r="AF1063" s="16"/>
      <c r="AG1063" s="16"/>
      <c r="AH1063" s="16"/>
      <c r="AI1063" s="16"/>
    </row>
    <row r="1064" spans="1:35" s="18" customFormat="1" x14ac:dyDescent="0.25">
      <c r="A1064" s="16"/>
      <c r="B1064" s="16"/>
      <c r="C1064" s="16"/>
      <c r="D1064" s="17"/>
      <c r="E1064" s="16"/>
      <c r="F1064"/>
      <c r="G1064"/>
      <c r="H1064"/>
      <c r="J1064" s="16"/>
      <c r="K1064" s="16"/>
      <c r="L1064" s="37"/>
      <c r="N1064" s="16"/>
      <c r="O1064" s="16"/>
      <c r="P1064" s="16"/>
      <c r="Q1064" s="16"/>
      <c r="R1064" s="16"/>
      <c r="S1064" s="16"/>
      <c r="T1064" s="16"/>
      <c r="U1064" s="16"/>
      <c r="V1064" s="16"/>
      <c r="X1064" s="16"/>
      <c r="AB1064" s="16"/>
      <c r="AC1064" s="16"/>
      <c r="AD1064" s="16"/>
      <c r="AF1064" s="16"/>
      <c r="AG1064" s="16"/>
      <c r="AH1064" s="16"/>
      <c r="AI1064" s="16"/>
    </row>
    <row r="1065" spans="1:35" s="18" customFormat="1" x14ac:dyDescent="0.25">
      <c r="A1065" s="16"/>
      <c r="B1065" s="16"/>
      <c r="C1065" s="16"/>
      <c r="D1065" s="17"/>
      <c r="E1065" s="16"/>
      <c r="F1065"/>
      <c r="G1065"/>
      <c r="H1065"/>
      <c r="J1065" s="16"/>
      <c r="K1065" s="16"/>
      <c r="L1065" s="37"/>
      <c r="N1065" s="16"/>
      <c r="O1065" s="16"/>
      <c r="P1065" s="16"/>
      <c r="Q1065" s="16"/>
      <c r="R1065" s="16"/>
      <c r="S1065" s="16"/>
      <c r="T1065" s="16"/>
      <c r="U1065" s="16"/>
      <c r="V1065" s="16"/>
      <c r="X1065" s="16"/>
      <c r="AB1065" s="16"/>
      <c r="AC1065" s="16"/>
      <c r="AD1065" s="16"/>
      <c r="AF1065" s="16"/>
      <c r="AG1065" s="16"/>
      <c r="AH1065" s="16"/>
      <c r="AI1065" s="16"/>
    </row>
    <row r="1066" spans="1:35" s="18" customFormat="1" x14ac:dyDescent="0.25">
      <c r="A1066" s="16"/>
      <c r="B1066" s="16"/>
      <c r="C1066" s="16"/>
      <c r="D1066" s="17"/>
      <c r="E1066" s="16"/>
      <c r="F1066"/>
      <c r="G1066"/>
      <c r="H1066"/>
      <c r="J1066" s="16"/>
      <c r="K1066" s="16"/>
      <c r="L1066" s="37"/>
      <c r="N1066" s="16"/>
      <c r="O1066" s="16"/>
      <c r="P1066" s="16"/>
      <c r="Q1066" s="16"/>
      <c r="R1066" s="16"/>
      <c r="S1066" s="16"/>
      <c r="T1066" s="16"/>
      <c r="U1066" s="16"/>
      <c r="V1066" s="16"/>
      <c r="X1066" s="16"/>
      <c r="AB1066" s="16"/>
      <c r="AC1066" s="16"/>
      <c r="AD1066" s="16"/>
      <c r="AF1066" s="16"/>
      <c r="AG1066" s="16"/>
      <c r="AH1066" s="16"/>
      <c r="AI1066" s="16"/>
    </row>
    <row r="1067" spans="1:35" s="18" customFormat="1" x14ac:dyDescent="0.25">
      <c r="A1067" s="16"/>
      <c r="B1067" s="16"/>
      <c r="C1067" s="16"/>
      <c r="D1067" s="17"/>
      <c r="E1067" s="16"/>
      <c r="F1067"/>
      <c r="G1067"/>
      <c r="H1067"/>
      <c r="J1067" s="16"/>
      <c r="K1067" s="16"/>
      <c r="L1067" s="37"/>
      <c r="N1067" s="16"/>
      <c r="O1067" s="16"/>
      <c r="P1067" s="16"/>
      <c r="Q1067" s="16"/>
      <c r="R1067" s="16"/>
      <c r="S1067" s="16"/>
      <c r="T1067" s="16"/>
      <c r="U1067" s="16"/>
      <c r="V1067" s="16"/>
      <c r="X1067" s="16"/>
      <c r="AB1067" s="16"/>
      <c r="AC1067" s="16"/>
      <c r="AD1067" s="16"/>
      <c r="AF1067" s="16"/>
      <c r="AG1067" s="16"/>
      <c r="AH1067" s="16"/>
      <c r="AI1067" s="16"/>
    </row>
    <row r="1068" spans="1:35" s="18" customFormat="1" x14ac:dyDescent="0.25">
      <c r="A1068" s="16"/>
      <c r="B1068" s="16"/>
      <c r="C1068" s="16"/>
      <c r="D1068" s="17"/>
      <c r="E1068" s="16"/>
      <c r="F1068"/>
      <c r="G1068"/>
      <c r="H1068"/>
      <c r="J1068" s="16"/>
      <c r="K1068" s="16"/>
      <c r="L1068" s="37"/>
      <c r="N1068" s="16"/>
      <c r="O1068" s="16"/>
      <c r="P1068" s="16"/>
      <c r="Q1068" s="16"/>
      <c r="R1068" s="16"/>
      <c r="S1068" s="16"/>
      <c r="T1068" s="16"/>
      <c r="U1068" s="16"/>
      <c r="V1068" s="16"/>
      <c r="X1068" s="16"/>
      <c r="AB1068" s="16"/>
      <c r="AC1068" s="16"/>
      <c r="AD1068" s="16"/>
      <c r="AF1068" s="16"/>
      <c r="AG1068" s="16"/>
      <c r="AH1068" s="16"/>
      <c r="AI1068" s="16"/>
    </row>
    <row r="1069" spans="1:35" s="18" customFormat="1" x14ac:dyDescent="0.25">
      <c r="A1069" s="16"/>
      <c r="B1069" s="16"/>
      <c r="C1069" s="16"/>
      <c r="D1069" s="17"/>
      <c r="E1069" s="16"/>
      <c r="F1069"/>
      <c r="G1069"/>
      <c r="H1069"/>
      <c r="J1069" s="16"/>
      <c r="K1069" s="16"/>
      <c r="L1069" s="37"/>
      <c r="N1069" s="16"/>
      <c r="O1069" s="16"/>
      <c r="P1069" s="16"/>
      <c r="Q1069" s="16"/>
      <c r="R1069" s="16"/>
      <c r="S1069" s="16"/>
      <c r="T1069" s="16"/>
      <c r="U1069" s="16"/>
      <c r="V1069" s="16"/>
      <c r="X1069" s="16"/>
      <c r="AB1069" s="16"/>
      <c r="AC1069" s="16"/>
      <c r="AD1069" s="16"/>
      <c r="AF1069" s="16"/>
      <c r="AG1069" s="16"/>
      <c r="AH1069" s="16"/>
      <c r="AI1069" s="16"/>
    </row>
    <row r="1070" spans="1:35" s="18" customFormat="1" x14ac:dyDescent="0.25">
      <c r="A1070" s="16"/>
      <c r="B1070" s="16"/>
      <c r="C1070" s="16"/>
      <c r="D1070" s="17"/>
      <c r="E1070" s="16"/>
      <c r="F1070"/>
      <c r="G1070"/>
      <c r="H1070"/>
      <c r="J1070" s="16"/>
      <c r="K1070" s="16"/>
      <c r="L1070" s="37"/>
      <c r="N1070" s="16"/>
      <c r="O1070" s="16"/>
      <c r="P1070" s="16"/>
      <c r="Q1070" s="16"/>
      <c r="R1070" s="16"/>
      <c r="S1070" s="16"/>
      <c r="T1070" s="16"/>
      <c r="U1070" s="16"/>
      <c r="V1070" s="16"/>
      <c r="X1070" s="16"/>
      <c r="AB1070" s="16"/>
      <c r="AC1070" s="16"/>
      <c r="AD1070" s="16"/>
      <c r="AF1070" s="16"/>
      <c r="AG1070" s="16"/>
      <c r="AH1070" s="16"/>
      <c r="AI1070" s="16"/>
    </row>
    <row r="1071" spans="1:35" s="18" customFormat="1" x14ac:dyDescent="0.25">
      <c r="A1071" s="16"/>
      <c r="B1071" s="16"/>
      <c r="C1071" s="16"/>
      <c r="D1071" s="17"/>
      <c r="E1071" s="16"/>
      <c r="F1071"/>
      <c r="G1071"/>
      <c r="H1071"/>
      <c r="J1071" s="16"/>
      <c r="K1071" s="16"/>
      <c r="L1071" s="37"/>
      <c r="N1071" s="16"/>
      <c r="O1071" s="16"/>
      <c r="P1071" s="16"/>
      <c r="Q1071" s="16"/>
      <c r="R1071" s="16"/>
      <c r="S1071" s="16"/>
      <c r="T1071" s="16"/>
      <c r="U1071" s="16"/>
      <c r="V1071" s="16"/>
      <c r="X1071" s="16"/>
      <c r="AB1071" s="16"/>
      <c r="AC1071" s="16"/>
      <c r="AD1071" s="16"/>
      <c r="AF1071" s="16"/>
      <c r="AG1071" s="16"/>
      <c r="AH1071" s="16"/>
      <c r="AI1071" s="16"/>
    </row>
    <row r="1072" spans="1:35" s="18" customFormat="1" x14ac:dyDescent="0.25">
      <c r="A1072" s="16"/>
      <c r="B1072" s="16"/>
      <c r="C1072" s="16"/>
      <c r="D1072" s="17"/>
      <c r="E1072" s="16"/>
      <c r="F1072"/>
      <c r="G1072"/>
      <c r="H1072"/>
      <c r="J1072" s="16"/>
      <c r="K1072" s="16"/>
      <c r="L1072" s="37"/>
      <c r="N1072" s="16"/>
      <c r="O1072" s="16"/>
      <c r="P1072" s="16"/>
      <c r="Q1072" s="16"/>
      <c r="R1072" s="16"/>
      <c r="S1072" s="16"/>
      <c r="T1072" s="16"/>
      <c r="U1072" s="16"/>
      <c r="V1072" s="16"/>
      <c r="X1072" s="16"/>
      <c r="AB1072" s="16"/>
      <c r="AC1072" s="16"/>
      <c r="AD1072" s="16"/>
      <c r="AF1072" s="16"/>
      <c r="AG1072" s="16"/>
      <c r="AH1072" s="16"/>
      <c r="AI1072" s="16"/>
    </row>
    <row r="1073" spans="1:35" s="18" customFormat="1" x14ac:dyDescent="0.25">
      <c r="A1073" s="16"/>
      <c r="B1073" s="16"/>
      <c r="C1073" s="16"/>
      <c r="D1073" s="17"/>
      <c r="E1073" s="16"/>
      <c r="F1073"/>
      <c r="G1073"/>
      <c r="H1073"/>
      <c r="J1073" s="16"/>
      <c r="K1073" s="16"/>
      <c r="L1073" s="37"/>
      <c r="N1073" s="16"/>
      <c r="O1073" s="16"/>
      <c r="P1073" s="16"/>
      <c r="Q1073" s="16"/>
      <c r="R1073" s="16"/>
      <c r="S1073" s="16"/>
      <c r="T1073" s="16"/>
      <c r="U1073" s="16"/>
      <c r="V1073" s="16"/>
      <c r="X1073" s="16"/>
      <c r="AB1073" s="16"/>
      <c r="AC1073" s="16"/>
      <c r="AD1073" s="16"/>
      <c r="AF1073" s="16"/>
      <c r="AG1073" s="16"/>
      <c r="AH1073" s="16"/>
      <c r="AI1073" s="16"/>
    </row>
    <row r="1074" spans="1:35" s="18" customFormat="1" x14ac:dyDescent="0.25">
      <c r="A1074" s="16"/>
      <c r="B1074" s="16"/>
      <c r="C1074" s="16"/>
      <c r="D1074" s="17"/>
      <c r="E1074" s="16"/>
      <c r="F1074"/>
      <c r="G1074"/>
      <c r="H1074"/>
      <c r="J1074" s="16"/>
      <c r="K1074" s="16"/>
      <c r="L1074" s="37"/>
      <c r="N1074" s="16"/>
      <c r="O1074" s="16"/>
      <c r="P1074" s="16"/>
      <c r="Q1074" s="16"/>
      <c r="R1074" s="16"/>
      <c r="S1074" s="16"/>
      <c r="T1074" s="16"/>
      <c r="U1074" s="16"/>
      <c r="V1074" s="16"/>
      <c r="X1074" s="16"/>
      <c r="AB1074" s="16"/>
      <c r="AC1074" s="16"/>
      <c r="AD1074" s="16"/>
      <c r="AF1074" s="16"/>
      <c r="AG1074" s="16"/>
      <c r="AH1074" s="16"/>
      <c r="AI1074" s="16"/>
    </row>
    <row r="1075" spans="1:35" s="18" customFormat="1" x14ac:dyDescent="0.25">
      <c r="A1075" s="16"/>
      <c r="B1075" s="16"/>
      <c r="C1075" s="16"/>
      <c r="D1075" s="17"/>
      <c r="E1075" s="16"/>
      <c r="F1075"/>
      <c r="G1075"/>
      <c r="H1075"/>
      <c r="J1075" s="16"/>
      <c r="K1075" s="16"/>
      <c r="L1075" s="37"/>
      <c r="N1075" s="16"/>
      <c r="O1075" s="16"/>
      <c r="P1075" s="16"/>
      <c r="Q1075" s="16"/>
      <c r="R1075" s="16"/>
      <c r="S1075" s="16"/>
      <c r="T1075" s="16"/>
      <c r="U1075" s="16"/>
      <c r="V1075" s="16"/>
      <c r="X1075" s="16"/>
      <c r="AB1075" s="16"/>
      <c r="AC1075" s="16"/>
      <c r="AD1075" s="16"/>
      <c r="AF1075" s="16"/>
      <c r="AG1075" s="16"/>
      <c r="AH1075" s="16"/>
      <c r="AI1075" s="16"/>
    </row>
    <row r="1076" spans="1:35" s="18" customFormat="1" x14ac:dyDescent="0.25">
      <c r="A1076" s="16"/>
      <c r="B1076" s="16"/>
      <c r="C1076" s="16"/>
      <c r="D1076" s="17"/>
      <c r="E1076" s="16"/>
      <c r="F1076"/>
      <c r="G1076"/>
      <c r="H1076"/>
      <c r="J1076" s="16"/>
      <c r="K1076" s="16"/>
      <c r="L1076" s="37"/>
      <c r="N1076" s="16"/>
      <c r="O1076" s="16"/>
      <c r="P1076" s="16"/>
      <c r="Q1076" s="16"/>
      <c r="R1076" s="16"/>
      <c r="S1076" s="16"/>
      <c r="T1076" s="16"/>
      <c r="U1076" s="16"/>
      <c r="V1076" s="16"/>
      <c r="X1076" s="16"/>
      <c r="AB1076" s="16"/>
      <c r="AC1076" s="16"/>
      <c r="AD1076" s="16"/>
      <c r="AF1076" s="16"/>
      <c r="AG1076" s="16"/>
      <c r="AH1076" s="16"/>
      <c r="AI1076" s="16"/>
    </row>
    <row r="1077" spans="1:35" s="18" customFormat="1" x14ac:dyDescent="0.25">
      <c r="A1077" s="16"/>
      <c r="B1077" s="16"/>
      <c r="C1077" s="16"/>
      <c r="D1077" s="17"/>
      <c r="E1077" s="16"/>
      <c r="F1077"/>
      <c r="G1077"/>
      <c r="H1077"/>
      <c r="J1077" s="16"/>
      <c r="K1077" s="16"/>
      <c r="L1077" s="37"/>
      <c r="N1077" s="16"/>
      <c r="O1077" s="16"/>
      <c r="P1077" s="16"/>
      <c r="Q1077" s="16"/>
      <c r="R1077" s="16"/>
      <c r="S1077" s="16"/>
      <c r="T1077" s="16"/>
      <c r="U1077" s="16"/>
      <c r="V1077" s="16"/>
      <c r="X1077" s="16"/>
      <c r="AB1077" s="16"/>
      <c r="AC1077" s="16"/>
      <c r="AD1077" s="16"/>
      <c r="AF1077" s="16"/>
      <c r="AG1077" s="16"/>
      <c r="AH1077" s="16"/>
      <c r="AI1077" s="16"/>
    </row>
    <row r="1078" spans="1:35" s="18" customFormat="1" x14ac:dyDescent="0.25">
      <c r="A1078" s="16"/>
      <c r="B1078" s="16"/>
      <c r="C1078" s="16"/>
      <c r="D1078" s="17"/>
      <c r="E1078" s="16"/>
      <c r="F1078"/>
      <c r="G1078"/>
      <c r="H1078"/>
      <c r="J1078" s="16"/>
      <c r="K1078" s="16"/>
      <c r="L1078" s="37"/>
      <c r="N1078" s="16"/>
      <c r="O1078" s="16"/>
      <c r="P1078" s="16"/>
      <c r="Q1078" s="16"/>
      <c r="R1078" s="16"/>
      <c r="S1078" s="16"/>
      <c r="T1078" s="16"/>
      <c r="U1078" s="16"/>
      <c r="V1078" s="16"/>
      <c r="X1078" s="16"/>
      <c r="AB1078" s="16"/>
      <c r="AC1078" s="16"/>
      <c r="AD1078" s="16"/>
      <c r="AF1078" s="16"/>
      <c r="AG1078" s="16"/>
      <c r="AH1078" s="16"/>
      <c r="AI1078" s="16"/>
    </row>
    <row r="1079" spans="1:35" s="18" customFormat="1" x14ac:dyDescent="0.25">
      <c r="A1079" s="16"/>
      <c r="B1079" s="16"/>
      <c r="C1079" s="16"/>
      <c r="D1079" s="17"/>
      <c r="E1079" s="16"/>
      <c r="F1079"/>
      <c r="G1079"/>
      <c r="H1079"/>
      <c r="J1079" s="16"/>
      <c r="K1079" s="16"/>
      <c r="L1079" s="37"/>
      <c r="N1079" s="16"/>
      <c r="O1079" s="16"/>
      <c r="P1079" s="16"/>
      <c r="Q1079" s="16"/>
      <c r="R1079" s="16"/>
      <c r="S1079" s="16"/>
      <c r="T1079" s="16"/>
      <c r="U1079" s="16"/>
      <c r="V1079" s="16"/>
      <c r="X1079" s="16"/>
      <c r="AB1079" s="16"/>
      <c r="AC1079" s="16"/>
      <c r="AD1079" s="16"/>
      <c r="AF1079" s="16"/>
      <c r="AG1079" s="16"/>
      <c r="AH1079" s="16"/>
      <c r="AI1079" s="16"/>
    </row>
    <row r="1080" spans="1:35" s="18" customFormat="1" x14ac:dyDescent="0.25">
      <c r="A1080" s="16"/>
      <c r="B1080" s="16"/>
      <c r="C1080" s="16"/>
      <c r="D1080" s="17"/>
      <c r="E1080" s="16"/>
      <c r="F1080"/>
      <c r="G1080"/>
      <c r="H1080"/>
      <c r="J1080" s="16"/>
      <c r="K1080" s="16"/>
      <c r="L1080" s="37"/>
      <c r="N1080" s="16"/>
      <c r="O1080" s="16"/>
      <c r="P1080" s="16"/>
      <c r="Q1080" s="16"/>
      <c r="R1080" s="16"/>
      <c r="S1080" s="16"/>
      <c r="T1080" s="16"/>
      <c r="U1080" s="16"/>
      <c r="V1080" s="16"/>
      <c r="X1080" s="16"/>
      <c r="AB1080" s="16"/>
      <c r="AC1080" s="16"/>
      <c r="AD1080" s="16"/>
      <c r="AF1080" s="16"/>
      <c r="AG1080" s="16"/>
      <c r="AH1080" s="16"/>
      <c r="AI1080" s="16"/>
    </row>
    <row r="1081" spans="1:35" s="18" customFormat="1" x14ac:dyDescent="0.25">
      <c r="A1081" s="16"/>
      <c r="B1081" s="16"/>
      <c r="C1081" s="16"/>
      <c r="D1081" s="17"/>
      <c r="E1081" s="16"/>
      <c r="F1081"/>
      <c r="G1081"/>
      <c r="H1081"/>
      <c r="J1081" s="16"/>
      <c r="K1081" s="16"/>
      <c r="L1081" s="37"/>
      <c r="N1081" s="16"/>
      <c r="O1081" s="16"/>
      <c r="P1081" s="16"/>
      <c r="Q1081" s="16"/>
      <c r="R1081" s="16"/>
      <c r="S1081" s="16"/>
      <c r="T1081" s="16"/>
      <c r="U1081" s="16"/>
      <c r="V1081" s="16"/>
      <c r="X1081" s="16"/>
      <c r="AB1081" s="16"/>
      <c r="AC1081" s="16"/>
      <c r="AD1081" s="16"/>
      <c r="AF1081" s="16"/>
      <c r="AG1081" s="16"/>
      <c r="AH1081" s="16"/>
      <c r="AI1081" s="16"/>
    </row>
    <row r="1082" spans="1:35" s="18" customFormat="1" x14ac:dyDescent="0.25">
      <c r="A1082" s="16"/>
      <c r="B1082" s="16"/>
      <c r="C1082" s="16"/>
      <c r="D1082" s="17"/>
      <c r="E1082" s="16"/>
      <c r="F1082"/>
      <c r="G1082"/>
      <c r="H1082"/>
      <c r="J1082" s="16"/>
      <c r="K1082" s="16"/>
      <c r="L1082" s="37"/>
      <c r="N1082" s="16"/>
      <c r="O1082" s="16"/>
      <c r="P1082" s="16"/>
      <c r="Q1082" s="16"/>
      <c r="R1082" s="16"/>
      <c r="S1082" s="16"/>
      <c r="T1082" s="16"/>
      <c r="U1082" s="16"/>
      <c r="V1082" s="16"/>
      <c r="X1082" s="16"/>
      <c r="AB1082" s="16"/>
      <c r="AC1082" s="16"/>
      <c r="AD1082" s="16"/>
      <c r="AF1082" s="16"/>
      <c r="AG1082" s="16"/>
      <c r="AH1082" s="16"/>
      <c r="AI1082" s="16"/>
    </row>
    <row r="1083" spans="1:35" s="18" customFormat="1" x14ac:dyDescent="0.25">
      <c r="A1083" s="16"/>
      <c r="B1083" s="16"/>
      <c r="C1083" s="16"/>
      <c r="D1083" s="17"/>
      <c r="E1083" s="16"/>
      <c r="F1083"/>
      <c r="G1083"/>
      <c r="H1083"/>
      <c r="J1083" s="16"/>
      <c r="K1083" s="16"/>
      <c r="L1083" s="37"/>
      <c r="N1083" s="16"/>
      <c r="O1083" s="16"/>
      <c r="P1083" s="16"/>
      <c r="Q1083" s="16"/>
      <c r="R1083" s="16"/>
      <c r="S1083" s="16"/>
      <c r="T1083" s="16"/>
      <c r="U1083" s="16"/>
      <c r="V1083" s="16"/>
      <c r="X1083" s="16"/>
      <c r="AB1083" s="16"/>
      <c r="AC1083" s="16"/>
      <c r="AD1083" s="16"/>
      <c r="AF1083" s="16"/>
      <c r="AG1083" s="16"/>
      <c r="AH1083" s="16"/>
      <c r="AI1083" s="16"/>
    </row>
    <row r="1084" spans="1:35" s="18" customFormat="1" x14ac:dyDescent="0.25">
      <c r="A1084" s="16"/>
      <c r="B1084" s="16"/>
      <c r="C1084" s="16"/>
      <c r="D1084" s="17"/>
      <c r="E1084" s="16"/>
      <c r="F1084"/>
      <c r="G1084"/>
      <c r="H1084"/>
      <c r="J1084" s="16"/>
      <c r="K1084" s="16"/>
      <c r="L1084" s="37"/>
      <c r="N1084" s="16"/>
      <c r="O1084" s="16"/>
      <c r="P1084" s="16"/>
      <c r="Q1084" s="16"/>
      <c r="R1084" s="16"/>
      <c r="S1084" s="16"/>
      <c r="T1084" s="16"/>
      <c r="U1084" s="16"/>
      <c r="V1084" s="16"/>
      <c r="X1084" s="16"/>
      <c r="AB1084" s="16"/>
      <c r="AC1084" s="16"/>
      <c r="AD1084" s="16"/>
      <c r="AF1084" s="16"/>
      <c r="AG1084" s="16"/>
      <c r="AH1084" s="16"/>
      <c r="AI1084" s="16"/>
    </row>
    <row r="1085" spans="1:35" s="18" customFormat="1" x14ac:dyDescent="0.25">
      <c r="A1085" s="16"/>
      <c r="B1085" s="16"/>
      <c r="C1085" s="16"/>
      <c r="D1085" s="17"/>
      <c r="E1085" s="16"/>
      <c r="F1085"/>
      <c r="G1085"/>
      <c r="H1085"/>
      <c r="J1085" s="16"/>
      <c r="K1085" s="16"/>
      <c r="L1085" s="37"/>
      <c r="N1085" s="16"/>
      <c r="O1085" s="16"/>
      <c r="P1085" s="16"/>
      <c r="Q1085" s="16"/>
      <c r="R1085" s="16"/>
      <c r="S1085" s="16"/>
      <c r="T1085" s="16"/>
      <c r="U1085" s="16"/>
      <c r="V1085" s="16"/>
      <c r="X1085" s="16"/>
      <c r="AB1085" s="16"/>
      <c r="AC1085" s="16"/>
      <c r="AD1085" s="16"/>
      <c r="AF1085" s="16"/>
      <c r="AG1085" s="16"/>
      <c r="AH1085" s="16"/>
      <c r="AI1085" s="16"/>
    </row>
    <row r="1086" spans="1:35" s="18" customFormat="1" x14ac:dyDescent="0.25">
      <c r="A1086" s="16"/>
      <c r="B1086" s="16"/>
      <c r="C1086" s="16"/>
      <c r="D1086" s="17"/>
      <c r="E1086" s="16"/>
      <c r="F1086"/>
      <c r="G1086"/>
      <c r="H1086"/>
      <c r="J1086" s="16"/>
      <c r="K1086" s="16"/>
      <c r="L1086" s="37"/>
      <c r="N1086" s="16"/>
      <c r="O1086" s="16"/>
      <c r="P1086" s="16"/>
      <c r="Q1086" s="16"/>
      <c r="R1086" s="16"/>
      <c r="S1086" s="16"/>
      <c r="T1086" s="16"/>
      <c r="U1086" s="16"/>
      <c r="V1086" s="16"/>
      <c r="X1086" s="16"/>
      <c r="AB1086" s="16"/>
      <c r="AC1086" s="16"/>
      <c r="AD1086" s="16"/>
      <c r="AF1086" s="16"/>
      <c r="AG1086" s="16"/>
      <c r="AH1086" s="16"/>
      <c r="AI1086" s="16"/>
    </row>
    <row r="1087" spans="1:35" s="18" customFormat="1" x14ac:dyDescent="0.25">
      <c r="A1087" s="16"/>
      <c r="B1087" s="16"/>
      <c r="C1087" s="16"/>
      <c r="D1087" s="17"/>
      <c r="E1087" s="16"/>
      <c r="F1087"/>
      <c r="G1087"/>
      <c r="H1087"/>
      <c r="J1087" s="16"/>
      <c r="K1087" s="16"/>
      <c r="L1087" s="37"/>
      <c r="N1087" s="16"/>
      <c r="O1087" s="16"/>
      <c r="P1087" s="16"/>
      <c r="Q1087" s="16"/>
      <c r="R1087" s="16"/>
      <c r="S1087" s="16"/>
      <c r="T1087" s="16"/>
      <c r="U1087" s="16"/>
      <c r="V1087" s="16"/>
      <c r="X1087" s="16"/>
      <c r="AB1087" s="16"/>
      <c r="AC1087" s="16"/>
      <c r="AD1087" s="16"/>
      <c r="AF1087" s="16"/>
      <c r="AG1087" s="16"/>
      <c r="AH1087" s="16"/>
      <c r="AI1087" s="16"/>
    </row>
    <row r="1088" spans="1:35" s="18" customFormat="1" x14ac:dyDescent="0.25">
      <c r="A1088" s="16"/>
      <c r="B1088" s="16"/>
      <c r="C1088" s="16"/>
      <c r="D1088" s="17"/>
      <c r="E1088" s="16"/>
      <c r="F1088"/>
      <c r="G1088"/>
      <c r="H1088"/>
      <c r="J1088" s="16"/>
      <c r="K1088" s="16"/>
      <c r="L1088" s="37"/>
      <c r="N1088" s="16"/>
      <c r="O1088" s="16"/>
      <c r="P1088" s="16"/>
      <c r="Q1088" s="16"/>
      <c r="R1088" s="16"/>
      <c r="S1088" s="16"/>
      <c r="T1088" s="16"/>
      <c r="U1088" s="16"/>
      <c r="V1088" s="16"/>
      <c r="X1088" s="16"/>
      <c r="AB1088" s="16"/>
      <c r="AC1088" s="16"/>
      <c r="AD1088" s="16"/>
      <c r="AF1088" s="16"/>
      <c r="AG1088" s="16"/>
      <c r="AH1088" s="16"/>
      <c r="AI1088" s="16"/>
    </row>
    <row r="1089" spans="1:35" s="18" customFormat="1" x14ac:dyDescent="0.25">
      <c r="A1089" s="16"/>
      <c r="B1089" s="16"/>
      <c r="C1089" s="16"/>
      <c r="D1089" s="17"/>
      <c r="E1089" s="16"/>
      <c r="F1089"/>
      <c r="G1089"/>
      <c r="H1089"/>
      <c r="J1089" s="16"/>
      <c r="K1089" s="16"/>
      <c r="L1089" s="37"/>
      <c r="N1089" s="16"/>
      <c r="O1089" s="16"/>
      <c r="P1089" s="16"/>
      <c r="Q1089" s="16"/>
      <c r="R1089" s="16"/>
      <c r="S1089" s="16"/>
      <c r="T1089" s="16"/>
      <c r="U1089" s="16"/>
      <c r="V1089" s="16"/>
      <c r="X1089" s="16"/>
      <c r="AB1089" s="16"/>
      <c r="AC1089" s="16"/>
      <c r="AD1089" s="16"/>
      <c r="AF1089" s="16"/>
      <c r="AG1089" s="16"/>
      <c r="AH1089" s="16"/>
      <c r="AI1089" s="16"/>
    </row>
    <row r="1090" spans="1:35" s="18" customFormat="1" x14ac:dyDescent="0.25">
      <c r="A1090" s="16"/>
      <c r="B1090" s="16"/>
      <c r="C1090" s="16"/>
      <c r="D1090" s="17"/>
      <c r="E1090" s="16"/>
      <c r="F1090"/>
      <c r="G1090"/>
      <c r="H1090"/>
      <c r="J1090" s="16"/>
      <c r="K1090" s="16"/>
      <c r="L1090" s="37"/>
      <c r="N1090" s="16"/>
      <c r="O1090" s="16"/>
      <c r="P1090" s="16"/>
      <c r="Q1090" s="16"/>
      <c r="R1090" s="16"/>
      <c r="S1090" s="16"/>
      <c r="T1090" s="16"/>
      <c r="U1090" s="16"/>
      <c r="V1090" s="16"/>
      <c r="X1090" s="16"/>
      <c r="AB1090" s="16"/>
      <c r="AC1090" s="16"/>
      <c r="AD1090" s="16"/>
      <c r="AF1090" s="16"/>
      <c r="AG1090" s="16"/>
      <c r="AH1090" s="16"/>
      <c r="AI1090" s="16"/>
    </row>
    <row r="1091" spans="1:35" s="18" customFormat="1" x14ac:dyDescent="0.25">
      <c r="A1091" s="16"/>
      <c r="B1091" s="16"/>
      <c r="C1091" s="16"/>
      <c r="D1091" s="17"/>
      <c r="E1091" s="16"/>
      <c r="F1091"/>
      <c r="G1091"/>
      <c r="H1091"/>
      <c r="J1091" s="16"/>
      <c r="K1091" s="16"/>
      <c r="L1091" s="37"/>
      <c r="N1091" s="16"/>
      <c r="O1091" s="16"/>
      <c r="P1091" s="16"/>
      <c r="Q1091" s="16"/>
      <c r="R1091" s="16"/>
      <c r="S1091" s="16"/>
      <c r="T1091" s="16"/>
      <c r="U1091" s="16"/>
      <c r="V1091" s="16"/>
      <c r="X1091" s="16"/>
      <c r="AB1091" s="16"/>
      <c r="AC1091" s="16"/>
      <c r="AD1091" s="16"/>
      <c r="AF1091" s="16"/>
      <c r="AG1091" s="16"/>
      <c r="AH1091" s="16"/>
      <c r="AI1091" s="16"/>
    </row>
    <row r="1092" spans="1:35" s="18" customFormat="1" x14ac:dyDescent="0.25">
      <c r="A1092" s="16"/>
      <c r="B1092" s="16"/>
      <c r="C1092" s="16"/>
      <c r="D1092" s="17"/>
      <c r="E1092" s="16"/>
      <c r="F1092"/>
      <c r="G1092"/>
      <c r="H1092"/>
      <c r="J1092" s="16"/>
      <c r="K1092" s="16"/>
      <c r="L1092" s="37"/>
      <c r="N1092" s="16"/>
      <c r="O1092" s="16"/>
      <c r="P1092" s="16"/>
      <c r="Q1092" s="16"/>
      <c r="R1092" s="16"/>
      <c r="S1092" s="16"/>
      <c r="T1092" s="16"/>
      <c r="U1092" s="16"/>
      <c r="V1092" s="16"/>
      <c r="X1092" s="16"/>
      <c r="AB1092" s="16"/>
      <c r="AC1092" s="16"/>
      <c r="AD1092" s="16"/>
      <c r="AF1092" s="16"/>
      <c r="AG1092" s="16"/>
      <c r="AH1092" s="16"/>
      <c r="AI1092" s="16"/>
    </row>
    <row r="1093" spans="1:35" s="18" customFormat="1" x14ac:dyDescent="0.25">
      <c r="A1093" s="16"/>
      <c r="B1093" s="16"/>
      <c r="C1093" s="16"/>
      <c r="D1093" s="17"/>
      <c r="E1093" s="16"/>
      <c r="F1093"/>
      <c r="G1093"/>
      <c r="H1093"/>
      <c r="J1093" s="16"/>
      <c r="K1093" s="16"/>
      <c r="L1093" s="37"/>
      <c r="N1093" s="16"/>
      <c r="O1093" s="16"/>
      <c r="P1093" s="16"/>
      <c r="Q1093" s="16"/>
      <c r="R1093" s="16"/>
      <c r="S1093" s="16"/>
      <c r="T1093" s="16"/>
      <c r="U1093" s="16"/>
      <c r="V1093" s="16"/>
      <c r="X1093" s="16"/>
      <c r="AB1093" s="16"/>
      <c r="AC1093" s="16"/>
      <c r="AD1093" s="16"/>
      <c r="AF1093" s="16"/>
      <c r="AG1093" s="16"/>
      <c r="AH1093" s="16"/>
      <c r="AI1093" s="16"/>
    </row>
    <row r="1094" spans="1:35" s="18" customFormat="1" x14ac:dyDescent="0.25">
      <c r="A1094" s="16"/>
      <c r="B1094" s="16"/>
      <c r="C1094" s="16"/>
      <c r="D1094" s="17"/>
      <c r="E1094" s="16"/>
      <c r="F1094"/>
      <c r="G1094"/>
      <c r="H1094"/>
      <c r="J1094" s="16"/>
      <c r="K1094" s="16"/>
      <c r="L1094" s="37"/>
      <c r="N1094" s="16"/>
      <c r="O1094" s="16"/>
      <c r="P1094" s="16"/>
      <c r="Q1094" s="16"/>
      <c r="R1094" s="16"/>
      <c r="S1094" s="16"/>
      <c r="T1094" s="16"/>
      <c r="U1094" s="16"/>
      <c r="V1094" s="16"/>
      <c r="X1094" s="16"/>
      <c r="AB1094" s="16"/>
      <c r="AC1094" s="16"/>
      <c r="AD1094" s="16"/>
      <c r="AF1094" s="16"/>
      <c r="AG1094" s="16"/>
      <c r="AH1094" s="16"/>
      <c r="AI1094" s="16"/>
    </row>
    <row r="1095" spans="1:35" s="18" customFormat="1" x14ac:dyDescent="0.25">
      <c r="A1095" s="16"/>
      <c r="B1095" s="16"/>
      <c r="C1095" s="16"/>
      <c r="D1095" s="17"/>
      <c r="E1095" s="16"/>
      <c r="F1095"/>
      <c r="G1095"/>
      <c r="H1095"/>
      <c r="J1095" s="16"/>
      <c r="K1095" s="16"/>
      <c r="L1095" s="37"/>
      <c r="N1095" s="16"/>
      <c r="O1095" s="16"/>
      <c r="P1095" s="16"/>
      <c r="Q1095" s="16"/>
      <c r="R1095" s="16"/>
      <c r="S1095" s="16"/>
      <c r="T1095" s="16"/>
      <c r="U1095" s="16"/>
      <c r="V1095" s="16"/>
      <c r="X1095" s="16"/>
      <c r="AB1095" s="16"/>
      <c r="AC1095" s="16"/>
      <c r="AD1095" s="16"/>
      <c r="AF1095" s="16"/>
      <c r="AG1095" s="16"/>
      <c r="AH1095" s="16"/>
      <c r="AI1095" s="16"/>
    </row>
    <row r="1096" spans="1:35" s="18" customFormat="1" x14ac:dyDescent="0.25">
      <c r="A1096" s="16"/>
      <c r="B1096" s="16"/>
      <c r="C1096" s="16"/>
      <c r="D1096" s="17"/>
      <c r="E1096" s="16"/>
      <c r="F1096"/>
      <c r="G1096"/>
      <c r="H1096"/>
      <c r="J1096" s="16"/>
      <c r="K1096" s="16"/>
      <c r="L1096" s="37"/>
      <c r="N1096" s="16"/>
      <c r="O1096" s="16"/>
      <c r="P1096" s="16"/>
      <c r="Q1096" s="16"/>
      <c r="R1096" s="16"/>
      <c r="S1096" s="16"/>
      <c r="T1096" s="16"/>
      <c r="U1096" s="16"/>
      <c r="V1096" s="16"/>
      <c r="X1096" s="16"/>
      <c r="AB1096" s="16"/>
      <c r="AC1096" s="16"/>
      <c r="AD1096" s="16"/>
      <c r="AF1096" s="16"/>
      <c r="AG1096" s="16"/>
      <c r="AH1096" s="16"/>
      <c r="AI1096" s="16"/>
    </row>
    <row r="1097" spans="1:35" s="18" customFormat="1" x14ac:dyDescent="0.25">
      <c r="A1097" s="16"/>
      <c r="B1097" s="16"/>
      <c r="C1097" s="16"/>
      <c r="D1097" s="17"/>
      <c r="E1097" s="16"/>
      <c r="F1097"/>
      <c r="G1097"/>
      <c r="H1097"/>
      <c r="J1097" s="16"/>
      <c r="K1097" s="16"/>
      <c r="L1097" s="37"/>
      <c r="N1097" s="16"/>
      <c r="O1097" s="16"/>
      <c r="P1097" s="16"/>
      <c r="Q1097" s="16"/>
      <c r="R1097" s="16"/>
      <c r="S1097" s="16"/>
      <c r="T1097" s="16"/>
      <c r="U1097" s="16"/>
      <c r="V1097" s="16"/>
      <c r="X1097" s="16"/>
      <c r="AB1097" s="16"/>
      <c r="AC1097" s="16"/>
      <c r="AD1097" s="16"/>
      <c r="AF1097" s="16"/>
      <c r="AG1097" s="16"/>
      <c r="AH1097" s="16"/>
      <c r="AI1097" s="16"/>
    </row>
    <row r="1098" spans="1:35" s="18" customFormat="1" x14ac:dyDescent="0.25">
      <c r="A1098" s="16"/>
      <c r="B1098" s="16"/>
      <c r="C1098" s="16"/>
      <c r="D1098" s="17"/>
      <c r="E1098" s="16"/>
      <c r="F1098"/>
      <c r="G1098"/>
      <c r="H1098"/>
      <c r="J1098" s="16"/>
      <c r="K1098" s="16"/>
      <c r="L1098" s="37"/>
      <c r="N1098" s="16"/>
      <c r="O1098" s="16"/>
      <c r="P1098" s="16"/>
      <c r="Q1098" s="16"/>
      <c r="R1098" s="16"/>
      <c r="S1098" s="16"/>
      <c r="T1098" s="16"/>
      <c r="U1098" s="16"/>
      <c r="V1098" s="16"/>
      <c r="X1098" s="16"/>
      <c r="AB1098" s="16"/>
      <c r="AC1098" s="16"/>
      <c r="AD1098" s="16"/>
      <c r="AF1098" s="16"/>
      <c r="AG1098" s="16"/>
      <c r="AH1098" s="16"/>
      <c r="AI1098" s="16"/>
    </row>
    <row r="1099" spans="1:35" s="18" customFormat="1" x14ac:dyDescent="0.25">
      <c r="A1099" s="16"/>
      <c r="B1099" s="16"/>
      <c r="C1099" s="16"/>
      <c r="D1099" s="17"/>
      <c r="E1099" s="16"/>
      <c r="F1099"/>
      <c r="G1099"/>
      <c r="H1099"/>
      <c r="J1099" s="16"/>
      <c r="K1099" s="16"/>
      <c r="L1099" s="37"/>
      <c r="N1099" s="16"/>
      <c r="O1099" s="16"/>
      <c r="P1099" s="16"/>
      <c r="Q1099" s="16"/>
      <c r="R1099" s="16"/>
      <c r="S1099" s="16"/>
      <c r="T1099" s="16"/>
      <c r="U1099" s="16"/>
      <c r="V1099" s="16"/>
      <c r="X1099" s="16"/>
      <c r="AB1099" s="16"/>
      <c r="AC1099" s="16"/>
      <c r="AD1099" s="16"/>
      <c r="AF1099" s="16"/>
      <c r="AG1099" s="16"/>
      <c r="AH1099" s="16"/>
      <c r="AI1099" s="16"/>
    </row>
    <row r="1100" spans="1:35" s="18" customFormat="1" x14ac:dyDescent="0.25">
      <c r="A1100" s="16"/>
      <c r="B1100" s="16"/>
      <c r="C1100" s="16"/>
      <c r="D1100" s="17"/>
      <c r="E1100" s="16"/>
      <c r="F1100"/>
      <c r="G1100"/>
      <c r="H1100"/>
      <c r="J1100" s="16"/>
      <c r="K1100" s="16"/>
      <c r="L1100" s="37"/>
      <c r="N1100" s="16"/>
      <c r="O1100" s="16"/>
      <c r="P1100" s="16"/>
      <c r="Q1100" s="16"/>
      <c r="R1100" s="16"/>
      <c r="S1100" s="16"/>
      <c r="T1100" s="16"/>
      <c r="U1100" s="16"/>
      <c r="V1100" s="16"/>
      <c r="X1100" s="16"/>
      <c r="AB1100" s="16"/>
      <c r="AC1100" s="16"/>
      <c r="AD1100" s="16"/>
      <c r="AF1100" s="16"/>
      <c r="AG1100" s="16"/>
      <c r="AH1100" s="16"/>
      <c r="AI1100" s="16"/>
    </row>
    <row r="1101" spans="1:35" s="18" customFormat="1" x14ac:dyDescent="0.25">
      <c r="A1101" s="16"/>
      <c r="B1101" s="16"/>
      <c r="C1101" s="16"/>
      <c r="D1101" s="17"/>
      <c r="E1101" s="16"/>
      <c r="F1101"/>
      <c r="G1101"/>
      <c r="H1101"/>
      <c r="J1101" s="16"/>
      <c r="K1101" s="16"/>
      <c r="L1101" s="37"/>
      <c r="N1101" s="16"/>
      <c r="O1101" s="16"/>
      <c r="P1101" s="16"/>
      <c r="Q1101" s="16"/>
      <c r="R1101" s="16"/>
      <c r="S1101" s="16"/>
      <c r="T1101" s="16"/>
      <c r="U1101" s="16"/>
      <c r="V1101" s="16"/>
      <c r="X1101" s="16"/>
      <c r="AB1101" s="16"/>
      <c r="AC1101" s="16"/>
      <c r="AD1101" s="16"/>
      <c r="AF1101" s="16"/>
      <c r="AG1101" s="16"/>
      <c r="AH1101" s="16"/>
      <c r="AI1101" s="16"/>
    </row>
    <row r="1102" spans="1:35" s="18" customFormat="1" x14ac:dyDescent="0.25">
      <c r="A1102" s="16"/>
      <c r="B1102" s="16"/>
      <c r="C1102" s="16"/>
      <c r="D1102" s="17"/>
      <c r="E1102" s="16"/>
      <c r="F1102"/>
      <c r="G1102"/>
      <c r="H1102"/>
      <c r="J1102" s="16"/>
      <c r="K1102" s="16"/>
      <c r="L1102" s="37"/>
      <c r="N1102" s="16"/>
      <c r="O1102" s="16"/>
      <c r="P1102" s="16"/>
      <c r="Q1102" s="16"/>
      <c r="R1102" s="16"/>
      <c r="S1102" s="16"/>
      <c r="T1102" s="16"/>
      <c r="U1102" s="16"/>
      <c r="V1102" s="16"/>
      <c r="X1102" s="16"/>
      <c r="AB1102" s="16"/>
      <c r="AC1102" s="16"/>
      <c r="AD1102" s="16"/>
      <c r="AF1102" s="16"/>
      <c r="AG1102" s="16"/>
      <c r="AH1102" s="16"/>
      <c r="AI1102" s="16"/>
    </row>
    <row r="1103" spans="1:35" s="18" customFormat="1" x14ac:dyDescent="0.25">
      <c r="A1103" s="16"/>
      <c r="B1103" s="16"/>
      <c r="C1103" s="16"/>
      <c r="D1103" s="17"/>
      <c r="E1103" s="16"/>
      <c r="F1103"/>
      <c r="G1103"/>
      <c r="H1103"/>
      <c r="J1103" s="16"/>
      <c r="K1103" s="16"/>
      <c r="L1103" s="37"/>
      <c r="N1103" s="16"/>
      <c r="O1103" s="16"/>
      <c r="P1103" s="16"/>
      <c r="Q1103" s="16"/>
      <c r="R1103" s="16"/>
      <c r="S1103" s="16"/>
      <c r="T1103" s="16"/>
      <c r="U1103" s="16"/>
      <c r="V1103" s="16"/>
      <c r="X1103" s="16"/>
      <c r="AB1103" s="16"/>
      <c r="AC1103" s="16"/>
      <c r="AD1103" s="16"/>
      <c r="AF1103" s="16"/>
      <c r="AG1103" s="16"/>
      <c r="AH1103" s="16"/>
      <c r="AI1103" s="16"/>
    </row>
    <row r="1104" spans="1:35" s="18" customFormat="1" x14ac:dyDescent="0.25">
      <c r="A1104" s="16"/>
      <c r="B1104" s="16"/>
      <c r="C1104" s="16"/>
      <c r="D1104" s="17"/>
      <c r="E1104" s="16"/>
      <c r="F1104"/>
      <c r="G1104"/>
      <c r="H1104"/>
      <c r="J1104" s="16"/>
      <c r="K1104" s="16"/>
      <c r="L1104" s="37"/>
      <c r="N1104" s="16"/>
      <c r="O1104" s="16"/>
      <c r="P1104" s="16"/>
      <c r="Q1104" s="16"/>
      <c r="R1104" s="16"/>
      <c r="S1104" s="16"/>
      <c r="T1104" s="16"/>
      <c r="U1104" s="16"/>
      <c r="V1104" s="16"/>
      <c r="X1104" s="16"/>
      <c r="AB1104" s="16"/>
      <c r="AC1104" s="16"/>
      <c r="AD1104" s="16"/>
      <c r="AF1104" s="16"/>
      <c r="AG1104" s="16"/>
      <c r="AH1104" s="16"/>
      <c r="AI1104" s="16"/>
    </row>
    <row r="1105" spans="1:35" s="18" customFormat="1" x14ac:dyDescent="0.25">
      <c r="A1105" s="16"/>
      <c r="B1105" s="16"/>
      <c r="C1105" s="16"/>
      <c r="D1105" s="17"/>
      <c r="E1105" s="16"/>
      <c r="F1105"/>
      <c r="G1105"/>
      <c r="H1105"/>
      <c r="J1105" s="16"/>
      <c r="K1105" s="16"/>
      <c r="L1105" s="37"/>
      <c r="N1105" s="16"/>
      <c r="O1105" s="16"/>
      <c r="P1105" s="16"/>
      <c r="Q1105" s="16"/>
      <c r="R1105" s="16"/>
      <c r="S1105" s="16"/>
      <c r="T1105" s="16"/>
      <c r="U1105" s="16"/>
      <c r="V1105" s="16"/>
      <c r="X1105" s="16"/>
      <c r="AB1105" s="16"/>
      <c r="AC1105" s="16"/>
      <c r="AD1105" s="16"/>
      <c r="AF1105" s="16"/>
      <c r="AG1105" s="16"/>
      <c r="AH1105" s="16"/>
      <c r="AI1105" s="16"/>
    </row>
    <row r="1106" spans="1:35" s="18" customFormat="1" x14ac:dyDescent="0.25">
      <c r="A1106" s="16"/>
      <c r="B1106" s="16"/>
      <c r="C1106" s="16"/>
      <c r="D1106" s="17"/>
      <c r="E1106" s="16"/>
      <c r="F1106"/>
      <c r="G1106"/>
      <c r="H1106"/>
      <c r="J1106" s="16"/>
      <c r="K1106" s="16"/>
      <c r="L1106" s="37"/>
      <c r="N1106" s="16"/>
      <c r="O1106" s="16"/>
      <c r="P1106" s="16"/>
      <c r="Q1106" s="16"/>
      <c r="R1106" s="16"/>
      <c r="S1106" s="16"/>
      <c r="T1106" s="16"/>
      <c r="U1106" s="16"/>
      <c r="V1106" s="16"/>
      <c r="X1106" s="16"/>
      <c r="AB1106" s="16"/>
      <c r="AC1106" s="16"/>
      <c r="AD1106" s="16"/>
      <c r="AF1106" s="16"/>
      <c r="AG1106" s="16"/>
      <c r="AH1106" s="16"/>
      <c r="AI1106" s="16"/>
    </row>
    <row r="1107" spans="1:35" s="18" customFormat="1" x14ac:dyDescent="0.25">
      <c r="A1107" s="16"/>
      <c r="B1107" s="16"/>
      <c r="C1107" s="16"/>
      <c r="D1107" s="17"/>
      <c r="E1107" s="16"/>
      <c r="F1107"/>
      <c r="G1107"/>
      <c r="H1107"/>
      <c r="J1107" s="16"/>
      <c r="K1107" s="16"/>
      <c r="L1107" s="37"/>
      <c r="N1107" s="16"/>
      <c r="O1107" s="16"/>
      <c r="P1107" s="16"/>
      <c r="Q1107" s="16"/>
      <c r="R1107" s="16"/>
      <c r="S1107" s="16"/>
      <c r="T1107" s="16"/>
      <c r="U1107" s="16"/>
      <c r="V1107" s="16"/>
      <c r="X1107" s="16"/>
      <c r="AB1107" s="16"/>
      <c r="AC1107" s="16"/>
      <c r="AD1107" s="16"/>
      <c r="AF1107" s="16"/>
      <c r="AG1107" s="16"/>
      <c r="AH1107" s="16"/>
      <c r="AI1107" s="16"/>
    </row>
    <row r="1108" spans="1:35" s="18" customFormat="1" x14ac:dyDescent="0.25">
      <c r="A1108" s="16"/>
      <c r="B1108" s="16"/>
      <c r="C1108" s="16"/>
      <c r="D1108" s="17"/>
      <c r="E1108" s="16"/>
      <c r="F1108"/>
      <c r="G1108"/>
      <c r="H1108"/>
      <c r="J1108" s="16"/>
      <c r="K1108" s="16"/>
      <c r="L1108" s="37"/>
      <c r="N1108" s="16"/>
      <c r="O1108" s="16"/>
      <c r="P1108" s="16"/>
      <c r="Q1108" s="16"/>
      <c r="R1108" s="16"/>
      <c r="S1108" s="16"/>
      <c r="T1108" s="16"/>
      <c r="U1108" s="16"/>
      <c r="V1108" s="16"/>
      <c r="X1108" s="16"/>
      <c r="AB1108" s="16"/>
      <c r="AC1108" s="16"/>
      <c r="AD1108" s="16"/>
      <c r="AF1108" s="16"/>
      <c r="AG1108" s="16"/>
      <c r="AH1108" s="16"/>
      <c r="AI1108" s="16"/>
    </row>
    <row r="1109" spans="1:35" s="18" customFormat="1" x14ac:dyDescent="0.25">
      <c r="A1109" s="16"/>
      <c r="B1109" s="16"/>
      <c r="C1109" s="16"/>
      <c r="D1109" s="17"/>
      <c r="E1109" s="16"/>
      <c r="F1109"/>
      <c r="G1109"/>
      <c r="H1109"/>
      <c r="J1109" s="16"/>
      <c r="K1109" s="16"/>
      <c r="L1109" s="37"/>
      <c r="N1109" s="16"/>
      <c r="O1109" s="16"/>
      <c r="P1109" s="16"/>
      <c r="Q1109" s="16"/>
      <c r="R1109" s="16"/>
      <c r="S1109" s="16"/>
      <c r="T1109" s="16"/>
      <c r="U1109" s="16"/>
      <c r="V1109" s="16"/>
      <c r="X1109" s="16"/>
      <c r="AB1109" s="16"/>
      <c r="AC1109" s="16"/>
      <c r="AD1109" s="16"/>
      <c r="AF1109" s="16"/>
      <c r="AG1109" s="16"/>
      <c r="AH1109" s="16"/>
      <c r="AI1109" s="16"/>
    </row>
    <row r="1110" spans="1:35" s="18" customFormat="1" x14ac:dyDescent="0.25">
      <c r="A1110" s="16"/>
      <c r="B1110" s="16"/>
      <c r="C1110" s="16"/>
      <c r="D1110" s="17"/>
      <c r="E1110" s="16"/>
      <c r="F1110"/>
      <c r="G1110"/>
      <c r="H1110"/>
      <c r="J1110" s="16"/>
      <c r="K1110" s="16"/>
      <c r="L1110" s="37"/>
      <c r="N1110" s="16"/>
      <c r="O1110" s="16"/>
      <c r="P1110" s="16"/>
      <c r="Q1110" s="16"/>
      <c r="R1110" s="16"/>
      <c r="S1110" s="16"/>
      <c r="T1110" s="16"/>
      <c r="U1110" s="16"/>
      <c r="V1110" s="16"/>
      <c r="X1110" s="16"/>
      <c r="AB1110" s="16"/>
      <c r="AC1110" s="16"/>
      <c r="AD1110" s="16"/>
      <c r="AF1110" s="16"/>
      <c r="AG1110" s="16"/>
      <c r="AH1110" s="16"/>
      <c r="AI1110" s="16"/>
    </row>
    <row r="1111" spans="1:35" s="18" customFormat="1" x14ac:dyDescent="0.25">
      <c r="A1111" s="16"/>
      <c r="B1111" s="16"/>
      <c r="C1111" s="16"/>
      <c r="D1111" s="17"/>
      <c r="E1111" s="16"/>
      <c r="F1111"/>
      <c r="G1111"/>
      <c r="H1111"/>
      <c r="J1111" s="16"/>
      <c r="K1111" s="16"/>
      <c r="L1111" s="37"/>
      <c r="N1111" s="16"/>
      <c r="O1111" s="16"/>
      <c r="P1111" s="16"/>
      <c r="Q1111" s="16"/>
      <c r="R1111" s="16"/>
      <c r="S1111" s="16"/>
      <c r="T1111" s="16"/>
      <c r="U1111" s="16"/>
      <c r="V1111" s="16"/>
      <c r="X1111" s="16"/>
      <c r="AB1111" s="16"/>
      <c r="AC1111" s="16"/>
      <c r="AD1111" s="16"/>
      <c r="AF1111" s="16"/>
      <c r="AG1111" s="16"/>
      <c r="AH1111" s="16"/>
      <c r="AI1111" s="16"/>
    </row>
    <row r="1114" spans="1:35" s="18" customFormat="1" x14ac:dyDescent="0.25">
      <c r="A1114" s="16"/>
      <c r="B1114" s="16"/>
      <c r="C1114" s="16"/>
      <c r="D1114" s="38"/>
      <c r="E1114" s="16"/>
      <c r="F1114"/>
      <c r="G1114"/>
      <c r="H1114"/>
      <c r="J1114" s="16"/>
      <c r="K1114" s="16"/>
      <c r="N1114" s="16"/>
      <c r="O1114" s="16"/>
      <c r="P1114" s="16"/>
      <c r="Q1114" s="16"/>
      <c r="R1114" s="16"/>
      <c r="S1114" s="16"/>
      <c r="T1114" s="16"/>
      <c r="U1114" s="16"/>
      <c r="V1114" s="16"/>
      <c r="X1114" s="16"/>
      <c r="AB1114" s="16"/>
      <c r="AC1114" s="16"/>
      <c r="AD1114" s="16"/>
      <c r="AF1114" s="16"/>
      <c r="AG1114" s="16"/>
      <c r="AH1114" s="16"/>
      <c r="AI1114" s="16"/>
    </row>
    <row r="1115" spans="1:35" s="18" customFormat="1" x14ac:dyDescent="0.25">
      <c r="A1115" s="16"/>
      <c r="B1115" s="16"/>
      <c r="C1115" s="16"/>
      <c r="D1115" s="38"/>
      <c r="E1115" s="16"/>
      <c r="F1115"/>
      <c r="G1115"/>
      <c r="H1115"/>
      <c r="J1115" s="16"/>
      <c r="K1115" s="16"/>
      <c r="N1115" s="16"/>
      <c r="O1115" s="16"/>
      <c r="P1115" s="16"/>
      <c r="Q1115" s="16"/>
      <c r="R1115" s="16"/>
      <c r="S1115" s="16"/>
      <c r="T1115" s="16"/>
      <c r="U1115" s="16"/>
      <c r="V1115" s="16"/>
      <c r="X1115" s="16"/>
      <c r="AB1115" s="16"/>
      <c r="AC1115" s="16"/>
      <c r="AD1115" s="16"/>
      <c r="AF1115" s="16"/>
      <c r="AG1115" s="16"/>
      <c r="AH1115" s="16"/>
      <c r="AI1115" s="16"/>
    </row>
  </sheetData>
  <autoFilter ref="A10:AJ392" xr:uid="{49B1DD99-D379-4B6D-9487-3A89D96F9D86}"/>
  <mergeCells count="1">
    <mergeCell ref="Z3:AA3"/>
  </mergeCells>
  <phoneticPr fontId="18" type="noConversion"/>
  <conditionalFormatting sqref="A1:A1048576">
    <cfRule type="duplicateValues" dxfId="0" priority="1"/>
  </conditionalFormatting>
  <pageMargins left="0.25" right="0.25" top="0.75" bottom="0.75" header="0.3" footer="0.3"/>
  <pageSetup scale="32" fitToHeight="0" orientation="landscape" r:id="rId1"/>
  <headerFooter>
    <oddHeader>&amp;L&amp;G</oddHeader>
    <oddFooter>&amp;C&amp;14&amp;A&amp;R&amp;14&amp;P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9CCD-B94E-4AE5-B20C-F89EAF80821A}">
  <dimension ref="C2:G36"/>
  <sheetViews>
    <sheetView workbookViewId="0">
      <selection activeCell="J17" sqref="J17"/>
    </sheetView>
  </sheetViews>
  <sheetFormatPr defaultRowHeight="15" x14ac:dyDescent="0.25"/>
  <cols>
    <col min="3" max="3" width="26" bestFit="1" customWidth="1"/>
    <col min="4" max="4" width="16.28515625" bestFit="1" customWidth="1"/>
    <col min="5" max="7" width="18" customWidth="1"/>
  </cols>
  <sheetData>
    <row r="2" spans="3:7" x14ac:dyDescent="0.25">
      <c r="C2" t="s">
        <v>1</v>
      </c>
    </row>
    <row r="3" spans="3:7" x14ac:dyDescent="0.25">
      <c r="D3" s="84" t="s">
        <v>1144</v>
      </c>
    </row>
    <row r="4" spans="3:7" x14ac:dyDescent="0.25">
      <c r="D4" t="s">
        <v>46</v>
      </c>
      <c r="E4" t="s">
        <v>55</v>
      </c>
      <c r="F4" t="s">
        <v>59</v>
      </c>
      <c r="G4" t="s">
        <v>1143</v>
      </c>
    </row>
    <row r="5" spans="3:7" x14ac:dyDescent="0.25">
      <c r="C5" t="s">
        <v>1145</v>
      </c>
      <c r="D5" s="25">
        <v>473375.3000000001</v>
      </c>
      <c r="E5" s="25">
        <v>159249.44999999992</v>
      </c>
      <c r="F5" s="25">
        <v>1738748.6999999997</v>
      </c>
      <c r="G5" s="25">
        <v>2371373.4499999997</v>
      </c>
    </row>
    <row r="8" spans="3:7" x14ac:dyDescent="0.25">
      <c r="C8" t="s">
        <v>1146</v>
      </c>
    </row>
    <row r="9" spans="3:7" x14ac:dyDescent="0.25">
      <c r="C9" s="84" t="s">
        <v>1145</v>
      </c>
      <c r="D9" s="84" t="s">
        <v>1144</v>
      </c>
    </row>
    <row r="10" spans="3:7" x14ac:dyDescent="0.25">
      <c r="C10" s="84" t="s">
        <v>1142</v>
      </c>
      <c r="D10" t="s">
        <v>46</v>
      </c>
      <c r="E10" t="s">
        <v>55</v>
      </c>
      <c r="F10" t="s">
        <v>59</v>
      </c>
      <c r="G10" t="s">
        <v>1143</v>
      </c>
    </row>
    <row r="11" spans="3:7" x14ac:dyDescent="0.25">
      <c r="C11" s="85" t="s">
        <v>52</v>
      </c>
      <c r="D11" s="25">
        <v>111894.73</v>
      </c>
      <c r="E11" s="25">
        <v>51308.299999999996</v>
      </c>
      <c r="F11" s="25">
        <v>1494303.0800000003</v>
      </c>
      <c r="G11" s="25">
        <v>1657506.1100000003</v>
      </c>
    </row>
    <row r="12" spans="3:7" x14ac:dyDescent="0.25">
      <c r="C12" s="85" t="s">
        <v>1147</v>
      </c>
      <c r="D12" s="25">
        <v>361480.57000000024</v>
      </c>
      <c r="E12" s="25">
        <v>107941.15</v>
      </c>
      <c r="F12" s="25">
        <v>244445.61999999991</v>
      </c>
      <c r="G12" s="25">
        <v>713867.34000000008</v>
      </c>
    </row>
    <row r="13" spans="3:7" x14ac:dyDescent="0.25">
      <c r="C13" s="85" t="s">
        <v>1143</v>
      </c>
      <c r="D13" s="25">
        <v>473375.30000000022</v>
      </c>
      <c r="E13" s="25">
        <v>159249.44999999998</v>
      </c>
      <c r="F13" s="25">
        <v>1738748.7000000002</v>
      </c>
      <c r="G13" s="25">
        <v>2371373.4500000002</v>
      </c>
    </row>
    <row r="16" spans="3:7" x14ac:dyDescent="0.25">
      <c r="C16" s="85" t="s">
        <v>1149</v>
      </c>
    </row>
    <row r="17" spans="3:7" x14ac:dyDescent="0.25">
      <c r="C17" s="84" t="s">
        <v>1141</v>
      </c>
      <c r="D17" s="84" t="s">
        <v>1144</v>
      </c>
    </row>
    <row r="18" spans="3:7" x14ac:dyDescent="0.25">
      <c r="C18" s="84" t="s">
        <v>1142</v>
      </c>
      <c r="D18" t="s">
        <v>46</v>
      </c>
      <c r="E18" t="s">
        <v>55</v>
      </c>
      <c r="F18" t="s">
        <v>59</v>
      </c>
      <c r="G18" t="s">
        <v>1143</v>
      </c>
    </row>
    <row r="19" spans="3:7" x14ac:dyDescent="0.25">
      <c r="C19" s="85" t="s">
        <v>60</v>
      </c>
      <c r="D19" s="25">
        <v>130.66999999999999</v>
      </c>
      <c r="E19" s="25"/>
      <c r="F19" s="25"/>
      <c r="G19" s="25">
        <v>130.66999999999999</v>
      </c>
    </row>
    <row r="20" spans="3:7" x14ac:dyDescent="0.25">
      <c r="C20" s="85" t="s">
        <v>66</v>
      </c>
      <c r="D20" s="25"/>
      <c r="E20" s="25">
        <v>1149.1099999999999</v>
      </c>
      <c r="F20" s="25"/>
      <c r="G20" s="25">
        <v>1149.1099999999999</v>
      </c>
    </row>
    <row r="21" spans="3:7" x14ac:dyDescent="0.25">
      <c r="C21" s="85" t="s">
        <v>67</v>
      </c>
      <c r="D21" s="25">
        <v>36931.990000000005</v>
      </c>
      <c r="E21" s="25">
        <v>1188.57</v>
      </c>
      <c r="F21" s="25"/>
      <c r="G21" s="25">
        <v>38120.560000000005</v>
      </c>
    </row>
    <row r="22" spans="3:7" x14ac:dyDescent="0.25">
      <c r="C22" s="85" t="s">
        <v>6</v>
      </c>
      <c r="D22" s="25">
        <v>55544.01999999999</v>
      </c>
      <c r="E22" s="25">
        <v>77116.219999999987</v>
      </c>
      <c r="F22" s="25">
        <v>199976.28999999995</v>
      </c>
      <c r="G22" s="25">
        <v>332636.52999999991</v>
      </c>
    </row>
    <row r="23" spans="3:7" x14ac:dyDescent="0.25">
      <c r="C23" s="85" t="s">
        <v>58</v>
      </c>
      <c r="D23" s="25">
        <v>17810.36</v>
      </c>
      <c r="E23" s="25">
        <v>176.29</v>
      </c>
      <c r="F23" s="25">
        <v>2579.2199999999998</v>
      </c>
      <c r="G23" s="25">
        <v>20565.870000000003</v>
      </c>
    </row>
    <row r="24" spans="3:7" x14ac:dyDescent="0.25">
      <c r="C24" s="85" t="s">
        <v>57</v>
      </c>
      <c r="D24" s="25">
        <v>6278.8300000000008</v>
      </c>
      <c r="E24" s="25">
        <v>427.02</v>
      </c>
      <c r="F24" s="25"/>
      <c r="G24" s="25">
        <v>6705.85</v>
      </c>
    </row>
    <row r="25" spans="3:7" x14ac:dyDescent="0.25">
      <c r="C25" s="85" t="s">
        <v>63</v>
      </c>
      <c r="D25" s="25">
        <v>125131.09999999999</v>
      </c>
      <c r="E25" s="25">
        <v>1074.6499999999999</v>
      </c>
      <c r="F25" s="25">
        <v>177.83</v>
      </c>
      <c r="G25" s="25">
        <v>126383.57999999999</v>
      </c>
    </row>
    <row r="26" spans="3:7" x14ac:dyDescent="0.25">
      <c r="C26" s="85" t="s">
        <v>62</v>
      </c>
      <c r="D26" s="25">
        <v>500.09000000000003</v>
      </c>
      <c r="E26" s="25"/>
      <c r="F26" s="25"/>
      <c r="G26" s="25">
        <v>500.09000000000003</v>
      </c>
    </row>
    <row r="27" spans="3:7" x14ac:dyDescent="0.25">
      <c r="C27" s="85" t="s">
        <v>64</v>
      </c>
      <c r="D27" s="25">
        <v>1821.85</v>
      </c>
      <c r="E27" s="25">
        <v>436.55</v>
      </c>
      <c r="F27" s="25">
        <v>20729.060000000001</v>
      </c>
      <c r="G27" s="25">
        <v>22987.460000000003</v>
      </c>
    </row>
    <row r="28" spans="3:7" x14ac:dyDescent="0.25">
      <c r="C28" s="85" t="s">
        <v>56</v>
      </c>
      <c r="D28" s="25"/>
      <c r="E28" s="25">
        <v>2504.86</v>
      </c>
      <c r="F28" s="25"/>
      <c r="G28" s="25">
        <v>2504.86</v>
      </c>
    </row>
    <row r="29" spans="3:7" x14ac:dyDescent="0.25">
      <c r="C29" s="85" t="s">
        <v>69</v>
      </c>
      <c r="D29" s="25">
        <v>44695.22</v>
      </c>
      <c r="E29" s="25"/>
      <c r="F29" s="25"/>
      <c r="G29" s="25">
        <v>44695.22</v>
      </c>
    </row>
    <row r="30" spans="3:7" x14ac:dyDescent="0.25">
      <c r="C30" s="85" t="s">
        <v>49</v>
      </c>
      <c r="D30" s="25">
        <v>2093.0500000000002</v>
      </c>
      <c r="E30" s="25"/>
      <c r="F30" s="25"/>
      <c r="G30" s="25">
        <v>2093.0500000000002</v>
      </c>
    </row>
    <row r="31" spans="3:7" x14ac:dyDescent="0.25">
      <c r="C31" s="85" t="s">
        <v>70</v>
      </c>
      <c r="D31" s="25"/>
      <c r="E31" s="25">
        <v>4114.37</v>
      </c>
      <c r="F31" s="25"/>
      <c r="G31" s="25">
        <v>4114.37</v>
      </c>
    </row>
    <row r="32" spans="3:7" x14ac:dyDescent="0.25">
      <c r="C32" s="85" t="s">
        <v>68</v>
      </c>
      <c r="D32" s="25">
        <v>882.04</v>
      </c>
      <c r="E32" s="25"/>
      <c r="F32" s="25"/>
      <c r="G32" s="25">
        <v>882.04</v>
      </c>
    </row>
    <row r="33" spans="3:7" x14ac:dyDescent="0.25">
      <c r="C33" s="85" t="s">
        <v>54</v>
      </c>
      <c r="D33" s="25">
        <v>68212.639999999999</v>
      </c>
      <c r="E33" s="25">
        <v>2739.7</v>
      </c>
      <c r="F33" s="25"/>
      <c r="G33" s="25">
        <v>70952.34</v>
      </c>
    </row>
    <row r="34" spans="3:7" x14ac:dyDescent="0.25">
      <c r="C34" s="85" t="s">
        <v>61</v>
      </c>
      <c r="D34" s="25">
        <v>1163.1299999999999</v>
      </c>
      <c r="E34" s="25">
        <v>13358.97</v>
      </c>
      <c r="F34" s="25">
        <v>20.38</v>
      </c>
      <c r="G34" s="25">
        <v>14542.479999999998</v>
      </c>
    </row>
    <row r="35" spans="3:7" x14ac:dyDescent="0.25">
      <c r="C35" s="85" t="s">
        <v>65</v>
      </c>
      <c r="D35" s="25">
        <v>285.58000000000004</v>
      </c>
      <c r="E35" s="25">
        <v>3654.84</v>
      </c>
      <c r="F35" s="25">
        <v>20962.84</v>
      </c>
      <c r="G35" s="25">
        <v>24903.260000000002</v>
      </c>
    </row>
    <row r="36" spans="3:7" x14ac:dyDescent="0.25">
      <c r="C36" s="85" t="s">
        <v>1143</v>
      </c>
      <c r="D36" s="25">
        <v>361480.57</v>
      </c>
      <c r="E36" s="25">
        <v>107941.14999999997</v>
      </c>
      <c r="F36" s="25">
        <v>244445.61999999994</v>
      </c>
      <c r="G36" s="25">
        <v>713867.33999999985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Liability Summary</vt:lpstr>
      <vt:lpstr>Data File</vt:lpstr>
      <vt:lpstr>Pivot</vt:lpstr>
      <vt:lpstr>'Data File'!Print_Area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