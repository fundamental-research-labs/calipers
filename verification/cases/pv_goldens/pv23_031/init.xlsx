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3560" yWindow="6560" windowWidth="37320" windowHeight="23080" xr2:uid="{00000000-000D-0000-FFFF-FFFF00000000}"/>
  </bookViews>
  <sheets>
    <sheet name="FO-Comps" sheetId="38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'FO-Comps'!$A$1:$U$33</definedName>
    <definedName name="Secondary_Shares">#REF!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8" l="1"/>
  <c r="T32" i="38" l="1"/>
  <c r="S32" i="38"/>
  <c r="T31" i="38"/>
  <c r="S31" i="38"/>
  <c r="T30" i="38"/>
  <c r="S30" i="38"/>
  <c r="T29" i="38"/>
  <c r="S29" i="38"/>
  <c r="T28" i="38"/>
  <c r="S28" i="38"/>
  <c r="Q26" i="38"/>
  <c r="P26" i="38"/>
  <c r="O26" i="38"/>
  <c r="N26" i="38"/>
  <c r="I26" i="38"/>
  <c r="G26" i="38"/>
  <c r="R26" i="38" s="1"/>
  <c r="Q25" i="38"/>
  <c r="P25" i="38"/>
  <c r="O25" i="38"/>
  <c r="N25" i="38"/>
  <c r="I25" i="38"/>
  <c r="G25" i="38"/>
  <c r="R25" i="38" s="1"/>
  <c r="R24" i="38"/>
  <c r="Q24" i="38"/>
  <c r="P24" i="38"/>
  <c r="O24" i="38"/>
  <c r="N24" i="38"/>
  <c r="I24" i="38"/>
  <c r="G24" i="38"/>
  <c r="R23" i="38"/>
  <c r="Q23" i="38"/>
  <c r="P23" i="38"/>
  <c r="O23" i="38"/>
  <c r="N23" i="38"/>
  <c r="I23" i="38"/>
  <c r="G23" i="38"/>
  <c r="Q22" i="38"/>
  <c r="P22" i="38"/>
  <c r="O22" i="38"/>
  <c r="N22" i="38"/>
  <c r="I22" i="38"/>
  <c r="G22" i="38"/>
  <c r="R22" i="38" s="1"/>
  <c r="Q21" i="38"/>
  <c r="P21" i="38"/>
  <c r="O21" i="38"/>
  <c r="N21" i="38"/>
  <c r="I21" i="38"/>
  <c r="G21" i="38"/>
  <c r="R21" i="38" s="1"/>
  <c r="Q20" i="38"/>
  <c r="P20" i="38"/>
  <c r="O20" i="38"/>
  <c r="N20" i="38"/>
  <c r="I20" i="38"/>
  <c r="G20" i="38"/>
  <c r="R20" i="38" s="1"/>
  <c r="Q19" i="38"/>
  <c r="P19" i="38"/>
  <c r="O19" i="38"/>
  <c r="N19" i="38"/>
  <c r="I19" i="38"/>
  <c r="G19" i="38"/>
  <c r="R19" i="38" s="1"/>
  <c r="Q18" i="38"/>
  <c r="P18" i="38"/>
  <c r="O18" i="38"/>
  <c r="N18" i="38"/>
  <c r="I18" i="38"/>
  <c r="G18" i="38"/>
  <c r="R18" i="38" s="1"/>
  <c r="R17" i="38"/>
  <c r="Q17" i="38"/>
  <c r="P17" i="38"/>
  <c r="O17" i="38"/>
  <c r="N17" i="38"/>
  <c r="I17" i="38"/>
  <c r="G17" i="38"/>
  <c r="Q16" i="38"/>
  <c r="P16" i="38"/>
  <c r="O16" i="38"/>
  <c r="N16" i="38"/>
  <c r="I16" i="38"/>
  <c r="G16" i="38"/>
  <c r="R16" i="38" s="1"/>
  <c r="R15" i="38"/>
  <c r="Q15" i="38"/>
  <c r="P15" i="38"/>
  <c r="O15" i="38"/>
  <c r="N15" i="38"/>
  <c r="I15" i="38"/>
  <c r="G15" i="38"/>
  <c r="Q14" i="38"/>
  <c r="P14" i="38"/>
  <c r="O14" i="38"/>
  <c r="N14" i="38"/>
  <c r="I14" i="38"/>
  <c r="G14" i="38"/>
  <c r="R14" i="38" s="1"/>
  <c r="Q13" i="38"/>
  <c r="P13" i="38"/>
  <c r="O13" i="38"/>
  <c r="N13" i="38"/>
  <c r="I13" i="38"/>
  <c r="G13" i="38"/>
  <c r="R13" i="38" s="1"/>
  <c r="Q12" i="38"/>
  <c r="P12" i="38"/>
  <c r="O12" i="38"/>
  <c r="N12" i="38"/>
  <c r="I12" i="38"/>
  <c r="G12" i="38"/>
  <c r="R12" i="38" s="1"/>
  <c r="Q11" i="38"/>
  <c r="P11" i="38"/>
  <c r="O11" i="38"/>
  <c r="N11" i="38"/>
  <c r="I11" i="38"/>
  <c r="G11" i="38"/>
  <c r="R11" i="38" s="1"/>
  <c r="Q10" i="38"/>
  <c r="P10" i="38"/>
  <c r="O10" i="38"/>
  <c r="N10" i="38"/>
  <c r="N29" i="38" s="1"/>
  <c r="I10" i="38"/>
  <c r="G10" i="38"/>
  <c r="R10" i="38" s="1"/>
  <c r="Q9" i="38"/>
  <c r="P9" i="38"/>
  <c r="O9" i="38"/>
  <c r="N9" i="38"/>
  <c r="I9" i="38"/>
  <c r="I30" i="38" s="1"/>
  <c r="G9" i="38"/>
  <c r="R9" i="38" s="1"/>
  <c r="R8" i="38"/>
  <c r="Q8" i="38"/>
  <c r="P8" i="38"/>
  <c r="O8" i="38"/>
  <c r="O29" i="38" s="1"/>
  <c r="N8" i="38"/>
  <c r="N30" i="38" s="1"/>
  <c r="I8" i="38"/>
  <c r="I31" i="38" s="1"/>
  <c r="G8" i="38"/>
  <c r="P28" i="38" l="1"/>
  <c r="Q32" i="38"/>
  <c r="O28" i="38"/>
  <c r="G32" i="38"/>
  <c r="R32" i="38"/>
  <c r="Q28" i="38"/>
  <c r="P29" i="38"/>
  <c r="O30" i="38"/>
  <c r="N31" i="38"/>
  <c r="I32" i="38"/>
  <c r="R28" i="38"/>
  <c r="Q29" i="38"/>
  <c r="P30" i="38"/>
  <c r="O31" i="38"/>
  <c r="N32" i="38"/>
  <c r="R29" i="38"/>
  <c r="Q30" i="38"/>
  <c r="P31" i="38"/>
  <c r="O32" i="38"/>
  <c r="G28" i="38"/>
  <c r="R30" i="38"/>
  <c r="Q31" i="38"/>
  <c r="P32" i="38"/>
  <c r="I28" i="38"/>
  <c r="G29" i="38"/>
  <c r="R31" i="38"/>
  <c r="N28" i="38"/>
  <c r="I29" i="38"/>
  <c r="G30" i="38"/>
  <c r="G31" i="38"/>
</calcChain>
</file>

<file path=xl/sharedStrings.xml><?xml version="1.0" encoding="utf-8"?>
<sst xmlns="http://schemas.openxmlformats.org/spreadsheetml/2006/main" count="102" uniqueCount="94">
  <si>
    <t>Equity Issuances - Financial Statistics</t>
  </si>
  <si>
    <t>Amount of</t>
  </si>
  <si>
    <t>Common Shares</t>
  </si>
  <si>
    <t>30-Day Average</t>
  </si>
  <si>
    <t>1-Year Average</t>
  </si>
  <si>
    <t>Price Performance</t>
  </si>
  <si>
    <t xml:space="preserve">Offering </t>
  </si>
  <si>
    <t>Shares Offered</t>
  </si>
  <si>
    <t>Offering Price</t>
  </si>
  <si>
    <t>Deal Size</t>
  </si>
  <si>
    <t>Pre-Offering</t>
  </si>
  <si>
    <t>Market Cap Just</t>
  </si>
  <si>
    <t>Last Trading</t>
  </si>
  <si>
    <t>Price Prior to</t>
  </si>
  <si>
    <t>Current</t>
  </si>
  <si>
    <t>Offering Price Premium / (Discount) to:</t>
  </si>
  <si>
    <t>From Offering</t>
  </si>
  <si>
    <t>% Primary</t>
  </si>
  <si>
    <t>% Secondary</t>
  </si>
  <si>
    <t>Company Name</t>
  </si>
  <si>
    <t>Ticker</t>
  </si>
  <si>
    <t>Date</t>
  </si>
  <si>
    <t>(Millions)</t>
  </si>
  <si>
    <t>per Share</t>
  </si>
  <si>
    <t>($ Millions)</t>
  </si>
  <si>
    <t>Before Offering</t>
  </si>
  <si>
    <t>Price</t>
  </si>
  <si>
    <t>Announcement</t>
  </si>
  <si>
    <t>Last Trade</t>
  </si>
  <si>
    <t>to Present</t>
  </si>
  <si>
    <t>% Market Cap</t>
  </si>
  <si>
    <t>Shares</t>
  </si>
  <si>
    <t>Company2787 Inc.</t>
  </si>
  <si>
    <t>Company1165 Inc.</t>
  </si>
  <si>
    <t>Company1114</t>
  </si>
  <si>
    <t>salesforce.com, Inc.</t>
  </si>
  <si>
    <t>CRM</t>
  </si>
  <si>
    <t>Company0781 Company2746, Inc.</t>
  </si>
  <si>
    <t>Company2686</t>
  </si>
  <si>
    <t>Company2019 Worldwide, Inc.</t>
  </si>
  <si>
    <t>Company2003</t>
  </si>
  <si>
    <t>Company2898 Systems Inc.</t>
  </si>
  <si>
    <t>Company2875</t>
  </si>
  <si>
    <t>Company0194 Company0397, Inc.</t>
  </si>
  <si>
    <t>Company0167</t>
  </si>
  <si>
    <t>Company0359, Inc.</t>
  </si>
  <si>
    <t>RATE</t>
  </si>
  <si>
    <t>Workday, Inc.</t>
  </si>
  <si>
    <t>Company2932</t>
  </si>
  <si>
    <t>Company1164, Inc.</t>
  </si>
  <si>
    <t>Company1112</t>
  </si>
  <si>
    <t>Company1009, Inc.</t>
  </si>
  <si>
    <t>Ticker0008</t>
  </si>
  <si>
    <t>Company1254, Inc.</t>
  </si>
  <si>
    <t>AWAY</t>
  </si>
  <si>
    <t>Company2289, Inc.</t>
  </si>
  <si>
    <t>SALE</t>
  </si>
  <si>
    <t>Company3040 Inc.</t>
  </si>
  <si>
    <t>Company3028</t>
  </si>
  <si>
    <t>Company2564, Inc.</t>
  </si>
  <si>
    <t>Company2488</t>
  </si>
  <si>
    <t>Company2142 Media, Inc.</t>
  </si>
  <si>
    <t>P</t>
  </si>
  <si>
    <t>Product0219 Company0697</t>
  </si>
  <si>
    <t>Company1565</t>
  </si>
  <si>
    <t>Company3062 Group, Inc.</t>
  </si>
  <si>
    <t>Company3049</t>
  </si>
  <si>
    <t>Company2788, Inc.</t>
  </si>
  <si>
    <t>Company2692</t>
  </si>
  <si>
    <t>Maximum</t>
  </si>
  <si>
    <t>75th Percentile</t>
  </si>
  <si>
    <t>Median</t>
  </si>
  <si>
    <t>25th Percentile</t>
  </si>
  <si>
    <t>Minimum</t>
  </si>
  <si>
    <t>Comparable Follow-On Equity Offerings Worth Between $100 Million and $5 Billion USD from U.S.-Based Internet and Software Companies Over the Past Two Years</t>
  </si>
  <si>
    <t>20X4-11-11</t>
  </si>
  <si>
    <t>20X4-09-03</t>
  </si>
  <si>
    <t>20X4-08-25</t>
  </si>
  <si>
    <t>20X4-08-11</t>
  </si>
  <si>
    <t>20X4-07-17</t>
  </si>
  <si>
    <t>20X4-06-12</t>
  </si>
  <si>
    <t>20X4-05-21</t>
  </si>
  <si>
    <t>20X4-03-04</t>
  </si>
  <si>
    <t>20X4-01-14</t>
  </si>
  <si>
    <t>20X4-01-07</t>
  </si>
  <si>
    <t>20X3-12-20</t>
  </si>
  <si>
    <t>20X3-12-12</t>
  </si>
  <si>
    <t>20X3-12-11</t>
  </si>
  <si>
    <t>20X3-10-30</t>
  </si>
  <si>
    <t>20X3-09-19</t>
  </si>
  <si>
    <t>20X3-09-18</t>
  </si>
  <si>
    <t>20X3-09-04</t>
  </si>
  <si>
    <t>20X3-08-20</t>
  </si>
  <si>
    <t>20X3-03-14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</si>
</sst>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&quot;$&quot;* #,##0.0_);_(&quot;$&quot;* \(#,##0.0\);_(&quot;$&quot;* &quot;-&quot;?_);_(@_)"/>
    <numFmt numFmtId="166" formatCode="_(* #,##0.0_);_(* \(#,##0.0\);_(* &quot;-&quot;?_);_(@_)"/>
    <numFmt numFmtId="167" formatCode="_(* #,##0_);_(* \(#,##0\);_(* &quot;-&quot;??_);_(@_)"/>
    <numFmt numFmtId="168" formatCode="#,##0.000"/>
    <numFmt numFmtId="169" formatCode="0.000"/>
    <numFmt numFmtId="170" formatCode="yyyy\-mm\-dd"/>
    <numFmt numFmtId="171" formatCode="_(&quot;$&quot;* #,##0_);_(&quot;$&quot;* \(#,##0\);_(&quot;$&quot;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7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 applyAlignment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5" fillId="2" borderId="2" applyNumberFormat="0" applyFont="0" applyAlignment="0" applyProtection="0"/>
    <xf numFmtId="0" fontId="5" fillId="0" borderId="0"/>
  </cellStyleXfs>
  <cellXfs count="52">
    <xf numFmtId="0" fontId="0" fillId="0" borderId="0" xfId="0"/>
    <xf numFmtId="0" fontId="9" fillId="0" borderId="0" xfId="1" applyFont="1"/>
    <xf numFmtId="0" fontId="12" fillId="0" borderId="0" xfId="1" applyFont="1"/>
    <xf numFmtId="0" fontId="11" fillId="0" borderId="0" xfId="1" applyFont="1"/>
    <xf numFmtId="0" fontId="13" fillId="3" borderId="0" xfId="16" applyFont="1" applyFill="1" applyAlignment="1">
      <alignment horizontal="left"/>
    </xf>
    <xf numFmtId="0" fontId="13" fillId="3" borderId="0" xfId="1" applyFont="1" applyFill="1"/>
    <xf numFmtId="0" fontId="13" fillId="3" borderId="0" xfId="1" applyFont="1" applyFill="1" applyAlignment="1">
      <alignment horizontal="centerContinuous"/>
    </xf>
    <xf numFmtId="0" fontId="14" fillId="3" borderId="0" xfId="1" applyFont="1" applyFill="1"/>
    <xf numFmtId="0" fontId="13" fillId="3" borderId="0" xfId="1" applyFont="1" applyFill="1" applyAlignment="1">
      <alignment horizontal="center"/>
    </xf>
    <xf numFmtId="0" fontId="15" fillId="3" borderId="0" xfId="1" applyFont="1" applyFill="1" applyAlignment="1">
      <alignment horizontal="centerContinuous"/>
    </xf>
    <xf numFmtId="0" fontId="13" fillId="3" borderId="1" xfId="1" applyFont="1" applyFill="1" applyBorder="1"/>
    <xf numFmtId="0" fontId="13" fillId="3" borderId="1" xfId="1" applyFont="1" applyFill="1" applyBorder="1" applyAlignment="1">
      <alignment horizontal="center"/>
    </xf>
    <xf numFmtId="14" fontId="13" fillId="3" borderId="1" xfId="1" applyNumberFormat="1" applyFont="1" applyFill="1" applyBorder="1" applyAlignment="1">
      <alignment horizontal="center"/>
    </xf>
    <xf numFmtId="170" fontId="13" fillId="3" borderId="1" xfId="1" applyNumberFormat="1" applyFont="1" applyFill="1" applyBorder="1" applyAlignment="1">
      <alignment horizontal="center"/>
    </xf>
    <xf numFmtId="0" fontId="10" fillId="0" borderId="0" xfId="1" applyFont="1"/>
    <xf numFmtId="170" fontId="10" fillId="0" borderId="0" xfId="1" applyNumberFormat="1" applyFont="1"/>
    <xf numFmtId="168" fontId="10" fillId="0" borderId="0" xfId="1" applyNumberFormat="1" applyFont="1"/>
    <xf numFmtId="44" fontId="10" fillId="0" borderId="0" xfId="1" applyNumberFormat="1" applyFont="1"/>
    <xf numFmtId="165" fontId="9" fillId="0" borderId="0" xfId="1" applyNumberFormat="1" applyFont="1"/>
    <xf numFmtId="43" fontId="10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166" fontId="9" fillId="0" borderId="0" xfId="1" applyNumberFormat="1" applyFont="1"/>
    <xf numFmtId="167" fontId="9" fillId="0" borderId="0" xfId="1" applyNumberFormat="1" applyFont="1" applyAlignment="1">
      <alignment horizontal="right"/>
    </xf>
    <xf numFmtId="171" fontId="9" fillId="0" borderId="0" xfId="1" applyNumberFormat="1" applyFont="1" applyAlignment="1">
      <alignment horizontal="right"/>
    </xf>
    <xf numFmtId="0" fontId="9" fillId="0" borderId="7" xfId="1" applyFont="1" applyBorder="1"/>
    <xf numFmtId="0" fontId="9" fillId="0" borderId="3" xfId="1" applyFont="1" applyBorder="1"/>
    <xf numFmtId="170" fontId="9" fillId="0" borderId="3" xfId="1" applyNumberFormat="1" applyFont="1" applyBorder="1" applyAlignment="1">
      <alignment horizontal="right"/>
    </xf>
    <xf numFmtId="169" fontId="9" fillId="0" borderId="3" xfId="1" applyNumberFormat="1" applyFont="1" applyBorder="1" applyAlignment="1">
      <alignment horizontal="right"/>
    </xf>
    <xf numFmtId="165" fontId="9" fillId="0" borderId="3" xfId="1" applyNumberFormat="1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164" fontId="9" fillId="0" borderId="8" xfId="1" applyNumberFormat="1" applyFont="1" applyBorder="1" applyAlignment="1">
      <alignment horizontal="right"/>
    </xf>
    <xf numFmtId="0" fontId="9" fillId="0" borderId="9" xfId="1" applyFont="1" applyBorder="1"/>
    <xf numFmtId="170" fontId="9" fillId="0" borderId="0" xfId="1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10" xfId="1" applyNumberFormat="1" applyFont="1" applyBorder="1" applyAlignment="1">
      <alignment horizontal="right"/>
    </xf>
    <xf numFmtId="0" fontId="11" fillId="4" borderId="4" xfId="1" applyFont="1" applyFill="1" applyBorder="1"/>
    <xf numFmtId="0" fontId="11" fillId="4" borderId="5" xfId="1" applyFont="1" applyFill="1" applyBorder="1"/>
    <xf numFmtId="170" fontId="11" fillId="4" borderId="5" xfId="1" applyNumberFormat="1" applyFont="1" applyFill="1" applyBorder="1" applyAlignment="1">
      <alignment horizontal="right"/>
    </xf>
    <xf numFmtId="169" fontId="11" fillId="4" borderId="5" xfId="1" applyNumberFormat="1" applyFont="1" applyFill="1" applyBorder="1" applyAlignment="1">
      <alignment horizontal="right"/>
    </xf>
    <xf numFmtId="166" fontId="11" fillId="4" borderId="5" xfId="1" applyNumberFormat="1" applyFont="1" applyFill="1" applyBorder="1" applyAlignment="1">
      <alignment horizontal="right"/>
    </xf>
    <xf numFmtId="164" fontId="11" fillId="4" borderId="5" xfId="1" applyNumberFormat="1" applyFont="1" applyFill="1" applyBorder="1" applyAlignment="1">
      <alignment horizontal="right"/>
    </xf>
    <xf numFmtId="164" fontId="11" fillId="4" borderId="6" xfId="1" applyNumberFormat="1" applyFont="1" applyFill="1" applyBorder="1" applyAlignment="1">
      <alignment horizontal="right"/>
    </xf>
    <xf numFmtId="0" fontId="9" fillId="0" borderId="11" xfId="1" applyFont="1" applyBorder="1"/>
    <xf numFmtId="0" fontId="11" fillId="0" borderId="1" xfId="1" applyFont="1" applyBorder="1"/>
    <xf numFmtId="170" fontId="9" fillId="0" borderId="1" xfId="1" applyNumberFormat="1" applyFont="1" applyBorder="1" applyAlignment="1">
      <alignment horizontal="right"/>
    </xf>
    <xf numFmtId="169" fontId="9" fillId="0" borderId="1" xfId="1" applyNumberFormat="1" applyFont="1" applyBorder="1" applyAlignment="1">
      <alignment horizontal="right"/>
    </xf>
    <xf numFmtId="166" fontId="9" fillId="0" borderId="1" xfId="1" applyNumberFormat="1" applyFont="1" applyBorder="1" applyAlignment="1">
      <alignment horizontal="right"/>
    </xf>
    <xf numFmtId="164" fontId="9" fillId="0" borderId="1" xfId="1" applyNumberFormat="1" applyFont="1" applyBorder="1" applyAlignment="1">
      <alignment horizontal="right"/>
    </xf>
    <xf numFmtId="164" fontId="9" fillId="0" borderId="12" xfId="1" applyNumberFormat="1" applyFont="1" applyBorder="1" applyAlignment="1">
      <alignment horizontal="right"/>
    </xf>
  </cellXfs>
  <cellStyles count="17">
    <cellStyle name="Hyperlink 2" xfId="7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2" xr:uid="{00000000-0005-0000-0000-000004000000}"/>
    <cellStyle name="Normal 3 2 3" xfId="16" xr:uid="{00000000-0005-0000-0000-000005000000}"/>
    <cellStyle name="Normal 3 3" xfId="6" xr:uid="{00000000-0005-0000-0000-000006000000}"/>
    <cellStyle name="Normal 3 4" xfId="10" xr:uid="{00000000-0005-0000-0000-000007000000}"/>
    <cellStyle name="Normal 4" xfId="8" xr:uid="{00000000-0005-0000-0000-000008000000}"/>
    <cellStyle name="Normal 4 2" xfId="3" xr:uid="{00000000-0005-0000-0000-000009000000}"/>
    <cellStyle name="Normal 5" xfId="9" xr:uid="{00000000-0005-0000-0000-00000A000000}"/>
    <cellStyle name="Normal 5 2" xfId="11" xr:uid="{00000000-0005-0000-0000-00000B000000}"/>
    <cellStyle name="Normal 5 3" xfId="13" xr:uid="{00000000-0005-0000-0000-00000C000000}"/>
    <cellStyle name="Normal 6" xfId="12" xr:uid="{00000000-0005-0000-0000-00000D000000}"/>
    <cellStyle name="Normal 6 2" xfId="14" xr:uid="{00000000-0005-0000-0000-00000E000000}"/>
    <cellStyle name="Note 2" xfId="15" xr:uid="{00000000-0005-0000-0000-000010000000}"/>
    <cellStyle name="TextNormal" xfId="4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T33"/>
  <sheetViews>
    <sheetView showGridLines="0" tabSelected="1" zoomScaleNormal="100" workbookViewId="0">
      <selection activeCell="H31" sqref="H31"/>
    </sheetView>
  </sheetViews>
  <sheetFormatPr baseColWidth="10" defaultColWidth="9.1640625" defaultRowHeight="16" outlineLevelCol="1" x14ac:dyDescent="0.2"/>
  <cols>
    <col min="1" max="1" width="1.6640625" style="1" customWidth="1"/>
    <col min="2" max="2" width="28" style="1" customWidth="1"/>
    <col min="3" max="3" width="8.5" style="1" customWidth="1" outlineLevel="1"/>
    <col min="4" max="4" width="11.33203125" style="1" customWidth="1"/>
    <col min="5" max="5" width="14.5" style="1" customWidth="1" outlineLevel="1"/>
    <col min="6" max="6" width="14.6640625" style="1" customWidth="1" outlineLevel="1"/>
    <col min="7" max="7" width="14.6640625" style="1" customWidth="1"/>
    <col min="8" max="8" width="16.83203125" style="1" customWidth="1" outlineLevel="1"/>
    <col min="9" max="9" width="16" style="1" customWidth="1"/>
    <col min="10" max="13" width="16.5" style="1" customWidth="1" outlineLevel="1"/>
    <col min="14" max="14" width="14.6640625" style="1" customWidth="1"/>
    <col min="15" max="15" width="16.5" style="1" customWidth="1"/>
    <col min="16" max="16" width="15.83203125" style="1" customWidth="1"/>
    <col min="17" max="17" width="17.5" style="1" customWidth="1"/>
    <col min="18" max="20" width="14.6640625" style="1" customWidth="1"/>
    <col min="21" max="16384" width="9.1640625" style="1"/>
  </cols>
  <sheetData>
    <row r="2" spans="2:20" ht="19" x14ac:dyDescent="0.25">
      <c r="B2" s="2" t="s">
        <v>74</v>
      </c>
      <c r="C2" s="3"/>
      <c r="D2" s="3"/>
    </row>
    <row r="3" spans="2:20" x14ac:dyDescent="0.2">
      <c r="B3" s="1" t="e">
        <f>+#REF!</f>
      </c>
      <c r="D3" s="3"/>
    </row>
    <row r="4" spans="2:20" x14ac:dyDescent="0.2">
      <c r="D4" s="3"/>
    </row>
    <row r="5" spans="2:20" x14ac:dyDescent="0.2">
      <c r="B5" s="4" t="s">
        <v>0</v>
      </c>
      <c r="C5" s="5"/>
      <c r="D5" s="5"/>
      <c r="E5" s="6" t="s">
        <v>1</v>
      </c>
      <c r="F5" s="5"/>
      <c r="G5" s="5"/>
      <c r="H5" s="6" t="s">
        <v>2</v>
      </c>
      <c r="I5" s="5"/>
      <c r="J5" s="6"/>
      <c r="K5" s="6" t="s">
        <v>3</v>
      </c>
      <c r="L5" s="6" t="s">
        <v>4</v>
      </c>
      <c r="M5" s="5"/>
      <c r="N5" s="7"/>
      <c r="O5" s="7"/>
      <c r="P5" s="7"/>
      <c r="Q5" s="5" t="s">
        <v>5</v>
      </c>
      <c r="R5" s="8"/>
      <c r="S5" s="8"/>
      <c r="T5" s="8"/>
    </row>
    <row r="6" spans="2:20" x14ac:dyDescent="0.2">
      <c r="B6" s="7"/>
      <c r="C6" s="7"/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13</v>
      </c>
      <c r="M6" s="8" t="s">
        <v>14</v>
      </c>
      <c r="N6" s="9" t="s">
        <v>15</v>
      </c>
      <c r="O6" s="9"/>
      <c r="P6" s="9"/>
      <c r="Q6" s="6" t="s">
        <v>16</v>
      </c>
      <c r="R6" s="8" t="s">
        <v>9</v>
      </c>
      <c r="S6" s="8" t="s">
        <v>17</v>
      </c>
      <c r="T6" s="8" t="s">
        <v>18</v>
      </c>
    </row>
    <row r="7" spans="2:20" x14ac:dyDescent="0.2">
      <c r="B7" s="10" t="s">
        <v>19</v>
      </c>
      <c r="C7" s="10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22</v>
      </c>
      <c r="I7" s="11" t="s">
        <v>25</v>
      </c>
      <c r="J7" s="11" t="s">
        <v>26</v>
      </c>
      <c r="K7" s="11" t="s">
        <v>27</v>
      </c>
      <c r="L7" s="11" t="s">
        <v>27</v>
      </c>
      <c r="M7" s="11" t="s">
        <v>26</v>
      </c>
      <c r="N7" s="12" t="s">
        <v>28</v>
      </c>
      <c r="O7" s="12" t="s">
        <v>3</v>
      </c>
      <c r="P7" s="12" t="s">
        <v>4</v>
      </c>
      <c r="Q7" s="12" t="s">
        <v>29</v>
      </c>
      <c r="R7" s="13" t="s">
        <v>30</v>
      </c>
      <c r="S7" s="13" t="s">
        <v>31</v>
      </c>
      <c r="T7" s="13" t="s">
        <v>31</v>
      </c>
    </row>
    <row r="8" spans="2:20" x14ac:dyDescent="0.2">
      <c r="B8" s="1" t="s">
        <v>32</v>
      </c>
      <c r="C8" s="14" t="b">
        <v>1</v>
      </c>
      <c r="D8" s="15" t="s">
        <v>75</v>
      </c>
      <c r="E8" s="16">
        <v>7.3629910000000001</v>
      </c>
      <c r="F8" s="17">
        <v>17</v>
      </c>
      <c r="G8" s="18">
        <f t="shared" ref="G8:G26" si="0">+E8*F8</f>
      </c>
      <c r="H8" s="16">
        <v>76.814334000000002</v>
      </c>
      <c r="I8" s="18">
        <f t="shared" ref="I8:I26" si="1">+J8*H8</f>
      </c>
      <c r="J8" s="19">
        <v>17.489999999999998</v>
      </c>
      <c r="K8" s="19">
        <v>17.78</v>
      </c>
      <c r="L8" s="19">
        <v>16.07</v>
      </c>
      <c r="M8" s="19">
        <v>17.93</v>
      </c>
      <c r="N8" s="20">
        <f>+$F8/J8-1</f>
      </c>
      <c r="O8" s="20">
        <f t="shared" ref="O8:P26" si="2">+$F8/K8-1</f>
      </c>
      <c r="P8" s="20">
        <f t="shared" si="2"/>
      </c>
      <c r="Q8" s="20">
        <f t="shared" ref="Q8:Q26" si="3">+M8/J8-1</f>
      </c>
      <c r="R8" s="20">
        <f t="shared" ref="R8:R26" si="4">+G8/I8</f>
      </c>
      <c r="S8" s="21">
        <v>0.26600000000000001</v>
      </c>
      <c r="T8" s="21">
        <v>0.73399999999999999</v>
      </c>
    </row>
    <row r="9" spans="2:20" x14ac:dyDescent="0.2">
      <c r="B9" s="1" t="s">
        <v>33</v>
      </c>
      <c r="C9" s="14" t="s">
        <v>34</v>
      </c>
      <c r="D9" s="15" t="s">
        <v>76</v>
      </c>
      <c r="E9" s="16">
        <v>10.468197999999999</v>
      </c>
      <c r="F9" s="19">
        <v>40.25</v>
      </c>
      <c r="G9" s="22">
        <f t="shared" si="0"/>
      </c>
      <c r="H9" s="16">
        <v>78.831643999999997</v>
      </c>
      <c r="I9" s="22">
        <f t="shared" si="1"/>
      </c>
      <c r="J9" s="19">
        <v>40.840000000000003</v>
      </c>
      <c r="K9" s="19">
        <v>39.74</v>
      </c>
      <c r="L9" s="19">
        <v>34.97</v>
      </c>
      <c r="M9" s="19">
        <v>34.49</v>
      </c>
      <c r="N9" s="20">
        <f t="shared" ref="N9:N26" si="5">+$F9/J9-1</f>
      </c>
      <c r="O9" s="20">
        <f t="shared" si="2"/>
      </c>
      <c r="P9" s="20">
        <f t="shared" si="2"/>
      </c>
      <c r="Q9" s="20">
        <f t="shared" si="3"/>
      </c>
      <c r="R9" s="20">
        <f t="shared" si="4"/>
      </c>
      <c r="S9" s="21">
        <v>0.108</v>
      </c>
      <c r="T9" s="21">
        <v>0.89200000000000002</v>
      </c>
    </row>
    <row r="10" spans="2:20" x14ac:dyDescent="0.2">
      <c r="B10" s="1" t="s">
        <v>35</v>
      </c>
      <c r="C10" s="14" t="s">
        <v>36</v>
      </c>
      <c r="D10" s="15" t="s">
        <v>77</v>
      </c>
      <c r="E10" s="16">
        <v>7.1892940000000003</v>
      </c>
      <c r="F10" s="19">
        <v>54.82</v>
      </c>
      <c r="G10" s="22">
        <f t="shared" si="0"/>
      </c>
      <c r="H10" s="16">
        <v>619.15845000000002</v>
      </c>
      <c r="I10" s="22">
        <f t="shared" si="1"/>
      </c>
      <c r="J10" s="19">
        <v>59.8</v>
      </c>
      <c r="K10" s="19">
        <v>54.23</v>
      </c>
      <c r="L10" s="19">
        <v>54.85</v>
      </c>
      <c r="M10" s="19">
        <v>56.35</v>
      </c>
      <c r="N10" s="20">
        <f t="shared" si="5"/>
      </c>
      <c r="O10" s="20">
        <f t="shared" si="2"/>
      </c>
      <c r="P10" s="20">
        <f t="shared" si="2"/>
      </c>
      <c r="Q10" s="20">
        <f t="shared" si="3"/>
      </c>
      <c r="R10" s="20">
        <f t="shared" si="4"/>
      </c>
      <c r="S10" s="21">
        <v>0</v>
      </c>
      <c r="T10" s="21">
        <v>1</v>
      </c>
    </row>
    <row r="11" spans="2:20" x14ac:dyDescent="0.2">
      <c r="B11" s="1" t="s">
        <v>37</v>
      </c>
      <c r="C11" s="14" t="s">
        <v>38</v>
      </c>
      <c r="D11" s="15" t="s">
        <v>78</v>
      </c>
      <c r="E11" s="16">
        <v>5.9246220000000003</v>
      </c>
      <c r="F11" s="19">
        <v>37.17</v>
      </c>
      <c r="G11" s="22">
        <f t="shared" si="0"/>
      </c>
      <c r="H11" s="16">
        <v>53.892944999999997</v>
      </c>
      <c r="I11" s="22">
        <f t="shared" si="1"/>
      </c>
      <c r="J11" s="19">
        <v>38.15</v>
      </c>
      <c r="K11" s="19">
        <v>38.89</v>
      </c>
      <c r="L11" s="19">
        <v>43.76</v>
      </c>
      <c r="M11" s="19">
        <v>42.62</v>
      </c>
      <c r="N11" s="20">
        <f t="shared" si="5"/>
      </c>
      <c r="O11" s="20">
        <f t="shared" si="2"/>
      </c>
      <c r="P11" s="20">
        <f t="shared" si="2"/>
      </c>
      <c r="Q11" s="20">
        <f t="shared" si="3"/>
      </c>
      <c r="R11" s="20">
        <f t="shared" si="4"/>
      </c>
      <c r="S11" s="21">
        <v>0</v>
      </c>
      <c r="T11" s="21">
        <v>1</v>
      </c>
    </row>
    <row r="12" spans="2:20" x14ac:dyDescent="0.2">
      <c r="B12" s="1" t="s">
        <v>39</v>
      </c>
      <c r="C12" s="14" t="s">
        <v>40</v>
      </c>
      <c r="D12" s="15" t="s">
        <v>79</v>
      </c>
      <c r="E12" s="16">
        <v>34</v>
      </c>
      <c r="F12" s="19">
        <v>8</v>
      </c>
      <c r="G12" s="22">
        <f t="shared" si="0"/>
      </c>
      <c r="H12" s="16">
        <v>109.134094</v>
      </c>
      <c r="I12" s="22">
        <f t="shared" si="1"/>
      </c>
      <c r="J12" s="19">
        <v>8.85</v>
      </c>
      <c r="K12" s="19">
        <v>8.7799999999999994</v>
      </c>
      <c r="L12" s="19">
        <v>8.34</v>
      </c>
      <c r="M12" s="19">
        <v>9.6</v>
      </c>
      <c r="N12" s="20">
        <f t="shared" si="5"/>
      </c>
      <c r="O12" s="20">
        <f t="shared" si="2"/>
      </c>
      <c r="P12" s="20">
        <f t="shared" si="2"/>
      </c>
      <c r="Q12" s="20">
        <f t="shared" si="3"/>
      </c>
      <c r="R12" s="20">
        <f t="shared" si="4"/>
      </c>
      <c r="S12" s="21">
        <v>0</v>
      </c>
      <c r="T12" s="21">
        <v>1</v>
      </c>
    </row>
    <row r="13" spans="2:20" x14ac:dyDescent="0.2">
      <c r="B13" s="1" t="s">
        <v>41</v>
      </c>
      <c r="C13" s="14" t="s">
        <v>42</v>
      </c>
      <c r="D13" s="15" t="s">
        <v>80</v>
      </c>
      <c r="E13" s="16">
        <v>5.75</v>
      </c>
      <c r="F13" s="19">
        <v>47.75</v>
      </c>
      <c r="G13" s="22">
        <f t="shared" si="0"/>
      </c>
      <c r="H13" s="16">
        <v>54.061436</v>
      </c>
      <c r="I13" s="22">
        <f t="shared" si="1"/>
      </c>
      <c r="J13" s="19">
        <v>48.28</v>
      </c>
      <c r="K13" s="19">
        <v>46.2</v>
      </c>
      <c r="L13" s="19">
        <v>40.78</v>
      </c>
      <c r="M13" s="19">
        <v>54.45</v>
      </c>
      <c r="N13" s="20">
        <f t="shared" si="5"/>
      </c>
      <c r="O13" s="20">
        <f t="shared" si="2"/>
      </c>
      <c r="P13" s="20">
        <f t="shared" si="2"/>
      </c>
      <c r="Q13" s="20">
        <f t="shared" si="3"/>
      </c>
      <c r="R13" s="20">
        <f t="shared" si="4"/>
      </c>
      <c r="S13" s="21">
        <v>1</v>
      </c>
      <c r="T13" s="21">
        <v>0</v>
      </c>
    </row>
    <row r="14" spans="2:20" x14ac:dyDescent="0.2">
      <c r="B14" s="1" t="s">
        <v>43</v>
      </c>
      <c r="C14" s="14" t="s">
        <v>44</v>
      </c>
      <c r="D14" s="15" t="s">
        <v>81</v>
      </c>
      <c r="E14" s="16">
        <v>41.499688999999996</v>
      </c>
      <c r="F14" s="19">
        <v>20.54</v>
      </c>
      <c r="G14" s="22">
        <f t="shared" si="0"/>
      </c>
      <c r="H14" s="16">
        <v>715.72609999999997</v>
      </c>
      <c r="I14" s="22">
        <f t="shared" si="1"/>
      </c>
      <c r="J14" s="19">
        <v>20.87</v>
      </c>
      <c r="K14" s="19">
        <v>20.13</v>
      </c>
      <c r="L14" s="19">
        <v>17.57</v>
      </c>
      <c r="M14" s="19">
        <v>20.67</v>
      </c>
      <c r="N14" s="20">
        <f t="shared" si="5"/>
      </c>
      <c r="O14" s="20">
        <f t="shared" si="2"/>
      </c>
      <c r="P14" s="20">
        <f t="shared" si="2"/>
      </c>
      <c r="Q14" s="20">
        <f t="shared" si="3"/>
      </c>
      <c r="R14" s="20">
        <f t="shared" si="4"/>
      </c>
      <c r="S14" s="21">
        <v>0</v>
      </c>
      <c r="T14" s="21">
        <v>1</v>
      </c>
    </row>
    <row r="15" spans="2:20" x14ac:dyDescent="0.2">
      <c r="B15" s="1" t="s">
        <v>45</v>
      </c>
      <c r="C15" s="14" t="s">
        <v>46</v>
      </c>
      <c r="D15" s="15" t="s">
        <v>82</v>
      </c>
      <c r="E15" s="16">
        <v>16.100000000000001</v>
      </c>
      <c r="F15" s="19">
        <v>18.25</v>
      </c>
      <c r="G15" s="22">
        <f t="shared" si="0"/>
      </c>
      <c r="H15" s="16">
        <v>102.8045</v>
      </c>
      <c r="I15" s="22">
        <f t="shared" si="1"/>
      </c>
      <c r="J15" s="19">
        <v>18.96</v>
      </c>
      <c r="K15" s="19">
        <v>18.559999999999999</v>
      </c>
      <c r="L15" s="19">
        <v>16.53</v>
      </c>
      <c r="M15" s="19">
        <v>12.86</v>
      </c>
      <c r="N15" s="20">
        <f t="shared" si="5"/>
      </c>
      <c r="O15" s="20">
        <f t="shared" si="2"/>
      </c>
      <c r="P15" s="20">
        <f t="shared" si="2"/>
      </c>
      <c r="Q15" s="20">
        <f t="shared" si="3"/>
      </c>
      <c r="R15" s="20">
        <f t="shared" si="4"/>
      </c>
      <c r="S15" s="21">
        <v>0</v>
      </c>
      <c r="T15" s="21">
        <v>1</v>
      </c>
    </row>
    <row r="16" spans="2:20" x14ac:dyDescent="0.2">
      <c r="B16" s="1" t="s">
        <v>47</v>
      </c>
      <c r="C16" s="14" t="s">
        <v>48</v>
      </c>
      <c r="D16" s="15" t="s">
        <v>83</v>
      </c>
      <c r="E16" s="16">
        <v>6.9</v>
      </c>
      <c r="F16" s="19">
        <v>89</v>
      </c>
      <c r="G16" s="22">
        <f t="shared" si="0"/>
      </c>
      <c r="H16" s="16">
        <v>174.84306699999999</v>
      </c>
      <c r="I16" s="22">
        <f t="shared" si="1"/>
      </c>
      <c r="J16" s="19">
        <v>91.29</v>
      </c>
      <c r="K16" s="19">
        <v>83.5</v>
      </c>
      <c r="L16" s="19">
        <v>68.959999999999994</v>
      </c>
      <c r="M16" s="19">
        <v>78.66</v>
      </c>
      <c r="N16" s="20">
        <f t="shared" si="5"/>
      </c>
      <c r="O16" s="20">
        <f t="shared" si="2"/>
      </c>
      <c r="P16" s="20">
        <f t="shared" si="2"/>
      </c>
      <c r="Q16" s="20">
        <f t="shared" si="3"/>
      </c>
      <c r="R16" s="20">
        <f t="shared" si="4"/>
      </c>
      <c r="S16" s="21">
        <v>1</v>
      </c>
      <c r="T16" s="21">
        <v>0</v>
      </c>
    </row>
    <row r="17" spans="2:20" x14ac:dyDescent="0.2">
      <c r="B17" s="1" t="s">
        <v>49</v>
      </c>
      <c r="C17" s="14" t="s">
        <v>50</v>
      </c>
      <c r="D17" s="15" t="s">
        <v>84</v>
      </c>
      <c r="E17" s="16">
        <v>13.825283000000001</v>
      </c>
      <c r="F17" s="19">
        <v>11.8</v>
      </c>
      <c r="G17" s="22">
        <f t="shared" si="0"/>
      </c>
      <c r="H17" s="16">
        <v>679.37607100000002</v>
      </c>
      <c r="I17" s="22">
        <f t="shared" si="1"/>
      </c>
      <c r="J17" s="19">
        <v>11.88</v>
      </c>
      <c r="K17" s="19">
        <v>11.11</v>
      </c>
      <c r="L17" s="19">
        <v>8.25</v>
      </c>
      <c r="M17" s="19">
        <v>6.95</v>
      </c>
      <c r="N17" s="20">
        <f t="shared" si="5"/>
      </c>
      <c r="O17" s="20">
        <f t="shared" si="2"/>
      </c>
      <c r="P17" s="20">
        <f t="shared" si="2"/>
      </c>
      <c r="Q17" s="20">
        <f t="shared" si="3"/>
      </c>
      <c r="R17" s="20">
        <f t="shared" si="4"/>
      </c>
      <c r="S17" s="21">
        <v>0</v>
      </c>
      <c r="T17" s="21">
        <v>1</v>
      </c>
    </row>
    <row r="18" spans="2:20" x14ac:dyDescent="0.2">
      <c r="B18" s="1" t="s">
        <v>51</v>
      </c>
      <c r="C18" s="14" t="s">
        <v>52</v>
      </c>
      <c r="D18" s="15" t="s">
        <v>85</v>
      </c>
      <c r="E18" s="16">
        <v>70</v>
      </c>
      <c r="F18" s="19">
        <v>55.05</v>
      </c>
      <c r="G18" s="22">
        <f t="shared" si="0"/>
      </c>
      <c r="H18" s="16">
        <v>2513.2082169999999</v>
      </c>
      <c r="I18" s="22">
        <f t="shared" si="1"/>
      </c>
      <c r="J18" s="19">
        <v>55.1</v>
      </c>
      <c r="K18" s="19">
        <v>49.16</v>
      </c>
      <c r="L18" s="19">
        <v>34.659999999999997</v>
      </c>
      <c r="M18" s="19">
        <v>76.239999999999995</v>
      </c>
      <c r="N18" s="20">
        <f t="shared" si="5"/>
      </c>
      <c r="O18" s="20">
        <f t="shared" si="2"/>
      </c>
      <c r="P18" s="20">
        <f t="shared" si="2"/>
      </c>
      <c r="Q18" s="20">
        <f t="shared" si="3"/>
      </c>
      <c r="R18" s="20">
        <f t="shared" si="4"/>
      </c>
      <c r="S18" s="21">
        <v>0.38600000000000001</v>
      </c>
      <c r="T18" s="21">
        <v>0.61399999999999999</v>
      </c>
    </row>
    <row r="19" spans="2:20" x14ac:dyDescent="0.2">
      <c r="B19" s="1" t="s">
        <v>53</v>
      </c>
      <c r="C19" s="14" t="s">
        <v>54</v>
      </c>
      <c r="D19" s="15" t="s">
        <v>86</v>
      </c>
      <c r="E19" s="16">
        <v>6.921424</v>
      </c>
      <c r="F19" s="19">
        <v>37</v>
      </c>
      <c r="G19" s="22">
        <f t="shared" si="0"/>
      </c>
      <c r="H19" s="16">
        <v>85.798100000000005</v>
      </c>
      <c r="I19" s="22">
        <f t="shared" si="1"/>
      </c>
      <c r="J19" s="19">
        <v>37.43</v>
      </c>
      <c r="K19" s="19">
        <v>37.18</v>
      </c>
      <c r="L19" s="19">
        <v>29.69</v>
      </c>
      <c r="M19" s="19">
        <v>26.64</v>
      </c>
      <c r="N19" s="20">
        <f t="shared" si="5"/>
      </c>
      <c r="O19" s="20">
        <f t="shared" si="2"/>
      </c>
      <c r="P19" s="20">
        <f t="shared" si="2"/>
      </c>
      <c r="Q19" s="20">
        <f t="shared" si="3"/>
      </c>
      <c r="R19" s="20">
        <f t="shared" si="4"/>
      </c>
      <c r="S19" s="21">
        <v>7.4999999999999997E-2</v>
      </c>
      <c r="T19" s="21">
        <v>0.92500000000000004</v>
      </c>
    </row>
    <row r="20" spans="2:20" x14ac:dyDescent="0.2">
      <c r="B20" s="1" t="s">
        <v>55</v>
      </c>
      <c r="C20" s="14" t="s">
        <v>56</v>
      </c>
      <c r="D20" s="15" t="s">
        <v>87</v>
      </c>
      <c r="E20" s="16">
        <v>7.2076923076923078</v>
      </c>
      <c r="F20" s="19">
        <v>26</v>
      </c>
      <c r="G20" s="22">
        <f t="shared" si="0"/>
      </c>
      <c r="H20" s="16">
        <v>50.560515000000002</v>
      </c>
      <c r="I20" s="22">
        <f t="shared" si="1"/>
      </c>
      <c r="J20" s="19">
        <v>26.93</v>
      </c>
      <c r="K20" s="19">
        <v>29.66</v>
      </c>
      <c r="L20" s="19">
        <v>32.01</v>
      </c>
      <c r="M20" s="19">
        <v>15.05</v>
      </c>
      <c r="N20" s="20">
        <f t="shared" si="5"/>
      </c>
      <c r="O20" s="20">
        <f t="shared" si="2"/>
      </c>
      <c r="P20" s="20">
        <f t="shared" si="2"/>
      </c>
      <c r="Q20" s="20">
        <f t="shared" si="3"/>
      </c>
      <c r="R20" s="20">
        <f t="shared" si="4"/>
      </c>
      <c r="S20" s="21">
        <v>0.40799999999999997</v>
      </c>
      <c r="T20" s="21">
        <v>0.59199999999999997</v>
      </c>
    </row>
    <row r="21" spans="2:20" x14ac:dyDescent="0.2">
      <c r="B21" s="1" t="s">
        <v>57</v>
      </c>
      <c r="C21" s="14" t="s">
        <v>58</v>
      </c>
      <c r="D21" s="15" t="s">
        <v>88</v>
      </c>
      <c r="E21" s="16">
        <v>4.3125</v>
      </c>
      <c r="F21" s="19">
        <v>67</v>
      </c>
      <c r="G21" s="22">
        <f t="shared" si="0"/>
      </c>
      <c r="H21" s="16">
        <v>53.573296999999997</v>
      </c>
      <c r="I21" s="22">
        <f t="shared" si="1"/>
      </c>
      <c r="J21" s="19">
        <v>67.05</v>
      </c>
      <c r="K21" s="19">
        <v>68.709999999999994</v>
      </c>
      <c r="L21" s="19">
        <v>34.74</v>
      </c>
      <c r="M21" s="19">
        <v>53</v>
      </c>
      <c r="N21" s="20">
        <f t="shared" si="5"/>
      </c>
      <c r="O21" s="20">
        <f t="shared" si="2"/>
      </c>
      <c r="P21" s="20">
        <f t="shared" si="2"/>
      </c>
      <c r="Q21" s="20">
        <f t="shared" si="3"/>
      </c>
      <c r="R21" s="20">
        <f t="shared" si="4"/>
      </c>
      <c r="S21" s="21">
        <v>1</v>
      </c>
      <c r="T21" s="21">
        <v>0</v>
      </c>
    </row>
    <row r="22" spans="2:20" x14ac:dyDescent="0.2">
      <c r="B22" s="1" t="s">
        <v>59</v>
      </c>
      <c r="C22" s="14" t="s">
        <v>60</v>
      </c>
      <c r="D22" s="15" t="s">
        <v>89</v>
      </c>
      <c r="E22" s="16">
        <v>5.29</v>
      </c>
      <c r="F22" s="19">
        <v>60</v>
      </c>
      <c r="G22" s="22">
        <f t="shared" si="0"/>
      </c>
      <c r="H22" s="16">
        <v>33.692310999999997</v>
      </c>
      <c r="I22" s="22">
        <f t="shared" si="1"/>
      </c>
      <c r="J22" s="19">
        <v>60.32</v>
      </c>
      <c r="K22" s="19">
        <v>53.99</v>
      </c>
      <c r="L22" s="19">
        <v>39.39</v>
      </c>
      <c r="M22" s="19">
        <v>57.26</v>
      </c>
      <c r="N22" s="20">
        <f t="shared" si="5"/>
      </c>
      <c r="O22" s="20">
        <f t="shared" si="2"/>
      </c>
      <c r="P22" s="20">
        <f t="shared" si="2"/>
      </c>
      <c r="Q22" s="20">
        <f t="shared" si="3"/>
      </c>
      <c r="R22" s="20">
        <f t="shared" si="4"/>
      </c>
      <c r="S22" s="21">
        <v>0.31900000000000001</v>
      </c>
      <c r="T22" s="21">
        <v>0.68100000000000005</v>
      </c>
    </row>
    <row r="23" spans="2:20" x14ac:dyDescent="0.2">
      <c r="B23" s="1" t="s">
        <v>61</v>
      </c>
      <c r="C23" s="14" t="s">
        <v>62</v>
      </c>
      <c r="D23" s="15" t="s">
        <v>90</v>
      </c>
      <c r="E23" s="16">
        <v>20.93</v>
      </c>
      <c r="F23" s="19">
        <v>25</v>
      </c>
      <c r="G23" s="22">
        <f t="shared" si="0"/>
      </c>
      <c r="H23" s="16">
        <v>176.15848099999999</v>
      </c>
      <c r="I23" s="22">
        <f t="shared" si="1"/>
      </c>
      <c r="J23" s="19">
        <v>25.64</v>
      </c>
      <c r="K23" s="19">
        <v>20.79</v>
      </c>
      <c r="L23" s="19">
        <v>13.64</v>
      </c>
      <c r="M23" s="19">
        <v>16.760000000000002</v>
      </c>
      <c r="N23" s="20">
        <f t="shared" si="5"/>
      </c>
      <c r="O23" s="20">
        <f t="shared" si="2"/>
      </c>
      <c r="P23" s="20">
        <f t="shared" si="2"/>
      </c>
      <c r="Q23" s="20">
        <f t="shared" si="3"/>
      </c>
      <c r="R23" s="20">
        <f t="shared" si="4"/>
      </c>
      <c r="S23" s="21">
        <v>0.752</v>
      </c>
      <c r="T23" s="21">
        <v>0.248</v>
      </c>
    </row>
    <row r="24" spans="2:20" x14ac:dyDescent="0.2">
      <c r="B24" s="1" t="s">
        <v>63</v>
      </c>
      <c r="C24" s="14" t="s">
        <v>64</v>
      </c>
      <c r="D24" s="15" t="s">
        <v>91</v>
      </c>
      <c r="E24" s="16">
        <v>5.3811660000000003</v>
      </c>
      <c r="F24" s="19">
        <v>223</v>
      </c>
      <c r="G24" s="22">
        <f t="shared" si="0"/>
      </c>
      <c r="H24" s="16">
        <v>111.90356</v>
      </c>
      <c r="I24" s="22">
        <f t="shared" si="1"/>
      </c>
      <c r="J24" s="19">
        <v>238.93</v>
      </c>
      <c r="K24" s="19">
        <v>235.81</v>
      </c>
      <c r="L24" s="19">
        <v>156.21</v>
      </c>
      <c r="M24" s="19">
        <v>220.46</v>
      </c>
      <c r="N24" s="20">
        <f t="shared" si="5"/>
      </c>
      <c r="O24" s="20">
        <f t="shared" si="2"/>
      </c>
      <c r="P24" s="20">
        <f t="shared" si="2"/>
      </c>
      <c r="Q24" s="20">
        <f t="shared" si="3"/>
      </c>
      <c r="R24" s="20">
        <f t="shared" si="4"/>
      </c>
      <c r="S24" s="21">
        <v>1</v>
      </c>
      <c r="T24" s="21">
        <v>0</v>
      </c>
    </row>
    <row r="25" spans="2:20" x14ac:dyDescent="0.2">
      <c r="B25" s="1" t="s">
        <v>65</v>
      </c>
      <c r="C25" s="14" t="s">
        <v>66</v>
      </c>
      <c r="D25" s="15" t="s">
        <v>92</v>
      </c>
      <c r="E25" s="16">
        <v>5.7770080000000004</v>
      </c>
      <c r="F25" s="19">
        <v>82</v>
      </c>
      <c r="G25" s="22">
        <f t="shared" si="0"/>
      </c>
      <c r="H25" s="16">
        <v>28.129163999999999</v>
      </c>
      <c r="I25" s="22">
        <f t="shared" si="1"/>
      </c>
      <c r="J25" s="19">
        <v>91.22</v>
      </c>
      <c r="K25" s="19">
        <v>82.61</v>
      </c>
      <c r="L25" s="19">
        <v>47.14</v>
      </c>
      <c r="M25" s="19">
        <v>98.24</v>
      </c>
      <c r="N25" s="20">
        <f t="shared" si="5"/>
      </c>
      <c r="O25" s="20">
        <f t="shared" si="2"/>
      </c>
      <c r="P25" s="20">
        <f t="shared" si="2"/>
      </c>
      <c r="Q25" s="20">
        <f t="shared" si="3"/>
      </c>
      <c r="R25" s="20">
        <f t="shared" si="4"/>
      </c>
      <c r="S25" s="21">
        <v>0.56299999999999994</v>
      </c>
      <c r="T25" s="21">
        <v>0.437</v>
      </c>
    </row>
    <row r="26" spans="2:20" x14ac:dyDescent="0.2">
      <c r="B26" s="1" t="s">
        <v>67</v>
      </c>
      <c r="C26" s="14" t="s">
        <v>68</v>
      </c>
      <c r="D26" s="15" t="s">
        <v>93</v>
      </c>
      <c r="E26" s="16">
        <v>7.1423110000000003</v>
      </c>
      <c r="F26" s="19">
        <v>29.75</v>
      </c>
      <c r="G26" s="22">
        <f t="shared" si="0"/>
      </c>
      <c r="H26" s="16">
        <v>27.653925999999998</v>
      </c>
      <c r="I26" s="22">
        <f t="shared" si="1"/>
      </c>
      <c r="J26" s="19">
        <v>30.41</v>
      </c>
      <c r="K26" s="19">
        <v>28.55</v>
      </c>
      <c r="L26" s="19">
        <v>21.74</v>
      </c>
      <c r="M26" s="19">
        <v>43.21</v>
      </c>
      <c r="N26" s="20">
        <f t="shared" si="5"/>
      </c>
      <c r="O26" s="20">
        <f t="shared" si="2"/>
      </c>
      <c r="P26" s="20">
        <f t="shared" si="2"/>
      </c>
      <c r="Q26" s="20">
        <f t="shared" si="3"/>
      </c>
      <c r="R26" s="20">
        <f t="shared" si="4"/>
      </c>
      <c r="S26" s="21">
        <v>0.56399999999999995</v>
      </c>
      <c r="T26" s="21">
        <v>0.436</v>
      </c>
    </row>
    <row r="27" spans="2:20" x14ac:dyDescent="0.2"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0"/>
      <c r="S27" s="24"/>
      <c r="T27" s="24"/>
    </row>
    <row r="28" spans="2:20" x14ac:dyDescent="0.2">
      <c r="B28" s="25" t="s">
        <v>69</v>
      </c>
      <c r="C28" s="26"/>
      <c r="D28" s="27"/>
      <c r="E28" s="28"/>
      <c r="F28" s="29"/>
      <c r="G28" s="29">
        <f>MAX(G8:G26)</f>
      </c>
      <c r="H28" s="29"/>
      <c r="I28" s="29">
        <f>MAX(I8:I26)</f>
      </c>
      <c r="J28" s="29"/>
      <c r="K28" s="29"/>
      <c r="L28" s="29"/>
      <c r="M28" s="29"/>
      <c r="N28" s="30">
        <f>MAX(N8:N26)</f>
      </c>
      <c r="O28" s="30">
        <f>MAX(O8:O26)</f>
      </c>
      <c r="P28" s="30">
        <f>MAX(P8:P26)</f>
      </c>
      <c r="Q28" s="30">
        <f>MAX(Q8:Q26)</f>
      </c>
      <c r="R28" s="30">
        <f>MAX(R8:R27)</f>
      </c>
      <c r="S28" s="30">
        <f t="shared" ref="S28:T28" si="6">MAX(S8:S27)</f>
      </c>
      <c r="T28" s="31">
        <f t="shared" si="6"/>
      </c>
    </row>
    <row r="29" spans="2:20" x14ac:dyDescent="0.2">
      <c r="B29" s="32" t="s">
        <v>70</v>
      </c>
      <c r="D29" s="33"/>
      <c r="E29" s="34"/>
      <c r="F29" s="35"/>
      <c r="G29" s="35">
        <f>QUARTILE(G8:G26,3)</f>
      </c>
      <c r="H29" s="35"/>
      <c r="I29" s="35">
        <f>QUARTILE(I8:I26,3)</f>
      </c>
      <c r="J29" s="35"/>
      <c r="K29" s="35"/>
      <c r="L29" s="35"/>
      <c r="M29" s="35"/>
      <c r="N29" s="36">
        <f>QUARTILE(N8:N26,3)</f>
      </c>
      <c r="O29" s="36">
        <f>QUARTILE(O8:O26,3)</f>
      </c>
      <c r="P29" s="36">
        <f>QUARTILE(P8:P26,3)</f>
      </c>
      <c r="Q29" s="36">
        <f>QUARTILE(Q8:Q26,3)</f>
      </c>
      <c r="R29" s="36">
        <f>QUARTILE(R8:R26,3)</f>
      </c>
      <c r="S29" s="36">
        <f t="shared" ref="S29:T29" si="7">QUARTILE(S8:S26,3)</f>
      </c>
      <c r="T29" s="37">
        <f t="shared" si="7"/>
      </c>
    </row>
    <row r="30" spans="2:20" x14ac:dyDescent="0.2">
      <c r="B30" s="38" t="s">
        <v>71</v>
      </c>
      <c r="C30" s="39"/>
      <c r="D30" s="40"/>
      <c r="E30" s="41"/>
      <c r="F30" s="42"/>
      <c r="G30" s="42">
        <f>MEDIAN(G8:G26)</f>
      </c>
      <c r="H30" s="42"/>
      <c r="I30" s="42">
        <f>MEDIAN(I8:I26)</f>
      </c>
      <c r="J30" s="42"/>
      <c r="K30" s="42"/>
      <c r="L30" s="42"/>
      <c r="M30" s="42"/>
      <c r="N30" s="43">
        <f>MEDIAN(N8:N26)</f>
      </c>
      <c r="O30" s="43">
        <f>MEDIAN(O8:O26)</f>
      </c>
      <c r="P30" s="43">
        <f>MEDIAN(P8:P26)</f>
      </c>
      <c r="Q30" s="43">
        <f>MEDIAN(Q8:Q26)</f>
      </c>
      <c r="R30" s="43">
        <f>MEDIAN(R8:R26)</f>
      </c>
      <c r="S30" s="43">
        <f t="shared" ref="S30:T30" si="8">MEDIAN(S8:S26)</f>
      </c>
      <c r="T30" s="44">
        <f t="shared" si="8"/>
      </c>
    </row>
    <row r="31" spans="2:20" x14ac:dyDescent="0.2">
      <c r="B31" s="32" t="s">
        <v>72</v>
      </c>
      <c r="C31" s="3"/>
      <c r="D31" s="33"/>
      <c r="E31" s="34"/>
      <c r="F31" s="35"/>
      <c r="G31" s="35">
        <f>QUARTILE(G8:G26,1)</f>
      </c>
      <c r="H31" s="35"/>
      <c r="I31" s="35">
        <f>QUARTILE(I8:I26,1)</f>
      </c>
      <c r="J31" s="35"/>
      <c r="K31" s="35"/>
      <c r="L31" s="35"/>
      <c r="M31" s="35"/>
      <c r="N31" s="36">
        <f>QUARTILE(N8:N26,1)</f>
      </c>
      <c r="O31" s="36">
        <f>QUARTILE(O8:O26,1)</f>
      </c>
      <c r="P31" s="36">
        <f>QUARTILE(P8:P26,1)</f>
      </c>
      <c r="Q31" s="36">
        <f>QUARTILE(Q8:Q26,1)</f>
      </c>
      <c r="R31" s="36">
        <f>QUARTILE(R8:R26,1)</f>
      </c>
      <c r="S31" s="36">
        <f t="shared" ref="S31:T31" si="9">QUARTILE(S8:S26,1)</f>
      </c>
      <c r="T31" s="37">
        <f t="shared" si="9"/>
      </c>
    </row>
    <row r="32" spans="2:20" x14ac:dyDescent="0.2">
      <c r="B32" s="45" t="s">
        <v>73</v>
      </c>
      <c r="C32" s="46"/>
      <c r="D32" s="47"/>
      <c r="E32" s="48"/>
      <c r="F32" s="49"/>
      <c r="G32" s="49">
        <f>MIN(G8:G26)</f>
      </c>
      <c r="H32" s="49"/>
      <c r="I32" s="49">
        <f>MIN(I8:I26)</f>
      </c>
      <c r="J32" s="49"/>
      <c r="K32" s="49"/>
      <c r="L32" s="49"/>
      <c r="M32" s="49"/>
      <c r="N32" s="50">
        <f>MIN(N8:N26)</f>
      </c>
      <c r="O32" s="50">
        <f>MIN(O8:O26)</f>
      </c>
      <c r="P32" s="50">
        <f>MIN(P8:P26)</f>
      </c>
      <c r="Q32" s="50">
        <f>MIN(Q8:Q26)</f>
      </c>
      <c r="R32" s="50">
        <f>MIN(R8:R26)</f>
      </c>
      <c r="S32" s="50">
        <f t="shared" ref="S32:T32" si="10">MIN(S8:S26)</f>
      </c>
      <c r="T32" s="51">
        <f t="shared" si="10"/>
      </c>
    </row>
    <row r="33" spans="4:20" x14ac:dyDescent="0.2"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pageMargins left="0.75" right="0.75" top="1" bottom="1" header="0.5" footer="0.5"/>
  <pageSetup scale="4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FO-Comps</vt:lpstr>
      <vt:lpstr>'FO-Comps'!Print_Area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