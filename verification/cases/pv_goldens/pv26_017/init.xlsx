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bookViews>
    <workbookView xWindow="2928" yWindow="2928" windowWidth="13824" windowHeight="7968" xr2:uid="{D82085F7-D8AC-4C46-8FD7-7200203ECFEE}"/>
  </bookViews>
  <sheets>
    <sheet name="Cover" sheetId="1" r:id="rId1"/>
    <sheet name="Worksheet" sheetId="2" r:id="rId2"/>
    <sheet name="Ticker0027" sheetId="3" r:id="rId3"/>
    <sheet name="Datacenter" sheetId="4" r:id="rId4"/>
    <sheet name="Gaming" sheetId="5" r:id="rId5"/>
    <sheet name="Automotive" sheetId="6" r:id="rId6"/>
  </sheets>
  <definedNames>
    <definedName name="_________________________2003Q4_T10">#REF!</definedName>
    <definedName name="_________________________TOP10">#REF!</definedName>
    <definedName name="________________________2003Q4_T10">#REF!</definedName>
    <definedName name="________________________TOP10">#REF!</definedName>
    <definedName name="_______________________2003Q4_T10">#REF!</definedName>
    <definedName name="_______________________TOP10">#REF!</definedName>
    <definedName name="______________________2003Q4_T10">#REF!</definedName>
    <definedName name="______________________TOP10">#REF!</definedName>
    <definedName name="_____________________2003Q4_T10">#REF!</definedName>
    <definedName name="_____________________TOP10">#REF!</definedName>
    <definedName name="____________________2003Q4_T10">#REF!</definedName>
    <definedName name="____________________TOP10">#REF!</definedName>
    <definedName name="___________________2003Q4_T10">#REF!</definedName>
    <definedName name="___________________TOP10">#REF!</definedName>
    <definedName name="__________________2003Q4_T10">#REF!</definedName>
    <definedName name="__________________TOP10">#REF!</definedName>
    <definedName name="_________________2003Q4_T10">#REF!</definedName>
    <definedName name="_________________TOP10">#REF!</definedName>
    <definedName name="________________2003Q4_T10">#REF!</definedName>
    <definedName name="________________TOP10">#REF!</definedName>
    <definedName name="_______________2003Q4_T10">#REF!</definedName>
    <definedName name="_______________TOP10">#REF!</definedName>
    <definedName name="______________2003Q4_T10">#REF!</definedName>
    <definedName name="______________TOP10">#REF!</definedName>
    <definedName name="_____________2003Q4_T10">#REF!</definedName>
    <definedName name="_____________TOP10">#REF!</definedName>
    <definedName name="____________2003Q4_T10">#REF!</definedName>
    <definedName name="____________TOP10">#REF!</definedName>
    <definedName name="___________2003Q4_T10">#REF!</definedName>
    <definedName name="___________TOP10">#REF!</definedName>
    <definedName name="__________2003Q4_T10">#REF!</definedName>
    <definedName name="__________TOP10">#REF!</definedName>
    <definedName name="_________2003Q4_T10">#REF!</definedName>
    <definedName name="_________TOP10">#REF!</definedName>
    <definedName name="________2003Q4_T10">#REF!</definedName>
    <definedName name="________TOP10">#REF!</definedName>
    <definedName name="_______2003Q4_T10">#REF!</definedName>
    <definedName name="_______CSC2">#REF!</definedName>
    <definedName name="_______DAT1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CF2">#REF!</definedName>
    <definedName name="_______eps1998">#REF!</definedName>
    <definedName name="_______eps1999">#REF!</definedName>
    <definedName name="_______eps2000">#REF!</definedName>
    <definedName name="_______eps2001">#REF!</definedName>
    <definedName name="_______EPS94">#REF!</definedName>
    <definedName name="_______EPS95">#REF!</definedName>
    <definedName name="_______EPS96">#REF!</definedName>
    <definedName name="_______EPS97">#REF!</definedName>
    <definedName name="_______EPS98">#REF!</definedName>
    <definedName name="_______rev1997">#REF!</definedName>
    <definedName name="_______rev1998">#REF!</definedName>
    <definedName name="_______rev1999">#REF!</definedName>
    <definedName name="_______rev2000">#REF!</definedName>
    <definedName name="_______rev2001">#REF!</definedName>
    <definedName name="_______rev2002">#REF!</definedName>
    <definedName name="_______rev2003">#REF!</definedName>
    <definedName name="_______REV89">#REF!</definedName>
    <definedName name="_______REV90">#REF!</definedName>
    <definedName name="_______REV91">#REF!</definedName>
    <definedName name="_______REV92">#REF!</definedName>
    <definedName name="_______REV93">#REF!</definedName>
    <definedName name="_______REV94">#REF!</definedName>
    <definedName name="_______REV95">#REF!</definedName>
    <definedName name="_______REV96">#REF!</definedName>
    <definedName name="_______REV97">#REF!</definedName>
    <definedName name="_______REV98">#REF!</definedName>
    <definedName name="_______TOP10">#REF!</definedName>
    <definedName name="______2003Q4_T10">#REF!</definedName>
    <definedName name="______CSC2">#REF!</definedName>
    <definedName name="______DAT1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CF2">#REF!</definedName>
    <definedName name="______eps1998">#REF!</definedName>
    <definedName name="______eps1999">#REF!</definedName>
    <definedName name="______eps2000">#REF!</definedName>
    <definedName name="______eps2001">#REF!</definedName>
    <definedName name="______EPS94">#REF!</definedName>
    <definedName name="______EPS95">#REF!</definedName>
    <definedName name="______EPS96">#REF!</definedName>
    <definedName name="______EPS97">#REF!</definedName>
    <definedName name="______EPS98">#REF!</definedName>
    <definedName name="______rev1997">#REF!</definedName>
    <definedName name="______rev1998">#REF!</definedName>
    <definedName name="______rev1999">#REF!</definedName>
    <definedName name="______rev2000">#REF!</definedName>
    <definedName name="______rev2001">#REF!</definedName>
    <definedName name="______rev2002">#REF!</definedName>
    <definedName name="______rev2003">#REF!</definedName>
    <definedName name="______REV89">#REF!</definedName>
    <definedName name="______REV90">#REF!</definedName>
    <definedName name="______REV91">#REF!</definedName>
    <definedName name="______REV92">#REF!</definedName>
    <definedName name="______REV93">#REF!</definedName>
    <definedName name="______REV94">#REF!</definedName>
    <definedName name="______REV95">#REF!</definedName>
    <definedName name="______REV96">#REF!</definedName>
    <definedName name="______REV97">#REF!</definedName>
    <definedName name="______REV98">#REF!</definedName>
    <definedName name="______TOP10">#REF!</definedName>
    <definedName name="_____2003Q4_T10">#REF!</definedName>
    <definedName name="_____CSC2">#REF!</definedName>
    <definedName name="_____DAT1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CF2">#REF!</definedName>
    <definedName name="_____eps1998">#REF!</definedName>
    <definedName name="_____eps1999">#REF!</definedName>
    <definedName name="_____eps2000">#REF!</definedName>
    <definedName name="_____eps2001">#REF!</definedName>
    <definedName name="_____EPS94">#REF!</definedName>
    <definedName name="_____EPS95">#REF!</definedName>
    <definedName name="_____EPS96">#REF!</definedName>
    <definedName name="_____EPS97">#REF!</definedName>
    <definedName name="_____EPS98">#REF!</definedName>
    <definedName name="_____rev1997">#REF!</definedName>
    <definedName name="_____rev1998">#REF!</definedName>
    <definedName name="_____rev1999">#REF!</definedName>
    <definedName name="_____rev2000">#REF!</definedName>
    <definedName name="_____rev2001">#REF!</definedName>
    <definedName name="_____rev2002">#REF!</definedName>
    <definedName name="_____rev2003">#REF!</definedName>
    <definedName name="_____REV89">#REF!</definedName>
    <definedName name="_____REV90">#REF!</definedName>
    <definedName name="_____REV91">#REF!</definedName>
    <definedName name="_____REV92">#REF!</definedName>
    <definedName name="_____REV93">#REF!</definedName>
    <definedName name="_____REV94">#REF!</definedName>
    <definedName name="_____REV95">#REF!</definedName>
    <definedName name="_____REV96">#REF!</definedName>
    <definedName name="_____REV97">#REF!</definedName>
    <definedName name="_____REV98">#REF!</definedName>
    <definedName name="_____TOP10">#REF!</definedName>
    <definedName name="____2003Q4_T10">#REF!</definedName>
    <definedName name="____CSC2">#REF!</definedName>
    <definedName name="____DAT1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CF2">#REF!</definedName>
    <definedName name="____eps1998">#REF!</definedName>
    <definedName name="____eps1999">#REF!</definedName>
    <definedName name="____eps2000">#REF!</definedName>
    <definedName name="____eps2001">#REF!</definedName>
    <definedName name="____EPS94">#REF!</definedName>
    <definedName name="____EPS95">#REF!</definedName>
    <definedName name="____EPS96">#REF!</definedName>
    <definedName name="____EPS97">#REF!</definedName>
    <definedName name="____EPS98">#REF!</definedName>
    <definedName name="____Q1" hidden="1">{"'Standalone List Price Trends'!$A$1:$X$56"}</definedName>
    <definedName name="____Q2" hidden="1">{"'Standalone List Price Trends'!$A$1:$X$56"}</definedName>
    <definedName name="____Q3" hidden="1">{"'Standalone List Price Trends'!$A$1:$X$56"}</definedName>
    <definedName name="____Q4" hidden="1">{"'Standalone List Price Trends'!$A$1:$X$56"}</definedName>
    <definedName name="____Q5" hidden="1">{"'Standalone List Price Trends'!$A$1:$X$56"}</definedName>
    <definedName name="____Q9" hidden="1">{"'Standalone List Price Trends'!$A$1:$X$56"}</definedName>
    <definedName name="____rev1997">#REF!</definedName>
    <definedName name="____rev1998">#REF!</definedName>
    <definedName name="____rev1999">#REF!</definedName>
    <definedName name="____rev2000">#REF!</definedName>
    <definedName name="____rev2001">#REF!</definedName>
    <definedName name="____rev2002">#REF!</definedName>
    <definedName name="____rev2003">#REF!</definedName>
    <definedName name="____REV89">#REF!</definedName>
    <definedName name="____REV90">#REF!</definedName>
    <definedName name="____REV91">#REF!</definedName>
    <definedName name="____REV92">#REF!</definedName>
    <definedName name="____REV93">#REF!</definedName>
    <definedName name="____REV94">#REF!</definedName>
    <definedName name="____REV95">#REF!</definedName>
    <definedName name="____REV96">#REF!</definedName>
    <definedName name="____REV97">#REF!</definedName>
    <definedName name="____REV98">#REF!</definedName>
    <definedName name="____rw1" hidden="1">{"'Standalone List Price Trends'!$A$1:$X$56"}</definedName>
    <definedName name="____rw2" hidden="1">{"'Standalone List Price Trends'!$A$1:$X$56"}</definedName>
    <definedName name="____rw3" hidden="1">{"'Standalone List Price Trends'!$A$1:$X$56"}</definedName>
    <definedName name="____rw4" hidden="1">{"'Standalone List Price Trends'!$A$1:$X$56"}</definedName>
    <definedName name="____TOP10">#REF!</definedName>
    <definedName name="____W.O.R.K.B.O.O.K..C.O.N.T.E.N.T.S____">#REF!</definedName>
    <definedName name="___2003Q4_T10">#REF!</definedName>
    <definedName name="___CSC2">#REF!</definedName>
    <definedName name="___DAT1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CF2">#REF!</definedName>
    <definedName name="___eps1998">#REF!</definedName>
    <definedName name="___eps1999">#REF!</definedName>
    <definedName name="___eps2000">#REF!</definedName>
    <definedName name="___eps2001">#REF!</definedName>
    <definedName name="___EPS94">#REF!</definedName>
    <definedName name="___EPS95">#REF!</definedName>
    <definedName name="___EPS96">#REF!</definedName>
    <definedName name="___EPS97">#REF!</definedName>
    <definedName name="___EPS98">#REF!</definedName>
    <definedName name="___Q1" hidden="1">{"'Standalone List Price Trends'!$A$1:$X$56"}</definedName>
    <definedName name="___Q2" hidden="1">{"'Standalone List Price Trends'!$A$1:$X$56"}</definedName>
    <definedName name="___Q3" hidden="1">{"'Standalone List Price Trends'!$A$1:$X$56"}</definedName>
    <definedName name="___Q4" hidden="1">{"'Standalone List Price Trends'!$A$1:$X$56"}</definedName>
    <definedName name="___Q5" hidden="1">{"'Standalone List Price Trends'!$A$1:$X$56"}</definedName>
    <definedName name="___Q9" hidden="1">{"'Standalone List Price Trends'!$A$1:$X$56"}</definedName>
    <definedName name="___rev1997">#REF!</definedName>
    <definedName name="___rev1998">#REF!</definedName>
    <definedName name="___rev1999">#REF!</definedName>
    <definedName name="___rev2000">#REF!</definedName>
    <definedName name="___rev2001">#REF!</definedName>
    <definedName name="___rev2002">#REF!</definedName>
    <definedName name="___rev2003">#REF!</definedName>
    <definedName name="___REV89">#REF!</definedName>
    <definedName name="___REV90">#REF!</definedName>
    <definedName name="___REV91">#REF!</definedName>
    <definedName name="___REV92">#REF!</definedName>
    <definedName name="___REV93">#REF!</definedName>
    <definedName name="___REV94">#REF!</definedName>
    <definedName name="___REV95">#REF!</definedName>
    <definedName name="___REV96">#REF!</definedName>
    <definedName name="___REV97">#REF!</definedName>
    <definedName name="___REV98">#REF!</definedName>
    <definedName name="___rw1" hidden="1">{"'Standalone List Price Trends'!$A$1:$X$56"}</definedName>
    <definedName name="___rw2" hidden="1">{"'Standalone List Price Trends'!$A$1:$X$56"}</definedName>
    <definedName name="___rw3" hidden="1">{"'Standalone List Price Trends'!$A$1:$X$56"}</definedName>
    <definedName name="___rw4" hidden="1">{"'Standalone List Price Trends'!$A$1:$X$56"}</definedName>
    <definedName name="___TOP10">#REF!</definedName>
    <definedName name="__123Graph_A" hidden="1">#REF!</definedName>
    <definedName name="__123Graph_ACURRENT" hidden="1">#REF!</definedName>
    <definedName name="__123Graph_AGRPH_EXPIRE" hidden="1">#REF!</definedName>
    <definedName name="__123Graph_ALOSSCHART" hidden="1">#REF!</definedName>
    <definedName name="__123Graph_B" hidden="1">#REF!</definedName>
    <definedName name="__123Graph_BCURRENT" hidden="1">#REF!</definedName>
    <definedName name="__123Graph_BLOSSCHART" hidden="1">#REF!</definedName>
    <definedName name="__123Graph_CLOSSCHART" hidden="1">#REF!</definedName>
    <definedName name="__123Graph_DLOSSCHART" hidden="1">#REF!</definedName>
    <definedName name="__123Graph_ELOSSCHART" hidden="1">#REF!</definedName>
    <definedName name="__123Graph_FLOSSCHART" hidden="1">#REF!</definedName>
    <definedName name="__123Graph_X" hidden="1">#REF!</definedName>
    <definedName name="__123Graph_XCURRENT" hidden="1">#REF!</definedName>
    <definedName name="__123Graph_XGRPH_EXPIRE" hidden="1">#REF!</definedName>
    <definedName name="__2003Q4_T10">#REF!</definedName>
    <definedName name="__CAT1">#REF!</definedName>
    <definedName name="__CAT2">#REF!</definedName>
    <definedName name="__CAT3">#REF!</definedName>
    <definedName name="__CSC2">#REF!</definedName>
    <definedName name="__DAT1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CF2">#REF!</definedName>
    <definedName name="__eps01">#REF!</definedName>
    <definedName name="__eps1998">#REF!</definedName>
    <definedName name="__eps1999">#REF!</definedName>
    <definedName name="__eps2000">#REF!</definedName>
    <definedName name="__eps2001">#REF!</definedName>
    <definedName name="__EPS94">#REF!</definedName>
    <definedName name="__EPS95">#REF!</definedName>
    <definedName name="__EPS96">#REF!</definedName>
    <definedName name="__EPS97">#REF!</definedName>
    <definedName name="__EPS98">#REF!</definedName>
    <definedName name="__eps99">#REF!</definedName>
    <definedName name="__FDS_HYPERLINK_TOGGLE_STATE__" hidden="1">"ON"</definedName>
    <definedName name="__FDS_UNIQUE_RANGE_ID_GENERATOR_COUNTER" hidden="1">268</definedName>
    <definedName name="__FDS_USED_FOR_REUSING_RANGE_IDS_RECYCLE" hidden="1">{264,263,262}</definedName>
    <definedName name="__fig4">#REF!</definedName>
    <definedName name="__grm98">#REF!</definedName>
    <definedName name="__grm99">#REF!</definedName>
    <definedName name="__net96">#REF!</definedName>
    <definedName name="__net97">#REF!</definedName>
    <definedName name="__net98">#REF!</definedName>
    <definedName name="__net99">#REF!</definedName>
    <definedName name="__NIA92">#REF!</definedName>
    <definedName name="__NIA93">#REF!</definedName>
    <definedName name="__NIA94">#REF!</definedName>
    <definedName name="__opm97">#REF!</definedName>
    <definedName name="__opm98">#REF!</definedName>
    <definedName name="__opm99">#REF!</definedName>
    <definedName name="__Q1" hidden="1">{"'Standalone List Price Trends'!$A$1:$X$56"}</definedName>
    <definedName name="__Q2" hidden="1">{"'Standalone List Price Trends'!$A$1:$X$56"}</definedName>
    <definedName name="__Q3" hidden="1">{"'Standalone List Price Trends'!$A$1:$X$56"}</definedName>
    <definedName name="__Q4" hidden="1">{"'Standalone List Price Trends'!$A$1:$X$56"}</definedName>
    <definedName name="__Q5" hidden="1">{"'Standalone List Price Trends'!$A$1:$X$56"}</definedName>
    <definedName name="__Q9" hidden="1">{"'Standalone List Price Trends'!$A$1:$X$56"}</definedName>
    <definedName name="__rev1997">#REF!</definedName>
    <definedName name="__rev1998">#REF!</definedName>
    <definedName name="__rev1999">#REF!</definedName>
    <definedName name="__rev2000">#REF!</definedName>
    <definedName name="__rev2001">#REF!</definedName>
    <definedName name="__rev2002">#REF!</definedName>
    <definedName name="__rev2003">#REF!</definedName>
    <definedName name="__REV89">#REF!</definedName>
    <definedName name="__REV90">#REF!</definedName>
    <definedName name="__REV91">#REF!</definedName>
    <definedName name="__REV92">#REF!</definedName>
    <definedName name="__REV93">#REF!</definedName>
    <definedName name="__REV94">#REF!</definedName>
    <definedName name="__REV95">#REF!</definedName>
    <definedName name="__REV96">#REF!</definedName>
    <definedName name="__REV97">#REF!</definedName>
    <definedName name="__REV98">#REF!</definedName>
    <definedName name="__rev99">#REF!</definedName>
    <definedName name="__rw1" hidden="1">{"'Standalone List Price Trends'!$A$1:$X$56"}</definedName>
    <definedName name="__rw2" hidden="1">{"'Standalone List Price Trends'!$A$1:$X$56"}</definedName>
    <definedName name="__rw3" hidden="1">{"'Standalone List Price Trends'!$A$1:$X$56"}</definedName>
    <definedName name="__rw4" hidden="1">{"'Standalone List Price Trends'!$A$1:$X$56"}</definedName>
    <definedName name="__spx96">#REF!</definedName>
    <definedName name="__tax96">#REF!</definedName>
    <definedName name="__tax97">#REF!</definedName>
    <definedName name="__tax98">#REF!</definedName>
    <definedName name="__tax99">#REF!</definedName>
    <definedName name="__tbl2">#REF!</definedName>
    <definedName name="__tbl3">#REF!</definedName>
    <definedName name="__tbl4">#REF!</definedName>
    <definedName name="__tbl5">#REF!</definedName>
    <definedName name="__TOP10">#REF!</definedName>
    <definedName name="__X2">#REF!</definedName>
    <definedName name="__X3">#REF!</definedName>
    <definedName name="__X6">#REF!</definedName>
    <definedName name="__X7">#REF!</definedName>
    <definedName name="_1__FDSAUDITLINK__" hidden="1">{"fdsup://directions/FAT Viewer?action=UPDATE&amp;creator=factset&amp;DYN_ARGS=TRUE&amp;DOC_NAME=FAT:FQL_AUDITING_CLIENT_TEMPLATE.FAT&amp;display_string=Audit&amp;VAR:KEY=SLSJETOHCD&amp;VAR:QUERY=KENTRl9JTlRBTkcoUVRSX1IsMzczMTUpQFdTRl9JTlRBTkcoUVRSLDM3MzE1KSk=&amp;WINDOW=FIRST_POPUP&amp;H","COMPANY0910=450&amp;WIDTH=450&amp;START_MAXIMIZED=FALSE&amp;VAR:CALENDAR=US&amp;VAR:SYMBOL=Company0092:INDEX=0"}</definedName>
    <definedName name="_1_31_2005">#REF!</definedName>
    <definedName name="_10__FDSAUDITLINK__" hidden="1">{"fdsup://directions/FAT Viewer?action=UPDATE&amp;creator=factset&amp;DYN_ARGS=TRUE&amp;DOC_NAME=FAT:FQL_AUDITING_CLIENT_TEMPLATE.FAT&amp;display_string=Audit&amp;VAR:KEY=CNWVYNAVGH&amp;VAR:QUERY=KENTRl9JTlRBTkcoUVRSX1IsMzcwNDIpQFdTRl9JTlRBTkcoUVRSLDM3MDQyKSk=&amp;WINDOW=FIRST_POPUP&amp;H","COMPANY0910=450&amp;WIDTH=450&amp;START_MAXIMIZED=FALSE&amp;VAR:CALENDAR=US&amp;VAR:SYMBOL=Company0092:INDEX=0"}</definedName>
    <definedName name="_100__FDSAUDITLINK__" hidden="1">{"fdsup://directions/FAT Viewer?action=UPDATE&amp;creator=factset&amp;DYN_ARGS=TRUE&amp;DOC_NAME=FAT:FQL_AUDITING_CLIENT_TEMPLATE.FAT&amp;display_string=Audit&amp;VAR:KEY=QVQTEXITWV&amp;VAR:QUERY=KENTRl9DT01fU0hTX09VVF9FUFNfRElMKFFUUl9SLDM1MjE2KUBXU0ZfQ09NX1NIU19PVVRfRVBTX0RJTChRV","FIsMzUyMTYpKQ==&amp;WINDOW=FIRST_POPUP&amp;HEIGHT=450&amp;WIDTH=450&amp;START_MAXIMIZED=FALSE&amp;VAR:CALENDAR=US&amp;VAR:SYMBOL=Company0092:INDEX=0"}</definedName>
    <definedName name="_101__FDSAUDITLINK__" hidden="1">{"fdsup://directions/FAT Viewer?action=UPDATE&amp;creator=factset&amp;DYN_ARGS=TRUE&amp;DOC_NAME=FAT:FQL_AUDITING_CLIENT_TEMPLATE.FAT&amp;display_string=Audit&amp;VAR:KEY=UPSXULUVKD&amp;VAR:QUERY=KENTRl9JTlRBTkcoUVRSX1IsMzUyMTYpQFdTRl9JTlRBTkcoUVRSLDM1MjE2KSk=&amp;WINDOW=FIRST_POPUP&amp;H","COMPANY0910=450&amp;WIDTH=450&amp;START_MAXIMIZED=FALSE&amp;VAR:CALENDAR=US&amp;VAR:SYMBOL=Company0092:INDEX=0"}</definedName>
    <definedName name="_102__FDSAUDITLINK__" hidden="1">{"fdsup://directions/FAT Viewer?action=UPDATE&amp;creator=factset&amp;DYN_ARGS=TRUE&amp;DOC_NAME=FAT:FQL_AUDITING_CLIENT_TEMPLATE.FAT&amp;display_string=Audit&amp;VAR:KEY=KJUPGDIXCF&amp;VAR:QUERY=KENTRl9DT01fU0hTX09VVF9FUFNfRElMKFFUUl9SLDM1MTg1KUBXU0ZfQ09NX1NIU19PVVRfRVBTX0RJTChRV","FIsMzUxODUpKQ==&amp;WINDOW=FIRST_POPUP&amp;HEIGHT=450&amp;WIDTH=450&amp;START_MAXIMIZED=FALSE&amp;VAR:CALENDAR=US&amp;VAR:SYMBOL=Company0092:INDEX=0"}</definedName>
    <definedName name="_103__FDSAUDITLINK__" hidden="1">{"fdsup://directions/FAT Viewer?action=UPDATE&amp;creator=factset&amp;DYN_ARGS=TRUE&amp;DOC_NAME=FAT:FQL_AUDITING_CLIENT_TEMPLATE.FAT&amp;display_string=Audit&amp;VAR:KEY=ABOXABGVSX&amp;VAR:QUERY=KENTRl9JTlRBTkcoUVRSX1IsMzUxODUpQFdTRl9JTlRBTkcoUVRSLDM1MTg1KSk=&amp;WINDOW=FIRST_POPUP&amp;H","COMPANY0910=450&amp;WIDTH=450&amp;START_MAXIMIZED=FALSE&amp;VAR:CALENDAR=US&amp;VAR:SYMBOL=Company0092:INDEX=0"}</definedName>
    <definedName name="_104__FDSAUDITLINK__" hidden="1">{"fdsup://directions/FAT Viewer?action=UPDATE&amp;creator=factset&amp;DYN_ARGS=TRUE&amp;DOC_NAME=FAT:FQL_AUDITING_CLIENT_TEMPLATE.FAT&amp;display_string=Audit&amp;VAR:KEY=QVUDAZEJGJ&amp;VAR:QUERY=KENTRl9DT01fU0hTX09VVF9FUFNfRElMKFFUUl9SLDM1MTUzKUBXU0ZfQ09NX1NIU19PVVRfRVBTX0RJTChRV","FIsMzUxNTMpKQ==&amp;WINDOW=FIRST_POPUP&amp;HEIGHT=450&amp;WIDTH=450&amp;START_MAXIMIZED=FALSE&amp;VAR:CALENDAR=US&amp;VAR:SYMBOL=Company0092:INDEX=0"}</definedName>
    <definedName name="_105__FDSAUDITLINK__" hidden="1">{"fdsup://directions/FAT Viewer?action=UPDATE&amp;creator=factset&amp;DYN_ARGS=TRUE&amp;DOC_NAME=FAT:FQL_AUDITING_CLIENT_TEMPLATE.FAT&amp;display_string=Audit&amp;VAR:KEY=GVYZWJIDSH&amp;VAR:QUERY=KENTRl9JTlRBTkcoUVRSX1IsMzUxNTMpQFdTRl9JTlRBTkcoUVRSLDM1MTUzKSk=&amp;WINDOW=FIRST_POPUP&amp;H","COMPANY0910=450&amp;WIDTH=450&amp;START_MAXIMIZED=FALSE&amp;VAR:CALENDAR=US&amp;VAR:SYMBOL=Company0092:INDEX=0"}</definedName>
    <definedName name="_106__FDSAUDITLINK__" hidden="1">{"fdsup://directions/FAT Viewer?action=UPDATE&amp;creator=factset&amp;DYN_ARGS=TRUE&amp;DOC_NAME=FAT:FQL_AUDITING_CLIENT_TEMPLATE.FAT&amp;display_string=Audit&amp;VAR:KEY=MBAJMZWVYZ&amp;VAR:QUERY=KENTRl9DT01fU0hTX09VVF9FUFNfRElMKFFUUl9SLDM1MTI0KUBXU0ZfQ09NX1NIU19PVVRfRVBTX0RJTChRV","FIsMzUxMjQpKQ==&amp;WINDOW=FIRST_POPUP&amp;HEIGHT=450&amp;WIDTH=450&amp;START_MAXIMIZED=FALSE&amp;VAR:CALENDAR=US&amp;VAR:SYMBOL=Company0092:INDEX=0"}</definedName>
    <definedName name="_107__FDSAUDITLINK__" hidden="1">{"fdsup://directions/FAT Viewer?action=UPDATE&amp;creator=factset&amp;DYN_ARGS=TRUE&amp;DOC_NAME=FAT:FQL_AUDITING_CLIENT_TEMPLATE.FAT&amp;display_string=Audit&amp;VAR:KEY=Person0014:QUERY=KENTRl9JTlRBTkcoUVRSX1IsMzUxMjQpQFdTRl9JTlRBTkcoUVRSLDM1MTI0KSk=&amp;WINDOW=FIRST_POPUP&amp;H","COMPANY0910=450&amp;WIDTH=450&amp;START_MAXIMIZED=FALSE&amp;VAR:CALENDAR=US&amp;VAR:SYMBOL=Company0092:INDEX=0"}</definedName>
    <definedName name="_108__FDSAUDITLINK__" hidden="1">{"fdsup://directions/FAT Viewer?action=UPDATE&amp;creator=factset&amp;DYN_ARGS=TRUE&amp;DOC_NAME=FAT:FQL_AUDITING_CLIENT_TEMPLATE.FAT&amp;display_string=Audit&amp;VAR:KEY=UPCLCVQBYT&amp;VAR:QUERY=KENTRl9DT01fU0hTX09VVF9FUFNfRElMKFFUUl9SLDM1MDk1KUBXU0ZfQ09NX1NIU19PVVRfRVBTX0RJTChRV","FIsMzUwOTUpKQ==&amp;WINDOW=FIRST_POPUP&amp;HEIGHT=450&amp;WIDTH=450&amp;START_MAXIMIZED=FALSE&amp;VAR:CALENDAR=US&amp;VAR:SYMBOL=Company0092:INDEX=0"}</definedName>
    <definedName name="_109__FDSAUDITLINK__" hidden="1">{"fdsup://directions/FAT Viewer?action=UPDATE&amp;creator=factset&amp;DYN_ARGS=TRUE&amp;DOC_NAME=FAT:FQL_AUDITING_CLIENT_TEMPLATE.FAT&amp;display_string=Audit&amp;VAR:KEY=KTOLQZONEN&amp;VAR:QUERY=KENTRl9JTlRBTkcoUVRSX1IsMzUwOTUpQFdTRl9JTlRBTkcoUVRSLDM1MDk1KSk=&amp;WINDOW=FIRST_POPUP&amp;H","COMPANY0910=450&amp;WIDTH=450&amp;START_MAXIMIZED=FALSE&amp;VAR:CALENDAR=US&amp;VAR:SYMBOL=Company0092:INDEX=0"}</definedName>
    <definedName name="_11__FDSAUDITLINK__" hidden="1">{"fdsup://directions/FAT Viewer?action=UPDATE&amp;creator=factset&amp;DYN_ARGS=TRUE&amp;DOC_NAME=FAT:FQL_AUDITING_CLIENT_TEMPLATE.FAT&amp;display_string=Audit&amp;VAR:KEY=YRMPIDWTSD&amp;VAR:QUERY=KENTRl9JTlRBTkcoUVRSX1IsMzcwMTEpQFdTRl9JTlRBTkcoUVRSLDM3MDExKSk=&amp;WINDOW=FIRST_POPUP&amp;H","COMPANY0910=450&amp;WIDTH=450&amp;START_MAXIMIZED=FALSE&amp;VAR:CALENDAR=US&amp;VAR:SYMBOL=Company0092:INDEX=0"}</definedName>
    <definedName name="_110__FDSAUDITLINK__" hidden="1">{"fdsup://directions/FAT Viewer?action=UPDATE&amp;creator=factset&amp;DYN_ARGS=TRUE&amp;DOC_NAME=FAT:FQL_AUDITING_CLIENT_TEMPLATE.FAT&amp;display_string=Audit&amp;VAR:KEY=OFKLQVKBOZ&amp;VAR:QUERY=KENTRl9DT01fU0hTX09VVF9FUFNfRElMKFFUUl9SLDM1MDYyKUBXU0ZfQ09NX1NIU19PVVRfRVBTX0RJTChRV","FIsMzUwNjIpKQ==&amp;WINDOW=FIRST_POPUP&amp;HEIGHT=450&amp;WIDTH=450&amp;START_MAXIMIZED=FALSE&amp;VAR:CALENDAR=US&amp;VAR:SYMBOL=Company0092:INDEX=0"}</definedName>
    <definedName name="_111__FDSAUDITLINK__" hidden="1">{"fdsup://directions/FAT Viewer?action=UPDATE&amp;creator=factset&amp;DYN_ARGS=TRUE&amp;DOC_NAME=FAT:FQL_AUDITING_CLIENT_TEMPLATE.FAT&amp;display_string=Audit&amp;VAR:KEY=CZKDYXCHSL&amp;VAR:QUERY=KENTRl9JTlRBTkcoUVRSX1IsMzUwNjIpQFdTRl9JTlRBTkcoUVRSLDM1MDYyKSk=&amp;WINDOW=FIRST_POPUP&amp;H","COMPANY0910=450&amp;WIDTH=450&amp;START_MAXIMIZED=FALSE&amp;VAR:CALENDAR=US&amp;VAR:SYMBOL=Company0092:INDEX=0"}</definedName>
    <definedName name="_112__FDSAUDITLINK__" hidden="1">{"fdsup://directions/FAT Viewer?action=UPDATE&amp;creator=factset&amp;DYN_ARGS=TRUE&amp;DOC_NAME=FAT:FQL_AUDITING_CLIENT_TEMPLATE.FAT&amp;display_string=Audit&amp;VAR:KEY=UBKVCJQNQV&amp;VAR:QUERY=KENTRl9DT01fU0hTX09VVF9FUFNfRElMKFFUUl9SLDM1MDMzKUBXU0ZfQ09NX1NIU19PVVRfRVBTX0RJTChRV","FIsMzUwMzMpKQ==&amp;WINDOW=FIRST_POPUP&amp;HEIGHT=450&amp;WIDTH=450&amp;START_MAXIMIZED=FALSE&amp;VAR:CALENDAR=US&amp;VAR:SYMBOL=Company0092:INDEX=0"}</definedName>
    <definedName name="_113__FDSAUDITLINK__" hidden="1">{"fdsup://directions/FAT Viewer?action=UPDATE&amp;creator=factset&amp;DYN_ARGS=TRUE&amp;DOC_NAME=FAT:FQL_AUDITING_CLIENT_TEMPLATE.FAT&amp;display_string=Audit&amp;VAR:KEY=EVCZIJUDGB&amp;VAR:QUERY=KENTRl9JTlRBTkcoUVRSX1IsMzUwMzMpQFdTRl9JTlRBTkcoUVRSLDM1MDMzKSk=&amp;WINDOW=FIRST_POPUP&amp;H","COMPANY0910=450&amp;WIDTH=450&amp;START_MAXIMIZED=FALSE&amp;VAR:CALENDAR=US&amp;VAR:SYMBOL=Company0092:INDEX=0"}</definedName>
    <definedName name="_114__FDSAUDITLINK__" hidden="1">{"fdsup://directions/FAT Viewer?action=UPDATE&amp;creator=factset&amp;DYN_ARGS=TRUE&amp;DOC_NAME=FAT:FQL_AUDITING_CLIENT_TEMPLATE.FAT&amp;display_string=Audit&amp;VAR:KEY=WPYZATQRMT&amp;VAR:QUERY=KENTRl9DT01fU0hTX09VVF9FUFNfRElMKFFUUl9SLDM1MDAzKUBXU0ZfQ09NX1NIU19PVVRfRVBTX0RJTChRV","FIsMzUwMDMpKQ==&amp;WINDOW=FIRST_POPUP&amp;HEIGHT=450&amp;WIDTH=450&amp;START_MAXIMIZED=FALSE&amp;VAR:CALENDAR=US&amp;VAR:SYMBOL=Company0092:INDEX=0"}</definedName>
    <definedName name="_115__FDSAUDITLINK__" hidden="1">{"fdsup://directions/FAT Viewer?action=UPDATE&amp;creator=factset&amp;DYN_ARGS=TRUE&amp;DOC_NAME=FAT:FQL_AUDITING_CLIENT_TEMPLATE.FAT&amp;display_string=Audit&amp;VAR:KEY=KTEJWHONMB&amp;VAR:QUERY=KENTRl9JTlRBTkcoUVRSX1IsMzUwMDMpQFdTRl9JTlRBTkcoUVRSLDM1MDAzKSk=&amp;WINDOW=FIRST_POPUP&amp;H","COMPANY0910=450&amp;WIDTH=450&amp;START_MAXIMIZED=FALSE&amp;VAR:CALENDAR=US&amp;VAR:SYMBOL=Company0092:INDEX=0"}</definedName>
    <definedName name="_116__FDSAUDITLINK__" hidden="1">{"fdsup://directions/FAT Viewer?action=UPDATE&amp;creator=factset&amp;DYN_ARGS=TRUE&amp;DOC_NAME=FAT:FQL_AUDITING_CLIENT_TEMPLATE.FAT&amp;display_string=Audit&amp;VAR:KEY=CFYHMXQVYL&amp;VAR:QUERY=KENTRl9DT01fU0hTX09VVF9FUFNfRElMKFFUUl9SLDM0OTcxKUBXU0ZfQ09NX1NIU19PVVRfRVBTX0RJTChRV","FIsMzQ5NzEpKQ==&amp;WINDOW=FIRST_POPUP&amp;HEIGHT=450&amp;WIDTH=450&amp;START_MAXIMIZED=FALSE&amp;VAR:CALENDAR=US&amp;VAR:SYMBOL=Company0092:INDEX=0"}</definedName>
    <definedName name="_117__FDSAUDITLINK__" hidden="1">{"fdsup://directions/FAT Viewer?action=UPDATE&amp;creator=factset&amp;DYN_ARGS=TRUE&amp;DOC_NAME=FAT:FQL_AUDITING_CLIENT_TEMPLATE.FAT&amp;display_string=Audit&amp;VAR:KEY=CXUJMXYJML&amp;VAR:QUERY=KENTRl9JTlRBTkcoUVRSX1IsMzQ5NzEpQFdTRl9JTlRBTkcoUVRSLDM0OTcxKSk=&amp;WINDOW=FIRST_POPUP&amp;H","COMPANY0910=450&amp;WIDTH=450&amp;START_MAXIMIZED=FALSE&amp;VAR:CALENDAR=US&amp;VAR:SYMBOL=Company0092:INDEX=0"}</definedName>
    <definedName name="_118__FDSAUDITLINK__" hidden="1">{"fdsup://directions/FAT Viewer?action=UPDATE&amp;creator=factset&amp;DYN_ARGS=TRUE&amp;DOC_NAME=FAT:FQL_AUDITING_CLIENT_TEMPLATE.FAT&amp;display_string=Audit&amp;VAR:KEY=EPIHINADAP&amp;VAR:QUERY=KENTRl9DT01fU0hTX09VVF9FUFNfRElMKFFUUl9SLDM0OTQyKUBXU0ZfQ09NX1NIU19PVVRfRVBTX0RJTChRV","FIsMzQ5NDIpKQ==&amp;WINDOW=FIRST_POPUP&amp;HEIGHT=450&amp;WIDTH=450&amp;START_MAXIMIZED=FALSE&amp;VAR:CALENDAR=US&amp;VAR:SYMBOL=Company0092:INDEX=0"}</definedName>
    <definedName name="_119__FDSAUDITLINK__" hidden="1">{"fdsup://directions/FAT Viewer?action=UPDATE&amp;creator=factset&amp;DYN_ARGS=TRUE&amp;DOC_NAME=FAT:FQL_AUDITING_CLIENT_TEMPLATE.FAT&amp;display_string=Audit&amp;VAR:KEY=KRILYHABUH&amp;VAR:QUERY=KENTRl9JTlRBTkcoUVRSX1IsMzQ5NDIpQFdTRl9JTlRBTkcoUVRSLDM0OTQyKSk=&amp;WINDOW=FIRST_POPUP&amp;H","COMPANY0910=450&amp;WIDTH=450&amp;START_MAXIMIZED=FALSE&amp;VAR:CALENDAR=US&amp;VAR:SYMBOL=Company0092:INDEX=0"}</definedName>
    <definedName name="_12__FDSAUDITLINK__" hidden="1">{"fdsup://directions/FAT Viewer?action=UPDATE&amp;creator=factset&amp;DYN_ARGS=TRUE&amp;DOC_NAME=FAT:FQL_AUDITING_CLIENT_TEMPLATE.FAT&amp;display_string=Audit&amp;VAR:KEY=IJUHMJENAX&amp;VAR:QUERY=KENTRl9JTlRBTkcoUVRSX1IsMzY5ODApQFdTRl9JTlRBTkcoUVRSLDM2OTgwKSk=&amp;WINDOW=FIRST_POPUP&amp;H","COMPANY0910=450&amp;WIDTH=450&amp;START_MAXIMIZED=FALSE&amp;VAR:CALENDAR=US&amp;VAR:SYMBOL=Company0092:INDEX=0"}</definedName>
    <definedName name="_120__FDSAUDITLINK__" hidden="1">{"fdsup://directions/FAT Viewer?action=UPDATE&amp;creator=factset&amp;DYN_ARGS=TRUE&amp;DOC_NAME=FAT:FQL_AUDITING_CLIENT_TEMPLATE.FAT&amp;display_string=Audit&amp;VAR:KEY=OVKBAJITKP&amp;VAR:QUERY=KENTRl9DT01fU0hTX09VVF9FUFNfRElMKFFUUl9SLDM0OTExKUBXU0ZfQ09NX1NIU19PVVRfRVBTX0RJTChRV","FIsMzQ5MTEpKQ==&amp;WINDOW=FIRST_POPUP&amp;HEIGHT=450&amp;WIDTH=450&amp;START_MAXIMIZED=FALSE&amp;VAR:CALENDAR=US&amp;VAR:SYMBOL=Company0092:INDEX=0"}</definedName>
    <definedName name="_121__FDSAUDITLINK__" hidden="1">{"fdsup://directions/FAT Viewer?action=UPDATE&amp;creator=factset&amp;DYN_ARGS=TRUE&amp;DOC_NAME=FAT:FQL_AUDITING_CLIENT_TEMPLATE.FAT&amp;display_string=Audit&amp;VAR:KEY=ILULSZIBYT&amp;VAR:QUERY=KENTRl9JTlRBTkcoUVRSX1IsMzQ5MTEpQFdTRl9JTlRBTkcoUVRSLDM0OTExKSk=&amp;WINDOW=FIRST_POPUP&amp;H","COMPANY0910=450&amp;WIDTH=450&amp;START_MAXIMIZED=FALSE&amp;VAR:CALENDAR=US&amp;VAR:SYMBOL=Company0092:INDEX=0"}</definedName>
    <definedName name="_122__FDSAUDITLINK__" hidden="1">{"fdsup://directions/FAT Viewer?action=UPDATE&amp;creator=factset&amp;DYN_ARGS=TRUE&amp;DOC_NAME=FAT:FQL_AUDITING_CLIENT_TEMPLATE.FAT&amp;display_string=Audit&amp;VAR:KEY=CDUFYHABSB&amp;VAR:QUERY=KENTRl9DT01fU0hTX09VVF9FUFNfRElMKFFUUl9SLDM0ODgwKUBXU0ZfQ09NX1NIU19PVVRfRVBTX0RJTChRV","FIsMzQ4ODApKQ==&amp;WINDOW=FIRST_POPUP&amp;HEIGHT=450&amp;WIDTH=450&amp;START_MAXIMIZED=FALSE&amp;VAR:CALENDAR=US&amp;VAR:SYMBOL=Company0092:INDEX=0"}</definedName>
    <definedName name="_123__FDSAUDITLINK__" hidden="1">{"fdsup://directions/FAT Viewer?action=UPDATE&amp;creator=factset&amp;DYN_ARGS=TRUE&amp;DOC_NAME=FAT:FQL_AUDITING_CLIENT_TEMPLATE.FAT&amp;display_string=Audit&amp;VAR:KEY=ILSPEVSLMP&amp;VAR:QUERY=KENTRl9JTlRBTkcoUVRSX1IsMzQ4ODApQFdTRl9JTlRBTkcoUVRSLDM0ODgwKSk=&amp;WINDOW=FIRST_POPUP&amp;H","COMPANY0910=450&amp;WIDTH=450&amp;START_MAXIMIZED=FALSE&amp;VAR:CALENDAR=US&amp;VAR:SYMBOL=Company0092:INDEX=0"}</definedName>
    <definedName name="_124__FDSAUDITLINK__" hidden="1">{"fdsup://directions/FAT Viewer?action=UPDATE&amp;creator=factset&amp;DYN_ARGS=TRUE&amp;DOC_NAME=FAT:FQL_AUDITING_CLIENT_TEMPLATE.FAT&amp;display_string=Audit&amp;VAR:KEY=SNIBITWPEL&amp;VAR:QUERY=KENTRl9DT01fU0hTX09VVF9FUFNfRElMKFFUUl9SLDM0ODUwKUBXU0ZfQ09NX1NIU19PVVRfRVBTX0RJTChRV","FIsMzQ4NTApKQ==&amp;WINDOW=FIRST_POPUP&amp;HEIGHT=450&amp;WIDTH=450&amp;START_MAXIMIZED=FALSE&amp;VAR:CALENDAR=US&amp;VAR:SYMBOL=Company0092:INDEX=0"}</definedName>
    <definedName name="_125__FDSAUDITLINK__" hidden="1">{"fdsup://directions/FAT Viewer?action=UPDATE&amp;creator=factset&amp;DYN_ARGS=TRUE&amp;DOC_NAME=FAT:FQL_AUDITING_CLIENT_TEMPLATE.FAT&amp;display_string=Audit&amp;VAR:KEY=YTWNWHGHMX&amp;VAR:QUERY=KENTRl9JTlRBTkcoUVRSX1IsMzQ4NTApQFdTRl9JTlRBTkcoUVRSLDM0ODUwKSk=&amp;WINDOW=FIRST_POPUP&amp;H","COMPANY0910=450&amp;WIDTH=450&amp;START_MAXIMIZED=FALSE&amp;VAR:CALENDAR=US&amp;VAR:SYMBOL=Company0092:INDEX=0"}</definedName>
    <definedName name="_126__FDSAUDITLINK__" hidden="1">{"fdsup://directions/FAT Viewer?action=UPDATE&amp;creator=factset&amp;DYN_ARGS=TRUE&amp;DOC_NAME=FAT:FQL_AUDITING_CLIENT_TEMPLATE.FAT&amp;display_string=Audit&amp;VAR:KEY=OBINCZUZKN&amp;VAR:QUERY=KENTRl9DT01fU0hTX09VVF9FUFNfRElMKFFUUl9SLDM0ODE3KUBXU0ZfQ09NX1NIU19PVVRfRVBTX0RJTChRV","FIsMzQ4MTcpKQ==&amp;WINDOW=FIRST_POPUP&amp;HEIGHT=450&amp;WIDTH=450&amp;START_MAXIMIZED=FALSE&amp;VAR:CALENDAR=US&amp;VAR:SYMBOL=Company0092:INDEX=0"}</definedName>
    <definedName name="_127__FDSAUDITLINK__" hidden="1">{"fdsup://directions/FAT Viewer?action=UPDATE&amp;creator=factset&amp;DYN_ARGS=TRUE&amp;DOC_NAME=FAT:FQL_AUDITING_CLIENT_TEMPLATE.FAT&amp;display_string=Audit&amp;VAR:KEY=SXSZONGJKP&amp;VAR:QUERY=KENTRl9JTlRBTkcoUVRSX1IsMzQ4MTcpQFdTRl9JTlRBTkcoUVRSLDM0ODE3KSk=&amp;WINDOW=FIRST_POPUP&amp;H","COMPANY0910=450&amp;WIDTH=450&amp;START_MAXIMIZED=FALSE&amp;VAR:CALENDAR=US&amp;VAR:SYMBOL=Company0092:INDEX=0"}</definedName>
    <definedName name="_128__FDSAUDITLINK__" hidden="1">{"fdsup://directions/FAT Viewer?action=UPDATE&amp;creator=factset&amp;DYN_ARGS=TRUE&amp;DOC_NAME=FAT:FQL_AUDITING_CLIENT_TEMPLATE.FAT&amp;display_string=Audit&amp;VAR:KEY=WDUVAFIDWR&amp;VAR:QUERY=KENTRl9DT01fU0hTX09VVF9FUFNfRElMKFFUUl9SLDM0Nzg5KUBXU0ZfQ09NX1NIU19PVVRfRVBTX0RJTChRV","FIsMzQ3ODkpKQ==&amp;WINDOW=FIRST_POPUP&amp;HEIGHT=450&amp;WIDTH=450&amp;START_MAXIMIZED=FALSE&amp;VAR:CALENDAR=US&amp;VAR:SYMBOL=Company0092:INDEX=0"}</definedName>
    <definedName name="_129__FDSAUDITLINK__" hidden="1">{"fdsup://directions/FAT Viewer?action=UPDATE&amp;creator=factset&amp;DYN_ARGS=TRUE&amp;DOC_NAME=FAT:FQL_AUDITING_CLIENT_TEMPLATE.FAT&amp;display_string=Audit&amp;VAR:KEY=OFMJAJGDCF&amp;VAR:QUERY=KENTRl9JTlRBTkcoUVRSX1IsMzQ3ODkpQFdTRl9JTlRBTkcoUVRSLDM0Nzg5KSk=&amp;WINDOW=FIRST_POPUP&amp;H","COMPANY0910=450&amp;WIDTH=450&amp;START_MAXIMIZED=FALSE&amp;VAR:CALENDAR=US&amp;VAR:SYMBOL=Company0092:INDEX=0"}</definedName>
    <definedName name="_13__FDSAUDITLINK__" hidden="1">{"fdsup://directions/FAT Viewer?action=UPDATE&amp;creator=factset&amp;DYN_ARGS=TRUE&amp;DOC_NAME=FAT:FQL_AUDITING_CLIENT_TEMPLATE.FAT&amp;display_string=Audit&amp;VAR:KEY=MNIZYREHEB&amp;VAR:QUERY=KENTRl9JTlRBTkcoUVRSX1IsMzY5NTApQFdTRl9JTlRBTkcoUVRSLDM2OTUwKSk=&amp;WINDOW=FIRST_POPUP&amp;H","COMPANY0910=450&amp;WIDTH=450&amp;START_MAXIMIZED=FALSE&amp;VAR:CALENDAR=US&amp;VAR:SYMBOL=Company0092:INDEX=0"}</definedName>
    <definedName name="_130__FDSAUDITLINK__" hidden="1">{"fdsup://directions/FAT Viewer?action=UPDATE&amp;creator=factset&amp;DYN_ARGS=TRUE&amp;DOC_NAME=FAT:FQL_AUDITING_CLIENT_TEMPLATE.FAT&amp;display_string=Audit&amp;VAR:KEY=UBGDEHYLST&amp;VAR:QUERY=KENTRl9DT01fU0hTX09VVF9FUFNfRElMKFFUUl9SLDM0NzU4KUBXU0ZfQ09NX1NIU19PVVRfRVBTX0RJTChRV","FIsMzQ3NTgpKQ==&amp;WINDOW=FIRST_POPUP&amp;HEIGHT=450&amp;WIDTH=450&amp;START_MAXIMIZED=FALSE&amp;VAR:CALENDAR=US&amp;VAR:SYMBOL=Company0092:INDEX=0"}</definedName>
    <definedName name="_131__FDSAUDITLINK__" hidden="1">{"fdsup://directions/FAT Viewer?action=UPDATE&amp;creator=factset&amp;DYN_ARGS=TRUE&amp;DOC_NAME=FAT:FQL_AUDITING_CLIENT_TEMPLATE.FAT&amp;display_string=Audit&amp;VAR:KEY=OXOBWZINSB&amp;VAR:QUERY=KENTRl9JTlRBTkcoUVRSX1IsMzQ3NTgpQFdTRl9JTlRBTkcoUVRSLDM0NzU4KSk=&amp;WINDOW=FIRST_POPUP&amp;H","COMPANY0910=450&amp;WIDTH=450&amp;START_MAXIMIZED=FALSE&amp;VAR:CALENDAR=US&amp;VAR:SYMBOL=Company0092:INDEX=0"}</definedName>
    <definedName name="_132__FDSAUDITLINK__" hidden="1">{"fdsup://directions/FAT Viewer?action=UPDATE&amp;creator=factset&amp;DYN_ARGS=TRUE&amp;DOC_NAME=FAT:FQL_AUDITING_CLIENT_TEMPLATE.FAT&amp;display_string=Audit&amp;VAR:KEY=WRYRMPATCV&amp;VAR:QUERY=KENTRl9DT01fU0hTX09VVF9FUFNfRElMKFFUUl9SLDM0NzMwKUBXU0ZfQ09NX1NIU19PVVRfRVBTX0RJTChRV","FIsMzQ3MzApKQ==&amp;WINDOW=FIRST_POPUP&amp;HEIGHT=450&amp;WIDTH=450&amp;START_MAXIMIZED=FALSE&amp;VAR:CALENDAR=US&amp;VAR:SYMBOL=Company0092:INDEX=0"}</definedName>
    <definedName name="_133__FDSAUDITLINK__" hidden="1">{"fdsup://directions/FAT Viewer?action=UPDATE&amp;creator=factset&amp;DYN_ARGS=TRUE&amp;DOC_NAME=FAT:FQL_AUDITING_CLIENT_TEMPLATE.FAT&amp;display_string=Audit&amp;VAR:KEY=QHYFWHAFGT&amp;VAR:QUERY=KENTRl9JTlRBTkcoUVRSX1IsMzQ3MzApQFdTRl9JTlRBTkcoUVRSLDM0NzMwKSk=&amp;WINDOW=FIRST_POPUP&amp;H","COMPANY0910=450&amp;WIDTH=450&amp;START_MAXIMIZED=FALSE&amp;VAR:CALENDAR=US&amp;VAR:SYMBOL=Company0092:INDEX=0"}</definedName>
    <definedName name="_134__FDSAUDITLINK__" hidden="1">{"fdsup://directions/FAT Viewer?action=UPDATE&amp;creator=factset&amp;DYN_ARGS=TRUE&amp;DOC_NAME=FAT:FQL_AUDITING_CLIENT_TEMPLATE.FAT&amp;display_string=Audit&amp;VAR:KEY=UTENADMRKB&amp;VAR:QUERY=KENTRl9DT01fU0hTX09VVF9FUFNfRElMKFFUUl9SLDM0Njk4KUBXU0ZfQ09NX1NIU19PVVRfRVBTX0RJTChRV","FIsMzQ2OTgpKQ==&amp;WINDOW=FIRST_POPUP&amp;HEIGHT=450&amp;WIDTH=450&amp;START_MAXIMIZED=FALSE&amp;VAR:CALENDAR=US&amp;VAR:SYMBOL=Company0092:INDEX=0"}</definedName>
    <definedName name="_135__FDSAUDITLINK__" hidden="1">{"fdsup://directions/FAT Viewer?action=UPDATE&amp;creator=factset&amp;DYN_ARGS=TRUE&amp;DOC_NAME=FAT:FQL_AUDITING_CLIENT_TEMPLATE.FAT&amp;display_string=Audit&amp;VAR:KEY=WBAJAJEJSV&amp;VAR:QUERY=KENTRl9JTlRBTkcoUVRSX1IsMzQ2OTgpQFdTRl9JTlRBTkcoUVRSLDM0Njk4KSk=&amp;WINDOW=FIRST_POPUP&amp;H","COMPANY0910=450&amp;WIDTH=450&amp;START_MAXIMIZED=FALSE&amp;VAR:CALENDAR=US&amp;VAR:SYMBOL=Company0092:INDEX=0"}</definedName>
    <definedName name="_136__FDSAUDITLINK__" hidden="1">{"fdsup://directions/FAT Viewer?action=UPDATE&amp;creator=factset&amp;DYN_ARGS=TRUE&amp;DOC_NAME=FAT:FQL_AUDITING_CLIENT_TEMPLATE.FAT&amp;display_string=Audit&amp;VAR:KEY=MRIHORKVUX&amp;VAR:QUERY=KENTRl9DT01fU0hTX09VVF9FUFNfRElMKFFUUl9SLDM0NjY4KUBXU0ZfQ09NX1NIU19PVVRfRVBTX0RJTChRV","FIsMzQ2NjgpKQ==&amp;WINDOW=FIRST_POPUP&amp;HEIGHT=450&amp;WIDTH=450&amp;START_MAXIMIZED=FALSE&amp;VAR:CALENDAR=US&amp;VAR:SYMBOL=Company0092:INDEX=0"}</definedName>
    <definedName name="_137__FDSAUDITLINK__" hidden="1">{"fdsup://directions/FAT Viewer?action=UPDATE&amp;creator=factset&amp;DYN_ARGS=TRUE&amp;DOC_NAME=FAT:FQL_AUDITING_CLIENT_TEMPLATE.FAT&amp;display_string=Audit&amp;VAR:KEY=EXMLMJMHMV&amp;VAR:QUERY=KENTRl9JTlRBTkcoUVRSX1IsMzQ2NjgpQFdTRl9JTlRBTkcoUVRSLDM0NjY4KSk=&amp;WINDOW=FIRST_POPUP&amp;H","COMPANY0910=450&amp;WIDTH=450&amp;START_MAXIMIZED=FALSE&amp;VAR:CALENDAR=US&amp;VAR:SYMBOL=Company0092:INDEX=0"}</definedName>
    <definedName name="_138__FDSAUDITLINK__" hidden="1">{"fdsup://directions/FAT Viewer?action=UPDATE&amp;creator=factset&amp;DYN_ARGS=TRUE&amp;DOC_NAME=FAT:FQL_AUDITING_CLIENT_TEMPLATE.FAT&amp;display_string=Audit&amp;VAR:KEY=EHINILYXGT&amp;VAR:QUERY=KENTRl9DT01fU0hTX09VVF9FUFNfRElMKFFUUl9SLDM0NjM4KUBXU0ZfQ09NX1NIU19PVVRfRVBTX0RJTChRV","FIsMzQ2MzgpKQ==&amp;WINDOW=FIRST_POPUP&amp;HEIGHT=450&amp;WIDTH=450&amp;START_MAXIMIZED=FALSE&amp;VAR:CALENDAR=US&amp;VAR:SYMBOL=Company0092:INDEX=0"}</definedName>
    <definedName name="_139__FDSAUDITLINK__" hidden="1">{"fdsup://directions/FAT Viewer?action=UPDATE&amp;creator=factset&amp;DYN_ARGS=TRUE&amp;DOC_NAME=FAT:FQL_AUDITING_CLIENT_TEMPLATE.FAT&amp;display_string=Audit&amp;VAR:KEY=KHOXAJADGZ&amp;VAR:QUERY=KENTRl9JTlRBTkcoUVRSX1IsMzQ2MzgpQFdTRl9JTlRBTkcoUVRSLDM0NjM4KSk=&amp;WINDOW=FIRST_POPUP&amp;H","COMPANY0910=450&amp;WIDTH=450&amp;START_MAXIMIZED=FALSE&amp;VAR:CALENDAR=US&amp;VAR:SYMBOL=Company0092:INDEX=0"}</definedName>
    <definedName name="_14__FDSAUDITLINK__" hidden="1">{"fdsup://directions/FAT Viewer?action=UPDATE&amp;creator=factset&amp;DYN_ARGS=TRUE&amp;DOC_NAME=FAT:FQL_AUDITING_CLIENT_TEMPLATE.FAT&amp;display_string=Audit&amp;VAR:KEY=SNSFGJCNOX&amp;VAR:QUERY=KENTRl9JTlRBTkcoUVRSX1IsMzY5MjIpQFdTRl9JTlRBTkcoUVRSLDM2OTIyKSk=&amp;WINDOW=FIRST_POPUP&amp;H","COMPANY0910=450&amp;WIDTH=450&amp;START_MAXIMIZED=FALSE&amp;VAR:CALENDAR=US&amp;VAR:SYMBOL=Company0092:INDEX=0"}</definedName>
    <definedName name="_140__FDSAUDITLINK__" hidden="1">{"fdsup://directions/FAT Viewer?action=UPDATE&amp;creator=factset&amp;DYN_ARGS=TRUE&amp;DOC_NAME=FAT:FQL_AUDITING_CLIENT_TEMPLATE.FAT&amp;display_string=Audit&amp;VAR:KEY=ALSPUTGLKP&amp;VAR:QUERY=KENTRl9DT01fU0hTX09VVF9FUFNfRElMKFFUUl9SLDM0NjA3KUBXU0ZfQ09NX1NIU19PVVRfRVBTX0RJTChRV","FIsMzQ2MDcpKQ==&amp;WINDOW=FIRST_POPUP&amp;HEIGHT=450&amp;WIDTH=450&amp;START_MAXIMIZED=FALSE&amp;VAR:CALENDAR=US&amp;VAR:SYMBOL=Company0092:INDEX=0"}</definedName>
    <definedName name="_141__FDSAUDITLINK__" hidden="1">{"fdsup://directions/FAT Viewer?action=UPDATE&amp;creator=factset&amp;DYN_ARGS=TRUE&amp;DOC_NAME=FAT:FQL_AUDITING_CLIENT_TEMPLATE.FAT&amp;display_string=Audit&amp;VAR:KEY=KBWPWHIVUL&amp;VAR:QUERY=KENTRl9JTlRBTkcoUVRSX1IsMzQ2MDcpQFdTRl9JTlRBTkcoUVRSLDM0NjA3KSk=&amp;WINDOW=FIRST_POPUP&amp;H","COMPANY0910=450&amp;WIDTH=450&amp;START_MAXIMIZED=FALSE&amp;VAR:CALENDAR=US&amp;VAR:SYMBOL=Company0092:INDEX=0"}</definedName>
    <definedName name="_142__FDSAUDITLINK__" hidden="1">{"fdsup://directions/FAT Viewer?action=UPDATE&amp;creator=factset&amp;DYN_ARGS=TRUE&amp;DOC_NAME=FAT:FQL_AUDITING_CLIENT_TEMPLATE.FAT&amp;display_string=Audit&amp;VAR:KEY=ARKJYHEBOT&amp;VAR:QUERY=KENTRl9DT01fU0hTX09VVF9FUFNfRElMKFFUUl9SLDM0NTc3KUBXU0ZfQ09NX1NIU19PVVRfRVBTX0RJTChRV","FIsMzQ1NzcpKQ==&amp;WINDOW=FIRST_POPUP&amp;HEIGHT=450&amp;WIDTH=450&amp;START_MAXIMIZED=FALSE&amp;VAR:CALENDAR=US&amp;VAR:SYMBOL=Company0092:INDEX=0"}</definedName>
    <definedName name="_143__FDSAUDITLINK__" hidden="1">{"fdsup://directions/FAT Viewer?action=UPDATE&amp;creator=factset&amp;DYN_ARGS=TRUE&amp;DOC_NAME=FAT:FQL_AUDITING_CLIENT_TEMPLATE.FAT&amp;display_string=Audit&amp;VAR:KEY=WFGTYNGXCR&amp;VAR:QUERY=KENTRl9JTlRBTkcoUVRSX1IsMzQ1NzcpQFdTRl9JTlRBTkcoUVRSLDM0NTc3KSk=&amp;WINDOW=FIRST_POPUP&amp;H","COMPANY0910=450&amp;WIDTH=450&amp;START_MAXIMIZED=FALSE&amp;VAR:CALENDAR=US&amp;VAR:SYMBOL=Company0092:INDEX=0"}</definedName>
    <definedName name="_144__FDSAUDITLINK__" hidden="1">{"fdsup://directions/FAT Viewer?action=UPDATE&amp;creator=factset&amp;DYN_ARGS=TRUE&amp;DOC_NAME=FAT:FQL_AUDITING_CLIENT_TEMPLATE.FAT&amp;display_string=Audit&amp;VAR:KEY=MFULODEBOZ&amp;VAR:QUERY=KENTRl9DT01fU0hTX09VVF9FUFNfRElMKFFUUl9SLDM0NTQ0KUBXU0ZfQ09NX1NIU19PVVRfRVBTX0RJTChRV","FIsMzQ1NDQpKQ==&amp;WINDOW=FIRST_POPUP&amp;HEIGHT=450&amp;WIDTH=450&amp;START_MAXIMIZED=FALSE&amp;VAR:CALENDAR=US&amp;VAR:SYMBOL=Company0092:INDEX=0"}</definedName>
    <definedName name="_145__FDSAUDITLINK__" hidden="1">{"fdsup://directions/FAT Viewer?action=UPDATE&amp;creator=factset&amp;DYN_ARGS=TRUE&amp;DOC_NAME=FAT:FQL_AUDITING_CLIENT_TEMPLATE.FAT&amp;display_string=Audit&amp;VAR:KEY=GNMJETYXED&amp;VAR:QUERY=KENTRl9JTlRBTkcoUVRSX1IsMzQ1NDQpQFdTRl9JTlRBTkcoUVRSLDM0NTQ0KSk=&amp;WINDOW=FIRST_POPUP&amp;H","COMPANY0910=450&amp;WIDTH=450&amp;START_MAXIMIZED=FALSE&amp;VAR:CALENDAR=US&amp;VAR:SYMBOL=Company0092:INDEX=0"}</definedName>
    <definedName name="_146__FDSAUDITLINK__" hidden="1">{"fdsup://directions/FAT Viewer?action=UPDATE&amp;creator=factset&amp;DYN_ARGS=TRUE&amp;DOC_NAME=FAT:FQL_AUDITING_CLIENT_TEMPLATE.FAT&amp;display_string=Audit&amp;VAR:KEY=MJGLIFKDAF&amp;VAR:QUERY=KENTRl9DT01fU0hTX09VVF9FUFNfRElMKFFUUl9SLDM0NTE1KUBXU0ZfQ09NX1NIU19PVVRfRVBTX0RJTChRV","FIsMzQ1MTUpKQ==&amp;WINDOW=FIRST_POPUP&amp;HEIGHT=450&amp;WIDTH=450&amp;START_MAXIMIZED=FALSE&amp;VAR:CALENDAR=US&amp;VAR:SYMBOL=Company0092:INDEX=0"}</definedName>
    <definedName name="_147__FDSAUDITLINK__" hidden="1">{"fdsup://directions/FAT Viewer?action=UPDATE&amp;creator=factset&amp;DYN_ARGS=TRUE&amp;DOC_NAME=FAT:FQL_AUDITING_CLIENT_TEMPLATE.FAT&amp;display_string=Audit&amp;VAR:KEY=ONEZOBMNEJ&amp;VAR:QUERY=KENTRl9JTlRBTkcoUVRSX1IsMzQ1MTUpQFdTRl9JTlRBTkcoUVRSLDM0NTE1KSk=&amp;WINDOW=FIRST_POPUP&amp;H","COMPANY0910=450&amp;WIDTH=450&amp;START_MAXIMIZED=FALSE&amp;VAR:CALENDAR=US&amp;VAR:SYMBOL=Company0092:INDEX=0"}</definedName>
    <definedName name="_148__FDSAUDITLINK__" hidden="1">{"fdsup://directions/FAT Viewer?action=UPDATE&amp;creator=factset&amp;DYN_ARGS=TRUE&amp;DOC_NAME=FAT:FQL_AUDITING_CLIENT_TEMPLATE.FAT&amp;display_string=Audit&amp;VAR:KEY=URQXKTSLOB&amp;VAR:QUERY=KENTRl9DT01fU0hTX09VVF9FUFNfRElMKFFUUl9SLDM0NDg1KUBXU0ZfQ09NX1NIU19PVVRfRVBTX0RJTChRV","FIsMzQ0ODUpKQ==&amp;WINDOW=FIRST_POPUP&amp;HEIGHT=450&amp;WIDTH=450&amp;START_MAXIMIZED=FALSE&amp;VAR:CALENDAR=US&amp;VAR:SYMBOL=Company0092:INDEX=0"}</definedName>
    <definedName name="_149__FDSAUDITLINK__" hidden="1">{"fdsup://directions/FAT Viewer?action=UPDATE&amp;creator=factset&amp;DYN_ARGS=TRUE&amp;DOC_NAME=FAT:FQL_AUDITING_CLIENT_TEMPLATE.FAT&amp;display_string=Audit&amp;VAR:KEY=CZUVWJCPEZ&amp;VAR:QUERY=KENTRl9JTlRBTkcoUVRSX1IsMzQ0ODUpQFdTRl9JTlRBTkcoUVRSLDM0NDg1KSk=&amp;WINDOW=FIRST_POPUP&amp;H","COMPANY0910=450&amp;WIDTH=450&amp;START_MAXIMIZED=FALSE&amp;VAR:CALENDAR=US&amp;VAR:SYMBOL=Company0092:INDEX=0"}</definedName>
    <definedName name="_15__FDSAUDITLINK__" hidden="1">{"fdsup://directions/FAT Viewer?action=UPDATE&amp;creator=factset&amp;DYN_ARGS=TRUE&amp;DOC_NAME=FAT:FQL_AUDITING_CLIENT_TEMPLATE.FAT&amp;display_string=Audit&amp;VAR:KEY=OLQPCZMVYF&amp;VAR:QUERY=KENTRl9JTlRBTkcoUVRSX1IsMzY4ODkpQFdTRl9JTlRBTkcoUVRSLDM2ODg5KSk=&amp;WINDOW=FIRST_POPUP&amp;H","COMPANY0910=450&amp;WIDTH=450&amp;START_MAXIMIZED=FALSE&amp;VAR:CALENDAR=US&amp;VAR:SYMBOL=Company0092:INDEX=0"}</definedName>
    <definedName name="_150__FDSAUDITLINK__" hidden="1">{"fdsup://directions/FAT Viewer?action=UPDATE&amp;creator=factset&amp;DYN_ARGS=TRUE&amp;DOC_NAME=FAT:FQL_AUDITING_CLIENT_TEMPLATE.FAT&amp;display_string=Audit&amp;VAR:KEY=WRYZCLGVAT&amp;VAR:QUERY=KENTRl9DT01fU0hTX09VVF9FUFNfRElMKFFUUl9SLDM0NDUzKUBXU0ZfQ09NX1NIU19PVVRfRVBTX0RJTChRV","FIsMzQ0NTMpKQ==&amp;WINDOW=FIRST_POPUP&amp;HEIGHT=450&amp;WIDTH=450&amp;START_MAXIMIZED=FALSE&amp;VAR:CALENDAR=US&amp;VAR:SYMBOL=Company0092:INDEX=0"}</definedName>
    <definedName name="_151__FDSAUDITLINK__" hidden="1">{"fdsup://directions/FAT Viewer?action=UPDATE&amp;creator=factset&amp;DYN_ARGS=TRUE&amp;DOC_NAME=FAT:FQL_AUDITING_CLIENT_TEMPLATE.FAT&amp;display_string=Audit&amp;VAR:KEY=KTEHEXUNKX&amp;VAR:QUERY=KENTRl9JTlRBTkcoUVRSX1IsMzQ0NTMpQFdTRl9JTlRBTkcoUVRSLDM0NDUzKSk=&amp;WINDOW=FIRST_POPUP&amp;H","COMPANY0910=450&amp;WIDTH=450&amp;START_MAXIMIZED=FALSE&amp;VAR:CALENDAR=US&amp;VAR:SYMBOL=Company0092:INDEX=0"}</definedName>
    <definedName name="_152__FDSAUDITLINK__" hidden="1">{"fdsup://directions/FAT Viewer?action=UPDATE&amp;creator=factset&amp;DYN_ARGS=TRUE&amp;DOC_NAME=FAT:FQL_AUDITING_CLIENT_TEMPLATE.FAT&amp;display_string=Audit&amp;VAR:KEY=SJIXWFSXQJ&amp;VAR:QUERY=KENTRl9DT01fU0hTX09VVF9FUFNfRElMKFFUUl9SLDM0NDI0KUBXU0ZfQ09NX1NIU19PVVRfRVBTX0RJTChRV","FIsMzQ0MjQpKQ==&amp;WINDOW=FIRST_POPUP&amp;HEIGHT=450&amp;WIDTH=450&amp;START_MAXIMIZED=FALSE&amp;VAR:CALENDAR=US&amp;VAR:SYMBOL=Company0092:INDEX=0"}</definedName>
    <definedName name="_153__FDSAUDITLINK__" hidden="1">{"fdsup://directions/FAT Viewer?action=UPDATE&amp;creator=factset&amp;DYN_ARGS=TRUE&amp;DOC_NAME=FAT:FQL_AUDITING_CLIENT_TEMPLATE.FAT&amp;display_string=Audit&amp;VAR:KEY=QVQBATWZSD&amp;VAR:QUERY=KENTRl9JTlRBTkcoUVRSX1IsMzQ0MjQpQFdTRl9JTlRBTkcoUVRSLDM0NDI0KSk=&amp;WINDOW=FIRST_POPUP&amp;H","COMPANY0910=450&amp;WIDTH=450&amp;START_MAXIMIZED=FALSE&amp;VAR:CALENDAR=US&amp;VAR:SYMBOL=Company0092:INDEX=0"}</definedName>
    <definedName name="_154__FDSAUDITLINK__" hidden="1">{"fdsup://directions/FAT Viewer?action=UPDATE&amp;creator=factset&amp;DYN_ARGS=TRUE&amp;DOC_NAME=FAT:FQL_AUDITING_CLIENT_TEMPLATE.FAT&amp;display_string=Audit&amp;VAR:KEY=OFENMVCLCJ&amp;VAR:QUERY=KENTRl9DT01fU0hTX09VVF9FUFNfRElMKFFUUl9SLDM0MzkzKUBXU0ZfQ09NX1NIU19PVVRfRVBTX0RJTChRV","FIsMzQzOTMpKQ==&amp;WINDOW=FIRST_POPUP&amp;HEIGHT=450&amp;WIDTH=450&amp;START_MAXIMIZED=FALSE&amp;VAR:CALENDAR=US&amp;VAR:SYMBOL=Company0092:INDEX=0"}</definedName>
    <definedName name="_155__FDSAUDITLINK__" hidden="1">{"fdsup://directions/FAT Viewer?action=UPDATE&amp;creator=factset&amp;DYN_ARGS=TRUE&amp;DOC_NAME=FAT:FQL_AUDITING_CLIENT_TEMPLATE.FAT&amp;display_string=Audit&amp;VAR:KEY=CBKLCDCTEN&amp;VAR:QUERY=KENTRl9JTlRBTkcoUVRSX1IsMzQzOTMpQFdTRl9JTlRBTkcoUVRSLDM0MzkzKSk=&amp;WINDOW=FIRST_POPUP&amp;H","COMPANY0910=450&amp;WIDTH=450&amp;START_MAXIMIZED=FALSE&amp;VAR:CALENDAR=US&amp;VAR:SYMBOL=Company0092:INDEX=0"}</definedName>
    <definedName name="_156__FDSAUDITLINK__" hidden="1">{"fdsup://directions/FAT Viewer?action=UPDATE&amp;creator=factset&amp;DYN_ARGS=TRUE&amp;DOC_NAME=FAT:FQL_AUDITING_CLIENT_TEMPLATE.FAT&amp;display_string=Audit&amp;VAR:KEY=GXSBOHUDSD&amp;VAR:QUERY=KENTRl9DT01fU0hTX09VVF9FUFNfRElMKFFUUl9SLDM0MzY1KUBXU0ZfQ09NX1NIU19PVVRfRVBTX0RJTChRV","FIsMzQzNjUpKQ==&amp;WINDOW=FIRST_POPUP&amp;HEIGHT=450&amp;WIDTH=450&amp;START_MAXIMIZED=FALSE&amp;VAR:CALENDAR=US&amp;VAR:SYMBOL=Company0092:INDEX=0"}</definedName>
    <definedName name="_157__FDSAUDITLINK__" hidden="1">{"fdsup://directions/FAT Viewer?action=UPDATE&amp;creator=factset&amp;DYN_ARGS=TRUE&amp;DOC_NAME=FAT:FQL_AUDITING_CLIENT_TEMPLATE.FAT&amp;display_string=Audit&amp;VAR:KEY=MBCVAPOVAP&amp;VAR:QUERY=KENTRl9JTlRBTkcoUVRSX1IsMzQzNjUpQFdTRl9JTlRBTkcoUVRSLDM0MzY1KSk=&amp;WINDOW=FIRST_POPUP&amp;H","COMPANY0910=450&amp;WIDTH=450&amp;START_MAXIMIZED=FALSE&amp;VAR:CALENDAR=US&amp;VAR:SYMBOL=Company0092:INDEX=0"}</definedName>
    <definedName name="_158__FDSAUDITLINK__" hidden="1">{"fdsup://directions/FAT Viewer?action=UPDATE&amp;creator=factset&amp;DYN_ARGS=TRUE&amp;DOC_NAME=FAT:FQL_AUDITING_CLIENT_TEMPLATE.FAT&amp;display_string=Audit&amp;VAR:KEY=UZONWTSFKD&amp;VAR:QUERY=KENTRl9DT01fU0hTX09VVF9FUFNfRElMKFFUUl9SLDM0MzM0KUBXU0ZfQ09NX1NIU19PVVRfRVBTX0RJTChRV","FIsMzQzMzQpKQ==&amp;WINDOW=FIRST_POPUP&amp;HEIGHT=450&amp;WIDTH=450&amp;START_MAXIMIZED=FALSE&amp;VAR:CALENDAR=US&amp;VAR:SYMBOL=Company0092:INDEX=0"}</definedName>
    <definedName name="_159__FDSAUDITLINK__" hidden="1">{"fdsup://directions/FAT Viewer?action=UPDATE&amp;creator=factset&amp;DYN_ARGS=TRUE&amp;DOC_NAME=FAT:FQL_AUDITING_CLIENT_TEMPLATE.FAT&amp;display_string=Audit&amp;VAR:KEY=CLGRYBUBOJ&amp;VAR:QUERY=KENTRl9JTlRBTkcoUVRSX1IsMzQzMzQpQFdTRl9JTlRBTkcoUVRSLDM0MzM0KSk=&amp;WINDOW=FIRST_POPUP&amp;H","COMPANY0910=450&amp;WIDTH=450&amp;START_MAXIMIZED=FALSE&amp;VAR:CALENDAR=US&amp;VAR:SYMBOL=Company0092:INDEX=0"}</definedName>
    <definedName name="_16__FDSAUDITLINK__" hidden="1">{"fdsup://directions/FAT Viewer?action=UPDATE&amp;creator=factset&amp;DYN_ARGS=TRUE&amp;DOC_NAME=FAT:FQL_AUDITING_CLIENT_TEMPLATE.FAT&amp;display_string=Audit&amp;VAR:KEY=STWROFIJSF&amp;VAR:QUERY=KENTRl9JTlRBTkcoUVRSX1IsMzY4NjApQFdTRl9JTlRBTkcoUVRSLDM2ODYwKSk=&amp;WINDOW=FIRST_POPUP&amp;H","COMPANY0910=450&amp;WIDTH=450&amp;START_MAXIMIZED=FALSE&amp;VAR:CALENDAR=US&amp;VAR:SYMBOL=Company0092:INDEX=0"}</definedName>
    <definedName name="_160__FDSAUDITLINK__" hidden="1">{"fdsup://directions/FAT Viewer?action=UPDATE&amp;creator=factset&amp;DYN_ARGS=TRUE&amp;DOC_NAME=FAT:FQL_AUDITING_CLIENT_TEMPLATE.FAT&amp;display_string=Audit&amp;VAR:KEY=WTQFQXQBEZ&amp;VAR:QUERY=KENTRl9DT01fU0hTX09VVF9FUFNfRElMKFFUUl9SLDM0MzAzKUBXU0ZfQ09NX1NIU19PVVRfRVBTX0RJTChRV","FIsMzQzMDMpKQ==&amp;WINDOW=FIRST_POPUP&amp;HEIGHT=450&amp;WIDTH=450&amp;START_MAXIMIZED=FALSE&amp;VAR:CALENDAR=US&amp;VAR:SYMBOL=Company0092:INDEX=0"}</definedName>
    <definedName name="_161__FDSAUDITLINK__" hidden="1">{"fdsup://directions/FAT Viewer?action=UPDATE&amp;creator=factset&amp;DYN_ARGS=TRUE&amp;DOC_NAME=FAT:FQL_AUDITING_CLIENT_TEMPLATE.FAT&amp;display_string=Audit&amp;VAR:KEY=ETIHQFITOP&amp;VAR:QUERY=KENTRl9JTlRBTkcoUVRSX1IsMzQzMDMpQFdTRl9JTlRBTkcoUVRSLDM0MzAzKSk=&amp;WINDOW=FIRST_POPUP&amp;H","COMPANY0910=450&amp;WIDTH=450&amp;START_MAXIMIZED=FALSE&amp;VAR:CALENDAR=US&amp;VAR:SYMBOL=Company0092:INDEX=0"}</definedName>
    <definedName name="_162__FDSAUDITLINK__" hidden="1">{"fdsup://directions/FAT Viewer?action=UPDATE&amp;creator=factset&amp;DYN_ARGS=TRUE&amp;DOC_NAME=FAT:FQL_AUDITING_CLIENT_TEMPLATE.FAT&amp;display_string=Audit&amp;VAR:KEY=ORIJKZEDGL&amp;VAR:QUERY=KENTRl9DT01fU0hTX09VVF9FUFNfRElMKFFUUl9SLDM0MjcxKUBXU0ZfQ09NX1NIU19PVVRfRVBTX0RJTChRV","FIsMzQyNzEpKQ==&amp;WINDOW=FIRST_POPUP&amp;HEIGHT=450&amp;WIDTH=450&amp;START_MAXIMIZED=FALSE&amp;VAR:CALENDAR=US&amp;VAR:SYMBOL=Company0092:INDEX=0"}</definedName>
    <definedName name="_163__FDSAUDITLINK__" hidden="1">{"fdsup://directions/FAT Viewer?action=UPDATE&amp;creator=factset&amp;DYN_ARGS=TRUE&amp;DOC_NAME=FAT:FQL_AUDITING_CLIENT_TEMPLATE.FAT&amp;display_string=Audit&amp;VAR:KEY=IXWXABCNQP&amp;VAR:QUERY=KENTRl9JTlRBTkcoUVRSX1IsMzQyNzEpQFdTRl9JTlRBTkcoUVRSLDM0MjcxKSk=&amp;WINDOW=FIRST_POPUP&amp;H","COMPANY0910=450&amp;WIDTH=450&amp;START_MAXIMIZED=FALSE&amp;VAR:CALENDAR=US&amp;VAR:SYMBOL=Company0092:INDEX=0"}</definedName>
    <definedName name="_164__FDSAUDITLINK__" hidden="1">{"fdsup://directions/FAT Viewer?action=UPDATE&amp;creator=factset&amp;DYN_ARGS=TRUE&amp;DOC_NAME=FAT:FQL_AUDITING_CLIENT_TEMPLATE.FAT&amp;display_string=Audit&amp;VAR:KEY=QFAZMXKHAR&amp;VAR:QUERY=KENTRl9DT01fU0hTX09VVF9FUFNfRElMKFFUUl9SLDM0MjQyKUBXU0ZfQ09NX1NIU19PVVRfRVBTX0RJTChRV","FIsMzQyNDIpKQ==&amp;WINDOW=FIRST_POPUP&amp;HEIGHT=450&amp;WIDTH=450&amp;START_MAXIMIZED=FALSE&amp;VAR:CALENDAR=US&amp;VAR:SYMBOL=Company0092:INDEX=0"}</definedName>
    <definedName name="_165__FDSAUDITLINK__" hidden="1">{"fdsup://directions/FAT Viewer?action=UPDATE&amp;creator=factset&amp;DYN_ARGS=TRUE&amp;DOC_NAME=FAT:FQL_AUDITING_CLIENT_TEMPLATE.FAT&amp;display_string=Audit&amp;VAR:KEY=ULSJOLSFOZ&amp;VAR:QUERY=KENTRl9JTlRBTkcoUVRSX1IsMzQyNDIpQFdTRl9JTlRBTkcoUVRSLDM0MjQyKSk=&amp;WINDOW=FIRST_POPUP&amp;H","COMPANY0910=450&amp;WIDTH=450&amp;START_MAXIMIZED=FALSE&amp;VAR:CALENDAR=US&amp;VAR:SYMBOL=Company0092:INDEX=0"}</definedName>
    <definedName name="_166__FDSAUDITLINK__" hidden="1">{"fdsup://directions/FAT Viewer?action=UPDATE&amp;creator=factset&amp;DYN_ARGS=TRUE&amp;DOC_NAME=FAT:FQL_AUDITING_CLIENT_TEMPLATE.FAT&amp;display_string=Audit&amp;VAR:KEY=KHEXYBOZUL&amp;VAR:QUERY=KENTRl9DT01fU0hTX09VVF9FUFNfRElMKFFUUl9SLDM0MjEyKUBXU0ZfQ09NX1NIU19PVVRfRVBTX0RJTChRV","FIsMzQyMTIpKQ==&amp;WINDOW=FIRST_POPUP&amp;HEIGHT=450&amp;WIDTH=450&amp;START_MAXIMIZED=FALSE&amp;VAR:CALENDAR=US&amp;VAR:SYMBOL=Company0092:INDEX=0"}</definedName>
    <definedName name="_167__FDSAUDITLINK__" hidden="1">{"fdsup://directions/FAT Viewer?action=UPDATE&amp;creator=factset&amp;DYN_ARGS=TRUE&amp;DOC_NAME=FAT:FQL_AUDITING_CLIENT_TEMPLATE.FAT&amp;display_string=Audit&amp;VAR:KEY=AXCFMPYZQP&amp;VAR:QUERY=KENTRl9JTlRBTkcoUVRSX1IsMzQyMTIpQFdTRl9JTlRBTkcoUVRSLDM0MjEyKSk=&amp;WINDOW=FIRST_POPUP&amp;H","COMPANY0910=450&amp;WIDTH=450&amp;START_MAXIMIZED=FALSE&amp;VAR:CALENDAR=US&amp;VAR:SYMBOL=Company0092:INDEX=0"}</definedName>
    <definedName name="_168__FDSAUDITLINK__" hidden="1">{"fdsup://directions/FAT Viewer?action=UPDATE&amp;creator=factset&amp;DYN_ARGS=TRUE&amp;DOC_NAME=FAT:FQL_AUDITING_CLIENT_TEMPLATE.FAT&amp;display_string=Audit&amp;VAR:KEY=ITQBODQZYH&amp;VAR:QUERY=KENTRl9DT01fU0hTX09VVF9FUFNfRElMKFFUUl9SLDM0MTgwKUBXU0ZfQ09NX1NIU19PVVRfRVBTX0RJTChRV","FIsMzQxODApKQ==&amp;WINDOW=FIRST_POPUP&amp;HEIGHT=450&amp;WIDTH=450&amp;START_MAXIMIZED=FALSE&amp;VAR:CALENDAR=US&amp;VAR:SYMBOL=Company0092:INDEX=0"}</definedName>
    <definedName name="_169__FDSAUDITLINK__" hidden="1">{"fdsup://directions/FAT Viewer?action=UPDATE&amp;creator=factset&amp;DYN_ARGS=TRUE&amp;DOC_NAME=FAT:FQL_AUDITING_CLIENT_TEMPLATE.FAT&amp;display_string=Audit&amp;VAR:KEY=YRCZEBGRML&amp;VAR:QUERY=KENTRl9JTlRBTkcoUVRSX1IsMzQxODApQFdTRl9JTlRBTkcoUVRSLDM0MTgwKSk=&amp;WINDOW=FIRST_POPUP&amp;H","COMPANY0910=450&amp;WIDTH=450&amp;START_MAXIMIZED=FALSE&amp;VAR:CALENDAR=US&amp;VAR:SYMBOL=Company0092:INDEX=0"}</definedName>
    <definedName name="_17__FDSAUDITLINK__" hidden="1">{"fdsup://directions/FAT Viewer?action=UPDATE&amp;creator=factset&amp;DYN_ARGS=TRUE&amp;DOC_NAME=FAT:FQL_AUDITING_CLIENT_TEMPLATE.FAT&amp;display_string=Audit&amp;VAR:KEY=KDUREDIREH&amp;VAR:QUERY=KENTRl9JTlRBTkcoUVRSX1IsMzY4MzApQFdTRl9JTlRBTkcoUVRSLDM2ODMwKSk=&amp;WINDOW=FIRST_POPUP&amp;H","COMPANY0910=450&amp;WIDTH=450&amp;START_MAXIMIZED=FALSE&amp;VAR:CALENDAR=US&amp;VAR:SYMBOL=Company0092:INDEX=0"}</definedName>
    <definedName name="_170__FDSAUDITLINK__" hidden="1">{"fdsup://directions/FAT Viewer?action=UPDATE&amp;creator=factset&amp;DYN_ARGS=TRUE&amp;DOC_NAME=FAT:FQL_AUDITING_CLIENT_TEMPLATE.FAT&amp;display_string=Audit&amp;VAR:KEY=IFQZWBGXGF&amp;VAR:QUERY=KENTRl9DT01fU0hTX09VVF9FUFNfRElMKFFUUl9SLDM0MTUwKUBXU0ZfQ09NX1NIU19PVVRfRVBTX0RJTChRV","FIsMzQxNTApKQ==&amp;WINDOW=FIRST_POPUP&amp;HEIGHT=450&amp;WIDTH=450&amp;START_MAXIMIZED=FALSE&amp;VAR:CALENDAR=US&amp;VAR:SYMBOL=Company0092:INDEX=0"}</definedName>
    <definedName name="_171__FDSAUDITLINK__" hidden="1">{"fdsup://directions/FAT Viewer?action=UPDATE&amp;creator=factset&amp;DYN_ARGS=TRUE&amp;DOC_NAME=FAT:FQL_AUDITING_CLIENT_TEMPLATE.FAT&amp;display_string=Audit&amp;VAR:KEY=KLKDEXEBOJ&amp;VAR:QUERY=KENTRl9JTlRBTkcoUVRSX1IsMzQxNTApQFdTRl9JTlRBTkcoUVRSLDM0MTUwKSk=&amp;WINDOW=FIRST_POPUP&amp;H","COMPANY0910=450&amp;WIDTH=450&amp;START_MAXIMIZED=FALSE&amp;VAR:CALENDAR=US&amp;VAR:SYMBOL=Company0092:INDEX=0"}</definedName>
    <definedName name="_172__FDSAUDITLINK__" hidden="1">{"fdsup://directions/FAT Viewer?action=UPDATE&amp;creator=factset&amp;DYN_ARGS=TRUE&amp;DOC_NAME=FAT:FQL_AUDITING_CLIENT_TEMPLATE.FAT&amp;display_string=Audit&amp;VAR:KEY=KBINGZKXYB&amp;VAR:QUERY=KENTRl9DT01fU0hTX09VVF9FUFNfRElMKFFUUl9SLDM0MTE3KUBXU0ZfQ09NX1NIU19PVVRfRVBTX0RJTChRV","FIsMzQxMTcpKQ==&amp;WINDOW=FIRST_POPUP&amp;HEIGHT=450&amp;WIDTH=450&amp;START_MAXIMIZED=FALSE&amp;VAR:CALENDAR=US&amp;VAR:SYMBOL=Company0092:INDEX=0"}</definedName>
    <definedName name="_173__FDSAUDITLINK__" hidden="1">{"fdsup://directions/FAT Viewer?action=UPDATE&amp;creator=factset&amp;DYN_ARGS=TRUE&amp;DOC_NAME=FAT:FQL_AUDITING_CLIENT_TEMPLATE.FAT&amp;display_string=Audit&amp;VAR:KEY=CFILUHMTOT&amp;VAR:QUERY=KENTRl9JTlRBTkcoUVRSX1IsMzQxMTcpQFdTRl9JTlRBTkcoUVRSLDM0MTE3KSk=&amp;WINDOW=FIRST_POPUP&amp;H","COMPANY0910=450&amp;WIDTH=450&amp;START_MAXIMIZED=FALSE&amp;VAR:CALENDAR=US&amp;VAR:SYMBOL=Company0092:INDEX=0"}</definedName>
    <definedName name="_174__FDSAUDITLINK__" hidden="1">{"fdsup://directions/FAT Viewer?action=UPDATE&amp;creator=factset&amp;DYN_ARGS=TRUE&amp;DOC_NAME=FAT:FQL_AUDITING_CLIENT_TEMPLATE.FAT&amp;display_string=Audit&amp;VAR:KEY=UTYZAXQFKX&amp;VAR:QUERY=KENTRl9DT01fU0hTX09VVF9FUFNfRElMKFFUUl9SLDM0MDg5KUBXU0ZfQ09NX1NIU19PVVRfRVBTX0RJTChRV","FIsMzQwODkpKQ==&amp;WINDOW=FIRST_POPUP&amp;HEIGHT=450&amp;WIDTH=450&amp;START_MAXIMIZED=FALSE&amp;VAR:CALENDAR=US&amp;VAR:SYMBOL=Company0092:INDEX=0"}</definedName>
    <definedName name="_175__FDSAUDITLINK__" hidden="1">{"fdsup://directions/FAT Viewer?action=UPDATE&amp;creator=factset&amp;DYN_ARGS=TRUE&amp;DOC_NAME=FAT:FQL_AUDITING_CLIENT_TEMPLATE.FAT&amp;display_string=Audit&amp;VAR:KEY=YJUJYLOROZ&amp;VAR:QUERY=KENTRl9JTlRBTkcoUVRSX1IsMzQwODkpQFdTRl9JTlRBTkcoUVRSLDM0MDg5KSk=&amp;WINDOW=FIRST_POPUP&amp;H","COMPANY0910=450&amp;WIDTH=450&amp;START_MAXIMIZED=FALSE&amp;VAR:CALENDAR=US&amp;VAR:SYMBOL=Company0092:INDEX=0"}</definedName>
    <definedName name="_176__FDSAUDITLINK__" hidden="1">{"fdsup://directions/FAT Viewer?action=UPDATE&amp;creator=factset&amp;DYN_ARGS=TRUE&amp;DOC_NAME=FAT:FQL_AUDITING_CLIENT_TEMPLATE.FAT&amp;display_string=Audit&amp;VAR:KEY=YLOVIBWHCF&amp;VAR:QUERY=KENTRl9DT01fU0hTX09VVF9FUFNfRElMKFFUUl9SLDM0MDU5KUBXU0ZfQ09NX1NIU19PVVRfRVBTX0RJTChRV","FIsMzQwNTkpKQ==&amp;WINDOW=FIRST_POPUP&amp;HEIGHT=450&amp;WIDTH=450&amp;START_MAXIMIZED=FALSE&amp;VAR:CALENDAR=US&amp;VAR:SYMBOL=Company0092:INDEX=0"}</definedName>
    <definedName name="_177__FDSAUDITLINK__" hidden="1">{"fdsup://directions/FAT Viewer?action=UPDATE&amp;creator=factset&amp;DYN_ARGS=TRUE&amp;DOC_NAME=FAT:FQL_AUDITING_CLIENT_TEMPLATE.FAT&amp;display_string=Audit&amp;VAR:KEY=WZKLGVKJWJ&amp;VAR:QUERY=KENTRl9JTlRBTkcoUVRSX1IsMzQwNTkpQFdTRl9JTlRBTkcoUVRSLDM0MDU5KSk=&amp;WINDOW=FIRST_POPUP&amp;H","COMPANY0910=450&amp;WIDTH=450&amp;START_MAXIMIZED=FALSE&amp;VAR:CALENDAR=US&amp;VAR:SYMBOL=Company0092:INDEX=0"}</definedName>
    <definedName name="_178__FDSAUDITLINK__" hidden="1">{"fdsup://directions/FAT Viewer?action=UPDATE&amp;creator=factset&amp;DYN_ARGS=TRUE&amp;DOC_NAME=FAT:FQL_AUDITING_CLIENT_TEMPLATE.FAT&amp;display_string=Audit&amp;VAR:KEY=SVUZMNYNKL&amp;VAR:QUERY=KENTRl9DT01fU0hTX09VVF9FUFNfRElMKFFUUl9SLDM0MDI2KUBXU0ZfQ09NX1NIU19PVVRfRVBTX0RJTChRV","FIsMzQwMjYpKQ==&amp;WINDOW=FIRST_POPUP&amp;HEIGHT=450&amp;WIDTH=450&amp;START_MAXIMIZED=FALSE&amp;VAR:CALENDAR=US&amp;VAR:SYMBOL=Company0092:INDEX=0"}</definedName>
    <definedName name="_179__FDSAUDITLINK__" hidden="1">{"fdsup://directions/FAT Viewer?action=UPDATE&amp;creator=factset&amp;DYN_ARGS=TRUE&amp;DOC_NAME=FAT:FQL_AUDITING_CLIENT_TEMPLATE.FAT&amp;display_string=Audit&amp;VAR:KEY=SBIXYTMDCX&amp;VAR:QUERY=KENTRl9JTlRBTkcoUVRSX1IsMzQwMjYpQFdTRl9JTlRBTkcoUVRSLDM0MDI2KSk=&amp;WINDOW=FIRST_POPUP&amp;H","COMPANY0910=450&amp;WIDTH=450&amp;START_MAXIMIZED=FALSE&amp;VAR:CALENDAR=US&amp;VAR:SYMBOL=Company0092:INDEX=0"}</definedName>
    <definedName name="_18__FDSAUDITLINK__" hidden="1">{"fdsup://directions/FAT Viewer?action=UPDATE&amp;creator=factset&amp;DYN_ARGS=TRUE&amp;DOC_NAME=FAT:FQL_AUDITING_CLIENT_TEMPLATE.FAT&amp;display_string=Audit&amp;VAR:KEY=ETMVMHIFML&amp;VAR:QUERY=KENTRl9JTlRBTkcoUVRSX1IsMzY3OTgpQFdTRl9JTlRBTkcoUVRSLDM2Nzk4KSk=&amp;WINDOW=FIRST_POPUP&amp;H","COMPANY0910=450&amp;WIDTH=450&amp;START_MAXIMIZED=FALSE&amp;VAR:CALENDAR=US&amp;VAR:SYMBOL=Company0092:INDEX=0"}</definedName>
    <definedName name="_180__FDSAUDITLINK__" hidden="1">{"fdsup://directions/FAT Viewer?action=UPDATE&amp;creator=factset&amp;DYN_ARGS=TRUE&amp;DOC_NAME=FAT:FQL_AUDITING_CLIENT_TEMPLATE.FAT&amp;display_string=Audit&amp;VAR:KEY=WJYXKNIHIL&amp;VAR:QUERY=KENTRl9DT01fU0hTX09VVF9FUFNfRElMKFFUUl9SLDMzOTk4KUBXU0ZfQ09NX1NIU19PVVRfRVBTX0RJTChRV","FIsMzM5OTgpKQ==&amp;WINDOW=FIRST_POPUP&amp;HEIGHT=450&amp;WIDTH=450&amp;START_MAXIMIZED=FALSE&amp;VAR:CALENDAR=US&amp;VAR:SYMBOL=Company0092:INDEX=0"}</definedName>
    <definedName name="_181__FDSAUDITLINK__" hidden="1">{"fdsup://directions/FAT Viewer?action=UPDATE&amp;creator=factset&amp;DYN_ARGS=TRUE&amp;DOC_NAME=FAT:FQL_AUDITING_CLIENT_TEMPLATE.FAT&amp;display_string=Audit&amp;VAR:KEY=KDSXWLKXYV&amp;VAR:QUERY=KENTRl9JTlRBTkcoUVRSX1IsMzM5OTgpQFdTRl9JTlRBTkcoUVRSLDMzOTk4KSk=&amp;WINDOW=FIRST_POPUP&amp;H","COMPANY0910=450&amp;WIDTH=450&amp;START_MAXIMIZED=FALSE&amp;VAR:CALENDAR=US&amp;VAR:SYMBOL=Company0092:INDEX=0"}</definedName>
    <definedName name="_182__FDSAUDITLINK__" hidden="1">{"fdsup://directions/FAT Viewer?action=UPDATE&amp;creator=factset&amp;DYN_ARGS=TRUE&amp;DOC_NAME=FAT:FQL_AUDITING_CLIENT_TEMPLATE.FAT&amp;display_string=Audit&amp;VAR:KEY=IJGBSDCNWV&amp;VAR:QUERY=KENTRl9DT01fU0hTX09VVF9FUFNfRElMKFFUUl9SLDMzOTY5KUBXU0ZfQ09NX1NIU19PVVRfRVBTX0RJTChRV","FIsMzM5NjkpKQ==&amp;WINDOW=FIRST_POPUP&amp;HEIGHT=450&amp;WIDTH=450&amp;START_MAXIMIZED=FALSE&amp;VAR:CALENDAR=US&amp;VAR:SYMBOL=Company0092:INDEX=0"}</definedName>
    <definedName name="_183__FDSAUDITLINK__" hidden="1">{"fdsup://directions/FAT Viewer?action=UPDATE&amp;creator=factset&amp;DYN_ARGS=TRUE&amp;DOC_NAME=FAT:FQL_AUDITING_CLIENT_TEMPLATE.FAT&amp;display_string=Audit&amp;VAR:KEY=WJQFOHGZCN&amp;VAR:QUERY=KENTRl9JTlRBTkcoUVRSX1IsMzM5NjkpQFdTRl9JTlRBTkcoUVRSLDMzOTY5KSk=&amp;WINDOW=FIRST_POPUP&amp;H","COMPANY0910=450&amp;WIDTH=450&amp;START_MAXIMIZED=FALSE&amp;VAR:CALENDAR=US&amp;VAR:SYMBOL=Company0092:INDEX=0"}</definedName>
    <definedName name="_184__FDSAUDITLINK__" hidden="1">{"fdsup://directions/FAT Viewer?action=UPDATE&amp;creator=factset&amp;DYN_ARGS=TRUE&amp;DOC_NAME=FAT:FQL_AUDITING_CLIENT_TEMPLATE.FAT&amp;display_string=Audit&amp;VAR:KEY=ALWZINKLIP&amp;VAR:QUERY=KENTRl9DT01fU0hTX09VVF9FUFNfRElMKFFUUl9SLDMzOTM4KUBXU0ZfQ09NX1NIU19PVVRfRVBTX0RJTChRV","FIsMzM5MzgpKQ==&amp;WINDOW=FIRST_POPUP&amp;HEIGHT=450&amp;WIDTH=450&amp;START_MAXIMIZED=FALSE&amp;VAR:CALENDAR=US&amp;VAR:SYMBOL=Company0092:INDEX=0"}</definedName>
    <definedName name="_185__FDSAUDITLINK__" hidden="1">{"fdsup://directions/FAT Viewer?action=UPDATE&amp;creator=factset&amp;DYN_ARGS=TRUE&amp;DOC_NAME=FAT:FQL_AUDITING_CLIENT_TEMPLATE.FAT&amp;display_string=Audit&amp;VAR:KEY=WDUXUTCLCV&amp;VAR:QUERY=KENTRl9JTlRBTkcoUVRSX1IsMzM5MzgpQFdTRl9JTlRBTkcoUVRSLDMzOTM4KSk=&amp;WINDOW=FIRST_POPUP&amp;H","COMPANY0910=450&amp;WIDTH=450&amp;START_MAXIMIZED=FALSE&amp;VAR:CALENDAR=US&amp;VAR:SYMBOL=Company0092:INDEX=0"}</definedName>
    <definedName name="_186__FDSAUDITLINK__" hidden="1">{"fdsup://directions/FAT Viewer?action=UPDATE&amp;creator=factset&amp;DYN_ARGS=TRUE&amp;DOC_NAME=FAT:FQL_AUDITING_CLIENT_TEMPLATE.FAT&amp;display_string=Audit&amp;VAR:KEY=UTCFSHYRUH&amp;VAR:QUERY=KENTRl9DT01fU0hTX09VVF9FUFNfRElMKFFUUl9SLDMzOTA3KUBXU0ZfQ09NX1NIU19PVVRfRVBTX0RJTChRV","FIsMzM5MDcpKQ==&amp;WINDOW=FIRST_POPUP&amp;HEIGHT=450&amp;WIDTH=450&amp;START_MAXIMIZED=FALSE&amp;VAR:CALENDAR=US&amp;VAR:SYMBOL=Company0092:INDEX=0"}</definedName>
    <definedName name="_187__FDSAUDITLINK__" hidden="1">{"fdsup://directions/FAT Viewer?action=UPDATE&amp;creator=factset&amp;DYN_ARGS=TRUE&amp;DOC_NAME=FAT:FQL_AUDITING_CLIENT_TEMPLATE.FAT&amp;display_string=Audit&amp;VAR:KEY=GPSDWHOVUN&amp;VAR:QUERY=KENTRl9JTlRBTkcoUVRSX1IsMzM5MDcpQFdTRl9JTlRBTkcoUVRSLDMzOTA3KSk=&amp;WINDOW=FIRST_POPUP&amp;H","COMPANY0910=450&amp;WIDTH=450&amp;START_MAXIMIZED=FALSE&amp;VAR:CALENDAR=US&amp;VAR:SYMBOL=Company0092:INDEX=0"}</definedName>
    <definedName name="_188__FDSAUDITLINK__" hidden="1">{"fdsup://directions/FAT Viewer?action=UPDATE&amp;creator=factset&amp;DYN_ARGS=TRUE&amp;DOC_NAME=FAT:FQL_AUDITING_CLIENT_TEMPLATE.FAT&amp;display_string=Audit&amp;VAR:KEY=IFWDKFARMZ&amp;VAR:QUERY=KENTRl9DT01fU0hTX09VVF9FUFNfRElMKFFUUl9SLDMzODc3KUBXU0ZfQ09NX1NIU19PVVRfRVBTX0RJTChRV","FIsMzM4NzcpKQ==&amp;WINDOW=FIRST_POPUP&amp;HEIGHT=450&amp;WIDTH=450&amp;START_MAXIMIZED=FALSE&amp;VAR:CALENDAR=US&amp;VAR:SYMBOL=Company0092:INDEX=0"}</definedName>
    <definedName name="_189__FDSAUDITLINK__" hidden="1">{"fdsup://directions/FAT Viewer?action=UPDATE&amp;creator=factset&amp;DYN_ARGS=TRUE&amp;DOC_NAME=FAT:FQL_AUDITING_CLIENT_TEMPLATE.FAT&amp;display_string=Audit&amp;VAR:KEY=QZMLSBKFCP&amp;VAR:QUERY=KENTRl9JTlRBTkcoUVRSX1IsMzM4NzcpQFdTRl9JTlRBTkcoUVRSLDMzODc3KSk=&amp;WINDOW=FIRST_POPUP&amp;H","COMPANY0910=450&amp;WIDTH=450&amp;START_MAXIMIZED=FALSE&amp;VAR:CALENDAR=US&amp;VAR:SYMBOL=Company0092:INDEX=0"}</definedName>
    <definedName name="_19__FDSAUDITLINK__" hidden="1">{"fdsup://directions/FAT Viewer?action=UPDATE&amp;creator=factset&amp;DYN_ARGS=TRUE&amp;DOC_NAME=FAT:FQL_AUDITING_CLIENT_TEMPLATE.FAT&amp;display_string=Audit&amp;VAR:KEY=CRMZGXMZGJ&amp;VAR:QUERY=KENTRl9JTlRBTkcoUVRSX1IsMzY3NjkpQFdTRl9JTlRBTkcoUVRSLDM2NzY5KSk=&amp;WINDOW=FIRST_POPUP&amp;H","COMPANY0910=450&amp;WIDTH=450&amp;START_MAXIMIZED=FALSE&amp;VAR:CALENDAR=US&amp;VAR:SYMBOL=Company0092:INDEX=0"}</definedName>
    <definedName name="_190__FDSAUDITLINK__" hidden="1">{"fdsup://directions/FAT Viewer?action=UPDATE&amp;creator=factset&amp;DYN_ARGS=TRUE&amp;DOC_NAME=FAT:FQL_AUDITING_CLIENT_TEMPLATE.FAT&amp;display_string=Audit&amp;VAR:KEY=KPKHOLUDMB&amp;VAR:QUERY=KENTRl9DT01fU0hTX09VVF9FUFNfRElMKFFUUl9SLDMzODQ3KUBXU0ZfQ09NX1NIU19PVVRfRVBTX0RJTChRV","FIsMzM4NDcpKQ==&amp;WINDOW=FIRST_POPUP&amp;HEIGHT=450&amp;WIDTH=450&amp;START_MAXIMIZED=FALSE&amp;VAR:CALENDAR=US&amp;VAR:SYMBOL=Company0092:INDEX=0"}</definedName>
    <definedName name="_191__FDSAUDITLINK__" hidden="1">{"fdsup://directions/FAT Viewer?action=UPDATE&amp;creator=factset&amp;DYN_ARGS=TRUE&amp;DOC_NAME=FAT:FQL_AUDITING_CLIENT_TEMPLATE.FAT&amp;display_string=Audit&amp;VAR:KEY=YPWTABWNSP&amp;VAR:QUERY=KENTRl9JTlRBTkcoUVRSX1IsMzM4NDcpQFdTRl9JTlRBTkcoUVRSLDMzODQ3KSk=&amp;WINDOW=FIRST_POPUP&amp;H","COMPANY0910=450&amp;WIDTH=450&amp;START_MAXIMIZED=FALSE&amp;VAR:CALENDAR=US&amp;VAR:SYMBOL=Company0092:INDEX=0"}</definedName>
    <definedName name="_192__FDSAUDITLINK__" hidden="1">{"fdsup://directions/FAT Viewer?action=UPDATE&amp;creator=factset&amp;DYN_ARGS=TRUE&amp;DOC_NAME=FAT:FQL_AUDITING_CLIENT_TEMPLATE.FAT&amp;display_string=Audit&amp;VAR:KEY=GNQDEDIRKR&amp;VAR:QUERY=KENTRl9DT01fU0hTX09VVF9FUFNfRElMKFFUUl9SLDMzODE2KUBXU0ZfQ09NX1NIU19PVVRfRVBTX0RJTChRV","FIsMzM4MTYpKQ==&amp;WINDOW=FIRST_POPUP&amp;HEIGHT=450&amp;WIDTH=450&amp;START_MAXIMIZED=FALSE&amp;VAR:CALENDAR=US&amp;VAR:SYMBOL=Company0092:INDEX=0"}</definedName>
    <definedName name="_193__FDSAUDITLINK__" hidden="1">{"fdsup://directions/FAT Viewer?action=UPDATE&amp;creator=factset&amp;DYN_ARGS=TRUE&amp;DOC_NAME=FAT:FQL_AUDITING_CLIENT_TEMPLATE.FAT&amp;display_string=Audit&amp;VAR:KEY=GJKXWJCZEP&amp;VAR:QUERY=KENTRl9JTlRBTkcoUVRSX1IsMzM4MTYpQFdTRl9JTlRBTkcoUVRSLDMzODE2KSk=&amp;WINDOW=FIRST_POPUP&amp;H","COMPANY0910=450&amp;WIDTH=450&amp;START_MAXIMIZED=FALSE&amp;VAR:CALENDAR=US&amp;VAR:SYMBOL=Company0092:INDEX=0"}</definedName>
    <definedName name="_194__FDSAUDITLINK__" hidden="1">{"fdsup://directions/FAT Viewer?action=UPDATE&amp;creator=factset&amp;DYN_ARGS=TRUE&amp;DOC_NAME=FAT:FQL_AUDITING_CLIENT_TEMPLATE.FAT&amp;display_string=Audit&amp;VAR:KEY=SPAXABUVSH&amp;VAR:QUERY=KENTRl9DT01fU0hTX09VVF9FUFNfRElMKFFUUl9SLDMzNzg1KUBXU0ZfQ09NX1NIU19PVVRfRVBTX0RJTChRV","FIsMzM3ODUpKQ==&amp;WINDOW=FIRST_POPUP&amp;HEIGHT=450&amp;WIDTH=450&amp;START_MAXIMIZED=FALSE&amp;VAR:CALENDAR=US&amp;VAR:SYMBOL=Company0092:INDEX=0"}</definedName>
    <definedName name="_195__FDSAUDITLINK__" hidden="1">{"fdsup://directions/FAT Viewer?action=UPDATE&amp;creator=factset&amp;DYN_ARGS=TRUE&amp;DOC_NAME=FAT:FQL_AUDITING_CLIENT_TEMPLATE.FAT&amp;display_string=Audit&amp;VAR:KEY=SNYJOVEDIX&amp;VAR:QUERY=KENTRl9JTlRBTkcoUVRSX1IsMzM3ODUpQFdTRl9JTlRBTkcoUVRSLDMzNzg1KSk=&amp;WINDOW=FIRST_POPUP&amp;H","COMPANY0910=450&amp;WIDTH=450&amp;START_MAXIMIZED=FALSE&amp;VAR:CALENDAR=US&amp;VAR:SYMBOL=Company0092:INDEX=0"}</definedName>
    <definedName name="_196__FDSAUDITLINK__" hidden="1">{"fdsup://directions/FAT Viewer?action=UPDATE&amp;creator=factset&amp;DYN_ARGS=TRUE&amp;DOC_NAME=FAT:FQL_AUDITING_CLIENT_TEMPLATE.FAT&amp;display_string=Audit&amp;VAR:KEY=OVMZWVYBSL&amp;VAR:QUERY=KENTRl9DT01fU0hTX09VVF9FUFNfRElMKFFUUl9SLDMzNzUzKUBXU0ZfQ09NX1NIU19PVVRfRVBTX0RJTChRV","FIsMzM3NTMpKQ==&amp;WINDOW=FIRST_POPUP&amp;HEIGHT=450&amp;WIDTH=450&amp;START_MAXIMIZED=FALSE&amp;VAR:CALENDAR=US&amp;VAR:SYMBOL=Company0092:INDEX=0"}</definedName>
    <definedName name="_197__FDSAUDITLINK__" hidden="1">{"fdsup://directions/FAT Viewer?action=UPDATE&amp;creator=factset&amp;DYN_ARGS=TRUE&amp;DOC_NAME=FAT:FQL_AUDITING_CLIENT_TEMPLATE.FAT&amp;display_string=Audit&amp;VAR:KEY=ETWJSXEDIP&amp;VAR:QUERY=KENTRl9JTlRBTkcoUVRSX1IsMzM3NTMpQFdTRl9JTlRBTkcoUVRSLDMzNzUzKSk=&amp;WINDOW=FIRST_POPUP&amp;H","COMPANY0910=450&amp;WIDTH=450&amp;START_MAXIMIZED=FALSE&amp;VAR:CALENDAR=US&amp;VAR:SYMBOL=Company0092:INDEX=0"}</definedName>
    <definedName name="_198__FDSAUDITLINK__" hidden="1">{"fdsup://directions/FAT Viewer?action=UPDATE&amp;creator=factset&amp;DYN_ARGS=TRUE&amp;DOC_NAME=FAT:FQL_AUDITING_CLIENT_TEMPLATE.FAT&amp;display_string=Audit&amp;VAR:KEY=ENQZMFWXSL&amp;VAR:QUERY=KENTRl9DT01fU0hTX09VVF9FUFNfRElMKFFUUl9SLDMzNzI0KUBXU0ZfQ09NX1NIU19PVVRfRVBTX0RJTChRV","FIsMzM3MjQpKQ==&amp;WINDOW=FIRST_POPUP&amp;HEIGHT=450&amp;WIDTH=450&amp;START_MAXIMIZED=FALSE&amp;VAR:CALENDAR=US&amp;VAR:SYMBOL=Company0092:INDEX=0"}</definedName>
    <definedName name="_199__FDSAUDITLINK__" hidden="1">{"fdsup://directions/FAT Viewer?action=UPDATE&amp;creator=factset&amp;DYN_ARGS=TRUE&amp;DOC_NAME=FAT:FQL_AUDITING_CLIENT_TEMPLATE.FAT&amp;display_string=Audit&amp;VAR:KEY=SHQBQZIVMX&amp;VAR:QUERY=KENTRl9JTlRBTkcoUVRSX1IsMzM3MjQpQFdTRl9JTlRBTkcoUVRSLDMzNzI0KSk=&amp;WINDOW=FIRST_POPUP&amp;H","COMPANY0910=450&amp;WIDTH=450&amp;START_MAXIMIZED=FALSE&amp;VAR:CALENDAR=US&amp;VAR:SYMBOL=Company0092:INDEX=0"}</definedName>
    <definedName name="_1994">#REF!</definedName>
    <definedName name="_1995">#REF!</definedName>
    <definedName name="_1996">#REF!</definedName>
    <definedName name="_1997">#REF!</definedName>
    <definedName name="_1998">#REF!</definedName>
    <definedName name="_1999">#REF!</definedName>
    <definedName name="_1Q94">#REF!</definedName>
    <definedName name="_1Q95">#REF!</definedName>
    <definedName name="_2__123Graph_ACHART_1" hidden="1">#REF!</definedName>
    <definedName name="_2__FDSAUDITLINK__" hidden="1">{"fdsup://directions/FAT Viewer?action=UPDATE&amp;creator=factset&amp;DYN_ARGS=TRUE&amp;DOC_NAME=FAT:FQL_AUDITING_CLIENT_TEMPLATE.FAT&amp;display_string=Audit&amp;VAR:KEY=GHKPEJYZWL&amp;VAR:QUERY=KENTRl9JTlRBTkcoUVRSX1IsMzcyODcpQFdTRl9JTlRBTkcoUVRSLDM3Mjg3KSk=&amp;WINDOW=FIRST_POPUP&amp;H","COMPANY0910=450&amp;WIDTH=450&amp;START_MAXIMIZED=FALSE&amp;VAR:CALENDAR=US&amp;VAR:SYMBOL=Company0092:INDEX=0"}</definedName>
    <definedName name="_20__FDSAUDITLINK__" hidden="1">{"fdsup://directions/FAT Viewer?action=UPDATE&amp;creator=factset&amp;DYN_ARGS=TRUE&amp;DOC_NAME=FAT:FQL_AUDITING_CLIENT_TEMPLATE.FAT&amp;display_string=Audit&amp;VAR:KEY=MTUFABETWX&amp;VAR:QUERY=KENTRl9JTlRBTkcoUVRSX1IsMzY3MzgpQFdTRl9JTlRBTkcoUVRSLDM2NzM4KSk=&amp;WINDOW=FIRST_POPUP&amp;H","COMPANY0910=450&amp;WIDTH=450&amp;START_MAXIMIZED=FALSE&amp;VAR:CALENDAR=US&amp;VAR:SYMBOL=Company0092:INDEX=0"}</definedName>
    <definedName name="_20_Jul_94">#REF!</definedName>
    <definedName name="_200__FDSAUDITLINK__" hidden="1">{"fdsup://directions/FAT Viewer?action=UPDATE&amp;creator=factset&amp;DYN_ARGS=TRUE&amp;DOC_NAME=FAT:FQL_AUDITING_CLIENT_TEMPLATE.FAT&amp;display_string=Audit&amp;VAR:KEY=GBEZCBIPGH&amp;VAR:QUERY=KENTRl9DT01fU0hTX09VVF9FUFNfRElMKFFUUl9SLDMzNjk0KUBXU0ZfQ09NX1NIU19PVVRfRVBTX0RJTChRV","FIsMzM2OTQpKQ==&amp;WINDOW=FIRST_POPUP&amp;HEIGHT=450&amp;WIDTH=450&amp;START_MAXIMIZED=FALSE&amp;VAR:CALENDAR=US&amp;VAR:SYMBOL=Company0092:INDEX=0"}</definedName>
    <definedName name="_2003Q4_T10">#REF!</definedName>
    <definedName name="_201__FDSAUDITLINK__" hidden="1">{"fdsup://directions/FAT Viewer?action=UPDATE&amp;creator=factset&amp;DYN_ARGS=TRUE&amp;DOC_NAME=FAT:FQL_AUDITING_CLIENT_TEMPLATE.FAT&amp;display_string=Audit&amp;VAR:KEY=KZAJOTOJMH&amp;VAR:QUERY=KENTRl9JTlRBTkcoUVRSX1IsMzM2OTQpQFdTRl9JTlRBTkcoUVRSLDMzNjk0KSk=&amp;WINDOW=FIRST_POPUP&amp;H","COMPANY0910=450&amp;WIDTH=450&amp;START_MAXIMIZED=FALSE&amp;VAR:CALENDAR=US&amp;VAR:SYMBOL=Company0092:INDEX=0"}</definedName>
    <definedName name="_202__FDSAUDITLINK__" hidden="1">{"fdsup://directions/FAT Viewer?action=UPDATE&amp;creator=factset&amp;DYN_ARGS=TRUE&amp;DOC_NAME=FAT:FQL_AUDITING_CLIENT_TEMPLATE.FAT&amp;display_string=Audit&amp;VAR:KEY=MXUFCXYFCH&amp;VAR:QUERY=KENTRl9DT01fU0hTX09VVF9FUFNfRElMKFFUUl9SLDMzNjYyKUBXU0ZfQ09NX1NIU19PVVRfRVBTX0RJTChRV","FIsMzM2NjIpKQ==&amp;WINDOW=FIRST_POPUP&amp;HEIGHT=450&amp;WIDTH=450&amp;START_MAXIMIZED=FALSE&amp;VAR:CALENDAR=US&amp;VAR:SYMBOL=Company0092:INDEX=0"}</definedName>
    <definedName name="_203__FDSAUDITLINK__" hidden="1">{"fdsup://directions/FAT Viewer?action=UPDATE&amp;creator=factset&amp;DYN_ARGS=TRUE&amp;DOC_NAME=FAT:FQL_AUDITING_CLIENT_TEMPLATE.FAT&amp;display_string=Audit&amp;VAR:KEY=ILAZWDYLGN&amp;VAR:QUERY=KENTRl9JTlRBTkcoUVRSX1IsMzM2NjIpQFdTRl9JTlRBTkcoUVRSLDMzNjYyKSk=&amp;WINDOW=FIRST_POPUP&amp;H","COMPANY0910=450&amp;WIDTH=450&amp;START_MAXIMIZED=FALSE&amp;VAR:CALENDAR=US&amp;VAR:SYMBOL=Company0092:INDEX=0"}</definedName>
    <definedName name="_204__FDSAUDITLINK__" hidden="1">{"fdsup://directions/FAT Viewer?action=UPDATE&amp;creator=factset&amp;DYN_ARGS=TRUE&amp;DOC_NAME=FAT:FQL_AUDITING_CLIENT_TEMPLATE.FAT&amp;display_string=Audit&amp;VAR:KEY=MDKBYZORMP&amp;VAR:QUERY=KENTRl9DT01fU0hTX09VVF9FUFNfRElMKFFUUl9SLDMzNjM0KUBXU0ZfQ09NX1NIU19PVVRfRVBTX0RJTChRV","FIsMzM2MzQpKQ==&amp;WINDOW=FIRST_POPUP&amp;HEIGHT=450&amp;WIDTH=450&amp;START_MAXIMIZED=FALSE&amp;VAR:CALENDAR=US&amp;VAR:SYMBOL=Company0092:INDEX=0"}</definedName>
    <definedName name="_205__FDSAUDITLINK__" hidden="1">{"fdsup://directions/FAT Viewer?action=UPDATE&amp;creator=factset&amp;DYN_ARGS=TRUE&amp;DOC_NAME=FAT:FQL_AUDITING_CLIENT_TEMPLATE.FAT&amp;display_string=Audit&amp;VAR:KEY=EDSRAHIDAT&amp;VAR:QUERY=KENTRl9JTlRBTkcoUVRSX1IsMzM2MzQpQFdTRl9JTlRBTkcoUVRSLDMzNjM0KSk=&amp;WINDOW=FIRST_POPUP&amp;H","COMPANY0910=450&amp;WIDTH=450&amp;START_MAXIMIZED=FALSE&amp;VAR:CALENDAR=US&amp;VAR:SYMBOL=Company0092:INDEX=0"}</definedName>
    <definedName name="_206__FDSAUDITLINK__" hidden="1">{"fdsup://directions/FAT Viewer?action=UPDATE&amp;creator=factset&amp;DYN_ARGS=TRUE&amp;DOC_NAME=FAT:FQL_AUDITING_CLIENT_TEMPLATE.FAT&amp;display_string=Audit&amp;VAR:KEY=YDYTENQBOT&amp;VAR:QUERY=KENTRl9DT01fU0hTX09VVF9FUFNfRElMKFFUUl9SLDMzNjAzKUBXU0ZfQ09NX1NIU19PVVRfRVBTX0RJTChRV","FIsMzM2MDMpKQ==&amp;WINDOW=FIRST_POPUP&amp;HEIGHT=450&amp;WIDTH=450&amp;START_MAXIMIZED=FALSE&amp;VAR:CALENDAR=US&amp;VAR:SYMBOL=Company0092:INDEX=0"}</definedName>
    <definedName name="_207__FDSAUDITLINK__" hidden="1">{"fdsup://directions/FAT Viewer?action=UPDATE&amp;creator=factset&amp;DYN_ARGS=TRUE&amp;DOC_NAME=FAT:FQL_AUDITING_CLIENT_TEMPLATE.FAT&amp;display_string=Audit&amp;VAR:KEY=OHWBIJUDWP&amp;VAR:QUERY=KENTRl9JTlRBTkcoUVRSX1IsMzM2MDMpQFdTRl9JTlRBTkcoUVRSLDMzNjAzKSk=&amp;WINDOW=FIRST_POPUP&amp;H","COMPANY0910=450&amp;WIDTH=450&amp;START_MAXIMIZED=FALSE&amp;VAR:CALENDAR=US&amp;VAR:SYMBOL=Company0092:INDEX=0"}</definedName>
    <definedName name="_208__FDSAUDITLINK__" hidden="1">{"fdsup://directions/FAT Viewer?action=UPDATE&amp;creator=factset&amp;DYN_ARGS=TRUE&amp;DOC_NAME=FAT:FQL_AUDITING_CLIENT_TEMPLATE.FAT&amp;display_string=Audit&amp;VAR:KEY=CJGBOFAPUN&amp;VAR:QUERY=KENTRl9DT01fU0hTX09VVF9FUFNfRElMKFFUUl9SLDMzNTcxKUBXU0ZfQ09NX1NIU19PVVRfRVBTX0RJTChRV","FIsMzM1NzEpKQ==&amp;WINDOW=FIRST_POPUP&amp;HEIGHT=450&amp;WIDTH=450&amp;START_MAXIMIZED=FALSE&amp;VAR:CALENDAR=US&amp;VAR:SYMBOL=Company0092:INDEX=0"}</definedName>
    <definedName name="_209__FDSAUDITLINK__" hidden="1">{"fdsup://directions/FAT Viewer?action=UPDATE&amp;creator=factset&amp;DYN_ARGS=TRUE&amp;DOC_NAME=FAT:FQL_AUDITING_CLIENT_TEMPLATE.FAT&amp;display_string=Audit&amp;VAR:KEY=UJCNCDWZYH&amp;VAR:QUERY=KENTRl9JTlRBTkcoUVRSX1IsMzM1NzEpQFdTRl9JTlRBTkcoUVRSLDMzNTcxKSk=&amp;WINDOW=FIRST_POPUP&amp;H","COMPANY0910=450&amp;WIDTH=450&amp;START_MAXIMIZED=FALSE&amp;VAR:CALENDAR=US&amp;VAR:SYMBOL=Company0092:INDEX=0"}</definedName>
    <definedName name="_21__FDSAUDITLINK__" hidden="1">{"fdsup://directions/FAT Viewer?action=UPDATE&amp;creator=factset&amp;DYN_ARGS=TRUE&amp;DOC_NAME=FAT:FQL_AUDITING_CLIENT_TEMPLATE.FAT&amp;display_string=Audit&amp;VAR:KEY=ABALGZCVQZ&amp;VAR:QUERY=KENTRl9JTlRBTkcoUVRSX1IsMzY3MDcpQFdTRl9JTlRBTkcoUVRSLDM2NzA3KSk=&amp;WINDOW=FIRST_POPUP&amp;H","COMPANY0910=450&amp;WIDTH=450&amp;START_MAXIMIZED=FALSE&amp;VAR:CALENDAR=US&amp;VAR:SYMBOL=Company0092:INDEX=0"}</definedName>
    <definedName name="_210__FDSAUDITLINK__" hidden="1">{"fdsup://directions/FAT Viewer?action=UPDATE&amp;creator=factset&amp;DYN_ARGS=TRUE&amp;DOC_NAME=FAT:FQL_AUDITING_CLIENT_TEMPLATE.FAT&amp;display_string=Audit&amp;VAR:KEY=ULILIHILQP&amp;VAR:QUERY=KENTRl9DT01fU0hTX09VVF9FUFNfRElMKFFUUl9SLDMzNTQyKUBXU0ZfQ09NX1NIU19PVVRfRVBTX0RJTChRV","FIsMzM1NDIpKQ==&amp;WINDOW=FIRST_POPUP&amp;HEIGHT=450&amp;WIDTH=450&amp;START_MAXIMIZED=FALSE&amp;VAR:CALENDAR=US&amp;VAR:SYMBOL=Company0092:INDEX=0"}</definedName>
    <definedName name="_211__FDSAUDITLINK__" hidden="1">{"fdsup://directions/FAT Viewer?action=UPDATE&amp;creator=factset&amp;DYN_ARGS=TRUE&amp;DOC_NAME=FAT:FQL_AUDITING_CLIENT_TEMPLATE.FAT&amp;display_string=Audit&amp;VAR:KEY=ALWBKHSXEZ&amp;VAR:QUERY=KENTRl9JTlRBTkcoUVRSX1IsMzM1NDIpQFdTRl9JTlRBTkcoUVRSLDMzNTQyKSk=&amp;WINDOW=FIRST_POPUP&amp;H","COMPANY0910=450&amp;WIDTH=450&amp;START_MAXIMIZED=FALSE&amp;VAR:CALENDAR=US&amp;VAR:SYMBOL=Company0092:INDEX=0"}</definedName>
    <definedName name="_212__FDSAUDITLINK__" hidden="1">{"fdsup://directions/FAT Viewer?action=UPDATE&amp;creator=factset&amp;DYN_ARGS=TRUE&amp;DOC_NAME=FAT:FQL_AUDITING_CLIENT_TEMPLATE.FAT&amp;display_string=Audit&amp;VAR:KEY=UJKNYZOXGH&amp;VAR:QUERY=KENTRl9DT01fU0hTX09VVF9FUFNfRElMKFFUUl9SLDMzNTExKUBXU0ZfQ09NX1NIU19PVVRfRVBTX0RJTChRV","FIsMzM1MTEpKQ==&amp;WINDOW=FIRST_POPUP&amp;HEIGHT=450&amp;WIDTH=450&amp;START_MAXIMIZED=FALSE&amp;VAR:CALENDAR=US&amp;VAR:SYMBOL=Company0092:INDEX=0"}</definedName>
    <definedName name="_213__FDSAUDITLINK__" hidden="1">{"fdsup://directions/FAT Viewer?action=UPDATE&amp;creator=factset&amp;DYN_ARGS=TRUE&amp;DOC_NAME=FAT:FQL_AUDITING_CLIENT_TEMPLATE.FAT&amp;display_string=Audit&amp;VAR:KEY=UZINYXYJIP&amp;VAR:QUERY=KENTRl9JTlRBTkcoUVRSX1IsMzM1MTEpQFdTRl9JTlRBTkcoUVRSLDMzNTExKSk=&amp;WINDOW=FIRST_POPUP&amp;H","COMPANY0910=450&amp;WIDTH=450&amp;START_MAXIMIZED=FALSE&amp;VAR:CALENDAR=US&amp;VAR:SYMBOL=Company0092:INDEX=0"}</definedName>
    <definedName name="_214__FDSAUDITLINK__" hidden="1">{"fdsup://directions/FAT Viewer?action=UPDATE&amp;creator=factset&amp;DYN_ARGS=TRUE&amp;DOC_NAME=FAT:FQL_AUDITING_CLIENT_TEMPLATE.FAT&amp;display_string=Audit&amp;VAR:KEY=KBUNSBMVWP&amp;VAR:QUERY=KENTRl9DT01fU0hTX09VVF9FUFNfRElMKFFUUl9SLDMzNDgwKUBXU0ZfQ09NX1NIU19PVVRfRVBTX0RJTChRV","FIsMzM0ODApKQ==&amp;WINDOW=FIRST_POPUP&amp;HEIGHT=450&amp;WIDTH=450&amp;START_MAXIMIZED=FALSE&amp;VAR:CALENDAR=US&amp;VAR:SYMBOL=Company0092:INDEX=0"}</definedName>
    <definedName name="_215__FDSAUDITLINK__" hidden="1">{"fdsup://directions/FAT Viewer?action=UPDATE&amp;creator=factset&amp;DYN_ARGS=TRUE&amp;DOC_NAME=FAT:FQL_AUDITING_CLIENT_TEMPLATE.FAT&amp;display_string=Audit&amp;VAR:KEY=QTIRGRCNQP&amp;VAR:QUERY=KENTRl9JTlRBTkcoUVRSX1IsMzM0ODApQFdTRl9JTlRBTkcoUVRSLDMzNDgwKSk=&amp;WINDOW=FIRST_POPUP&amp;H","COMPANY0910=450&amp;WIDTH=450&amp;START_MAXIMIZED=FALSE&amp;VAR:CALENDAR=US&amp;VAR:SYMBOL=Company0092:INDEX=0"}</definedName>
    <definedName name="_216__FDSAUDITLINK__" hidden="1">{"fdsup://directions/FAT Viewer?action=UPDATE&amp;creator=factset&amp;DYN_ARGS=TRUE&amp;DOC_NAME=FAT:FQL_AUDITING_CLIENT_TEMPLATE.FAT&amp;display_string=Audit&amp;VAR:KEY=GVGNCPODUV&amp;VAR:QUERY=KENTRl9DT01fU0hTX09VVF9FUFNfRElMKFFUUl9SLDMzNDUwKUBXU0ZfQ09NX1NIU19PVVRfRVBTX0RJTChRV","FIsMzM0NTApKQ==&amp;WINDOW=FIRST_POPUP&amp;HEIGHT=450&amp;WIDTH=450&amp;START_MAXIMIZED=FALSE&amp;VAR:CALENDAR=US&amp;VAR:SYMBOL=Company0092:INDEX=0"}</definedName>
    <definedName name="_217__FDSAUDITLINK__" hidden="1">{"fdsup://directions/FAT Viewer?action=UPDATE&amp;creator=factset&amp;DYN_ARGS=TRUE&amp;DOC_NAME=FAT:FQL_AUDITING_CLIENT_TEMPLATE.FAT&amp;display_string=Audit&amp;VAR:KEY=KXGRIVODUV&amp;VAR:QUERY=KENTRl9JTlRBTkcoUVRSX1IsMzM0NTApQFdTRl9JTlRBTkcoUVRSLDMzNDUwKSk=&amp;WINDOW=FIRST_POPUP&amp;H","COMPANY0910=450&amp;WIDTH=450&amp;START_MAXIMIZED=FALSE&amp;VAR:CALENDAR=US&amp;VAR:SYMBOL=Company0092:INDEX=0"}</definedName>
    <definedName name="_218__FDSAUDITLINK__" hidden="1">{"fdsup://directions/FAT Viewer?action=UPDATE&amp;creator=factset&amp;DYN_ARGS=TRUE&amp;DOC_NAME=FAT:FQL_AUDITING_CLIENT_TEMPLATE.FAT&amp;display_string=Audit&amp;VAR:KEY=CRANOROXQD&amp;VAR:QUERY=KENTRl9DT01fU0hTX09VVF9FUFNfRElMKFFUUl9SLDMzNDE3KUBXU0ZfQ09NX1NIU19PVVRfRVBTX0RJTChRV","FIsMzM0MTcpKQ==&amp;WINDOW=FIRST_POPUP&amp;HEIGHT=450&amp;WIDTH=450&amp;START_MAXIMIZED=FALSE&amp;VAR:CALENDAR=US&amp;VAR:SYMBOL=Company0092:INDEX=0"}</definedName>
    <definedName name="_219__FDSAUDITLINK__" hidden="1">{"fdsup://directions/FAT Viewer?action=UPDATE&amp;creator=factset&amp;DYN_ARGS=TRUE&amp;DOC_NAME=FAT:FQL_AUDITING_CLIENT_TEMPLATE.FAT&amp;display_string=Audit&amp;VAR:KEY=QLUTQLCLGJ&amp;VAR:QUERY=KENTRl9JTlRBTkcoUVRSX1IsMzM0MTcpQFdTRl9JTlRBTkcoUVRSLDMzNDE3KSk=&amp;WINDOW=FIRST_POPUP&amp;H","COMPANY0910=450&amp;WIDTH=450&amp;START_MAXIMIZED=FALSE&amp;VAR:CALENDAR=US&amp;VAR:SYMBOL=Company0092:INDEX=0"}</definedName>
    <definedName name="_22__FDSAUDITLINK__" hidden="1">{"fdsup://directions/FAT Viewer?action=UPDATE&amp;creator=factset&amp;DYN_ARGS=TRUE&amp;DOC_NAME=FAT:FQL_AUDITING_CLIENT_TEMPLATE.FAT&amp;display_string=Audit&amp;VAR:KEY=KTSTYDABQH&amp;VAR:QUERY=KENTRl9JTlRBTkcoUVRSX1IsMzY2NzcpQFdTRl9JTlRBTkcoUVRSLDM2Njc3KSk=&amp;WINDOW=FIRST_POPUP&amp;H","COMPANY0910=450&amp;WIDTH=450&amp;START_MAXIMIZED=FALSE&amp;VAR:CALENDAR=US&amp;VAR:SYMBOL=Company0092:INDEX=0"}</definedName>
    <definedName name="_220__FDSAUDITLINK__" hidden="1">{"fdsup://directions/FAT Viewer?action=UPDATE&amp;creator=factset&amp;DYN_ARGS=TRUE&amp;DOC_NAME=FAT:FQL_AUDITING_CLIENT_TEMPLATE.FAT&amp;display_string=Audit&amp;VAR:KEY=EZGTCLSBAD&amp;VAR:QUERY=KENTRl9DT01fU0hTX09VVF9FUFNfRElMKFFUUl9SLDMzMzg5KUBXU0ZfQ09NX1NIU19PVVRfRVBTX0RJTChRV","FIsMzMzODkpKQ==&amp;WINDOW=FIRST_POPUP&amp;HEIGHT=450&amp;WIDTH=450&amp;START_MAXIMIZED=FALSE&amp;VAR:CALENDAR=US&amp;VAR:SYMBOL=Company0092:INDEX=0"}</definedName>
    <definedName name="_221__FDSAUDITLINK__" hidden="1">{"fdsup://directions/FAT Viewer?action=UPDATE&amp;creator=factset&amp;DYN_ARGS=TRUE&amp;DOC_NAME=FAT:FQL_AUDITING_CLIENT_TEMPLATE.FAT&amp;display_string=Audit&amp;VAR:KEY=YJKTCVWVCX&amp;VAR:QUERY=KENTRl9JTlRBTkcoUVRSX1IsMzMzODkpQFdTRl9JTlRBTkcoUVRSLDMzMzg5KSk=&amp;WINDOW=FIRST_POPUP&amp;H","COMPANY0910=450&amp;WIDTH=450&amp;START_MAXIMIZED=FALSE&amp;VAR:CALENDAR=US&amp;VAR:SYMBOL=Company0092:INDEX=0"}</definedName>
    <definedName name="_222__FDSAUDITLINK__" hidden="1">{"fdsup://directions/FAT Viewer?action=UPDATE&amp;creator=factset&amp;DYN_ARGS=TRUE&amp;DOC_NAME=FAT:FQL_AUDITING_CLIENT_TEMPLATE.FAT&amp;display_string=Audit&amp;VAR:KEY=ENIFKRWBWP&amp;VAR:QUERY=KENTRl9DT01fU0hTX09VVF9FUFNfRElMKFFUUl9SLDMzMzU4KUBXU0ZfQ09NX1NIU19PVVRfRVBTX0RJTChRV","FIsMzMzNTgpKQ==&amp;WINDOW=FIRST_POPUP&amp;HEIGHT=450&amp;WIDTH=450&amp;START_MAXIMIZED=FALSE&amp;VAR:CALENDAR=US&amp;VAR:SYMBOL=Company0092:INDEX=0"}</definedName>
    <definedName name="_223__FDSAUDITLINK__" hidden="1">{"fdsup://directions/FAT Viewer?action=UPDATE&amp;creator=factset&amp;DYN_ARGS=TRUE&amp;DOC_NAME=FAT:FQL_AUDITING_CLIENT_TEMPLATE.FAT&amp;display_string=Audit&amp;VAR:KEY=CDCBWBYDQB&amp;VAR:QUERY=KENTRl9JTlRBTkcoUVRSX1IsMzMzNTgpQFdTRl9JTlRBTkcoUVRSLDMzMzU4KSk=&amp;WINDOW=FIRST_POPUP&amp;H","COMPANY0910=450&amp;WIDTH=450&amp;START_MAXIMIZED=FALSE&amp;VAR:CALENDAR=US&amp;VAR:SYMBOL=Company0092:INDEX=0"}</definedName>
    <definedName name="_224__FDSAUDITLINK__" hidden="1">{"fdsup://directions/FAT Viewer?action=UPDATE&amp;creator=factset&amp;DYN_ARGS=TRUE&amp;DOC_NAME=FAT:FQL_AUDITING_CLIENT_TEMPLATE.FAT&amp;display_string=Audit&amp;VAR:KEY=MRELINIDUN&amp;VAR:QUERY=KENTRl9DT01fU0hTX09VVF9FUFNfRElMKFFUUl9SLDMzMzI1KUBXU0ZfQ09NX1NIU19PVVRfRVBTX0RJTChRV","FIsMzMzMjUpKQ==&amp;WINDOW=FIRST_POPUP&amp;HEIGHT=450&amp;WIDTH=450&amp;START_MAXIMIZED=FALSE&amp;VAR:CALENDAR=US&amp;VAR:SYMBOL=Company0092:INDEX=0"}</definedName>
    <definedName name="_225__FDSAUDITLINK__" hidden="1">{"fdsup://directions/FAT Viewer?action=UPDATE&amp;creator=factset&amp;DYN_ARGS=TRUE&amp;DOC_NAME=FAT:FQL_AUDITING_CLIENT_TEMPLATE.FAT&amp;display_string=Audit&amp;VAR:KEY=IFODUDADIP&amp;VAR:QUERY=KENTRl9JTlRBTkcoUVRSX1IsMzMzMjUpQFdTRl9JTlRBTkcoUVRSLDMzMzI1KSk=&amp;WINDOW=FIRST_POPUP&amp;H","COMPANY0910=450&amp;WIDTH=450&amp;START_MAXIMIZED=FALSE&amp;VAR:CALENDAR=US&amp;VAR:SYMBOL=Company0092:INDEX=0"}</definedName>
    <definedName name="_226__FDSAUDITLINK__" hidden="1">{"fdsup://directions/FAT Viewer?action=UPDATE&amp;creator=factset&amp;DYN_ARGS=TRUE&amp;DOC_NAME=FAT:FQL_AUDITING_CLIENT_TEMPLATE.FAT&amp;display_string=Audit&amp;VAR:KEY=IVYHOZMZUD&amp;VAR:QUERY=KENTRl9DT01fU0hTX09VVF9FUFNfRElMKFFUUl9SLDMzMjk3KUBXU0ZfQ09NX1NIU19PVVRfRVBTX0RJTChRV","FIsMzMyOTcpKQ==&amp;WINDOW=FIRST_POPUP&amp;HEIGHT=450&amp;WIDTH=450&amp;START_MAXIMIZED=FALSE&amp;VAR:CALENDAR=US&amp;VAR:SYMBOL=Company0092:INDEX=0"}</definedName>
    <definedName name="_227__FDSAUDITLINK__" hidden="1">{"fdsup://directions/FAT Viewer?action=UPDATE&amp;creator=factset&amp;DYN_ARGS=TRUE&amp;DOC_NAME=FAT:FQL_AUDITING_CLIENT_TEMPLATE.FAT&amp;display_string=Audit&amp;VAR:KEY=KPUZOZGRKX&amp;VAR:QUERY=KENTRl9JTlRBTkcoUVRSX1IsMzMyOTcpQFdTRl9JTlRBTkcoUVRSLDMzMjk3KSk=&amp;WINDOW=FIRST_POPUP&amp;H","COMPANY0910=450&amp;WIDTH=450&amp;START_MAXIMIZED=FALSE&amp;VAR:CALENDAR=US&amp;VAR:SYMBOL=Company0092:INDEX=0"}</definedName>
    <definedName name="_228__FDSAUDITLINK__" hidden="1">{"fdsup://directions/FAT Viewer?action=UPDATE&amp;creator=factset&amp;DYN_ARGS=TRUE&amp;DOC_NAME=FAT:FQL_AUDITING_CLIENT_TEMPLATE.FAT&amp;display_string=Audit&amp;VAR:KEY=YHQTSVONSR&amp;VAR:QUERY=KENTRl9DT01fU0hTX09VVF9FUFNfRElMKFFUUl9SLDMzMjY5KUBXU0ZfQ09NX1NIU19PVVRfRVBTX0RJTChRV","FIsMzMyNjkpKQ==&amp;WINDOW=FIRST_POPUP&amp;HEIGHT=450&amp;WIDTH=450&amp;START_MAXIMIZED=FALSE&amp;VAR:CALENDAR=US&amp;VAR:SYMBOL=Company0092:INDEX=0"}</definedName>
    <definedName name="_229__FDSAUDITLINK__" hidden="1">{"fdsup://directions/FAT Viewer?action=UPDATE&amp;creator=factset&amp;DYN_ARGS=TRUE&amp;DOC_NAME=FAT:FQL_AUDITING_CLIENT_TEMPLATE.FAT&amp;display_string=Audit&amp;VAR:KEY=KLSZKFETWB&amp;VAR:QUERY=KENTRl9JTlRBTkcoUVRSX1IsMzMyNjkpQFdTRl9JTlRBTkcoUVRSLDMzMjY5KSk=&amp;WINDOW=FIRST_POPUP&amp;H","COMPANY0910=450&amp;WIDTH=450&amp;START_MAXIMIZED=FALSE&amp;VAR:CALENDAR=US&amp;VAR:SYMBOL=Company0092:INDEX=0"}</definedName>
    <definedName name="_23__FDSAUDITLINK__" hidden="1">{"fdsup://directions/FAT Viewer?action=UPDATE&amp;creator=factset&amp;DYN_ARGS=TRUE&amp;DOC_NAME=FAT:FQL_AUDITING_CLIENT_TEMPLATE.FAT&amp;display_string=Audit&amp;VAR:KEY=QDWJIZMZWJ&amp;VAR:QUERY=KENTRl9JTlRBTkcoUVRSX1IsMzY2NDQpQFdTRl9JTlRBTkcoUVRSLDM2NjQ0KSk=&amp;WINDOW=FIRST_POPUP&amp;H","COMPANY0910=450&amp;WIDTH=450&amp;START_MAXIMIZED=FALSE&amp;VAR:CALENDAR=US&amp;VAR:SYMBOL=Company0092:INDEX=0"}</definedName>
    <definedName name="_230__FDSAUDITLINK__" hidden="1">{"fdsup://directions/FAT Viewer?action=UPDATE&amp;creator=factset&amp;DYN_ARGS=TRUE&amp;DOC_NAME=FAT:FQL_AUDITING_CLIENT_TEMPLATE.FAT&amp;display_string=Audit&amp;VAR:KEY=WFALUTYBGP&amp;VAR:QUERY=KENTRl9DT01fU0hTX09VVF9FUFNfRElMKFFUUl9SLDMzMjM4KUBXU0ZfQ09NX1NIU19PVVRfRVBTX0RJTChRV","FIsMzMyMzgpKQ==&amp;WINDOW=FIRST_POPUP&amp;HEIGHT=450&amp;WIDTH=450&amp;START_MAXIMIZED=FALSE&amp;VAR:CALENDAR=US&amp;VAR:SYMBOL=Company0092:INDEX=0"}</definedName>
    <definedName name="_231__FDSAUDITLINK__" hidden="1">{"fdsup://directions/FAT Viewer?action=UPDATE&amp;creator=factset&amp;DYN_ARGS=TRUE&amp;DOC_NAME=FAT:FQL_AUDITING_CLIENT_TEMPLATE.FAT&amp;display_string=Audit&amp;VAR:KEY=ODYHONQXAZ&amp;VAR:QUERY=KENTRl9JTlRBTkcoUVRSX1IsMzMyMzgpQFdTRl9JTlRBTkcoUVRSLDMzMjM4KSk=&amp;WINDOW=FIRST_POPUP&amp;H","COMPANY0910=450&amp;WIDTH=450&amp;START_MAXIMIZED=FALSE&amp;VAR:CALENDAR=US&amp;VAR:SYMBOL=Company0092:INDEX=0"}</definedName>
    <definedName name="_232__FDSAUDITLINK__" hidden="1">{"fdsup://directions/FAT Viewer?action=UPDATE&amp;creator=factset&amp;DYN_ARGS=TRUE&amp;DOC_NAME=FAT:FQL_AUDITING_CLIENT_TEMPLATE.FAT&amp;display_string=Audit&amp;VAR:KEY=YDGFSNGJUZ&amp;VAR:QUERY=KENTRl9DT01fU0hTX09VVF9FUFNfRElMKFFUUl9SLDMzMjA3KUBXU0ZfQ09NX1NIU19PVVRfRVBTX0RJTChRV","FIsMzMyMDcpKQ==&amp;WINDOW=FIRST_POPUP&amp;HEIGHT=450&amp;WIDTH=450&amp;START_MAXIMIZED=FALSE&amp;VAR:CALENDAR=US&amp;VAR:SYMBOL=Company0092:INDEX=0"}</definedName>
    <definedName name="_233__FDSAUDITLINK__" hidden="1">{"fdsup://directions/FAT Viewer?action=UPDATE&amp;creator=factset&amp;DYN_ARGS=TRUE&amp;DOC_NAME=FAT:FQL_AUDITING_CLIENT_TEMPLATE.FAT&amp;display_string=Audit&amp;VAR:KEY=YBCBUFQRWT&amp;VAR:QUERY=KENTRl9JTlRBTkcoUVRSX1IsMzMyMDcpQFdTRl9JTlRBTkcoUVRSLDMzMjA3KSk=&amp;WINDOW=FIRST_POPUP&amp;H","COMPANY0910=450&amp;WIDTH=450&amp;START_MAXIMIZED=FALSE&amp;VAR:CALENDAR=US&amp;VAR:SYMBOL=Company0092:INDEX=0"}</definedName>
    <definedName name="_234__FDSAUDITLINK__" hidden="1">{"fdsup://directions/FAT Viewer?action=UPDATE&amp;creator=factset&amp;DYN_ARGS=TRUE&amp;DOC_NAME=FAT:FQL_AUDITING_CLIENT_TEMPLATE.FAT&amp;display_string=Audit&amp;VAR:KEY=SVCFMTMNEH&amp;VAR:QUERY=KENTRl9DT01fU0hTX09VVF9FUFNfRElMKFFUUl9SLDMzMTc3KUBXU0ZfQ09NX1NIU19PVVRfRVBTX0RJTChRV","FIsMzMxNzcpKQ==&amp;WINDOW=FIRST_POPUP&amp;HEIGHT=450&amp;WIDTH=450&amp;START_MAXIMIZED=FALSE&amp;VAR:CALENDAR=US&amp;VAR:SYMBOL=Company0092:INDEX=0"}</definedName>
    <definedName name="_235__FDSAUDITLINK__" hidden="1">{"fdsup://directions/FAT Viewer?action=UPDATE&amp;creator=factset&amp;DYN_ARGS=TRUE&amp;DOC_NAME=FAT:FQL_AUDITING_CLIENT_TEMPLATE.FAT&amp;display_string=Audit&amp;VAR:KEY=UPEPWDAVAV&amp;VAR:QUERY=KENTRl9JTlRBTkcoUVRSX1IsMzMxNzcpQFdTRl9JTlRBTkcoUVRSLDMzMTc3KSk=&amp;WINDOW=FIRST_POPUP&amp;H","COMPANY0910=450&amp;WIDTH=450&amp;START_MAXIMIZED=FALSE&amp;VAR:CALENDAR=US&amp;VAR:SYMBOL=Company0092:INDEX=0"}</definedName>
    <definedName name="_236__FDSAUDITLINK__" hidden="1">{"fdsup://directions/FAT Viewer?action=UPDATE&amp;creator=factset&amp;DYN_ARGS=TRUE&amp;DOC_NAME=FAT:FQL_AUDITING_CLIENT_TEMPLATE.FAT&amp;display_string=Audit&amp;VAR:KEY=GZENALIHQZ&amp;VAR:QUERY=KENTRl9DT01fU0hTX09VVF9FUFNfRElMKFFUUl9SLDMzMTQ0KUBXU0ZfQ09NX1NIU19PVVRfRVBTX0RJTChRV","FIsMzMxNDQpKQ==&amp;WINDOW=FIRST_POPUP&amp;HEIGHT=450&amp;WIDTH=450&amp;START_MAXIMIZED=FALSE&amp;VAR:CALENDAR=US&amp;VAR:SYMBOL=Company0092:INDEX=0"}</definedName>
    <definedName name="_237__FDSAUDITLINK__" hidden="1">{"fdsup://directions/FAT Viewer?action=UPDATE&amp;creator=factset&amp;DYN_ARGS=TRUE&amp;DOC_NAME=FAT:FQL_AUDITING_CLIENT_TEMPLATE.FAT&amp;display_string=Audit&amp;VAR:KEY=ANEFKFOZQB&amp;VAR:QUERY=KENTRl9JTlRBTkcoUVRSX1IsMzMxNDQpQFdTRl9JTlRBTkcoUVRSLDMzMTQ0KSk=&amp;WINDOW=FIRST_POPUP&amp;H","COMPANY0910=450&amp;WIDTH=450&amp;START_MAXIMIZED=FALSE&amp;VAR:CALENDAR=US&amp;VAR:SYMBOL=Company0092:INDEX=0"}</definedName>
    <definedName name="_238__FDSAUDITLINK__" hidden="1">{"fdsup://directions/FAT Viewer?action=UPDATE&amp;creator=factset&amp;DYN_ARGS=TRUE&amp;DOC_NAME=FAT:FQL_AUDITING_CLIENT_TEMPLATE.FAT&amp;display_string=Audit&amp;VAR:KEY=WBOZKRUNWH&amp;VAR:QUERY=KENTRl9DT01fU0hTX09VVF9FUFNfRElMKFFUUl9SLDMzMTE2KUBXU0ZfQ09NX1NIU19PVVRfRVBTX0RJTChRV","FIsMzMxMTYpKQ==&amp;WINDOW=FIRST_POPUP&amp;HEIGHT=450&amp;WIDTH=450&amp;START_MAXIMIZED=FALSE&amp;VAR:CALENDAR=US&amp;VAR:SYMBOL=Company0092:INDEX=0"}</definedName>
    <definedName name="_239__FDSAUDITLINK__" hidden="1">{"fdsup://directions/FAT Viewer?action=UPDATE&amp;creator=factset&amp;DYN_ARGS=TRUE&amp;DOC_NAME=FAT:FQL_AUDITING_CLIENT_TEMPLATE.FAT&amp;display_string=Audit&amp;VAR:KEY=CNQPUPARQX&amp;VAR:QUERY=KENTRl9JTlRBTkcoUVRSX1IsMzMxMTYpQFdTRl9JTlRBTkcoUVRSLDMzMTE2KSk=&amp;WINDOW=FIRST_POPUP&amp;H","COMPANY0910=450&amp;WIDTH=450&amp;START_MAXIMIZED=FALSE&amp;VAR:CALENDAR=US&amp;VAR:SYMBOL=Company0092:INDEX=0"}</definedName>
    <definedName name="_24__FDSAUDITLINK__" hidden="1">{"fdsup://directions/FAT Viewer?action=UPDATE&amp;creator=factset&amp;DYN_ARGS=TRUE&amp;DOC_NAME=FAT:FQL_AUDITING_CLIENT_TEMPLATE.FAT&amp;display_string=Audit&amp;VAR:KEY=YFMJKLGFGP&amp;VAR:QUERY=KENTRl9JTlRBTkcoUVRSX1IsMzY2MTYpQFdTRl9JTlRBTkcoUVRSLDM2NjE2KSk=&amp;WINDOW=FIRST_POPUP&amp;H","COMPANY0910=450&amp;WIDTH=450&amp;START_MAXIMIZED=FALSE&amp;VAR:CALENDAR=US&amp;VAR:SYMBOL=Company0092:INDEX=0"}</definedName>
    <definedName name="_240__FDSAUDITLINK__" hidden="1">{"fdsup://directions/FAT Viewer?action=UPDATE&amp;creator=factset&amp;DYN_ARGS=TRUE&amp;DOC_NAME=FAT:FQL_AUDITING_CLIENT_TEMPLATE.FAT&amp;display_string=Audit&amp;VAR:KEY=IRUNOBIVMN&amp;VAR:QUERY=KENTRl9DT01fU0hTX09VVF9FUFNfRElMKFFUUl9SLDMzMDg1KUBXU0ZfQ09NX1NIU19PVVRfRVBTX0RJTChRV","FIsMzMwODUpKQ==&amp;WINDOW=FIRST_POPUP&amp;HEIGHT=450&amp;WIDTH=450&amp;START_MAXIMIZED=FALSE&amp;VAR:CALENDAR=US&amp;VAR:SYMBOL=Company0092:INDEX=0"}</definedName>
    <definedName name="_241__FDSAUDITLINK__" hidden="1">{"fdsup://directions/FAT Viewer?action=UPDATE&amp;creator=factset&amp;DYN_ARGS=TRUE&amp;DOC_NAME=FAT:FQL_AUDITING_CLIENT_TEMPLATE.FAT&amp;display_string=Audit&amp;VAR:KEY=ILCHSVMLSV&amp;VAR:QUERY=KENTRl9JTlRBTkcoUVRSX1IsMzMwODUpQFdTRl9JTlRBTkcoUVRSLDMzMDg1KSk=&amp;WINDOW=FIRST_POPUP&amp;H","COMPANY0910=450&amp;WIDTH=450&amp;START_MAXIMIZED=FALSE&amp;VAR:CALENDAR=US&amp;VAR:SYMBOL=Company0092:INDEX=0"}</definedName>
    <definedName name="_242__FDSAUDITLINK__" hidden="1">{"fdsup://directions/FAT Viewer?action=UPDATE&amp;creator=factset&amp;DYN_ARGS=TRUE&amp;DOC_NAME=FAT:FQL_AUDITING_CLIENT_TEMPLATE.FAT&amp;display_string=Audit&amp;VAR:KEY=WDCBKNWDAH&amp;VAR:QUERY=KENTRl9DT01fU0hTX09VVF9FUFNfRElMKFFUUl9SLDMzMDUzKUBXU0ZfQ09NX1NIU19PVVRfRVBTX0RJTChRV","FIsMzMwNTMpKQ==&amp;WINDOW=FIRST_POPUP&amp;HEIGHT=450&amp;WIDTH=450&amp;START_MAXIMIZED=FALSE&amp;VAR:CALENDAR=US&amp;VAR:SYMBOL=Company0092:INDEX=0"}</definedName>
    <definedName name="_243__FDSAUDITLINK__" hidden="1">{"fdsup://directions/FAT Viewer?action=UPDATE&amp;creator=factset&amp;DYN_ARGS=TRUE&amp;DOC_NAME=FAT:FQL_AUDITING_CLIENT_TEMPLATE.FAT&amp;display_string=Audit&amp;VAR:KEY=UHKPODUPWH&amp;VAR:QUERY=KENTRl9JTlRBTkcoUVRSX1IsMzMwNTMpQFdTRl9JTlRBTkcoUVRSLDMzMDUzKSk=&amp;WINDOW=FIRST_POPUP&amp;H","COMPANY0910=450&amp;WIDTH=450&amp;START_MAXIMIZED=FALSE&amp;VAR:CALENDAR=US&amp;VAR:SYMBOL=Company0092:INDEX=0"}</definedName>
    <definedName name="_244__FDSAUDITLINK__" hidden="1">{"fdsup://directions/FAT Viewer?action=UPDATE&amp;creator=factset&amp;DYN_ARGS=TRUE&amp;DOC_NAME=FAT:FQL_AUDITING_CLIENT_TEMPLATE.FAT&amp;display_string=Audit&amp;VAR:KEY=MDWHUFCHOV&amp;VAR:QUERY=KENTRl9DT01fU0hTX09VVF9FUFNfRElMKFFUUl9SLDMzMDI0KUBXU0ZfQ09NX1NIU19PVVRfRVBTX0RJTChRV","FIsMzMwMjQpKQ==&amp;WINDOW=FIRST_POPUP&amp;HEIGHT=450&amp;WIDTH=450&amp;START_MAXIMIZED=FALSE&amp;VAR:CALENDAR=US&amp;VAR:SYMBOL=Company0092:INDEX=0"}</definedName>
    <definedName name="_245__FDSAUDITLINK__" hidden="1">{"fdsup://directions/FAT Viewer?action=UPDATE&amp;creator=factset&amp;DYN_ARGS=TRUE&amp;DOC_NAME=FAT:FQL_AUDITING_CLIENT_TEMPLATE.FAT&amp;display_string=Audit&amp;VAR:KEY=OHQDWBINOJ&amp;VAR:QUERY=KENTRl9JTlRBTkcoUVRSX1IsMzMwMjQpQFdTRl9JTlRBTkcoUVRSLDMzMDI0KSk=&amp;WINDOW=FIRST_POPUP&amp;H","COMPANY0910=450&amp;WIDTH=450&amp;START_MAXIMIZED=FALSE&amp;VAR:CALENDAR=US&amp;VAR:SYMBOL=Company0092:INDEX=0"}</definedName>
    <definedName name="_246__FDSAUDITLINK__" hidden="1">{"fdsup://directions/FAT Viewer?action=UPDATE&amp;creator=factset&amp;DYN_ARGS=TRUE&amp;DOC_NAME=FAT:FQL_AUDITING_CLIENT_TEMPLATE.FAT&amp;display_string=Audit&amp;VAR:KEY=OFUXUVUJWN&amp;VAR:QUERY=KENTRl9DT01fU0hTX09VVF9FUFNfRElMKFFUUl9SLDMyOTkzKUBXU0ZfQ09NX1NIU19PVVRfRVBTX0RJTChRV","FIsMzI5OTMpKQ==&amp;WINDOW=FIRST_POPUP&amp;HEIGHT=450&amp;WIDTH=450&amp;START_MAXIMIZED=FALSE&amp;VAR:CALENDAR=US&amp;VAR:SYMBOL=Company0092:INDEX=0"}</definedName>
    <definedName name="_247__FDSAUDITLINK__" hidden="1">{"fdsup://directions/FAT Viewer?action=UPDATE&amp;creator=factset&amp;DYN_ARGS=TRUE&amp;DOC_NAME=FAT:FQL_AUDITING_CLIENT_TEMPLATE.FAT&amp;display_string=Audit&amp;VAR:KEY=IRGPYRITKB&amp;VAR:QUERY=KENTRl9JTlRBTkcoUVRSX1IsMzI5OTMpQFdTRl9JTlRBTkcoUVRSLDMyOTkzKSk=&amp;WINDOW=FIRST_POPUP&amp;H","COMPANY0910=450&amp;WIDTH=450&amp;START_MAXIMIZED=FALSE&amp;VAR:CALENDAR=US&amp;VAR:SYMBOL=Company0092:INDEX=0"}</definedName>
    <definedName name="_248__FDSAUDITLINK__" hidden="1">{"fdsup://directions/FAT Viewer?action=UPDATE&amp;creator=factset&amp;DYN_ARGS=TRUE&amp;DOC_NAME=FAT:FQL_AUDITING_CLIENT_TEMPLATE.FAT&amp;display_string=Audit&amp;VAR:KEY=WTONQHQDUZ&amp;VAR:QUERY=KENTRl9DT01fU0hTX09VVF9FUFNfRElMKFFUUl9SLDMyOTYyKUBXU0ZfQ09NX1NIU19PVVRfRVBTX0RJTChRV","FIsMzI5NjIpKQ==&amp;WINDOW=FIRST_POPUP&amp;HEIGHT=450&amp;WIDTH=450&amp;START_MAXIMIZED=FALSE&amp;VAR:CALENDAR=US&amp;VAR:SYMBOL=Company0092:INDEX=0"}</definedName>
    <definedName name="_249__FDSAUDITLINK__" hidden="1">{"fdsup://directions/FAT Viewer?action=UPDATE&amp;creator=factset&amp;DYN_ARGS=TRUE&amp;DOC_NAME=FAT:FQL_AUDITING_CLIENT_TEMPLATE.FAT&amp;display_string=Audit&amp;VAR:KEY=QJOLOPGHWH&amp;VAR:QUERY=KENTRl9JTlRBTkcoUVRSX1IsMzI5NjIpQFdTRl9JTlRBTkcoUVRSLDMyOTYyKSk=&amp;WINDOW=FIRST_POPUP&amp;H","COMPANY0910=450&amp;WIDTH=450&amp;START_MAXIMIZED=FALSE&amp;VAR:CALENDAR=US&amp;VAR:SYMBOL=Company0092:INDEX=0"}</definedName>
    <definedName name="_25__FDSAUDITLINK__" hidden="1">{"fdsup://directions/FAT Viewer?action=UPDATE&amp;creator=factset&amp;DYN_ARGS=TRUE&amp;DOC_NAME=FAT:FQL_AUDITING_CLIENT_TEMPLATE.FAT&amp;display_string=Audit&amp;VAR:KEY=EVMVITULQV&amp;VAR:QUERY=KENTRl9JTlRBTkcoUVRSX1IsMzY1ODUpQFdTRl9JTlRBTkcoUVRSLDM2NTg1KSk=&amp;WINDOW=FIRST_POPUP&amp;H","COMPANY0910=450&amp;WIDTH=450&amp;START_MAXIMIZED=FALSE&amp;VAR:CALENDAR=US&amp;VAR:SYMBOL=Company0092:INDEX=0"}</definedName>
    <definedName name="_250__FDSAUDITLINK__" hidden="1">{"fdsup://directions/FAT Viewer?action=UPDATE&amp;creator=factset&amp;DYN_ARGS=TRUE&amp;DOC_NAME=FAT:FQL_AUDITING_CLIENT_TEMPLATE.FAT&amp;display_string=Audit&amp;VAR:KEY=KFEZCLCRSD&amp;VAR:QUERY=KENTRl9DT01fU0hTX09VVF9FUFNfRElMKFFUUl9SLDMyOTMyKUBXU0ZfQ09NX1NIU19PVVRfRVBTX0RJTChRV","FIsMzI5MzIpKQ==&amp;WINDOW=FIRST_POPUP&amp;HEIGHT=450&amp;WIDTH=450&amp;START_MAXIMIZED=FALSE&amp;VAR:CALENDAR=US&amp;VAR:SYMBOL=Company0092:INDEX=0"}</definedName>
    <definedName name="_251__FDSAUDITLINK__" hidden="1">{"fdsup://directions/FAT Viewer?action=UPDATE&amp;creator=factset&amp;DYN_ARGS=TRUE&amp;DOC_NAME=FAT:FQL_AUDITING_CLIENT_TEMPLATE.FAT&amp;display_string=Audit&amp;VAR:KEY=OPCBYLCVWF&amp;VAR:QUERY=KENTRl9JTlRBTkcoUVRSX1IsMzI5MzIpQFdTRl9JTlRBTkcoUVRSLDMyOTMyKSk=&amp;WINDOW=FIRST_POPUP&amp;H","COMPANY0910=450&amp;WIDTH=450&amp;START_MAXIMIZED=FALSE&amp;VAR:CALENDAR=US&amp;VAR:SYMBOL=Company0092:INDEX=0"}</definedName>
    <definedName name="_252__FDSAUDITLINK__" hidden="1">{"fdsup://directions/FAT Viewer?action=UPDATE&amp;creator=factset&amp;DYN_ARGS=TRUE&amp;DOC_NAME=FAT:FQL_AUDITING_CLIENT_TEMPLATE.FAT&amp;display_string=Audit&amp;VAR:KEY=MZMZIRGRQD&amp;VAR:QUERY=KENTRl9DT01fU0hTX09VVF9FUFNfRElMKFFUUl9SLDMyOTA0KUBXU0ZfQ09NX1NIU19PVVRfRVBTX0RJTChRV","FIsMzI5MDQpKQ==&amp;WINDOW=FIRST_POPUP&amp;HEIGHT=450&amp;WIDTH=450&amp;START_MAXIMIZED=FALSE&amp;VAR:CALENDAR=US&amp;VAR:SYMBOL=Company0092:INDEX=0"}</definedName>
    <definedName name="_253__FDSAUDITLINK__" hidden="1">{"fdsup://directions/FAT Viewer?action=UPDATE&amp;creator=factset&amp;DYN_ARGS=TRUE&amp;DOC_NAME=FAT:FQL_AUDITING_CLIENT_TEMPLATE.FAT&amp;display_string=Audit&amp;VAR:KEY=OLWNEPKPEB&amp;VAR:QUERY=KENTRl9JTlRBTkcoUVRSX1IsMzI5MDQpQFdTRl9JTlRBTkcoUVRSLDMyOTA0KSk=&amp;WINDOW=FIRST_POPUP&amp;H","COMPANY0910=450&amp;WIDTH=450&amp;START_MAXIMIZED=FALSE&amp;VAR:CALENDAR=US&amp;VAR:SYMBOL=Company0092:INDEX=0"}</definedName>
    <definedName name="_254__FDSAUDITLINK__" hidden="1">{"fdsup://directions/FAT Viewer?action=UPDATE&amp;creator=factset&amp;DYN_ARGS=TRUE&amp;DOC_NAME=FAT:FQL_AUDITING_CLIENT_TEMPLATE.FAT&amp;display_string=Audit&amp;VAR:KEY=GTKDCPCRGJ&amp;VAR:QUERY=KENTRl9DT01fU0hTX09VVF9FUFNfRElMKFFUUl9SLDMyODcxKUBXU0ZfQ09NX1NIU19PVVRfRVBTX0RJTChRV","FIsMzI4NzEpKQ==&amp;WINDOW=FIRST_POPUP&amp;HEIGHT=450&amp;WIDTH=450&amp;START_MAXIMIZED=FALSE&amp;VAR:CALENDAR=US&amp;VAR:SYMBOL=Company0092:INDEX=0"}</definedName>
    <definedName name="_255__FDSAUDITLINK__" hidden="1">{"fdsup://directions/FAT Viewer?action=UPDATE&amp;creator=factset&amp;DYN_ARGS=TRUE&amp;DOC_NAME=FAT:FQL_AUDITING_CLIENT_TEMPLATE.FAT&amp;display_string=Audit&amp;VAR:KEY=WFAZYZAZOH&amp;VAR:QUERY=KENTRl9JTlRBTkcoUVRSX1IsMzI4NzEpQFdTRl9JTlRBTkcoUVRSLDMyODcxKSk=&amp;WINDOW=FIRST_POPUP&amp;H","COMPANY0910=450&amp;WIDTH=450&amp;START_MAXIMIZED=FALSE&amp;VAR:CALENDAR=US&amp;VAR:SYMBOL=Company0092:INDEX=0"}</definedName>
    <definedName name="_256__FDSAUDITLINK__" hidden="1">{"fdsup://directions/FAT Viewer?action=UPDATE&amp;creator=factset&amp;DYN_ARGS=TRUE&amp;DOC_NAME=FAT:FQL_AUDITING_CLIENT_TEMPLATE.FAT&amp;display_string=Audit&amp;VAR:KEY=EZCLCRSDAP&amp;VAR:QUERY=KENTRl9DT01fU0hTX09VVF9FUFNfRElMKFFUUl9SLDQxMDI5KUBXU0ZfQ09NX1NIU19PVVRfRVBTX0RJTChRV","FIsNDEwMjkpKQ==&amp;WINDOW=FIRST_POPUP&amp;HEIGHT=450&amp;WIDTH=450&amp;START_MAXIMIZED=FALSE&amp;VAR:CALENDAR=US&amp;VAR:SYMBOL=Company0092:INDEX=0"}</definedName>
    <definedName name="_257__FDSAUDITLINK__" hidden="1">{"fdsup://directions/FAT Viewer?action=UPDATE&amp;creator=factset&amp;DYN_ARGS=TRUE&amp;DOC_NAME=FAT:FQL_AUDITING_CLIENT_TEMPLATE.FAT&amp;display_string=Audit&amp;VAR:KEY=CBYLCVWFIZ&amp;VAR:QUERY=KENTRl9JTlRBTkcoUVRSX1IsNDEwMjkpQFdTRl9JTlRBTkcoUVRSLDQxMDI5KSk=&amp;WINDOW=FIRST_POPUP&amp;H","COMPANY0910=450&amp;WIDTH=450&amp;START_MAXIMIZED=FALSE&amp;VAR:CALENDAR=US&amp;VAR:SYMBOL=Company0092:INDEX=0"}</definedName>
    <definedName name="_258__FDSAUDITLINK__" hidden="1">{"fdsup://directions/FAT Viewer?action=UPDATE&amp;creator=factset&amp;DYN_ARGS=TRUE&amp;DOC_NAME=FAT:FQL_AUDITING_CLIENT_TEMPLATE.FAT&amp;display_string=Audit&amp;VAR:KEY=MZIRGRQDQT&amp;VAR:QUERY=KENTRl9TSExEUlNfRVEoUVRSX1IsNDEwMjkpQFdTRl9TSExEUlNfRVEoUVRSLDQxMDI5KSk=&amp;WINDOW=FIRST","_POPUP&amp;HEIGHT=450&amp;WIDTH=450&amp;START_MAXIMIZED=FALSE&amp;VAR:CALENDAR=US&amp;VAR:SYMBOL=Company0092:INDEX=0"}</definedName>
    <definedName name="_259__FDSAUDITLINK__" hidden="1">{"fdsup://directions/FAT Viewer?action=UPDATE&amp;creator=factset&amp;DYN_ARGS=TRUE&amp;DOC_NAME=FAT:FQL_AUDITING_CLIENT_TEMPLATE.FAT&amp;display_string=Audit&amp;VAR:KEY=WNEPKPEBAB&amp;VAR:QUERY=KENTRl9DT01fU0hTX09VVF9FUFNfRElMKFFUUl9SLDQwOTk5KUBXU0ZfQ09NX1NIU19PVVRfRVBTX0RJTChRV","FIsNDA5OTkpKQ==&amp;WINDOW=FIRST_POPUP&amp;HEIGHT=450&amp;WIDTH=450&amp;START_MAXIMIZED=FALSE&amp;VAR:CALENDAR=US&amp;VAR:SYMBOL=Company0092:INDEX=0"}</definedName>
    <definedName name="_26__FDSAUDITLINK__" hidden="1">{"fdsup://directions/FAT Viewer?action=UPDATE&amp;creator=factset&amp;DYN_ARGS=TRUE&amp;DOC_NAME=FAT:FQL_AUDITING_CLIENT_TEMPLATE.FAT&amp;display_string=Audit&amp;VAR:KEY=AZSVKVINOD&amp;VAR:QUERY=KENTRl9JTlRBTkcoUVRSX1IsMzY1NTYpQFdTRl9JTlRBTkcoUVRSLDM2NTU2KSk=&amp;WINDOW=FIRST_POPUP&amp;H","COMPANY0910=450&amp;WIDTH=450&amp;START_MAXIMIZED=FALSE&amp;VAR:CALENDAR=US&amp;VAR:SYMBOL=Company0092:INDEX=0"}</definedName>
    <definedName name="_260__FDSAUDITLINK__" hidden="1">{"fdsup://directions/FAT Viewer?action=UPDATE&amp;creator=factset&amp;DYN_ARGS=TRUE&amp;DOC_NAME=FAT:FQL_AUDITING_CLIENT_TEMPLATE.FAT&amp;display_string=Audit&amp;VAR:KEY=KDCPCRGJOX&amp;VAR:QUERY=KENTRl9JTlRBTkcoUVRSX1IsNDA5OTkpQFdTRl9JTlRBTkcoUVRSLDQwOTk5KSk=&amp;WINDOW=FIRST_POPUP&amp;H","COMPANY0910=450&amp;WIDTH=450&amp;START_MAXIMIZED=FALSE&amp;VAR:CALENDAR=US&amp;VAR:SYMBOL=Company0092:INDEX=0"}</definedName>
    <definedName name="_261__FDSAUDITLINK__" hidden="1">{"fdsup://directions/FAT Viewer?action=UPDATE&amp;creator=factset&amp;DYN_ARGS=TRUE&amp;DOC_NAME=FAT:FQL_AUDITING_CLIENT_TEMPLATE.FAT&amp;display_string=Audit&amp;VAR:KEY=AZYZAZOHSN&amp;VAR:QUERY=KENTRl9TSExEUlNfRVEoUVRSX1IsNDA5OTkpQFdTRl9TSExEUlNfRVEoUVRSLDQwOTk5KSk=&amp;WINDOW=FIRST","_POPUP&amp;HEIGHT=450&amp;WIDTH=450&amp;START_MAXIMIZED=FALSE&amp;VAR:CALENDAR=US&amp;VAR:SYMBOL=Company0092:INDEX=0"}</definedName>
    <definedName name="_262__FDSAUDITLINK__" hidden="1">{"fdsup://directions/FAT Viewer?action=UPDATE&amp;creator=factset&amp;DYN_ARGS=TRUE&amp;DOC_NAME=FAT:FQL_AUDITING_CLIENT_TEMPLATE.FAT&amp;display_string=Audit&amp;VAR:KEY=UVAFIDWRYV&amp;VAR:QUERY=KENTRl9JTlRBTkcoUVRSX1IsMzc0MzUpQFdTRl9JTlRBTkcoUVRSLDM3NDM1KSk=&amp;WINDOW=FIRST_POPUP&amp;H","COMPANY0910=450&amp;WIDTH=450&amp;START_MAXIMIZED=FALSE&amp;VAR:CALENDAR=US&amp;VAR:SYMBOL=Company0142:INDEX=0"}</definedName>
    <definedName name="_263__FDSAUDITLINK__" hidden="1">{"fdsup://directions/FAT Viewer?action=UPDATE&amp;creator=factset&amp;DYN_ARGS=TRUE&amp;DOC_NAME=FAT:FQL_AUDITING_CLIENT_TEMPLATE.FAT&amp;display_string=Audit&amp;VAR:KEY=MJAJGDCFAV&amp;VAR:QUERY=KENTRl9TSExEUlNfRVEoUVRSX1IsMzc0MzUpQFdTRl9TSExEUlNfRVEoUVRSLDM3NDM1KSk=&amp;WINDOW=FIRST","_POPUP&amp;HEIGHT=450&amp;WIDTH=450&amp;START_MAXIMIZED=FALSE&amp;VAR:CALENDAR=US&amp;VAR:SYMBOL=Company0142:INDEX=0"}</definedName>
    <definedName name="_264__FDSAUDITLINK__" hidden="1">{"fdsup://directions/FAT Viewer?action=UPDATE&amp;creator=factset&amp;DYN_ARGS=TRUE&amp;DOC_NAME=FAT:FQL_AUDITING_CLIENT_TEMPLATE.FAT&amp;display_string=Audit&amp;VAR:KEY=GDEHYLSTET&amp;VAR:QUERY=KENTRl9DT01fU0hTX09VVF9FUFNfRElMKFFUUl9SLDM3NDA3KUBXU0ZfQ09NX1NIU19PVVRfRVBTX0RJTChRV","FIsMzc0MDcpKQ==&amp;WINDOW=FIRST_POPUP&amp;HEIGHT=450&amp;WIDTH=450&amp;START_MAXIMIZED=FALSE&amp;VAR:CALENDAR=US&amp;VAR:SYMBOL=Company0142:INDEX=0"}</definedName>
    <definedName name="_265__FDSAUDITLINK__" hidden="1">{"fdsup://directions/FAT Viewer?action=UPDATE&amp;creator=factset&amp;DYN_ARGS=TRUE&amp;DOC_NAME=FAT:FQL_AUDITING_CLIENT_TEMPLATE.FAT&amp;display_string=Audit&amp;VAR:KEY=MBMBGDUVIT&amp;VAR:QUERY=KENTRl9TSExEUlNfRVEoUVRSX1IsNDEwOTApQFdTRl9TSExEUlNfRVEoUVRSLDQxMDkwKSk=&amp;WINDOW=FIRST","_POPUP&amp;HEIGHT=450&amp;WIDTH=450&amp;START_MAXIMIZED=FALSE&amp;VAR:CALENDAR=US&amp;VAR:SYMBOL=Company0092:INDEX=0"}</definedName>
    <definedName name="_266__FDSAUDITLINK__" hidden="1">{"fdsup://directions/FAT Viewer?action=UPDATE&amp;creator=factset&amp;DYN_ARGS=TRUE&amp;DOC_NAME=FAT:FQL_AUDITING_CLIENT_TEMPLATE.FAT&amp;display_string=Audit&amp;VAR:KEY=GHMLMVQLGL&amp;VAR:QUERY=KENTRl9JTlRBTkcoUVRSX1IsNDEwOTApQFdTRl9JTlRBTkcoUVRSLDQxMDkwKSk=&amp;WINDOW=FIRST_POPUP&amp;H","COMPANY0910=450&amp;WIDTH=450&amp;START_MAXIMIZED=FALSE&amp;VAR:CALENDAR=US&amp;VAR:SYMBOL=Company0092:INDEX=0"}</definedName>
    <definedName name="_267__FDSAUDITLINK__" hidden="1">{"fdsup://directions/FAT Viewer?action=UPDATE&amp;creator=factset&amp;DYN_ARGS=TRUE&amp;DOC_NAME=FAT:FQL_AUDITING_CLIENT_TEMPLATE.FAT&amp;display_string=Audit&amp;VAR:KEY=KVGVQJQJSV&amp;VAR:QUERY=KENTRl9DT01fU0hTX09VVF9FUFNfRElMKFFUUl9SLDQxMDkwKUBXU0ZfQ09NX1NIU19PVVRfRVBTX0RJTChRV","FIsNDEwOTApKQ==&amp;WINDOW=FIRST_POPUP&amp;HEIGHT=450&amp;WIDTH=450&amp;START_MAXIMIZED=FALSE&amp;VAR:CALENDAR=US&amp;VAR:SYMBOL=Company0092:INDEX=0"}</definedName>
    <definedName name="_268__FDSAUDITLINK__" hidden="1">{"fdsup://directions/FAT Viewer?action=UPDATE&amp;creator=factset&amp;DYN_ARGS=TRUE&amp;DOC_NAME=FAT:FQL_AUDITING_CLIENT_TEMPLATE.FAT&amp;display_string=Audit&amp;VAR:KEY=ENADMRKBAP&amp;VAR:QUERY=KENTRl9JTlRBTkcoUVRSX1IsMzczNzYpQFdTRl9JTlRBTkcoUVRSLDM3Mzc2KSk=&amp;WINDOW=FIRST_POPUP&amp;H","COMPANY0910=450&amp;WIDTH=450&amp;START_MAXIMIZED=FALSE&amp;VAR:CALENDAR=US&amp;VAR:SYMBOL=Company0142:INDEX=0"}</definedName>
    <definedName name="_269__FDSAUDITLINK__" hidden="1">{"fdsup://directions/FAT Viewer?action=UPDATE&amp;creator=factset&amp;DYN_ARGS=TRUE&amp;DOC_NAME=FAT:FQL_AUDITING_CLIENT_TEMPLATE.FAT&amp;display_string=Audit&amp;VAR:KEY=AJAJEJSVUD&amp;VAR:QUERY=KENTRl9TSExEUlNfRVEoUVRSX1IsMzczNzYpQFdTRl9TSExEUlNfRVEoUVRSLDM3Mzc2KSk=&amp;WINDOW=FIRST","_POPUP&amp;HEIGHT=450&amp;WIDTH=450&amp;START_MAXIMIZED=FALSE&amp;VAR:CALENDAR=US&amp;VAR:SYMBOL=Company0142:INDEX=0"}</definedName>
    <definedName name="_27__FDSAUDITLINK__" hidden="1">{"fdsup://directions/FAT Viewer?action=UPDATE&amp;creator=factset&amp;DYN_ARGS=TRUE&amp;DOC_NAME=FAT:FQL_AUDITING_CLIENT_TEMPLATE.FAT&amp;display_string=Audit&amp;VAR:KEY=CZWFQBERIZ&amp;VAR:QUERY=KENTRl9JTlRBTkcoUVRSX1IsMzY1MjUpQFdTRl9JTlRBTkcoUVRSLDM2NTI1KSk=&amp;WINDOW=FIRST_POPUP&amp;H","COMPANY0910=450&amp;WIDTH=450&amp;START_MAXIMIZED=FALSE&amp;VAR:CALENDAR=US&amp;VAR:SYMBOL=Company0092:INDEX=0"}</definedName>
    <definedName name="_270__FDSAUDITLINK__" hidden="1">{"fdsup://directions/FAT Viewer?action=UPDATE&amp;creator=factset&amp;DYN_ARGS=TRUE&amp;DOC_NAME=FAT:FQL_AUDITING_CLIENT_TEMPLATE.FAT&amp;display_string=Audit&amp;VAR:KEY=IHORKVUXCT&amp;VAR:QUERY=KENTRl9DT01fU0hTX09VVF9FUFNfRElMKFFUUl9SLDM3MzQzKUBXU0ZfQ09NX1NIU19PVVRfRVBTX0RJTChRV","FIsMzczNDMpKQ==&amp;WINDOW=FIRST_POPUP&amp;HEIGHT=450&amp;WIDTH=450&amp;START_MAXIMIZED=FALSE&amp;VAR:CALENDAR=US&amp;VAR:SYMBOL=Company0142:INDEX=0"}</definedName>
    <definedName name="_271__FDSAUDITLINK__" hidden="1">{"fdsup://directions/FAT Viewer?action=UPDATE&amp;creator=factset&amp;DYN_ARGS=TRUE&amp;DOC_NAME=FAT:FQL_AUDITING_CLIENT_TEMPLATE.FAT&amp;display_string=Audit&amp;VAR:KEY=MLMJMHMVED&amp;VAR:QUERY=KENTRl9JTlRBTkcoUVRSX1IsMzczNDMpQFdTRl9JTlRBTkcoUVRSLDM3MzQzKSk=&amp;WINDOW=FIRST_POPUP&amp;H","COMPANY0910=450&amp;WIDTH=450&amp;START_MAXIMIZED=FALSE&amp;VAR:CALENDAR=US&amp;VAR:SYMBOL=Company0142:INDEX=0"}</definedName>
    <definedName name="_272__FDSAUDITLINK__" hidden="1">{"fdsup://directions/FAT Viewer?action=UPDATE&amp;creator=factset&amp;DYN_ARGS=TRUE&amp;DOC_NAME=FAT:FQL_AUDITING_CLIENT_TEMPLATE.FAT&amp;display_string=Audit&amp;VAR:KEY=INILYXGTWR&amp;VAR:QUERY=KENTRl9TSExEUlNfRVEoUVRSX1IsMzczNDMpQFdTRl9TSExEUlNfRVEoUVRSLDM3MzQzKSk=&amp;WINDOW=FIRST","_POPUP&amp;HEIGHT=450&amp;WIDTH=450&amp;START_MAXIMIZED=FALSE&amp;VAR:CALENDAR=US&amp;VAR:SYMBOL=Company0142:INDEX=0"}</definedName>
    <definedName name="_273__FDSAUDITLINK__" hidden="1">{"fdsup://directions/FAT Viewer?action=UPDATE&amp;creator=factset&amp;DYN_ARGS=TRUE&amp;DOC_NAME=FAT:FQL_AUDITING_CLIENT_TEMPLATE.FAT&amp;display_string=Audit&amp;VAR:KEY=OXAJADGZIL&amp;VAR:QUERY=KENTRl9DT01fU0hTX09VVF9FUFNfRElMKFFUUl9SLDM3MzE1KUBXU0ZfQ09NX1NIU19PVVRfRVBTX0RJTChRV","FIsMzczMTUpKQ==&amp;WINDOW=FIRST_POPUP&amp;HEIGHT=450&amp;WIDTH=450&amp;START_MAXIMIZED=FALSE&amp;VAR:CALENDAR=US&amp;VAR:SYMBOL=Company0142:INDEX=0"}</definedName>
    <definedName name="_274__FDSAUDITLINK__" hidden="1">{"fdsup://directions/FAT Viewer?action=UPDATE&amp;creator=factset&amp;DYN_ARGS=TRUE&amp;DOC_NAME=FAT:FQL_AUDITING_CLIENT_TEMPLATE.FAT&amp;display_string=Audit&amp;VAR:KEY=SPUTGLKPIB&amp;VAR:QUERY=KENTRl9JTlRBTkcoUVRSX1IsMzczMTUpQFdTRl9JTlRBTkcoUVRSLDM3MzE1KSk=&amp;WINDOW=FIRST_POPUP&amp;H","COMPANY0910=450&amp;WIDTH=450&amp;START_MAXIMIZED=FALSE&amp;VAR:CALENDAR=US&amp;VAR:SYMBOL=Company0142:INDEX=0"}</definedName>
    <definedName name="_275__FDSAUDITLINK__" hidden="1">{"fdsup://directions/FAT Viewer?action=UPDATE&amp;creator=factset&amp;DYN_ARGS=TRUE&amp;DOC_NAME=FAT:FQL_AUDITING_CLIENT_TEMPLATE.FAT&amp;display_string=Audit&amp;VAR:KEY=WPWHIVULOP&amp;VAR:QUERY=KENTRl9TSExEUlNfRVEoUVRSX1IsMzczMTUpQFdTRl9TSExEUlNfRVEoUVRSLDM3MzE1KSk=&amp;WINDOW=FIRST","_POPUP&amp;HEIGHT=450&amp;WIDTH=450&amp;START_MAXIMIZED=FALSE&amp;VAR:CALENDAR=US&amp;VAR:SYMBOL=Company0142:INDEX=0"}</definedName>
    <definedName name="_276__FDSAUDITLINK__" hidden="1">{"fdsup://directions/FAT Viewer?action=UPDATE&amp;creator=factset&amp;DYN_ARGS=TRUE&amp;DOC_NAME=FAT:FQL_AUDITING_CLIENT_TEMPLATE.FAT&amp;display_string=Audit&amp;VAR:KEY=KJYHEBOTUL&amp;VAR:QUERY=KENTRl9DT01fU0hTX09VVF9FUFNfRElMKFFUUl9SLDM3Mjg3KUBXU0ZfQ09NX1NIU19PVVRfRVBTX0RJTChRV","FIsMzcyODcpKQ==&amp;WINDOW=FIRST_POPUP&amp;HEIGHT=450&amp;WIDTH=450&amp;START_MAXIMIZED=FALSE&amp;VAR:CALENDAR=US&amp;VAR:SYMBOL=Company0142:INDEX=0"}</definedName>
    <definedName name="_277__FDSAUDITLINK__" hidden="1">{"fdsup://directions/FAT Viewer?action=UPDATE&amp;creator=factset&amp;DYN_ARGS=TRUE&amp;DOC_NAME=FAT:FQL_AUDITING_CLIENT_TEMPLATE.FAT&amp;display_string=Audit&amp;VAR:KEY=GTYNGXCREV&amp;VAR:QUERY=KENTRl9JTlRBTkcoUVRSX1IsMzcyODcpQFdTRl9JTlRBTkcoUVRSLDM3Mjg3KSk=&amp;WINDOW=FIRST_POPUP&amp;H","COMPANY0910=450&amp;WIDTH=450&amp;START_MAXIMIZED=FALSE&amp;VAR:CALENDAR=US&amp;VAR:SYMBOL=Company0142:INDEX=0"}</definedName>
    <definedName name="_278__FDSAUDITLINK__" hidden="1">{"fdsup://directions/FAT Viewer?action=UPDATE&amp;creator=factset&amp;DYN_ARGS=TRUE&amp;DOC_NAME=FAT:FQL_AUDITING_CLIENT_TEMPLATE.FAT&amp;display_string=Audit&amp;VAR:KEY=ULODEBOZIX&amp;VAR:QUERY=KENTRl9TSExEUlNfRVEoUVRSX1IsMzcyODcpQFdTRl9TSExEUlNfRVEoUVRSLDM3Mjg3KSk=&amp;WINDOW=FIRST","_POPUP&amp;HEIGHT=450&amp;WIDTH=450&amp;START_MAXIMIZED=FALSE&amp;VAR:CALENDAR=US&amp;VAR:SYMBOL=Company0142:INDEX=0"}</definedName>
    <definedName name="_279__FDSAUDITLINK__" hidden="1">{"fdsup://directions/FAT Viewer?action=UPDATE&amp;creator=factset&amp;DYN_ARGS=TRUE&amp;DOC_NAME=FAT:FQL_AUDITING_CLIENT_TEMPLATE.FAT&amp;display_string=Audit&amp;VAR:KEY=MJETYXEDAT&amp;VAR:QUERY=KENTRl9DT01fU0hTX09VVF9FUFNfRElMKFFUUl9SLDM3MjU2KUBXU0ZfQ09NX1NIU19PVVRfRVBTX0RJTChRV","FIsMzcyNTYpKQ==&amp;WINDOW=FIRST_POPUP&amp;HEIGHT=450&amp;WIDTH=450&amp;START_MAXIMIZED=FALSE&amp;VAR:CALENDAR=US&amp;VAR:SYMBOL=Company0142:INDEX=0"}</definedName>
    <definedName name="_28__FDSAUDITLINK__" hidden="1">{"fdsup://directions/FAT Viewer?action=UPDATE&amp;creator=factset&amp;DYN_ARGS=TRUE&amp;DOC_NAME=FAT:FQL_AUDITING_CLIENT_TEMPLATE.FAT&amp;display_string=Audit&amp;VAR:KEY=OFIZMPANOL&amp;VAR:QUERY=KENTRl9JTlRBTkcoUVRSX1IsMzY0OTQpQFdTRl9JTlRBTkcoUVRSLDM2NDk0KSk=&amp;WINDOW=FIRST_POPUP&amp;H","COMPANY0910=450&amp;WIDTH=450&amp;START_MAXIMIZED=FALSE&amp;VAR:CALENDAR=US&amp;VAR:SYMBOL=Company0092:INDEX=0"}</definedName>
    <definedName name="_280__FDSAUDITLINK__" hidden="1">{"fdsup://directions/FAT Viewer?action=UPDATE&amp;creator=factset&amp;DYN_ARGS=TRUE&amp;DOC_NAME=FAT:FQL_AUDITING_CLIENT_TEMPLATE.FAT&amp;display_string=Audit&amp;VAR:KEY=GLIFKDAFQZ&amp;VAR:QUERY=KENTRl9JTlRBTkcoUVRSX1IsMzcyNTYpQFdTRl9JTlRBTkcoUVRSLDM3MjU2KSk=&amp;WINDOW=FIRST_POPUP&amp;H","COMPANY0910=450&amp;WIDTH=450&amp;START_MAXIMIZED=FALSE&amp;VAR:CALENDAR=US&amp;VAR:SYMBOL=Company0142:INDEX=0"}</definedName>
    <definedName name="_281__FDSAUDITLINK__" hidden="1">{"fdsup://directions/FAT Viewer?action=UPDATE&amp;creator=factset&amp;DYN_ARGS=TRUE&amp;DOC_NAME=FAT:FQL_AUDITING_CLIENT_TEMPLATE.FAT&amp;display_string=Audit&amp;VAR:KEY=EZOBMNEJMN&amp;VAR:QUERY=KENTRl9TSExEUlNfRVEoUVRSX1IsMzcyNTYpQFdTRl9TSExEUlNfRVEoUVRSLDM3MjU2KSk=&amp;WINDOW=FIRST","_POPUP&amp;HEIGHT=450&amp;WIDTH=450&amp;START_MAXIMIZED=FALSE&amp;VAR:CALENDAR=US&amp;VAR:SYMBOL=Company0142:INDEX=0"}</definedName>
    <definedName name="_282__FDSAUDITLINK__" hidden="1">{"fdsup://directions/FAT Viewer?action=UPDATE&amp;creator=factset&amp;DYN_ARGS=TRUE&amp;DOC_NAME=FAT:FQL_AUDITING_CLIENT_TEMPLATE.FAT&amp;display_string=Audit&amp;VAR:KEY=QXKTSLOBCL&amp;VAR:QUERY=KENTRl9DT01fU0hTX09VVF9FUFNfRElMKFFUUl9SLDM3MjI1KUBXU0ZfQ09NX1NIU19PVVRfRVBTX0RJTChRV","FIsMzcyMjUpKQ==&amp;WINDOW=FIRST_POPUP&amp;HEIGHT=450&amp;WIDTH=450&amp;START_MAXIMIZED=FALSE&amp;VAR:CALENDAR=US&amp;VAR:SYMBOL=Company0142:INDEX=0"}</definedName>
    <definedName name="_283__FDSAUDITLINK__" hidden="1">{"fdsup://directions/FAT Viewer?action=UPDATE&amp;creator=factset&amp;DYN_ARGS=TRUE&amp;DOC_NAME=FAT:FQL_AUDITING_CLIENT_TEMPLATE.FAT&amp;display_string=Audit&amp;VAR:KEY=UVWJCPEZOL&amp;VAR:QUERY=KENTRl9JTlRBTkcoUVRSX1IsMzcyMjUpQFdTRl9JTlRBTkcoUVRSLDM3MjI1KSk=&amp;WINDOW=FIRST_POPUP&amp;H","COMPANY0910=450&amp;WIDTH=450&amp;START_MAXIMIZED=FALSE&amp;VAR:CALENDAR=US&amp;VAR:SYMBOL=Company0142:INDEX=0"}</definedName>
    <definedName name="_284__FDSAUDITLINK__" hidden="1">{"fdsup://directions/FAT Viewer?action=UPDATE&amp;creator=factset&amp;DYN_ARGS=TRUE&amp;DOC_NAME=FAT:FQL_AUDITING_CLIENT_TEMPLATE.FAT&amp;display_string=Audit&amp;VAR:KEY=YZCLGVATCB&amp;VAR:QUERY=KENTRl9TSExEUlNfRVEoUVRSX1IsMzcyMjUpQFdTRl9TSExEUlNfRVEoUVRSLDM3MjI1KSk=&amp;WINDOW=FIRST","_POPUP&amp;HEIGHT=450&amp;WIDTH=450&amp;START_MAXIMIZED=FALSE&amp;VAR:CALENDAR=US&amp;VAR:SYMBOL=Company0142:INDEX=0"}</definedName>
    <definedName name="_285__FDSAUDITLINK__" hidden="1">{"fdsup://directions/FAT Viewer?action=UPDATE&amp;creator=factset&amp;DYN_ARGS=TRUE&amp;DOC_NAME=FAT:FQL_AUDITING_CLIENT_TEMPLATE.FAT&amp;display_string=Audit&amp;VAR:KEY=EHEXUNKXMP&amp;VAR:QUERY=KENTRl9DT01fU0hTX09VVF9FUFNfRElMKFFUUl9SLDM3MTk1KUBXU0ZfQ09NX1NIU19PVVRfRVBTX0RJTChRV","FIsMzcxOTUpKQ==&amp;WINDOW=FIRST_POPUP&amp;HEIGHT=450&amp;WIDTH=450&amp;START_MAXIMIZED=FALSE&amp;VAR:CALENDAR=US&amp;VAR:SYMBOL=Company0142:INDEX=0"}</definedName>
    <definedName name="_286__FDSAUDITLINK__" hidden="1">{"fdsup://directions/FAT Viewer?action=UPDATE&amp;creator=factset&amp;DYN_ARGS=TRUE&amp;DOC_NAME=FAT:FQL_AUDITING_CLIENT_TEMPLATE.FAT&amp;display_string=Audit&amp;VAR:KEY=IXWFSXQJIL&amp;VAR:QUERY=KENTRl9JTlRBTkcoUVRSX1IsMzcxOTUpQFdTRl9JTlRBTkcoUVRSLDM3MTk1KSk=&amp;WINDOW=FIRST_POPUP&amp;H","COMPANY0910=450&amp;WIDTH=450&amp;START_MAXIMIZED=FALSE&amp;VAR:CALENDAR=US&amp;VAR:SYMBOL=Company0142:INDEX=0"}</definedName>
    <definedName name="_287__FDSAUDITLINK__" hidden="1">{"fdsup://directions/FAT Viewer?action=UPDATE&amp;creator=factset&amp;DYN_ARGS=TRUE&amp;DOC_NAME=FAT:FQL_AUDITING_CLIENT_TEMPLATE.FAT&amp;display_string=Audit&amp;VAR:KEY=QBATWZSDAF&amp;VAR:QUERY=KENTRl9TSExEUlNfRVEoUVRSX1IsMzcxOTUpQFdTRl9TSExEUlNfRVEoUVRSLDM3MTk1KSk=&amp;WINDOW=FIRST","_POPUP&amp;HEIGHT=450&amp;WIDTH=450&amp;START_MAXIMIZED=FALSE&amp;VAR:CALENDAR=US&amp;VAR:SYMBOL=Company0142:INDEX=0"}</definedName>
    <definedName name="_288__FDSAUDITLINK__" hidden="1">{"fdsup://directions/FAT Viewer?action=UPDATE&amp;creator=factset&amp;DYN_ARGS=TRUE&amp;DOC_NAME=FAT:FQL_AUDITING_CLIENT_TEMPLATE.FAT&amp;display_string=Audit&amp;VAR:KEY=ENMVCLCJKJ&amp;VAR:QUERY=KENTRl9DT01fU0hTX09VVF9FUFNfRElMKFFUUl9SLDM3MTYyKUBXU0ZfQ09NX1NIU19PVVRfRVBTX0RJTChRV","FIsMzcxNjIpKQ==&amp;WINDOW=FIRST_POPUP&amp;HEIGHT=450&amp;WIDTH=450&amp;START_MAXIMIZED=FALSE&amp;VAR:CALENDAR=US&amp;VAR:SYMBOL=Company0142:INDEX=0"}</definedName>
    <definedName name="_289__FDSAUDITLINK__" hidden="1">{"fdsup://directions/FAT Viewer?action=UPDATE&amp;creator=factset&amp;DYN_ARGS=TRUE&amp;DOC_NAME=FAT:FQL_AUDITING_CLIENT_TEMPLATE.FAT&amp;display_string=Audit&amp;VAR:KEY=KLCDCTENSD&amp;VAR:QUERY=KENTRl9JTlRBTkcoUVRSX1IsMzcxNjIpQFdTRl9JTlRBTkcoUVRSLDM3MTYyKSk=&amp;WINDOW=FIRST_POPUP&amp;H","COMPANY0910=450&amp;WIDTH=450&amp;START_MAXIMIZED=FALSE&amp;VAR:CALENDAR=US&amp;VAR:SYMBOL=Company0142:INDEX=0"}</definedName>
    <definedName name="_29__FDSAUDITLINK__" hidden="1">{"fdsup://directions/FAT Viewer?action=UPDATE&amp;creator=factset&amp;DYN_ARGS=TRUE&amp;DOC_NAME=FAT:FQL_AUDITING_CLIENT_TEMPLATE.FAT&amp;display_string=Audit&amp;VAR:KEY=QDYPCNUPAH&amp;VAR:QUERY=KENTRl9JTlRBTkcoUVRSX1IsMzY0NjIpQFdTRl9JTlRBTkcoUVRSLDM2NDYyKSk=&amp;WINDOW=FIRST_POPUP&amp;H","COMPANY0910=450&amp;WIDTH=450&amp;START_MAXIMIZED=FALSE&amp;VAR:CALENDAR=US&amp;VAR:SYMBOL=Company0092:INDEX=0"}</definedName>
    <definedName name="_290__FDSAUDITLINK__" hidden="1">{"fdsup://directions/FAT Viewer?action=UPDATE&amp;creator=factset&amp;DYN_ARGS=TRUE&amp;DOC_NAME=FAT:FQL_AUDITING_CLIENT_TEMPLATE.FAT&amp;display_string=Audit&amp;VAR:KEY=SBOHUDSDOF&amp;VAR:QUERY=KENTRl9TSExEUlNfRVEoUVRSX1IsMzcxNjIpQFdTRl9TSExEUlNfRVEoUVRSLDM3MTYyKSk=&amp;WINDOW=FIRST","_POPUP&amp;HEIGHT=450&amp;WIDTH=450&amp;START_MAXIMIZED=FALSE&amp;VAR:CALENDAR=US&amp;VAR:SYMBOL=Company0142:INDEX=0"}</definedName>
    <definedName name="_291__FDSAUDITLINK__" hidden="1">{"fdsup://directions/FAT Viewer?action=UPDATE&amp;creator=factset&amp;DYN_ARGS=TRUE&amp;DOC_NAME=FAT:FQL_AUDITING_CLIENT_TEMPLATE.FAT&amp;display_string=Audit&amp;VAR:KEY=CVAPOVAPIJ&amp;VAR:QUERY=KENTRl9DT01fU0hTX09VVF9FUFNfRElMKFFUUl9SLDM3MTM0KUBXU0ZfQ09NX1NIU19PVVRfRVBTX0RJTChRV","FIsMzcxMzQpKQ==&amp;WINDOW=FIRST_POPUP&amp;HEIGHT=450&amp;WIDTH=450&amp;START_MAXIMIZED=FALSE&amp;VAR:CALENDAR=US&amp;VAR:SYMBOL=Company0142:INDEX=0"}</definedName>
    <definedName name="_292__FDSAUDITLINK__" hidden="1">{"fdsup://directions/FAT Viewer?action=UPDATE&amp;creator=factset&amp;DYN_ARGS=TRUE&amp;DOC_NAME=FAT:FQL_AUDITING_CLIENT_TEMPLATE.FAT&amp;display_string=Audit&amp;VAR:KEY=ONWTSFKDUB&amp;VAR:QUERY=KENTRl9JTlRBTkcoUVRSX1IsMzcxMzQpQFdTRl9JTlRBTkcoUVRSLDM3MTM0KSk=&amp;WINDOW=FIRST_POPUP&amp;H","COMPANY0910=450&amp;WIDTH=450&amp;START_MAXIMIZED=FALSE&amp;VAR:CALENDAR=US&amp;VAR:SYMBOL=Company0142:INDEX=0"}</definedName>
    <definedName name="_293__FDSAUDITLINK__" hidden="1">{"fdsup://directions/FAT Viewer?action=UPDATE&amp;creator=factset&amp;DYN_ARGS=TRUE&amp;DOC_NAME=FAT:FQL_AUDITING_CLIENT_TEMPLATE.FAT&amp;display_string=Audit&amp;VAR:KEY=GRYBUBOJIX&amp;VAR:QUERY=KENTRl9TSExEUlNfRVEoUVRSX1IsMzcxMzQpQFdTRl9TSExEUlNfRVEoUVRSLDM3MTM0KSk=&amp;WINDOW=FIRST","_POPUP&amp;HEIGHT=450&amp;WIDTH=450&amp;START_MAXIMIZED=FALSE&amp;VAR:CALENDAR=US&amp;VAR:SYMBOL=Company0142:INDEX=0"}</definedName>
    <definedName name="_294__FDSAUDITLINK__" hidden="1">{"fdsup://directions/FAT Viewer?action=UPDATE&amp;creator=factset&amp;DYN_ARGS=TRUE&amp;DOC_NAME=FAT:FQL_AUDITING_CLIENT_TEMPLATE.FAT&amp;display_string=Audit&amp;VAR:KEY=QFQXQBEZOZ&amp;VAR:QUERY=KENTRl9DT01fU0hTX09VVF9FUFNfRElMKFFUUl9SLDM3MTAzKUBXU0ZfQ09NX1NIU19PVVRfRVBTX0RJTChRV","FIsMzcxMDMpKQ==&amp;WINDOW=FIRST_POPUP&amp;HEIGHT=450&amp;WIDTH=450&amp;START_MAXIMIZED=FALSE&amp;VAR:CALENDAR=US&amp;VAR:SYMBOL=Company0142:INDEX=0"}</definedName>
    <definedName name="_295__FDSAUDITLINK__" hidden="1">{"fdsup://directions/FAT Viewer?action=UPDATE&amp;creator=factset&amp;DYN_ARGS=TRUE&amp;DOC_NAME=FAT:FQL_AUDITING_CLIENT_TEMPLATE.FAT&amp;display_string=Audit&amp;VAR:KEY=IHQFITOPSZ&amp;VAR:QUERY=KENTRl9JTlRBTkcoUVRSX1IsMzcxMDMpQFdTRl9JTlRBTkcoUVRSLDM3MTAzKSk=&amp;WINDOW=FIRST_POPUP&amp;H","COMPANY0910=450&amp;WIDTH=450&amp;START_MAXIMIZED=FALSE&amp;VAR:CALENDAR=US&amp;VAR:SYMBOL=Company0142:INDEX=0"}</definedName>
    <definedName name="_296__FDSAUDITLINK__" hidden="1">{"fdsup://directions/FAT Viewer?action=UPDATE&amp;creator=factset&amp;DYN_ARGS=TRUE&amp;DOC_NAME=FAT:FQL_AUDITING_CLIENT_TEMPLATE.FAT&amp;display_string=Audit&amp;VAR:KEY=IJKZEDGLIJ&amp;VAR:QUERY=KENTRl9TSExEUlNfRVEoUVRSX1IsMzcxMDMpQFdTRl9TSExEUlNfRVEoUVRSLDM3MTAzKSk=&amp;WINDOW=FIRST","_POPUP&amp;HEIGHT=450&amp;WIDTH=450&amp;START_MAXIMIZED=FALSE&amp;VAR:CALENDAR=US&amp;VAR:SYMBOL=Company0142:INDEX=0"}</definedName>
    <definedName name="_297__FDSAUDITLINK__" hidden="1">{"fdsup://directions/FAT Viewer?action=UPDATE&amp;creator=factset&amp;DYN_ARGS=TRUE&amp;DOC_NAME=FAT:FQL_AUDITING_CLIENT_TEMPLATE.FAT&amp;display_string=Audit&amp;VAR:KEY=WXABCNQPGZ&amp;VAR:QUERY=KENTRl9DT01fU0hTX09VVF9FUFNfRElMKFFUUl9SLDM3MDcxKUBXU0ZfQ09NX1NIU19PVVRfRVBTX0RJTChRV","FIsMzcwNzEpKQ==&amp;WINDOW=FIRST_POPUP&amp;HEIGHT=450&amp;WIDTH=450&amp;START_MAXIMIZED=FALSE&amp;VAR:CALENDAR=US&amp;VAR:SYMBOL=Company0142:INDEX=0"}</definedName>
    <definedName name="_298__FDSAUDITLINK__" hidden="1">{"fdsup://directions/FAT Viewer?action=UPDATE&amp;creator=factset&amp;DYN_ARGS=TRUE&amp;DOC_NAME=FAT:FQL_AUDITING_CLIENT_TEMPLATE.FAT&amp;display_string=Audit&amp;VAR:KEY=AZMXKHARML&amp;VAR:QUERY=KENTRl9JTlRBTkcoUVRSX1IsMzcwNzEpQFdTRl9JTlRBTkcoUVRSLDM3MDcxKSk=&amp;WINDOW=FIRST_POPUP&amp;H","COMPANY0910=450&amp;WIDTH=450&amp;START_MAXIMIZED=FALSE&amp;VAR:CALENDAR=US&amp;VAR:SYMBOL=Company0142:INDEX=0"}</definedName>
    <definedName name="_299__FDSAUDITLINK__" hidden="1">{"fdsup://directions/FAT Viewer?action=UPDATE&amp;creator=factset&amp;DYN_ARGS=TRUE&amp;DOC_NAME=FAT:FQL_AUDITING_CLIENT_TEMPLATE.FAT&amp;display_string=Audit&amp;VAR:KEY=SJOLSFOZQN&amp;VAR:QUERY=KENTRl9TSExEUlNfRVEoUVRSX1IsMzcwNzEpQFdTRl9TSExEUlNfRVEoUVRSLDM3MDcxKSk=&amp;WINDOW=FIRST","_POPUP&amp;HEIGHT=450&amp;WIDTH=450&amp;START_MAXIMIZED=FALSE&amp;VAR:CALENDAR=US&amp;VAR:SYMBOL=Company0142:INDEX=0"}</definedName>
    <definedName name="_2Q94">#REF!</definedName>
    <definedName name="_2Q95">#REF!</definedName>
    <definedName name="_3__FDSAUDITLINK__" hidden="1">{"fdsup://directions/FAT Viewer?action=UPDATE&amp;creator=factset&amp;DYN_ARGS=TRUE&amp;DOC_NAME=FAT:FQL_AUDITING_CLIENT_TEMPLATE.FAT&amp;display_string=Audit&amp;VAR:KEY=OZKHOVERYN&amp;VAR:QUERY=KENTRl9JTlRBTkcoUVRSX1IsMzcyNTYpQFdTRl9JTlRBTkcoUVRSLDM3MjU2KSk=&amp;WINDOW=FIRST_POPUP&amp;H","COMPANY0910=450&amp;WIDTH=450&amp;START_MAXIMIZED=FALSE&amp;VAR:CALENDAR=US&amp;VAR:SYMBOL=Company0092:INDEX=0"}</definedName>
    <definedName name="_30__FDSAUDITLINK__" hidden="1">{"fdsup://directions/FAT Viewer?action=UPDATE&amp;creator=factset&amp;DYN_ARGS=TRUE&amp;DOC_NAME=FAT:FQL_AUDITING_CLIENT_TEMPLATE.FAT&amp;display_string=Audit&amp;VAR:KEY=IZALYPYPUX&amp;VAR:QUERY=KENTRl9JTlRBTkcoUVRSX1IsMzY0MzMpQFdTRl9JTlRBTkcoUVRSLDM2NDMzKSk=&amp;WINDOW=FIRST_POPUP&amp;H","COMPANY0910=450&amp;WIDTH=450&amp;START_MAXIMIZED=FALSE&amp;VAR:CALENDAR=US&amp;VAR:SYMBOL=Company0092:INDEX=0"}</definedName>
    <definedName name="_300__FDSAUDITLINK__" hidden="1">{"fdsup://directions/FAT Viewer?action=UPDATE&amp;creator=factset&amp;DYN_ARGS=TRUE&amp;DOC_NAME=FAT:FQL_AUDITING_CLIENT_TEMPLATE.FAT&amp;display_string=Audit&amp;VAR:KEY=EXYBOZULOL&amp;VAR:QUERY=KENTRl9DT01fU0hTX09VVF9FUFNfRElMKFFUUl9SLDM3MDQyKUBXU0ZfQ09NX1NIU19PVVRfRVBTX0RJTChRV","FIsMzcwNDIpKQ==&amp;WINDOW=FIRST_POPUP&amp;HEIGHT=450&amp;WIDTH=450&amp;START_MAXIMIZED=FALSE&amp;VAR:CALENDAR=US&amp;VAR:SYMBOL=Company0142:INDEX=0"}</definedName>
    <definedName name="_301__FDSAUDITLINK__" hidden="1">{"fdsup://directions/FAT Viewer?action=UPDATE&amp;creator=factset&amp;DYN_ARGS=TRUE&amp;DOC_NAME=FAT:FQL_AUDITING_CLIENT_TEMPLATE.FAT&amp;display_string=Audit&amp;VAR:KEY=CFMPYZQPUJ&amp;VAR:QUERY=KENTRl9JTlRBTkcoUVRSX1IsMzcwNDIpQFdTRl9JTlRBTkcoUVRSLDM3MDQyKSk=&amp;WINDOW=FIRST_POPUP&amp;H","COMPANY0910=450&amp;WIDTH=450&amp;START_MAXIMIZED=FALSE&amp;VAR:CALENDAR=US&amp;VAR:SYMBOL=Company0142:INDEX=0"}</definedName>
    <definedName name="_302__FDSAUDITLINK__" hidden="1">{"fdsup://directions/FAT Viewer?action=UPDATE&amp;creator=factset&amp;DYN_ARGS=TRUE&amp;DOC_NAME=FAT:FQL_AUDITING_CLIENT_TEMPLATE.FAT&amp;display_string=Audit&amp;VAR:KEY=QBODQZYHEJ&amp;VAR:QUERY=KENTRl9TSExEUlNfRVEoUVRSX1IsMzcwNDIpQFdTRl9TSExEUlNfRVEoUVRSLDM3MDQyKSk=&amp;WINDOW=FIRST","_POPUP&amp;HEIGHT=450&amp;WIDTH=450&amp;START_MAXIMIZED=FALSE&amp;VAR:CALENDAR=US&amp;VAR:SYMBOL=Company0142:INDEX=0"}</definedName>
    <definedName name="_303__FDSAUDITLINK__" hidden="1">{"fdsup://directions/FAT Viewer?action=UPDATE&amp;creator=factset&amp;DYN_ARGS=TRUE&amp;DOC_NAME=FAT:FQL_AUDITING_CLIENT_TEMPLATE.FAT&amp;display_string=Audit&amp;VAR:KEY=CZEBGRMLSV&amp;VAR:QUERY=KENTRl9DT01fU0hTX09VVF9FUFNfRElMKFFUUl9SLDM3MDExKUBXU0ZfQ09NX1NIU19PVVRfRVBTX0RJTChRV","FIsMzcwMTEpKQ==&amp;WINDOW=FIRST_POPUP&amp;HEIGHT=450&amp;WIDTH=450&amp;START_MAXIMIZED=FALSE&amp;VAR:CALENDAR=US&amp;VAR:SYMBOL=Company0142:INDEX=0"}</definedName>
    <definedName name="_304__FDSAUDITLINK__" hidden="1">{"fdsup://directions/FAT Viewer?action=UPDATE&amp;creator=factset&amp;DYN_ARGS=TRUE&amp;DOC_NAME=FAT:FQL_AUDITING_CLIENT_TEMPLATE.FAT&amp;display_string=Audit&amp;VAR:KEY=QZWBGXGFWL&amp;VAR:QUERY=KENTRl9JTlRBTkcoUVRSX1IsMzcwMTEpQFdTRl9JTlRBTkcoUVRSLDM3MDExKSk=&amp;WINDOW=FIRST_POPUP&amp;H","COMPANY0910=450&amp;WIDTH=450&amp;START_MAXIMIZED=FALSE&amp;VAR:CALENDAR=US&amp;VAR:SYMBOL=Company0142:INDEX=0"}</definedName>
    <definedName name="_305__FDSAUDITLINK__" hidden="1">{"fdsup://directions/FAT Viewer?action=UPDATE&amp;creator=factset&amp;DYN_ARGS=TRUE&amp;DOC_NAME=FAT:FQL_AUDITING_CLIENT_TEMPLATE.FAT&amp;display_string=Audit&amp;VAR:KEY=KDEXEBOJUD&amp;VAR:QUERY=KENTRl9TSExEUlNfRVEoUVRSX1IsMzcwMTEpQFdTRl9TSExEUlNfRVEoUVRSLDM3MDExKSk=&amp;WINDOW=FIRST","_POPUP&amp;HEIGHT=450&amp;WIDTH=450&amp;START_MAXIMIZED=FALSE&amp;VAR:CALENDAR=US&amp;VAR:SYMBOL=Company0142:INDEX=0"}</definedName>
    <definedName name="_306__FDSAUDITLINK__" hidden="1">{"fdsup://directions/FAT Viewer?action=UPDATE&amp;creator=factset&amp;DYN_ARGS=TRUE&amp;DOC_NAME=FAT:FQL_AUDITING_CLIENT_TEMPLATE.FAT&amp;display_string=Audit&amp;VAR:KEY=INGZKXYBGR&amp;VAR:QUERY=KENTRl9DT01fU0hTX09VVF9FUFNfRElMKFFUUl9SLDM2OTgwKUBXU0ZfQ09NX1NIU19PVVRfRVBTX0RJTChRV","FIsMzY5ODApKQ==&amp;WINDOW=FIRST_POPUP&amp;HEIGHT=450&amp;WIDTH=450&amp;START_MAXIMIZED=FALSE&amp;VAR:CALENDAR=US&amp;VAR:SYMBOL=Company0142:INDEX=0"}</definedName>
    <definedName name="_307__FDSAUDITLINK__" hidden="1">{"fdsup://directions/FAT Viewer?action=UPDATE&amp;creator=factset&amp;DYN_ARGS=TRUE&amp;DOC_NAME=FAT:FQL_AUDITING_CLIENT_TEMPLATE.FAT&amp;display_string=Audit&amp;VAR:KEY=ILUHMTOTKJ&amp;VAR:QUERY=KENTRl9JTlRBTkcoUVRSX1IsMzY5ODApQFdTRl9JTlRBTkcoUVRSLDM2OTgwKSk=&amp;WINDOW=FIRST_POPUP&amp;H","COMPANY0910=450&amp;WIDTH=450&amp;START_MAXIMIZED=FALSE&amp;VAR:CALENDAR=US&amp;VAR:SYMBOL=Company0142:INDEX=0"}</definedName>
    <definedName name="_308__FDSAUDITLINK__" hidden="1">{"fdsup://directions/FAT Viewer?action=UPDATE&amp;creator=factset&amp;DYN_ARGS=TRUE&amp;DOC_NAME=FAT:FQL_AUDITING_CLIENT_TEMPLATE.FAT&amp;display_string=Audit&amp;VAR:KEY=YZAXQFKXWZ&amp;VAR:QUERY=KENTRl9TSExEUlNfRVEoUVRSX1IsMzY5ODApQFdTRl9TSExEUlNfRVEoUVRSLDM2OTgwKSk=&amp;WINDOW=FIRST","_POPUP&amp;HEIGHT=450&amp;WIDTH=450&amp;START_MAXIMIZED=FALSE&amp;VAR:CALENDAR=US&amp;VAR:SYMBOL=Company0142:INDEX=0"}</definedName>
    <definedName name="_309__FDSAUDITLINK__" hidden="1">{"fdsup://directions/FAT Viewer?action=UPDATE&amp;creator=factset&amp;DYN_ARGS=TRUE&amp;DOC_NAME=FAT:FQL_AUDITING_CLIENT_TEMPLATE.FAT&amp;display_string=Audit&amp;VAR:KEY=UJYLOROZAZ&amp;VAR:QUERY=KENTRl9DT01fU0hTX09VVF9FUFNfRElMKFFUUl9SLDM2OTUwKUBXU0ZfQ09NX1NIU19PVVRfRVBTX0RJTChRV","FIsMzY5NTApKQ==&amp;WINDOW=FIRST_POPUP&amp;HEIGHT=450&amp;WIDTH=450&amp;START_MAXIMIZED=FALSE&amp;VAR:CALENDAR=US&amp;VAR:SYMBOL=Company0142:INDEX=0"}</definedName>
    <definedName name="_31__FDSAUDITLINK__" hidden="1">{"fdsup://directions/FAT Viewer?action=UPDATE&amp;creator=factset&amp;DYN_ARGS=TRUE&amp;DOC_NAME=FAT:FQL_AUDITING_CLIENT_TEMPLATE.FAT&amp;display_string=Audit&amp;VAR:KEY=CLEZKNMJKL&amp;VAR:QUERY=KENTRl9JTlRBTkcoUVRSX1IsMzY0MDMpQFdTRl9JTlRBTkcoUVRSLDM2NDAzKSk=&amp;WINDOW=FIRST_POPUP&amp;H","COMPANY0910=450&amp;WIDTH=450&amp;START_MAXIMIZED=FALSE&amp;VAR:CALENDAR=US&amp;VAR:SYMBOL=Company0092:INDEX=0"}</definedName>
    <definedName name="_310__FDSAUDITLINK__" hidden="1">{"fdsup://directions/FAT Viewer?action=UPDATE&amp;creator=factset&amp;DYN_ARGS=TRUE&amp;DOC_NAME=FAT:FQL_AUDITING_CLIENT_TEMPLATE.FAT&amp;display_string=Audit&amp;VAR:KEY=OVIBWHCFCN&amp;VAR:QUERY=KENTRl9JTlRBTkcoUVRSX1IsMzY5NTApQFdTRl9JTlRBTkcoUVRSLDM2OTUwKSk=&amp;WINDOW=FIRST_POPUP&amp;H","COMPANY0910=450&amp;WIDTH=450&amp;START_MAXIMIZED=FALSE&amp;VAR:CALENDAR=US&amp;VAR:SYMBOL=Company0142:INDEX=0"}</definedName>
    <definedName name="_311__FDSAUDITLINK__" hidden="1">{"fdsup://directions/FAT Viewer?action=UPDATE&amp;creator=factset&amp;DYN_ARGS=TRUE&amp;DOC_NAME=FAT:FQL_AUDITING_CLIENT_TEMPLATE.FAT&amp;display_string=Audit&amp;VAR:KEY=KLGVKJWJQB&amp;VAR:QUERY=KENTRl9TSExEUlNfRVEoUVRSX1IsMzY5NTApQFdTRl9TSExEUlNfRVEoUVRSLDM2OTUwKSk=&amp;WINDOW=FIRST","_POPUP&amp;HEIGHT=450&amp;WIDTH=450&amp;START_MAXIMIZED=FALSE&amp;VAR:CALENDAR=US&amp;VAR:SYMBOL=Company0142:INDEX=0"}</definedName>
    <definedName name="_312__FDSAUDITLINK__" hidden="1">{"fdsup://directions/FAT Viewer?action=UPDATE&amp;creator=factset&amp;DYN_ARGS=TRUE&amp;DOC_NAME=FAT:FQL_AUDITING_CLIENT_TEMPLATE.FAT&amp;display_string=Audit&amp;VAR:KEY=UZMNYNKLQH&amp;VAR:QUERY=KENTRl9DT01fU0hTX09VVF9FUFNfRElMKFFUUl9SLDM2OTIyKUBXU0ZfQ09NX1NIU19PVVRfRVBTX0RJTChRV","FIsMzY5MjIpKQ==&amp;WINDOW=FIRST_POPUP&amp;HEIGHT=450&amp;WIDTH=450&amp;START_MAXIMIZED=FALSE&amp;VAR:CALENDAR=US&amp;VAR:SYMBOL=Company0142:INDEX=0"}</definedName>
    <definedName name="_313__FDSAUDITLINK__" hidden="1">{"fdsup://directions/FAT Viewer?action=UPDATE&amp;creator=factset&amp;DYN_ARGS=TRUE&amp;DOC_NAME=FAT:FQL_AUDITING_CLIENT_TEMPLATE.FAT&amp;display_string=Audit&amp;VAR:KEY=IXYTMDCXEZ&amp;VAR:QUERY=KENTRl9JTlRBTkcoUVRSX1IsMzY5MjIpQFdTRl9JTlRBTkcoUVRSLDM2OTIyKSk=&amp;WINDOW=FIRST_POPUP&amp;H","COMPANY0910=450&amp;WIDTH=450&amp;START_MAXIMIZED=FALSE&amp;VAR:CALENDAR=US&amp;VAR:SYMBOL=Company0142:INDEX=0"}</definedName>
    <definedName name="_314__FDSAUDITLINK__" hidden="1">{"fdsup://directions/FAT Viewer?action=UPDATE&amp;creator=factset&amp;DYN_ARGS=TRUE&amp;DOC_NAME=FAT:FQL_AUDITING_CLIENT_TEMPLATE.FAT&amp;display_string=Audit&amp;VAR:KEY=YXKNIHILET&amp;VAR:QUERY=KENTRl9TSExEUlNfRVEoUVRSX1IsMzY5MjIpQFdTRl9TSExEUlNfRVEoUVRSLDM2OTIyKSk=&amp;WINDOW=FIRST","_POPUP&amp;HEIGHT=450&amp;WIDTH=450&amp;START_MAXIMIZED=FALSE&amp;VAR:CALENDAR=US&amp;VAR:SYMBOL=Company0142:INDEX=0"}</definedName>
    <definedName name="_315__FDSAUDITLINK__" hidden="1">{"fdsup://directions/FAT Viewer?action=UPDATE&amp;creator=factset&amp;DYN_ARGS=TRUE&amp;DOC_NAME=FAT:FQL_AUDITING_CLIENT_TEMPLATE.FAT&amp;display_string=Audit&amp;VAR:KEY=SXWLKXYVMF&amp;VAR:QUERY=KENTRl9DT01fU0hTX09VVF9FUFNfRElMKFFUUl9SLDM2ODg5KUBXU0ZfQ09NX1NIU19PVVRfRVBTX0RJTChRV","FIsMzY4ODkpKQ==&amp;WINDOW=FIRST_POPUP&amp;HEIGHT=450&amp;WIDTH=450&amp;START_MAXIMIZED=FALSE&amp;VAR:CALENDAR=US&amp;VAR:SYMBOL=Company0142:INDEX=0"}</definedName>
    <definedName name="_316__FDSAUDITLINK__" hidden="1">{"fdsup://directions/FAT Viewer?action=UPDATE&amp;creator=factset&amp;DYN_ARGS=TRUE&amp;DOC_NAME=FAT:FQL_AUDITING_CLIENT_TEMPLATE.FAT&amp;display_string=Audit&amp;VAR:KEY=GBSDCNWVQL&amp;VAR:QUERY=KENTRl9JTlRBTkcoUVRSX1IsMzY4ODkpQFdTRl9JTlRBTkcoUVRSLDM2ODg5KSk=&amp;WINDOW=FIRST_POPUP&amp;H","COMPANY0910=450&amp;WIDTH=450&amp;START_MAXIMIZED=FALSE&amp;VAR:CALENDAR=US&amp;VAR:SYMBOL=Company0142:INDEX=0"}</definedName>
    <definedName name="_317__FDSAUDITLINK__" hidden="1">{"fdsup://directions/FAT Viewer?action=UPDATE&amp;creator=factset&amp;DYN_ARGS=TRUE&amp;DOC_NAME=FAT:FQL_AUDITING_CLIENT_TEMPLATE.FAT&amp;display_string=Audit&amp;VAR:KEY=QFOHGZCNOF&amp;VAR:QUERY=KENTRl9TSExEUlNfRVEoUVRSX1IsMzY4ODkpQFdTRl9TSExEUlNfRVEoUVRSLDM2ODg5KSk=&amp;WINDOW=FIRST","_POPUP&amp;HEIGHT=450&amp;WIDTH=450&amp;START_MAXIMIZED=FALSE&amp;VAR:CALENDAR=US&amp;VAR:SYMBOL=Company0142:INDEX=0"}</definedName>
    <definedName name="_318__FDSAUDITLINK__" hidden="1">{"fdsup://directions/FAT Viewer?action=UPDATE&amp;creator=factset&amp;DYN_ARGS=TRUE&amp;DOC_NAME=FAT:FQL_AUDITING_CLIENT_TEMPLATE.FAT&amp;display_string=Audit&amp;VAR:KEY=WZINKLIPSD&amp;VAR:QUERY=KENTRl9DT01fU0hTX09VVF9FUFNfRElMKFFUUl9SLDM2ODYwKUBXU0ZfQ09NX1NIU19PVVRfRVBTX0RJTChRV","FIsMzY4NjApKQ==&amp;WINDOW=FIRST_POPUP&amp;HEIGHT=450&amp;WIDTH=450&amp;START_MAXIMIZED=FALSE&amp;VAR:CALENDAR=US&amp;VAR:SYMBOL=Company0142:INDEX=0"}</definedName>
    <definedName name="_319__FDSAUDITLINK__" hidden="1">{"fdsup://directions/FAT Viewer?action=UPDATE&amp;creator=factset&amp;DYN_ARGS=TRUE&amp;DOC_NAME=FAT:FQL_AUDITING_CLIENT_TEMPLATE.FAT&amp;display_string=Audit&amp;VAR:KEY=UXUTCLCVAF&amp;VAR:QUERY=KENTRl9JTlRBTkcoUVRSX1IsMzY4NjApQFdTRl9JTlRBTkcoUVRSLDM2ODYwKSk=&amp;WINDOW=FIRST_POPUP&amp;H","COMPANY0910=450&amp;WIDTH=450&amp;START_MAXIMIZED=FALSE&amp;VAR:CALENDAR=US&amp;VAR:SYMBOL=Company0142:INDEX=0"}</definedName>
    <definedName name="_32__FDSAUDITLINK__" hidden="1">{"fdsup://directions/FAT Viewer?action=UPDATE&amp;creator=factset&amp;DYN_ARGS=TRUE&amp;DOC_NAME=FAT:FQL_AUDITING_CLIENT_TEMPLATE.FAT&amp;display_string=Audit&amp;VAR:KEY=ORETOLEDWJ&amp;VAR:QUERY=KENTRl9JTlRBTkcoUVRSX1IsMzYzNzEpQFdTRl9JTlRBTkcoUVRSLDM2MzcxKSk=&amp;WINDOW=FIRST_POPUP&amp;H","COMPANY0910=450&amp;WIDTH=450&amp;START_MAXIMIZED=FALSE&amp;VAR:CALENDAR=US&amp;VAR:SYMBOL=Company0092:INDEX=0"}</definedName>
    <definedName name="_320__FDSAUDITLINK__" hidden="1">{"fdsup://directions/FAT Viewer?action=UPDATE&amp;creator=factset&amp;DYN_ARGS=TRUE&amp;DOC_NAME=FAT:FQL_AUDITING_CLIENT_TEMPLATE.FAT&amp;display_string=Audit&amp;VAR:KEY=CFSHYRUHCR&amp;VAR:QUERY=KENTRl9TSExEUlNfRVEoUVRSX1IsMzY4NjApQFdTRl9TSExEUlNfRVEoUVRSLDM2ODYwKSk=&amp;WINDOW=FIRST","_POPUP&amp;HEIGHT=450&amp;WIDTH=450&amp;START_MAXIMIZED=FALSE&amp;VAR:CALENDAR=US&amp;VAR:SYMBOL=Company0142:INDEX=0"}</definedName>
    <definedName name="_321__FDSAUDITLINK__" hidden="1">{"fdsup://directions/FAT Viewer?action=UPDATE&amp;creator=factset&amp;DYN_ARGS=TRUE&amp;DOC_NAME=FAT:FQL_AUDITING_CLIENT_TEMPLATE.FAT&amp;display_string=Audit&amp;VAR:KEY=SDWHOVUNGX&amp;VAR:QUERY=KENTRl9DT01fU0hTX09VVF9FUFNfRElMKFFUUl9SLDM2ODMwKUBXU0ZfQ09NX1NIU19PVVRfRVBTX0RJTChRV","FIsMzY4MzApKQ==&amp;WINDOW=FIRST_POPUP&amp;HEIGHT=450&amp;WIDTH=450&amp;START_MAXIMIZED=FALSE&amp;VAR:CALENDAR=US&amp;VAR:SYMBOL=Company0142:INDEX=0"}</definedName>
    <definedName name="_322__FDSAUDITLINK__" hidden="1">{"fdsup://directions/FAT Viewer?action=UPDATE&amp;creator=factset&amp;DYN_ARGS=TRUE&amp;DOC_NAME=FAT:FQL_AUDITING_CLIENT_TEMPLATE.FAT&amp;display_string=Audit&amp;VAR:KEY=WDKFARMZKP&amp;VAR:QUERY=KENTRl9JTlRBTkcoUVRSX1IsMzY4MzApQFdTRl9JTlRBTkcoUVRSLDM2ODMwKSk=&amp;WINDOW=FIRST_POPUP&amp;H","COMPANY0910=450&amp;WIDTH=450&amp;START_MAXIMIZED=FALSE&amp;VAR:CALENDAR=US&amp;VAR:SYMBOL=Company0142:INDEX=0"}</definedName>
    <definedName name="_323__FDSAUDITLINK__" hidden="1">{"fdsup://directions/FAT Viewer?action=UPDATE&amp;creator=factset&amp;DYN_ARGS=TRUE&amp;DOC_NAME=FAT:FQL_AUDITING_CLIENT_TEMPLATE.FAT&amp;display_string=Audit&amp;VAR:KEY=MLSBKFCPIV&amp;VAR:QUERY=KENTRl9TSExEUlNfRVEoUVRSX1IsMzY4MzApQFdTRl9TSExEUlNfRVEoUVRSLDM2ODMwKSk=&amp;WINDOW=FIRST","_POPUP&amp;HEIGHT=450&amp;WIDTH=450&amp;START_MAXIMIZED=FALSE&amp;VAR:CALENDAR=US&amp;VAR:SYMBOL=Company0142:INDEX=0"}</definedName>
    <definedName name="_324__FDSAUDITLINK__" hidden="1">{"fdsup://directions/FAT Viewer?action=UPDATE&amp;creator=factset&amp;DYN_ARGS=TRUE&amp;DOC_NAME=FAT:FQL_AUDITING_CLIENT_TEMPLATE.FAT&amp;display_string=Audit&amp;VAR:KEY=KHOLUDMBID&amp;VAR:QUERY=KENTRl9DT01fU0hTX09VVF9FUFNfRElMKFFUUl9SLDM2Nzk4KUBXU0ZfQ09NX1NIU19PVVRfRVBTX0RJTChRV","FIsMzY3OTgpKQ==&amp;WINDOW=FIRST_POPUP&amp;HEIGHT=450&amp;WIDTH=450&amp;START_MAXIMIZED=FALSE&amp;VAR:CALENDAR=US&amp;VAR:SYMBOL=Company0142:INDEX=0"}</definedName>
    <definedName name="_325__FDSAUDITLINK__" hidden="1">{"fdsup://directions/FAT Viewer?action=UPDATE&amp;creator=factset&amp;DYN_ARGS=TRUE&amp;DOC_NAME=FAT:FQL_AUDITING_CLIENT_TEMPLATE.FAT&amp;display_string=Audit&amp;VAR:KEY=WTABWNSPQV&amp;VAR:QUERY=KENTRl9JTlRBTkcoUVRSX1IsMzY3OTgpQFdTRl9JTlRBTkcoUVRSLDM2Nzk4KSk=&amp;WINDOW=FIRST_POPUP&amp;H","COMPANY0910=450&amp;WIDTH=450&amp;START_MAXIMIZED=FALSE&amp;VAR:CALENDAR=US&amp;VAR:SYMBOL=Company0142:INDEX=0"}</definedName>
    <definedName name="_326__FDSAUDITLINK__" hidden="1">{"fdsup://directions/FAT Viewer?action=UPDATE&amp;creator=factset&amp;DYN_ARGS=TRUE&amp;DOC_NAME=FAT:FQL_AUDITING_CLIENT_TEMPLATE.FAT&amp;display_string=Audit&amp;VAR:KEY=QDEDIRKRYZ&amp;VAR:QUERY=KENTRl9TSExEUlNfRVEoUVRSX1IsMzY3OTgpQFdTRl9TSExEUlNfRVEoUVRSLDM2Nzk4KSk=&amp;WINDOW=FIRST","_POPUP&amp;HEIGHT=450&amp;WIDTH=450&amp;START_MAXIMIZED=FALSE&amp;VAR:CALENDAR=US&amp;VAR:SYMBOL=Company0142:INDEX=0"}</definedName>
    <definedName name="_327__FDSAUDITLINK__" hidden="1">{"fdsup://directions/FAT Viewer?action=UPDATE&amp;creator=factset&amp;DYN_ARGS=TRUE&amp;DOC_NAME=FAT:FQL_AUDITING_CLIENT_TEMPLATE.FAT&amp;display_string=Audit&amp;VAR:KEY=KXWJCZEPYD&amp;VAR:QUERY=KENTRl9DT01fU0hTX09VVF9FUFNfRElMKFFUUl9SLDM2NzY5KUBXU0ZfQ09NX1NIU19PVVRfRVBTX0RJTChRV","FIsMzY3NjkpKQ==&amp;WINDOW=FIRST_POPUP&amp;HEIGHT=450&amp;WIDTH=450&amp;START_MAXIMIZED=FALSE&amp;VAR:CALENDAR=US&amp;VAR:SYMBOL=Company0142:INDEX=0"}</definedName>
    <definedName name="_328__FDSAUDITLINK__" hidden="1">{"fdsup://directions/FAT Viewer?action=UPDATE&amp;creator=factset&amp;DYN_ARGS=TRUE&amp;DOC_NAME=FAT:FQL_AUDITING_CLIENT_TEMPLATE.FAT&amp;display_string=Audit&amp;VAR:KEY=AXABUVSHUL&amp;VAR:QUERY=KENTRl9JTlRBTkcoUVRSX1IsMzY3NjkpQFdTRl9JTlRBTkcoUVRSLDM2NzY5KSk=&amp;WINDOW=FIRST_POPUP&amp;H","COMPANY0910=450&amp;WIDTH=450&amp;START_MAXIMIZED=FALSE&amp;VAR:CALENDAR=US&amp;VAR:SYMBOL=Company0142:INDEX=0"}</definedName>
    <definedName name="_329__FDSAUDITLINK__" hidden="1">{"fdsup://directions/FAT Viewer?action=UPDATE&amp;creator=factset&amp;DYN_ARGS=TRUE&amp;DOC_NAME=FAT:FQL_AUDITING_CLIENT_TEMPLATE.FAT&amp;display_string=Audit&amp;VAR:KEY=YJOVEDIXWL&amp;VAR:QUERY=KENTRl9TSExEUlNfRVEoUVRSX1IsMzY3NjkpQFdTRl9TSExEUlNfRVEoUVRSLDM2NzY5KSk=&amp;WINDOW=FIRST","_POPUP&amp;HEIGHT=450&amp;WIDTH=450&amp;START_MAXIMIZED=FALSE&amp;VAR:CALENDAR=US&amp;VAR:SYMBOL=Company0142:INDEX=0"}</definedName>
    <definedName name="_33__FDSAUDITLINK__" hidden="1">{"fdsup://directions/FAT Viewer?action=UPDATE&amp;creator=factset&amp;DYN_ARGS=TRUE&amp;DOC_NAME=FAT:FQL_AUDITING_CLIENT_TEMPLATE.FAT&amp;display_string=Audit&amp;VAR:KEY=IFEJUTUPOH&amp;VAR:QUERY=KENTRl9JTlRBTkcoUVRSX1IsMzYzNDEpQFdTRl9JTlRBTkcoUVRSLDM2MzQxKSk=&amp;WINDOW=FIRST_POPUP&amp;H","COMPANY0910=450&amp;WIDTH=450&amp;START_MAXIMIZED=FALSE&amp;VAR:CALENDAR=US&amp;VAR:SYMBOL=Company0092:INDEX=0"}</definedName>
    <definedName name="_330__FDSAUDITLINK__" hidden="1">{"fdsup://directions/FAT Viewer?action=UPDATE&amp;creator=factset&amp;DYN_ARGS=TRUE&amp;DOC_NAME=FAT:FQL_AUDITING_CLIENT_TEMPLATE.FAT&amp;display_string=Audit&amp;VAR:KEY=MZWVYBSLCD&amp;VAR:QUERY=KENTRl9DT01fU0hTX09VVF9FUFNfRElMKFFUUl9SLDM2NzM4KUBXU0ZfQ09NX1NIU19PVVRfRVBTX0RJTChRV","FIsMzY3MzgpKQ==&amp;WINDOW=FIRST_POPUP&amp;HEIGHT=450&amp;WIDTH=450&amp;START_MAXIMIZED=FALSE&amp;VAR:CALENDAR=US&amp;VAR:SYMBOL=Company0142:INDEX=0"}</definedName>
    <definedName name="_331__FDSAUDITLINK__" hidden="1">{"fdsup://directions/FAT Viewer?action=UPDATE&amp;creator=factset&amp;DYN_ARGS=TRUE&amp;DOC_NAME=FAT:FQL_AUDITING_CLIENT_TEMPLATE.FAT&amp;display_string=Audit&amp;VAR:KEY=WJSXEDIPEL&amp;VAR:QUERY=KENTRl9JTlRBTkcoUVRSX1IsMzY3MzgpQFdTRl9JTlRBTkcoUVRSLDM2NzM4KSk=&amp;WINDOW=FIRST_POPUP&amp;H","COMPANY0910=450&amp;WIDTH=450&amp;START_MAXIMIZED=FALSE&amp;VAR:CALENDAR=US&amp;VAR:SYMBOL=Company0142:INDEX=0"}</definedName>
    <definedName name="_332__FDSAUDITLINK__" hidden="1">{"fdsup://directions/FAT Viewer?action=UPDATE&amp;creator=factset&amp;DYN_ARGS=TRUE&amp;DOC_NAME=FAT:FQL_AUDITING_CLIENT_TEMPLATE.FAT&amp;display_string=Audit&amp;VAR:KEY=QZMFWXSLOF&amp;VAR:QUERY=KENTRl9TSExEUlNfRVEoUVRSX1IsMzY3MzgpQFdTRl9TSExEUlNfRVEoUVRSLDM2NzM4KSk=&amp;WINDOW=FIRST","_POPUP&amp;HEIGHT=450&amp;WIDTH=450&amp;START_MAXIMIZED=FALSE&amp;VAR:CALENDAR=US&amp;VAR:SYMBOL=Company0142:INDEX=0"}</definedName>
    <definedName name="_333__FDSAUDITLINK__" hidden="1">{"fdsup://directions/FAT Viewer?action=UPDATE&amp;creator=factset&amp;DYN_ARGS=TRUE&amp;DOC_NAME=FAT:FQL_AUDITING_CLIENT_TEMPLATE.FAT&amp;display_string=Audit&amp;VAR:KEY=QBQZIVMXMX&amp;VAR:QUERY=KENTRl9DT01fU0hTX09VVF9FUFNfRElMKFFUUl9SLDM2NzA3KUBXU0ZfQ09NX1NIU19PVVRfRVBTX0RJTChRV","FIsMzY3MDcpKQ==&amp;WINDOW=FIRST_POPUP&amp;HEIGHT=450&amp;WIDTH=450&amp;START_MAXIMIZED=FALSE&amp;VAR:CALENDAR=US&amp;VAR:SYMBOL=Company0142:INDEX=0"}</definedName>
    <definedName name="_334__FDSAUDITLINK__" hidden="1">{"fdsup://directions/FAT Viewer?action=UPDATE&amp;creator=factset&amp;DYN_ARGS=TRUE&amp;DOC_NAME=FAT:FQL_AUDITING_CLIENT_TEMPLATE.FAT&amp;display_string=Audit&amp;VAR:KEY=EZCBIPGHWJ&amp;VAR:QUERY=KENTRl9JTlRBTkcoUVRSX1IsMzY3MDcpQFdTRl9JTlRBTkcoUVRSLDM2NzA3KSk=&amp;WINDOW=FIRST_POPUP&amp;H","COMPANY0910=450&amp;WIDTH=450&amp;START_MAXIMIZED=FALSE&amp;VAR:CALENDAR=US&amp;VAR:SYMBOL=Company0142:INDEX=0"}</definedName>
    <definedName name="_335__FDSAUDITLINK__" hidden="1">{"fdsup://directions/FAT Viewer?action=UPDATE&amp;creator=factset&amp;DYN_ARGS=TRUE&amp;DOC_NAME=FAT:FQL_AUDITING_CLIENT_TEMPLATE.FAT&amp;display_string=Audit&amp;VAR:KEY=AJOTOJMHAP&amp;VAR:QUERY=KENTRl9TSExEUlNfRVEoUVRSX1IsMzY3MDcpQFdTRl9TSExEUlNfRVEoUVRSLDM2NzA3KSk=&amp;WINDOW=FIRST","_POPUP&amp;HEIGHT=450&amp;WIDTH=450&amp;START_MAXIMIZED=FALSE&amp;VAR:CALENDAR=US&amp;VAR:SYMBOL=Company0142:INDEX=0"}</definedName>
    <definedName name="_336__FDSAUDITLINK__" hidden="1">{"fdsup://directions/FAT Viewer?action=UPDATE&amp;creator=factset&amp;DYN_ARGS=TRUE&amp;DOC_NAME=FAT:FQL_AUDITING_CLIENT_TEMPLATE.FAT&amp;display_string=Audit&amp;VAR:KEY=UFCXYFCHWX&amp;VAR:QUERY=KENTRl9DT01fU0hTX09VVF9FUFNfRElMKFFUUl9SLDM2Njc3KUBXU0ZfQ09NX1NIU19PVVRfRVBTX0RJTChRV","FIsMzY2NzcpKQ==&amp;WINDOW=FIRST_POPUP&amp;HEIGHT=450&amp;WIDTH=450&amp;START_MAXIMIZED=FALSE&amp;VAR:CALENDAR=US&amp;VAR:SYMBOL=Company0142:INDEX=0"}</definedName>
    <definedName name="_337__FDSAUDITLINK__" hidden="1">{"fdsup://directions/FAT Viewer?action=UPDATE&amp;creator=factset&amp;DYN_ARGS=TRUE&amp;DOC_NAME=FAT:FQL_AUDITING_CLIENT_TEMPLATE.FAT&amp;display_string=Audit&amp;VAR:KEY=AZWDYLGNOZ&amp;VAR:QUERY=KENTRl9JTlRBTkcoUVRSX1IsMzY2NzcpQFdTRl9JTlRBTkcoUVRSLDM2Njc3KSk=&amp;WINDOW=FIRST_POPUP&amp;H","COMPANY0910=450&amp;WIDTH=450&amp;START_MAXIMIZED=FALSE&amp;VAR:CALENDAR=US&amp;VAR:SYMBOL=Company0142:INDEX=0"}</definedName>
    <definedName name="_338__FDSAUDITLINK__" hidden="1">{"fdsup://directions/FAT Viewer?action=UPDATE&amp;creator=factset&amp;DYN_ARGS=TRUE&amp;DOC_NAME=FAT:FQL_AUDITING_CLIENT_TEMPLATE.FAT&amp;display_string=Audit&amp;VAR:KEY=KBYZORMPCH&amp;VAR:QUERY=KENTRl9TSExEUlNfRVEoUVRSX1IsMzY2NzcpQFdTRl9TSExEUlNfRVEoUVRSLDM2Njc3KSk=&amp;WINDOW=FIRST","_POPUP&amp;HEIGHT=450&amp;WIDTH=450&amp;START_MAXIMIZED=FALSE&amp;VAR:CALENDAR=US&amp;VAR:SYMBOL=Company0142:INDEX=0"}</definedName>
    <definedName name="_339__FDSAUDITLINK__" hidden="1">{"fdsup://directions/FAT Viewer?action=UPDATE&amp;creator=factset&amp;DYN_ARGS=TRUE&amp;DOC_NAME=FAT:FQL_AUDITING_CLIENT_TEMPLATE.FAT&amp;display_string=Audit&amp;VAR:KEY=SRAHIDATUF&amp;VAR:QUERY=KENTRl9DT01fU0hTX09VVF9FUFNfRElMKFFUUl9SLDM2NjQ0KUBXU0ZfQ09NX1NIU19PVVRfRVBTX0RJTChRV","FIsMzY2NDQpKQ==&amp;WINDOW=FIRST_POPUP&amp;HEIGHT=450&amp;WIDTH=450&amp;START_MAXIMIZED=FALSE&amp;VAR:CALENDAR=US&amp;VAR:SYMBOL=Company0142:INDEX=0"}</definedName>
    <definedName name="_34__FDSAUDITLINK__" hidden="1">{"fdsup://directions/FAT Viewer?action=UPDATE&amp;creator=factset&amp;DYN_ARGS=TRUE&amp;DOC_NAME=FAT:FQL_AUDITING_CLIENT_TEMPLATE.FAT&amp;display_string=Audit&amp;VAR:KEY=SLSPOJUTYT&amp;VAR:QUERY=KENTRl9JTlRBTkcoUVRSX1IsMzYzMDgpQFdTRl9JTlRBTkcoUVRSLDM2MzA4KSk=&amp;WINDOW=FIRST_POPUP&amp;H","COMPANY0910=450&amp;WIDTH=450&amp;START_MAXIMIZED=FALSE&amp;VAR:CALENDAR=US&amp;VAR:SYMBOL=Company0092:INDEX=0"}</definedName>
    <definedName name="_340__FDSAUDITLINK__" hidden="1">{"fdsup://directions/FAT Viewer?action=UPDATE&amp;creator=factset&amp;DYN_ARGS=TRUE&amp;DOC_NAME=FAT:FQL_AUDITING_CLIENT_TEMPLATE.FAT&amp;display_string=Audit&amp;VAR:KEY=YTENQBOTIF&amp;VAR:QUERY=KENTRl9JTlRBTkcoUVRSX1IsMzY2NDQpQFdTRl9JTlRBTkcoUVRSLDM2NjQ0KSk=&amp;WINDOW=FIRST_POPUP&amp;H","COMPANY0910=450&amp;WIDTH=450&amp;START_MAXIMIZED=FALSE&amp;VAR:CALENDAR=US&amp;VAR:SYMBOL=Company0142:INDEX=0"}</definedName>
    <definedName name="_341__FDSAUDITLINK__" hidden="1">{"fdsup://directions/FAT Viewer?action=UPDATE&amp;creator=factset&amp;DYN_ARGS=TRUE&amp;DOC_NAME=FAT:FQL_AUDITING_CLIENT_TEMPLATE.FAT&amp;display_string=Audit&amp;VAR:KEY=WBIJUDWPAN&amp;VAR:QUERY=KENTRl9TSExEUlNfRVEoUVRSX1IsMzY2NDQpQFdTRl9TSExEUlNfRVEoUVRSLDM2NjQ0KSk=&amp;WINDOW=FIRST","_POPUP&amp;HEIGHT=450&amp;WIDTH=450&amp;START_MAXIMIZED=FALSE&amp;VAR:CALENDAR=US&amp;VAR:SYMBOL=Company0142:INDEX=0"}</definedName>
    <definedName name="_342__FDSAUDITLINK__" hidden="1">{"fdsup://directions/FAT Viewer?action=UPDATE&amp;creator=factset&amp;DYN_ARGS=TRUE&amp;DOC_NAME=FAT:FQL_AUDITING_CLIENT_TEMPLATE.FAT&amp;display_string=Audit&amp;VAR:KEY=GBOFAPUNSF&amp;VAR:QUERY=KENTRl9DT01fU0hTX09VVF9FUFNfRElMKFFUUl9SLDM2NjE2KUBXU0ZfQ09NX1NIU19PVVRfRVBTX0RJTChRV","FIsMzY2MTYpKQ==&amp;WINDOW=FIRST_POPUP&amp;HEIGHT=450&amp;WIDTH=450&amp;START_MAXIMIZED=FALSE&amp;VAR:CALENDAR=US&amp;VAR:SYMBOL=Company0142:INDEX=0"}</definedName>
    <definedName name="_343__FDSAUDITLINK__" hidden="1">{"fdsup://directions/FAT Viewer?action=UPDATE&amp;creator=factset&amp;DYN_ARGS=TRUE&amp;DOC_NAME=FAT:FQL_AUDITING_CLIENT_TEMPLATE.FAT&amp;display_string=Audit&amp;VAR:KEY=CNCDWZYHQL&amp;VAR:QUERY=KENTRl9JTlRBTkcoUVRSX1IsMzY2MTYpQFdTRl9JTlRBTkcoUVRSLDM2NjE2KSk=&amp;WINDOW=FIRST_POPUP&amp;H","COMPANY0910=450&amp;WIDTH=450&amp;START_MAXIMIZED=FALSE&amp;VAR:CALENDAR=US&amp;VAR:SYMBOL=Company0142:INDEX=0"}</definedName>
    <definedName name="_344__FDSAUDITLINK__" hidden="1">{"fdsup://directions/FAT Viewer?action=UPDATE&amp;creator=factset&amp;DYN_ARGS=TRUE&amp;DOC_NAME=FAT:FQL_AUDITING_CLIENT_TEMPLATE.FAT&amp;display_string=Audit&amp;VAR:KEY=ILIHILQPEH&amp;VAR:QUERY=KENTRl9TSExEUlNfRVEoUVRSX1IsMzY2MTYpQFdTRl9TSExEUlNfRVEoUVRSLDM2NjE2KSk=&amp;WINDOW=FIRST","_POPUP&amp;HEIGHT=450&amp;WIDTH=450&amp;START_MAXIMIZED=FALSE&amp;VAR:CALENDAR=US&amp;VAR:SYMBOL=Company0142:INDEX=0"}</definedName>
    <definedName name="_345__FDSAUDITLINK__" hidden="1">{"fdsup://directions/FAT Viewer?action=UPDATE&amp;creator=factset&amp;DYN_ARGS=TRUE&amp;DOC_NAME=FAT:FQL_AUDITING_CLIENT_TEMPLATE.FAT&amp;display_string=Audit&amp;VAR:KEY=WBKHSXEZQR&amp;VAR:QUERY=KENTRl9DT01fU0hTX09VVF9FUFNfRElMKFFUUl9SLDM2NTg1KUBXU0ZfQ09NX1NIU19PVVRfRVBTX0RJTChRV","FIsMzY1ODUpKQ==&amp;WINDOW=FIRST_POPUP&amp;HEIGHT=450&amp;WIDTH=450&amp;START_MAXIMIZED=FALSE&amp;VAR:CALENDAR=US&amp;VAR:SYMBOL=Company0142:INDEX=0"}</definedName>
    <definedName name="_346__FDSAUDITLINK__" hidden="1">{"fdsup://directions/FAT Viewer?action=UPDATE&amp;creator=factset&amp;DYN_ARGS=TRUE&amp;DOC_NAME=FAT:FQL_AUDITING_CLIENT_TEMPLATE.FAT&amp;display_string=Audit&amp;VAR:KEY=KNYZOXGHUL&amp;VAR:QUERY=KENTRl9JTlRBTkcoUVRSX1IsMzY1ODUpQFdTRl9JTlRBTkcoUVRSLDM2NTg1KSk=&amp;WINDOW=FIRST_POPUP&amp;H","COMPANY0910=450&amp;WIDTH=450&amp;START_MAXIMIZED=FALSE&amp;VAR:CALENDAR=US&amp;VAR:SYMBOL=Company0142:INDEX=0"}</definedName>
    <definedName name="_347__FDSAUDITLINK__" hidden="1">{"fdsup://directions/FAT Viewer?action=UPDATE&amp;creator=factset&amp;DYN_ARGS=TRUE&amp;DOC_NAME=FAT:FQL_AUDITING_CLIENT_TEMPLATE.FAT&amp;display_string=Audit&amp;VAR:KEY=INYXYJIPEV&amp;VAR:QUERY=KENTRl9TSExEUlNfRVEoUVRSX1IsMzY1ODUpQFdTRl9TSExEUlNfRVEoUVRSLDM2NTg1KSk=&amp;WINDOW=FIRST","_POPUP&amp;HEIGHT=450&amp;WIDTH=450&amp;START_MAXIMIZED=FALSE&amp;VAR:CALENDAR=US&amp;VAR:SYMBOL=Company0142:INDEX=0"}</definedName>
    <definedName name="_348__FDSAUDITLINK__" hidden="1">{"fdsup://directions/FAT Viewer?action=UPDATE&amp;creator=factset&amp;DYN_ARGS=TRUE&amp;DOC_NAME=FAT:FQL_AUDITING_CLIENT_TEMPLATE.FAT&amp;display_string=Audit&amp;VAR:KEY=UNSBMVWPMX&amp;VAR:QUERY=KENTRl9DT01fU0hTX09VVF9FUFNfRElMKFFUUl9SLDM2NTU2KUBXU0ZfQ09NX1NIU19PVVRfRVBTX0RJTChRV","FIsMzY1NTYpKQ==&amp;WINDOW=FIRST_POPUP&amp;HEIGHT=450&amp;WIDTH=450&amp;START_MAXIMIZED=FALSE&amp;VAR:CALENDAR=US&amp;VAR:SYMBOL=Company0142:INDEX=0"}</definedName>
    <definedName name="_349__FDSAUDITLINK__" hidden="1">{"fdsup://directions/FAT Viewer?action=UPDATE&amp;creator=factset&amp;DYN_ARGS=TRUE&amp;DOC_NAME=FAT:FQL_AUDITING_CLIENT_TEMPLATE.FAT&amp;display_string=Audit&amp;VAR:KEY=IRGRCNQPWV&amp;VAR:QUERY=KENTRl9JTlRBTkcoUVRSX1IsMzY1NTYpQFdTRl9JTlRBTkcoUVRSLDM2NTU2KSk=&amp;WINDOW=FIRST_POPUP&amp;H","COMPANY0910=450&amp;WIDTH=450&amp;START_MAXIMIZED=FALSE&amp;VAR:CALENDAR=US&amp;VAR:SYMBOL=Company0142:INDEX=0"}</definedName>
    <definedName name="_35__FDSAUDITLINK__" hidden="1">{"fdsup://directions/FAT Viewer?action=UPDATE&amp;creator=factset&amp;DYN_ARGS=TRUE&amp;DOC_NAME=FAT:FQL_AUDITING_CLIENT_TEMPLATE.FAT&amp;display_string=Audit&amp;VAR:KEY=EVIPIVWNMP&amp;VAR:QUERY=KENTRl9JTlRBTkcoUVRSX1IsMzYyODApQFdTRl9JTlRBTkcoUVRSLDM2MjgwKSk=&amp;WINDOW=FIRST_POPUP&amp;H","COMPANY0910=450&amp;WIDTH=450&amp;START_MAXIMIZED=FALSE&amp;VAR:CALENDAR=US&amp;VAR:SYMBOL=Company0092:INDEX=0"}</definedName>
    <definedName name="_350__FDSAUDITLINK__" hidden="1">{"fdsup://directions/FAT Viewer?action=UPDATE&amp;creator=factset&amp;DYN_ARGS=TRUE&amp;DOC_NAME=FAT:FQL_AUDITING_CLIENT_TEMPLATE.FAT&amp;display_string=Audit&amp;VAR:KEY=GNCPODUVUT&amp;VAR:QUERY=KENTRl9TSExEUlNfRVEoUVRSX1IsMzY1NTYpQFdTRl9TSExEUlNfRVEoUVRSLDM2NTU2KSk=&amp;WINDOW=FIRST","_POPUP&amp;HEIGHT=450&amp;WIDTH=450&amp;START_MAXIMIZED=FALSE&amp;VAR:CALENDAR=US&amp;VAR:SYMBOL=Company0142:INDEX=0"}</definedName>
    <definedName name="_351__FDSAUDITLINK__" hidden="1">{"fdsup://directions/FAT Viewer?action=UPDATE&amp;creator=factset&amp;DYN_ARGS=TRUE&amp;DOC_NAME=FAT:FQL_AUDITING_CLIENT_TEMPLATE.FAT&amp;display_string=Audit&amp;VAR:KEY=GRIVODUVAB&amp;VAR:QUERY=KENTRl9DT01fU0hTX09VVF9FUFNfRElMKFFUUl9SLDM2NTI1KUBXU0ZfQ09NX1NIU19PVVRfRVBTX0RJTChRV","FIsMzY1MjUpKQ==&amp;WINDOW=FIRST_POPUP&amp;HEIGHT=450&amp;WIDTH=450&amp;START_MAXIMIZED=FALSE&amp;VAR:CALENDAR=US&amp;VAR:SYMBOL=Company0142:INDEX=0"}</definedName>
    <definedName name="_352__FDSAUDITLINK__" hidden="1">{"fdsup://directions/FAT Viewer?action=UPDATE&amp;creator=factset&amp;DYN_ARGS=TRUE&amp;DOC_NAME=FAT:FQL_AUDITING_CLIENT_TEMPLATE.FAT&amp;display_string=Audit&amp;VAR:KEY=ANOROXQDYD&amp;VAR:QUERY=KENTRl9JTlRBTkcoUVRSX1IsMzY1MjUpQFdTRl9JTlRBTkcoUVRSLDM2NTI1KSk=&amp;WINDOW=FIRST_POPUP&amp;H","COMPANY0910=450&amp;WIDTH=450&amp;START_MAXIMIZED=FALSE&amp;VAR:CALENDAR=US&amp;VAR:SYMBOL=Company0142:INDEX=0"}</definedName>
    <definedName name="_353__FDSAUDITLINK__" hidden="1">{"fdsup://directions/FAT Viewer?action=UPDATE&amp;creator=factset&amp;DYN_ARGS=TRUE&amp;DOC_NAME=FAT:FQL_AUDITING_CLIENT_TEMPLATE.FAT&amp;display_string=Audit&amp;VAR:KEY=UTQLCLGJUJ&amp;VAR:QUERY=KENTRl9TSExEUlNfRVEoUVRSX1IsMzY1MjUpQFdTRl9TSExEUlNfRVEoUVRSLDM2NTI1KSk=&amp;WINDOW=FIRST","_POPUP&amp;HEIGHT=450&amp;WIDTH=450&amp;START_MAXIMIZED=FALSE&amp;VAR:CALENDAR=US&amp;VAR:SYMBOL=Company0142:INDEX=0"}</definedName>
    <definedName name="_354__FDSAUDITLINK__" hidden="1">{"fdsup://directions/FAT Viewer?action=UPDATE&amp;creator=factset&amp;DYN_ARGS=TRUE&amp;DOC_NAME=FAT:FQL_AUDITING_CLIENT_TEMPLATE.FAT&amp;display_string=Audit&amp;VAR:KEY=GTCLSBADEB&amp;VAR:QUERY=KENTRl9DT01fU0hTX09VVF9FUFNfRElMKFFUUl9SLDM2NDk0KUBXU0ZfQ09NX1NIU19PVVRfRVBTX0RJTChRV","FIsMzY0OTQpKQ==&amp;WINDOW=FIRST_POPUP&amp;HEIGHT=450&amp;WIDTH=450&amp;START_MAXIMIZED=FALSE&amp;VAR:CALENDAR=US&amp;VAR:SYMBOL=Company0142:INDEX=0"}</definedName>
    <definedName name="_355__FDSAUDITLINK__" hidden="1">{"fdsup://directions/FAT Viewer?action=UPDATE&amp;creator=factset&amp;DYN_ARGS=TRUE&amp;DOC_NAME=FAT:FQL_AUDITING_CLIENT_TEMPLATE.FAT&amp;display_string=Audit&amp;VAR:KEY=KTCVWVCXSP&amp;VAR:QUERY=KENTRl9JTlRBTkcoUVRSX1IsMzY0OTQpQFdTRl9JTlRBTkcoUVRSLDM2NDk0KSk=&amp;WINDOW=FIRST_POPUP&amp;H","COMPANY0910=450&amp;WIDTH=450&amp;START_MAXIMIZED=FALSE&amp;VAR:CALENDAR=US&amp;VAR:SYMBOL=Company0142:INDEX=0"}</definedName>
    <definedName name="_356__FDSAUDITLINK__" hidden="1">{"fdsup://directions/FAT Viewer?action=UPDATE&amp;creator=factset&amp;DYN_ARGS=TRUE&amp;DOC_NAME=FAT:FQL_AUDITING_CLIENT_TEMPLATE.FAT&amp;display_string=Audit&amp;VAR:KEY=IFKRWBWPYJ&amp;VAR:QUERY=KENTRl9TSExEUlNfRVEoUVRSX1IsMzY0OTQpQFdTRl9TSExEUlNfRVEoUVRSLDM2NDk0KSk=&amp;WINDOW=FIRST","_POPUP&amp;HEIGHT=450&amp;WIDTH=450&amp;START_MAXIMIZED=FALSE&amp;VAR:CALENDAR=US&amp;VAR:SYMBOL=Company0142:INDEX=0"}</definedName>
    <definedName name="_357__FDSAUDITLINK__" hidden="1">{"fdsup://directions/FAT Viewer?action=UPDATE&amp;creator=factset&amp;DYN_ARGS=TRUE&amp;DOC_NAME=FAT:FQL_AUDITING_CLIENT_TEMPLATE.FAT&amp;display_string=Audit&amp;VAR:KEY=CBWBYDQBYR&amp;VAR:QUERY=KENTRl9DT01fU0hTX09VVF9FUFNfRElMKFFUUl9SLDM2NDYyKUBXU0ZfQ09NX1NIU19PVVRfRVBTX0RJTChRV","FIsMzY0NjIpKQ==&amp;WINDOW=FIRST_POPUP&amp;HEIGHT=450&amp;WIDTH=450&amp;START_MAXIMIZED=FALSE&amp;VAR:CALENDAR=US&amp;VAR:SYMBOL=Company0142:INDEX=0"}</definedName>
    <definedName name="_358__FDSAUDITLINK__" hidden="1">{"fdsup://directions/FAT Viewer?action=UPDATE&amp;creator=factset&amp;DYN_ARGS=TRUE&amp;DOC_NAME=FAT:FQL_AUDITING_CLIENT_TEMPLATE.FAT&amp;display_string=Audit&amp;VAR:KEY=ELINIDUNIT&amp;VAR:QUERY=KENTRl9JTlRBTkcoUVRSX1IsMzY0NjIpQFdTRl9JTlRBTkcoUVRSLDM2NDYyKSk=&amp;WINDOW=FIRST_POPUP&amp;H","COMPANY0910=450&amp;WIDTH=450&amp;START_MAXIMIZED=FALSE&amp;VAR:CALENDAR=US&amp;VAR:SYMBOL=Company0142:INDEX=0"}</definedName>
    <definedName name="_359__FDSAUDITLINK__" hidden="1">{"fdsup://directions/FAT Viewer?action=UPDATE&amp;creator=factset&amp;DYN_ARGS=TRUE&amp;DOC_NAME=FAT:FQL_AUDITING_CLIENT_TEMPLATE.FAT&amp;display_string=Audit&amp;VAR:KEY=ODUDADIPCV&amp;VAR:QUERY=KENTRl9TSExEUlNfRVEoUVRSX1IsMzY0NjIpQFdTRl9TSExEUlNfRVEoUVRSLDM2NDYyKSk=&amp;WINDOW=FIRST","_POPUP&amp;HEIGHT=450&amp;WIDTH=450&amp;START_MAXIMIZED=FALSE&amp;VAR:CALENDAR=US&amp;VAR:SYMBOL=Company0142:INDEX=0"}</definedName>
    <definedName name="_36__FDSAUDITLINK__" hidden="1">{"fdsup://directions/FAT Viewer?action=UPDATE&amp;creator=factset&amp;DYN_ARGS=TRUE&amp;DOC_NAME=FAT:FQL_AUDITING_CLIENT_TEMPLATE.FAT&amp;display_string=Audit&amp;VAR:KEY=WPYRSPYXIF&amp;VAR:QUERY=KENTRl9JTlRBTkcoUVRSX1IsMzYyNTApQFdTRl9JTlRBTkcoUVRSLDM2MjUwKSk=&amp;WINDOW=FIRST_POPUP&amp;H","COMPANY0910=450&amp;WIDTH=450&amp;START_MAXIMIZED=FALSE&amp;VAR:CALENDAR=US&amp;VAR:SYMBOL=Company0092:INDEX=0"}</definedName>
    <definedName name="_360__FDSAUDITLINK__" hidden="1">{"fdsup://directions/FAT Viewer?action=UPDATE&amp;creator=factset&amp;DYN_ARGS=TRUE&amp;DOC_NAME=FAT:FQL_AUDITING_CLIENT_TEMPLATE.FAT&amp;display_string=Audit&amp;VAR:KEY=YHOZMZUDYT&amp;VAR:QUERY=KENTRl9DT01fU0hTX09VVF9FUFNfRElMKFFUUl9SLDM2NDMzKUBXU0ZfQ09NX1NIU19PVVRfRVBTX0RJTChRV","FIsMzY0MzMpKQ==&amp;WINDOW=FIRST_POPUP&amp;HEIGHT=450&amp;WIDTH=450&amp;START_MAXIMIZED=FALSE&amp;VAR:CALENDAR=US&amp;VAR:SYMBOL=Company0142:INDEX=0"}</definedName>
    <definedName name="_361__FDSAUDITLINK__" hidden="1">{"fdsup://directions/FAT Viewer?action=UPDATE&amp;creator=factset&amp;DYN_ARGS=TRUE&amp;DOC_NAME=FAT:FQL_AUDITING_CLIENT_TEMPLATE.FAT&amp;display_string=Audit&amp;VAR:KEY=UZOZGRKXKL&amp;VAR:QUERY=KENTRl9JTlRBTkcoUVRSX1IsMzY0MzMpQFdTRl9JTlRBTkcoUVRSLDM2NDMzKSk=&amp;WINDOW=FIRST_POPUP&amp;H","COMPANY0910=450&amp;WIDTH=450&amp;START_MAXIMIZED=FALSE&amp;VAR:CALENDAR=US&amp;VAR:SYMBOL=Company0142:INDEX=0"}</definedName>
    <definedName name="_362__FDSAUDITLINK__" hidden="1">{"fdsup://directions/FAT Viewer?action=UPDATE&amp;creator=factset&amp;DYN_ARGS=TRUE&amp;DOC_NAME=FAT:FQL_AUDITING_CLIENT_TEMPLATE.FAT&amp;display_string=Audit&amp;VAR:KEY=QTSVONSRIP&amp;VAR:QUERY=KENTRl9TSExEUlNfRVEoUVRSX1IsMzY0MzMpQFdTRl9TSExEUlNfRVEoUVRSLDM2NDMzKSk=&amp;WINDOW=FIRST","_POPUP&amp;HEIGHT=450&amp;WIDTH=450&amp;START_MAXIMIZED=FALSE&amp;VAR:CALENDAR=US&amp;VAR:SYMBOL=Company0142:INDEX=0"}</definedName>
    <definedName name="_363__FDSAUDITLINK__" hidden="1">{"fdsup://directions/FAT Viewer?action=UPDATE&amp;creator=factset&amp;DYN_ARGS=TRUE&amp;DOC_NAME=FAT:FQL_AUDITING_CLIENT_TEMPLATE.FAT&amp;display_string=Audit&amp;VAR:KEY=SZKFETWBYZ&amp;VAR:QUERY=KENTRl9DT01fU0hTX09VVF9FUFNfRElMKFFUUl9SLDM2NDAzKUBXU0ZfQ09NX1NIU19PVVRfRVBTX0RJTChRV","FIsMzY0MDMpKQ==&amp;WINDOW=FIRST_POPUP&amp;HEIGHT=450&amp;WIDTH=450&amp;START_MAXIMIZED=FALSE&amp;VAR:CALENDAR=US&amp;VAR:SYMBOL=Company0142:INDEX=0"}</definedName>
    <definedName name="_364__FDSAUDITLINK__" hidden="1">{"fdsup://directions/FAT Viewer?action=UPDATE&amp;creator=factset&amp;DYN_ARGS=TRUE&amp;DOC_NAME=FAT:FQL_AUDITING_CLIENT_TEMPLATE.FAT&amp;display_string=Audit&amp;VAR:KEY=ALUTYBGPKX&amp;VAR:QUERY=KENTRl9JTlRBTkcoUVRSX1IsMzY0MDMpQFdTRl9JTlRBTkcoUVRSLDM2NDAzKSk=&amp;WINDOW=FIRST_POPUP&amp;H","COMPANY0910=450&amp;WIDTH=450&amp;START_MAXIMIZED=FALSE&amp;VAR:CALENDAR=US&amp;VAR:SYMBOL=Company0142:INDEX=0"}</definedName>
    <definedName name="_365__FDSAUDITLINK__" hidden="1">{"fdsup://directions/FAT Viewer?action=UPDATE&amp;creator=factset&amp;DYN_ARGS=TRUE&amp;DOC_NAME=FAT:FQL_AUDITING_CLIENT_TEMPLATE.FAT&amp;display_string=Audit&amp;VAR:KEY=YHONQXAZSR&amp;VAR:QUERY=KENTRl9TSExEUlNfRVEoUVRSX1IsMzY0MDMpQFdTRl9TSExEUlNfRVEoUVRSLDM2NDAzKSk=&amp;WINDOW=FIRST","_POPUP&amp;HEIGHT=450&amp;WIDTH=450&amp;START_MAXIMIZED=FALSE&amp;VAR:CALENDAR=US&amp;VAR:SYMBOL=Company0142:INDEX=0"}</definedName>
    <definedName name="_366__FDSAUDITLINK__" hidden="1">{"fdsup://directions/FAT Viewer?action=UPDATE&amp;creator=factset&amp;DYN_ARGS=TRUE&amp;DOC_NAME=FAT:FQL_AUDITING_CLIENT_TEMPLATE.FAT&amp;display_string=Audit&amp;VAR:KEY=GFSNGJUZGB&amp;VAR:QUERY=KENTRl9DT01fU0hTX09VVF9FUFNfRElMKFFUUl9SLDM2MzcxKUBXU0ZfQ09NX1NIU19PVVRfRVBTX0RJTChRV","FIsMzYzNzEpKQ==&amp;WINDOW=FIRST_POPUP&amp;HEIGHT=450&amp;WIDTH=450&amp;START_MAXIMIZED=FALSE&amp;VAR:CALENDAR=US&amp;VAR:SYMBOL=Company0142:INDEX=0"}</definedName>
    <definedName name="_367__FDSAUDITLINK__" hidden="1">{"fdsup://directions/FAT Viewer?action=UPDATE&amp;creator=factset&amp;DYN_ARGS=TRUE&amp;DOC_NAME=FAT:FQL_AUDITING_CLIENT_TEMPLATE.FAT&amp;display_string=Audit&amp;VAR:KEY=CBUFQRWTMN&amp;VAR:QUERY=KENTRl9JTlRBTkcoUVRSX1IsMzYzNzEpQFdTRl9JTlRBTkcoUVRSLDM2MzcxKSk=&amp;WINDOW=FIRST_POPUP&amp;H","COMPANY0910=450&amp;WIDTH=450&amp;START_MAXIMIZED=FALSE&amp;VAR:CALENDAR=US&amp;VAR:SYMBOL=Company0142:INDEX=0"}</definedName>
    <definedName name="_368__FDSAUDITLINK__" hidden="1">{"fdsup://directions/FAT Viewer?action=UPDATE&amp;creator=factset&amp;DYN_ARGS=TRUE&amp;DOC_NAME=FAT:FQL_AUDITING_CLIENT_TEMPLATE.FAT&amp;display_string=Audit&amp;VAR:KEY=CFMTMNEHCF&amp;VAR:QUERY=KENTRl9TSExEUlNfRVEoUVRSX1IsMzYzNzEpQFdTRl9TSExEUlNfRVEoUVRSLDM2MzcxKSk=&amp;WINDOW=FIRST","_POPUP&amp;HEIGHT=450&amp;WIDTH=450&amp;START_MAXIMIZED=FALSE&amp;VAR:CALENDAR=US&amp;VAR:SYMBOL=Company0142:INDEX=0"}</definedName>
    <definedName name="_369__FDSAUDITLINK__" hidden="1">{"fdsup://directions/FAT Viewer?action=UPDATE&amp;creator=factset&amp;DYN_ARGS=TRUE&amp;DOC_NAME=FAT:FQL_AUDITING_CLIENT_TEMPLATE.FAT&amp;display_string=Audit&amp;VAR:KEY=EPWDAVAVWL&amp;VAR:QUERY=KENTRl9DT01fU0hTX09VVF9FUFNfRElMKFFUUl9SLDM2MzQxKUBXU0ZfQ09NX1NIU19PVVRfRVBTX0RJTChRV","FIsMzYzNDEpKQ==&amp;WINDOW=FIRST_POPUP&amp;HEIGHT=450&amp;WIDTH=450&amp;START_MAXIMIZED=FALSE&amp;VAR:CALENDAR=US&amp;VAR:SYMBOL=Company0142:INDEX=0"}</definedName>
    <definedName name="_37__FDSAUDITLINK__" hidden="1">{"fdsup://directions/FAT Viewer?action=UPDATE&amp;creator=factset&amp;DYN_ARGS=TRUE&amp;DOC_NAME=FAT:FQL_AUDITING_CLIENT_TEMPLATE.FAT&amp;display_string=Audit&amp;VAR:KEY=YRQJSBSTEN&amp;VAR:QUERY=KENTRl9JTlRBTkcoUVRSX1IsMzYyMTcpQFdTRl9JTlRBTkcoUVRSLDM2MjE3KSk=&amp;WINDOW=FIRST_POPUP&amp;H","COMPANY0910=450&amp;WIDTH=450&amp;START_MAXIMIZED=FALSE&amp;VAR:CALENDAR=US&amp;VAR:SYMBOL=Company0092:INDEX=0"}</definedName>
    <definedName name="_370__FDSAUDITLINK__" hidden="1">{"fdsup://directions/FAT Viewer?action=UPDATE&amp;creator=factset&amp;DYN_ARGS=TRUE&amp;DOC_NAME=FAT:FQL_AUDITING_CLIENT_TEMPLATE.FAT&amp;display_string=Audit&amp;VAR:KEY=ENALIHQZUJ&amp;VAR:QUERY=KENTRl9JTlRBTkcoUVRSX1IsMzYzNDEpQFdTRl9JTlRBTkcoUVRSLDM2MzQxKSk=&amp;WINDOW=FIRST_POPUP&amp;H","COMPANY0910=450&amp;WIDTH=450&amp;START_MAXIMIZED=FALSE&amp;VAR:CALENDAR=US&amp;VAR:SYMBOL=Company0142:INDEX=0"}</definedName>
    <definedName name="_371__FDSAUDITLINK__" hidden="1">{"fdsup://directions/FAT Viewer?action=UPDATE&amp;creator=factset&amp;DYN_ARGS=TRUE&amp;DOC_NAME=FAT:FQL_AUDITING_CLIENT_TEMPLATE.FAT&amp;display_string=Audit&amp;VAR:KEY=EFKFOZQBKX&amp;VAR:QUERY=KENTRl9TSExEUlNfRVEoUVRSX1IsMzYzNDEpQFdTRl9TSExEUlNfRVEoUVRSLDM2MzQxKSk=&amp;WINDOW=FIRST","_POPUP&amp;HEIGHT=450&amp;WIDTH=450&amp;START_MAXIMIZED=FALSE&amp;VAR:CALENDAR=US&amp;VAR:SYMBOL=Company0142:INDEX=0"}</definedName>
    <definedName name="_372__FDSAUDITLINK__" hidden="1">{"fdsup://directions/FAT Viewer?action=UPDATE&amp;creator=factset&amp;DYN_ARGS=TRUE&amp;DOC_NAME=FAT:FQL_AUDITING_CLIENT_TEMPLATE.FAT&amp;display_string=Audit&amp;VAR:KEY=OZKRUNWHIL&amp;VAR:QUERY=KENTRl9DT01fU0hTX09VVF9FUFNfRElMKFFUUl9SLDM2MzA4KUBXU0ZfQ09NX1NIU19PVVRfRVBTX0RJTChRV","FIsMzYzMDgpKQ==&amp;WINDOW=FIRST_POPUP&amp;HEIGHT=450&amp;WIDTH=450&amp;START_MAXIMIZED=FALSE&amp;VAR:CALENDAR=US&amp;VAR:SYMBOL=Company0142:INDEX=0"}</definedName>
    <definedName name="_373__FDSAUDITLINK__" hidden="1">{"fdsup://directions/FAT Viewer?action=UPDATE&amp;creator=factset&amp;DYN_ARGS=TRUE&amp;DOC_NAME=FAT:FQL_AUDITING_CLIENT_TEMPLATE.FAT&amp;display_string=Audit&amp;VAR:KEY=QPUPARQXUX&amp;VAR:QUERY=KENTRl9JTlRBTkcoUVRSX1IsMzYzMDgpQFdTRl9JTlRBTkcoUVRSLDM2MzA4KSk=&amp;WINDOW=FIRST_POPUP&amp;H","COMPANY0910=450&amp;WIDTH=450&amp;START_MAXIMIZED=FALSE&amp;VAR:CALENDAR=US&amp;VAR:SYMBOL=Company0142:INDEX=0"}</definedName>
    <definedName name="_374__FDSAUDITLINK__" hidden="1">{"fdsup://directions/FAT Viewer?action=UPDATE&amp;creator=factset&amp;DYN_ARGS=TRUE&amp;DOC_NAME=FAT:FQL_AUDITING_CLIENT_TEMPLATE.FAT&amp;display_string=Audit&amp;VAR:KEY=UNOBIVMNGP&amp;VAR:QUERY=KENTRl9TSExEUlNfRVEoUVRSX1IsMzYzMDgpQFdTRl9TSExEUlNfRVEoUVRSLDM2MzA4KSk=&amp;WINDOW=FIRST","_POPUP&amp;HEIGHT=450&amp;WIDTH=450&amp;START_MAXIMIZED=FALSE&amp;VAR:CALENDAR=US&amp;VAR:SYMBOL=Company0142:INDEX=0"}</definedName>
    <definedName name="_375__FDSAUDITLINK__" hidden="1">{"fdsup://directions/FAT Viewer?action=UPDATE&amp;creator=factset&amp;DYN_ARGS=TRUE&amp;DOC_NAME=FAT:FQL_AUDITING_CLIENT_TEMPLATE.FAT&amp;display_string=Audit&amp;VAR:KEY=CHSVMLSVYH&amp;VAR:QUERY=KENTRl9DT01fU0hTX09VVF9FUFNfRElMKFFUUl9SLDM2MjgwKUBXU0ZfQ09NX1NIU19PVVRfRVBTX0RJTChRV","FIsMzYyODApKQ==&amp;WINDOW=FIRST_POPUP&amp;HEIGHT=450&amp;WIDTH=450&amp;START_MAXIMIZED=FALSE&amp;VAR:CALENDAR=US&amp;VAR:SYMBOL=Company0142:INDEX=0"}</definedName>
    <definedName name="_376__FDSAUDITLINK__" hidden="1">{"fdsup://directions/FAT Viewer?action=UPDATE&amp;creator=factset&amp;DYN_ARGS=TRUE&amp;DOC_NAME=FAT:FQL_AUDITING_CLIENT_TEMPLATE.FAT&amp;display_string=Audit&amp;VAR:KEY=CBKNWDAHKJ&amp;VAR:QUERY=KENTRl9JTlRBTkcoUVRSX1IsMzYyODApQFdTRl9JTlRBTkcoUVRSLDM2MjgwKSk=&amp;WINDOW=FIRST_POPUP&amp;H","COMPANY0910=450&amp;WIDTH=450&amp;START_MAXIMIZED=FALSE&amp;VAR:CALENDAR=US&amp;VAR:SYMBOL=Company0142:INDEX=0"}</definedName>
    <definedName name="_377__FDSAUDITLINK__" hidden="1">{"fdsup://directions/FAT Viewer?action=UPDATE&amp;creator=factset&amp;DYN_ARGS=TRUE&amp;DOC_NAME=FAT:FQL_AUDITING_CLIENT_TEMPLATE.FAT&amp;display_string=Audit&amp;VAR:KEY=KPODUPWHYR&amp;VAR:QUERY=KENTRl9TSExEUlNfRVEoUVRSX1IsMzYyODApQFdTRl9TSExEUlNfRVEoUVRSLDM2MjgwKSk=&amp;WINDOW=FIRST","_POPUP&amp;HEIGHT=450&amp;WIDTH=450&amp;START_MAXIMIZED=FALSE&amp;VAR:CALENDAR=US&amp;VAR:SYMBOL=Company0142:INDEX=0"}</definedName>
    <definedName name="_378__FDSAUDITLINK__" hidden="1">{"fdsup://directions/FAT Viewer?action=UPDATE&amp;creator=factset&amp;DYN_ARGS=TRUE&amp;DOC_NAME=FAT:FQL_AUDITING_CLIENT_TEMPLATE.FAT&amp;display_string=Audit&amp;VAR:KEY=WHUFCHOVAN&amp;VAR:QUERY=KENTRl9DT01fU0hTX09VVF9FUFNfRElMKFFUUl9SLDM2MjUwKUBXU0ZfQ09NX1NIU19PVVRfRVBTX0RJTChRV","FIsMzYyNTApKQ==&amp;WINDOW=FIRST_POPUP&amp;HEIGHT=450&amp;WIDTH=450&amp;START_MAXIMIZED=FALSE&amp;VAR:CALENDAR=US&amp;VAR:SYMBOL=Company0142:INDEX=0"}</definedName>
    <definedName name="_379__FDSAUDITLINK__" hidden="1">{"fdsup://directions/FAT Viewer?action=UPDATE&amp;creator=factset&amp;DYN_ARGS=TRUE&amp;DOC_NAME=FAT:FQL_AUDITING_CLIENT_TEMPLATE.FAT&amp;display_string=Audit&amp;VAR:KEY=QDWBINOJIH&amp;VAR:QUERY=KENTRl9JTlRBTkcoUVRSX1IsMzYyNTApQFdTRl9JTlRBTkcoUVRSLDM2MjUwKSk=&amp;WINDOW=FIRST_POPUP&amp;H","COMPANY0910=450&amp;WIDTH=450&amp;START_MAXIMIZED=FALSE&amp;VAR:CALENDAR=US&amp;VAR:SYMBOL=Company0142:INDEX=0"}</definedName>
    <definedName name="_38__FDSAUDITLINK__" hidden="1">{"fdsup://directions/FAT Viewer?action=UPDATE&amp;creator=factset&amp;DYN_ARGS=TRUE&amp;DOC_NAME=FAT:FQL_AUDITING_CLIENT_TEMPLATE.FAT&amp;display_string=Audit&amp;VAR:KEY=YZOLCXEXUF&amp;VAR:QUERY=KENTRl9JTlRBTkcoUVRSX1IsMzYxODkpQFdTRl9JTlRBTkcoUVRSLDM2MTg5KSk=&amp;WINDOW=FIRST_POPUP&amp;H","COMPANY0910=450&amp;WIDTH=450&amp;START_MAXIMIZED=FALSE&amp;VAR:CALENDAR=US&amp;VAR:SYMBOL=Company0092:INDEX=0"}</definedName>
    <definedName name="_380__FDSAUDITLINK__" hidden="1">{"fdsup://directions/FAT Viewer?action=UPDATE&amp;creator=factset&amp;DYN_ARGS=TRUE&amp;DOC_NAME=FAT:FQL_AUDITING_CLIENT_TEMPLATE.FAT&amp;display_string=Audit&amp;VAR:KEY=UXUVUJWNOH&amp;VAR:QUERY=KENTRl9TSExEUlNfRVEoUVRSX1IsMzYyNTApQFdTRl9TSExEUlNfRVEoUVRSLDM2MjUwKSk=&amp;WINDOW=FIRST","_POPUP&amp;HEIGHT=450&amp;WIDTH=450&amp;START_MAXIMIZED=FALSE&amp;VAR:CALENDAR=US&amp;VAR:SYMBOL=Company0142:INDEX=0"}</definedName>
    <definedName name="_381__FDSAUDITLINK__" hidden="1">{"fdsup://directions/FAT Viewer?action=UPDATE&amp;creator=factset&amp;DYN_ARGS=TRUE&amp;DOC_NAME=FAT:FQL_AUDITING_CLIENT_TEMPLATE.FAT&amp;display_string=Audit&amp;VAR:KEY=ZMRSHSZMTM&amp;VAR:QUERY=RkZfU0hMRFJTX0VRKCdRVFInLDM0NzU4KQ==&amp;WINDOW=FIRST_POPUP&amp;HEIGHT=450&amp;WIDTH=450&amp;START_MA","XIMIZED=FALSE&amp;VAR:CALENDAR=US&amp;VAR:SYMBOL=Company1335&amp;VAR:INDEX=0"}</definedName>
    <definedName name="_382__FDSAUDITLINK__" hidden="1">{"fdsup://directions/FAT Viewer?action=UPDATE&amp;creator=factset&amp;DYN_ARGS=TRUE&amp;DOC_NAME=FAT:FQL_AUDITING_CLIENT_TEMPLATE.FAT&amp;display_string=Audit&amp;VAR:KEY=ZMRSHSZMTM&amp;VAR:QUERY=RkZfU0hMRFJTX0VRKCdRVFInLDM0NzU4KQ==&amp;WINDOW=FIRST_POPUP&amp;HEIGHT=450&amp;WIDTH=450&amp;START_MA","XIMIZED=FALSE&amp;VAR:CALENDAR=US&amp;VAR:SYMBOL=Company1335&amp;VAR:INDEX=0"}</definedName>
    <definedName name="_383__FDSAUDITLINK__" hidden="1">{"fdsup://directions/FAT Viewer?action=UPDATE&amp;creator=factset&amp;DYN_ARGS=TRUE&amp;DOC_NAME=FAT:FQL_AUDITING_CLIENT_TEMPLATE.FAT&amp;display_string=Audit&amp;VAR:KEY=NSPATQLEPM&amp;VAR:QUERY=RkZfU0hMRFJTX0VRKCdRVFInLDM0NzMwKQ==&amp;WINDOW=FIRST_POPUP&amp;HEIGHT=450&amp;WIDTH=450&amp;START_MA","XIMIZED=FALSE&amp;VAR:CALENDAR=US&amp;VAR:SYMBOL=Company1335&amp;VAR:INDEX=0"}</definedName>
    <definedName name="_384__FDSAUDITLINK__" hidden="1">{"fdsup://directions/FAT Viewer?action=UPDATE&amp;creator=factset&amp;DYN_ARGS=TRUE&amp;DOC_NAME=FAT:FQL_AUDITING_CLIENT_TEMPLATE.FAT&amp;display_string=Audit&amp;VAR:KEY=NSPATQLEPM&amp;VAR:QUERY=RkZfU0hMRFJTX0VRKCdRVFInLDM0NzMwKQ==&amp;WINDOW=FIRST_POPUP&amp;HEIGHT=450&amp;WIDTH=450&amp;START_MA","XIMIZED=FALSE&amp;VAR:CALENDAR=US&amp;VAR:SYMBOL=Company1335&amp;VAR:INDEX=0"}</definedName>
    <definedName name="_385__FDSAUDITLINK__" hidden="1">{"fdsup://directions/FAT Viewer?action=UPDATE&amp;creator=factset&amp;DYN_ARGS=TRUE&amp;DOC_NAME=FAT:FQL_AUDITING_CLIENT_TEMPLATE.FAT&amp;display_string=Audit&amp;VAR:KEY=ZQJSJORKJU&amp;VAR:QUERY=RkZfU0hMRFJTX0VRKCdRVFInLDM0Njk4KQ==&amp;WINDOW=FIRST_POPUP&amp;HEIGHT=450&amp;WIDTH=450&amp;START_MA","XIMIZED=FALSE&amp;VAR:CALENDAR=US&amp;VAR:SYMBOL=Company1335&amp;VAR:INDEX=0"}</definedName>
    <definedName name="_386__FDSAUDITLINK__" hidden="1">{"fdsup://directions/FAT Viewer?action=UPDATE&amp;creator=factset&amp;DYN_ARGS=TRUE&amp;DOC_NAME=FAT:FQL_AUDITING_CLIENT_TEMPLATE.FAT&amp;display_string=Audit&amp;VAR:KEY=ZQJSJORKJU&amp;VAR:QUERY=RkZfU0hMRFJTX0VRKCdRVFInLDM0Njk4KQ==&amp;WINDOW=FIRST_POPUP&amp;HEIGHT=450&amp;WIDTH=450&amp;START_MA","XIMIZED=FALSE&amp;VAR:CALENDAR=US&amp;VAR:SYMBOL=Company1335&amp;VAR:INDEX=0"}</definedName>
    <definedName name="_387__FDSAUDITLINK__" hidden="1">{"fdsup://directions/FAT Viewer?action=UPDATE&amp;creator=factset&amp;DYN_ARGS=TRUE&amp;DOC_NAME=FAT:FQL_AUDITING_CLIENT_TEMPLATE.FAT&amp;display_string=Audit&amp;VAR:KEY=INMNGDMXER&amp;VAR:QUERY=KENTRl9DT01fU0hTX09VVF9FUFNfRElMKFFUUl9SLDQxMTM3KUBXU0ZfQ09NX1NIU19PVVRfRVBTX0RJTChRV","FIsNDExMzcpKQ==&amp;WINDOW=FIRST_POPUP&amp;HEIGHT=450&amp;WIDTH=450&amp;START_MAXIMIZED=FALSE&amp;VAR:CALENDAR=US&amp;VAR:SYMBOL=Company0142:INDEX=0"}</definedName>
    <definedName name="_388__FDSAUDITLINK__" hidden="1">{"fdsup://directions/FAT Viewer?action=UPDATE&amp;creator=factset&amp;DYN_ARGS=TRUE&amp;DOC_NAME=FAT:FQL_AUDITING_CLIENT_TEMPLATE.FAT&amp;display_string=Audit&amp;VAR:KEY=CNCRADOVMF&amp;VAR:QUERY=KENTRl9JTlRBTkcoUVRSX1IsNDExMzcpQFdTRl9JTlRBTkcoUVRSLDQxMTM3KSk=&amp;WINDOW=FIRST_POPUP&amp;H","COMPANY0910=450&amp;WIDTH=450&amp;START_MAXIMIZED=FALSE&amp;VAR:CALENDAR=US&amp;VAR:SYMBOL=Company0142:INDEX=0"}</definedName>
    <definedName name="_389__FDSAUDITLINK__" hidden="1">{"fdsup://directions/FAT Viewer?action=UPDATE&amp;creator=factset&amp;DYN_ARGS=TRUE&amp;DOC_NAME=FAT:FQL_AUDITING_CLIENT_TEMPLATE.FAT&amp;display_string=Audit&amp;VAR:KEY=CBWLIFIVKT&amp;VAR:QUERY=KENTRl9TSExEUlNfRVEoUVRSX1IsNDExMzcpQFdTRl9TSExEUlNfRVEoUVRSLDQxMTM3KSk=&amp;WINDOW=FIRST","_POPUP&amp;HEIGHT=450&amp;WIDTH=450&amp;START_MAXIMIZED=FALSE&amp;VAR:CALENDAR=US&amp;VAR:SYMBOL=Company0142:INDEX=0"}</definedName>
    <definedName name="_39__FDSAUDITLINK__" hidden="1">{"fdsup://directions/FAT Viewer?action=UPDATE&amp;creator=factset&amp;DYN_ARGS=TRUE&amp;DOC_NAME=FAT:FQL_AUDITING_CLIENT_TEMPLATE.FAT&amp;display_string=Audit&amp;VAR:KEY=CHQLGXCTOF&amp;VAR:QUERY=KENTRl9JTlRBTkcoUVRSX1IsMzYxNjApQFdTRl9JTlRBTkcoUVRSLDM2MTYwKSk=&amp;WINDOW=FIRST_POPUP&amp;H","COMPANY0910=450&amp;WIDTH=450&amp;START_MAXIMIZED=FALSE&amp;VAR:CALENDAR=US&amp;VAR:SYMBOL=Company0092:INDEX=0"}</definedName>
    <definedName name="_390__FDSAUDITLINK__" hidden="1">{"fdsup://directions/FAT Viewer?action=UPDATE&amp;creator=factset&amp;DYN_ARGS=TRUE&amp;DOC_NAME=FAT:FQL_AUDITING_CLIENT_TEMPLATE.FAT&amp;display_string=Audit&amp;VAR:KEY=KZKNOXSLMX&amp;VAR:QUERY=KENTRl9DT01fU0hTX09VVF9FUFNfRElMKFFUUl9SLDQxMTIxKUBXU0ZfQ09NX1NIU19PVVRfRVBTX0RJTChRV","FIsNDExMjEpKQ==&amp;WINDOW=FIRST_POPUP&amp;HEIGHT=450&amp;WIDTH=450&amp;START_MAXIMIZED=FALSE&amp;VAR:CALENDAR=US&amp;VAR:SYMBOL=Company0142:INDEX=0"}</definedName>
    <definedName name="_391__FDSAUDITLINK__" hidden="1">{"fdsup://directions/FAT Viewer?action=UPDATE&amp;creator=factset&amp;DYN_ARGS=TRUE&amp;DOC_NAME=FAT:FQL_AUDITING_CLIENT_TEMPLATE.FAT&amp;display_string=Audit&amp;VAR:KEY=EXYLIFUVSD&amp;VAR:QUERY=KENTRl9JTlRBTkcoUVRSX1IsNDExMjEpQFdTRl9JTlRBTkcoUVRSLDQxMTIxKSk=&amp;WINDOW=FIRST_POPUP&amp;H","COMPANY0910=450&amp;WIDTH=450&amp;START_MAXIMIZED=FALSE&amp;VAR:CALENDAR=US&amp;VAR:SYMBOL=Company0142:INDEX=0"}</definedName>
    <definedName name="_392__FDSAUDITLINK__" hidden="1">{"fdsup://directions/FAT Viewer?action=UPDATE&amp;creator=factset&amp;DYN_ARGS=TRUE&amp;DOC_NAME=FAT:FQL_AUDITING_CLIENT_TEMPLATE.FAT&amp;display_string=Audit&amp;VAR:KEY=WRGTGJUZUH&amp;VAR:QUERY=KENTRl9TSExEUlNfRVEoUVRSX1IsNDExMjEpQFdTRl9TSExEUlNfRVEoUVRSLDQxMTIxKSk=&amp;WINDOW=FIRST","_POPUP&amp;HEIGHT=450&amp;WIDTH=450&amp;START_MAXIMIZED=FALSE&amp;VAR:CALENDAR=US&amp;VAR:SYMBOL=Company0142:INDEX=0"}</definedName>
    <definedName name="_393__FDSAUDITLINK__" hidden="1">{"fdsup://directions/FAT Viewer?action=UPDATE&amp;creator=factset&amp;DYN_ARGS=TRUE&amp;DOC_NAME=FAT:FQL_AUDITING_CLIENT_TEMPLATE.FAT&amp;display_string=Audit&amp;VAR:KEY=QVUNKVWZMJ&amp;VAR:QUERY=KENTRl9DT01fU0hTX09VVF9FUFNfRElMKFFUUl9SLDQxMDkwKUBXU0ZfQ09NX1NIU19PVVRfRVBTX0RJTChRV","FIsNDEwOTApKQ==&amp;WINDOW=FIRST_POPUP&amp;HEIGHT=450&amp;WIDTH=450&amp;START_MAXIMIZED=FALSE&amp;VAR:CALENDAR=US&amp;VAR:SYMBOL=Company0142:INDEX=0"}</definedName>
    <definedName name="_394__FDSAUDITLINK__" hidden="1">{"fdsup://directions/FAT Viewer?action=UPDATE&amp;creator=factset&amp;DYN_ARGS=TRUE&amp;DOC_NAME=FAT:FQL_AUDITING_CLIENT_TEMPLATE.FAT&amp;display_string=Audit&amp;VAR:KEY=EXSJINGVIZ&amp;VAR:QUERY=KENTRl9JTlRBTkcoUVRSX1IsNDEwOTApQFdTRl9JTlRBTkcoUVRSLDQxMDkwKSk=&amp;WINDOW=FIRST_POPUP&amp;H","COMPANY0910=450&amp;WIDTH=450&amp;START_MAXIMIZED=FALSE&amp;VAR:CALENDAR=US&amp;VAR:SYMBOL=Company0142:INDEX=0"}</definedName>
    <definedName name="_395__FDSAUDITLINK__" hidden="1">{"fdsup://directions/FAT Viewer?action=UPDATE&amp;creator=factset&amp;DYN_ARGS=TRUE&amp;DOC_NAME=FAT:FQL_AUDITING_CLIENT_TEMPLATE.FAT&amp;display_string=Audit&amp;VAR:KEY=OPMZYLCLUF&amp;VAR:QUERY=KENTRl9TSExEUlNfRVEoUVRSX1IsNDEwOTApQFdTRl9TSExEUlNfRVEoUVRSLDQxMDkwKSk=&amp;WINDOW=FIRST","_POPUP&amp;HEIGHT=450&amp;WIDTH=450&amp;START_MAXIMIZED=FALSE&amp;VAR:CALENDAR=US&amp;VAR:SYMBOL=Company0142:INDEX=0"}</definedName>
    <definedName name="_396__FDSAUDITLINK__" hidden="1">{"fdsup://directions/FAT Viewer?action=UPDATE&amp;creator=factset&amp;DYN_ARGS=TRUE&amp;DOC_NAME=FAT:FQL_AUDITING_CLIENT_TEMPLATE.FAT&amp;display_string=Audit&amp;VAR:KEY=INMNGDMXER&amp;VAR:QUERY=KENTRl9DT01fU0hTX09VVF9FUFNfRElMKFFUUl9SLDQxMTM3KUBXU0ZfQ09NX1NIU19PVVRfRVBTX0RJTChRV","FIsNDExMzcpKQ==&amp;WINDOW=FIRST_POPUP&amp;HEIGHT=450&amp;WIDTH=450&amp;START_MAXIMIZED=FALSE&amp;VAR:CALENDAR=US&amp;VAR:SYMBOL=Company0142:INDEX=0"}</definedName>
    <definedName name="_397__FDSAUDITLINK__" hidden="1">{"fdsup://directions/FAT Viewer?action=UPDATE&amp;creator=factset&amp;DYN_ARGS=TRUE&amp;DOC_NAME=FAT:FQL_AUDITING_CLIENT_TEMPLATE.FAT&amp;display_string=Audit&amp;VAR:KEY=CNCRADOVMF&amp;VAR:QUERY=KENTRl9JTlRBTkcoUVRSX1IsNDExMzcpQFdTRl9JTlRBTkcoUVRSLDQxMTM3KSk=&amp;WINDOW=FIRST_POPUP&amp;H","COMPANY0910=450&amp;WIDTH=450&amp;START_MAXIMIZED=FALSE&amp;VAR:CALENDAR=US&amp;VAR:SYMBOL=Company0142:INDEX=0"}</definedName>
    <definedName name="_398__FDSAUDITLINK__" hidden="1">{"fdsup://directions/FAT Viewer?action=UPDATE&amp;creator=factset&amp;DYN_ARGS=TRUE&amp;DOC_NAME=FAT:FQL_AUDITING_CLIENT_TEMPLATE.FAT&amp;display_string=Audit&amp;VAR:KEY=CBWLIFIVKT&amp;VAR:QUERY=KENTRl9TSExEUlNfRVEoUVRSX1IsNDExMzcpQFdTRl9TSExEUlNfRVEoUVRSLDQxMTM3KSk=&amp;WINDOW=FIRST","_POPUP&amp;HEIGHT=450&amp;WIDTH=450&amp;START_MAXIMIZED=FALSE&amp;VAR:CALENDAR=US&amp;VAR:SYMBOL=Company0142:INDEX=0"}</definedName>
    <definedName name="_399__FDSAUDITLINK__" hidden="1">{"fdsup://directions/FAT Viewer?action=UPDATE&amp;creator=factset&amp;DYN_ARGS=TRUE&amp;DOC_NAME=FAT:FQL_AUDITING_CLIENT_TEMPLATE.FAT&amp;display_string=Audit&amp;VAR:KEY=KZKNOXSLMX&amp;VAR:QUERY=KENTRl9DT01fU0hTX09VVF9FUFNfRElMKFFUUl9SLDQxMTIxKUBXU0ZfQ09NX1NIU19PVVRfRVBTX0RJTChRV","FIsNDExMjEpKQ==&amp;WINDOW=FIRST_POPUP&amp;HEIGHT=450&amp;WIDTH=450&amp;START_MAXIMIZED=FALSE&amp;VAR:CALENDAR=US&amp;VAR:SYMBOL=Company0142:INDEX=0"}</definedName>
    <definedName name="_3Q94">#REF!</definedName>
    <definedName name="_3Q95">#REF!</definedName>
    <definedName name="_4__123Graph_BCHART_1" hidden="1">#REF!</definedName>
    <definedName name="_4__FDSAUDITLINK__" hidden="1">{"fdsup://directions/FAT Viewer?action=UPDATE&amp;creator=factset&amp;DYN_ARGS=TRUE&amp;DOC_NAME=FAT:FQL_AUDITING_CLIENT_TEMPLATE.FAT&amp;display_string=Audit&amp;VAR:KEY=KBSDWPWXMZ&amp;VAR:QUERY=KENTRl9JTlRBTkcoUVRSX1IsMzcyMjUpQFdTRl9JTlRBTkcoUVRSLDM3MjI1KSk=&amp;WINDOW=FIRST_POPUP&amp;H","COMPANY0910=450&amp;WIDTH=450&amp;START_MAXIMIZED=FALSE&amp;VAR:CALENDAR=US&amp;VAR:SYMBOL=Company0092:INDEX=0"}</definedName>
    <definedName name="_40__FDSAUDITLINK__" hidden="1">{"fdsup://directions/FAT Viewer?action=UPDATE&amp;creator=factset&amp;DYN_ARGS=TRUE&amp;DOC_NAME=FAT:FQL_AUDITING_CLIENT_TEMPLATE.FAT&amp;display_string=Audit&amp;VAR:KEY=GHMLUFYXOP&amp;VAR:QUERY=KENTRl9DT01fU0hTX09VVF9FUFNfRElMKFFUUl9SLDM2MTI5KUBXU0ZfQ09NX1NIU19PVVRfRVBTX0RJTChRV","FIsMzYxMjkpKQ==&amp;WINDOW=FIRST_POPUP&amp;HEIGHT=450&amp;WIDTH=450&amp;START_MAXIMIZED=FALSE&amp;VAR:CALENDAR=US&amp;VAR:SYMBOL=Company0092:INDEX=0"}</definedName>
    <definedName name="_400__FDSAUDITLINK__" hidden="1">{"fdsup://directions/FAT Viewer?action=UPDATE&amp;creator=factset&amp;DYN_ARGS=TRUE&amp;DOC_NAME=FAT:FQL_AUDITING_CLIENT_TEMPLATE.FAT&amp;display_string=Audit&amp;VAR:KEY=EXYLIFUVSD&amp;VAR:QUERY=KENTRl9JTlRBTkcoUVRSX1IsNDExMjEpQFdTRl9JTlRBTkcoUVRSLDQxMTIxKSk=&amp;WINDOW=FIRST_POPUP&amp;H","COMPANY0910=450&amp;WIDTH=450&amp;START_MAXIMIZED=FALSE&amp;VAR:CALENDAR=US&amp;VAR:SYMBOL=Company0142:INDEX=0"}</definedName>
    <definedName name="_401__FDSAUDITLINK__" hidden="1">{"fdsup://directions/FAT Viewer?action=UPDATE&amp;creator=factset&amp;DYN_ARGS=TRUE&amp;DOC_NAME=FAT:FQL_AUDITING_CLIENT_TEMPLATE.FAT&amp;display_string=Audit&amp;VAR:KEY=WRGTGJUZUH&amp;VAR:QUERY=KENTRl9TSExEUlNfRVEoUVRSX1IsNDExMjEpQFdTRl9TSExEUlNfRVEoUVRSLDQxMTIxKSk=&amp;WINDOW=FIRST","_POPUP&amp;HEIGHT=450&amp;WIDTH=450&amp;START_MAXIMIZED=FALSE&amp;VAR:CALENDAR=US&amp;VAR:SYMBOL=Company0142:INDEX=0"}</definedName>
    <definedName name="_402__FDSAUDITLINK__" hidden="1">{"fdsup://directions/FAT Viewer?action=UPDATE&amp;creator=factset&amp;DYN_ARGS=TRUE&amp;DOC_NAME=FAT:FQL_AUDITING_CLIENT_TEMPLATE.FAT&amp;display_string=Audit&amp;VAR:KEY=QVUNKVWZMJ&amp;VAR:QUERY=KENTRl9DT01fU0hTX09VVF9FUFNfRElMKFFUUl9SLDQxMDkwKUBXU0ZfQ09NX1NIU19PVVRfRVBTX0RJTChRV","FIsNDEwOTApKQ==&amp;WINDOW=FIRST_POPUP&amp;HEIGHT=450&amp;WIDTH=450&amp;START_MAXIMIZED=FALSE&amp;VAR:CALENDAR=US&amp;VAR:SYMBOL=Company0142:INDEX=0"}</definedName>
    <definedName name="_403__FDSAUDITLINK__" hidden="1">{"fdsup://directions/FAT Viewer?action=UPDATE&amp;creator=factset&amp;DYN_ARGS=TRUE&amp;DOC_NAME=FAT:FQL_AUDITING_CLIENT_TEMPLATE.FAT&amp;display_string=Audit&amp;VAR:KEY=EXSJINGVIZ&amp;VAR:QUERY=KENTRl9JTlRBTkcoUVRSX1IsNDEwOTApQFdTRl9JTlRBTkcoUVRSLDQxMDkwKSk=&amp;WINDOW=FIRST_POPUP&amp;H","COMPANY0910=450&amp;WIDTH=450&amp;START_MAXIMIZED=FALSE&amp;VAR:CALENDAR=US&amp;VAR:SYMBOL=Company0142:INDEX=0"}</definedName>
    <definedName name="_404__FDSAUDITLINK__" hidden="1">{"fdsup://directions/FAT Viewer?action=UPDATE&amp;creator=factset&amp;DYN_ARGS=TRUE&amp;DOC_NAME=FAT:FQL_AUDITING_CLIENT_TEMPLATE.FAT&amp;display_string=Audit&amp;VAR:KEY=OPMZYLCLUF&amp;VAR:QUERY=KENTRl9TSExEUlNfRVEoUVRSX1IsNDEwOTApQFdTRl9TSExEUlNfRVEoUVRSLDQxMDkwKSk=&amp;WINDOW=FIRST","_POPUP&amp;HEIGHT=450&amp;WIDTH=450&amp;START_MAXIMIZED=FALSE&amp;VAR:CALENDAR=US&amp;VAR:SYMBOL=Company0142:INDEX=0"}</definedName>
    <definedName name="_405__FDSAUDITLINK__" hidden="1">{"fdsup://directions/FAT Viewer?action=UPDATE&amp;creator=factset&amp;DYN_ARGS=TRUE&amp;DOC_NAME=FAT:FQL_AUDITING_CLIENT_TEMPLATE.FAT&amp;display_string=Audit&amp;VAR:KEY=HWPMXQFKDG&amp;VAR:QUERY=RkZfU0hMRFJTX0VRKCdRVFInLDM0MzkzKQ==&amp;WINDOW=FIRST_POPUP&amp;HEIGHT=450&amp;WIDTH=450&amp;START_MA","XIMIZED=FALSE&amp;VAR:CALENDAR=US&amp;VAR:SYMBOL=Company1335&amp;VAR:INDEX=0"}</definedName>
    <definedName name="_406__FDSAUDITLINK__" hidden="1">{"fdsup://directions/FAT Viewer?action=UPDATE&amp;creator=factset&amp;DYN_ARGS=TRUE&amp;DOC_NAME=FAT:FQL_AUDITING_CLIENT_TEMPLATE.FAT&amp;display_string=Audit&amp;VAR:KEY=HWPMXQFKDG&amp;VAR:QUERY=RkZfU0hMRFJTX0VRKCdRVFInLDM0MzkzKQ==&amp;WINDOW=FIRST_POPUP&amp;HEIGHT=450&amp;WIDTH=450&amp;START_MA","XIMIZED=FALSE&amp;VAR:CALENDAR=US&amp;VAR:SYMBOL=Company1335&amp;VAR:INDEX=0"}</definedName>
    <definedName name="_407__FDSAUDITLINK__" hidden="1">{"fdsup://directions/FAT Viewer?action=UPDATE&amp;creator=factset&amp;DYN_ARGS=TRUE&amp;DOC_NAME=FAT:FQL_AUDITING_CLIENT_TEMPLATE.FAT&amp;display_string=Audit&amp;VAR:KEY=HGHQRSRMXK&amp;VAR:QUERY=RkZfU0hMRFJTX0VRKCdRVFInLDM0MzY1KQ==&amp;WINDOW=FIRST_POPUP&amp;HEIGHT=450&amp;WIDTH=450&amp;START_MA","XIMIZED=FALSE&amp;VAR:CALENDAR=US&amp;VAR:SYMBOL=Company1335&amp;VAR:INDEX=0"}</definedName>
    <definedName name="_408__FDSAUDITLINK__" hidden="1">{"fdsup://directions/FAT Viewer?action=UPDATE&amp;creator=factset&amp;DYN_ARGS=TRUE&amp;DOC_NAME=FAT:FQL_AUDITING_CLIENT_TEMPLATE.FAT&amp;display_string=Audit&amp;VAR:KEY=HGHQRSRMXK&amp;VAR:QUERY=RkZfU0hMRFJTX0VRKCdRVFInLDM0MzY1KQ==&amp;WINDOW=FIRST_POPUP&amp;HEIGHT=450&amp;WIDTH=450&amp;START_MA","XIMIZED=FALSE&amp;VAR:CALENDAR=US&amp;VAR:SYMBOL=Company1335&amp;VAR:INDEX=0"}</definedName>
    <definedName name="_409__FDSAUDITLINK__" hidden="1">{"fdsup://directions/FAT Viewer?action=UPDATE&amp;creator=factset&amp;DYN_ARGS=TRUE&amp;DOC_NAME=FAT:FQL_AUDITING_CLIENT_TEMPLATE.FAT&amp;display_string=Audit&amp;VAR:KEY=BUREXWXKTA&amp;VAR:QUERY=RkZfU0hMRFJTX0VRKCdRVFInLDM0MzM0KQ==&amp;WINDOW=FIRST_POPUP&amp;HEIGHT=450&amp;WIDTH=450&amp;START_MA","XIMIZED=FALSE&amp;VAR:CALENDAR=US&amp;VAR:SYMBOL=Company1335&amp;VAR:INDEX=0"}</definedName>
    <definedName name="_41__FDSAUDITLINK__" hidden="1">{"fdsup://directions/FAT Viewer?action=UPDATE&amp;creator=factset&amp;DYN_ARGS=TRUE&amp;DOC_NAME=FAT:FQL_AUDITING_CLIENT_TEMPLATE.FAT&amp;display_string=Audit&amp;VAR:KEY=QPEHWNSLAR&amp;VAR:QUERY=KENTRl9JTlRBTkcoUVRSX1IsMzYxMjkpQFdTRl9JTlRBTkcoUVRSLDM2MTI5KSk=&amp;WINDOW=FIRST_POPUP&amp;H","COMPANY0910=450&amp;WIDTH=450&amp;START_MAXIMIZED=FALSE&amp;VAR:CALENDAR=US&amp;VAR:SYMBOL=Company0092:INDEX=0"}</definedName>
    <definedName name="_410__FDSAUDITLINK__" hidden="1">{"fdsup://directions/FAT Viewer?action=UPDATE&amp;creator=factset&amp;DYN_ARGS=TRUE&amp;DOC_NAME=FAT:FQL_AUDITING_CLIENT_TEMPLATE.FAT&amp;display_string=Audit&amp;VAR:KEY=BUREXWXKTA&amp;VAR:QUERY=RkZfU0hMRFJTX0VRKCdRVFInLDM0MzM0KQ==&amp;WINDOW=FIRST_POPUP&amp;HEIGHT=450&amp;WIDTH=450&amp;START_MA","XIMIZED=FALSE&amp;VAR:CALENDAR=US&amp;VAR:SYMBOL=Company1335&amp;VAR:INDEX=0"}</definedName>
    <definedName name="_411__FDSAUDITLINK__" hidden="1">{"fdsup://directions/FAT Viewer?action=UPDATE&amp;creator=factset&amp;DYN_ARGS=TRUE&amp;DOC_NAME=FAT:FQL_AUDITING_CLIENT_TEMPLATE.FAT&amp;display_string=Audit&amp;VAR:KEY=XKXKRGPWXO&amp;VAR:QUERY=RkZfU0hMRFJTX0VRKCdRVFInLDM0MzAzKQ==&amp;WINDOW=FIRST_POPUP&amp;HEIGHT=450&amp;WIDTH=450&amp;START_MA","XIMIZED=FALSE&amp;VAR:CALENDAR=US&amp;VAR:SYMBOL=Company1335&amp;VAR:INDEX=0"}</definedName>
    <definedName name="_412__FDSAUDITLINK__" hidden="1">{"fdsup://directions/FAT Viewer?action=UPDATE&amp;creator=factset&amp;DYN_ARGS=TRUE&amp;DOC_NAME=FAT:FQL_AUDITING_CLIENT_TEMPLATE.FAT&amp;display_string=Audit&amp;VAR:KEY=XKXKRGPWXO&amp;VAR:QUERY=RkZfU0hMRFJTX0VRKCdRVFInLDM0MzAzKQ==&amp;WINDOW=FIRST_POPUP&amp;HEIGHT=450&amp;WIDTH=450&amp;START_MA","XIMIZED=FALSE&amp;VAR:CALENDAR=US&amp;VAR:SYMBOL=Company1335&amp;VAR:INDEX=0"}</definedName>
    <definedName name="_413__FDSAUDITLINK__" hidden="1">{"fdsup://directions/FAT Viewer?action=UPDATE&amp;creator=factset&amp;DYN_ARGS=TRUE&amp;DOC_NAME=FAT:FQL_AUDITING_CLIENT_TEMPLATE.FAT&amp;display_string=Audit&amp;VAR:KEY=NIVOBSJKJY&amp;VAR:QUERY=RkZfU0hMRFJTX0VRKCdRVFInLDM0MjcxKQ==&amp;WINDOW=FIRST_POPUP&amp;HEIGHT=450&amp;WIDTH=450&amp;START_MA","XIMIZED=FALSE&amp;VAR:CALENDAR=US&amp;VAR:SYMBOL=Company1335&amp;VAR:INDEX=0"}</definedName>
    <definedName name="_414__FDSAUDITLINK__" hidden="1">{"fdsup://directions/FAT Viewer?action=UPDATE&amp;creator=factset&amp;DYN_ARGS=TRUE&amp;DOC_NAME=FAT:FQL_AUDITING_CLIENT_TEMPLATE.FAT&amp;display_string=Audit&amp;VAR:KEY=NIVOBSJKJY&amp;VAR:QUERY=RkZfU0hMRFJTX0VRKCdRVFInLDM0MjcxKQ==&amp;WINDOW=FIRST_POPUP&amp;HEIGHT=450&amp;WIDTH=450&amp;START_MA","XIMIZED=FALSE&amp;VAR:CALENDAR=US&amp;VAR:SYMBOL=Company1335&amp;VAR:INDEX=0"}</definedName>
    <definedName name="_415__FDSAUDITLINK__" hidden="1">{"fdsup://directions/FAT Viewer?action=UPDATE&amp;creator=factset&amp;DYN_ARGS=TRUE&amp;DOC_NAME=FAT:FQL_AUDITING_CLIENT_TEMPLATE.FAT&amp;display_string=Audit&amp;VAR:KEY=HAHKDAREFM&amp;VAR:QUERY=RkZfU0hMRFJTX0VRKCdRVFInLDM0MjQyKQ==&amp;WINDOW=FIRST_POPUP&amp;HEIGHT=450&amp;WIDTH=450&amp;START_MA","XIMIZED=FALSE&amp;VAR:CALENDAR=US&amp;VAR:SYMBOL=Company1335&amp;VAR:INDEX=0"}</definedName>
    <definedName name="_416__FDSAUDITLINK__" hidden="1">{"fdsup://directions/FAT Viewer?action=UPDATE&amp;creator=factset&amp;DYN_ARGS=TRUE&amp;DOC_NAME=FAT:FQL_AUDITING_CLIENT_TEMPLATE.FAT&amp;display_string=Audit&amp;VAR:KEY=HAHKDAREFM&amp;VAR:QUERY=RkZfU0hMRFJTX0VRKCdRVFInLDM0MjQyKQ==&amp;WINDOW=FIRST_POPUP&amp;HEIGHT=450&amp;WIDTH=450&amp;START_MA","XIMIZED=FALSE&amp;VAR:CALENDAR=US&amp;VAR:SYMBOL=Company1335&amp;VAR:INDEX=0"}</definedName>
    <definedName name="_417__FDSAUDITLINK__" hidden="1">{"fdsup://directions/FAT Viewer?action=UPDATE&amp;creator=factset&amp;DYN_ARGS=TRUE&amp;DOC_NAME=FAT:FQL_AUDITING_CLIENT_TEMPLATE.FAT&amp;display_string=Audit&amp;VAR:KEY=LGZQZGXGXM&amp;VAR:QUERY=RkZfU0hMRFJTX0VRKCdRVFInLDM0MjEyKQ==&amp;WINDOW=FIRST_POPUP&amp;HEIGHT=450&amp;WIDTH=450&amp;START_MA","XIMIZED=FALSE&amp;VAR:CALENDAR=US&amp;VAR:SYMBOL=Company1335&amp;VAR:INDEX=0"}</definedName>
    <definedName name="_418__FDSAUDITLINK__" hidden="1">{"fdsup://directions/FAT Viewer?action=UPDATE&amp;creator=factset&amp;DYN_ARGS=TRUE&amp;DOC_NAME=FAT:FQL_AUDITING_CLIENT_TEMPLATE.FAT&amp;display_string=Audit&amp;VAR:KEY=LGZQZGXGXM&amp;VAR:QUERY=RkZfU0hMRFJTX0VRKCdRVFInLDM0MjEyKQ==&amp;WINDOW=FIRST_POPUP&amp;HEIGHT=450&amp;WIDTH=450&amp;START_MA","XIMIZED=FALSE&amp;VAR:CALENDAR=US&amp;VAR:SYMBOL=Company1335&amp;VAR:INDEX=0"}</definedName>
    <definedName name="_419__FDSAUDITLINK__" hidden="1">{"fdsup://directions/FAT Viewer?action=UPDATE&amp;creator=factset&amp;DYN_ARGS=TRUE&amp;DOC_NAME=FAT:FQL_AUDITING_CLIENT_TEMPLATE.FAT&amp;display_string=Audit&amp;VAR:KEY=POZGRMXOTO&amp;VAR:QUERY=RkZfU0hMRFJTX0VRKCdRVFInLDM0MTgwKQ==&amp;WINDOW=FIRST_POPUP&amp;HEIGHT=450&amp;WIDTH=450&amp;START_MA","XIMIZED=FALSE&amp;VAR:CALENDAR=US&amp;VAR:SYMBOL=Company1335&amp;VAR:INDEX=0"}</definedName>
    <definedName name="_42__FDSAUDITLINK__" hidden="1">{"fdsup://directions/FAT Viewer?action=UPDATE&amp;creator=factset&amp;DYN_ARGS=TRUE&amp;DOC_NAME=FAT:FQL_AUDITING_CLIENT_TEMPLATE.FAT&amp;display_string=Audit&amp;VAR:KEY=SNKTAXSVEJ&amp;VAR:QUERY=KENTRl9DT01fU0hTX09VVF9FUFNfRElMKFFUUl9SLDM2MDk4KUBXU0ZfQ09NX1NIU19PVVRfRVBTX0RJTChRV","FIsMzYwOTgpKQ==&amp;WINDOW=FIRST_POPUP&amp;HEIGHT=450&amp;WIDTH=450&amp;START_MAXIMIZED=FALSE&amp;VAR:CALENDAR=US&amp;VAR:SYMBOL=Company0092:INDEX=0"}</definedName>
    <definedName name="_420__FDSAUDITLINK__" hidden="1">{"fdsup://directions/FAT Viewer?action=UPDATE&amp;creator=factset&amp;DYN_ARGS=TRUE&amp;DOC_NAME=FAT:FQL_AUDITING_CLIENT_TEMPLATE.FAT&amp;display_string=Audit&amp;VAR:KEY=POZGRMXOTO&amp;VAR:QUERY=RkZfU0hMRFJTX0VRKCdRVFInLDM0MTgwKQ==&amp;WINDOW=FIRST_POPUP&amp;HEIGHT=450&amp;WIDTH=450&amp;START_MA","XIMIZED=FALSE&amp;VAR:CALENDAR=US&amp;VAR:SYMBOL=Company1335&amp;VAR:INDEX=0"}</definedName>
    <definedName name="_421__FDSAUDITLINK__" hidden="1">{"fdsup://directions/FAT Viewer?action=UPDATE&amp;creator=factset&amp;DYN_ARGS=TRUE&amp;DOC_NAME=FAT:FQL_AUDITING_CLIENT_TEMPLATE.FAT&amp;display_string=Audit&amp;VAR:KEY=LKXSPQFIJS&amp;VAR:QUERY=RkZfU0hMRFJTX0VRKCdRVFInLDM0MTUwKQ==&amp;WINDOW=FIRST_POPUP&amp;HEIGHT=450&amp;WIDTH=450&amp;START_MA","XIMIZED=FALSE&amp;VAR:CALENDAR=US&amp;VAR:SYMBOL=Company1335&amp;VAR:INDEX=0"}</definedName>
    <definedName name="_422__FDSAUDITLINK__" hidden="1">{"fdsup://directions/FAT Viewer?action=UPDATE&amp;creator=factset&amp;DYN_ARGS=TRUE&amp;DOC_NAME=FAT:FQL_AUDITING_CLIENT_TEMPLATE.FAT&amp;display_string=Audit&amp;VAR:KEY=LKXSPQFIJS&amp;VAR:QUERY=RkZfU0hMRFJTX0VRKCdRVFInLDM0MTUwKQ==&amp;WINDOW=FIRST_POPUP&amp;HEIGHT=450&amp;WIDTH=450&amp;START_MA","XIMIZED=FALSE&amp;VAR:CALENDAR=US&amp;VAR:SYMBOL=Company1335&amp;VAR:INDEX=0"}</definedName>
    <definedName name="_423__FDSAUDITLINK__" hidden="1">{"fdsup://directions/FAT Viewer?action=UPDATE&amp;creator=factset&amp;DYN_ARGS=TRUE&amp;DOC_NAME=FAT:FQL_AUDITING_CLIENT_TEMPLATE.FAT&amp;display_string=Audit&amp;VAR:KEY=LGJUZGDIBW&amp;VAR:QUERY=RkZfU0hMRFJTX0VRKCdRVFInLDM0MTE3KQ==&amp;WINDOW=FIRST_POPUP&amp;HEIGHT=450&amp;WIDTH=450&amp;START_MA","XIMIZED=FALSE&amp;VAR:CALENDAR=US&amp;VAR:SYMBOL=Company1335&amp;VAR:INDEX=0"}</definedName>
    <definedName name="_424__FDSAUDITLINK__" hidden="1">{"fdsup://directions/FAT Viewer?action=UPDATE&amp;creator=factset&amp;DYN_ARGS=TRUE&amp;DOC_NAME=FAT:FQL_AUDITING_CLIENT_TEMPLATE.FAT&amp;display_string=Audit&amp;VAR:KEY=LGJUZGDIBW&amp;VAR:QUERY=RkZfU0hMRFJTX0VRKCdRVFInLDM0MTE3KQ==&amp;WINDOW=FIRST_POPUP&amp;HEIGHT=450&amp;WIDTH=450&amp;START_MA","XIMIZED=FALSE&amp;VAR:CALENDAR=US&amp;VAR:SYMBOL=Company1335&amp;VAR:INDEX=0"}</definedName>
    <definedName name="_425__FDSAUDITLINK__" hidden="1">{"fdsup://directions/FAT Viewer?action=UPDATE&amp;creator=factset&amp;DYN_ARGS=TRUE&amp;DOC_NAME=FAT:FQL_AUDITING_CLIENT_TEMPLATE.FAT&amp;display_string=Audit&amp;VAR:KEY=BOFMHUFWNM&amp;VAR:QUERY=RkZfU0hMRFJTX0VRKCdRVFInLDM0MDg5KQ==&amp;WINDOW=FIRST_POPUP&amp;HEIGHT=450&amp;WIDTH=450&amp;START_MA","XIMIZED=FALSE&amp;VAR:CALENDAR=US&amp;VAR:SYMBOL=Company1335&amp;VAR:INDEX=0"}</definedName>
    <definedName name="_426__FDSAUDITLINK__" hidden="1">{"fdsup://directions/FAT Viewer?action=UPDATE&amp;creator=factset&amp;DYN_ARGS=TRUE&amp;DOC_NAME=FAT:FQL_AUDITING_CLIENT_TEMPLATE.FAT&amp;display_string=Audit&amp;VAR:KEY=BOFMHUFWNM&amp;VAR:QUERY=RkZfU0hMRFJTX0VRKCdRVFInLDM0MDg5KQ==&amp;WINDOW=FIRST_POPUP&amp;HEIGHT=450&amp;WIDTH=450&amp;START_MA","XIMIZED=FALSE&amp;VAR:CALENDAR=US&amp;VAR:SYMBOL=Company1335&amp;VAR:INDEX=0"}</definedName>
    <definedName name="_427__FDSAUDITLINK__" hidden="1">{"fdsup://directions/FAT Viewer?action=UPDATE&amp;creator=factset&amp;DYN_ARGS=TRUE&amp;DOC_NAME=FAT:FQL_AUDITING_CLIENT_TEMPLATE.FAT&amp;display_string=Audit&amp;VAR:KEY=HGRQRITOZA&amp;VAR:QUERY=RkZfU0hMRFJTX0VRKCdRVFInLDM0MDU5KQ==&amp;WINDOW=FIRST_POPUP&amp;HEIGHT=450&amp;WIDTH=450&amp;START_MA","XIMIZED=FALSE&amp;VAR:CALENDAR=US&amp;VAR:SYMBOL=Company1335&amp;VAR:INDEX=0"}</definedName>
    <definedName name="_428__FDSAUDITLINK__" hidden="1">{"fdsup://directions/FAT Viewer?action=UPDATE&amp;creator=factset&amp;DYN_ARGS=TRUE&amp;DOC_NAME=FAT:FQL_AUDITING_CLIENT_TEMPLATE.FAT&amp;display_string=Audit&amp;VAR:KEY=HGRQRITOZA&amp;VAR:QUERY=RkZfU0hMRFJTX0VRKCdRVFInLDM0MDU5KQ==&amp;WINDOW=FIRST_POPUP&amp;HEIGHT=450&amp;WIDTH=450&amp;START_MA","XIMIZED=FALSE&amp;VAR:CALENDAR=US&amp;VAR:SYMBOL=Company1335&amp;VAR:INDEX=0"}</definedName>
    <definedName name="_429__FDSAUDITLINK__" hidden="1">{"fdsup://directions/FAT Viewer?action=UPDATE&amp;creator=factset&amp;DYN_ARGS=TRUE&amp;DOC_NAME=FAT:FQL_AUDITING_CLIENT_TEMPLATE.FAT&amp;display_string=Audit&amp;VAR:KEY=XETYTENCVU&amp;VAR:QUERY=RkZfU0hMRFJTX0VRKCdRVFInLDM0MDI2KQ==&amp;WINDOW=FIRST_POPUP&amp;HEIGHT=450&amp;WIDTH=450&amp;START_MA","XIMIZED=FALSE&amp;VAR:CALENDAR=US&amp;VAR:SYMBOL=Company1335&amp;VAR:INDEX=0"}</definedName>
    <definedName name="_43__FDSAUDITLINK__" hidden="1">{"fdsup://directions/FAT Viewer?action=UPDATE&amp;creator=factset&amp;DYN_ARGS=TRUE&amp;DOC_NAME=FAT:FQL_AUDITING_CLIENT_TEMPLATE.FAT&amp;display_string=Audit&amp;VAR:KEY=SDELUFCFMH&amp;VAR:QUERY=KENTRl9JTlRBTkcoUVRSX1IsMzYwOTgpQFdTRl9JTlRBTkcoUVRSLDM2MDk4KSk=&amp;WINDOW=FIRST_POPUP&amp;H","COMPANY0910=450&amp;WIDTH=450&amp;START_MAXIMIZED=FALSE&amp;VAR:CALENDAR=US&amp;VAR:SYMBOL=Company0092:INDEX=0"}</definedName>
    <definedName name="_430__FDSAUDITLINK__" hidden="1">{"fdsup://directions/FAT Viewer?action=UPDATE&amp;creator=factset&amp;DYN_ARGS=TRUE&amp;DOC_NAME=FAT:FQL_AUDITING_CLIENT_TEMPLATE.FAT&amp;display_string=Audit&amp;VAR:KEY=XETYTENCVU&amp;VAR:QUERY=RkZfU0hMRFJTX0VRKCdRVFInLDM0MDI2KQ==&amp;WINDOW=FIRST_POPUP&amp;HEIGHT=450&amp;WIDTH=450&amp;START_MA","XIMIZED=FALSE&amp;VAR:CALENDAR=US&amp;VAR:SYMBOL=Company1335&amp;VAR:INDEX=0"}</definedName>
    <definedName name="_431__FDSAUDITLINK__" hidden="1">{"fdsup://directions/FAT Viewer?action=UPDATE&amp;creator=factset&amp;DYN_ARGS=TRUE&amp;DOC_NAME=FAT:FQL_AUDITING_CLIENT_TEMPLATE.FAT&amp;display_string=Audit&amp;VAR:KEY=PAPQVWZSDY&amp;VAR:QUERY=RkZfU0hMRFJTX0VRKCdRVFInLDMzOTk4KQ==&amp;WINDOW=FIRST_POPUP&amp;HEIGHT=450&amp;WIDTH=450&amp;START_MA","XIMIZED=FALSE&amp;VAR:CALENDAR=US&amp;VAR:SYMBOL=Company1335&amp;VAR:INDEX=0"}</definedName>
    <definedName name="_432__FDSAUDITLINK__" hidden="1">{"fdsup://directions/FAT Viewer?action=UPDATE&amp;creator=factset&amp;DYN_ARGS=TRUE&amp;DOC_NAME=FAT:FQL_AUDITING_CLIENT_TEMPLATE.FAT&amp;display_string=Audit&amp;VAR:KEY=PAPQVWZSDY&amp;VAR:QUERY=RkZfU0hMRFJTX0VRKCdRVFInLDMzOTk4KQ==&amp;WINDOW=FIRST_POPUP&amp;HEIGHT=450&amp;WIDTH=450&amp;START_MA","XIMIZED=FALSE&amp;VAR:CALENDAR=US&amp;VAR:SYMBOL=Company1335&amp;VAR:INDEX=0"}</definedName>
    <definedName name="_433__FDSAUDITLINK__" hidden="1">{"fdsup://directions/FAT Viewer?action=UPDATE&amp;creator=factset&amp;DYN_ARGS=TRUE&amp;DOC_NAME=FAT:FQL_AUDITING_CLIENT_TEMPLATE.FAT&amp;display_string=Audit&amp;VAR:KEY=RYXMHMTQLG&amp;VAR:QUERY=RkZfU0hMRFJTX0VRKCdRVFInLDMzOTY5KQ==&amp;WINDOW=FIRST_POPUP&amp;HEIGHT=450&amp;WIDTH=450&amp;START_MA","XIMIZED=FALSE&amp;VAR:CALENDAR=US&amp;VAR:SYMBOL=Company1335&amp;VAR:INDEX=0"}</definedName>
    <definedName name="_434__FDSAUDITLINK__" hidden="1">{"fdsup://directions/FAT Viewer?action=UPDATE&amp;creator=factset&amp;DYN_ARGS=TRUE&amp;DOC_NAME=FAT:FQL_AUDITING_CLIENT_TEMPLATE.FAT&amp;display_string=Audit&amp;VAR:KEY=RYXMHMTQLG&amp;VAR:QUERY=RkZfU0hMRFJTX0VRKCdRVFInLDMzOTY5KQ==&amp;WINDOW=FIRST_POPUP&amp;HEIGHT=450&amp;WIDTH=450&amp;START_MA","XIMIZED=FALSE&amp;VAR:CALENDAR=US&amp;VAR:SYMBOL=Company1335&amp;VAR:INDEX=0"}</definedName>
    <definedName name="_435__FDSAUDITLINK__" hidden="1">{"fdsup://directions/FAT Viewer?action=UPDATE&amp;creator=factset&amp;DYN_ARGS=TRUE&amp;DOC_NAME=FAT:FQL_AUDITING_CLIENT_TEMPLATE.FAT&amp;display_string=Audit&amp;VAR:KEY=TOVANGRUTG&amp;VAR:QUERY=RkZfU0hMRFJTX0VRKCdRVFInLDMzOTM4KQ==&amp;WINDOW=FIRST_POPUP&amp;HEIGHT=450&amp;WIDTH=450&amp;START_MA","XIMIZED=FALSE&amp;VAR:CALENDAR=US&amp;VAR:SYMBOL=Company1335&amp;VAR:INDEX=0"}</definedName>
    <definedName name="_436__FDSAUDITLINK__" hidden="1">{"fdsup://directions/FAT Viewer?action=UPDATE&amp;creator=factset&amp;DYN_ARGS=TRUE&amp;DOC_NAME=FAT:FQL_AUDITING_CLIENT_TEMPLATE.FAT&amp;display_string=Audit&amp;VAR:KEY=TOVANGRUTG&amp;VAR:QUERY=RkZfU0hMRFJTX0VRKCdRVFInLDMzOTM4KQ==&amp;WINDOW=FIRST_POPUP&amp;HEIGHT=450&amp;WIDTH=450&amp;START_MA","XIMIZED=FALSE&amp;VAR:CALENDAR=US&amp;VAR:SYMBOL=Company1335&amp;VAR:INDEX=0"}</definedName>
    <definedName name="_437__FDSAUDITLINK__" hidden="1">{"fdsup://directions/FAT Viewer?action=UPDATE&amp;creator=factset&amp;DYN_ARGS=TRUE&amp;DOC_NAME=FAT:FQL_AUDITING_CLIENT_TEMPLATE.FAT&amp;display_string=Audit&amp;VAR:KEY=PGZQZCHORI&amp;VAR:QUERY=RkZfU0hMRFJTX0VRKCdRVFInLDMzOTA3KQ==&amp;WINDOW=FIRST_POPUP&amp;HEIGHT=450&amp;WIDTH=450&amp;START_MA","XIMIZED=FALSE&amp;VAR:CALENDAR=US&amp;VAR:SYMBOL=Company1335&amp;VAR:INDEX=0"}</definedName>
    <definedName name="_438__FDSAUDITLINK__" hidden="1">{"fdsup://directions/FAT Viewer?action=UPDATE&amp;creator=factset&amp;DYN_ARGS=TRUE&amp;DOC_NAME=FAT:FQL_AUDITING_CLIENT_TEMPLATE.FAT&amp;display_string=Audit&amp;VAR:KEY=PGZQZCHORI&amp;VAR:QUERY=RkZfU0hMRFJTX0VRKCdRVFInLDMzOTA3KQ==&amp;WINDOW=FIRST_POPUP&amp;HEIGHT=450&amp;WIDTH=450&amp;START_MA","XIMIZED=FALSE&amp;VAR:CALENDAR=US&amp;VAR:SYMBOL=Company1335&amp;VAR:INDEX=0"}</definedName>
    <definedName name="_439__FDSAUDITLINK__" hidden="1">{"fdsup://directions/FAT Viewer?action=UPDATE&amp;creator=factset&amp;DYN_ARGS=TRUE&amp;DOC_NAME=FAT:FQL_AUDITING_CLIENT_TEMPLATE.FAT&amp;display_string=Audit&amp;VAR:KEY=TOHEHAZCLA&amp;VAR:QUERY=RkZfU0hMRFJTX0VRKCdRVFInLDMzODc3KQ==&amp;WINDOW=FIRST_POPUP&amp;HEIGHT=450&amp;WIDTH=450&amp;START_MA","XIMIZED=FALSE&amp;VAR:CALENDAR=US&amp;VAR:SYMBOL=Company1335&amp;VAR:INDEX=0"}</definedName>
    <definedName name="_44__FDSAUDITLINK__" hidden="1">{"fdsup://directions/FAT Viewer?action=UPDATE&amp;creator=factset&amp;DYN_ARGS=TRUE&amp;DOC_NAME=FAT:FQL_AUDITING_CLIENT_TEMPLATE.FAT&amp;display_string=Audit&amp;VAR:KEY=GZYXSRSLAB&amp;VAR:QUERY=KENTRl9DT01fU0hTX09VVF9FUFNfRElMKFFUUl9SLDM2MDY4KUBXU0ZfQ09NX1NIU19PVVRfRVBTX0RJTChRV","FIsMzYwNjgpKQ==&amp;WINDOW=FIRST_POPUP&amp;HEIGHT=450&amp;WIDTH=450&amp;START_MAXIMIZED=FALSE&amp;VAR:CALENDAR=US&amp;VAR:SYMBOL=Company0092:INDEX=0"}</definedName>
    <definedName name="_440__FDSAUDITLINK__" hidden="1">{"fdsup://directions/FAT Viewer?action=UPDATE&amp;creator=factset&amp;DYN_ARGS=TRUE&amp;DOC_NAME=FAT:FQL_AUDITING_CLIENT_TEMPLATE.FAT&amp;display_string=Audit&amp;VAR:KEY=TOHEHAZCLA&amp;VAR:QUERY=RkZfU0hMRFJTX0VRKCdRVFInLDMzODc3KQ==&amp;WINDOW=FIRST_POPUP&amp;HEIGHT=450&amp;WIDTH=450&amp;START_MA","XIMIZED=FALSE&amp;VAR:CALENDAR=US&amp;VAR:SYMBOL=Company1335&amp;VAR:INDEX=0"}</definedName>
    <definedName name="_441__FDSAUDITLINK__" hidden="1">{"fdsup://directions/FAT Viewer?action=UPDATE&amp;creator=factset&amp;DYN_ARGS=TRUE&amp;DOC_NAME=FAT:FQL_AUDITING_CLIENT_TEMPLATE.FAT&amp;display_string=Audit&amp;VAR:KEY=ZMTKTWRCXW&amp;VAR:QUERY=RkZfU0hMRFJTX0VRKCdRVFInLDMzODQ3KQ==&amp;WINDOW=FIRST_POPUP&amp;HEIGHT=450&amp;WIDTH=450&amp;START_MA","XIMIZED=FALSE&amp;VAR:CALENDAR=US&amp;VAR:SYMBOL=Company1335&amp;VAR:INDEX=0"}</definedName>
    <definedName name="_442__FDSAUDITLINK__" hidden="1">{"fdsup://directions/FAT Viewer?action=UPDATE&amp;creator=factset&amp;DYN_ARGS=TRUE&amp;DOC_NAME=FAT:FQL_AUDITING_CLIENT_TEMPLATE.FAT&amp;display_string=Audit&amp;VAR:KEY=ZMTKTWRCXW&amp;VAR:QUERY=RkZfU0hMRFJTX0VRKCdRVFInLDMzODQ3KQ==&amp;WINDOW=FIRST_POPUP&amp;HEIGHT=450&amp;WIDTH=450&amp;START_MA","XIMIZED=FALSE&amp;VAR:CALENDAR=US&amp;VAR:SYMBOL=Company1335&amp;VAR:INDEX=0"}</definedName>
    <definedName name="_443__FDSAUDITLINK__" hidden="1">{"fdsup://directions/FAT Viewer?action=UPDATE&amp;creator=factset&amp;DYN_ARGS=TRUE&amp;DOC_NAME=FAT:FQL_AUDITING_CLIENT_TEMPLATE.FAT&amp;display_string=Audit&amp;VAR:KEY=PQPIBUTQJC&amp;VAR:QUERY=RkZfU0hMRFJTX0VRKCdRVFInLDMzODE2KQ==&amp;WINDOW=FIRST_POPUP&amp;HEIGHT=450&amp;WIDTH=450&amp;START_MA","XIMIZED=FALSE&amp;VAR:CALENDAR=US&amp;VAR:SYMBOL=Company1335&amp;VAR:INDEX=0"}</definedName>
    <definedName name="_444__FDSAUDITLINK__" hidden="1">{"fdsup://directions/FAT Viewer?action=UPDATE&amp;creator=factset&amp;DYN_ARGS=TRUE&amp;DOC_NAME=FAT:FQL_AUDITING_CLIENT_TEMPLATE.FAT&amp;display_string=Audit&amp;VAR:KEY=PQPIBUTQJC&amp;VAR:QUERY=RkZfU0hMRFJTX0VRKCdRVFInLDMzODE2KQ==&amp;WINDOW=FIRST_POPUP&amp;HEIGHT=450&amp;WIDTH=450&amp;START_MA","XIMIZED=FALSE&amp;VAR:CALENDAR=US&amp;VAR:SYMBOL=Company1335&amp;VAR:INDEX=0"}</definedName>
    <definedName name="_445__FDSAUDITLINK__" hidden="1">{"fdsup://directions/FAT Viewer?action=UPDATE&amp;creator=factset&amp;DYN_ARGS=TRUE&amp;DOC_NAME=FAT:FQL_AUDITING_CLIENT_TEMPLATE.FAT&amp;display_string=Audit&amp;VAR:KEY=ZCXOHQROBO&amp;VAR:QUERY=RkZfU0hMRFJTX0VRKCdRVFInLDMzNzg1KQ==&amp;WINDOW=FIRST_POPUP&amp;HEIGHT=450&amp;WIDTH=450&amp;START_MA","XIMIZED=FALSE&amp;VAR:CALENDAR=US&amp;VAR:SYMBOL=Company1335&amp;VAR:INDEX=0"}</definedName>
    <definedName name="_446__FDSAUDITLINK__" hidden="1">{"fdsup://directions/FAT Viewer?action=UPDATE&amp;creator=factset&amp;DYN_ARGS=TRUE&amp;DOC_NAME=FAT:FQL_AUDITING_CLIENT_TEMPLATE.FAT&amp;display_string=Audit&amp;VAR:KEY=ZCXOHQROBO&amp;VAR:QUERY=RkZfU0hMRFJTX0VRKCdRVFInLDMzNzg1KQ==&amp;WINDOW=FIRST_POPUP&amp;HEIGHT=450&amp;WIDTH=450&amp;START_MA","XIMIZED=FALSE&amp;VAR:CALENDAR=US&amp;VAR:SYMBOL=Company1335&amp;VAR:INDEX=0"}</definedName>
    <definedName name="_447__FDSAUDITLINK__" hidden="1">{"fdsup://directions/FAT Viewer?action=UPDATE&amp;creator=factset&amp;DYN_ARGS=TRUE&amp;DOC_NAME=FAT:FQL_AUDITING_CLIENT_TEMPLATE.FAT&amp;display_string=Audit&amp;VAR:KEY=FOPSDUHELO&amp;VAR:QUERY=RkZfU0hMRFJTX0VRKCdRVFInLDMzNzUzKQ==&amp;WINDOW=FIRST_POPUP&amp;HEIGHT=450&amp;WIDTH=450&amp;START_MA","XIMIZED=FALSE&amp;VAR:CALENDAR=US&amp;VAR:SYMBOL=Company1335&amp;VAR:INDEX=0"}</definedName>
    <definedName name="_448__FDSAUDITLINK__" hidden="1">{"fdsup://directions/FAT Viewer?action=UPDATE&amp;creator=factset&amp;DYN_ARGS=TRUE&amp;DOC_NAME=FAT:FQL_AUDITING_CLIENT_TEMPLATE.FAT&amp;display_string=Audit&amp;VAR:KEY=FOPSDUHELO&amp;VAR:QUERY=RkZfU0hMRFJTX0VRKCdRVFInLDMzNzUzKQ==&amp;WINDOW=FIRST_POPUP&amp;HEIGHT=450&amp;WIDTH=450&amp;START_MA","XIMIZED=FALSE&amp;VAR:CALENDAR=US&amp;VAR:SYMBOL=Company1335&amp;VAR:INDEX=0"}</definedName>
    <definedName name="_449__FDSAUDITLINK__" hidden="1">{"fdsup://directions/FAT Viewer?action=UPDATE&amp;creator=factset&amp;DYN_ARGS=TRUE&amp;DOC_NAME=FAT:FQL_AUDITING_CLIENT_TEMPLATE.FAT&amp;display_string=Audit&amp;VAR:KEY=HGTCZQTUHC&amp;VAR:QUERY=RkZfU0hMRFJTX0VRKCdRVFInLDMzNzI0KQ==&amp;WINDOW=FIRST_POPUP&amp;HEIGHT=450&amp;WIDTH=450&amp;START_MA","XIMIZED=FALSE&amp;VAR:CALENDAR=US&amp;VAR:SYMBOL=Company1335&amp;VAR:INDEX=0"}</definedName>
    <definedName name="_45__FDSAUDITLINK__" hidden="1">{"fdsup://directions/FAT Viewer?action=UPDATE&amp;creator=factset&amp;DYN_ARGS=TRUE&amp;DOC_NAME=FAT:FQL_AUDITING_CLIENT_TEMPLATE.FAT&amp;display_string=Audit&amp;VAR:KEY=OTUZKHYDIH&amp;VAR:QUERY=KENTRl9JTlRBTkcoUVRSX1IsMzYwNjgpQFdTRl9JTlRBTkcoUVRSLDM2MDY4KSk=&amp;WINDOW=FIRST_POPUP&amp;H","COMPANY0910=450&amp;WIDTH=450&amp;START_MAXIMIZED=FALSE&amp;VAR:CALENDAR=US&amp;VAR:SYMBOL=Company0092:INDEX=0"}</definedName>
    <definedName name="_450__FDSAUDITLINK__" hidden="1">{"fdsup://directions/FAT Viewer?action=UPDATE&amp;creator=factset&amp;DYN_ARGS=TRUE&amp;DOC_NAME=FAT:FQL_AUDITING_CLIENT_TEMPLATE.FAT&amp;display_string=Audit&amp;VAR:KEY=HGTCZQTUHC&amp;VAR:QUERY=RkZfU0hMRFJTX0VRKCdRVFInLDMzNzI0KQ==&amp;WINDOW=FIRST_POPUP&amp;HEIGHT=450&amp;WIDTH=450&amp;START_MA","XIMIZED=FALSE&amp;VAR:CALENDAR=US&amp;VAR:SYMBOL=Company1335&amp;VAR:INDEX=0"}</definedName>
    <definedName name="_451__FDSAUDITLINK__" hidden="1">{"fdsup://directions/FAT Viewer?action=UPDATE&amp;creator=factset&amp;DYN_ARGS=TRUE&amp;DOC_NAME=FAT:FQL_AUDITING_CLIENT_TEMPLATE.FAT&amp;display_string=Audit&amp;VAR:KEY=XGRQFMFSRS&amp;VAR:QUERY=RkZfU0hMRFJTX0VRKCdRVFInLDMzNjk0KQ==&amp;WINDOW=FIRST_POPUP&amp;HEIGHT=450&amp;WIDTH=450&amp;START_MA","XIMIZED=FALSE&amp;VAR:CALENDAR=US&amp;VAR:SYMBOL=Company1335&amp;VAR:INDEX=0"}</definedName>
    <definedName name="_452__FDSAUDITLINK__" hidden="1">{"fdsup://directions/FAT Viewer?action=UPDATE&amp;creator=factset&amp;DYN_ARGS=TRUE&amp;DOC_NAME=FAT:FQL_AUDITING_CLIENT_TEMPLATE.FAT&amp;display_string=Audit&amp;VAR:KEY=XGRQFMFSRS&amp;VAR:QUERY=RkZfU0hMRFJTX0VRKCdRVFInLDMzNjk0KQ==&amp;WINDOW=FIRST_POPUP&amp;HEIGHT=450&amp;WIDTH=450&amp;START_MA","XIMIZED=FALSE&amp;VAR:CALENDAR=US&amp;VAR:SYMBOL=Company1335&amp;VAR:INDEX=0"}</definedName>
    <definedName name="_453__FDSAUDITLINK__" hidden="1">{"fdsup://directions/FAT Viewer?action=UPDATE&amp;creator=factset&amp;DYN_ARGS=TRUE&amp;DOC_NAME=FAT:FQL_AUDITING_CLIENT_TEMPLATE.FAT&amp;display_string=Audit&amp;VAR:KEY=RUBADODKZO&amp;VAR:QUERY=RkZfU0hMRFJTX0VRKCdRVFInLDMzNjYyKQ==&amp;WINDOW=FIRST_POPUP&amp;HEIGHT=450&amp;WIDTH=450&amp;START_MA","XIMIZED=FALSE&amp;VAR:CALENDAR=US&amp;VAR:SYMBOL=Company1335&amp;VAR:INDEX=0"}</definedName>
    <definedName name="_454__FDSAUDITLINK__" hidden="1">{"fdsup://directions/FAT Viewer?action=UPDATE&amp;creator=factset&amp;DYN_ARGS=TRUE&amp;DOC_NAME=FAT:FQL_AUDITING_CLIENT_TEMPLATE.FAT&amp;display_string=Audit&amp;VAR:KEY=RUBADODKZO&amp;VAR:QUERY=RkZfU0hMRFJTX0VRKCdRVFInLDMzNjYyKQ==&amp;WINDOW=FIRST_POPUP&amp;HEIGHT=450&amp;WIDTH=450&amp;START_MA","XIMIZED=FALSE&amp;VAR:CALENDAR=US&amp;VAR:SYMBOL=Company1335&amp;VAR:INDEX=0"}</definedName>
    <definedName name="_455__FDSAUDITLINK__" hidden="1">{"fdsup://directions/FAT Viewer?action=UPDATE&amp;creator=factset&amp;DYN_ARGS=TRUE&amp;DOC_NAME=FAT:FQL_AUDITING_CLIENT_TEMPLATE.FAT&amp;display_string=Audit&amp;VAR:KEY=BKNUVIVEBC&amp;VAR:QUERY=RkZfU0hMRFJTX0VRKCdRVFInLDMzNjM0KQ==&amp;WINDOW=FIRST_POPUP&amp;HEIGHT=450&amp;WIDTH=450&amp;START_MA","XIMIZED=FALSE&amp;VAR:CALENDAR=US&amp;VAR:SYMBOL=Company1335&amp;VAR:INDEX=0"}</definedName>
    <definedName name="_456__FDSAUDITLINK__" hidden="1">{"fdsup://directions/FAT Viewer?action=UPDATE&amp;creator=factset&amp;DYN_ARGS=TRUE&amp;DOC_NAME=FAT:FQL_AUDITING_CLIENT_TEMPLATE.FAT&amp;display_string=Audit&amp;VAR:KEY=BKNUVIVEBC&amp;VAR:QUERY=RkZfU0hMRFJTX0VRKCdRVFInLDMzNjM0KQ==&amp;WINDOW=FIRST_POPUP&amp;HEIGHT=450&amp;WIDTH=450&amp;START_MA","XIMIZED=FALSE&amp;VAR:CALENDAR=US&amp;VAR:SYMBOL=Company1335&amp;VAR:INDEX=0"}</definedName>
    <definedName name="_457__FDSAUDITLINK__" hidden="1">{"fdsup://directions/FAT Viewer?action=UPDATE&amp;creator=factset&amp;DYN_ARGS=TRUE&amp;DOC_NAME=FAT:FQL_AUDITING_CLIENT_TEMPLATE.FAT&amp;display_string=Audit&amp;VAR:KEY=JYLWDODMRU&amp;VAR:QUERY=RkZfU0hMRFJTX0VRKCdRVFInLDMzNjAzKQ==&amp;WINDOW=FIRST_POPUP&amp;HEIGHT=450&amp;WIDTH=450&amp;START_MA","XIMIZED=FALSE&amp;VAR:CALENDAR=US&amp;VAR:SYMBOL=Company1335&amp;VAR:INDEX=0"}</definedName>
    <definedName name="_458__FDSAUDITLINK__" hidden="1">{"fdsup://directions/FAT Viewer?action=UPDATE&amp;creator=factset&amp;DYN_ARGS=TRUE&amp;DOC_NAME=FAT:FQL_AUDITING_CLIENT_TEMPLATE.FAT&amp;display_string=Audit&amp;VAR:KEY=JYLWDODMRU&amp;VAR:QUERY=RkZfU0hMRFJTX0VRKCdRVFInLDMzNjAzKQ==&amp;WINDOW=FIRST_POPUP&amp;HEIGHT=450&amp;WIDTH=450&amp;START_MA","XIMIZED=FALSE&amp;VAR:CALENDAR=US&amp;VAR:SYMBOL=Company1335&amp;VAR:INDEX=0"}</definedName>
    <definedName name="_459__FDSAUDITLINK__" hidden="1">{"fdsup://directions/FAT Viewer?action=UPDATE&amp;creator=factset&amp;DYN_ARGS=TRUE&amp;DOC_NAME=FAT:FQL_AUDITING_CLIENT_TEMPLATE.FAT&amp;display_string=Audit&amp;VAR:KEY=PQLSBKLMJC&amp;VAR:QUERY=RkZfU0hMRFJTX0VRKCdRVFInLDMzNTcxKQ==&amp;WINDOW=FIRST_POPUP&amp;HEIGHT=450&amp;WIDTH=450&amp;START_MA","XIMIZED=FALSE&amp;VAR:CALENDAR=US&amp;VAR:SYMBOL=Company1335&amp;VAR:INDEX=0"}</definedName>
    <definedName name="_46__FDSAUDITLINK__" hidden="1">{"fdsup://directions/FAT Viewer?action=UPDATE&amp;creator=factset&amp;DYN_ARGS=TRUE&amp;DOC_NAME=FAT:FQL_AUDITING_CLIENT_TEMPLATE.FAT&amp;display_string=Audit&amp;VAR:KEY=EDQFKNCBST&amp;VAR:QUERY=KENTRl9DT01fU0hTX09VVF9FUFNfRElMKFFUUl9SLDM2MDM4KUBXU0ZfQ09NX1NIU19PVVRfRVBTX0RJTChRV","FIsMzYwMzgpKQ==&amp;WINDOW=FIRST_POPUP&amp;HEIGHT=450&amp;WIDTH=450&amp;START_MAXIMIZED=FALSE&amp;VAR:CALENDAR=US&amp;VAR:SYMBOL=Company0092:INDEX=0"}</definedName>
    <definedName name="_460__FDSAUDITLINK__" hidden="1">{"fdsup://directions/FAT Viewer?action=UPDATE&amp;creator=factset&amp;DYN_ARGS=TRUE&amp;DOC_NAME=FAT:FQL_AUDITING_CLIENT_TEMPLATE.FAT&amp;display_string=Audit&amp;VAR:KEY=PQLSBKLMJC&amp;VAR:QUERY=RkZfU0hMRFJTX0VRKCdRVFInLDMzNTcxKQ==&amp;WINDOW=FIRST_POPUP&amp;HEIGHT=450&amp;WIDTH=450&amp;START_MA","XIMIZED=FALSE&amp;VAR:CALENDAR=US&amp;VAR:SYMBOL=Company1335&amp;VAR:INDEX=0"}</definedName>
    <definedName name="_461__FDSAUDITLINK__" hidden="1">{"fdsup://directions/FAT Viewer?action=UPDATE&amp;creator=factset&amp;DYN_ARGS=TRUE&amp;DOC_NAME=FAT:FQL_AUDITING_CLIENT_TEMPLATE.FAT&amp;display_string=Audit&amp;VAR:KEY=ZODIFQVQTQ&amp;VAR:QUERY=RkZfU0hMRFJTX0VRKCdRVFInLDMzNTQyKQ==&amp;WINDOW=FIRST_POPUP&amp;HEIGHT=450&amp;WIDTH=450&amp;START_MA","XIMIZED=FALSE&amp;VAR:CALENDAR=US&amp;VAR:SYMBOL=Company1335&amp;VAR:INDEX=0"}</definedName>
    <definedName name="_462__FDSAUDITLINK__" hidden="1">{"fdsup://directions/FAT Viewer?action=UPDATE&amp;creator=factset&amp;DYN_ARGS=TRUE&amp;DOC_NAME=FAT:FQL_AUDITING_CLIENT_TEMPLATE.FAT&amp;display_string=Audit&amp;VAR:KEY=ZODIFQVQTQ&amp;VAR:QUERY=RkZfU0hMRFJTX0VRKCdRVFInLDMzNTQyKQ==&amp;WINDOW=FIRST_POPUP&amp;HEIGHT=450&amp;WIDTH=450&amp;START_MA","XIMIZED=FALSE&amp;VAR:CALENDAR=US&amp;VAR:SYMBOL=Company1335&amp;VAR:INDEX=0"}</definedName>
    <definedName name="_463__FDSAUDITLINK__" hidden="1">{"fdsup://directions/FAT Viewer?action=UPDATE&amp;creator=factset&amp;DYN_ARGS=TRUE&amp;DOC_NAME=FAT:FQL_AUDITING_CLIENT_TEMPLATE.FAT&amp;display_string=Audit&amp;VAR:KEY=JIDSBURQXK&amp;VAR:QUERY=RkZfU0hMRFJTX0VRKCdRVFInLDMzNTExKQ==&amp;WINDOW=FIRST_POPUP&amp;HEIGHT=450&amp;WIDTH=450&amp;START_MA","XIMIZED=FALSE&amp;VAR:CALENDAR=US&amp;VAR:SYMBOL=Company1335&amp;VAR:INDEX=0"}</definedName>
    <definedName name="_464__FDSAUDITLINK__" hidden="1">{"fdsup://directions/FAT Viewer?action=UPDATE&amp;creator=factset&amp;DYN_ARGS=TRUE&amp;DOC_NAME=FAT:FQL_AUDITING_CLIENT_TEMPLATE.FAT&amp;display_string=Audit&amp;VAR:KEY=JIDSBURQXK&amp;VAR:QUERY=RkZfU0hMRFJTX0VRKCdRVFInLDMzNTExKQ==&amp;WINDOW=FIRST_POPUP&amp;HEIGHT=450&amp;WIDTH=450&amp;START_MA","XIMIZED=FALSE&amp;VAR:CALENDAR=US&amp;VAR:SYMBOL=Company1335&amp;VAR:INDEX=0"}</definedName>
    <definedName name="_465__FDSAUDITLINK__" hidden="1">{"fdsup://directions/FAT Viewer?action=UPDATE&amp;creator=factset&amp;DYN_ARGS=TRUE&amp;DOC_NAME=FAT:FQL_AUDITING_CLIENT_TEMPLATE.FAT&amp;display_string=Audit&amp;VAR:KEY=VQHGHAZYHW&amp;VAR:QUERY=RkZfU0hMRFJTX0VRKCdRVFInLDMzNDgwKQ==&amp;WINDOW=FIRST_POPUP&amp;HEIGHT=450&amp;WIDTH=450&amp;START_MA","XIMIZED=FALSE&amp;VAR:CALENDAR=US&amp;VAR:SYMBOL=Company1335&amp;VAR:INDEX=0"}</definedName>
    <definedName name="_466__FDSAUDITLINK__" hidden="1">{"fdsup://directions/FAT Viewer?action=UPDATE&amp;creator=factset&amp;DYN_ARGS=TRUE&amp;DOC_NAME=FAT:FQL_AUDITING_CLIENT_TEMPLATE.FAT&amp;display_string=Audit&amp;VAR:KEY=VQHGHAZYHW&amp;VAR:QUERY=RkZfU0hMRFJTX0VRKCdRVFInLDMzNDgwKQ==&amp;WINDOW=FIRST_POPUP&amp;HEIGHT=450&amp;WIDTH=450&amp;START_MA","XIMIZED=FALSE&amp;VAR:CALENDAR=US&amp;VAR:SYMBOL=Company1335&amp;VAR:INDEX=0"}</definedName>
    <definedName name="_467__FDSAUDITLINK__" hidden="1">{"fdsup://directions/FAT Viewer?action=UPDATE&amp;creator=factset&amp;DYN_ARGS=TRUE&amp;DOC_NAME=FAT:FQL_AUDITING_CLIENT_TEMPLATE.FAT&amp;display_string=Audit&amp;VAR:KEY=XQFEBGDYLE&amp;VAR:QUERY=RkZfU0hMRFJTX0VRKCdRVFInLDMzNDUwKQ==&amp;WINDOW=FIRST_POPUP&amp;HEIGHT=450&amp;WIDTH=450&amp;START_MA","XIMIZED=FALSE&amp;VAR:CALENDAR=US&amp;VAR:SYMBOL=Company1335&amp;VAR:INDEX=0"}</definedName>
    <definedName name="_468__FDSAUDITLINK__" hidden="1">{"fdsup://directions/FAT Viewer?action=UPDATE&amp;creator=factset&amp;DYN_ARGS=TRUE&amp;DOC_NAME=FAT:FQL_AUDITING_CLIENT_TEMPLATE.FAT&amp;display_string=Audit&amp;VAR:KEY=XQFEBGDYLE&amp;VAR:QUERY=RkZfU0hMRFJTX0VRKCdRVFInLDMzNDUwKQ==&amp;WINDOW=FIRST_POPUP&amp;HEIGHT=450&amp;WIDTH=450&amp;START_MA","XIMIZED=FALSE&amp;VAR:CALENDAR=US&amp;VAR:SYMBOL=Company1335&amp;VAR:INDEX=0"}</definedName>
    <definedName name="_469__FDSAUDITLINK__" hidden="1">{"fdsup://directions/FAT Viewer?action=UPDATE&amp;creator=factset&amp;DYN_ARGS=TRUE&amp;DOC_NAME=FAT:FQL_AUDITING_CLIENT_TEMPLATE.FAT&amp;display_string=Audit&amp;VAR:KEY=DQPCVGBWXS&amp;VAR:QUERY=RkZfU0hMRFJTX0VRKCdRVFInLDMzNDE3KQ==&amp;WINDOW=FIRST_POPUP&amp;HEIGHT=450&amp;WIDTH=450&amp;START_MA","XIMIZED=FALSE&amp;VAR:CALENDAR=US&amp;VAR:SYMBOL=Company1335&amp;VAR:INDEX=0"}</definedName>
    <definedName name="_47__FDSAUDITLINK__" hidden="1">{"fdsup://directions/FAT Viewer?action=UPDATE&amp;creator=factset&amp;DYN_ARGS=TRUE&amp;DOC_NAME=FAT:FQL_AUDITING_CLIENT_TEMPLATE.FAT&amp;display_string=Audit&amp;VAR:KEY=GHOZODERIN&amp;VAR:QUERY=KENTRl9JTlRBTkcoUVRSX1IsMzYwMzgpQFdTRl9JTlRBTkcoUVRSLDM2MDM4KSk=&amp;WINDOW=FIRST_POPUP&amp;H","COMPANY0910=450&amp;WIDTH=450&amp;START_MAXIMIZED=FALSE&amp;VAR:CALENDAR=US&amp;VAR:SYMBOL=Company0092:INDEX=0"}</definedName>
    <definedName name="_470__FDSAUDITLINK__" hidden="1">{"fdsup://directions/FAT Viewer?action=UPDATE&amp;creator=factset&amp;DYN_ARGS=TRUE&amp;DOC_NAME=FAT:FQL_AUDITING_CLIENT_TEMPLATE.FAT&amp;display_string=Audit&amp;VAR:KEY=DQPCVGBWXS&amp;VAR:QUERY=RkZfU0hMRFJTX0VRKCdRVFInLDMzNDE3KQ==&amp;WINDOW=FIRST_POPUP&amp;HEIGHT=450&amp;WIDTH=450&amp;START_MA","XIMIZED=FALSE&amp;VAR:CALENDAR=US&amp;VAR:SYMBOL=Company1335&amp;VAR:INDEX=0"}</definedName>
    <definedName name="_471__FDSAUDITLINK__" hidden="1">{"fdsup://directions/FAT Viewer?action=UPDATE&amp;creator=factset&amp;DYN_ARGS=TRUE&amp;DOC_NAME=FAT:FQL_AUDITING_CLIENT_TEMPLATE.FAT&amp;display_string=Audit&amp;VAR:KEY=BUTWTMLQFY&amp;VAR:QUERY=RkZfU0hMRFJTX0VRKCdRVFInLDMzMzg5KQ==&amp;WINDOW=FIRST_POPUP&amp;HEIGHT=450&amp;WIDTH=450&amp;START_MA","XIMIZED=FALSE&amp;VAR:CALENDAR=US&amp;VAR:SYMBOL=Company1335&amp;VAR:INDEX=0"}</definedName>
    <definedName name="_472__FDSAUDITLINK__" hidden="1">{"fdsup://directions/FAT Viewer?action=UPDATE&amp;creator=factset&amp;DYN_ARGS=TRUE&amp;DOC_NAME=FAT:FQL_AUDITING_CLIENT_TEMPLATE.FAT&amp;display_string=Audit&amp;VAR:KEY=BUTWTMLQFY&amp;VAR:QUERY=RkZfU0hMRFJTX0VRKCdRVFInLDMzMzg5KQ==&amp;WINDOW=FIRST_POPUP&amp;HEIGHT=450&amp;WIDTH=450&amp;START_MA","XIMIZED=FALSE&amp;VAR:CALENDAR=US&amp;VAR:SYMBOL=Company1335&amp;VAR:INDEX=0"}</definedName>
    <definedName name="_473__FDSAUDITLINK__" hidden="1">{"fdsup://directions/FAT Viewer?action=UPDATE&amp;creator=factset&amp;DYN_ARGS=TRUE&amp;DOC_NAME=FAT:FQL_AUDITING_CLIENT_TEMPLATE.FAT&amp;display_string=Audit&amp;VAR:KEY=DITYVKZAFE&amp;VAR:QUERY=RkZfU0hMRFJTX0VRKCdRVFInLDMzMzU4KQ==&amp;WINDOW=FIRST_POPUP&amp;HEIGHT=450&amp;WIDTH=450&amp;START_MA","XIMIZED=FALSE&amp;VAR:CALENDAR=US&amp;VAR:SYMBOL=Company1335&amp;VAR:INDEX=0"}</definedName>
    <definedName name="_474__FDSAUDITLINK__" hidden="1">{"fdsup://directions/FAT Viewer?action=UPDATE&amp;creator=factset&amp;DYN_ARGS=TRUE&amp;DOC_NAME=FAT:FQL_AUDITING_CLIENT_TEMPLATE.FAT&amp;display_string=Audit&amp;VAR:KEY=DITYVKZAFE&amp;VAR:QUERY=RkZfU0hMRFJTX0VRKCdRVFInLDMzMzU4KQ==&amp;WINDOW=FIRST_POPUP&amp;HEIGHT=450&amp;WIDTH=450&amp;START_MA","XIMIZED=FALSE&amp;VAR:CALENDAR=US&amp;VAR:SYMBOL=Company1335&amp;VAR:INDEX=0"}</definedName>
    <definedName name="_475__FDSAUDITLINK__" hidden="1">{"fdsup://directions/FAT Viewer?action=UPDATE&amp;creator=factset&amp;DYN_ARGS=TRUE&amp;DOC_NAME=FAT:FQL_AUDITING_CLIENT_TEMPLATE.FAT&amp;display_string=Audit&amp;VAR:KEY=PMPGTETYBO&amp;VAR:QUERY=RkZfU0hMRFJTX0VRKCdRVFInLDMzMzI1KQ==&amp;WINDOW=FIRST_POPUP&amp;HEIGHT=450&amp;WIDTH=450&amp;START_MA","XIMIZED=FALSE&amp;VAR:CALENDAR=US&amp;VAR:SYMBOL=Company1335&amp;VAR:INDEX=0"}</definedName>
    <definedName name="_476__FDSAUDITLINK__" hidden="1">{"fdsup://directions/FAT Viewer?action=UPDATE&amp;creator=factset&amp;DYN_ARGS=TRUE&amp;DOC_NAME=FAT:FQL_AUDITING_CLIENT_TEMPLATE.FAT&amp;display_string=Audit&amp;VAR:KEY=PMPGTETYBO&amp;VAR:QUERY=RkZfU0hMRFJTX0VRKCdRVFInLDMzMzI1KQ==&amp;WINDOW=FIRST_POPUP&amp;HEIGHT=450&amp;WIDTH=450&amp;START_MA","XIMIZED=FALSE&amp;VAR:CALENDAR=US&amp;VAR:SYMBOL=Company1335&amp;VAR:INDEX=0"}</definedName>
    <definedName name="_477__FDSAUDITLINK__" hidden="1">{"fdsup://directions/FAT Viewer?action=UPDATE&amp;creator=factset&amp;DYN_ARGS=TRUE&amp;DOC_NAME=FAT:FQL_AUDITING_CLIENT_TEMPLATE.FAT&amp;display_string=Audit&amp;VAR:KEY=VMVOJSDUPC&amp;VAR:QUERY=RkZfU0hMRFJTX0VRKCdRVFInLDMzMjk3KQ==&amp;WINDOW=FIRST_POPUP&amp;HEIGHT=450&amp;WIDTH=450&amp;START_MA","XIMIZED=FALSE&amp;VAR:CALENDAR=US&amp;VAR:SYMBOL=Company1335&amp;VAR:INDEX=0"}</definedName>
    <definedName name="_478__FDSAUDITLINK__" hidden="1">{"fdsup://directions/FAT Viewer?action=UPDATE&amp;creator=factset&amp;DYN_ARGS=TRUE&amp;DOC_NAME=FAT:FQL_AUDITING_CLIENT_TEMPLATE.FAT&amp;display_string=Audit&amp;VAR:KEY=VMVOJSDUPC&amp;VAR:QUERY=RkZfU0hMRFJTX0VRKCdRVFInLDMzMjk3KQ==&amp;WINDOW=FIRST_POPUP&amp;HEIGHT=450&amp;WIDTH=450&amp;START_MA","XIMIZED=FALSE&amp;VAR:CALENDAR=US&amp;VAR:SYMBOL=Company1335&amp;VAR:INDEX=0"}</definedName>
    <definedName name="_479__FDSAUDITLINK__" hidden="1">{"fdsup://directions/FAT Viewer?action=UPDATE&amp;creator=factset&amp;DYN_ARGS=TRUE&amp;DOC_NAME=FAT:FQL_AUDITING_CLIENT_TEMPLATE.FAT&amp;display_string=Audit&amp;VAR:KEY=ZIJGHYRKLY&amp;VAR:QUERY=RkZfU0hMRFJTX0VRKCdRVFInLDMzMjY5KQ==&amp;WINDOW=FIRST_POPUP&amp;HEIGHT=450&amp;WIDTH=450&amp;START_MA","XIMIZED=FALSE&amp;VAR:CALENDAR=US&amp;VAR:SYMBOL=Company1335&amp;VAR:INDEX=0"}</definedName>
    <definedName name="_48__FDSAUDITLINK__" hidden="1">{"fdsup://directions/FAT Viewer?action=UPDATE&amp;creator=factset&amp;DYN_ARGS=TRUE&amp;DOC_NAME=FAT:FQL_AUDITING_CLIENT_TEMPLATE.FAT&amp;display_string=Audit&amp;VAR:KEY=CNERIDSTYT&amp;VAR:QUERY=KENTRl9DT01fU0hTX09VVF9FUFNfRElMKFFUUl9SLDM2MDA3KUBXU0ZfQ09NX1NIU19PVVRfRVBTX0RJTChRV","FIsMzYwMDcpKQ==&amp;WINDOW=FIRST_POPUP&amp;HEIGHT=450&amp;WIDTH=450&amp;START_MAXIMIZED=FALSE&amp;VAR:CALENDAR=US&amp;VAR:SYMBOL=Company0092:INDEX=0"}</definedName>
    <definedName name="_480__FDSAUDITLINK__" hidden="1">{"fdsup://directions/FAT Viewer?action=UPDATE&amp;creator=factset&amp;DYN_ARGS=TRUE&amp;DOC_NAME=FAT:FQL_AUDITING_CLIENT_TEMPLATE.FAT&amp;display_string=Audit&amp;VAR:KEY=ZIJGHYRKLY&amp;VAR:QUERY=RkZfU0hMRFJTX0VRKCdRVFInLDMzMjY5KQ==&amp;WINDOW=FIRST_POPUP&amp;HEIGHT=450&amp;WIDTH=450&amp;START_MA","XIMIZED=FALSE&amp;VAR:CALENDAR=US&amp;VAR:SYMBOL=Company1335&amp;VAR:INDEX=0"}</definedName>
    <definedName name="_481__FDSAUDITLINK__" hidden="1">{"fdsup://directions/FAT Viewer?action=UPDATE&amp;creator=factset&amp;DYN_ARGS=TRUE&amp;DOC_NAME=FAT:FQL_AUDITING_CLIENT_TEMPLATE.FAT&amp;display_string=Audit&amp;VAR:KEY=JEXQTOHCDI&amp;VAR:QUERY=RkZfU0hMRFJTX0VRKCdRVFInLDMzMjM4KQ==&amp;WINDOW=FIRST_POPUP&amp;HEIGHT=450&amp;WIDTH=450&amp;START_MA","XIMIZED=FALSE&amp;VAR:CALENDAR=US&amp;VAR:SYMBOL=Company1335&amp;VAR:INDEX=0"}</definedName>
    <definedName name="_482__FDSAUDITLINK__" hidden="1">{"fdsup://directions/FAT Viewer?action=UPDATE&amp;creator=factset&amp;DYN_ARGS=TRUE&amp;DOC_NAME=FAT:FQL_AUDITING_CLIENT_TEMPLATE.FAT&amp;display_string=Audit&amp;VAR:KEY=JEXQTOHCDI&amp;VAR:QUERY=RkZfU0hMRFJTX0VRKCdRVFInLDMzMjM4KQ==&amp;WINDOW=FIRST_POPUP&amp;HEIGHT=450&amp;WIDTH=450&amp;START_MA","XIMIZED=FALSE&amp;VAR:CALENDAR=US&amp;VAR:SYMBOL=Company1335&amp;VAR:INDEX=0"}</definedName>
    <definedName name="_483__FDSAUDITLINK__" hidden="1">{"fdsup://directions/FAT Viewer?action=UPDATE&amp;creator=factset&amp;DYN_ARGS=TRUE&amp;DOC_NAME=FAT:FQL_AUDITING_CLIENT_TEMPLATE.FAT&amp;display_string=Audit&amp;VAR:KEY=TURSXMBMXC&amp;VAR:QUERY=RkZfU0hMRFJTX0VRKCdRVFInLDMzMjA3KQ==&amp;WINDOW=FIRST_POPUP&amp;HEIGHT=450&amp;WIDTH=450&amp;START_MA","XIMIZED=FALSE&amp;VAR:CALENDAR=US&amp;VAR:SYMBOL=Company1335&amp;VAR:INDEX=0"}</definedName>
    <definedName name="_484__FDSAUDITLINK__" hidden="1">{"fdsup://directions/FAT Viewer?action=UPDATE&amp;creator=factset&amp;DYN_ARGS=TRUE&amp;DOC_NAME=FAT:FQL_AUDITING_CLIENT_TEMPLATE.FAT&amp;display_string=Audit&amp;VAR:KEY=TURSXMBMXC&amp;VAR:QUERY=RkZfU0hMRFJTX0VRKCdRVFInLDMzMjA3KQ==&amp;WINDOW=FIRST_POPUP&amp;HEIGHT=450&amp;WIDTH=450&amp;START_MA","XIMIZED=FALSE&amp;VAR:CALENDAR=US&amp;VAR:SYMBOL=Company1335&amp;VAR:INDEX=0"}</definedName>
    <definedName name="_485__FDSAUDITLINK__" hidden="1">{"fdsup://directions/FAT Viewer?action=UPDATE&amp;creator=factset&amp;DYN_ARGS=TRUE&amp;DOC_NAME=FAT:FQL_AUDITING_CLIENT_TEMPLATE.FAT&amp;display_string=Audit&amp;VAR:KEY=RGLELQNMHG&amp;VAR:QUERY=RkZfU0hMRFJTX0VRKCdRVFInLDMzMTc3KQ==&amp;WINDOW=FIRST_POPUP&amp;HEIGHT=450&amp;WIDTH=450&amp;START_MA","XIMIZED=FALSE&amp;VAR:CALENDAR=US&amp;VAR:SYMBOL=Company1335&amp;VAR:INDEX=0"}</definedName>
    <definedName name="_486__FDSAUDITLINK__" hidden="1">{"fdsup://directions/FAT Viewer?action=UPDATE&amp;creator=factset&amp;DYN_ARGS=TRUE&amp;DOC_NAME=FAT:FQL_AUDITING_CLIENT_TEMPLATE.FAT&amp;display_string=Audit&amp;VAR:KEY=RGLELQNMHG&amp;VAR:QUERY=RkZfU0hMRFJTX0VRKCdRVFInLDMzMTc3KQ==&amp;WINDOW=FIRST_POPUP&amp;HEIGHT=450&amp;WIDTH=450&amp;START_MA","XIMIZED=FALSE&amp;VAR:CALENDAR=US&amp;VAR:SYMBOL=Company1335&amp;VAR:INDEX=0"}</definedName>
    <definedName name="_487__FDSAUDITLINK__" hidden="1">{"fdsup://directions/FAT Viewer?action=UPDATE&amp;creator=factset&amp;DYN_ARGS=TRUE&amp;DOC_NAME=FAT:FQL_AUDITING_CLIENT_TEMPLATE.FAT&amp;display_string=Audit&amp;VAR:KEY=RABYLKXEHQ&amp;VAR:QUERY=RkZfU0hMRFJTX0VRKCdRVFInLDMzMTQ0KQ==&amp;WINDOW=FIRST_POPUP&amp;HEIGHT=450&amp;WIDTH=450&amp;START_MA","XIMIZED=FALSE&amp;VAR:CALENDAR=US&amp;VAR:SYMBOL=Company1335&amp;VAR:INDEX=0"}</definedName>
    <definedName name="_488__FDSAUDITLINK__" hidden="1">{"fdsup://directions/FAT Viewer?action=UPDATE&amp;creator=factset&amp;DYN_ARGS=TRUE&amp;DOC_NAME=FAT:FQL_AUDITING_CLIENT_TEMPLATE.FAT&amp;display_string=Audit&amp;VAR:KEY=RABYLKXEHQ&amp;VAR:QUERY=RkZfU0hMRFJTX0VRKCdRVFInLDMzMTQ0KQ==&amp;WINDOW=FIRST_POPUP&amp;HEIGHT=450&amp;WIDTH=450&amp;START_MA","XIMIZED=FALSE&amp;VAR:CALENDAR=US&amp;VAR:SYMBOL=Company1335&amp;VAR:INDEX=0"}</definedName>
    <definedName name="_489__FDSAUDITLINK__" hidden="1">{"fdsup://directions/FAT Viewer?action=UPDATE&amp;creator=factset&amp;DYN_ARGS=TRUE&amp;DOC_NAME=FAT:FQL_AUDITING_CLIENT_TEMPLATE.FAT&amp;display_string=Audit&amp;VAR:KEY=BWTOXUBQDG&amp;VAR:QUERY=RkZfU0hMRFJTX0VRKCdRVFInLDMzMTE2KQ==&amp;WINDOW=FIRST_POPUP&amp;HEIGHT=450&amp;WIDTH=450&amp;START_MA","XIMIZED=FALSE&amp;VAR:CALENDAR=US&amp;VAR:SYMBOL=Company1335&amp;VAR:INDEX=0"}</definedName>
    <definedName name="_49__FDSAUDITLINK__" hidden="1">{"fdsup://directions/FAT Viewer?action=UPDATE&amp;creator=factset&amp;DYN_ARGS=TRUE&amp;DOC_NAME=FAT:FQL_AUDITING_CLIENT_TEMPLATE.FAT&amp;display_string=Audit&amp;VAR:KEY=IDSDCXKBEH&amp;VAR:QUERY=KENTRl9JTlRBTkcoUVRSX1IsMzYwMDcpQFdTRl9JTlRBTkcoUVRSLDM2MDA3KSk=&amp;WINDOW=FIRST_POPUP&amp;H","COMPANY0910=450&amp;WIDTH=450&amp;START_MAXIMIZED=FALSE&amp;VAR:CALENDAR=US&amp;VAR:SYMBOL=Company0092:INDEX=0"}</definedName>
    <definedName name="_490__FDSAUDITLINK__" hidden="1">{"fdsup://directions/FAT Viewer?action=UPDATE&amp;creator=factset&amp;DYN_ARGS=TRUE&amp;DOC_NAME=FAT:FQL_AUDITING_CLIENT_TEMPLATE.FAT&amp;display_string=Audit&amp;VAR:KEY=BWTOXUBQDG&amp;VAR:QUERY=RkZfU0hMRFJTX0VRKCdRVFInLDMzMTE2KQ==&amp;WINDOW=FIRST_POPUP&amp;HEIGHT=450&amp;WIDTH=450&amp;START_MA","XIMIZED=FALSE&amp;VAR:CALENDAR=US&amp;VAR:SYMBOL=Company1335&amp;VAR:INDEX=0"}</definedName>
    <definedName name="_491__FDSAUDITLINK__" hidden="1">{"fdsup://directions/FAT Viewer?action=UPDATE&amp;creator=factset&amp;DYN_ARGS=TRUE&amp;DOC_NAME=FAT:FQL_AUDITING_CLIENT_TEMPLATE.FAT&amp;display_string=Audit&amp;VAR:KEY=NSNQVYVSLG&amp;VAR:QUERY=RkZfU0hMRFJTX0VRKCdRVFInLDMzMDg1KQ==&amp;WINDOW=FIRST_POPUP&amp;HEIGHT=450&amp;WIDTH=450&amp;START_MA","XIMIZED=FALSE&amp;VAR:CALENDAR=US&amp;VAR:SYMBOL=Company1335&amp;VAR:INDEX=0"}</definedName>
    <definedName name="_492__FDSAUDITLINK__" hidden="1">{"fdsup://directions/FAT Viewer?action=UPDATE&amp;creator=factset&amp;DYN_ARGS=TRUE&amp;DOC_NAME=FAT:FQL_AUDITING_CLIENT_TEMPLATE.FAT&amp;display_string=Audit&amp;VAR:KEY=NSNQVYVSLG&amp;VAR:QUERY=RkZfU0hMRFJTX0VRKCdRVFInLDMzMDg1KQ==&amp;WINDOW=FIRST_POPUP&amp;HEIGHT=450&amp;WIDTH=450&amp;START_MA","XIMIZED=FALSE&amp;VAR:CALENDAR=US&amp;VAR:SYMBOL=Company1335&amp;VAR:INDEX=0"}</definedName>
    <definedName name="_493__FDSAUDITLINK__" hidden="1">{"fdsup://directions/FAT Viewer?action=UPDATE&amp;creator=factset&amp;DYN_ARGS=TRUE&amp;DOC_NAME=FAT:FQL_AUDITING_CLIENT_TEMPLATE.FAT&amp;display_string=Audit&amp;VAR:KEY=TAVWBCPARC&amp;VAR:QUERY=RkZfU0hMRFJTX0VRKCdRVFInLDMzMDUzKQ==&amp;WINDOW=FIRST_POPUP&amp;HEIGHT=450&amp;WIDTH=450&amp;START_MA","XIMIZED=FALSE&amp;VAR:CALENDAR=US&amp;VAR:SYMBOL=Company1335&amp;VAR:INDEX=0"}</definedName>
    <definedName name="_494__FDSAUDITLINK__" hidden="1">{"fdsup://directions/FAT Viewer?action=UPDATE&amp;creator=factset&amp;DYN_ARGS=TRUE&amp;DOC_NAME=FAT:FQL_AUDITING_CLIENT_TEMPLATE.FAT&amp;display_string=Audit&amp;VAR:KEY=TAVWBCPARC&amp;VAR:QUERY=RkZfU0hMRFJTX0VRKCdRVFInLDMzMDUzKQ==&amp;WINDOW=FIRST_POPUP&amp;HEIGHT=450&amp;WIDTH=450&amp;START_MA","XIMIZED=FALSE&amp;VAR:CALENDAR=US&amp;VAR:SYMBOL=Company1335&amp;VAR:INDEX=0"}</definedName>
    <definedName name="_495__FDSAUDITLINK__" hidden="1">{"fdsup://directions/FAT Viewer?action=UPDATE&amp;creator=factset&amp;DYN_ARGS=TRUE&amp;DOC_NAME=FAT:FQL_AUDITING_CLIENT_TEMPLATE.FAT&amp;display_string=Audit&amp;VAR:KEY=XEDWJQHUTA&amp;VAR:QUERY=RkZfU0hMRFJTX0VRKCdRVFInLDMzMDI0KQ==&amp;WINDOW=FIRST_POPUP&amp;HEIGHT=450&amp;WIDTH=450&amp;START_MA","XIMIZED=FALSE&amp;VAR:CALENDAR=US&amp;VAR:SYMBOL=Company1335&amp;VAR:INDEX=0"}</definedName>
    <definedName name="_496__FDSAUDITLINK__" hidden="1">{"fdsup://directions/FAT Viewer?action=UPDATE&amp;creator=factset&amp;DYN_ARGS=TRUE&amp;DOC_NAME=FAT:FQL_AUDITING_CLIENT_TEMPLATE.FAT&amp;display_string=Audit&amp;VAR:KEY=XEDWJQHUTA&amp;VAR:QUERY=RkZfU0hMRFJTX0VRKCdRVFInLDMzMDI0KQ==&amp;WINDOW=FIRST_POPUP&amp;HEIGHT=450&amp;WIDTH=450&amp;START_MA","XIMIZED=FALSE&amp;VAR:CALENDAR=US&amp;VAR:SYMBOL=Company1335&amp;VAR:INDEX=0"}</definedName>
    <definedName name="_497__FDSAUDITLINK__" hidden="1">{"fdsup://directions/FAT Viewer?action=UPDATE&amp;creator=factset&amp;DYN_ARGS=TRUE&amp;DOC_NAME=FAT:FQL_AUDITING_CLIENT_TEMPLATE.FAT&amp;display_string=Audit&amp;VAR:KEY=XCNYTIDSVY&amp;VAR:QUERY=RkZfU0hMRFJTX0VRKCdRVFInLDMyOTkzKQ==&amp;WINDOW=FIRST_POPUP&amp;HEIGHT=450&amp;WIDTH=450&amp;START_MA","XIMIZED=FALSE&amp;VAR:CALENDAR=US&amp;VAR:SYMBOL=Company1335&amp;VAR:INDEX=0"}</definedName>
    <definedName name="_498__FDSAUDITLINK__" hidden="1">{"fdsup://directions/FAT Viewer?action=UPDATE&amp;creator=factset&amp;DYN_ARGS=TRUE&amp;DOC_NAME=FAT:FQL_AUDITING_CLIENT_TEMPLATE.FAT&amp;display_string=Audit&amp;VAR:KEY=XCNYTIDSVY&amp;VAR:QUERY=RkZfU0hMRFJTX0VRKCdRVFInLDMyOTkzKQ==&amp;WINDOW=FIRST_POPUP&amp;HEIGHT=450&amp;WIDTH=450&amp;START_MA","XIMIZED=FALSE&amp;VAR:CALENDAR=US&amp;VAR:SYMBOL=Company1335&amp;VAR:INDEX=0"}</definedName>
    <definedName name="_499__FDSAUDITLINK__" hidden="1">{"fdsup://directions/FAT Viewer?action=UPDATE&amp;creator=factset&amp;DYN_ARGS=TRUE&amp;DOC_NAME=FAT:FQL_AUDITING_CLIENT_TEMPLATE.FAT&amp;display_string=Audit&amp;VAR:KEY=ZCPSXWFEFW&amp;VAR:QUERY=RkZfU0hMRFJTX0VRKCdRVFInLDMyOTYyKQ==&amp;WINDOW=FIRST_POPUP&amp;HEIGHT=450&amp;WIDTH=450&amp;START_MA","XIMIZED=FALSE&amp;VAR:CALENDAR=US&amp;VAR:SYMBOL=Company1335&amp;VAR:INDEX=0"}</definedName>
    <definedName name="_4Q94">#REF!</definedName>
    <definedName name="_4Q95">#REF!</definedName>
    <definedName name="_5__FDSAUDITLINK__" hidden="1">{"fdsup://directions/FAT Viewer?action=UPDATE&amp;creator=factset&amp;DYN_ARGS=TRUE&amp;DOC_NAME=FAT:FQL_AUDITING_CLIENT_TEMPLATE.FAT&amp;display_string=Audit&amp;VAR:KEY=KNQHUXSXOJ&amp;VAR:QUERY=KENTRl9JTlRBTkcoUVRSX1IsMzcxOTUpQFdTRl9JTlRBTkcoUVRSLDM3MTk1KSk=&amp;WINDOW=FIRST_POPUP&amp;H","COMPANY0910=450&amp;WIDTH=450&amp;START_MAXIMIZED=FALSE&amp;VAR:CALENDAR=US&amp;VAR:SYMBOL=Company0092:INDEX=0"}</definedName>
    <definedName name="_50__FDSAUDITLINK__" hidden="1">{"fdsup://directions/FAT Viewer?action=UPDATE&amp;creator=factset&amp;DYN_ARGS=TRUE&amp;DOC_NAME=FAT:FQL_AUDITING_CLIENT_TEMPLATE.FAT&amp;display_string=Audit&amp;VAR:KEY=WLOFSPIDKT&amp;VAR:QUERY=KENTRl9DT01fU0hTX09VVF9FUFNfRElMKFFUUl9SLDM1OTc2KUBXU0ZfQ09NX1NIU19PVVRfRVBTX0RJTChRV","FIsMzU5NzYpKQ==&amp;WINDOW=FIRST_POPUP&amp;HEIGHT=450&amp;WIDTH=450&amp;START_MAXIMIZED=FALSE&amp;VAR:CALENDAR=US&amp;VAR:SYMBOL=Company0092:INDEX=0"}</definedName>
    <definedName name="_500__FDSAUDITLINK__" hidden="1">{"fdsup://directions/FAT Viewer?action=UPDATE&amp;creator=factset&amp;DYN_ARGS=TRUE&amp;DOC_NAME=FAT:FQL_AUDITING_CLIENT_TEMPLATE.FAT&amp;display_string=Audit&amp;VAR:KEY=ZCPSXWFEFW&amp;VAR:QUERY=RkZfU0hMRFJTX0VRKCdRVFInLDMyOTYyKQ==&amp;WINDOW=FIRST_POPUP&amp;HEIGHT=450&amp;WIDTH=450&amp;START_MA","XIMIZED=FALSE&amp;VAR:CALENDAR=US&amp;VAR:SYMBOL=Company1335&amp;VAR:INDEX=0"}</definedName>
    <definedName name="_501__FDSAUDITLINK__" hidden="1">{"fdsup://directions/FAT Viewer?action=UPDATE&amp;creator=factset&amp;DYN_ARGS=TRUE&amp;DOC_NAME=FAT:FQL_AUDITING_CLIENT_TEMPLATE.FAT&amp;display_string=Audit&amp;VAR:KEY=ZWPUTOJWNY&amp;VAR:QUERY=RkZfU0hMRFJTX0VRKCdRVFInLDMyOTMyKQ==&amp;WINDOW=FIRST_POPUP&amp;HEIGHT=450&amp;WIDTH=450&amp;START_MA","XIMIZED=FALSE&amp;VAR:CALENDAR=US&amp;VAR:SYMBOL=Company1335&amp;VAR:INDEX=0"}</definedName>
    <definedName name="_502__FDSAUDITLINK__" hidden="1">{"fdsup://directions/FAT Viewer?action=UPDATE&amp;creator=factset&amp;DYN_ARGS=TRUE&amp;DOC_NAME=FAT:FQL_AUDITING_CLIENT_TEMPLATE.FAT&amp;display_string=Audit&amp;VAR:KEY=ZWPUTOJWNY&amp;VAR:QUERY=RkZfU0hMRFJTX0VRKCdRVFInLDMyOTMyKQ==&amp;WINDOW=FIRST_POPUP&amp;HEIGHT=450&amp;WIDTH=450&amp;START_MA","XIMIZED=FALSE&amp;VAR:CALENDAR=US&amp;VAR:SYMBOL=Company1335&amp;VAR:INDEX=0"}</definedName>
    <definedName name="_503__FDSAUDITLINK__" hidden="1">{"fdsup://directions/FAT Viewer?action=UPDATE&amp;creator=factset&amp;DYN_ARGS=TRUE&amp;DOC_NAME=FAT:FQL_AUDITING_CLIENT_TEMPLATE.FAT&amp;display_string=Audit&amp;VAR:KEY=JWVGDSFAZS&amp;VAR:QUERY=RkZfU0hMRFJTX0VRKCdRVFInLDMyOTA0KQ==&amp;WINDOW=FIRST_POPUP&amp;HEIGHT=450&amp;WIDTH=450&amp;START_MA","XIMIZED=FALSE&amp;VAR:CALENDAR=US&amp;VAR:SYMBOL=Company1335&amp;VAR:INDEX=0"}</definedName>
    <definedName name="_504__FDSAUDITLINK__" hidden="1">{"fdsup://directions/FAT Viewer?action=UPDATE&amp;creator=factset&amp;DYN_ARGS=TRUE&amp;DOC_NAME=FAT:FQL_AUDITING_CLIENT_TEMPLATE.FAT&amp;display_string=Audit&amp;VAR:KEY=JWVGDSFAZS&amp;VAR:QUERY=RkZfU0hMRFJTX0VRKCdRVFInLDMyOTA0KQ==&amp;WINDOW=FIRST_POPUP&amp;HEIGHT=450&amp;WIDTH=450&amp;START_MA","XIMIZED=FALSE&amp;VAR:CALENDAR=US&amp;VAR:SYMBOL=Company1335&amp;VAR:INDEX=0"}</definedName>
    <definedName name="_505__FDSAUDITLINK__" hidden="1">{"fdsup://directions/FAT Viewer?action=UPDATE&amp;creator=factset&amp;DYN_ARGS=TRUE&amp;DOC_NAME=FAT:FQL_AUDITING_CLIENT_TEMPLATE.FAT&amp;display_string=Audit&amp;VAR:KEY=BUHOHWNMFQ&amp;VAR:QUERY=RkZfU0hMRFJTX0VRKCdRVFInLDMyODcxKQ==&amp;WINDOW=FIRST_POPUP&amp;HEIGHT=450&amp;WIDTH=450&amp;START_MA","XIMIZED=FALSE&amp;VAR:CALENDAR=US&amp;VAR:SYMBOL=Company1335&amp;VAR:INDEX=0"}</definedName>
    <definedName name="_506__FDSAUDITLINK__" hidden="1">{"fdsup://directions/FAT Viewer?action=UPDATE&amp;creator=factset&amp;DYN_ARGS=TRUE&amp;DOC_NAME=FAT:FQL_AUDITING_CLIENT_TEMPLATE.FAT&amp;display_string=Audit&amp;VAR:KEY=BUHOHWNMFQ&amp;VAR:QUERY=RkZfU0hMRFJTX0VRKCdRVFInLDMyODcxKQ==&amp;WINDOW=FIRST_POPUP&amp;HEIGHT=450&amp;WIDTH=450&amp;START_MA","XIMIZED=FALSE&amp;VAR:CALENDAR=US&amp;VAR:SYMBOL=Company1335&amp;VAR:INDEX=0"}</definedName>
    <definedName name="_507__FDSAUDITLINK__" hidden="1">{"fdsup://directions/FAT Viewer?action=UPDATE&amp;creator=factset&amp;DYN_ARGS=TRUE&amp;DOC_NAME=FAT:FQL_AUDITING_CLIENT_TEMPLATE.FAT&amp;display_string=Audit&amp;VAR:KEY=MZWLQDCNML&amp;VAR:QUERY=KENTRl9DT01fU0hTX09VVF9FUFNfRElMKFFUUl9SLDQxMDI5KUBXU0ZfQ09NX1NIU19PVVRfRVBTX0RJTChRV","FIsNDEwMjkpKQ==&amp;WINDOW=FIRST_POPUP&amp;HEIGHT=450&amp;WIDTH=450&amp;START_MAXIMIZED=FALSE&amp;VAR:CALENDAR=US&amp;VAR:SYMBOL=Company1335&amp;VAR:INDEX=0"}</definedName>
    <definedName name="_508__FDSAUDITLINK__" hidden="1">{"fdsup://directions/FAT Viewer?action=UPDATE&amp;creator=factset&amp;DYN_ARGS=TRUE&amp;DOC_NAME=FAT:FQL_AUDITING_CLIENT_TEMPLATE.FAT&amp;display_string=Audit&amp;VAR:KEY=IJKJSNUDKZ&amp;VAR:QUERY=KENTRl9JTlRBTkcoUVRSX1IsNDEwMjkpQFdTRl9JTlRBTkcoUVRSLDQxMDI5KSk=&amp;WINDOW=FIRST_POPUP&amp;H","COMPANY0910=450&amp;WIDTH=450&amp;START_MAXIMIZED=FALSE&amp;VAR:CALENDAR=US&amp;VAR:SYMBOL=Company1335&amp;VAR:INDEX=0"}</definedName>
    <definedName name="_509__FDSAUDITLINK__" hidden="1">{"fdsup://directions/FAT Viewer?action=UPDATE&amp;creator=factset&amp;DYN_ARGS=TRUE&amp;DOC_NAME=FAT:FQL_AUDITING_CLIENT_TEMPLATE.FAT&amp;display_string=Audit&amp;VAR:KEY=GBQFEFKZQL&amp;VAR:QUERY=KENTRl9TSExEUlNfRVEoUVRSX1IsNDEwMjkpQFdTRl9TSExEUlNfRVEoUVRSLDQxMDI5KSk=&amp;WINDOW=FIRST","_POPUP&amp;HEIGHT=450&amp;WIDTH=450&amp;START_MAXIMIZED=FALSE&amp;VAR:CALENDAR=US&amp;VAR:SYMBOL=Company1335&amp;VAR:INDEX=0"}</definedName>
    <definedName name="_51__FDSAUDITLINK__" hidden="1">{"fdsup://directions/FAT Viewer?action=UPDATE&amp;creator=factset&amp;DYN_ARGS=TRUE&amp;DOC_NAME=FAT:FQL_AUDITING_CLIENT_TEMPLATE.FAT&amp;display_string=Audit&amp;VAR:KEY=YRULSLWLSP&amp;VAR:QUERY=KENTRl9JTlRBTkcoUVRSX1IsMzU5NzYpQFdTRl9JTlRBTkcoUVRSLDM1OTc2KSk=&amp;WINDOW=FIRST_POPUP&amp;H","COMPANY0910=450&amp;WIDTH=450&amp;START_MAXIMIZED=FALSE&amp;VAR:CALENDAR=US&amp;VAR:SYMBOL=Company0092:INDEX=0"}</definedName>
    <definedName name="_510__FDSAUDITLINK__" hidden="1">{"fdsup://directions/FAT Viewer?action=UPDATE&amp;creator=factset&amp;DYN_ARGS=TRUE&amp;DOC_NAME=FAT:FQL_AUDITING_CLIENT_TEMPLATE.FAT&amp;display_string=Audit&amp;VAR:KEY=YZEJQZMVOJ&amp;VAR:QUERY=KENTRl9DT01fU0hTX09VVF9FUFNfRElMKFFUUl9SLDQwODE2KUBXU0ZfQ09NX1NIU19PVVRfRVBTX0RJTChRV","FIsNDA4MTYpKQ==&amp;WINDOW=FIRST_POPUP&amp;HEIGHT=450&amp;WIDTH=450&amp;START_MAXIMIZED=FALSE&amp;VAR:CALENDAR=US&amp;VAR:SYMBOL=Company1335&amp;VAR:INDEX=0"}</definedName>
    <definedName name="_511__FDSAUDITLINK__" hidden="1">{"fdsup://directions/FAT Viewer?action=UPDATE&amp;creator=factset&amp;DYN_ARGS=TRUE&amp;DOC_NAME=FAT:FQL_AUDITING_CLIENT_TEMPLATE.FAT&amp;display_string=Audit&amp;VAR:KEY=QBSZOPQVET&amp;VAR:QUERY=KENTRl9JTlRBTkcoUVRSX1IsNDA4MTYpQFdTRl9JTlRBTkcoUVRSLDQwODE2KSk=&amp;WINDOW=FIRST_POPUP&amp;H","COMPANY0910=450&amp;WIDTH=450&amp;START_MAXIMIZED=FALSE&amp;VAR:CALENDAR=US&amp;VAR:SYMBOL=Company1335&amp;VAR:INDEX=0"}</definedName>
    <definedName name="_512__FDSAUDITLINK__" hidden="1">{"fdsup://directions/FAT Viewer?action=UPDATE&amp;creator=factset&amp;DYN_ARGS=TRUE&amp;DOC_NAME=FAT:FQL_AUDITING_CLIENT_TEMPLATE.FAT&amp;display_string=Audit&amp;VAR:KEY=IXADWDUJMR&amp;VAR:QUERY=KENTRl9TSExEUlNfRVEoUVRSX1IsNDA4MTYpQFdTRl9TSExEUlNfRVEoUVRSLDQwODE2KSk=&amp;WINDOW=FIRST","_POPUP&amp;HEIGHT=450&amp;WIDTH=450&amp;START_MAXIMIZED=FALSE&amp;VAR:CALENDAR=US&amp;VAR:SYMBOL=Company1335&amp;VAR:INDEX=0"}</definedName>
    <definedName name="_513__FDSAUDITLINK__" hidden="1">{"fdsup://directions/FAT Viewer?action=UPDATE&amp;creator=factset&amp;DYN_ARGS=TRUE&amp;DOC_NAME=FAT:FQL_AUDITING_CLIENT_TEMPLATE.FAT&amp;display_string=Audit&amp;VAR:KEY=WVIBCVCZYB&amp;VAR:QUERY=KENTRl9DT01fU0hTX09VVF9FUFNfRElMKFFUUl9SLDQwOTk5KUBXU0ZfQ09NX1NIU19PVVRfRVBTX0RJTChRV","FIsNDA5OTkpKQ==&amp;WINDOW=FIRST_POPUP&amp;HEIGHT=450&amp;WIDTH=450&amp;START_MAXIMIZED=FALSE&amp;VAR:CALENDAR=US&amp;VAR:SYMBOL=Company1335&amp;VAR:INDEX=0"}</definedName>
    <definedName name="_514__FDSAUDITLINK__" hidden="1">{"fdsup://directions/FAT Viewer?action=UPDATE&amp;creator=factset&amp;DYN_ARGS=TRUE&amp;DOC_NAME=FAT:FQL_AUDITING_CLIENT_TEMPLATE.FAT&amp;display_string=Audit&amp;VAR:KEY=QBQHQRGDSH&amp;VAR:QUERY=KENTRl9JTlRBTkcoUVRSX1IsNDA5OTkpQFdTRl9JTlRBTkcoUVRSLDQwOTk5KSk=&amp;WINDOW=FIRST_POPUP&amp;H","COMPANY0910=450&amp;WIDTH=450&amp;START_MAXIMIZED=FALSE&amp;VAR:CALENDAR=US&amp;VAR:SYMBOL=Company1335&amp;VAR:INDEX=0"}</definedName>
    <definedName name="_515__FDSAUDITLINK__" hidden="1">{"fdsup://directions/FAT Viewer?action=UPDATE&amp;creator=factset&amp;DYN_ARGS=TRUE&amp;DOC_NAME=FAT:FQL_AUDITING_CLIENT_TEMPLATE.FAT&amp;display_string=Audit&amp;VAR:KEY=GBSVMNWTKB&amp;VAR:QUERY=KENTRl9TSExEUlNfRVEoUVRSX1IsNDA5OTkpQFdTRl9TSExEUlNfRVEoUVRSLDQwOTk5KSk=&amp;WINDOW=FIRST","_POPUP&amp;HEIGHT=450&amp;WIDTH=450&amp;START_MAXIMIZED=FALSE&amp;VAR:CALENDAR=US&amp;VAR:SYMBOL=Company1335&amp;VAR:INDEX=0"}</definedName>
    <definedName name="_516__FDSAUDITLINK__" hidden="1">{"fdsup://directions/FAT Viewer?action=UPDATE&amp;creator=factset&amp;DYN_ARGS=TRUE&amp;DOC_NAME=FAT:FQL_AUDITING_CLIENT_TEMPLATE.FAT&amp;display_string=Audit&amp;VAR:KEY=MZWLQDCNML&amp;VAR:QUERY=KENTRl9DT01fU0hTX09VVF9FUFNfRElMKFFUUl9SLDQxMDI5KUBXU0ZfQ09NX1NIU19PVVRfRVBTX0RJTChRV","FIsNDEwMjkpKQ==&amp;WINDOW=FIRST_POPUP&amp;HEIGHT=450&amp;WIDTH=450&amp;START_MAXIMIZED=FALSE&amp;VAR:CALENDAR=US&amp;VAR:SYMBOL=Company1335&amp;VAR:INDEX=0"}</definedName>
    <definedName name="_517__FDSAUDITLINK__" hidden="1">{"fdsup://directions/FAT Viewer?action=UPDATE&amp;creator=factset&amp;DYN_ARGS=TRUE&amp;DOC_NAME=FAT:FQL_AUDITING_CLIENT_TEMPLATE.FAT&amp;display_string=Audit&amp;VAR:KEY=IJKJSNUDKZ&amp;VAR:QUERY=KENTRl9JTlRBTkcoUVRSX1IsNDEwMjkpQFdTRl9JTlRBTkcoUVRSLDQxMDI5KSk=&amp;WINDOW=FIRST_POPUP&amp;H","COMPANY0910=450&amp;WIDTH=450&amp;START_MAXIMIZED=FALSE&amp;VAR:CALENDAR=US&amp;VAR:SYMBOL=Company1335&amp;VAR:INDEX=0"}</definedName>
    <definedName name="_518__FDSAUDITLINK__" hidden="1">{"fdsup://directions/FAT Viewer?action=UPDATE&amp;creator=factset&amp;DYN_ARGS=TRUE&amp;DOC_NAME=FAT:FQL_AUDITING_CLIENT_TEMPLATE.FAT&amp;display_string=Audit&amp;VAR:KEY=GBQFEFKZQL&amp;VAR:QUERY=KENTRl9TSExEUlNfRVEoUVRSX1IsNDEwMjkpQFdTRl9TSExEUlNfRVEoUVRSLDQxMDI5KSk=&amp;WINDOW=FIRST","_POPUP&amp;HEIGHT=450&amp;WIDTH=450&amp;START_MAXIMIZED=FALSE&amp;VAR:CALENDAR=US&amp;VAR:SYMBOL=Company1335&amp;VAR:INDEX=0"}</definedName>
    <definedName name="_52__FDSAUDITLINK__" hidden="1">{"fdsup://directions/FAT Viewer?action=UPDATE&amp;creator=factset&amp;DYN_ARGS=TRUE&amp;DOC_NAME=FAT:FQL_AUDITING_CLIENT_TEMPLATE.FAT&amp;display_string=Audit&amp;VAR:KEY=EBEVWZUTSV&amp;VAR:QUERY=KENTRl9DT01fU0hTX09VVF9FUFNfRElMKFFUUl9SLDM1OTQ0KUBXU0ZfQ09NX1NIU19PVVRfRVBTX0RJTChRV","FIsMzU5NDQpKQ==&amp;WINDOW=FIRST_POPUP&amp;HEIGHT=450&amp;WIDTH=450&amp;START_MAXIMIZED=FALSE&amp;VAR:CALENDAR=US&amp;VAR:SYMBOL=Company0092:INDEX=0"}</definedName>
    <definedName name="_522__FDSAUDITLINK__" hidden="1">{"fdsup://directions/FAT Viewer?action=UPDATE&amp;creator=factset&amp;DYN_ARGS=TRUE&amp;DOC_NAME=FAT:FQL_AUDITING_CLIENT_TEMPLATE.FAT&amp;display_string=Audit&amp;VAR:KEY=AZYZAZOHSN&amp;VAR:QUERY=KENTRl9TSExEUlNfRVEoUVRSX1IsNDEwOTApQFdTRl9TSExEUlNfRVEoUVRSLDQxMDkwKSk=&amp;WINDOW=FIRST","_POPUP&amp;HEIGHT=450&amp;WIDTH=450&amp;START_MAXIMIZED=FALSE&amp;VAR:CALENDAR=US&amp;VAR:SYMBOL=Company1335&amp;VAR:INDEX=0"}</definedName>
    <definedName name="_523__FDSAUDITLINK__" hidden="1">{"fdsup://directions/FAT Viewer?action=UPDATE&amp;creator=factset&amp;DYN_ARGS=TRUE&amp;DOC_NAME=FAT:FQL_AUDITING_CLIENT_TEMPLATE.FAT&amp;display_string=Audit&amp;VAR:KEY=KDCPCRGJOX&amp;VAR:QUERY=KENTRl9JTlRBTkcoUVRSX1IsNDEwOTApQFdTRl9JTlRBTkcoUVRSLDQxMDkwKSk=&amp;WINDOW=FIRST_POPUP&amp;H","COMPANY0910=450&amp;WIDTH=450&amp;START_MAXIMIZED=FALSE&amp;VAR:CALENDAR=US&amp;VAR:SYMBOL=Company1335&amp;VAR:INDEX=0"}</definedName>
    <definedName name="_524__FDSAUDITLINK__" hidden="1">{"fdsup://directions/FAT Viewer?action=UPDATE&amp;creator=factset&amp;DYN_ARGS=TRUE&amp;DOC_NAME=FAT:FQL_AUDITING_CLIENT_TEMPLATE.FAT&amp;display_string=Audit&amp;VAR:KEY=WNEPKPEBAB&amp;VAR:QUERY=KENTRl9DT01fU0hTX09VVF9FUFNfRElMKFFUUl9SLDQxMDkwKUBXU0ZfQ09NX1NIU19PVVRfRVBTX0RJTChRV","FIsNDEwOTApKQ==&amp;WINDOW=FIRST_POPUP&amp;HEIGHT=450&amp;WIDTH=450&amp;START_MAXIMIZED=FALSE&amp;VAR:CALENDAR=US&amp;VAR:SYMBOL=Company1335&amp;VAR:INDEX=0"}</definedName>
    <definedName name="_53__FDSAUDITLINK__" hidden="1">{"fdsup://directions/FAT Viewer?action=UPDATE&amp;creator=factset&amp;DYN_ARGS=TRUE&amp;DOC_NAME=FAT:FQL_AUDITING_CLIENT_TEMPLATE.FAT&amp;display_string=Audit&amp;VAR:KEY=ADUJIFGTCH&amp;VAR:QUERY=KENTRl9JTlRBTkcoUVRSX1IsMzU5NDQpQFdTRl9JTlRBTkcoUVRSLDM1OTQ0KSk=&amp;WINDOW=FIRST_POPUP&amp;H","COMPANY0910=450&amp;WIDTH=450&amp;START_MAXIMIZED=FALSE&amp;VAR:CALENDAR=US&amp;VAR:SYMBOL=Company0092:INDEX=0"}</definedName>
    <definedName name="_54__FDSAUDITLINK__" hidden="1">{"fdsup://directions/FAT Viewer?action=UPDATE&amp;creator=factset&amp;DYN_ARGS=TRUE&amp;DOC_NAME=FAT:FQL_AUDITING_CLIENT_TEMPLATE.FAT&amp;display_string=Audit&amp;VAR:KEY=CPQLWXQJWZ&amp;VAR:QUERY=KENTRl9DT01fU0hTX09VVF9FUFNfRElMKFFUUl9SLDM1OTE1KUBXU0ZfQ09NX1NIU19PVVRfRVBTX0RJTChRV","FIsMzU5MTUpKQ==&amp;WINDOW=FIRST_POPUP&amp;HEIGHT=450&amp;WIDTH=450&amp;START_MAXIMIZED=FALSE&amp;VAR:CALENDAR=US&amp;VAR:SYMBOL=Company0092:INDEX=0"}</definedName>
    <definedName name="_55__FDSAUDITLINK__" hidden="1">{"fdsup://directions/FAT Viewer?action=UPDATE&amp;creator=factset&amp;DYN_ARGS=TRUE&amp;DOC_NAME=FAT:FQL_AUDITING_CLIENT_TEMPLATE.FAT&amp;display_string=Audit&amp;VAR:KEY=SJMFWTEDQT&amp;VAR:QUERY=KENTRl9JTlRBTkcoUVRSX1IsMzU5MTUpQFdTRl9JTlRBTkcoUVRSLDM1OTE1KSk=&amp;WINDOW=FIRST_POPUP&amp;H","COMPANY0910=450&amp;WIDTH=450&amp;START_MAXIMIZED=FALSE&amp;VAR:CALENDAR=US&amp;VAR:SYMBOL=Company0092:INDEX=0"}</definedName>
    <definedName name="_56__FDSAUDITLINK__" hidden="1">{"fdsup://directions/FAT Viewer?action=UPDATE&amp;creator=factset&amp;DYN_ARGS=TRUE&amp;DOC_NAME=FAT:FQL_AUDITING_CLIENT_TEMPLATE.FAT&amp;display_string=Audit&amp;VAR:KEY=UTCXKBMJSL&amp;VAR:QUERY=KENTRl9DT01fU0hTX09VVF9FUFNfRElMKFFUUl9SLDM1ODg1KUBXU0ZfQ09NX1NIU19PVVRfRVBTX0RJTChRV","FIsMzU4ODUpKQ==&amp;WINDOW=FIRST_POPUP&amp;HEIGHT=450&amp;WIDTH=450&amp;START_MAXIMIZED=FALSE&amp;VAR:CALENDAR=US&amp;VAR:SYMBOL=Company0092:INDEX=0"}</definedName>
    <definedName name="_57__FDSAUDITLINK__" hidden="1">{"fdsup://directions/FAT Viewer?action=UPDATE&amp;creator=factset&amp;DYN_ARGS=TRUE&amp;DOC_NAME=FAT:FQL_AUDITING_CLIENT_TEMPLATE.FAT&amp;display_string=Audit&amp;VAR:KEY=YHAFMROTUR&amp;VAR:QUERY=KENTRl9JTlRBTkcoUVRSX1IsMzU4ODUpQFdTRl9JTlRBTkcoUVRSLDM1ODg1KSk=&amp;WINDOW=FIRST_POPUP&amp;H","COMPANY0910=450&amp;WIDTH=450&amp;START_MAXIMIZED=FALSE&amp;VAR:CALENDAR=US&amp;VAR:SYMBOL=Company0092:INDEX=0"}</definedName>
    <definedName name="_58__FDSAUDITLINK__" hidden="1">{"fdsup://directions/FAT Viewer?action=UPDATE&amp;creator=factset&amp;DYN_ARGS=TRUE&amp;DOC_NAME=FAT:FQL_AUDITING_CLIENT_TEMPLATE.FAT&amp;display_string=Audit&amp;VAR:KEY=WRKHKBULMF&amp;VAR:QUERY=KENTRl9DT01fU0hTX09VVF9FUFNfRElMKFFUUl9SLDM1ODUzKUBXU0ZfQ09NX1NIU19PVVRfRVBTX0RJTChRV","FIsMzU4NTMpKQ==&amp;WINDOW=FIRST_POPUP&amp;HEIGHT=450&amp;WIDTH=450&amp;START_MAXIMIZED=FALSE&amp;VAR:CALENDAR=US&amp;VAR:SYMBOL=Company0092:INDEX=0"}</definedName>
    <definedName name="_59__FDSAUDITLINK__" hidden="1">{"fdsup://directions/FAT Viewer?action=UPDATE&amp;creator=factset&amp;DYN_ARGS=TRUE&amp;DOC_NAME=FAT:FQL_AUDITING_CLIENT_TEMPLATE.FAT&amp;display_string=Audit&amp;VAR:KEY=YPSXIVMLQF&amp;VAR:QUERY=KENTRl9JTlRBTkcoUVRSX1IsMzU4NTMpQFdTRl9JTlRBTkcoUVRSLDM1ODUzKSk=&amp;WINDOW=FIRST_POPUP&amp;H","COMPANY0910=450&amp;WIDTH=450&amp;START_MAXIMIZED=FALSE&amp;VAR:CALENDAR=US&amp;VAR:SYMBOL=Company0092:INDEX=0"}</definedName>
    <definedName name="_6__123Graph_CCHART_1" hidden="1">#REF!</definedName>
    <definedName name="_6__FDSAUDITLINK__" hidden="1">{"fdsup://directions/FAT Viewer?action=UPDATE&amp;creator=factset&amp;DYN_ARGS=TRUE&amp;DOC_NAME=FAT:FQL_AUDITING_CLIENT_TEMPLATE.FAT&amp;display_string=Audit&amp;VAR:KEY=ETKFAHIZCJ&amp;VAR:QUERY=KENTRl9JTlRBTkcoUVRSX1IsMzcxNjIpQFdTRl9JTlRBTkcoUVRSLDM3MTYyKSk=&amp;WINDOW=FIRST_POPUP&amp;H","COMPANY0910=450&amp;WIDTH=450&amp;START_MAXIMIZED=FALSE&amp;VAR:CALENDAR=US&amp;VAR:SYMBOL=Company0092:INDEX=0"}</definedName>
    <definedName name="_60__FDSAUDITLINK__" hidden="1">{"fdsup://directions/FAT Viewer?action=UPDATE&amp;creator=factset&amp;DYN_ARGS=TRUE&amp;DOC_NAME=FAT:FQL_AUDITING_CLIENT_TEMPLATE.FAT&amp;display_string=Audit&amp;VAR:KEY=IJGHIFGLAL&amp;VAR:QUERY=KENTRl9DT01fU0hTX09VVF9FUFNfRElMKFFUUl9SLDM1ODI1KUBXU0ZfQ09NX1NIU19PVVRfRVBTX0RJTChRV","FIsMzU4MjUpKQ==&amp;WINDOW=FIRST_POPUP&amp;HEIGHT=450&amp;WIDTH=450&amp;START_MAXIMIZED=FALSE&amp;VAR:CALENDAR=US&amp;VAR:SYMBOL=Company0092:INDEX=0"}</definedName>
    <definedName name="_61__FDSAUDITLINK__" hidden="1">{"fdsup://directions/FAT Viewer?action=UPDATE&amp;creator=factset&amp;DYN_ARGS=TRUE&amp;DOC_NAME=FAT:FQL_AUDITING_CLIENT_TEMPLATE.FAT&amp;display_string=Audit&amp;VAR:KEY=WJALMDCVGZ&amp;VAR:QUERY=KENTRl9JTlRBTkcoUVRSX1IsMzU4MjUpQFdTRl9JTlRBTkcoUVRSLDM1ODI1KSk=&amp;WINDOW=FIRST_POPUP&amp;H","COMPANY0910=450&amp;WIDTH=450&amp;START_MAXIMIZED=FALSE&amp;VAR:CALENDAR=US&amp;VAR:SYMBOL=Company0092:INDEX=0"}</definedName>
    <definedName name="_62__FDSAUDITLINK__" hidden="1">{"fdsup://directions/FAT Viewer?action=UPDATE&amp;creator=factset&amp;DYN_ARGS=TRUE&amp;DOC_NAME=FAT:FQL_AUDITING_CLIENT_TEMPLATE.FAT&amp;display_string=Audit&amp;VAR:KEY=UXWPCHWDOV&amp;VAR:QUERY=KENTRl9DT01fU0hTX09VVF9FUFNfRElMKFFUUl9SLDM1Nzk1KUBXU0ZfQ09NX1NIU19PVVRfRVBTX0RJTChRV","FIsMzU3OTUpKQ==&amp;WINDOW=FIRST_POPUP&amp;HEIGHT=450&amp;WIDTH=450&amp;START_MAXIMIZED=FALSE&amp;VAR:CALENDAR=US&amp;VAR:SYMBOL=Company0092:INDEX=0"}</definedName>
    <definedName name="_63__FDSAUDITLINK__" hidden="1">{"fdsup://directions/FAT Viewer?action=UPDATE&amp;creator=factset&amp;DYN_ARGS=TRUE&amp;DOC_NAME=FAT:FQL_AUDITING_CLIENT_TEMPLATE.FAT&amp;display_string=Audit&amp;VAR:KEY=UTYTONUTUT&amp;VAR:QUERY=KENTRl9JTlRBTkcoUVRSX1IsMzU3OTUpQFdTRl9JTlRBTkcoUVRSLDM1Nzk1KSk=&amp;WINDOW=FIRST_POPUP&amp;H","COMPANY0910=450&amp;WIDTH=450&amp;START_MAXIMIZED=FALSE&amp;VAR:CALENDAR=US&amp;VAR:SYMBOL=Company0092:INDEX=0"}</definedName>
    <definedName name="_64__FDSAUDITLINK__" hidden="1">{"fdsup://directions/FAT Viewer?action=UPDATE&amp;creator=factset&amp;DYN_ARGS=TRUE&amp;DOC_NAME=FAT:FQL_AUDITING_CLIENT_TEMPLATE.FAT&amp;display_string=Audit&amp;VAR:KEY=ELAPKZILEN&amp;VAR:QUERY=KENTRl9DT01fU0hTX09VVF9FUFNfRElMKFFUUl9SLDM1NzYyKUBXU0ZfQ09NX1NIU19PVVRfRVBTX0RJTChRV","FIsMzU3NjIpKQ==&amp;WINDOW=FIRST_POPUP&amp;HEIGHT=450&amp;WIDTH=450&amp;START_MAXIMIZED=FALSE&amp;VAR:CALENDAR=US&amp;VAR:SYMBOL=Company0092:INDEX=0"}</definedName>
    <definedName name="_65__FDSAUDITLINK__" hidden="1">{"fdsup://directions/FAT Viewer?action=UPDATE&amp;creator=factset&amp;DYN_ARGS=TRUE&amp;DOC_NAME=FAT:FQL_AUDITING_CLIENT_TEMPLATE.FAT&amp;display_string=Audit&amp;VAR:KEY=MFCDCRELIN&amp;VAR:QUERY=KENTRl9JTlRBTkcoUVRSX1IsMzU3NjIpQFdTRl9JTlRBTkcoUVRSLDM1NzYyKSk=&amp;WINDOW=FIRST_POPUP&amp;H","COMPANY0910=450&amp;WIDTH=450&amp;START_MAXIMIZED=FALSE&amp;VAR:CALENDAR=US&amp;VAR:SYMBOL=Company0092:INDEX=0"}</definedName>
    <definedName name="_66__FDSAUDITLINK__" hidden="1">{"fdsup://directions/FAT Viewer?action=UPDATE&amp;creator=factset&amp;DYN_ARGS=TRUE&amp;DOC_NAME=FAT:FQL_AUDITING_CLIENT_TEMPLATE.FAT&amp;display_string=Audit&amp;VAR:KEY=UVQPSPEXKP&amp;VAR:QUERY=KENTRl9DT01fU0hTX09VVF9FUFNfRElMKFFUUl9SLDM1NzM0KUBXU0ZfQ09NX1NIU19PVVRfRVBTX0RJTChRV","FIsMzU3MzQpKQ==&amp;WINDOW=FIRST_POPUP&amp;HEIGHT=450&amp;WIDTH=450&amp;START_MAXIMIZED=FALSE&amp;VAR:CALENDAR=US&amp;VAR:SYMBOL=Company0092:INDEX=0"}</definedName>
    <definedName name="_67__FDSAUDITLINK__" hidden="1">{"fdsup://directions/FAT Viewer?action=UPDATE&amp;creator=factset&amp;DYN_ARGS=TRUE&amp;DOC_NAME=FAT:FQL_AUDITING_CLIENT_TEMPLATE.FAT&amp;display_string=Audit&amp;VAR:KEY=MZMFUVILAH&amp;VAR:QUERY=KENTRl9JTlRBTkcoUVRSX1IsMzU3MzQpQFdTRl9JTlRBTkcoUVRSLDM1NzM0KSk=&amp;WINDOW=FIRST_POPUP&amp;H","COMPANY0910=450&amp;WIDTH=450&amp;START_MAXIMIZED=FALSE&amp;VAR:CALENDAR=US&amp;VAR:SYMBOL=Company0092:INDEX=0"}</definedName>
    <definedName name="_68__FDSAUDITLINK__" hidden="1">{"fdsup://directions/FAT Viewer?action=UPDATE&amp;creator=factset&amp;DYN_ARGS=TRUE&amp;DOC_NAME=FAT:FQL_AUDITING_CLIENT_TEMPLATE.FAT&amp;display_string=Audit&amp;VAR:KEY=WXWFMPKBQH&amp;VAR:QUERY=KENTRl9DT01fU0hTX09VVF9FUFNfRElMKFFUUl9SLDM1NzAzKUBXU0ZfQ09NX1NIU19PVVRfRVBTX0RJTChRV","FIsMzU3MDMpKQ==&amp;WINDOW=FIRST_POPUP&amp;HEIGHT=450&amp;WIDTH=450&amp;START_MAXIMIZED=FALSE&amp;VAR:CALENDAR=US&amp;VAR:SYMBOL=Company0092:INDEX=0"}</definedName>
    <definedName name="_69__FDSAUDITLINK__" hidden="1">{"fdsup://directions/FAT Viewer?action=UPDATE&amp;creator=factset&amp;DYN_ARGS=TRUE&amp;DOC_NAME=FAT:FQL_AUDITING_CLIENT_TEMPLATE.FAT&amp;display_string=Audit&amp;VAR:KEY=WHORIJCLQR&amp;VAR:QUERY=KENTRl9JTlRBTkcoUVRSX1IsMzU3MDMpQFdTRl9JTlRBTkcoUVRSLDM1NzAzKSk=&amp;WINDOW=FIRST_POPUP&amp;H","COMPANY0910=450&amp;WIDTH=450&amp;START_MAXIMIZED=FALSE&amp;VAR:CALENDAR=US&amp;VAR:SYMBOL=Company0092:INDEX=0"}</definedName>
    <definedName name="_7__FDSAUDITLINK__" hidden="1">{"fdsup://directions/FAT Viewer?action=UPDATE&amp;creator=factset&amp;DYN_ARGS=TRUE&amp;DOC_NAME=FAT:FQL_AUDITING_CLIENT_TEMPLATE.FAT&amp;display_string=Audit&amp;VAR:KEY=EZYLEXSBON&amp;VAR:QUERY=KENTRl9JTlRBTkcoUVRSX1IsMzcxMzQpQFdTRl9JTlRBTkcoUVRSLDM3MTM0KSk=&amp;WINDOW=FIRST_POPUP&amp;H","COMPANY0910=450&amp;WIDTH=450&amp;START_MAXIMIZED=FALSE&amp;VAR:CALENDAR=US&amp;VAR:SYMBOL=Company0092:INDEX=0"}</definedName>
    <definedName name="_70__FDSAUDITLINK__" hidden="1">{"fdsup://directions/FAT Viewer?action=UPDATE&amp;creator=factset&amp;DYN_ARGS=TRUE&amp;DOC_NAME=FAT:FQL_AUDITING_CLIENT_TEMPLATE.FAT&amp;display_string=Audit&amp;VAR:KEY=MFOJMXQBSH&amp;VAR:QUERY=KENTRl9DT01fU0hTX09VVF9FUFNfRElMKFFUUl9SLDM1NjcxKUBXU0ZfQ09NX1NIU19PVVRfRVBTX0RJTChRV","FIsMzU2NzEpKQ==&amp;WINDOW=FIRST_POPUP&amp;HEIGHT=450&amp;WIDTH=450&amp;START_MAXIMIZED=FALSE&amp;VAR:CALENDAR=US&amp;VAR:SYMBOL=Company0092:INDEX=0"}</definedName>
    <definedName name="_71__FDSAUDITLINK__" hidden="1">{"fdsup://directions/FAT Viewer?action=UPDATE&amp;creator=factset&amp;DYN_ARGS=TRUE&amp;DOC_NAME=FAT:FQL_AUDITING_CLIENT_TEMPLATE.FAT&amp;display_string=Audit&amp;VAR:KEY=UZKNORULAP&amp;VAR:QUERY=KENTRl9JTlRBTkcoUVRSX1IsMzU2NzEpQFdTRl9JTlRBTkcoUVRSLDM1NjcxKSk=&amp;WINDOW=FIRST_POPUP&amp;H","COMPANY0910=450&amp;WIDTH=450&amp;START_MAXIMIZED=FALSE&amp;VAR:CALENDAR=US&amp;VAR:SYMBOL=Company0092:INDEX=0"}</definedName>
    <definedName name="_72__FDSAUDITLINK__" hidden="1">{"fdsup://directions/FAT Viewer?action=UPDATE&amp;creator=factset&amp;DYN_ARGS=TRUE&amp;DOC_NAME=FAT:FQL_AUDITING_CLIENT_TEMPLATE.FAT&amp;display_string=Audit&amp;VAR:KEY=GRSJMBEBKN&amp;VAR:QUERY=KENTRl9DT01fU0hTX09VVF9FUFNfRElMKFFUUl9SLDM1NjQyKUBXU0ZfQ09NX1NIU19PVVRfRVBTX0RJTChRV","FIsMzU2NDIpKQ==&amp;WINDOW=FIRST_POPUP&amp;HEIGHT=450&amp;WIDTH=450&amp;START_MAXIMIZED=FALSE&amp;VAR:CALENDAR=US&amp;VAR:SYMBOL=Company0092:INDEX=0"}</definedName>
    <definedName name="_73__FDSAUDITLINK__" hidden="1">{"fdsup://directions/FAT Viewer?action=UPDATE&amp;creator=factset&amp;DYN_ARGS=TRUE&amp;DOC_NAME=FAT:FQL_AUDITING_CLIENT_TEMPLATE.FAT&amp;display_string=Audit&amp;VAR:KEY=QZOFENSXWF&amp;VAR:QUERY=KENTRl9JTlRBTkcoUVRSX1IsMzU2NDIpQFdTRl9JTlRBTkcoUVRSLDM1NjQyKSk=&amp;WINDOW=FIRST_POPUP&amp;H","COMPANY0910=450&amp;WIDTH=450&amp;START_MAXIMIZED=FALSE&amp;VAR:CALENDAR=US&amp;VAR:SYMBOL=Company0092:INDEX=0"}</definedName>
    <definedName name="_74__FDSAUDITLINK__" hidden="1">{"fdsup://directions/FAT Viewer?action=UPDATE&amp;creator=factset&amp;DYN_ARGS=TRUE&amp;DOC_NAME=FAT:FQL_AUDITING_CLIENT_TEMPLATE.FAT&amp;display_string=Audit&amp;VAR:KEY=EVIPSVMXYV&amp;VAR:QUERY=KENTRl9DT01fU0hTX09VVF9FUFNfRElMKFFUUl9SLDM1NjExKUBXU0ZfQ09NX1NIU19PVVRfRVBTX0RJTChRV","FIsMzU2MTEpKQ==&amp;WINDOW=FIRST_POPUP&amp;HEIGHT=450&amp;WIDTH=450&amp;START_MAXIMIZED=FALSE&amp;VAR:CALENDAR=US&amp;VAR:SYMBOL=Company0092:INDEX=0"}</definedName>
    <definedName name="_75__FDSAUDITLINK__" hidden="1">{"fdsup://directions/FAT Viewer?action=UPDATE&amp;creator=factset&amp;DYN_ARGS=TRUE&amp;DOC_NAME=FAT:FQL_AUDITING_CLIENT_TEMPLATE.FAT&amp;display_string=Audit&amp;VAR:KEY=WPMHKVAZOP&amp;VAR:QUERY=KENTRl9JTlRBTkcoUVRSX1IsMzU2MTEpQFdTRl9JTlRBTkcoUVRSLDM1NjExKSk=&amp;WINDOW=FIRST_POPUP&amp;H","COMPANY0910=450&amp;WIDTH=450&amp;START_MAXIMIZED=FALSE&amp;VAR:CALENDAR=US&amp;VAR:SYMBOL=Company0092:INDEX=0"}</definedName>
    <definedName name="_76__FDSAUDITLINK__" hidden="1">{"fdsup://directions/FAT Viewer?action=UPDATE&amp;creator=factset&amp;DYN_ARGS=TRUE&amp;DOC_NAME=FAT:FQL_AUDITING_CLIENT_TEMPLATE.FAT&amp;display_string=Audit&amp;VAR:KEY=SHKVGPWDET&amp;VAR:QUERY=KENTRl9DT01fU0hTX09VVF9FUFNfRElMKFFUUl9SLDM1NTgwKUBXU0ZfQ09NX1NIU19PVVRfRVBTX0RJTChRV","FIsMzU1ODApKQ==&amp;WINDOW=FIRST_POPUP&amp;HEIGHT=450&amp;WIDTH=450&amp;START_MAXIMIZED=FALSE&amp;VAR:CALENDAR=US&amp;VAR:SYMBOL=Company0092:INDEX=0"}</definedName>
    <definedName name="_77__FDSAUDITLINK__" hidden="1">{"fdsup://directions/FAT Viewer?action=UPDATE&amp;creator=factset&amp;DYN_ARGS=TRUE&amp;DOC_NAME=FAT:FQL_AUDITING_CLIENT_TEMPLATE.FAT&amp;display_string=Audit&amp;VAR:KEY=SRCDYLMVGF&amp;VAR:QUERY=KENTRl9JTlRBTkcoUVRSX1IsMzU1ODApQFdTRl9JTlRBTkcoUVRSLDM1NTgwKSk=&amp;WINDOW=FIRST_POPUP&amp;H","COMPANY0910=450&amp;WIDTH=450&amp;START_MAXIMIZED=FALSE&amp;VAR:CALENDAR=US&amp;VAR:SYMBOL=Company0092:INDEX=0"}</definedName>
    <definedName name="_78__FDSAUDITLINK__" hidden="1">{"fdsup://directions/FAT Viewer?action=UPDATE&amp;creator=factset&amp;DYN_ARGS=TRUE&amp;DOC_NAME=FAT:FQL_AUDITING_CLIENT_TEMPLATE.FAT&amp;display_string=Audit&amp;VAR:KEY=YXUXYFSFKL&amp;VAR:QUERY=KENTRl9DT01fU0hTX09VVF9FUFNfRElMKFFUUl9SLDM1NTUwKUBXU0ZfQ09NX1NIU19PVVRfRVBTX0RJTChRV","FIsMzU1NTApKQ==&amp;WINDOW=FIRST_POPUP&amp;HEIGHT=450&amp;WIDTH=450&amp;START_MAXIMIZED=FALSE&amp;VAR:CALENDAR=US&amp;VAR:SYMBOL=Company0092:INDEX=0"}</definedName>
    <definedName name="_79__FDSAUDITLINK__" hidden="1">{"fdsup://directions/FAT Viewer?action=UPDATE&amp;creator=factset&amp;DYN_ARGS=TRUE&amp;DOC_NAME=FAT:FQL_AUDITING_CLIENT_TEMPLATE.FAT&amp;display_string=Audit&amp;VAR:KEY=IHCZEJALUT&amp;VAR:QUERY=KENTRl9JTlRBTkcoUVRSX1IsMzU1NTApQFdTRl9JTlRBTkcoUVRSLDM1NTUwKSk=&amp;WINDOW=FIRST_POPUP&amp;H","COMPANY0910=450&amp;WIDTH=450&amp;START_MAXIMIZED=FALSE&amp;VAR:CALENDAR=US&amp;VAR:SYMBOL=Company0092:INDEX=0"}</definedName>
    <definedName name="_8__FDSAUDITLINK__" hidden="1">{"fdsup://directions/FAT Viewer?action=UPDATE&amp;creator=factset&amp;DYN_ARGS=TRUE&amp;DOC_NAME=FAT:FQL_AUDITING_CLIENT_TEMPLATE.FAT&amp;display_string=Audit&amp;VAR:KEY=YBCFILUNWN&amp;VAR:QUERY=KENTRl9JTlRBTkcoUVRSX1IsMzcxMDMpQFdTRl9JTlRBTkcoUVRSLDM3MTAzKSk=&amp;WINDOW=FIRST_POPUP&amp;H","COMPANY0910=450&amp;WIDTH=450&amp;START_MAXIMIZED=FALSE&amp;VAR:CALENDAR=US&amp;VAR:SYMBOL=Company0092:INDEX=0"}</definedName>
    <definedName name="_80__FDSAUDITLINK__" hidden="1">{"fdsup://directions/FAT Viewer?action=UPDATE&amp;creator=factset&amp;DYN_ARGS=TRUE&amp;DOC_NAME=FAT:FQL_AUDITING_CLIENT_TEMPLATE.FAT&amp;display_string=Audit&amp;VAR:KEY=IHKPSJOXQD&amp;VAR:QUERY=KENTRl9DT01fU0hTX09VVF9FUFNfRElMKFFUUl9SLDM1NTIwKUBXU0ZfQ09NX1NIU19PVVRfRVBTX0RJTChRV","FIsMzU1MjApKQ==&amp;WINDOW=FIRST_POPUP&amp;HEIGHT=450&amp;WIDTH=450&amp;START_MAXIMIZED=FALSE&amp;VAR:CALENDAR=US&amp;VAR:SYMBOL=Company0092:INDEX=0"}</definedName>
    <definedName name="_81__FDSAUDITLINK__" hidden="1">{"fdsup://directions/FAT Viewer?action=UPDATE&amp;creator=factset&amp;DYN_ARGS=TRUE&amp;DOC_NAME=FAT:FQL_AUDITING_CLIENT_TEMPLATE.FAT&amp;display_string=Audit&amp;VAR:KEY=MDORUPWHUH&amp;VAR:QUERY=KENTRl9JTlRBTkcoUVRSX1IsMzU1MjApQFdTRl9JTlRBTkcoUVRSLDM1NTIwKSk=&amp;WINDOW=FIRST_POPUP&amp;H","COMPANY0910=450&amp;WIDTH=450&amp;START_MAXIMIZED=FALSE&amp;VAR:CALENDAR=US&amp;VAR:SYMBOL=Company0092:INDEX=0"}</definedName>
    <definedName name="_82__FDSAUDITLINK__" hidden="1">{"fdsup://directions/FAT Viewer?action=UPDATE&amp;creator=factset&amp;DYN_ARGS=TRUE&amp;DOC_NAME=FAT:FQL_AUDITING_CLIENT_TEMPLATE.FAT&amp;display_string=Audit&amp;VAR:KEY=ULODCBGXQH&amp;VAR:QUERY=KENTRl9DT01fU0hTX09VVF9FUFNfRElMKFFUUl9SLDM1NDg5KUBXU0ZfQ09NX1NIU19PVVRfRVBTX0RJTChRV","FIsMzU0ODkpKQ==&amp;WINDOW=FIRST_POPUP&amp;HEIGHT=450&amp;WIDTH=450&amp;START_MAXIMIZED=FALSE&amp;VAR:CALENDAR=US&amp;VAR:SYMBOL=Company0092:INDEX=0"}</definedName>
    <definedName name="_83__FDSAUDITLINK__" hidden="1">{"fdsup://directions/FAT Viewer?action=UPDATE&amp;creator=factset&amp;DYN_ARGS=TRUE&amp;DOC_NAME=FAT:FQL_AUDITING_CLIENT_TEMPLATE.FAT&amp;display_string=Audit&amp;VAR:KEY=WDUVIBAHQF&amp;VAR:QUERY=KENTRl9JTlRBTkcoUVRSX1IsMzU0ODkpQFdTRl9JTlRBTkcoUVRSLDM1NDg5KSk=&amp;WINDOW=FIRST_POPUP&amp;H","COMPANY0910=450&amp;WIDTH=450&amp;START_MAXIMIZED=FALSE&amp;VAR:CALENDAR=US&amp;VAR:SYMBOL=Company0092:INDEX=0"}</definedName>
    <definedName name="_84__FDSAUDITLINK__" hidden="1">{"fdsup://directions/FAT Viewer?action=UPDATE&amp;creator=factset&amp;DYN_ARGS=TRUE&amp;DOC_NAME=FAT:FQL_AUDITING_CLIENT_TEMPLATE.FAT&amp;display_string=Audit&amp;VAR:KEY=CJYHSVKLIH&amp;VAR:QUERY=KENTRl9DT01fU0hTX09VVF9FUFNfRElMKFFUUl9SLDM1NDYxKUBXU0ZfQ09NX1NIU19PVVRfRVBTX0RJTChRV","FIsMzU0NjEpKQ==&amp;WINDOW=FIRST_POPUP&amp;HEIGHT=450&amp;WIDTH=450&amp;START_MAXIMIZED=FALSE&amp;VAR:CALENDAR=US&amp;VAR:SYMBOL=Company0092:INDEX=0"}</definedName>
    <definedName name="_85__FDSAUDITLINK__" hidden="1">{"fdsup://directions/FAT Viewer?action=UPDATE&amp;creator=factset&amp;DYN_ARGS=TRUE&amp;DOC_NAME=FAT:FQL_AUDITING_CLIENT_TEMPLATE.FAT&amp;display_string=Audit&amp;VAR:KEY=IDQFUTKTQB&amp;VAR:QUERY=KENTRl9JTlRBTkcoUVRSX1IsMzU0NjEpQFdTRl9JTlRBTkcoUVRSLDM1NDYxKSk=&amp;WINDOW=FIRST_POPUP&amp;H","COMPANY0910=450&amp;WIDTH=450&amp;START_MAXIMIZED=FALSE&amp;VAR:CALENDAR=US&amp;VAR:SYMBOL=Company0092:INDEX=0"}</definedName>
    <definedName name="_86__FDSAUDITLINK__" hidden="1">{"fdsup://directions/FAT Viewer?action=UPDATE&amp;creator=factset&amp;DYN_ARGS=TRUE&amp;DOC_NAME=FAT:FQL_AUDITING_CLIENT_TEMPLATE.FAT&amp;display_string=Audit&amp;VAR:KEY=WRCLSVCXCX&amp;VAR:QUERY=KENTRl9DT01fU0hTX09VVF9FUFNfRElMKFFUUl9SLDM1NDMwKUBXU0ZfQ09NX1NIU19PVVRfRVBTX0RJTChRV","FIsMzU0MzApKQ==&amp;WINDOW=FIRST_POPUP&amp;HEIGHT=450&amp;WIDTH=450&amp;START_MAXIMIZED=FALSE&amp;VAR:CALENDAR=US&amp;VAR:SYMBOL=Company0092:INDEX=0"}</definedName>
    <definedName name="_87__FDSAUDITLINK__" hidden="1">{"fdsup://directions/FAT Viewer?action=UPDATE&amp;creator=factset&amp;DYN_ARGS=TRUE&amp;DOC_NAME=FAT:FQL_AUDITING_CLIENT_TEMPLATE.FAT&amp;display_string=Audit&amp;VAR:KEY=OHYPEZAZUT&amp;VAR:QUERY=KENTRl9JTlRBTkcoUVRSX1IsMzU0MzApQFdTRl9JTlRBTkcoUVRSLDM1NDMwKSk=&amp;WINDOW=FIRST_POPUP&amp;H","COMPANY0910=450&amp;WIDTH=450&amp;START_MAXIMIZED=FALSE&amp;VAR:CALENDAR=US&amp;VAR:SYMBOL=Company0092:INDEX=0"}</definedName>
    <definedName name="_88__FDSAUDITLINK__" hidden="1">{"fdsup://directions/FAT Viewer?action=UPDATE&amp;creator=factset&amp;DYN_ARGS=TRUE&amp;DOC_NAME=FAT:FQL_AUDITING_CLIENT_TEMPLATE.FAT&amp;display_string=Audit&amp;VAR:KEY=ENCNMDQVWL&amp;VAR:QUERY=KENTRl9DT01fU0hTX09VVF9FUFNfRElMKFFUUl9SLDM1Mzk4KUBXU0ZfQ09NX1NIU19PVVRfRVBTX0RJTChRV","FIsMzUzOTgpKQ==&amp;WINDOW=FIRST_POPUP&amp;HEIGHT=450&amp;WIDTH=450&amp;START_MAXIMIZED=FALSE&amp;VAR:CALENDAR=US&amp;VAR:SYMBOL=Company0092:INDEX=0"}</definedName>
    <definedName name="_89__FDSAUDITLINK__" hidden="1">{"fdsup://directions/FAT Viewer?action=UPDATE&amp;creator=factset&amp;DYN_ARGS=TRUE&amp;DOC_NAME=FAT:FQL_AUDITING_CLIENT_TEMPLATE.FAT&amp;display_string=Audit&amp;VAR:KEY=QTOBYXIPWP&amp;VAR:QUERY=KENTRl9JTlRBTkcoUVRSX1IsMzUzOTgpQFdTRl9JTlRBTkcoUVRSLDM1Mzk4KSk=&amp;WINDOW=FIRST_POPUP&amp;H","COMPANY0910=450&amp;WIDTH=450&amp;START_MAXIMIZED=FALSE&amp;VAR:CALENDAR=US&amp;VAR:SYMBOL=Company0092:INDEX=0"}</definedName>
    <definedName name="_9__FDSAUDITLINK__" hidden="1">{"fdsup://directions/FAT Viewer?action=UPDATE&amp;creator=factset&amp;DYN_ARGS=TRUE&amp;DOC_NAME=FAT:FQL_AUDITING_CLIENT_TEMPLATE.FAT&amp;display_string=Audit&amp;VAR:KEY=SFUXURANYB&amp;VAR:QUERY=KENTRl9JTlRBTkcoUVRSX1IsMzcwNzEpQFdTRl9JTlRBTkcoUVRSLDM3MDcxKSk=&amp;WINDOW=FIRST_POPUP&amp;H","COMPANY0910=450&amp;WIDTH=450&amp;START_MAXIMIZED=FALSE&amp;VAR:CALENDAR=US&amp;VAR:SYMBOL=Company0092:INDEX=0"}</definedName>
    <definedName name="_90__FDSAUDITLINK__" hidden="1">{"fdsup://directions/FAT Viewer?action=UPDATE&amp;creator=factset&amp;DYN_ARGS=TRUE&amp;DOC_NAME=FAT:FQL_AUDITING_CLIENT_TEMPLATE.FAT&amp;display_string=Audit&amp;VAR:KEY=QFSNWJODKD&amp;VAR:QUERY=KENTRl9DT01fU0hTX09VVF9FUFNfRElMKFFUUl9SLDM1MzY5KUBXU0ZfQ09NX1NIU19PVVRfRVBTX0RJTChRV","FIsMzUzNjkpKQ==&amp;WINDOW=FIRST_POPUP&amp;HEIGHT=450&amp;WIDTH=450&amp;START_MAXIMIZED=FALSE&amp;VAR:CALENDAR=US&amp;VAR:SYMBOL=Company0092:INDEX=0"}</definedName>
    <definedName name="_91__FDSAUDITLINK__" hidden="1">{"fdsup://directions/FAT Viewer?action=UPDATE&amp;creator=factset&amp;DYN_ARGS=TRUE&amp;DOC_NAME=FAT:FQL_AUDITING_CLIENT_TEMPLATE.FAT&amp;display_string=Audit&amp;VAR:KEY=OVETQNUPQT&amp;VAR:QUERY=KENTRl9JTlRBTkcoUVRSX1IsMzUzNjkpQFdTRl9JTlRBTkcoUVRSLDM1MzY5KSk=&amp;WINDOW=FIRST_POPUP&amp;H","COMPANY0910=450&amp;WIDTH=450&amp;START_MAXIMIZED=FALSE&amp;VAR:CALENDAR=US&amp;VAR:SYMBOL=Company0092:INDEX=0"}</definedName>
    <definedName name="_92__FDSAUDITLINK__" hidden="1">{"fdsup://directions/FAT Viewer?action=UPDATE&amp;creator=factset&amp;DYN_ARGS=TRUE&amp;DOC_NAME=FAT:FQL_AUDITING_CLIENT_TEMPLATE.FAT&amp;display_string=Audit&amp;VAR:KEY=UDYZADSRMH&amp;VAR:QUERY=KENTRl9DT01fU0hTX09VVF9FUFNfRElMKFFUUl9SLDM1MzM4KUBXU0ZfQ09NX1NIU19PVVRfRVBTX0RJTChRV","FIsMzUzMzgpKQ==&amp;WINDOW=FIRST_POPUP&amp;HEIGHT=450&amp;WIDTH=450&amp;START_MAXIMIZED=FALSE&amp;VAR:CALENDAR=US&amp;VAR:SYMBOL=Company0092:INDEX=0"}</definedName>
    <definedName name="_93__FDSAUDITLINK__" hidden="1">{"fdsup://directions/FAT Viewer?action=UPDATE&amp;creator=factset&amp;DYN_ARGS=TRUE&amp;DOC_NAME=FAT:FQL_AUDITING_CLIENT_TEMPLATE.FAT&amp;display_string=Audit&amp;VAR:KEY=YVQVMNCTKZ&amp;VAR:QUERY=KENTRl9JTlRBTkcoUVRSX1IsMzUzMzgpQFdTRl9JTlRBTkcoUVRSLDM1MzM4KSk=&amp;WINDOW=FIRST_POPUP&amp;H","COMPANY0910=450&amp;WIDTH=450&amp;START_MAXIMIZED=FALSE&amp;VAR:CALENDAR=US&amp;VAR:SYMBOL=Company0092:INDEX=0"}</definedName>
    <definedName name="_94__FDSAUDITLINK__" hidden="1">{"fdsup://directions/FAT Viewer?action=UPDATE&amp;creator=factset&amp;DYN_ARGS=TRUE&amp;DOC_NAME=FAT:FQL_AUDITING_CLIENT_TEMPLATE.FAT&amp;display_string=Audit&amp;VAR:KEY=MXOJOBSRWN&amp;VAR:QUERY=KENTRl9DT01fU0hTX09VVF9FUFNfRElMKFFUUl9SLDM1MzA3KUBXU0ZfQ09NX1NIU19PVVRfRVBTX0RJTChRV","FIsMzUzMDcpKQ==&amp;WINDOW=FIRST_POPUP&amp;HEIGHT=450&amp;WIDTH=450&amp;START_MAXIMIZED=FALSE&amp;VAR:CALENDAR=US&amp;VAR:SYMBOL=Company0092:INDEX=0"}</definedName>
    <definedName name="_95__FDSAUDITLINK__" hidden="1">{"fdsup://directions/FAT Viewer?action=UPDATE&amp;creator=factset&amp;DYN_ARGS=TRUE&amp;DOC_NAME=FAT:FQL_AUDITING_CLIENT_TEMPLATE.FAT&amp;display_string=Audit&amp;VAR:KEY=OXMJMNKLCB&amp;VAR:QUERY=KENTRl9JTlRBTkcoUVRSX1IsMzUzMDcpQFdTRl9JTlRBTkcoUVRSLDM1MzA3KSk=&amp;WINDOW=FIRST_POPUP&amp;H","COMPANY0910=450&amp;WIDTH=450&amp;START_MAXIMIZED=FALSE&amp;VAR:CALENDAR=US&amp;VAR:SYMBOL=Company0092:INDEX=0"}</definedName>
    <definedName name="_96__FDSAUDITLINK__" hidden="1">{"fdsup://directions/FAT Viewer?action=UPDATE&amp;creator=factset&amp;DYN_ARGS=TRUE&amp;DOC_NAME=FAT:FQL_AUDITING_CLIENT_TEMPLATE.FAT&amp;display_string=Audit&amp;VAR:KEY=WBIXEVWHYL&amp;VAR:QUERY=KENTRl9DT01fU0hTX09VVF9FUFNfRElMKFFUUl9SLDM1Mjc3KUBXU0ZfQ09NX1NIU19PVVRfRVBTX0RJTChRV","FIsMzUyNzcpKQ==&amp;WINDOW=FIRST_POPUP&amp;HEIGHT=450&amp;WIDTH=450&amp;START_MAXIMIZED=FALSE&amp;VAR:CALENDAR=US&amp;VAR:SYMBOL=Company0092:INDEX=0"}</definedName>
    <definedName name="_97__FDSAUDITLINK__" hidden="1">{"fdsup://directions/FAT Viewer?action=UPDATE&amp;creator=factset&amp;DYN_ARGS=TRUE&amp;DOC_NAME=FAT:FQL_AUDITING_CLIENT_TEMPLATE.FAT&amp;display_string=Audit&amp;VAR:KEY=OJKRGZATWX&amp;VAR:QUERY=KENTRl9JTlRBTkcoUVRSX1IsMzUyNzcpQFdTRl9JTlRBTkcoUVRSLDM1Mjc3KSk=&amp;WINDOW=FIRST_POPUP&amp;H","COMPANY0910=450&amp;WIDTH=450&amp;START_MAXIMIZED=FALSE&amp;VAR:CALENDAR=US&amp;VAR:SYMBOL=Company0092:INDEX=0"}</definedName>
    <definedName name="_98__FDSAUDITLINK__" hidden="1">{"fdsup://directions/FAT Viewer?action=UPDATE&amp;creator=factset&amp;DYN_ARGS=TRUE&amp;DOC_NAME=FAT:FQL_AUDITING_CLIENT_TEMPLATE.FAT&amp;display_string=Audit&amp;VAR:KEY=OVWBEHWVYT&amp;VAR:QUERY=KENTRl9DT01fU0hTX09VVF9FUFNfRElMKFFUUl9SLDM1MjQ0KUBXU0ZfQ09NX1NIU19PVVRfRVBTX0RJTChRV","FIsMzUyNDQpKQ==&amp;WINDOW=FIRST_POPUP&amp;HEIGHT=450&amp;WIDTH=450&amp;START_MAXIMIZED=FALSE&amp;VAR:CALENDAR=US&amp;VAR:SYMBOL=Company0092:INDEX=0"}</definedName>
    <definedName name="_99__FDSAUDITLINK__" hidden="1">{"fdsup://directions/FAT Viewer?action=UPDATE&amp;creator=factset&amp;DYN_ARGS=TRUE&amp;DOC_NAME=FAT:FQL_AUDITING_CLIENT_TEMPLATE.FAT&amp;display_string=Audit&amp;VAR:KEY=EFSRULINKP&amp;VAR:QUERY=KENTRl9JTlRBTkcoUVRSX1IsMzUyNDQpQFdTRl9JTlRBTkcoUVRSLDM1MjQ0KSk=&amp;WINDOW=FIRST_POPUP&amp;H","COMPANY0910=450&amp;WIDTH=450&amp;START_MAXIMIZED=FALSE&amp;VAR:CALENDAR=US&amp;VAR:SYMBOL=Company0092:INDEX=0"}</definedName>
    <definedName name="_avg96">#REF!</definedName>
    <definedName name="_avg97">#REF!</definedName>
    <definedName name="_avg98">#REF!</definedName>
    <definedName name="_axe99">#REF!</definedName>
    <definedName name="_bdm.0446c32ea0ff4682aa0106f5ec2426f9.edm" hidden="1">#REF!</definedName>
    <definedName name="_bdm.0f75ce151a2f4334b862e6c3832c3245.edm" hidden="1">#REF!</definedName>
    <definedName name="_bdm.13E7FC9FA9C44DA2ABBEE5E982009FF8.edm" hidden="1">#REF!</definedName>
    <definedName name="_bdm.234037d38f054c65972d22b81843b085.edm" hidden="1">#REF!</definedName>
    <definedName name="_bdm.2631af3130cc4f6b954a68c6487259e4.edm" hidden="1">#REF!</definedName>
    <definedName name="_bdm.274CC89995CE4CC89434F68E011C840A.edm" localSheetId="2" hidden="1">Ticker0027!$CG$6</definedName>
    <definedName name="_bdm.28c94b8d8d574ddbb7714c0c9d9392d9.edm" hidden="1">#REF!</definedName>
    <definedName name="_bdm.3805246567204471A1B783B7CD5D5075.edm" hidden="1">#REF!</definedName>
    <definedName name="_bdm.78596DE8CD6C4D89A0C471175B14231C.edm" hidden="1">#REF!</definedName>
    <definedName name="_bdm.79e73b5501484b878c9628042ad14a14.edm" hidden="1">#REF!</definedName>
    <definedName name="_bdm.9715E2696B4D4DCA9E592F64010E2B7C.edm" hidden="1">Ticker0027!$1:$1048576</definedName>
    <definedName name="_bdm.cba450d086f341eda30b9b769561965d.edm" hidden="1">#REF!</definedName>
    <definedName name="_bdm.DBAC0C7662F946CAAE55253DCC99D982.edm" hidden="1">#REF!</definedName>
    <definedName name="_bdm.ec8bce0512324ad3b474a265d2aa2c4d.edm" hidden="1">#REF!</definedName>
    <definedName name="_bdm.F805F1478AF24352BA852220AE44BBC0.edm" hidden="1">#REF!</definedName>
    <definedName name="_bdm.FastTrackBookmark.11_20_2023_4_17_52_PM.edm" hidden="1">Worksheet!$CN$91:$CN$94</definedName>
    <definedName name="_bdm.FastTrackBookmark.11_7_2023_3_14_40_PM.edm" hidden="1">#REF!</definedName>
    <definedName name="_bdm.FastTrackBookmark.2_23_2018_6_20_03_PM.edm" hidden="1">#REF!</definedName>
    <definedName name="_bdm.FastTrackBookmark.3_23_2018_12_04_00_PM.edm" hidden="1">#REF!</definedName>
    <definedName name="_bdm.FastTrackBookmark.3_24_2020_9_48_11_PM.edm" hidden="1">#REF!</definedName>
    <definedName name="_bdm.FastTrackBookmark.3_30_2020_11_22_41_AM.edm" hidden="1">#REF!</definedName>
    <definedName name="_bdm.FastTrackBookmark.3_4_2018_2_50_37_PM.edm" hidden="1">#REF!</definedName>
    <definedName name="_bdm.FastTrackBookmark.5_2_2019_5_10_21_PM.edm" hidden="1">#REF!</definedName>
    <definedName name="_bei98">#REF!</definedName>
    <definedName name="_bei99">#REF!</definedName>
    <definedName name="_bwc98">#REF!</definedName>
    <definedName name="_bwc99">#REF!</definedName>
    <definedName name="_CAT1">#REF!</definedName>
    <definedName name="_CAT2">#REF!</definedName>
    <definedName name="_CAT3">#REF!</definedName>
    <definedName name="_cdt98">#REF!</definedName>
    <definedName name="_cdt99">#REF!</definedName>
    <definedName name="_CSC2">#REF!</definedName>
    <definedName name="_DAT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CF2">#REF!</definedName>
    <definedName name="_DIV1998">#REF!</definedName>
    <definedName name="_DIV1999">#REF!</definedName>
    <definedName name="_DLX1.USE">#REF!</definedName>
    <definedName name="_DLX2.USE">#REF!</definedName>
    <definedName name="_DLX3.USE">#REF!</definedName>
    <definedName name="_DLX4.USE">#REF!</definedName>
    <definedName name="_dps01">#REF!</definedName>
    <definedName name="_DPS02">#REF!</definedName>
    <definedName name="_DPS97">#REF!</definedName>
    <definedName name="_DPS98">#REF!</definedName>
    <definedName name="_DPS99">#REF!</definedName>
    <definedName name="_EPS01">#REF!</definedName>
    <definedName name="_EPS02">#REF!</definedName>
    <definedName name="_EPS1997">#REF!</definedName>
    <definedName name="_EPS1998">#REF!</definedName>
    <definedName name="_EPS1999">#REF!</definedName>
    <definedName name="_eps2000">#REF!</definedName>
    <definedName name="_eps2001">#REF!</definedName>
    <definedName name="_eps2002">#REF!</definedName>
    <definedName name="_EPS2003">#REF!</definedName>
    <definedName name="_eps2004">#REF!</definedName>
    <definedName name="_EPS94">#REF!</definedName>
    <definedName name="_EPS95">#REF!</definedName>
    <definedName name="_EPS96">#REF!</definedName>
    <definedName name="_eps97">#REF!</definedName>
    <definedName name="_eps98">#REF!</definedName>
    <definedName name="_eps99">#REF!</definedName>
    <definedName name="_FCF1999">#REF!</definedName>
    <definedName name="_FCF2000">#REF!</definedName>
    <definedName name="_FCF2001">#REF!</definedName>
    <definedName name="_FCF2002">#REF!</definedName>
    <definedName name="_FCF2003">#REF!</definedName>
    <definedName name="_FCF2004">#REF!</definedName>
    <definedName name="_Fill" hidden="1">#REF!</definedName>
    <definedName name="_FYE2004">#REF!</definedName>
    <definedName name="_FYE2005">#REF!</definedName>
    <definedName name="_gdp01">#REF!</definedName>
    <definedName name="_gdp02">#REF!</definedName>
    <definedName name="_gdp03">#REF!</definedName>
    <definedName name="_gdp04">#REF!</definedName>
    <definedName name="_gdp05">#REF!</definedName>
    <definedName name="_gdp96">#REF!</definedName>
    <definedName name="_gdp97">#REF!</definedName>
    <definedName name="_gdp98">#REF!</definedName>
    <definedName name="_gdp99">#REF!</definedName>
    <definedName name="_grm98">#REF!</definedName>
    <definedName name="_grm99">#REF!</definedName>
    <definedName name="_Key1" hidden="1">#REF!</definedName>
    <definedName name="_LD2">#REF!</definedName>
    <definedName name="_ND01">#REF!</definedName>
    <definedName name="_ND02">#REF!</definedName>
    <definedName name="_ND98">#REF!</definedName>
    <definedName name="_ND99">#REF!</definedName>
    <definedName name="_Net01">#REF!</definedName>
    <definedName name="_Net02">#REF!</definedName>
    <definedName name="_net2000">#REF!</definedName>
    <definedName name="_net2001">#REF!</definedName>
    <definedName name="_net2002">#REF!</definedName>
    <definedName name="_net2003">#REF!</definedName>
    <definedName name="_net2004">#REF!</definedName>
    <definedName name="_net96">#REF!</definedName>
    <definedName name="_Net97">#REF!</definedName>
    <definedName name="_Net98">#REF!</definedName>
    <definedName name="_Net99">#REF!</definedName>
    <definedName name="_NIA92">#REF!</definedName>
    <definedName name="_NIA93">#REF!</definedName>
    <definedName name="_NIA94">#REF!</definedName>
    <definedName name="_opm98">#REF!</definedName>
    <definedName name="_opm99">#REF!</definedName>
    <definedName name="_Order1" hidden="1">0</definedName>
    <definedName name="_Order2" hidden="1">255</definedName>
    <definedName name="_Q1" hidden="1">{"'Standalone List Price Trends'!$A$1:$X$56"}</definedName>
    <definedName name="_Q2" hidden="1">{"'Standalone List Price Trends'!$A$1:$X$56"}</definedName>
    <definedName name="_Q3" hidden="1">{"'Standalone List Price Trends'!$A$1:$X$56"}</definedName>
    <definedName name="_Q4" hidden="1">{"'Standalone List Price Trends'!$A$1:$X$56"}</definedName>
    <definedName name="_Q5" hidden="1">{"'Standalone List Price Trends'!$A$1:$X$56"}</definedName>
    <definedName name="_Q9" hidden="1">{"'Standalone List Price Trends'!$A$1:$X$56"}</definedName>
    <definedName name="_QT10">#REF!</definedName>
    <definedName name="_rev1997">#REF!</definedName>
    <definedName name="_rev1998">#REF!</definedName>
    <definedName name="_rev1999">#REF!</definedName>
    <definedName name="_rev2000">#REF!</definedName>
    <definedName name="_rev2001">#REF!</definedName>
    <definedName name="_rev2002">#REF!</definedName>
    <definedName name="_rev2003">#REF!</definedName>
    <definedName name="_REV89">#REF!</definedName>
    <definedName name="_REV90">#REF!</definedName>
    <definedName name="_REV91">#REF!</definedName>
    <definedName name="_REV92">#REF!</definedName>
    <definedName name="_REV93">#REF!</definedName>
    <definedName name="_REV94">#REF!</definedName>
    <definedName name="_REV95">#REF!</definedName>
    <definedName name="_REV96">#REF!</definedName>
    <definedName name="_rev97">#REF!</definedName>
    <definedName name="_rev98">#REF!</definedName>
    <definedName name="_rev99">#REF!</definedName>
    <definedName name="_rw1" hidden="1">{"'Standalone List Price Trends'!$A$1:$X$56"}</definedName>
    <definedName name="_rw2" hidden="1">{"'Standalone List Price Trends'!$A$1:$X$56"}</definedName>
    <definedName name="_rw3" hidden="1">{"'Standalone List Price Trends'!$A$1:$X$56"}</definedName>
    <definedName name="_rw4" hidden="1">{"'Standalone List Price Trends'!$A$1:$X$56"}</definedName>
    <definedName name="_Scenario_new_change" hidden="1">#REF!</definedName>
    <definedName name="_scenchg_count" hidden="1">1</definedName>
    <definedName name="_scenchg1" hidden="1">#REF!</definedName>
    <definedName name="_Sort" hidden="1">#REF!</definedName>
    <definedName name="_t5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x96">#REF!</definedName>
    <definedName name="_Tax97">#REF!</definedName>
    <definedName name="_Tax98">#REF!</definedName>
    <definedName name="_Tax99">#REF!</definedName>
    <definedName name="_TOP10">#REF!</definedName>
    <definedName name="_X2">#REF!</definedName>
    <definedName name="_X3">#REF!</definedName>
    <definedName name="_X6">#REF!</definedName>
    <definedName name="_X7">#REF!</definedName>
    <definedName name="a">#REF!</definedName>
    <definedName name="A_ALL_Company0028_">#REF!</definedName>
    <definedName name="A_ALL_Company0083">#REF!</definedName>
    <definedName name="A_ALL_Company0087">#REF!</definedName>
    <definedName name="A_ALL_Company0087_">#REF!</definedName>
    <definedName name="A_ALL_Company0091_">#REF!</definedName>
    <definedName name="A_ALL_AMT">#REF!</definedName>
    <definedName name="A_ALL_Company0125">#REF!</definedName>
    <definedName name="A_ALL_ARM">#REF!</definedName>
    <definedName name="A_ALL_Company0140">#REF!</definedName>
    <definedName name="A_ALL_Company0140_">#REF!</definedName>
    <definedName name="A_ALL_Company0141">#REF!</definedName>
    <definedName name="A_ALL_Company0174">#REF!</definedName>
    <definedName name="A_ALL_Company0174_">#REF!</definedName>
    <definedName name="A_ALL_Company0334">#REF!</definedName>
    <definedName name="A_ALL_Company0334_">#REF!</definedName>
    <definedName name="A_ALL_Company0348">#REF!</definedName>
    <definedName name="A_ALL_CCI">#REF!</definedName>
    <definedName name="A_ALL_Company0465">#REF!</definedName>
    <definedName name="A_ALL_CFG">#REF!</definedName>
    <definedName name="A_ALL_Company0495">#REF!</definedName>
    <definedName name="A_ALL_Company0520">#REF!</definedName>
    <definedName name="A_ALL_Company0606">#REF!</definedName>
    <definedName name="A_ALL_Company0608">#REF!</definedName>
    <definedName name="A_ALL_Company0624">#REF!</definedName>
    <definedName name="A_ALL_Company0624_">#REF!</definedName>
    <definedName name="A_ALL_Company0626">#REF!</definedName>
    <definedName name="A_ALL_DBX">#REF!</definedName>
    <definedName name="A_ALL_Company0734">#REF!</definedName>
    <definedName name="A_ALL_Company0760">#REF!</definedName>
    <definedName name="A_ALL_Company0871">#REF!</definedName>
    <definedName name="A_ALL_Company1004">#REF!</definedName>
    <definedName name="A_ALL_Company1006">#REF!</definedName>
    <definedName name="A_ALL_Company1007">#REF!</definedName>
    <definedName name="A_ALL_Company1335_">#REF!</definedName>
    <definedName name="A_ALL_Company1341" localSheetId="3">#REF!</definedName>
    <definedName name="A_ALL_Company1341">#REF!</definedName>
    <definedName name="A_ALL_Company1341_" localSheetId="3">#REF!</definedName>
    <definedName name="A_ALL_Company1341_">#REF!</definedName>
    <definedName name="A_ALL_KEYWORDS_TYPE_Breakdown_EQTY_200001646">#REF!</definedName>
    <definedName name="A_ALL_KEYWORDS_TYPE_Breakdown_EQTY_200002831">#REF!</definedName>
    <definedName name="A_ALL_KEYWORDS_TYPE_Breakdown_EQTY_200004419">#REF!</definedName>
    <definedName name="A_ALL_KEYWORDS_TYPE_ScalarContributed_EQTY_200000304">#REF!,#REF!,#REF!,#REF!</definedName>
    <definedName name="A_ALL_KEYWORDS_TYPE_ScalarContributed_EQTY_200000813">#REF!,#REF!,#REF!,#REF!,#REF!</definedName>
    <definedName name="A_ALL_KEYWORDS_TYPE_ScalarContributed_EQTY_200001265">#REF!,#REF!,#REF!,#REF!</definedName>
    <definedName name="A_ALL_KEYWORDS_TYPE_ScalarContributed_EQTY_200001320">#REF!,#REF!,#REF!,#REF!</definedName>
    <definedName name="A_ALL_KEYWORDS_TYPE_ScalarContributed_EQTY_200001330">#REF!,#REF!,#REF!,#REF!</definedName>
    <definedName name="A_ALL_KEYWORDS_TYPE_ScalarContributed_EQTY_200001353">#REF!,#REF!</definedName>
    <definedName name="A_ALL_KEYWORDS_TYPE_ScalarContributed_EQTY_200001371">#REF!,#REF!</definedName>
    <definedName name="A_ALL_KEYWORDS_TYPE_ScalarContributed_EQTY_200001381">#REF!,#REF!,#REF!,#REF!,#REF!</definedName>
    <definedName name="A_ALL_KEYWORDS_TYPE_ScalarContributed_EQTY_200001646">#REF!,#REF!,#REF!,#REF!</definedName>
    <definedName name="A_ALL_KEYWORDS_TYPE_ScalarContributed_EQTY_200002282">#REF!,#REF!,#REF!,#REF!,#REF!</definedName>
    <definedName name="A_ALL_KEYWORDS_TYPE_ScalarContributed_EQTY_200002283">#REF!,#REF!,#REF!,#REF!,#REF!</definedName>
    <definedName name="A_ALL_KEYWORDS_TYPE_ScalarContributed_EQTY_200002309">#REF!,#REF!,#REF!,#REF!,#REF!</definedName>
    <definedName name="A_ALL_KEYWORDS_TYPE_ScalarContributed_EQTY_200002831">#REF!,#REF!,#REF!,#REF!,#REF!</definedName>
    <definedName name="A_ALL_KEYWORDS_TYPE_ScalarContributed_EQTY_200002833">#REF!,#REF!,#REF!,#REF!</definedName>
    <definedName name="A_ALL_KEYWORDS_TYPE_ScalarContributed_EQTY_200003036">#REF!,#REF!,#REF!,#REF!,#REF!</definedName>
    <definedName name="A_ALL_KEYWORDS_TYPE_ScalarContributed_EQTY_200003037">#REF!,#REF!,#REF!,#REF!</definedName>
    <definedName name="A_ALL_KEYWORDS_TYPE_ScalarContributed_EQTY_200003892">#REF!,#REF!,#REF!,#REF!</definedName>
    <definedName name="A_ALL_KEYWORDS_TYPE_ScalarContributed_EQTY_200004230">#REF!,#REF!,#REF!,#REF!,#REF!</definedName>
    <definedName name="A_ALL_KEYWORDS_TYPE_ScalarContributed_EQTY_200004419">#REF!,#REF!,#REF!,#REF!</definedName>
    <definedName name="A_ALL_KEYWORDS_TYPE_ScalarContributed_EQTY_200004906">#REF!,#REF!,#REF!,#REF!,#REF!</definedName>
    <definedName name="A_ALL_KEYWORDS_TYPE_ScalarContributed_EQTY_200005326">#REF!,#REF!,#REF!,#REF!,#REF!</definedName>
    <definedName name="A_ALL_KEYWORDS_TYPE_ScalarContributed_EQTY_200005490">#REF!,#REF!,#REF!,#REF!,#REF!</definedName>
    <definedName name="A_ALL_KEYWORDS_TYPE_ScalarContributed_EQTY_200005674">#REF!,#REF!,#REF!,#REF!,#REF!</definedName>
    <definedName name="A_ALL_KEYWORDS_TYPE_ScalarContributed_EQTY_200005722">#REF!,#REF!,#REF!,#REF!,#REF!</definedName>
    <definedName name="A_ALL_KEYWORDS_TYPE_ScalarContributed_EQTY_200006232">#REF!,#REF!,#REF!,#REF!</definedName>
    <definedName name="A_ALL_KEYWORDS_TYPE_ScalarContributed_EQTY_200006333">#REF!,#REF!,#REF!,#REF!</definedName>
    <definedName name="A_ALL_KEYWORDS_TYPE_ScalarContributed_EQTY_200006384">#REF!,#REF!,#REF!,#REF!,#REF!</definedName>
    <definedName name="A_ALL_KEYWORDS_TYPE_ScalarContributed_EQTY_200007794">#REF!,#REF!,#REF!,#REF!,#REF!</definedName>
    <definedName name="A_ALL_KEYWORDS_TYPE_ScalarContributed_EQTY_200009556">#REF!,#REF!,#REF!,#REF!</definedName>
    <definedName name="A_ALL_KEYWORDS_TYPE_ScalarContributed_EQTY_200009677">#REF!,#REF!,#REF!,#REF!,#REF!</definedName>
    <definedName name="A_ALL_KEYWORDS_TYPE_ScalarContributed_EQTY_200010313">#REF!,#REF!,#REF!,#REF!</definedName>
    <definedName name="A_ALL_KEYWORDS_TYPE_ScalarContributed_EQTY_200011598">#REF!,#REF!,#REF!,#REF!,#REF!</definedName>
    <definedName name="A_ALL_KEYWORDS_TYPE_ScalarContributed_EQTY_200012393">#REF!,#REF!,#REF!,#REF!,#REF!</definedName>
    <definedName name="A_ALL_KEYWORDS_TYPE_ScalarContributed_EQTY_200012762">#REF!,#REF!,#REF!,#REF!</definedName>
    <definedName name="A_ALL_KEYWORDS_TYPE_ScalarContributed_EQTY_200014300">#REF!,#REF!,#REF!,#REF!</definedName>
    <definedName name="A_ALL_KEYWORDS_TYPE_ScalarContributed_EQTY_200014367">#REF!,#REF!,#REF!,#REF!,#REF!</definedName>
    <definedName name="A_ALL_KEYWORDS_TYPE_ScalarContributed_EQTY_200014493">#REF!,#REF!,#REF!,#REF!</definedName>
    <definedName name="A_ALL_KEYWORDS_TYPE_ScalarContributed_EQTY_200014750">#REF!,#REF!,#REF!,#REF!,#REF!</definedName>
    <definedName name="A_ALL_KEYWORDS_TYPE_ScalarContributed_EQTY_200015107">#REF!,#REF!,#REF!,#REF!</definedName>
    <definedName name="A_ALL_KEYWORDS_TYPE_ScalarContributed_EQTY_200015716">#REF!,#REF!,#REF!,#REF!</definedName>
    <definedName name="A_ALL_KEYWORDS_TYPE_ScalarContributed_EQTY_200015757">#REF!,#REF!,#REF!,#REF!</definedName>
    <definedName name="A_ALL_KEYWORDS_TYPE_ScalarContributed_EQTY_200016026">#REF!,#REF!,#REF!,#REF!</definedName>
    <definedName name="A_ALL_KEYWORDS_TYPE_ScalarContributed_EQTY_200017745">#REF!,#REF!,#REF!,#REF!,#REF!</definedName>
    <definedName name="A_ALL_KEYWORDS_TYPE_ScalarContributed_EQTY_200019587">#REF!,#REF!,#REF!,#REF!</definedName>
    <definedName name="A_ALL_KEYWORDS_TYPE_ScalarContributed_EQTY_200019588">#REF!,#REF!,#REF!,#REF!</definedName>
    <definedName name="A_ALL_KEYWORDS_TYPE_ScalarContributed_EQTY_200021484">#REF!,#REF!,#REF!,#REF!,#REF!</definedName>
    <definedName name="A_ALL_KEYWORDS_TYPE_ScalarContributed_ISSR_208000027">#REF!,#REF!</definedName>
    <definedName name="A_ALL_KEYWORDS_TYPE_ScalarContributed_ISSR_208000156">#REF!,#REF!</definedName>
    <definedName name="A_ALL_KEYWORDS_TYPE_ScalarContributed_ISSR_208000430">#REF!,#REF!,#REF!,#REF!,#REF!,#REF!,#REF!,#REF!,#REF!,#REF!,#REF!</definedName>
    <definedName name="A_ALL_KEYWORDS_TYPE_ScalarContributed_ISSR_208000435">#REF!,#REF!</definedName>
    <definedName name="A_ALL_KEYWORDS_TYPE_ScalarContributed_ISSR_208000468">#REF!,#REF!</definedName>
    <definedName name="A_ALL_KEYWORDS_TYPE_ScalarContributed_ISSR_208000603">#REF!</definedName>
    <definedName name="A_ALL_KEYWORDS_TYPE_ScalarContributed_ISSR_208000826">#REF!,#REF!,#REF!,#REF!</definedName>
    <definedName name="A_ALL_KEYWORDS_TYPE_ScalarContributed_ISSR_208000827">#REF!,#REF!,#REF!</definedName>
    <definedName name="A_ALL_KEYWORDS_TYPE_ScalarContributed_ISSR_208000836">#REF!,#REF!,#REF!</definedName>
    <definedName name="A_ALL_KEYWORDS_TYPE_ScalarContributed_ISSR_208000976">#REF!,#REF!</definedName>
    <definedName name="A_ALL_KEYWORDS_TYPE_ScalarContributed_ISSR_208000977">#REF!,#REF!</definedName>
    <definedName name="A_ALL_KEYWORDS_TYPE_ScalarContributed_ISSR_208001048">#REF!,#REF!</definedName>
    <definedName name="A_ALL_KEYWORDS_TYPE_ScalarContributed_ISSR_208001204">#REF!,#REF!,#REF!</definedName>
    <definedName name="A_ALL_KEYWORDS_TYPE_ScalarContributed_ISSR_208001258">#REF!</definedName>
    <definedName name="A_ALL_KEYWORDS_TYPE_ScalarContributed_ISSR_208001370">#REF!,#REF!</definedName>
    <definedName name="A_ALL_KEYWORDS_TYPE_ScalarContributed_ISSR_208001515">#REF!,#REF!</definedName>
    <definedName name="A_ALL_KEYWORDS_TYPE_ScalarContributed_ISSR_208001562">#REF!,#REF!,#REF!</definedName>
    <definedName name="A_ALL_KEYWORDS_TYPE_ScalarContributed_ISSR_208001627">#REF!,#REF!,#REF!</definedName>
    <definedName name="A_ALL_KEYWORDS_TYPE_ScalarContributed_ISSR_208001640">#REF!,#REF!</definedName>
    <definedName name="A_ALL_KEYWORDS_TYPE_ScalarContributed_ISSR_208001765">#REF!,#REF!,#REF!</definedName>
    <definedName name="A_ALL_KEYWORDS_TYPE_ScalarContributed_ISSR_208001785">#REF!,#REF!</definedName>
    <definedName name="A_ALL_KEYWORDS_TYPE_ScalarContributed_ISSR_208002651">#REF!,#REF!</definedName>
    <definedName name="A_ALL_KEYWORDS_TYPE_ScalarContributed_ISSR_208005795">#REF!,#REF!</definedName>
    <definedName name="A_ALL_KEYWORDS_TYPE_ScalarContributed_ISSR_208007986">#REF!,#REF!,#REF!</definedName>
    <definedName name="A_ALL_KEYWORDS_TYPE_ScalarContributed_ISSR_208008030">#REF!,#REF!,#REF!</definedName>
    <definedName name="A_ALL_KEYWORDS_TYPE_ScalarContributed_ISSR_208008836">#REF!,#REF!</definedName>
    <definedName name="A_ALL_KEYWORDS_TYPE_ScalarContributed_ISSR_208009377">#REF!,#REF!</definedName>
    <definedName name="A_ALL_KEYWORDS_TYPE_ScalarContributed_ISSR_208009722">#REF!</definedName>
    <definedName name="A_ALL_KEYWORDS_TYPE_ScalarContributed_ISSR_208011028">#REF!,#REF!,#REF!</definedName>
    <definedName name="A_ALL_KEYWORDS_TYPE_ScalarContributed_ISSR_208011556">#REF!,#REF!</definedName>
    <definedName name="A_ALL_KEYWORDS_TYPE_ScalarContributed_ISSR_208011888">#REF!,#REF!,#REF!,#REF!,#REF!,#REF!,#REF!,#REF!,#REF!,#REF!,#REF!</definedName>
    <definedName name="A_ALL_KEYWORDS_TYPE_ScalarContributed_ISSR_208012959">#REF!,#REF!,#REF!</definedName>
    <definedName name="A_ALL_KEYWORDS_TYPE_ScalarContributed_ISSR_208015351">#REF!,#REF!</definedName>
    <definedName name="A_ALL_KEYWORDS_TYPE_ScalarContributed_ISSR_208018132">#REF!,#REF!,#REF!</definedName>
    <definedName name="A_ALL_KEYWORDS_TYPE_ScalarContributed_ISSR_208018133">#REF!,#REF!,#REF!,#REF!,#REF!,#REF!,#REF!,#REF!,#REF!,#REF!,#REF!,#REF!</definedName>
    <definedName name="A_ALL_KEYWORDS_TYPE_ScalarContributed_ISSR_208018253">#REF!,#REF!,#REF!</definedName>
    <definedName name="A_ALL_KEYWORDS_TYPE_ScalarContributed_ISSR_208020566">#REF!,#REF!,#REF!</definedName>
    <definedName name="A_ALL_KEYWORDS_TYPE_ScalarContributed_ISSR_208020919">#REF!,#REF!,#REF!</definedName>
    <definedName name="A_ALL_KEYWORDS_TYPE_ScalarReference_EQTY_200001646">#REF!</definedName>
    <definedName name="A_ALL_KEYWORDS_TYPE_ScalarReference_EQTY_200002831">#REF!</definedName>
    <definedName name="A_ALL_KEYWORDS_TYPE_ScalarReference_EQTY_200004419">#REF!</definedName>
    <definedName name="A_ALL_KEYWORDS_TYPE_ScalarReference_EQTY_200012762">#REF!</definedName>
    <definedName name="A_ALL_KEYWORDS_TYPE_ScalarReference_EQTY_200014750">#REF!</definedName>
    <definedName name="A_ALL_KEYWORDS_TYPE_ScalarReference_ISSR_208000603">#REF!</definedName>
    <definedName name="A_ALL_KEYWORDS_TYPE_ScalarReference_ISSR_208000976">#REF!</definedName>
    <definedName name="A_ALL_KEYWORDS_TYPE_ScalarReference_ISSR_208001258">#REF!</definedName>
    <definedName name="A_ALL_KEYWORDS_TYPE_ScalarReference_ISSR_208009722">#REF!</definedName>
    <definedName name="A_ALL_KEYWORDS_TYPE_ScalarReference_ISSR_208011556">#REF!</definedName>
    <definedName name="A_ALL_KEYWORDS_TYPE_Vector_EQTY_200000304">#REF!,#REF!,#REF!,#REF!,#REF!,#REF!,#REF!</definedName>
    <definedName name="A_ALL_KEYWORDS_TYPE_Vector_EQTY_200000813">#REF!,#REF!,#REF!,#REF!,#REF!,#REF!,#REF!</definedName>
    <definedName name="A_ALL_KEYWORDS_TYPE_Vector_EQTY_200001265">#REF!,#REF!,#REF!,#REF!,#REF!,#REF!,#REF!</definedName>
    <definedName name="A_ALL_KEYWORDS_TYPE_Vector_EQTY_200001320">#REF!,#REF!,#REF!,#REF!,#REF!,#REF!,#REF!</definedName>
    <definedName name="A_ALL_KEYWORDS_TYPE_Vector_EQTY_200001330">#REF!,#REF!,#REF!,#REF!,#REF!,#REF!,#REF!</definedName>
    <definedName name="A_ALL_KEYWORDS_TYPE_Vector_EQTY_200001353">#REF!,#REF!,#REF!,#REF!,#REF!</definedName>
    <definedName name="A_ALL_KEYWORDS_TYPE_Vector_EQTY_200001371">#REF!,#REF!,#REF!,#REF!,#REF!</definedName>
    <definedName name="A_ALL_KEYWORDS_TYPE_Vector_EQTY_200001381">#REF!,#REF!,#REF!,#REF!,#REF!,#REF!,#REF!</definedName>
    <definedName name="A_ALL_KEYWORDS_TYPE_Vector_EQTY_200001646">#REF!,#REF!,#REF!,#REF!,#REF!,#REF!,#REF!,#REF!</definedName>
    <definedName name="A_ALL_KEYWORDS_TYPE_Vector_EQTY_200002282">#REF!,#REF!,#REF!,#REF!,#REF!,#REF!,#REF!,#REF!</definedName>
    <definedName name="A_ALL_KEYWORDS_TYPE_Vector_EQTY_200002283">#REF!,#REF!,#REF!,#REF!,#REF!,#REF!,#REF!,#REF!</definedName>
    <definedName name="A_ALL_KEYWORDS_TYPE_Vector_EQTY_200002309">#REF!,#REF!,#REF!,#REF!,#REF!,#REF!,#REF!,#REF!</definedName>
    <definedName name="A_ALL_KEYWORDS_TYPE_Vector_EQTY_200002831">#REF!,#REF!,#REF!,#REF!,#REF!,#REF!,#REF!</definedName>
    <definedName name="A_ALL_KEYWORDS_TYPE_Vector_EQTY_200002833">#REF!,#REF!,#REF!,#REF!,#REF!,#REF!,#REF!</definedName>
    <definedName name="A_ALL_KEYWORDS_TYPE_Vector_EQTY_200003036">#REF!,#REF!,#REF!,#REF!,#REF!,#REF!,#REF!</definedName>
    <definedName name="A_ALL_KEYWORDS_TYPE_Vector_EQTY_200003037">#REF!,#REF!,#REF!,#REF!,#REF!,#REF!,#REF!</definedName>
    <definedName name="A_ALL_KEYWORDS_TYPE_Vector_EQTY_200003892">#REF!,#REF!,#REF!,#REF!,#REF!,#REF!,#REF!</definedName>
    <definedName name="A_ALL_KEYWORDS_TYPE_Vector_EQTY_200004230">#REF!,#REF!,#REF!,#REF!,#REF!,#REF!,#REF!,#REF!</definedName>
    <definedName name="A_ALL_KEYWORDS_TYPE_Vector_EQTY_200004419">#REF!,#REF!,#REF!,#REF!,#REF!,#REF!,#REF!</definedName>
    <definedName name="A_ALL_KEYWORDS_TYPE_Vector_EQTY_200004906">#REF!,#REF!,#REF!,#REF!,#REF!,#REF!,#REF!</definedName>
    <definedName name="A_ALL_KEYWORDS_TYPE_Vector_EQTY_200005184">#REF!,#REF!,#REF!,#REF!,#REF!,#REF!,#REF!</definedName>
    <definedName name="A_ALL_KEYWORDS_TYPE_Vector_EQTY_200005326">#REF!,#REF!,#REF!,#REF!,#REF!,#REF!,#REF!</definedName>
    <definedName name="A_ALL_KEYWORDS_TYPE_Vector_EQTY_200005490">#REF!,#REF!,#REF!,#REF!,#REF!,#REF!,#REF!,#REF!</definedName>
    <definedName name="A_ALL_KEYWORDS_TYPE_Vector_EQTY_200005722">#REF!,#REF!,#REF!,#REF!,#REF!,#REF!,#REF!</definedName>
    <definedName name="A_ALL_KEYWORDS_TYPE_Vector_EQTY_200006232">#REF!,#REF!,#REF!,#REF!,#REF!,#REF!,#REF!</definedName>
    <definedName name="A_ALL_KEYWORDS_TYPE_Vector_EQTY_200006333">#REF!,#REF!,#REF!,#REF!,#REF!,#REF!,#REF!,#REF!,#REF!</definedName>
    <definedName name="A_ALL_KEYWORDS_TYPE_Vector_EQTY_200006384">#REF!,#REF!,#REF!,#REF!,#REF!,#REF!,#REF!</definedName>
    <definedName name="A_ALL_KEYWORDS_TYPE_Vector_EQTY_200009556">#REF!,#REF!,#REF!,#REF!,#REF!,#REF!,#REF!</definedName>
    <definedName name="A_ALL_KEYWORDS_TYPE_Vector_EQTY_200010313">#REF!,#REF!,#REF!,#REF!,#REF!,#REF!,#REF!,#REF!</definedName>
    <definedName name="A_ALL_KEYWORDS_TYPE_Vector_EQTY_200011598">#REF!,#REF!,#REF!,#REF!,#REF!,#REF!,#REF!</definedName>
    <definedName name="A_ALL_KEYWORDS_TYPE_Vector_EQTY_200012393">#REF!,#REF!,#REF!,#REF!,#REF!,#REF!,#REF!</definedName>
    <definedName name="A_ALL_KEYWORDS_TYPE_Vector_EQTY_200012762">#REF!,#REF!,#REF!,#REF!,#REF!,#REF!,#REF!</definedName>
    <definedName name="A_ALL_KEYWORDS_TYPE_Vector_EQTY_200014300">#REF!,#REF!,#REF!,#REF!,#REF!,#REF!,#REF!</definedName>
    <definedName name="A_ALL_KEYWORDS_TYPE_Vector_EQTY_200014493">#REF!,#REF!,#REF!,#REF!,#REF!,#REF!,#REF!</definedName>
    <definedName name="A_ALL_KEYWORDS_TYPE_Vector_EQTY_200014750">#REF!,#REF!,#REF!,#REF!,#REF!,#REF!,#REF!</definedName>
    <definedName name="A_ALL_KEYWORDS_TYPE_Vector_EQTY_200015107">#REF!,#REF!,#REF!,#REF!,#REF!,#REF!,#REF!</definedName>
    <definedName name="A_ALL_KEYWORDS_TYPE_Vector_EQTY_200015716">#REF!,#REF!,#REF!,#REF!,#REF!,#REF!,#REF!</definedName>
    <definedName name="A_ALL_KEYWORDS_TYPE_Vector_EQTY_200015757">#REF!,#REF!,#REF!,#REF!,#REF!,#REF!,#REF!,#REF!</definedName>
    <definedName name="A_ALL_KEYWORDS_TYPE_Vector_EQTY_200016026">#REF!,#REF!,#REF!,#REF!,#REF!,#REF!,#REF!,#REF!</definedName>
    <definedName name="A_ALL_KEYWORDS_TYPE_Vector_EQTY_200017745">#REF!,#REF!,#REF!,#REF!,#REF!,#REF!,#REF!</definedName>
    <definedName name="A_ALL_KEYWORDS_TYPE_Vector_EQTY_200019588">#REF!,#REF!,#REF!,#REF!,#REF!,#REF!,#REF!</definedName>
    <definedName name="A_ALL_KEYWORDS_TYPE_Vector_EQTY_200021484">#REF!,#REF!,#REF!,#REF!,#REF!,#REF!,#REF!</definedName>
    <definedName name="A_ALL_KEYWORDS_TYPE_Vector_ISSR_208000027">#REF!,#REF!,#REF!,#REF!,#REF!,#REF!,#REF!,#REF!,#REF!,#REF!</definedName>
    <definedName name="A_ALL_KEYWORDS_TYPE_Vector_ISSR_208000156">#REF!,#REF!,#REF!,#REF!,#REF!,#REF!,#REF!,#REF!,#REF!,#REF!,#REF!,#REF!,#REF!</definedName>
    <definedName name="A_ALL_KEYWORDS_TYPE_Vector_ISSR_208000430">#REF!,#REF!,#REF!,#REF!,#REF!,#REF!,#REF!,#REF!,#REF!,#REF!,#REF!,#REF!,#REF!,#REF!</definedName>
    <definedName name="A_ALL_KEYWORDS_TYPE_Vector_ISSR_208000435">#REF!,#REF!,#REF!,#REF!,#REF!,#REF!,#REF!,#REF!,#REF!,#REF!</definedName>
    <definedName name="A_ALL_KEYWORDS_TYPE_Vector_ISSR_208000451">#REF!,#REF!,#REF!,#REF!,#REF!,#REF!,#REF!,#REF!,#REF!,#REF!,#REF!,#REF!,#REF!,#REF!,#REF!,#REF!,#REF!,#REF!,#REF!,#REF!,#REF!,#REF!,#REF!,#REF!,#REF!,#REF!</definedName>
    <definedName name="A_ALL_KEYWORDS_TYPE_Vector_ISSR_208000468">#REF!,#REF!,#REF!,#REF!,#REF!,#REF!,#REF!,#REF!,#REF!,#REF!,#REF!,#REF!,#REF!,#REF!</definedName>
    <definedName name="A_ALL_KEYWORDS_TYPE_Vector_ISSR_208000603">#REF!,#REF!,#REF!,#REF!,#REF!,#REF!,#REF!,#REF!,#REF!,#REF!</definedName>
    <definedName name="A_ALL_KEYWORDS_TYPE_Vector_ISSR_208000826">#REF!,#REF!,#REF!,#REF!,#REF!,#REF!,#REF!,#REF!,#REF!,#REF!,#REF!,#REF!,#REF!,#REF!,#REF!,#REF!</definedName>
    <definedName name="A_ALL_KEYWORDS_TYPE_Vector_ISSR_208000827">#REF!,#REF!,#REF!,#REF!,#REF!,#REF!,#REF!,#REF!,#REF!,#REF!,#REF!,#REF!,#REF!,#REF!,#REF!,#REF!</definedName>
    <definedName name="A_ALL_KEYWORDS_TYPE_Vector_ISSR_208000836">#REF!,#REF!,#REF!,#REF!,#REF!,#REF!,#REF!,#REF!,#REF!,#REF!,#REF!,#REF!,#REF!</definedName>
    <definedName name="A_ALL_KEYWORDS_TYPE_Vector_ISSR_208000976">#REF!,#REF!,#REF!,#REF!,#REF!,#REF!,#REF!,#REF!,#REF!,#REF!,#REF!,#REF!,#REF!</definedName>
    <definedName name="A_ALL_KEYWORDS_TYPE_Vector_ISSR_208000977">#REF!,#REF!,#REF!,#REF!,#REF!,#REF!,#REF!,#REF!,#REF!,#REF!,#REF!,#REF!,#REF!,#REF!,#REF!</definedName>
    <definedName name="A_ALL_KEYWORDS_TYPE_Vector_ISSR_208001018" localSheetId="3">#REF!,#REF!,#REF!,#REF!,#REF!,#REF!,#REF!,#REF!,#REF!,#REF!</definedName>
    <definedName name="A_ALL_KEYWORDS_TYPE_Vector_ISSR_208001018">#REF!,#REF!,#REF!,#REF!,#REF!,#REF!,#REF!,#REF!,#REF!,#REF!</definedName>
    <definedName name="A_ALL_KEYWORDS_TYPE_Vector_ISSR_208001048">#REF!,#REF!,#REF!,#REF!,#REF!,#REF!,#REF!,#REF!,#REF!,#REF!,#REF!,#REF!,#REF!,#REF!</definedName>
    <definedName name="A_ALL_KEYWORDS_TYPE_Vector_ISSR_208001049">#REF!,#REF!,#REF!,#REF!,#REF!,#REF!,#REF!,#REF!,#REF!,#REF!,#REF!,#REF!,#REF!,#REF!,#REF!</definedName>
    <definedName name="A_ALL_KEYWORDS_TYPE_Vector_ISSR_208001137">#REF!,#REF!,#REF!,#REF!,#REF!,#REF!,#REF!,#REF!,#REF!,#REF!,#REF!,#REF!,#REF!,#REF!,#REF!</definedName>
    <definedName name="A_ALL_KEYWORDS_TYPE_Vector_ISSR_208001204">#REF!,#REF!,#REF!,#REF!,#REF!,#REF!,#REF!,#REF!,#REF!,#REF!,#REF!,#REF!,#REF!,#REF!</definedName>
    <definedName name="A_ALL_KEYWORDS_TYPE_Vector_ISSR_208001217">#REF!,#REF!,#REF!,#REF!,#REF!,#REF!,#REF!,#REF!,#REF!,#REF!,#REF!,#REF!,#REF!,#REF!,#REF!</definedName>
    <definedName name="A_ALL_KEYWORDS_TYPE_Vector_ISSR_208001258">#REF!,#REF!,#REF!,#REF!,#REF!,#REF!,#REF!,#REF!,#REF!,#REF!,#REF!,#REF!,#REF!,#REF!,#REF!</definedName>
    <definedName name="A_ALL_KEYWORDS_TYPE_Vector_ISSR_208001370">#REF!,#REF!,#REF!,#REF!,#REF!,#REF!,#REF!,#REF!,#REF!,#REF!,#REF!,#REF!,#REF!</definedName>
    <definedName name="A_ALL_KEYWORDS_TYPE_Vector_ISSR_208001515">#REF!,#REF!,#REF!,#REF!,#REF!,#REF!,#REF!,#REF!,#REF!,#REF!,#REF!,#REF!</definedName>
    <definedName name="A_ALL_KEYWORDS_TYPE_Vector_ISSR_208001562">#REF!,#REF!,#REF!,#REF!,#REF!,#REF!,#REF!,#REF!,#REF!,#REF!,#REF!,#REF!,#REF!</definedName>
    <definedName name="A_ALL_KEYWORDS_TYPE_Vector_ISSR_208001627">#REF!,#REF!,#REF!,#REF!,#REF!,#REF!,#REF!,#REF!,#REF!,#REF!,#REF!,#REF!,#REF!</definedName>
    <definedName name="A_ALL_KEYWORDS_TYPE_Vector_ISSR_208001640">#REF!,#REF!,#REF!,#REF!,#REF!,#REF!,#REF!,#REF!,#REF!,#REF!,#REF!,#REF!,#REF!</definedName>
    <definedName name="A_ALL_KEYWORDS_TYPE_Vector_ISSR_208001765">#REF!,#REF!,#REF!,#REF!,#REF!,#REF!,#REF!,#REF!,#REF!,#REF!,#REF!,#REF!,#REF!,#REF!,#REF!</definedName>
    <definedName name="A_ALL_KEYWORDS_TYPE_Vector_ISSR_208001785">#REF!,#REF!,#REF!,#REF!,#REF!,#REF!,#REF!,#REF!,#REF!,#REF!,#REF!,#REF!,#REF!</definedName>
    <definedName name="A_ALL_KEYWORDS_TYPE_Vector_ISSR_208002651">#REF!,#REF!,#REF!,#REF!,#REF!,#REF!,#REF!,#REF!,#REF!,#REF!,#REF!,#REF!,#REF!</definedName>
    <definedName name="A_ALL_KEYWORDS_TYPE_Vector_ISSR_208005795">#REF!,#REF!,#REF!,#REF!,#REF!,#REF!,#REF!,#REF!,#REF!,#REF!</definedName>
    <definedName name="A_ALL_KEYWORDS_TYPE_Vector_ISSR_208007359">#REF!,#REF!,#REF!,#REF!,#REF!,#REF!,#REF!,#REF!,#REF!</definedName>
    <definedName name="A_ALL_KEYWORDS_TYPE_Vector_ISSR_208007452">#REF!,#REF!,#REF!,#REF!,#REF!,#REF!,#REF!,#REF!,#REF!,#REF!,#REF!,#REF!,#REF!,#REF!,#REF!,#REF!,#REF!,#REF!,#REF!,#REF!,#REF!,#REF!,#REF!,#REF!,#REF!</definedName>
    <definedName name="A_ALL_KEYWORDS_TYPE_Vector_ISSR_208007986">#REF!,#REF!,#REF!,#REF!,#REF!,#REF!,#REF!,#REF!,#REF!,#REF!,#REF!,#REF!,#REF!,#REF!,#REF!</definedName>
    <definedName name="A_ALL_KEYWORDS_TYPE_Vector_ISSR_208008030">#REF!,#REF!,#REF!,#REF!,#REF!,#REF!,#REF!,#REF!,#REF!,#REF!,#REF!,#REF!,#REF!,#REF!,#REF!,#REF!,#REF!,#REF!,#REF!,#REF!</definedName>
    <definedName name="A_ALL_KEYWORDS_TYPE_Vector_ISSR_208008836">#REF!,#REF!,#REF!,#REF!,#REF!,#REF!,#REF!,#REF!,#REF!,#REF!</definedName>
    <definedName name="A_ALL_KEYWORDS_TYPE_Vector_ISSR_208009377">#REF!,#REF!,#REF!,#REF!,#REF!,#REF!,#REF!,#REF!,#REF!,#REF!,#REF!,#REF!,#REF!</definedName>
    <definedName name="A_ALL_KEYWORDS_TYPE_Vector_ISSR_208009722">#REF!,#REF!,#REF!,#REF!,#REF!,#REF!,#REF!,#REF!,#REF!</definedName>
    <definedName name="A_ALL_KEYWORDS_TYPE_Vector_ISSR_208010209">#REF!,#REF!,#REF!,#REF!,#REF!,#REF!,#REF!,#REF!,#REF!,#REF!,#REF!,#REF!,#REF!,#REF!,#REF!</definedName>
    <definedName name="A_ALL_KEYWORDS_TYPE_Vector_ISSR_208011028">#REF!,#REF!,#REF!,#REF!,#REF!,#REF!,#REF!,#REF!,#REF!,#REF!,#REF!,#REF!,#REF!</definedName>
    <definedName name="A_ALL_KEYWORDS_TYPE_Vector_ISSR_208011072">#REF!,#REF!,#REF!,#REF!,#REF!,#REF!,#REF!,#REF!,#REF!,#REF!,#REF!,#REF!,#REF!,#REF!</definedName>
    <definedName name="A_ALL_KEYWORDS_TYPE_Vector_ISSR_208011212">#REF!,#REF!,#REF!,#REF!,#REF!,#REF!,#REF!,#REF!,#REF!,#REF!,#REF!,#REF!,#REF!,#REF!</definedName>
    <definedName name="A_ALL_KEYWORDS_TYPE_Vector_ISSR_208011556">#REF!,#REF!,#REF!,#REF!,#REF!,#REF!,#REF!,#REF!,#REF!,#REF!</definedName>
    <definedName name="A_ALL_KEYWORDS_TYPE_Vector_ISSR_208011888">#REF!,#REF!,#REF!,#REF!,#REF!,#REF!,#REF!,#REF!,#REF!,#REF!,#REF!,#REF!,#REF!,#REF!,#REF!,#REF!,#REF!,#REF!,#REF!</definedName>
    <definedName name="A_ALL_KEYWORDS_TYPE_Vector_ISSR_208012959">#REF!,#REF!,#REF!,#REF!,#REF!,#REF!,#REF!,#REF!,#REF!,#REF!,#REF!,#REF!,#REF!,#REF!,#REF!,#REF!</definedName>
    <definedName name="A_ALL_KEYWORDS_TYPE_Vector_ISSR_208013278">#REF!,#REF!,#REF!,#REF!,#REF!,#REF!,#REF!,#REF!,#REF!,#REF!,#REF!,#REF!</definedName>
    <definedName name="A_ALL_KEYWORDS_TYPE_Vector_ISSR_208015351">#REF!,#REF!,#REF!,#REF!,#REF!,#REF!,#REF!,#REF!,#REF!,#REF!,#REF!,#REF!</definedName>
    <definedName name="A_ALL_KEYWORDS_TYPE_Vector_ISSR_208017249">#REF!,#REF!,#REF!,#REF!,#REF!,#REF!,#REF!,#REF!,#REF!,#REF!,#REF!,#REF!</definedName>
    <definedName name="A_ALL_KEYWORDS_TYPE_Vector_ISSR_208018132">#REF!,#REF!,#REF!,#REF!,#REF!,#REF!,#REF!,#REF!,#REF!,#REF!,#REF!,#REF!,#REF!</definedName>
    <definedName name="A_ALL_KEYWORDS_TYPE_Vector_ISSR_208018133">#REF!,#REF!,#REF!,#REF!,#REF!,#REF!,#REF!,#REF!,#REF!,#REF!,#REF!,#REF!,#REF!,#REF!,#REF!,#REF!,#REF!,#REF!,#REF!,#REF!,#REF!,#REF!,#REF!</definedName>
    <definedName name="A_ALL_KEYWORDS_TYPE_Vector_ISSR_208018253">#REF!,#REF!,#REF!,#REF!,#REF!,#REF!,#REF!,#REF!,#REF!,#REF!,#REF!,#REF!,#REF!</definedName>
    <definedName name="A_ALL_KEYWORDS_TYPE_Vector_ISSR_208020566">#REF!,#REF!,#REF!,#REF!,#REF!,#REF!,#REF!,#REF!,#REF!,#REF!,#REF!,#REF!,#REF!</definedName>
    <definedName name="A_ALL_KEYWORDS_TYPE_Vector_ISSR_208020919">#REF!,#REF!,#REF!,#REF!,#REF!,#REF!,#REF!,#REF!,#REF!,#REF!,#REF!,#REF!,#REF!</definedName>
    <definedName name="A_ALL_KEYWORDS_TYPE_Vector_ISSR_208021926">#REF!,#REF!,#REF!,#REF!,#REF!,#REF!,#REF!,#REF!,#REF!,#REF!,#REF!,#REF!,#REF!</definedName>
    <definedName name="A_ALL_Ticker0021">#REF!</definedName>
    <definedName name="A_ALL_Company1584">#REF!</definedName>
    <definedName name="A_ALL_MCFE">#REF!</definedName>
    <definedName name="A_ALL_Company1666_">#REF!</definedName>
    <definedName name="A_ALL_MDB">#REF!</definedName>
    <definedName name="A_ALL_Company1744_">#REF!</definedName>
    <definedName name="A_ALL_Ticker0027">#REF!</definedName>
    <definedName name="A_ALL_Ticker0027_">#REF!</definedName>
    <definedName name="A_ALL_Company1919_">#REF!</definedName>
    <definedName name="A_ALL_PERIODS_Company0141">#REF!</definedName>
    <definedName name="A_ALL_PERIODS_T">#REF!</definedName>
    <definedName name="A_ALL_Company2225">#REF!</definedName>
    <definedName name="A_ALL_Company2257">#REF!</definedName>
    <definedName name="A_ALL_S">#REF!</definedName>
    <definedName name="A_ALL_SECTION_KEYWORDS_EQTY_200001646_1314">#REF!</definedName>
    <definedName name="A_ALL_SECTION_KEYWORDS_EQTY_200001646_1319">#REF!</definedName>
    <definedName name="A_ALL_SECTION_KEYWORDS_EQTY_200001646_131E">#REF!</definedName>
    <definedName name="A_ALL_SECTION_KEYWORDS_EQTY_200001646_131O">#REF!</definedName>
    <definedName name="A_ALL_SECTION_KEYWORDS_EQTY_200001646_131P">#REF!</definedName>
    <definedName name="A_ALL_SECTION_KEYWORDS_EQTY_200001646_13A">#REF!</definedName>
    <definedName name="A_ALL_SECTION_KEYWORDS_EQTY_200001646_13K">#REF!</definedName>
    <definedName name="A_ALL_SECTION_KEYWORDS_EQTY_200001646_13U">#REF!</definedName>
    <definedName name="A_ALL_SECTION_KEYWORDS_EQTY_200001646_13V">#REF!</definedName>
    <definedName name="A_ALL_SECTION_KEYWORDS_EQTY_200001646_13W">#REF!</definedName>
    <definedName name="A_ALL_SECTION_KEYWORDS_EQTY_200001646_Reference_Data">#REF!</definedName>
    <definedName name="A_ALL_SECTION_KEYWORDS_EQTY_200002831_1314">#REF!</definedName>
    <definedName name="A_ALL_SECTION_KEYWORDS_EQTY_200002831_1319">#REF!</definedName>
    <definedName name="A_ALL_SECTION_KEYWORDS_EQTY_200002831_131E">#REF!</definedName>
    <definedName name="A_ALL_SECTION_KEYWORDS_EQTY_200002831_131O">#REF!</definedName>
    <definedName name="A_ALL_SECTION_KEYWORDS_EQTY_200002831_13A">#REF!</definedName>
    <definedName name="A_ALL_SECTION_KEYWORDS_EQTY_200002831_13K">#REF!</definedName>
    <definedName name="A_ALL_SECTION_KEYWORDS_EQTY_200002831_13U">#REF!</definedName>
    <definedName name="A_ALL_SECTION_KEYWORDS_EQTY_200002831_13V">#REF!</definedName>
    <definedName name="A_ALL_SECTION_KEYWORDS_EQTY_200002831_13W">#REF!</definedName>
    <definedName name="A_ALL_SECTION_KEYWORDS_EQTY_200002831_Reference_Data">#REF!</definedName>
    <definedName name="A_ALL_SECTION_KEYWORDS_EQTY_200004230_13A">#REF!</definedName>
    <definedName name="A_ALL_SECTION_KEYWORDS_EQTY_200004230_13K">#REF!</definedName>
    <definedName name="A_ALL_SECTION_KEYWORDS_EQTY_200004419_1314">#REF!</definedName>
    <definedName name="A_ALL_SECTION_KEYWORDS_EQTY_200004419_1319">#REF!</definedName>
    <definedName name="A_ALL_SECTION_KEYWORDS_EQTY_200004419_131E">#REF!</definedName>
    <definedName name="A_ALL_SECTION_KEYWORDS_EQTY_200004419_131O">#REF!</definedName>
    <definedName name="A_ALL_SECTION_KEYWORDS_EQTY_200004419_13A">#REF!</definedName>
    <definedName name="A_ALL_SECTION_KEYWORDS_EQTY_200004419_13K">#REF!</definedName>
    <definedName name="A_ALL_SECTION_KEYWORDS_EQTY_200004419_13U">#REF!</definedName>
    <definedName name="A_ALL_SECTION_KEYWORDS_EQTY_200004419_13V">#REF!</definedName>
    <definedName name="A_ALL_SECTION_KEYWORDS_EQTY_200004419_13W">#REF!</definedName>
    <definedName name="A_ALL_SECTION_KEYWORDS_EQTY_200004419_Reference_Data">#REF!</definedName>
    <definedName name="A_ALL_SECTION_KEYWORDS_EQTY_200005326_13A">#REF!</definedName>
    <definedName name="A_ALL_SECTION_KEYWORDS_EQTY_200005326_13K">#REF!</definedName>
    <definedName name="A_ALL_SECTION_KEYWORDS_EQTY_200005722_13A">#REF!</definedName>
    <definedName name="A_ALL_SECTION_KEYWORDS_EQTY_200005722_13K">#REF!</definedName>
    <definedName name="A_ALL_SECTION_KEYWORDS_EQTY_200006333_13A">#REF!</definedName>
    <definedName name="A_ALL_SECTION_KEYWORDS_EQTY_200006333_13K">#REF!</definedName>
    <definedName name="A_ALL_SECTION_KEYWORDS_EQTY_200012762_1314">#REF!</definedName>
    <definedName name="A_ALL_SECTION_KEYWORDS_EQTY_200012762_1319">#REF!</definedName>
    <definedName name="A_ALL_SECTION_KEYWORDS_EQTY_200012762_131E">#REF!</definedName>
    <definedName name="A_ALL_SECTION_KEYWORDS_EQTY_200012762_131O">#REF!</definedName>
    <definedName name="A_ALL_SECTION_KEYWORDS_EQTY_200012762_13A">#REF!</definedName>
    <definedName name="A_ALL_SECTION_KEYWORDS_EQTY_200012762_13K">#REF!</definedName>
    <definedName name="A_ALL_SECTION_KEYWORDS_EQTY_200012762_13U">#REF!</definedName>
    <definedName name="A_ALL_SECTION_KEYWORDS_EQTY_200012762_13V">#REF!</definedName>
    <definedName name="A_ALL_SECTION_KEYWORDS_EQTY_200012762_13W">#REF!</definedName>
    <definedName name="A_ALL_SECTION_KEYWORDS_EQTY_200012762_Reference_Data">#REF!</definedName>
    <definedName name="A_ALL_SECTION_KEYWORDS_EQTY_200014750_1314">#REF!</definedName>
    <definedName name="A_ALL_SECTION_KEYWORDS_EQTY_200014750_1319">#REF!</definedName>
    <definedName name="A_ALL_SECTION_KEYWORDS_EQTY_200014750_131E">#REF!</definedName>
    <definedName name="A_ALL_SECTION_KEYWORDS_EQTY_200014750_131O">#REF!</definedName>
    <definedName name="A_ALL_SECTION_KEYWORDS_EQTY_200014750_13A">#REF!</definedName>
    <definedName name="A_ALL_SECTION_KEYWORDS_EQTY_200014750_13K">#REF!</definedName>
    <definedName name="A_ALL_SECTION_KEYWORDS_EQTY_200014750_13U">#REF!</definedName>
    <definedName name="A_ALL_SECTION_KEYWORDS_EQTY_200014750_13V">#REF!</definedName>
    <definedName name="A_ALL_SECTION_KEYWORDS_EQTY_200014750_13W">#REF!</definedName>
    <definedName name="A_ALL_SECTION_KEYWORDS_EQTY_200014750_Reference_Data">#REF!</definedName>
    <definedName name="A_ALL_SECTION_KEYWORDS_EQTY_200019587_13A">#REF!</definedName>
    <definedName name="A_ALL_SECTION_KEYWORDS_EQTY_200019588_13A">#REF!</definedName>
    <definedName name="A_ALL_SECTION_KEYWORDS_EQTY_200019588_13K">#REF!</definedName>
    <definedName name="A_ALL_SECTION_KEYWORDS_EQTY_200021484_13A">#REF!</definedName>
    <definedName name="A_ALL_SECTION_KEYWORDS_EQTY_200021484_13K">#REF!</definedName>
    <definedName name="A_ALL_SECTION_KEYWORDS_ISSR_208000027_136E">#REF!,#REF!</definedName>
    <definedName name="A_ALL_SECTION_KEYWORDS_ISSR_208000402_136J">#REF!,#REF!</definedName>
    <definedName name="A_ALL_SECTION_KEYWORDS_ISSR_208000430_136E">#REF!,#REF!</definedName>
    <definedName name="A_ALL_SECTION_KEYWORDS_ISSR_208000435_136E">#REF!,#REF!</definedName>
    <definedName name="A_ALL_SECTION_KEYWORDS_ISSR_208000435_136J">#REF!,#REF!</definedName>
    <definedName name="A_ALL_SECTION_KEYWORDS_ISSR_208000468_13V">#REF!,#REF!</definedName>
    <definedName name="A_ALL_SECTION_KEYWORDS_ISSR_208000603_1314">#REF!</definedName>
    <definedName name="A_ALL_SECTION_KEYWORDS_ISSR_208000603_13168">#REF!</definedName>
    <definedName name="A_ALL_SECTION_KEYWORDS_ISSR_208000603_1319">#REF!</definedName>
    <definedName name="A_ALL_SECTION_KEYWORDS_ISSR_208000603_131E">#REF!</definedName>
    <definedName name="A_ALL_SECTION_KEYWORDS_ISSR_208000603_131J">#REF!</definedName>
    <definedName name="A_ALL_SECTION_KEYWORDS_ISSR_208000603_131O">#REF!</definedName>
    <definedName name="A_ALL_SECTION_KEYWORDS_ISSR_208000603_131P">#REF!</definedName>
    <definedName name="A_ALL_SECTION_KEYWORDS_ISSR_208000603_13A">#REF!</definedName>
    <definedName name="A_ALL_SECTION_KEYWORDS_ISSR_208000603_13U">#REF!</definedName>
    <definedName name="A_ALL_SECTION_KEYWORDS_ISSR_208000603_13V">#REF!</definedName>
    <definedName name="A_ALL_SECTION_KEYWORDS_ISSR_208000603_Reference_Data">#REF!</definedName>
    <definedName name="A_ALL_SECTION_KEYWORDS_ISSR_208000826_136J">#REF!,#REF!</definedName>
    <definedName name="A_ALL_SECTION_KEYWORDS_ISSR_208000827_136J">#REF!,#REF!</definedName>
    <definedName name="A_ALL_SECTION_KEYWORDS_ISSR_208000836_131O">#REF!,#REF!</definedName>
    <definedName name="A_ALL_SECTION_KEYWORDS_ISSR_208000976_1314">#REF!</definedName>
    <definedName name="A_ALL_SECTION_KEYWORDS_ISSR_208000976_13168">#REF!</definedName>
    <definedName name="A_ALL_SECTION_KEYWORDS_ISSR_208000976_1316T">#REF!</definedName>
    <definedName name="A_ALL_SECTION_KEYWORDS_ISSR_208000976_1316U">#REF!</definedName>
    <definedName name="A_ALL_SECTION_KEYWORDS_ISSR_208000976_1319">#REF!</definedName>
    <definedName name="A_ALL_SECTION_KEYWORDS_ISSR_208000976_131E">#REF!</definedName>
    <definedName name="A_ALL_SECTION_KEYWORDS_ISSR_208000976_131J">#REF!</definedName>
    <definedName name="A_ALL_SECTION_KEYWORDS_ISSR_208000976_131O">#REF!</definedName>
    <definedName name="A_ALL_SECTION_KEYWORDS_ISSR_208000976_136E">#REF!,#REF!</definedName>
    <definedName name="A_ALL_SECTION_KEYWORDS_ISSR_208000976_13A">#REF!</definedName>
    <definedName name="A_ALL_SECTION_KEYWORDS_ISSR_208000976_13U">#REF!</definedName>
    <definedName name="A_ALL_SECTION_KEYWORDS_ISSR_208000976_13V">#REF!,#REF!</definedName>
    <definedName name="A_ALL_SECTION_KEYWORDS_ISSR_208000976_Reference_Data">#REF!</definedName>
    <definedName name="A_ALL_SECTION_KEYWORDS_ISSR_208000977_136E">#REF!,#REF!</definedName>
    <definedName name="A_ALL_SECTION_KEYWORDS_ISSR_208001018_13168" localSheetId="3">#REF!</definedName>
    <definedName name="A_ALL_SECTION_KEYWORDS_ISSR_208001018_13168">#REF!</definedName>
    <definedName name="A_ALL_SECTION_KEYWORDS_ISSR_208001018_136E" localSheetId="3">#REF!,#REF!</definedName>
    <definedName name="A_ALL_SECTION_KEYWORDS_ISSR_208001018_136E">#REF!,#REF!</definedName>
    <definedName name="A_ALL_SECTION_KEYWORDS_ISSR_208001018_13V" localSheetId="3">#REF!</definedName>
    <definedName name="A_ALL_SECTION_KEYWORDS_ISSR_208001018_13V">#REF!</definedName>
    <definedName name="A_ALL_SECTION_KEYWORDS_ISSR_208001048_13V">#REF!,#REF!</definedName>
    <definedName name="A_ALL_SECTION_KEYWORDS_ISSR_208001204_136J">#REF!,#REF!</definedName>
    <definedName name="A_ALL_SECTION_KEYWORDS_ISSR_208001217_13168">#REF!,#REF!</definedName>
    <definedName name="A_ALL_SECTION_KEYWORDS_ISSR_208001217_136E">#REF!,#REF!</definedName>
    <definedName name="A_ALL_SECTION_KEYWORDS_ISSR_208001258_1314">#REF!</definedName>
    <definedName name="A_ALL_SECTION_KEYWORDS_ISSR_208001258_13168">#REF!</definedName>
    <definedName name="A_ALL_SECTION_KEYWORDS_ISSR_208001258_1316T">#REF!</definedName>
    <definedName name="A_ALL_SECTION_KEYWORDS_ISSR_208001258_1316U">#REF!</definedName>
    <definedName name="A_ALL_SECTION_KEYWORDS_ISSR_208001258_1319">#REF!</definedName>
    <definedName name="A_ALL_SECTION_KEYWORDS_ISSR_208001258_131E">#REF!</definedName>
    <definedName name="A_ALL_SECTION_KEYWORDS_ISSR_208001258_131J">#REF!</definedName>
    <definedName name="A_ALL_SECTION_KEYWORDS_ISSR_208001258_131O">#REF!</definedName>
    <definedName name="A_ALL_SECTION_KEYWORDS_ISSR_208001258_13A">#REF!</definedName>
    <definedName name="A_ALL_SECTION_KEYWORDS_ISSR_208001258_13U">#REF!</definedName>
    <definedName name="A_ALL_SECTION_KEYWORDS_ISSR_208001258_13V">#REF!</definedName>
    <definedName name="A_ALL_SECTION_KEYWORDS_ISSR_208001258_Reference_Data">#REF!</definedName>
    <definedName name="A_ALL_SECTION_KEYWORDS_ISSR_208001370_13V">#REF!,#REF!</definedName>
    <definedName name="A_ALL_SECTION_KEYWORDS_ISSR_208001515_1314">#REF!</definedName>
    <definedName name="A_ALL_SECTION_KEYWORDS_ISSR_208001515_1319">#REF!</definedName>
    <definedName name="A_ALL_SECTION_KEYWORDS_ISSR_208001515_131E">#REF!</definedName>
    <definedName name="A_ALL_SECTION_KEYWORDS_ISSR_208001515_13V">#REF!</definedName>
    <definedName name="A_ALL_SECTION_KEYWORDS_ISSR_208001562_131O">#REF!,#REF!</definedName>
    <definedName name="A_ALL_SECTION_KEYWORDS_ISSR_208001627_131O">#REF!,#REF!</definedName>
    <definedName name="A_ALL_SECTION_KEYWORDS_ISSR_208001627_136J">#REF!</definedName>
    <definedName name="A_ALL_SECTION_KEYWORDS_ISSR_208001640_1314">#REF!</definedName>
    <definedName name="A_ALL_SECTION_KEYWORDS_ISSR_208001640_1319">#REF!</definedName>
    <definedName name="A_ALL_SECTION_KEYWORDS_ISSR_208001640_131E">#REF!</definedName>
    <definedName name="A_ALL_SECTION_KEYWORDS_ISSR_208001640_13V">#REF!</definedName>
    <definedName name="A_ALL_SECTION_KEYWORDS_ISSR_208001765_1314">#REF!</definedName>
    <definedName name="A_ALL_SECTION_KEYWORDS_ISSR_208001765_13168">#REF!,#REF!</definedName>
    <definedName name="A_ALL_SECTION_KEYWORDS_ISSR_208001765_1316T">#REF!</definedName>
    <definedName name="A_ALL_SECTION_KEYWORDS_ISSR_208001765_1319">#REF!</definedName>
    <definedName name="A_ALL_SECTION_KEYWORDS_ISSR_208001765_131E">#REF!</definedName>
    <definedName name="A_ALL_SECTION_KEYWORDS_ISSR_208001765_136E">#REF!,#REF!</definedName>
    <definedName name="A_ALL_SECTION_KEYWORDS_ISSR_208001765_13V">#REF!,#REF!</definedName>
    <definedName name="A_ALL_SECTION_KEYWORDS_ISSR_208001785_13V">#REF!,#REF!</definedName>
    <definedName name="A_ALL_SECTION_KEYWORDS_ISSR_208002651_13V">#REF!,#REF!</definedName>
    <definedName name="A_ALL_SECTION_KEYWORDS_ISSR_208005795_136E">#REF!,#REF!</definedName>
    <definedName name="A_ALL_SECTION_KEYWORDS_ISSR_208006029_13V">#REF!,#REF!</definedName>
    <definedName name="A_ALL_SECTION_KEYWORDS_ISSR_208007452_136J">#REF!,#REF!</definedName>
    <definedName name="A_ALL_SECTION_KEYWORDS_ISSR_208007452_13V">#REF!,#REF!</definedName>
    <definedName name="A_ALL_SECTION_KEYWORDS_ISSR_208007986_13168">#REF!,#REF!</definedName>
    <definedName name="A_ALL_SECTION_KEYWORDS_ISSR_208007986_136E">#REF!,#REF!</definedName>
    <definedName name="A_ALL_SECTION_KEYWORDS_ISSR_208007986_13V">#REF!,#REF!</definedName>
    <definedName name="A_ALL_SECTION_KEYWORDS_ISSR_208008030_1316P">#REF!,#REF!</definedName>
    <definedName name="A_ALL_SECTION_KEYWORDS_ISSR_208008030_131Y">#REF!,#REF!</definedName>
    <definedName name="A_ALL_SECTION_KEYWORDS_ISSR_208008030_134L">#REF!,#REF!</definedName>
    <definedName name="A_ALL_SECTION_KEYWORDS_ISSR_208008836_136E">#REF!,#REF!</definedName>
    <definedName name="A_ALL_SECTION_KEYWORDS_ISSR_208009722_1314">#REF!</definedName>
    <definedName name="A_ALL_SECTION_KEYWORDS_ISSR_208009722_13168">#REF!</definedName>
    <definedName name="A_ALL_SECTION_KEYWORDS_ISSR_208009722_1319">#REF!</definedName>
    <definedName name="A_ALL_SECTION_KEYWORDS_ISSR_208009722_131E">#REF!</definedName>
    <definedName name="A_ALL_SECTION_KEYWORDS_ISSR_208009722_131J">#REF!</definedName>
    <definedName name="A_ALL_SECTION_KEYWORDS_ISSR_208009722_131O">#REF!</definedName>
    <definedName name="A_ALL_SECTION_KEYWORDS_ISSR_208009722_13A">#REF!</definedName>
    <definedName name="A_ALL_SECTION_KEYWORDS_ISSR_208009722_13U">#REF!</definedName>
    <definedName name="A_ALL_SECTION_KEYWORDS_ISSR_208009722_13V">#REF!</definedName>
    <definedName name="A_ALL_SECTION_KEYWORDS_ISSR_208009722_Reference_Data">#REF!</definedName>
    <definedName name="A_ALL_SECTION_KEYWORDS_ISSR_208011028_131O">#REF!,#REF!</definedName>
    <definedName name="A_ALL_SECTION_KEYWORDS_ISSR_208011556_1314">#REF!</definedName>
    <definedName name="A_ALL_SECTION_KEYWORDS_ISSR_208011556_13168">#REF!</definedName>
    <definedName name="A_ALL_SECTION_KEYWORDS_ISSR_208011556_1316T">#REF!</definedName>
    <definedName name="A_ALL_SECTION_KEYWORDS_ISSR_208011556_1316U">#REF!</definedName>
    <definedName name="A_ALL_SECTION_KEYWORDS_ISSR_208011556_1319">#REF!</definedName>
    <definedName name="A_ALL_SECTION_KEYWORDS_ISSR_208011556_131E">#REF!</definedName>
    <definedName name="A_ALL_SECTION_KEYWORDS_ISSR_208011556_131J">#REF!</definedName>
    <definedName name="A_ALL_SECTION_KEYWORDS_ISSR_208011556_131O">#REF!</definedName>
    <definedName name="A_ALL_SECTION_KEYWORDS_ISSR_208011556_136E">#REF!,#REF!</definedName>
    <definedName name="A_ALL_SECTION_KEYWORDS_ISSR_208011556_13A">#REF!</definedName>
    <definedName name="A_ALL_SECTION_KEYWORDS_ISSR_208011556_13U">#REF!</definedName>
    <definedName name="A_ALL_SECTION_KEYWORDS_ISSR_208011556_13V">#REF!</definedName>
    <definedName name="A_ALL_SECTION_KEYWORDS_ISSR_208011556_Reference_Data">#REF!</definedName>
    <definedName name="A_ALL_SECTION_KEYWORDS_ISSR_208011888_136E">#REF!,#REF!</definedName>
    <definedName name="A_ALL_SECTION_KEYWORDS_ISSR_208012959_13V">#REF!,#REF!</definedName>
    <definedName name="A_ALL_SECTION_KEYWORDS_ISSR_208013278_136E">#REF!,#REF!</definedName>
    <definedName name="A_ALL_SECTION_KEYWORDS_ISSR_208015351_13168">#REF!,#REF!</definedName>
    <definedName name="A_ALL_SECTION_KEYWORDS_ISSR_208015351_136E">#REF!,#REF!</definedName>
    <definedName name="A_ALL_SECTION_KEYWORDS_ISSR_208017249_13168">#REF!</definedName>
    <definedName name="A_ALL_SECTION_KEYWORDS_ISSR_208017249_1319">#REF!</definedName>
    <definedName name="A_ALL_SECTION_KEYWORDS_ISSR_208018132_131O">#REF!,#REF!</definedName>
    <definedName name="A_ALL_SECTION_KEYWORDS_ISSR_208018133_1314">#REF!</definedName>
    <definedName name="A_ALL_SECTION_KEYWORDS_ISSR_208018133_1319">#REF!</definedName>
    <definedName name="A_ALL_SECTION_KEYWORDS_ISSR_208018133_131E">#REF!</definedName>
    <definedName name="A_ALL_SECTION_KEYWORDS_ISSR_208018133_13V">#REF!,#REF!</definedName>
    <definedName name="A_ALL_SECTION_KEYWORDS_ISSR_208018253_131O">#REF!,#REF!</definedName>
    <definedName name="A_ALL_SECTION_KEYWORDS_ISSR_208020566_131O">#REF!,#REF!</definedName>
    <definedName name="A_ALL_SECTION_KEYWORDS_ISSR_208020919_131O">#REF!,#REF!</definedName>
    <definedName name="A_ALL_SECTION_KEYWORDS_ISSR_208020919_136J">#REF!,#REF!</definedName>
    <definedName name="A_ALL_SECTIONS_EQTY_200000304">#REF!,#REF!,#REF!,#REF!,#REF!,#REF!,#REF!,#REF!,#REF!,#REF!</definedName>
    <definedName name="A_ALL_SECTIONS_EQTY_200001265">#REF!,#REF!,#REF!,#REF!,#REF!,#REF!,#REF!,#REF!,#REF!,#REF!</definedName>
    <definedName name="A_ALL_SECTIONS_EQTY_200001320">#REF!,#REF!,#REF!,#REF!,#REF!,#REF!,#REF!,#REF!,#REF!,#REF!</definedName>
    <definedName name="A_ALL_SECTIONS_EQTY_200001330">#REF!,#REF!,#REF!,#REF!,#REF!,#REF!,#REF!,#REF!,#REF!,#REF!</definedName>
    <definedName name="A_ALL_SECTIONS_EQTY_200001353">#REF!,#REF!,#REF!,#REF!,#REF!,#REF!,#REF!,#REF!</definedName>
    <definedName name="A_ALL_SECTIONS_EQTY_200001371">#REF!,#REF!,#REF!,#REF!,#REF!,#REF!,#REF!,#REF!</definedName>
    <definedName name="A_ALL_SECTIONS_EQTY_200001381">#REF!,#REF!,#REF!,#REF!,#REF!,#REF!,#REF!,#REF!,#REF!,#REF!</definedName>
    <definedName name="A_ALL_SECTIONS_EQTY_200001646">#REF!,#REF!,#REF!,#REF!,#REF!,#REF!,#REF!,#REF!,#REF!,#REF!,#REF!</definedName>
    <definedName name="A_ALL_SECTIONS_EQTY_200002831">#REF!,#REF!,#REF!,#REF!,#REF!,#REF!,#REF!,#REF!,#REF!,#REF!</definedName>
    <definedName name="A_ALL_SECTIONS_EQTY_200002833">#REF!,#REF!,#REF!,#REF!,#REF!,#REF!,#REF!,#REF!,#REF!,#REF!</definedName>
    <definedName name="A_ALL_SECTIONS_EQTY_200003037">#REF!,#REF!,#REF!,#REF!,#REF!,#REF!,#REF!,#REF!,#REF!,#REF!</definedName>
    <definedName name="A_ALL_SECTIONS_EQTY_200003892">#REF!,#REF!,#REF!,#REF!,#REF!,#REF!,#REF!,#REF!,#REF!,#REF!</definedName>
    <definedName name="A_ALL_SECTIONS_EQTY_200004419">#REF!,#REF!,#REF!,#REF!,#REF!,#REF!,#REF!,#REF!,#REF!,#REF!</definedName>
    <definedName name="A_ALL_SECTIONS_EQTY_200005326">#REF!,#REF!,#REF!,#REF!,#REF!,#REF!,#REF!,#REF!,#REF!,#REF!</definedName>
    <definedName name="A_ALL_SECTIONS_EQTY_200006232">#REF!,#REF!,#REF!,#REF!,#REF!,#REF!,#REF!,#REF!,#REF!,#REF!</definedName>
    <definedName name="A_ALL_SECTIONS_EQTY_200009556">#REF!,#REF!,#REF!,#REF!,#REF!,#REF!,#REF!,#REF!,#REF!,#REF!</definedName>
    <definedName name="A_ALL_SECTIONS_EQTY_200011598">#REF!,#REF!,#REF!,#REF!,#REF!,#REF!,#REF!,#REF!,#REF!,#REF!</definedName>
    <definedName name="A_ALL_SECTIONS_EQTY_200012762">#REF!,#REF!,#REF!,#REF!,#REF!,#REF!,#REF!,#REF!,#REF!,#REF!</definedName>
    <definedName name="A_ALL_SECTIONS_EQTY_200014300">#REF!,#REF!,#REF!,#REF!,#REF!,#REF!,#REF!,#REF!,#REF!,#REF!</definedName>
    <definedName name="A_ALL_SECTIONS_EQTY_200014493">#REF!,#REF!,#REF!,#REF!,#REF!,#REF!,#REF!,#REF!,#REF!,#REF!</definedName>
    <definedName name="A_ALL_SECTIONS_EQTY_200014750">#REF!,#REF!,#REF!,#REF!,#REF!,#REF!,#REF!,#REF!,#REF!,#REF!</definedName>
    <definedName name="A_ALL_SECTIONS_EQTY_200015107">#REF!,#REF!,#REF!,#REF!,#REF!,#REF!,#REF!,#REF!,#REF!,#REF!</definedName>
    <definedName name="A_ALL_SECTIONS_EQTY_200015716">#REF!,#REF!,#REF!,#REF!,#REF!,#REF!,#REF!,#REF!,#REF!,#REF!</definedName>
    <definedName name="A_ALL_SECTIONS_EQTY_200015757">#REF!,#REF!,#REF!,#REF!,#REF!,#REF!,#REF!,#REF!,#REF!,#REF!,#REF!</definedName>
    <definedName name="A_ALL_SECTIONS_EQTY_200016026">#REF!,#REF!,#REF!,#REF!,#REF!,#REF!,#REF!,#REF!,#REF!,#REF!,#REF!</definedName>
    <definedName name="A_ALL_SECTIONS_EQTY_200017745">#REF!,#REF!,#REF!,#REF!,#REF!,#REF!,#REF!,#REF!,#REF!,#REF!</definedName>
    <definedName name="A_ALL_SECTIONS_ISSR_208000430">#REF!,#REF!,#REF!,#REF!,#REF!,#REF!,#REF!,#REF!,#REF!,#REF!,#REF!</definedName>
    <definedName name="A_ALL_SECTIONS_ISSR_208000451">#REF!,#REF!,#REF!,#REF!,#REF!,#REF!,#REF!,#REF!,#REF!,#REF!</definedName>
    <definedName name="A_ALL_SECTIONS_ISSR_208000603">#REF!,#REF!,#REF!,#REF!,#REF!,#REF!,#REF!,#REF!,#REF!,#REF!,#REF!</definedName>
    <definedName name="A_ALL_SECTIONS_ISSR_208000977">#REF!,#REF!,#REF!,#REF!,#REF!,#REF!,#REF!,#REF!,#REF!,#REF!,#REF!</definedName>
    <definedName name="A_ALL_SECTIONS_ISSR_208001049">#REF!,#REF!,#REF!,#REF!,#REF!,#REF!,#REF!,#REF!,#REF!,#REF!,#REF!</definedName>
    <definedName name="A_ALL_SECTIONS_ISSR_208001137">#REF!,#REF!,#REF!,#REF!,#REF!,#REF!,#REF!,#REF!,#REF!,#REF!,#REF!</definedName>
    <definedName name="A_ALL_SECTIONS_ISSR_208001258">#REF!,#REF!,#REF!,#REF!,#REF!,#REF!,#REF!,#REF!,#REF!,#REF!,#REF!</definedName>
    <definedName name="A_ALL_SECTIONS_ISSR_208001515">#REF!,#REF!,#REF!,#REF!,#REF!,#REF!,#REF!,#REF!,#REF!,#REF!</definedName>
    <definedName name="A_ALL_SECTIONS_ISSR_208005795">#REF!,#REF!,#REF!,#REF!,#REF!,#REF!,#REF!,#REF!,#REF!,#REF!,#REF!</definedName>
    <definedName name="A_ALL_SECTIONS_ISSR_208007359">#REF!,#REF!,#REF!,#REF!,#REF!,#REF!,#REF!,#REF!,#REF!,#REF!</definedName>
    <definedName name="A_ALL_SECTIONS_ISSR_208009722">#REF!,#REF!,#REF!,#REF!,#REF!,#REF!,#REF!,#REF!,#REF!,#REF!</definedName>
    <definedName name="A_ALL_SECTIONS_ISSR_208010209">#REF!,#REF!,#REF!,#REF!,#REF!,#REF!,#REF!,#REF!,#REF!,#REF!,#REF!</definedName>
    <definedName name="A_ALL_SECTIONS_ISSR_208011072">#REF!,#REF!,#REF!,#REF!,#REF!,#REF!,#REF!,#REF!,#REF!,#REF!,#REF!</definedName>
    <definedName name="A_ALL_SECTIONS_ISSR_208011212">#REF!,#REF!,#REF!,#REF!,#REF!,#REF!,#REF!,#REF!,#REF!,#REF!,#REF!</definedName>
    <definedName name="A_ALL_SECTIONS_ISSR_208012959">#REF!,#REF!,#REF!,#REF!,#REF!,#REF!,#REF!,#REF!,#REF!,#REF!,#REF!,#REF!,#REF!</definedName>
    <definedName name="A_ALL_SECTIONS_ISSR_208015351">#REF!,#REF!,#REF!,#REF!,#REF!,#REF!,#REF!,#REF!,#REF!,#REF!,#REF!</definedName>
    <definedName name="A_ALL_SEMI">#REF!</definedName>
    <definedName name="A_ALL_T">#REF!</definedName>
    <definedName name="A_ALL_TEL">#REF!</definedName>
    <definedName name="A_ALL_Company2662">#REF!</definedName>
    <definedName name="A_ALL_Company2718">#REF!</definedName>
    <definedName name="A_ALL_Company2865_">#REF!</definedName>
    <definedName name="A_ALL_Company2881">#REF!</definedName>
    <definedName name="A_ALL_VZ">#REF!</definedName>
    <definedName name="A_ALL_WIN_">#REF!</definedName>
    <definedName name="A_ALL_Company3047">#REF!</definedName>
    <definedName name="A_ALL_ZS">#REF!</definedName>
    <definedName name="A_ALL_ZS_OLD">#REF!</definedName>
    <definedName name="A_CONSTANT">#REF!,#REF!,#REF!,#REF!,#REF!</definedName>
    <definedName name="A_CURRENCY_EQTY_200001646_PRI">#REF!</definedName>
    <definedName name="A_CURRENCY_EQTY_200001646_PUB">#REF!</definedName>
    <definedName name="A_CURRENCY_EQTY_200001646_REP">#REF!</definedName>
    <definedName name="A_CURRENCY_EQTY_200002831_PRI">#REF!</definedName>
    <definedName name="A_CURRENCY_EQTY_200002831_PUB">#REF!</definedName>
    <definedName name="A_CURRENCY_EQTY_200002831_REP">#REF!</definedName>
    <definedName name="A_CURRENCY_EQTY_200004419_PRI">#REF!</definedName>
    <definedName name="A_CURRENCY_EQTY_200004419_PUB">#REF!</definedName>
    <definedName name="A_CURRENCY_EQTY_200004419_REP">#REF!</definedName>
    <definedName name="A_CURRENCY_EQTY_200012762_PRI">#REF!</definedName>
    <definedName name="A_CURRENCY_EQTY_200012762_PUB">#REF!</definedName>
    <definedName name="A_CURRENCY_EQTY_200012762_REP">#REF!</definedName>
    <definedName name="A_CURRENCY_EQTY_200014750_PRI">#REF!</definedName>
    <definedName name="A_CURRENCY_EQTY_200014750_PUB">#REF!</definedName>
    <definedName name="A_CURRENCY_EQTY_200014750_REP">#REF!</definedName>
    <definedName name="A_CURRENCY_ISSR_208000603_REP">#REF!</definedName>
    <definedName name="A_CURRENCY_ISSR_208000976_REP">#REF!</definedName>
    <definedName name="A_CURRENCY_ISSR_208001258_REP">#REF!</definedName>
    <definedName name="A_CURRENCY_ISSR_208009722_REP">#REF!</definedName>
    <definedName name="A_CURRENCY_ISSR_208011556_REP">#REF!</definedName>
    <definedName name="A_detail">#REF!,#REF!,#REF!,#REF!,#REF!,#REF!,#REF!</definedName>
    <definedName name="A_ENTITY_DATA_EQTY_200001646">#REF!</definedName>
    <definedName name="A_ENTITY_DATA_EQTY_200012762">#REF!</definedName>
    <definedName name="A_ENTITY_DATA_ISSR_208000603">#REF!</definedName>
    <definedName name="A_ENTITY_DATA_ISSR_208009722">#REF!</definedName>
    <definedName name="a_is">#REF!</definedName>
    <definedName name="A_KEYWORD_EQTY_200001646_ACT1">#REF!</definedName>
    <definedName name="A_KEYWORD_EQTY_200001646_AMER_CONVICTION">#REF!</definedName>
    <definedName name="A_KEYWORD_EQTY_200001646_AMER_LIST">#REF!</definedName>
    <definedName name="A_KEYWORD_EQTY_200001646_BETA_ANALYST">#REF!</definedName>
    <definedName name="A_KEYWORD_EQTY_200001646_BVPS">#REF!</definedName>
    <definedName name="A_KEYWORD_EQTY_200001646_BVPS_PUB">#REF!</definedName>
    <definedName name="A_KEYWORD_EQTY_200001646_CF_NI_PRE_PREF">#REF!</definedName>
    <definedName name="A_KEYWORD_EQTY_200001646_COMMON_DIV_PAID">#REF!</definedName>
    <definedName name="A_KEYWORD_EQTY_200001646_CURRENCY_ISO">#REF!</definedName>
    <definedName name="A_KEYWORD_EQTY_200001646_DILUTE_SHARES">#REF!</definedName>
    <definedName name="A_KEYWORD_EQTY_200001646_DPS">#REF!</definedName>
    <definedName name="A_KEYWORD_EQTY_200001646_DPS_PUB">#REF!</definedName>
    <definedName name="A_KEYWORD_EQTY_200001646_EBIT_PUB">#REF!</definedName>
    <definedName name="A_KEYWORD_EQTY_200001646_EBITDA_PUB">#REF!</definedName>
    <definedName name="A_KEYWORD_EQTY_200001646_EPS">#REF!</definedName>
    <definedName name="A_KEYWORD_EQTY_200001646_EPS_EX_ESO_B">#REF!</definedName>
    <definedName name="A_KEYWORD_EQTY_200001646_EPS_EX_ESO_D">#REF!</definedName>
    <definedName name="A_KEYWORD_EQTY_200001646_EPS_FUL_DIL">#REF!</definedName>
    <definedName name="A_KEYWORD_EQTY_200001646_EPS_POST_BASIC">#REF!</definedName>
    <definedName name="A_KEYWORD_EQTY_200001646_EPS_PUB">#REF!</definedName>
    <definedName name="A_KEYWORD_EQTY_200001646_EPS_PUB_EX_ESO">#REF!</definedName>
    <definedName name="A_KEYWORD_EQTY_200001646_EQ_PUB">#REF!</definedName>
    <definedName name="A_KEYWORD_EQTY_200001646_ESO_POST_TAX">#REF!</definedName>
    <definedName name="A_KEYWORD_EQTY_200001646_ESO_YEAR">#REF!</definedName>
    <definedName name="A_KEYWORD_EQTY_200001646_EV_ADJ_PUB">#REF!</definedName>
    <definedName name="A_KEYWORD_EQTY_200001646_FREE_FLOAT">#REF!</definedName>
    <definedName name="A_KEYWORD_EQTY_200001646_FULLY_DIL_EPS">#REF!</definedName>
    <definedName name="A_KEYWORD_EQTY_200001646_FV_GRANT">#REF!</definedName>
    <definedName name="A_KEYWORD_EQTY_200001646_GT_BETA">#REF!</definedName>
    <definedName name="A_KEYWORD_EQTY_200001646_INC_MINORITY">#REF!</definedName>
    <definedName name="A_KEYWORD_EQTY_200001646_Interim_Type">#REF!</definedName>
    <definedName name="A_KEYWORD_EQTY_200001646_LEGAL_RATING">#REF!</definedName>
    <definedName name="A_KEYWORD_EQTY_200001646_MARGIN_TAX_RATE">#REF!</definedName>
    <definedName name="A_KEYWORD_EQTY_200001646_MKT_EQ_RISK_PREM">#REF!</definedName>
    <definedName name="A_KEYWORD_EQTY_200001646_NET_DEBT_PUB">#REF!</definedName>
    <definedName name="A_KEYWORD_EQTY_200001646_NET_EARNING">#REF!</definedName>
    <definedName name="A_KEYWORD_EQTY_200001646_NET_INC">#REF!</definedName>
    <definedName name="A_KEYWORD_EQTY_200001646_NI_PRE_PREF">#REF!</definedName>
    <definedName name="A_KEYWORD_EQTY_200001646_NI_PUB">#REF!</definedName>
    <definedName name="A_KEYWORD_EQTY_200001646_NON_OP_ADD">#REF!</definedName>
    <definedName name="A_KEYWORD_EQTY_200001646_NUM_SH">#REF!</definedName>
    <definedName name="A_KEYWORD_EQTY_200001646_PREF_DIV">#REF!</definedName>
    <definedName name="A_KEYWORD_EQTY_200001646_PRICE_CURRENCY_ISO">#REF!</definedName>
    <definedName name="A_KEYWORD_EQTY_200001646_PROV_INC_TAX">#REF!</definedName>
    <definedName name="A_KEYWORD_EQTY_200001646_PTP_PUB">#REF!</definedName>
    <definedName name="A_KEYWORD_EQTY_200001646_PUB_CURRENCY_ISO">#REF!</definedName>
    <definedName name="A_KEYWORD_EQTY_200001646_REPUR_ACTUAL">#REF!</definedName>
    <definedName name="A_KEYWORD_EQTY_200001646_REPUR_REMAINING">#REF!</definedName>
    <definedName name="A_KEYWORD_EQTY_200001646_REPUR_SUSPENDED">#REF!</definedName>
    <definedName name="A_KEYWORD_EQTY_200001646_REPUR_TOT_AUTH">#REF!</definedName>
    <definedName name="A_KEYWORD_EQTY_200001646_REVS_PUB">#REF!</definedName>
    <definedName name="A_KEYWORD_EQTY_200001646_RISK_FR_RATE">#REF!</definedName>
    <definedName name="A_KEYWORD_EQTY_200001646_Security_Name">#REF!</definedName>
    <definedName name="A_KEYWORD_EQTY_200001646_SH">#REF!</definedName>
    <definedName name="A_KEYWORD_EQTY_200001646_TARGET_PRICE">#REF!</definedName>
    <definedName name="A_KEYWORD_EQTY_200001646_TAX_EXC">#REF!</definedName>
    <definedName name="A_KEYWORD_EQTY_200001646_Ticker">#REF!</definedName>
    <definedName name="A_KEYWORD_EQTY_200001646_TP_PERIOD">#REF!</definedName>
    <definedName name="A_KEYWORD_EQTY_200002831_ACT1">#REF!</definedName>
    <definedName name="A_KEYWORD_EQTY_200002831_ACT2">#REF!</definedName>
    <definedName name="A_KEYWORD_EQTY_200002831_ACT3">#REF!</definedName>
    <definedName name="A_KEYWORD_EQTY_200002831_ACT4">#REF!</definedName>
    <definedName name="A_KEYWORD_EQTY_200002831_ACT5">#REF!</definedName>
    <definedName name="A_KEYWORD_EQTY_200002831_ACT6">#REF!</definedName>
    <definedName name="A_KEYWORD_EQTY_200002831_ACT7">#REF!</definedName>
    <definedName name="A_KEYWORD_EQTY_200002831_ACT8">#REF!</definedName>
    <definedName name="A_KEYWORD_EQTY_200002831_ACT9">#REF!</definedName>
    <definedName name="A_KEYWORD_EQTY_200002831_AMER_CONVICTION">#REF!</definedName>
    <definedName name="A_KEYWORD_EQTY_200002831_AMER_LIST">#REF!</definedName>
    <definedName name="A_KEYWORD_EQTY_200002831_BETA_ANALYST">#REF!</definedName>
    <definedName name="A_KEYWORD_EQTY_200002831_BVPS">#REF!</definedName>
    <definedName name="A_KEYWORD_EQTY_200002831_BVPS_PUB">#REF!</definedName>
    <definedName name="A_KEYWORD_EQTY_200002831_CF_NI_PRE_PREF">#REF!</definedName>
    <definedName name="A_KEYWORD_EQTY_200002831_COMMON_DIV_PAID">#REF!</definedName>
    <definedName name="A_KEYWORD_EQTY_200002831_CURRENCY_ISO">#REF!</definedName>
    <definedName name="A_KEYWORD_EQTY_200002831_DILUTE_SHARES">#REF!</definedName>
    <definedName name="A_KEYWORD_EQTY_200002831_DPS">#REF!</definedName>
    <definedName name="A_KEYWORD_EQTY_200002831_DPS_PUB">#REF!</definedName>
    <definedName name="A_KEYWORD_EQTY_200002831_EBIT_PUB">#REF!</definedName>
    <definedName name="A_KEYWORD_EQTY_200002831_EBITDA_PUB">#REF!</definedName>
    <definedName name="A_KEYWORD_EQTY_200002831_EPS">#REF!</definedName>
    <definedName name="A_KEYWORD_EQTY_200002831_EPS_EX_ESO_B">#REF!</definedName>
    <definedName name="A_KEYWORD_EQTY_200002831_EPS_EX_ESO_D">#REF!</definedName>
    <definedName name="A_KEYWORD_EQTY_200002831_EPS_FUL_DIL">#REF!</definedName>
    <definedName name="A_KEYWORD_EQTY_200002831_EPS_POST_BASIC">#REF!</definedName>
    <definedName name="A_KEYWORD_EQTY_200002831_EPS_PUB">#REF!</definedName>
    <definedName name="A_KEYWORD_EQTY_200002831_EPS_PUB_EX_ESO">#REF!</definedName>
    <definedName name="A_KEYWORD_EQTY_200002831_EQ_PUB">#REF!</definedName>
    <definedName name="A_KEYWORD_EQTY_200002831_ESO_POST_TAX">#REF!</definedName>
    <definedName name="A_KEYWORD_EQTY_200002831_ESO_YEAR">#REF!</definedName>
    <definedName name="A_KEYWORD_EQTY_200002831_EV_ADJ_PUB">#REF!</definedName>
    <definedName name="A_KEYWORD_EQTY_200002831_FREE_FLOAT">#REF!</definedName>
    <definedName name="A_KEYWORD_EQTY_200002831_FULLY_DIL_EPS">#REF!</definedName>
    <definedName name="A_KEYWORD_EQTY_200002831_FV_GRANT">#REF!</definedName>
    <definedName name="A_KEYWORD_EQTY_200002831_INC_MINORITY">#REF!</definedName>
    <definedName name="A_KEYWORD_EQTY_200002831_Interim_Type">#REF!</definedName>
    <definedName name="A_KEYWORD_EQTY_200002831_LEGAL_RATING">#REF!</definedName>
    <definedName name="A_KEYWORD_EQTY_200002831_MARGIN_TAX_RATE">#REF!</definedName>
    <definedName name="A_KEYWORD_EQTY_200002831_MKT_EQ_RISK_PREM">#REF!</definedName>
    <definedName name="A_KEYWORD_EQTY_200002831_NET_DEBT_PUB">#REF!</definedName>
    <definedName name="A_KEYWORD_EQTY_200002831_NET_EARNING">#REF!</definedName>
    <definedName name="A_KEYWORD_EQTY_200002831_NET_INC">#REF!</definedName>
    <definedName name="A_KEYWORD_EQTY_200002831_NI_PRE_PREF">#REF!</definedName>
    <definedName name="A_KEYWORD_EQTY_200002831_NI_PUB">#REF!</definedName>
    <definedName name="A_KEYWORD_EQTY_200002831_NON_OP_ADD">#REF!</definedName>
    <definedName name="A_KEYWORD_EQTY_200002831_NUM_SH">#REF!</definedName>
    <definedName name="A_KEYWORD_EQTY_200002831_PREF_DIV">#REF!</definedName>
    <definedName name="A_KEYWORD_EQTY_200002831_PRICE_CURRENCY_ISO">#REF!</definedName>
    <definedName name="A_KEYWORD_EQTY_200002831_PROV_INC_TAX">#REF!</definedName>
    <definedName name="A_KEYWORD_EQTY_200002831_PTP_PUB">#REF!</definedName>
    <definedName name="A_KEYWORD_EQTY_200002831_PUB_CURRENCY_ISO">#REF!</definedName>
    <definedName name="A_KEYWORD_EQTY_200002831_REPUR_ACTUAL">#REF!</definedName>
    <definedName name="A_KEYWORD_EQTY_200002831_REPUR_REMAINING">#REF!</definedName>
    <definedName name="A_KEYWORD_EQTY_200002831_REPUR_SUSPENDED">#REF!</definedName>
    <definedName name="A_KEYWORD_EQTY_200002831_REPUR_TOT_AUTH">#REF!</definedName>
    <definedName name="A_KEYWORD_EQTY_200002831_REVS_PUB">#REF!</definedName>
    <definedName name="A_KEYWORD_EQTY_200002831_RISK_FR_RATE">#REF!</definedName>
    <definedName name="A_KEYWORD_EQTY_200002831_Security_Name">#REF!</definedName>
    <definedName name="A_KEYWORD_EQTY_200002831_SH">#REF!</definedName>
    <definedName name="A_KEYWORD_EQTY_200002831_TARGET_PRICE">#REF!</definedName>
    <definedName name="A_KEYWORD_EQTY_200002831_TAX_EXC">#REF!</definedName>
    <definedName name="A_KEYWORD_EQTY_200002831_Ticker">#REF!</definedName>
    <definedName name="A_KEYWORD_EQTY_200002831_TP_PERIOD">#REF!</definedName>
    <definedName name="A_KEYWORD_EQTY_200004419_ACT1">#REF!</definedName>
    <definedName name="A_KEYWORD_EQTY_200004419_ACT2">#REF!</definedName>
    <definedName name="A_KEYWORD_EQTY_200004419_ACT3">#REF!</definedName>
    <definedName name="A_KEYWORD_EQTY_200004419_ACT4">#REF!</definedName>
    <definedName name="A_KEYWORD_EQTY_200004419_ACT5">#REF!</definedName>
    <definedName name="A_KEYWORD_EQTY_200004419_ACT6">#REF!</definedName>
    <definedName name="A_KEYWORD_EQTY_200004419_ACT7">#REF!</definedName>
    <definedName name="A_KEYWORD_EQTY_200004419_ACT8">#REF!</definedName>
    <definedName name="A_KEYWORD_EQTY_200004419_ACT9">#REF!</definedName>
    <definedName name="A_KEYWORD_EQTY_200004419_AMER_CONVICTION">#REF!</definedName>
    <definedName name="A_KEYWORD_EQTY_200004419_AMER_LIST">#REF!</definedName>
    <definedName name="A_KEYWORD_EQTY_200004419_BETA_ANALYST">#REF!</definedName>
    <definedName name="A_KEYWORD_EQTY_200004419_BVPS">#REF!</definedName>
    <definedName name="A_KEYWORD_EQTY_200004419_BVPS_PUB">#REF!</definedName>
    <definedName name="A_KEYWORD_EQTY_200004419_CEEE_EPS">#REF!</definedName>
    <definedName name="A_KEYWORD_EQTY_200004419_CF_NI_PRE_PREF">#REF!</definedName>
    <definedName name="A_KEYWORD_EQTY_200004419_COMMON_DIV_PAID">#REF!</definedName>
    <definedName name="A_KEYWORD_EQTY_200004419_CURRENCY_ISO">#REF!</definedName>
    <definedName name="A_KEYWORD_EQTY_200004419_DILUTE_SHARES">#REF!</definedName>
    <definedName name="A_KEYWORD_EQTY_200004419_DPS">#REF!</definedName>
    <definedName name="A_KEYWORD_EQTY_200004419_DPS_PUB">#REF!</definedName>
    <definedName name="A_KEYWORD_EQTY_200004419_EBIT_PUB">#REF!</definedName>
    <definedName name="A_KEYWORD_EQTY_200004419_EBITDA_PUB">#REF!</definedName>
    <definedName name="A_KEYWORD_EQTY_200004419_EPS">#REF!</definedName>
    <definedName name="A_KEYWORD_EQTY_200004419_EPS_EX_ESO_B">#REF!</definedName>
    <definedName name="A_KEYWORD_EQTY_200004419_EPS_EX_ESO_D">#REF!</definedName>
    <definedName name="A_KEYWORD_EQTY_200004419_EPS_FUL_DIL">#REF!</definedName>
    <definedName name="A_KEYWORD_EQTY_200004419_EPS_POST_BASIC">#REF!</definedName>
    <definedName name="A_KEYWORD_EQTY_200004419_EPS_PUB">#REF!</definedName>
    <definedName name="A_KEYWORD_EQTY_200004419_EPS_PUB_EX_ESO">#REF!</definedName>
    <definedName name="A_KEYWORD_EQTY_200004419_EQ_PUB">#REF!</definedName>
    <definedName name="A_KEYWORD_EQTY_200004419_ESO_POST_TAX">#REF!</definedName>
    <definedName name="A_KEYWORD_EQTY_200004419_ESO_YEAR">#REF!</definedName>
    <definedName name="A_KEYWORD_EQTY_200004419_EV_ADJ_PUB">#REF!</definedName>
    <definedName name="A_KEYWORD_EQTY_200004419_FREE_FLOAT">#REF!</definedName>
    <definedName name="A_KEYWORD_EQTY_200004419_FULLY_DIL_EPS">#REF!</definedName>
    <definedName name="A_KEYWORD_EQTY_200004419_FV_GRANT">#REF!</definedName>
    <definedName name="A_KEYWORD_EQTY_200004419_INC_MINORITY">#REF!</definedName>
    <definedName name="A_KEYWORD_EQTY_200004419_Interim_Type">#REF!</definedName>
    <definedName name="A_KEYWORD_EQTY_200004419_LEGAL_RATING">#REF!</definedName>
    <definedName name="A_KEYWORD_EQTY_200004419_MARGIN_TAX_RATE">#REF!</definedName>
    <definedName name="A_KEYWORD_EQTY_200004419_MKT_EQ_RISK_PREM">#REF!</definedName>
    <definedName name="A_KEYWORD_EQTY_200004419_NET_DEBT_PUB">#REF!</definedName>
    <definedName name="A_KEYWORD_EQTY_200004419_NET_EARNING">#REF!</definedName>
    <definedName name="A_KEYWORD_EQTY_200004419_NET_INC">#REF!</definedName>
    <definedName name="A_KEYWORD_EQTY_200004419_NI_PRE_PREF">#REF!</definedName>
    <definedName name="A_KEYWORD_EQTY_200004419_NI_PUB">#REF!</definedName>
    <definedName name="A_KEYWORD_EQTY_200004419_NON_OP_ADD">#REF!</definedName>
    <definedName name="A_KEYWORD_EQTY_200004419_NUM_SH">#REF!</definedName>
    <definedName name="A_KEYWORD_EQTY_200004419_PREF_DIV">#REF!</definedName>
    <definedName name="A_KEYWORD_EQTY_200004419_PRICE_CURRENCY_ISO">#REF!</definedName>
    <definedName name="A_KEYWORD_EQTY_200004419_PROV_INC_TAX">#REF!</definedName>
    <definedName name="A_KEYWORD_EQTY_200004419_PTP_PUB">#REF!</definedName>
    <definedName name="A_KEYWORD_EQTY_200004419_PUB_CURRENCY_ISO">#REF!</definedName>
    <definedName name="A_KEYWORD_EQTY_200004419_REPUR_ACTUAL">#REF!</definedName>
    <definedName name="A_KEYWORD_EQTY_200004419_REPUR_REMAINING">#REF!</definedName>
    <definedName name="A_KEYWORD_EQTY_200004419_REPUR_SUSPENDED">#REF!</definedName>
    <definedName name="A_KEYWORD_EQTY_200004419_REPUR_TOT_AUTH">#REF!</definedName>
    <definedName name="A_KEYWORD_EQTY_200004419_REVS_PUB">#REF!</definedName>
    <definedName name="A_KEYWORD_EQTY_200004419_RISK_FR_RATE">#REF!</definedName>
    <definedName name="A_KEYWORD_EQTY_200004419_Security_Name">#REF!</definedName>
    <definedName name="A_KEYWORD_EQTY_200004419_SH">#REF!</definedName>
    <definedName name="A_KEYWORD_EQTY_200004419_TARGET_PRICE">#REF!</definedName>
    <definedName name="A_KEYWORD_EQTY_200004419_TAX_EXC">#REF!</definedName>
    <definedName name="A_KEYWORD_EQTY_200004419_Ticker">#REF!</definedName>
    <definedName name="A_KEYWORD_EQTY_200004419_TP_PERIOD">#REF!</definedName>
    <definedName name="A_KEYWORD_EQTY_200012762_AMER_CONVICTION">#REF!</definedName>
    <definedName name="A_KEYWORD_EQTY_200012762_AMER_LIST">#REF!</definedName>
    <definedName name="A_KEYWORD_EQTY_200012762_BETA_ANALYST">#REF!</definedName>
    <definedName name="A_KEYWORD_EQTY_200012762_BVPS">#REF!</definedName>
    <definedName name="A_KEYWORD_EQTY_200012762_BVPS_PUB">#REF!</definedName>
    <definedName name="A_KEYWORD_EQTY_200012762_CEEE_EPS">#REF!</definedName>
    <definedName name="A_KEYWORD_EQTY_200012762_CF_NI_PRE_PREF">#REF!</definedName>
    <definedName name="A_KEYWORD_EQTY_200012762_COMMON_DIV_PAID">#REF!</definedName>
    <definedName name="A_KEYWORD_EQTY_200012762_CURRENCY_ISO">#REF!</definedName>
    <definedName name="A_KEYWORD_EQTY_200012762_DILUTE_SHARES">#REF!</definedName>
    <definedName name="A_KEYWORD_EQTY_200012762_DPS">#REF!</definedName>
    <definedName name="A_KEYWORD_EQTY_200012762_DPS_PUB">#REF!</definedName>
    <definedName name="A_KEYWORD_EQTY_200012762_EBIT_PUB">#REF!</definedName>
    <definedName name="A_KEYWORD_EQTY_200012762_EBITDA_PUB">#REF!</definedName>
    <definedName name="A_KEYWORD_EQTY_200012762_EPS">#REF!</definedName>
    <definedName name="A_KEYWORD_EQTY_200012762_EPS_EX_ESO_B">#REF!</definedName>
    <definedName name="A_KEYWORD_EQTY_200012762_EPS_EX_ESO_D">#REF!</definedName>
    <definedName name="A_KEYWORD_EQTY_200012762_EPS_FUL_DIL">#REF!</definedName>
    <definedName name="A_KEYWORD_EQTY_200012762_EPS_POST_BASIC">#REF!</definedName>
    <definedName name="A_KEYWORD_EQTY_200012762_EPS_PUB">#REF!</definedName>
    <definedName name="A_KEYWORD_EQTY_200012762_EPS_PUB_EX_ESO">#REF!</definedName>
    <definedName name="A_KEYWORD_EQTY_200012762_EQ_PUB">#REF!</definedName>
    <definedName name="A_KEYWORD_EQTY_200012762_ESO_POST_TAX">#REF!</definedName>
    <definedName name="A_KEYWORD_EQTY_200012762_ESO_YEAR">#REF!</definedName>
    <definedName name="A_KEYWORD_EQTY_200012762_EV_ADJ_PUB">#REF!</definedName>
    <definedName name="A_KEYWORD_EQTY_200012762_FREE_FLOAT">#REF!</definedName>
    <definedName name="A_KEYWORD_EQTY_200012762_FULLY_DIL_EPS">#REF!</definedName>
    <definedName name="A_KEYWORD_EQTY_200012762_FV_GRANT">#REF!</definedName>
    <definedName name="A_KEYWORD_EQTY_200012762_INC_MINORITY">#REF!</definedName>
    <definedName name="A_KEYWORD_EQTY_200012762_Interim_Type">#REF!</definedName>
    <definedName name="A_KEYWORD_EQTY_200012762_LEGAL_RATING">#REF!</definedName>
    <definedName name="A_KEYWORD_EQTY_200012762_MARGIN_TAX_RATE">#REF!</definedName>
    <definedName name="A_KEYWORD_EQTY_200012762_MKT_EQ_RISK_PREM">#REF!</definedName>
    <definedName name="A_KEYWORD_EQTY_200012762_NET_DEBT_PUB">#REF!</definedName>
    <definedName name="A_KEYWORD_EQTY_200012762_NET_EARNING">#REF!</definedName>
    <definedName name="A_KEYWORD_EQTY_200012762_NET_INC">#REF!</definedName>
    <definedName name="A_KEYWORD_EQTY_200012762_NI_PRE_PREF">#REF!</definedName>
    <definedName name="A_KEYWORD_EQTY_200012762_NI_PUB">#REF!</definedName>
    <definedName name="A_KEYWORD_EQTY_200012762_NON_OP_ADD">#REF!</definedName>
    <definedName name="A_KEYWORD_EQTY_200012762_NUM_SH">#REF!</definedName>
    <definedName name="A_KEYWORD_EQTY_200012762_PREF_DIV">#REF!</definedName>
    <definedName name="A_KEYWORD_EQTY_200012762_PRICE_CURRENCY_ISO">#REF!</definedName>
    <definedName name="A_KEYWORD_EQTY_200012762_PROV_INC_TAX">#REF!</definedName>
    <definedName name="A_KEYWORD_EQTY_200012762_PTP_PUB">#REF!</definedName>
    <definedName name="A_KEYWORD_EQTY_200012762_PUB_CURRENCY_ISO">#REF!</definedName>
    <definedName name="A_KEYWORD_EQTY_200012762_REPUR_ACTUAL">#REF!</definedName>
    <definedName name="A_KEYWORD_EQTY_200012762_REPUR_REMAINING">#REF!</definedName>
    <definedName name="A_KEYWORD_EQTY_200012762_REPUR_SUSPENDED">#REF!</definedName>
    <definedName name="A_KEYWORD_EQTY_200012762_REPUR_TOT_AUTH">#REF!</definedName>
    <definedName name="A_KEYWORD_EQTY_200012762_REVS_PUB">#REF!</definedName>
    <definedName name="A_KEYWORD_EQTY_200012762_RISK_FR_RATE">#REF!</definedName>
    <definedName name="A_KEYWORD_EQTY_200012762_Security_Name">#REF!</definedName>
    <definedName name="A_KEYWORD_EQTY_200012762_SH">#REF!</definedName>
    <definedName name="A_KEYWORD_EQTY_200012762_TARGET_PRICE">#REF!</definedName>
    <definedName name="A_KEYWORD_EQTY_200012762_TAX_EXC">#REF!</definedName>
    <definedName name="A_KEYWORD_EQTY_200012762_Ticker">#REF!</definedName>
    <definedName name="A_KEYWORD_EQTY_200012762_TP_PERIOD">#REF!</definedName>
    <definedName name="A_KEYWORD_EQTY_200014750_AMER_CONVICTION">#REF!</definedName>
    <definedName name="A_KEYWORD_EQTY_200014750_AMER_LIST">#REF!</definedName>
    <definedName name="A_KEYWORD_EQTY_200014750_BETA_ANALYST">#REF!</definedName>
    <definedName name="A_KEYWORD_EQTY_200014750_BVPS">#REF!</definedName>
    <definedName name="A_KEYWORD_EQTY_200014750_BVPS_PUB">#REF!</definedName>
    <definedName name="A_KEYWORD_EQTY_200014750_CEEE_EPS">#REF!</definedName>
    <definedName name="A_KEYWORD_EQTY_200014750_CF_NI_PRE_PREF">#REF!</definedName>
    <definedName name="A_KEYWORD_EQTY_200014750_COMMON_DIV_PAID">#REF!</definedName>
    <definedName name="A_KEYWORD_EQTY_200014750_CURRENCY_ISO">#REF!</definedName>
    <definedName name="A_KEYWORD_EQTY_200014750_DILUTE_SHARES">#REF!</definedName>
    <definedName name="A_KEYWORD_EQTY_200014750_DPS">#REF!</definedName>
    <definedName name="A_KEYWORD_EQTY_200014750_DPS_PUB">#REF!</definedName>
    <definedName name="A_KEYWORD_EQTY_200014750_EBIT_PUB">#REF!</definedName>
    <definedName name="A_KEYWORD_EQTY_200014750_EBITDA_PUB">#REF!</definedName>
    <definedName name="A_KEYWORD_EQTY_200014750_EPS">#REF!</definedName>
    <definedName name="A_KEYWORD_EQTY_200014750_EPS_CONS_PUB">#REF!</definedName>
    <definedName name="A_KEYWORD_EQTY_200014750_EPS_EX_ESO_B">#REF!</definedName>
    <definedName name="A_KEYWORD_EQTY_200014750_EPS_EX_ESO_D">#REF!</definedName>
    <definedName name="A_KEYWORD_EQTY_200014750_EPS_FUL_DIL">#REF!</definedName>
    <definedName name="A_KEYWORD_EQTY_200014750_EPS_POST_BASIC">#REF!</definedName>
    <definedName name="A_KEYWORD_EQTY_200014750_EPS_PUB">#REF!</definedName>
    <definedName name="A_KEYWORD_EQTY_200014750_EPS_PUB_EX_ESO">#REF!</definedName>
    <definedName name="A_KEYWORD_EQTY_200014750_EQ_PUB">#REF!</definedName>
    <definedName name="A_KEYWORD_EQTY_200014750_ESO_POST_TAX">#REF!</definedName>
    <definedName name="A_KEYWORD_EQTY_200014750_ESO_YEAR">#REF!</definedName>
    <definedName name="A_KEYWORD_EQTY_200014750_EV_ADJ_PUB">#REF!</definedName>
    <definedName name="A_KEYWORD_EQTY_200014750_FOREIGN_HOLDNG">#REF!</definedName>
    <definedName name="A_KEYWORD_EQTY_200014750_FREE_FLOAT">#REF!</definedName>
    <definedName name="A_KEYWORD_EQTY_200014750_FULLY_DIL_EPS">#REF!</definedName>
    <definedName name="A_KEYWORD_EQTY_200014750_FV_GRANT">#REF!</definedName>
    <definedName name="A_KEYWORD_EQTY_200014750_INC_MINORITY">#REF!</definedName>
    <definedName name="A_KEYWORD_EQTY_200014750_Interim_Type">#REF!</definedName>
    <definedName name="A_KEYWORD_EQTY_200014750_LEGAL_RATING">#REF!</definedName>
    <definedName name="A_KEYWORD_EQTY_200014750_MARGIN_TAX_RATE">#REF!</definedName>
    <definedName name="A_KEYWORD_EQTY_200014750_MKT_EQ_RISK_PREM">#REF!</definedName>
    <definedName name="A_KEYWORD_EQTY_200014750_NET_DEBT_PUB">#REF!</definedName>
    <definedName name="A_KEYWORD_EQTY_200014750_NET_EARNING">#REF!</definedName>
    <definedName name="A_KEYWORD_EQTY_200014750_NET_INC">#REF!</definedName>
    <definedName name="A_KEYWORD_EQTY_200014750_NI_CONS">#REF!</definedName>
    <definedName name="A_KEYWORD_EQTY_200014750_NI_PRE_PREF">#REF!</definedName>
    <definedName name="A_KEYWORD_EQTY_200014750_NI_PUB">#REF!</definedName>
    <definedName name="A_KEYWORD_EQTY_200014750_NON_OP_ADD">#REF!</definedName>
    <definedName name="A_KEYWORD_EQTY_200014750_NUM_SH">#REF!</definedName>
    <definedName name="A_KEYWORD_EQTY_200014750_PREF_DIV">#REF!</definedName>
    <definedName name="A_KEYWORD_EQTY_200014750_PRI_TARG_METH">#REF!</definedName>
    <definedName name="A_KEYWORD_EQTY_200014750_PRI_TARG_MULT">#REF!</definedName>
    <definedName name="A_KEYWORD_EQTY_200014750_PRICE_CURRENCY_ISO">#REF!</definedName>
    <definedName name="A_KEYWORD_EQTY_200014750_PROV_INC_TAX">#REF!</definedName>
    <definedName name="A_KEYWORD_EQTY_200014750_PTP_PUB">#REF!</definedName>
    <definedName name="A_KEYWORD_EQTY_200014750_PUB_CURRENCY_ISO">#REF!</definedName>
    <definedName name="A_KEYWORD_EQTY_200014750_REPUR_ACTUAL">#REF!</definedName>
    <definedName name="A_KEYWORD_EQTY_200014750_REPUR_REMAINING">#REF!</definedName>
    <definedName name="A_KEYWORD_EQTY_200014750_REPUR_SUSPENDED">#REF!</definedName>
    <definedName name="A_KEYWORD_EQTY_200014750_REPUR_TOT_AUTH">#REF!</definedName>
    <definedName name="A_KEYWORD_EQTY_200014750_REVS_PUB">#REF!</definedName>
    <definedName name="A_KEYWORD_EQTY_200014750_RISK_FR_RATE">#REF!</definedName>
    <definedName name="A_KEYWORD_EQTY_200014750_Security_Name">#REF!</definedName>
    <definedName name="A_KEYWORD_EQTY_200014750_SH">#REF!</definedName>
    <definedName name="A_KEYWORD_EQTY_200014750_TARGET_PRICE">#REF!</definedName>
    <definedName name="A_KEYWORD_EQTY_200014750_TAX_EXC">#REF!</definedName>
    <definedName name="A_KEYWORD_EQTY_200014750_Ticker">#REF!</definedName>
    <definedName name="A_KEYWORD_EQTY_200014750_TP_PERIOD">#REF!</definedName>
    <definedName name="A_KEYWORD_ISSR_208000603_ACC_AMORT">#REF!</definedName>
    <definedName name="A_KEYWORD_ISSR_208000603_ACC_DDA">#REF!</definedName>
    <definedName name="A_KEYWORD_ISSR_208000603_ACC_END_DATE">#REF!</definedName>
    <definedName name="A_KEYWORD_ISSR_208000603_ACC_GW_AM">#REF!</definedName>
    <definedName name="A_KEYWORD_ISSR_208000603_ACC_PAY_GQ">#REF!</definedName>
    <definedName name="A_KEYWORD_ISSR_208000603_ACCUM_AMORT">#REF!</definedName>
    <definedName name="A_KEYWORD_ISSR_208000603_ACQ">#REF!</definedName>
    <definedName name="A_KEYWORD_ISSR_208000603_ADJ_UNF_PENS_GOOD">#REF!</definedName>
    <definedName name="A_KEYWORD_ISSR_208000603_ASSOC_JV_ADDBK">#REF!</definedName>
    <definedName name="A_KEYWORD_ISSR_208000603_ASSOCIATE">#REF!</definedName>
    <definedName name="A_KEYWORD_ISSR_208000603_ASSOCIATE_OP">#REF!</definedName>
    <definedName name="A_KEYWORD_ISSR_208000603_BAL_MINO_INT">#REF!</definedName>
    <definedName name="A_KEYWORD_ISSR_208000603_CAP_LEASES">#REF!</definedName>
    <definedName name="A_KEYWORD_ISSR_208000603_CAPEX">#REF!</definedName>
    <definedName name="A_KEYWORD_ISSR_208000603_CAPEX_EXPANSION">#REF!</definedName>
    <definedName name="A_KEYWORD_ISSR_208000603_CAPEX_MAINTENANCE">#REF!</definedName>
    <definedName name="A_KEYWORD_ISSR_208000603_CASH_EQ">#REF!</definedName>
    <definedName name="A_KEYWORD_ISSR_208000603_CASH_INT_EXP">#REF!</definedName>
    <definedName name="A_KEYWORD_ISSR_208000603_CASH_TAX_EXP">#REF!</definedName>
    <definedName name="A_KEYWORD_ISSR_208000603_CF_FIN">#REF!</definedName>
    <definedName name="A_KEYWORD_ISSR_208000603_CF_INC_MINORITY">#REF!</definedName>
    <definedName name="A_KEYWORD_ISSR_208000603_CF_INV">#REF!</definedName>
    <definedName name="A_KEYWORD_ISSR_208000603_CF_OPS">#REF!</definedName>
    <definedName name="A_KEYWORD_ISSR_208000603_CHG_LT_DEBT">#REF!</definedName>
    <definedName name="A_KEYWORD_ISSR_208000603_CO_BOR_MARGIN">#REF!</definedName>
    <definedName name="A_KEYWORD_ISSR_208000603_COST_GD_SD">#REF!</definedName>
    <definedName name="A_KEYWORD_ISSR_208000603_CUR_ASS">#REF!</definedName>
    <definedName name="A_KEYWORD_ISSR_208000603_CURRENCY_ISO">#REF!</definedName>
    <definedName name="A_KEYWORD_ISSR_208000603_DEBTORS">#REF!</definedName>
    <definedName name="A_KEYWORD_ISSR_208000603_DEF_INC_TAX">#REF!</definedName>
    <definedName name="A_KEYWORD_ISSR_208000603_DEPR_AMORT">#REF!</definedName>
    <definedName name="A_KEYWORD_ISSR_208000603_DEPREC">#REF!</definedName>
    <definedName name="A_KEYWORD_ISSR_208000603_DIV_PAID">#REF!</definedName>
    <definedName name="A_KEYWORD_ISSR_208000603_DIVDS_ASSOC_JV">#REF!</definedName>
    <definedName name="A_KEYWORD_ISSR_208000603_DIVDS_PD_MINORITIES">#REF!</definedName>
    <definedName name="A_KEYWORD_ISSR_208000603_DIVEST">#REF!</definedName>
    <definedName name="A_KEYWORD_ISSR_208000603_EBIT">#REF!</definedName>
    <definedName name="A_KEYWORD_ISSR_208000603_EBIT_FIN_SEGMENT">#REF!</definedName>
    <definedName name="A_KEYWORD_ISSR_208000603_EBITDA_CALC">#REF!</definedName>
    <definedName name="A_KEYWORD_ISSR_208000603_EMPLOYEES">#REF!</definedName>
    <definedName name="A_KEYWORD_ISSR_208000603_EQ">#REF!</definedName>
    <definedName name="A_KEYWORD_ISSR_208000603_ESO_PRE_TAX">#REF!</definedName>
    <definedName name="A_KEYWORD_ISSR_208000603_FIX_ASS_INV">#REF!</definedName>
    <definedName name="A_KEYWORD_ISSR_208000603_GCI_INFL">#REF!</definedName>
    <definedName name="A_KEYWORD_ISSR_208000603_GOODWILL_AMORT">#REF!</definedName>
    <definedName name="A_KEYWORD_ISSR_208000603_GR_FIX_ASS">#REF!</definedName>
    <definedName name="A_KEYWORD_ISSR_208000603_GR_INTANG">#REF!</definedName>
    <definedName name="A_KEYWORD_ISSR_208000603_GROSS_GW">#REF!</definedName>
    <definedName name="A_KEYWORD_ISSR_208000603_GROSS_OTH_INTANG">#REF!</definedName>
    <definedName name="A_KEYWORD_ISSR_208000603_GT_BLEND_ARPU_PC">#REF!</definedName>
    <definedName name="A_KEYWORD_ISSR_208000603_GT_BLEND_MOU">#REF!</definedName>
    <definedName name="A_KEYWORD_ISSR_208000603_GT_CAPEX_MOU">#REF!</definedName>
    <definedName name="A_KEYWORD_ISSR_208000603_GT_DSL_SUB">#REF!</definedName>
    <definedName name="A_KEYWORD_ISSR_208000603_GT_FIX_DATA_REV">#REF!</definedName>
    <definedName name="A_KEYWORD_ISSR_208000603_GT_FIX_VOICE_REV">#REF!</definedName>
    <definedName name="A_KEYWORD_ISSR_208000603_GT_LD_SUB">#REF!</definedName>
    <definedName name="A_KEYWORD_ISSR_208000603_GT_MOB_DATA_REV">#REF!</definedName>
    <definedName name="A_KEYWORD_ISSR_208000603_GT_MOB_VOICE_REV">#REF!</definedName>
    <definedName name="A_KEYWORD_ISSR_208000603_GT_OTH_CAPEX">#REF!</definedName>
    <definedName name="A_KEYWORD_ISSR_208000603_GT_OTH_REV">#REF!</definedName>
    <definedName name="A_KEYWORD_ISSR_208000603_GT_OTHER_REV">#REF!</definedName>
    <definedName name="A_KEYWORD_ISSR_208000603_GT_PAY_TV_REV">#REF!</definedName>
    <definedName name="A_KEYWORD_ISSR_208000603_GT_SERVC_REV">#REF!</definedName>
    <definedName name="A_KEYWORD_ISSR_208000603_GT_TOT_ACC_LINE">#REF!</definedName>
    <definedName name="A_KEYWORD_ISSR_208000603_GT_TOT_BUS_LINE">#REF!</definedName>
    <definedName name="A_KEYWORD_ISSR_208000603_GT_TOT_MINS">#REF!</definedName>
    <definedName name="A_KEYWORD_ISSR_208000603_GT_TOT_PPD_SUB_PC">#REF!</definedName>
    <definedName name="A_KEYWORD_ISSR_208000603_GT_TOT_RES_LINE">#REF!</definedName>
    <definedName name="A_KEYWORD_ISSR_208000603_GT_TOT_RET_LINE">#REF!</definedName>
    <definedName name="A_KEYWORD_ISSR_208000603_GT_Company2963_CAPEX">#REF!</definedName>
    <definedName name="A_KEYWORD_ISSR_208000603_GT_Company2963_REV">#REF!</definedName>
    <definedName name="A_KEYWORD_ISSR_208000603_GT_WRLS_ARPU">#REF!</definedName>
    <definedName name="A_KEYWORD_ISSR_208000603_GT_WRLS_CAPEX">#REF!</definedName>
    <definedName name="A_KEYWORD_ISSR_208000603_GT_WRLS_CHURN">#REF!</definedName>
    <definedName name="A_KEYWORD_ISSR_208000603_GT_WRLS_REV">#REF!</definedName>
    <definedName name="A_KEYWORD_ISSR_208000603_GT_WRLS_SUB">#REF!</definedName>
    <definedName name="A_KEYWORD_ISSR_208000603_INT_EXP_IND">#REF!</definedName>
    <definedName name="A_KEYWORD_ISSR_208000603_INT_INC_IND">#REF!</definedName>
    <definedName name="A_KEYWORD_ISSR_208000603_INT_PAID_CF">#REF!</definedName>
    <definedName name="A_KEYWORD_ISSR_208000603_INTANG_CAPEX">#REF!</definedName>
    <definedName name="A_KEYWORD_ISSR_208000603_INV_SECUR">#REF!</definedName>
    <definedName name="A_KEYWORD_ISSR_208000603_Issuer_Name">#REF!</definedName>
    <definedName name="A_KEYWORD_ISSR_208000603_LEASE_DEEM_DEPR">#REF!</definedName>
    <definedName name="A_KEYWORD_ISSR_208000603_LEASE_DEEM_INT">#REF!</definedName>
    <definedName name="A_KEYWORD_ISSR_208000603_LEASE_PAY">#REF!</definedName>
    <definedName name="A_KEYWORD_ISSR_208000603_LT_DEBT">#REF!</definedName>
    <definedName name="A_KEYWORD_ISSR_208000603_MA_PROB">#REF!</definedName>
    <definedName name="A_KEYWORD_ISSR_208000603_MINORITIES">#REF!</definedName>
    <definedName name="A_KEYWORD_ISSR_208000603_MV_ASSOCIATES">#REF!</definedName>
    <definedName name="A_KEYWORD_ISSR_208000603_NET_DEBT">#REF!</definedName>
    <definedName name="A_KEYWORD_ISSR_208000603_NET_DEBT_ADJ">#REF!</definedName>
    <definedName name="A_KEYWORD_ISSR_208000603_NET_FIX_ASS">#REF!</definedName>
    <definedName name="A_KEYWORD_ISSR_208000603_NET_GW">#REF!</definedName>
    <definedName name="A_KEYWORD_ISSR_208000603_NET_INT_CH">#REF!</definedName>
    <definedName name="A_KEYWORD_ISSR_208000603_NET_INT_EXP">#REF!</definedName>
    <definedName name="A_KEYWORD_ISSR_208000603_NET_INTANG">#REF!</definedName>
    <definedName name="A_KEYWORD_ISSR_208000603_NET_OTH_INTANG">#REF!</definedName>
    <definedName name="A_KEYWORD_ISSR_208000603_NONPPE_CAPEX">#REF!</definedName>
    <definedName name="A_KEYWORD_ISSR_208000603_OP_AUSTRA">#REF!</definedName>
    <definedName name="A_KEYWORD_ISSR_208000603_OP_AUSTRIA">#REF!</definedName>
    <definedName name="A_KEYWORD_ISSR_208000603_OP_COMPANY0377">#REF!</definedName>
    <definedName name="A_KEYWORD_ISSR_208000603_OP_BRAZIL">#REF!</definedName>
    <definedName name="A_KEYWORD_ISSR_208000603_OP_CANADA">#REF!</definedName>
    <definedName name="A_KEYWORD_ISSR_208000603_OP_CEE">#REF!</definedName>
    <definedName name="A_KEYWORD_ISSR_208000603_OP_CHINA">#REF!</definedName>
    <definedName name="A_KEYWORD_ISSR_208000603_OP_CONS">#REF!</definedName>
    <definedName name="A_KEYWORD_ISSR_208000603_OP_COST">#REF!</definedName>
    <definedName name="A_KEYWORD_ISSR_208000603_OP_DEN">#REF!</definedName>
    <definedName name="A_KEYWORD_ISSR_208000603_OP_EU_EX_UK">#REF!</definedName>
    <definedName name="A_KEYWORD_ISSR_208000603_OP_FIN">#REF!</definedName>
    <definedName name="A_KEYWORD_ISSR_208000603_OP_FRA">#REF!</definedName>
    <definedName name="A_KEYWORD_ISSR_208000603_OP_GER">#REF!</definedName>
    <definedName name="A_KEYWORD_ISSR_208000603_OP_GOV">#REF!</definedName>
    <definedName name="A_KEYWORD_ISSR_208000603_OP_GRE">#REF!</definedName>
    <definedName name="A_KEYWORD_ISSR_208000603_OP_ICE">#REF!</definedName>
    <definedName name="A_KEYWORD_ISSR_208000603_OP_IND">#REF!</definedName>
    <definedName name="A_KEYWORD_ISSR_208000603_OP_INDIA">#REF!</definedName>
    <definedName name="A_KEYWORD_ISSR_208000603_OP_IRE">#REF!</definedName>
    <definedName name="A_KEYWORD_ISSR_208000603_OP_ITA">#REF!</definedName>
    <definedName name="A_KEYWORD_ISSR_208000603_OP_JAPAN">#REF!</definedName>
    <definedName name="A_KEYWORD_ISSR_208000603_OP_ME">#REF!</definedName>
    <definedName name="A_KEYWORD_ISSR_208000603_OP_NETH">#REF!</definedName>
    <definedName name="A_KEYWORD_ISSR_208000603_OP_NOR">#REF!</definedName>
    <definedName name="A_KEYWORD_ISSR_208000603_OP_NZ">#REF!</definedName>
    <definedName name="A_KEYWORD_ISSR_208000603_OP_OTH_AEJ">#REF!</definedName>
    <definedName name="A_KEYWORD_ISSR_208000603_OP_OTH_AM">#REF!</definedName>
    <definedName name="A_KEYWORD_ISSR_208000603_OP_OTH_EMEA">#REF!</definedName>
    <definedName name="A_KEYWORD_ISSR_208000603_OP_OTHER">#REF!</definedName>
    <definedName name="A_KEYWORD_ISSR_208000603_OP_POR">#REF!</definedName>
    <definedName name="A_KEYWORD_ISSR_208000603_OP_RUSSIA">#REF!</definedName>
    <definedName name="A_KEYWORD_ISSR_208000603_OP_SK">#REF!</definedName>
    <definedName name="A_KEYWORD_ISSR_208000603_OP_SPA">#REF!</definedName>
    <definedName name="A_KEYWORD_ISSR_208000603_OP_SWE">#REF!</definedName>
    <definedName name="A_KEYWORD_ISSR_208000603_OP_SWIT">#REF!</definedName>
    <definedName name="A_KEYWORD_ISSR_208000603_OP_TOT_AM">#REF!</definedName>
    <definedName name="A_KEYWORD_ISSR_208000603_OP_TOT_ASIA">#REF!</definedName>
    <definedName name="A_KEYWORD_ISSR_208000603_OP_TOT_EMEA">#REF!</definedName>
    <definedName name="A_KEYWORD_ISSR_208000603_OP_UK">#REF!</definedName>
    <definedName name="A_KEYWORD_ISSR_208000603_OP_US">#REF!</definedName>
    <definedName name="A_KEYWORD_ISSR_208000603_ORD_SH_FUND">#REF!</definedName>
    <definedName name="A_KEYWORD_ISSR_208000603_OTH_COST_INC">#REF!</definedName>
    <definedName name="A_KEYWORD_ISSR_208000603_OTH_CUR_ASS">#REF!</definedName>
    <definedName name="A_KEYWORD_ISSR_208000603_OTH_CUR_LIABS">#REF!</definedName>
    <definedName name="A_KEYWORD_ISSR_208000603_OTH_DACF_ADJ">#REF!</definedName>
    <definedName name="A_KEYWORD_ISSR_208000603_OTH_FIN_CF">#REF!</definedName>
    <definedName name="A_KEYWORD_ISSR_208000603_OTH_GCI_ADJ">#REF!</definedName>
    <definedName name="A_KEYWORD_ISSR_208000603_OTH_INV_CF">#REF!</definedName>
    <definedName name="A_KEYWORD_ISSR_208000603_OTH_LT_ASS">#REF!</definedName>
    <definedName name="A_KEYWORD_ISSR_208000603_OTH_LT_CRED_GQ">#REF!</definedName>
    <definedName name="A_KEYWORD_ISSR_208000603_OTH_NONCASH_ADJ">#REF!</definedName>
    <definedName name="A_KEYWORD_ISSR_208000603_OTH_OP_CF">#REF!</definedName>
    <definedName name="A_KEYWORD_ISSR_208000603_OTH_OP_INC_EXP">#REF!</definedName>
    <definedName name="A_KEYWORD_ISSR_208000603_PERIOD_MILESTONE">#REF!</definedName>
    <definedName name="A_KEYWORD_ISSR_208000603_PL_SALE_ASSETS">#REF!</definedName>
    <definedName name="A_KEYWORD_ISSR_208000603_PPNT_FCF">#REF!</definedName>
    <definedName name="A_KEYWORD_ISSR_208000603_PREF_SH">#REF!</definedName>
    <definedName name="A_KEYWORD_ISSR_208000603_PROFIT_ON_DISP">#REF!</definedName>
    <definedName name="A_KEYWORD_ISSR_208000603_PT_PROF">#REF!</definedName>
    <definedName name="A_KEYWORD_ISSR_208000603_RD_EXP">#REF!</definedName>
    <definedName name="A_KEYWORD_ISSR_208000603_REV_FIN_SEGMENT">#REF!</definedName>
    <definedName name="A_KEYWORD_ISSR_208000603_SALES">#REF!</definedName>
    <definedName name="A_KEYWORD_ISSR_208000603_SALES_AUSTRA">#REF!</definedName>
    <definedName name="A_KEYWORD_ISSR_208000603_SALES_AUSTRIA">#REF!</definedName>
    <definedName name="A_KEYWORD_ISSR_208000603_SALES_COMPANY0377">#REF!</definedName>
    <definedName name="A_KEYWORD_ISSR_208000603_SALES_BRAZIL">#REF!</definedName>
    <definedName name="A_KEYWORD_ISSR_208000603_SALES_CANADA">#REF!</definedName>
    <definedName name="A_KEYWORD_ISSR_208000603_SALES_CEE">#REF!</definedName>
    <definedName name="A_KEYWORD_ISSR_208000603_SALES_CHINA">#REF!</definedName>
    <definedName name="A_KEYWORD_ISSR_208000603_SALES_CONS">#REF!</definedName>
    <definedName name="A_KEYWORD_ISSR_208000603_SALES_DEN">#REF!</definedName>
    <definedName name="A_KEYWORD_ISSR_208000603_SALES_EU_EX_UK">#REF!</definedName>
    <definedName name="A_KEYWORD_ISSR_208000603_SALES_FIN">#REF!</definedName>
    <definedName name="A_KEYWORD_ISSR_208000603_SALES_FINAN">#REF!</definedName>
    <definedName name="A_KEYWORD_ISSR_208000603_SALES_FRA">#REF!</definedName>
    <definedName name="A_KEYWORD_ISSR_208000603_SALES_GER">#REF!</definedName>
    <definedName name="A_KEYWORD_ISSR_208000603_SALES_GOV">#REF!</definedName>
    <definedName name="A_KEYWORD_ISSR_208000603_SALES_GRE">#REF!</definedName>
    <definedName name="A_KEYWORD_ISSR_208000603_SALES_ICE">#REF!</definedName>
    <definedName name="A_KEYWORD_ISSR_208000603_SALES_IND">#REF!</definedName>
    <definedName name="A_KEYWORD_ISSR_208000603_SALES_INDIA">#REF!</definedName>
    <definedName name="A_KEYWORD_ISSR_208000603_SALES_IRE">#REF!</definedName>
    <definedName name="A_KEYWORD_ISSR_208000603_SALES_ITA">#REF!</definedName>
    <definedName name="A_KEYWORD_ISSR_208000603_SALES_JAPAN">#REF!</definedName>
    <definedName name="A_KEYWORD_ISSR_208000603_SALES_ME">#REF!</definedName>
    <definedName name="A_KEYWORD_ISSR_208000603_SALES_NETH">#REF!</definedName>
    <definedName name="A_KEYWORD_ISSR_208000603_SALES_NOR">#REF!</definedName>
    <definedName name="A_KEYWORD_ISSR_208000603_SALES_NZ">#REF!</definedName>
    <definedName name="A_KEYWORD_ISSR_208000603_SALES_OTH_AEJ">#REF!</definedName>
    <definedName name="A_KEYWORD_ISSR_208000603_SALES_OTH_AM">#REF!</definedName>
    <definedName name="A_KEYWORD_ISSR_208000603_SALES_OTH_EMEA">#REF!</definedName>
    <definedName name="A_KEYWORD_ISSR_208000603_SALES_OTHER">#REF!</definedName>
    <definedName name="A_KEYWORD_ISSR_208000603_SALES_POR">#REF!</definedName>
    <definedName name="A_KEYWORD_ISSR_208000603_SALES_RUSSIA">#REF!</definedName>
    <definedName name="A_KEYWORD_ISSR_208000603_SALES_SK">#REF!</definedName>
    <definedName name="A_KEYWORD_ISSR_208000603_SALES_SMB">#REF!</definedName>
    <definedName name="A_KEYWORD_ISSR_208000603_SALES_SPA">#REF!</definedName>
    <definedName name="A_KEYWORD_ISSR_208000603_SALES_SWE">#REF!</definedName>
    <definedName name="A_KEYWORD_ISSR_208000603_SALES_SWIT">#REF!</definedName>
    <definedName name="A_KEYWORD_ISSR_208000603_SALES_TOT_AM">#REF!</definedName>
    <definedName name="A_KEYWORD_ISSR_208000603_SALES_TOT_ASIA">#REF!</definedName>
    <definedName name="A_KEYWORD_ISSR_208000603_SALES_TOT_EMEA">#REF!</definedName>
    <definedName name="A_KEYWORD_ISSR_208000603_SALES_UK">#REF!</definedName>
    <definedName name="A_KEYWORD_ISSR_208000603_SALES_US">#REF!</definedName>
    <definedName name="A_KEYWORD_ISSR_208000603_SEL_GL_AD">#REF!</definedName>
    <definedName name="A_KEYWORD_ISSR_208000603_SH_REPUR">#REF!</definedName>
    <definedName name="A_KEYWORD_ISSR_208000603_SHORT_T_DEBT">#REF!</definedName>
    <definedName name="A_KEYWORD_ISSR_208000603_SHORT_TERM_LIABS">#REF!</definedName>
    <definedName name="A_KEYWORD_ISSR_208000603_STOCKS">#REF!</definedName>
    <definedName name="A_KEYWORD_ISSR_208000603_TANG_CAPEX">#REF!</definedName>
    <definedName name="A_KEYWORD_ISSR_208000603_TAX_PAID_CF">#REF!</definedName>
    <definedName name="A_KEYWORD_ISSR_208000603_TOT_ASSET">#REF!</definedName>
    <definedName name="A_KEYWORD_ISSR_208000603_TOT_CF">#REF!</definedName>
    <definedName name="A_KEYWORD_ISSR_208000603_TOT_LIAB">#REF!</definedName>
    <definedName name="A_KEYWORD_ISSR_208000603_TOT_LIAB_EQ">#REF!</definedName>
    <definedName name="A_KEYWORD_ISSR_208000603_TOT_LT_LIAB">#REF!</definedName>
    <definedName name="A_KEYWORD_ISSR_208000603_TOT_OPS_EXP">#REF!</definedName>
    <definedName name="A_KEYWORD_ISSR_208000603_TOT_OPS_EXP_DDA">#REF!</definedName>
    <definedName name="A_KEYWORD_ISSR_208000603_UNF_PENS">#REF!</definedName>
    <definedName name="A_KEYWORD_ISSR_208000603_UNF_PENS_LIAB_OTH">#REF!</definedName>
    <definedName name="A_KEYWORD_ISSR_208000603_UNF_PENS_OFF">#REF!</definedName>
    <definedName name="A_KEYWORD_ISSR_208000603_WORK_CAP">#REF!</definedName>
    <definedName name="A_KEYWORD_ISSR_208000976_ACC_AMORT">#REF!</definedName>
    <definedName name="A_KEYWORD_ISSR_208000976_ACC_DDA">#REF!</definedName>
    <definedName name="A_KEYWORD_ISSR_208000976_ACC_END_DATE">#REF!</definedName>
    <definedName name="A_KEYWORD_ISSR_208000976_ACC_PAY_GQ">#REF!</definedName>
    <definedName name="A_KEYWORD_ISSR_208000976_ACQ">#REF!</definedName>
    <definedName name="A_KEYWORD_ISSR_208000976_ADJ_UNF_PENS_GOOD">#REF!</definedName>
    <definedName name="A_KEYWORD_ISSR_208000976_ASSOC_JV_ADDBK">#REF!</definedName>
    <definedName name="A_KEYWORD_ISSR_208000976_ASSOCIATE">#REF!</definedName>
    <definedName name="A_KEYWORD_ISSR_208000976_ASSOCIATE_OP">#REF!</definedName>
    <definedName name="A_KEYWORD_ISSR_208000976_BAL_MINO_INT">#REF!</definedName>
    <definedName name="A_KEYWORD_ISSR_208000976_CAP_LEASES">#REF!</definedName>
    <definedName name="A_KEYWORD_ISSR_208000976_CAPEX">#REF!</definedName>
    <definedName name="A_KEYWORD_ISSR_208000976_CAPEX_EXPANSION">#REF!</definedName>
    <definedName name="A_KEYWORD_ISSR_208000976_CAPEX_MAINTENANCE">#REF!</definedName>
    <definedName name="A_KEYWORD_ISSR_208000976_CASH_EQ">#REF!</definedName>
    <definedName name="A_KEYWORD_ISSR_208000976_CASH_INT_EXP">#REF!</definedName>
    <definedName name="A_KEYWORD_ISSR_208000976_CASH_PCT_OS_US">#REF!</definedName>
    <definedName name="A_KEYWORD_ISSR_208000976_CASH_TAX_EXP">#REF!</definedName>
    <definedName name="A_KEYWORD_ISSR_208000976_CF_FIN">#REF!</definedName>
    <definedName name="A_KEYWORD_ISSR_208000976_CF_INC_MINORITY">#REF!</definedName>
    <definedName name="A_KEYWORD_ISSR_208000976_CF_INV">#REF!</definedName>
    <definedName name="A_KEYWORD_ISSR_208000976_CF_OPS">#REF!</definedName>
    <definedName name="A_KEYWORD_ISSR_208000976_CHG_LT_DEBT">#REF!</definedName>
    <definedName name="A_KEYWORD_ISSR_208000976_CO_BOR_MARGIN">#REF!</definedName>
    <definedName name="A_KEYWORD_ISSR_208000976_COST_GD_SD">#REF!</definedName>
    <definedName name="A_KEYWORD_ISSR_208000976_CUR_ASS">#REF!</definedName>
    <definedName name="A_KEYWORD_ISSR_208000976_CURRENCY_ISO">#REF!</definedName>
    <definedName name="A_KEYWORD_ISSR_208000976_DEBTORS">#REF!</definedName>
    <definedName name="A_KEYWORD_ISSR_208000976_DEF_INC_TAX">#REF!</definedName>
    <definedName name="A_KEYWORD_ISSR_208000976_DEPR_AMORT">#REF!</definedName>
    <definedName name="A_KEYWORD_ISSR_208000976_DEPREC">#REF!</definedName>
    <definedName name="A_KEYWORD_ISSR_208000976_DIV_PAID">#REF!</definedName>
    <definedName name="A_KEYWORD_ISSR_208000976_DIVDS_ASSOC_JV">#REF!</definedName>
    <definedName name="A_KEYWORD_ISSR_208000976_DIVDS_PD_MINORITIES">#REF!</definedName>
    <definedName name="A_KEYWORD_ISSR_208000976_DIVEST">#REF!</definedName>
    <definedName name="A_KEYWORD_ISSR_208000976_EBIT">#REF!</definedName>
    <definedName name="A_KEYWORD_ISSR_208000976_EBIT_FIN_SEGMENT">#REF!</definedName>
    <definedName name="A_KEYWORD_ISSR_208000976_EBITDA_CALC">#REF!</definedName>
    <definedName name="A_KEYWORD_ISSR_208000976_EMPLOYEES">#REF!</definedName>
    <definedName name="A_KEYWORD_ISSR_208000976_EQ">#REF!</definedName>
    <definedName name="A_KEYWORD_ISSR_208000976_ESO_PRE_TAX">#REF!</definedName>
    <definedName name="A_KEYWORD_ISSR_208000976_EXP_ALUMINIUM">#REF!</definedName>
    <definedName name="A_KEYWORD_ISSR_208000976_EXP_COPPER">#REF!</definedName>
    <definedName name="A_KEYWORD_ISSR_208000976_EXP_GLASS">#REF!</definedName>
    <definedName name="A_KEYWORD_ISSR_208000976_EXP_GOLD">#REF!</definedName>
    <definedName name="A_KEYWORD_ISSR_208000976_EXP_NICKEL">#REF!</definedName>
    <definedName name="A_KEYWORD_ISSR_208000976_EXP_OIL_DERIV_NGLS_PLASTICS">#REF!</definedName>
    <definedName name="A_KEYWORD_ISSR_208000976_EXP_OIL_PETRO_FUEL">#REF!</definedName>
    <definedName name="A_KEYWORD_ISSR_208000976_EXP_OTH_COMMODITY">#REF!</definedName>
    <definedName name="A_KEYWORD_ISSR_208000976_EXP_OTH_COST">#REF!</definedName>
    <definedName name="A_KEYWORD_ISSR_208000976_EXP_PALLADIUM">#REF!</definedName>
    <definedName name="A_KEYWORD_ISSR_208000976_EXP_PAPER_PULP">#REF!</definedName>
    <definedName name="A_KEYWORD_ISSR_208000976_EXP_PLATINUM">#REF!</definedName>
    <definedName name="A_KEYWORD_ISSR_208000976_EXP_SILVER">#REF!</definedName>
    <definedName name="A_KEYWORD_ISSR_208000976_EXP_WATER">#REF!</definedName>
    <definedName name="A_KEYWORD_ISSR_208000976_EXP_Company3050">#REF!</definedName>
    <definedName name="A_KEYWORD_ISSR_208000976_FIX_ASS_INV">#REF!</definedName>
    <definedName name="A_KEYWORD_ISSR_208000976_GCI_INFL">#REF!</definedName>
    <definedName name="A_KEYWORD_ISSR_208000976_GOODWILL_AMORT">#REF!</definedName>
    <definedName name="A_KEYWORD_ISSR_208000976_GR_FIX_ASS">#REF!</definedName>
    <definedName name="A_KEYWORD_ISSR_208000976_GR_INTANG">#REF!</definedName>
    <definedName name="A_KEYWORD_ISSR_208000976_INT_EXP_IND">#REF!</definedName>
    <definedName name="A_KEYWORD_ISSR_208000976_INT_INC_IND">#REF!</definedName>
    <definedName name="A_KEYWORD_ISSR_208000976_INV_SECUR">#REF!</definedName>
    <definedName name="A_KEYWORD_ISSR_208000976_Issuer_Name">#REF!</definedName>
    <definedName name="A_KEYWORD_ISSR_208000976_LEASE_DEEM_DEPR">#REF!</definedName>
    <definedName name="A_KEYWORD_ISSR_208000976_LEASE_DEEM_INT">#REF!</definedName>
    <definedName name="A_KEYWORD_ISSR_208000976_LEASE_PAY">#REF!</definedName>
    <definedName name="A_KEYWORD_ISSR_208000976_LT_DEBT">#REF!</definedName>
    <definedName name="A_KEYWORD_ISSR_208000976_MA_PROB">#REF!</definedName>
    <definedName name="A_KEYWORD_ISSR_208000976_MINORITIES">#REF!</definedName>
    <definedName name="A_KEYWORD_ISSR_208000976_MV_ASSOCIATES">#REF!</definedName>
    <definedName name="A_KEYWORD_ISSR_208000976_NET_DEBT">#REF!</definedName>
    <definedName name="A_KEYWORD_ISSR_208000976_NET_DEBT_ADJ">#REF!</definedName>
    <definedName name="A_KEYWORD_ISSR_208000976_NET_FIX_ASS">#REF!</definedName>
    <definedName name="A_KEYWORD_ISSR_208000976_NET_INT_CH">#REF!</definedName>
    <definedName name="A_KEYWORD_ISSR_208000976_NET_INT_EXP">#REF!</definedName>
    <definedName name="A_KEYWORD_ISSR_208000976_NET_INTANG">#REF!</definedName>
    <definedName name="A_KEYWORD_ISSR_208000976_NONPPE_CAPEX">#REF!</definedName>
    <definedName name="A_KEYWORD_ISSR_208000976_OP_COST">#REF!</definedName>
    <definedName name="A_KEYWORD_ISSR_208000976_ORD_SH_FUND">#REF!</definedName>
    <definedName name="A_KEYWORD_ISSR_208000976_ORG_REV_GRTH">#REF!</definedName>
    <definedName name="A_KEYWORD_ISSR_208000976_OTH_COST_INC">#REF!</definedName>
    <definedName name="A_KEYWORD_ISSR_208000976_OTH_CUR_ASS">#REF!</definedName>
    <definedName name="A_KEYWORD_ISSR_208000976_OTH_CUR_LIABS">#REF!</definedName>
    <definedName name="A_KEYWORD_ISSR_208000976_OTH_DACF_ADJ">#REF!</definedName>
    <definedName name="A_KEYWORD_ISSR_208000976_OTH_FIN_CF">#REF!</definedName>
    <definedName name="A_KEYWORD_ISSR_208000976_OTH_GCI_ADJ">#REF!</definedName>
    <definedName name="A_KEYWORD_ISSR_208000976_OTH_INV_CF">#REF!</definedName>
    <definedName name="A_KEYWORD_ISSR_208000976_OTH_LT_ASS">#REF!</definedName>
    <definedName name="A_KEYWORD_ISSR_208000976_OTH_LT_CRED_GQ">#REF!</definedName>
    <definedName name="A_KEYWORD_ISSR_208000976_OTH_NONCASH_ADJ">#REF!</definedName>
    <definedName name="A_KEYWORD_ISSR_208000976_OTH_OP_CF">#REF!</definedName>
    <definedName name="A_KEYWORD_ISSR_208000976_OTH_OP_INC_EXP">#REF!</definedName>
    <definedName name="A_KEYWORD_ISSR_208000976_PERIOD_MILESTONE">#REF!</definedName>
    <definedName name="A_KEYWORD_ISSR_208000976_PL_SALE_ASSETS">#REF!</definedName>
    <definedName name="A_KEYWORD_ISSR_208000976_PREF_SH">#REF!</definedName>
    <definedName name="A_KEYWORD_ISSR_208000976_PROFIT_ON_DISP">#REF!</definedName>
    <definedName name="A_KEYWORD_ISSR_208000976_PT_PROF">#REF!</definedName>
    <definedName name="A_KEYWORD_ISSR_208000976_RD_EXP">#REF!</definedName>
    <definedName name="A_KEYWORD_ISSR_208000976_REV_FIN_SEGMENT">#REF!</definedName>
    <definedName name="A_KEYWORD_ISSR_208000976_SALES">#REF!</definedName>
    <definedName name="A_KEYWORD_ISSR_208000976_SALES_ARGENTINA">#REF!</definedName>
    <definedName name="A_KEYWORD_ISSR_208000976_SALES_BRAZIL">#REF!</definedName>
    <definedName name="A_KEYWORD_ISSR_208000976_SALES_CANADA">#REF!</definedName>
    <definedName name="A_KEYWORD_ISSR_208000976_SALES_CEE">#REF!</definedName>
    <definedName name="A_KEYWORD_ISSR_208000976_SALES_CHILE">#REF!</definedName>
    <definedName name="A_KEYWORD_ISSR_208000976_SALES_CHINA">#REF!</definedName>
    <definedName name="A_KEYWORD_ISSR_208000976_SALES_COLOMBIA">#REF!</definedName>
    <definedName name="A_KEYWORD_ISSR_208000976_SALES_CONS">#REF!</definedName>
    <definedName name="A_KEYWORD_ISSR_208000976_SALES_EU_EX_UK">#REF!</definedName>
    <definedName name="A_KEYWORD_ISSR_208000976_SALES_FINAN">#REF!</definedName>
    <definedName name="A_KEYWORD_ISSR_208000976_SALES_FX_ARS">#REF!</definedName>
    <definedName name="A_KEYWORD_ISSR_208000976_SALES_FX_BRL">#REF!</definedName>
    <definedName name="A_KEYWORD_ISSR_208000976_SALES_FX_CAD">#REF!</definedName>
    <definedName name="A_KEYWORD_ISSR_208000976_SALES_FX_CLP">#REF!</definedName>
    <definedName name="A_KEYWORD_ISSR_208000976_SALES_FX_CNY">#REF!</definedName>
    <definedName name="A_KEYWORD_ISSR_208000976_SALES_FX_COP">#REF!</definedName>
    <definedName name="A_KEYWORD_ISSR_208000976_SALES_FX_EUR">#REF!</definedName>
    <definedName name="A_KEYWORD_ISSR_208000976_SALES_FX_GPB">#REF!</definedName>
    <definedName name="A_KEYWORD_ISSR_208000976_SALES_FX_INR">#REF!</definedName>
    <definedName name="A_KEYWORD_ISSR_208000976_SALES_FX_MXN">#REF!</definedName>
    <definedName name="A_KEYWORD_ISSR_208000976_SALES_FX_OTH">#REF!</definedName>
    <definedName name="A_KEYWORD_ISSR_208000976_SALES_FX_RUB">#REF!</definedName>
    <definedName name="A_KEYWORD_ISSR_208000976_SALES_FX_USD">#REF!</definedName>
    <definedName name="A_KEYWORD_ISSR_208000976_SALES_FX_VEF">#REF!</definedName>
    <definedName name="A_KEYWORD_ISSR_208000976_SALES_FX_YEN">#REF!</definedName>
    <definedName name="A_KEYWORD_ISSR_208000976_SALES_GOV">#REF!</definedName>
    <definedName name="A_KEYWORD_ISSR_208000976_SALES_IND">#REF!</definedName>
    <definedName name="A_KEYWORD_ISSR_208000976_SALES_INDIA">#REF!</definedName>
    <definedName name="A_KEYWORD_ISSR_208000976_SALES_JAPAN">#REF!</definedName>
    <definedName name="A_KEYWORD_ISSR_208000976_SALES_ME">#REF!</definedName>
    <definedName name="A_KEYWORD_ISSR_208000976_SALES_MEXICO">#REF!</definedName>
    <definedName name="A_KEYWORD_ISSR_208000976_SALES_OTH_AEJ">#REF!</definedName>
    <definedName name="A_KEYWORD_ISSR_208000976_SALES_OTH_AM">#REF!</definedName>
    <definedName name="A_KEYWORD_ISSR_208000976_SALES_OTH_EMEA">#REF!</definedName>
    <definedName name="A_KEYWORD_ISSR_208000976_SALES_OTHER">#REF!</definedName>
    <definedName name="A_KEYWORD_ISSR_208000976_SALES_RUSSIA">#REF!</definedName>
    <definedName name="A_KEYWORD_ISSR_208000976_SALES_SMB">#REF!</definedName>
    <definedName name="A_KEYWORD_ISSR_208000976_SALES_TOT_AFRICA">#REF!</definedName>
    <definedName name="A_KEYWORD_ISSR_208000976_SALES_TOT_AM">#REF!</definedName>
    <definedName name="A_KEYWORD_ISSR_208000976_SALES_TOT_ASIA">#REF!</definedName>
    <definedName name="A_KEYWORD_ISSR_208000976_SALES_TOT_EMEA">#REF!</definedName>
    <definedName name="A_KEYWORD_ISSR_208000976_SALES_UK">#REF!</definedName>
    <definedName name="A_KEYWORD_ISSR_208000976_SALES_US">#REF!</definedName>
    <definedName name="A_KEYWORD_ISSR_208000976_SALES_VENEZUELA">#REF!</definedName>
    <definedName name="A_KEYWORD_ISSR_208000976_SEL_GL_AD">#REF!</definedName>
    <definedName name="A_KEYWORD_ISSR_208000976_SH_REPUR">#REF!</definedName>
    <definedName name="A_KEYWORD_ISSR_208000976_SHORT_T_DEBT">#REF!</definedName>
    <definedName name="A_KEYWORD_ISSR_208000976_SHORT_TERM_LIABS">#REF!</definedName>
    <definedName name="A_KEYWORD_ISSR_208000976_STOCKS">#REF!</definedName>
    <definedName name="A_KEYWORD_ISSR_208000976_TOT_ASSET">#REF!</definedName>
    <definedName name="A_KEYWORD_ISSR_208000976_TOT_CF">#REF!</definedName>
    <definedName name="A_KEYWORD_ISSR_208000976_TOT_LIAB">#REF!</definedName>
    <definedName name="A_KEYWORD_ISSR_208000976_TOT_LIAB_EQ">#REF!</definedName>
    <definedName name="A_KEYWORD_ISSR_208000976_TOT_LT_LIAB">#REF!</definedName>
    <definedName name="A_KEYWORD_ISSR_208000976_TOT_OPS_EXP">#REF!</definedName>
    <definedName name="A_KEYWORD_ISSR_208000976_TOT_OPS_EXP_DDA">#REF!</definedName>
    <definedName name="A_KEYWORD_ISSR_208000976_UNF_PENS">#REF!</definedName>
    <definedName name="A_KEYWORD_ISSR_208000976_UNF_PENS_LIAB_OTH">#REF!</definedName>
    <definedName name="A_KEYWORD_ISSR_208000976_UNF_PENS_OFF">#REF!</definedName>
    <definedName name="A_KEYWORD_ISSR_208000976_WORK_CAP">#REF!</definedName>
    <definedName name="A_KEYWORD_ISSR_208001048_ORG_REV_GRTH">#REF!</definedName>
    <definedName name="A_KEYWORD_ISSR_208001258_ACC_AMORT">#REF!</definedName>
    <definedName name="A_KEYWORD_ISSR_208001258_ACC_DDA">#REF!</definedName>
    <definedName name="A_KEYWORD_ISSR_208001258_ACC_END_DATE">#REF!</definedName>
    <definedName name="A_KEYWORD_ISSR_208001258_ACC_PAY_GQ">#REF!</definedName>
    <definedName name="A_KEYWORD_ISSR_208001258_ACQ">#REF!</definedName>
    <definedName name="A_KEYWORD_ISSR_208001258_ADJ_UNF_PENS_GOOD">#REF!</definedName>
    <definedName name="A_KEYWORD_ISSR_208001258_ASSOC_JV_ADDBK">#REF!</definedName>
    <definedName name="A_KEYWORD_ISSR_208001258_ASSOCIATE">#REF!</definedName>
    <definedName name="A_KEYWORD_ISSR_208001258_ASSOCIATE_OP">#REF!</definedName>
    <definedName name="A_KEYWORD_ISSR_208001258_BAL_MINO_INT">#REF!</definedName>
    <definedName name="A_KEYWORD_ISSR_208001258_CAP_LEASES">#REF!</definedName>
    <definedName name="A_KEYWORD_ISSR_208001258_CAPEX">#REF!</definedName>
    <definedName name="A_KEYWORD_ISSR_208001258_CAPEX_EXPANSION">#REF!</definedName>
    <definedName name="A_KEYWORD_ISSR_208001258_CAPEX_MAINTENANCE">#REF!</definedName>
    <definedName name="A_KEYWORD_ISSR_208001258_CASH_EQ">#REF!</definedName>
    <definedName name="A_KEYWORD_ISSR_208001258_CASH_INT_EXP">#REF!</definedName>
    <definedName name="A_KEYWORD_ISSR_208001258_CASH_PCT_OS_US">#REF!</definedName>
    <definedName name="A_KEYWORD_ISSR_208001258_CASH_TAX_EXP">#REF!</definedName>
    <definedName name="A_KEYWORD_ISSR_208001258_CF_FIN">#REF!</definedName>
    <definedName name="A_KEYWORD_ISSR_208001258_CF_INC_MINORITY">#REF!</definedName>
    <definedName name="A_KEYWORD_ISSR_208001258_CF_INV">#REF!</definedName>
    <definedName name="A_KEYWORD_ISSR_208001258_CF_OPS">#REF!</definedName>
    <definedName name="A_KEYWORD_ISSR_208001258_CHG_LT_DEBT">#REF!</definedName>
    <definedName name="A_KEYWORD_ISSR_208001258_CO_BOR_MARGIN">#REF!</definedName>
    <definedName name="A_KEYWORD_ISSR_208001258_COST_GD_SD">#REF!</definedName>
    <definedName name="A_KEYWORD_ISSR_208001258_CUR_ASS">#REF!</definedName>
    <definedName name="A_KEYWORD_ISSR_208001258_CURRENCY_ISO">#REF!</definedName>
    <definedName name="A_KEYWORD_ISSR_208001258_DEBTORS">#REF!</definedName>
    <definedName name="A_KEYWORD_ISSR_208001258_DEF_INC_TAX">#REF!</definedName>
    <definedName name="A_KEYWORD_ISSR_208001258_DEPR_AMORT">#REF!</definedName>
    <definedName name="A_KEYWORD_ISSR_208001258_DEPREC">#REF!</definedName>
    <definedName name="A_KEYWORD_ISSR_208001258_DIV_PAID">#REF!</definedName>
    <definedName name="A_KEYWORD_ISSR_208001258_DIVDS_ASSOC_JV">#REF!</definedName>
    <definedName name="A_KEYWORD_ISSR_208001258_DIVDS_PD_MINORITIES">#REF!</definedName>
    <definedName name="A_KEYWORD_ISSR_208001258_DIVEST">#REF!</definedName>
    <definedName name="A_KEYWORD_ISSR_208001258_EBIT">#REF!</definedName>
    <definedName name="A_KEYWORD_ISSR_208001258_EBIT_FIN_SEGMENT">#REF!</definedName>
    <definedName name="A_KEYWORD_ISSR_208001258_EBITDA_CALC">#REF!</definedName>
    <definedName name="A_KEYWORD_ISSR_208001258_EMPLOYEES">#REF!</definedName>
    <definedName name="A_KEYWORD_ISSR_208001258_EQ">#REF!</definedName>
    <definedName name="A_KEYWORD_ISSR_208001258_ESO_PRE_TAX">#REF!</definedName>
    <definedName name="A_KEYWORD_ISSR_208001258_EXP_ALUMINIUM">#REF!</definedName>
    <definedName name="A_KEYWORD_ISSR_208001258_EXP_COPPER">#REF!</definedName>
    <definedName name="A_KEYWORD_ISSR_208001258_EXP_GLASS">#REF!</definedName>
    <definedName name="A_KEYWORD_ISSR_208001258_EXP_GOLD">#REF!</definedName>
    <definedName name="A_KEYWORD_ISSR_208001258_EXP_NICKEL">#REF!</definedName>
    <definedName name="A_KEYWORD_ISSR_208001258_EXP_OIL_DERIV_NGLS_PLASTICS">#REF!</definedName>
    <definedName name="A_KEYWORD_ISSR_208001258_EXP_OIL_PETRO_FUEL">#REF!</definedName>
    <definedName name="A_KEYWORD_ISSR_208001258_EXP_OTH_COMMODITY">#REF!</definedName>
    <definedName name="A_KEYWORD_ISSR_208001258_EXP_OTH_COST">#REF!</definedName>
    <definedName name="A_KEYWORD_ISSR_208001258_EXP_PALLADIUM">#REF!</definedName>
    <definedName name="A_KEYWORD_ISSR_208001258_EXP_PAPER_PULP">#REF!</definedName>
    <definedName name="A_KEYWORD_ISSR_208001258_EXP_PLATINUM">#REF!</definedName>
    <definedName name="A_KEYWORD_ISSR_208001258_EXP_SILVER">#REF!</definedName>
    <definedName name="A_KEYWORD_ISSR_208001258_EXP_WATER">#REF!</definedName>
    <definedName name="A_KEYWORD_ISSR_208001258_EXP_Company3050">#REF!</definedName>
    <definedName name="A_KEYWORD_ISSR_208001258_FIX_ASS_INV">#REF!</definedName>
    <definedName name="A_KEYWORD_ISSR_208001258_GCI_INFL">#REF!</definedName>
    <definedName name="A_KEYWORD_ISSR_208001258_GOODWILL_AMORT">#REF!</definedName>
    <definedName name="A_KEYWORD_ISSR_208001258_GR_FIX_ASS">#REF!</definedName>
    <definedName name="A_KEYWORD_ISSR_208001258_GR_INTANG">#REF!</definedName>
    <definedName name="A_KEYWORD_ISSR_208001258_INT_EXP_IND">#REF!</definedName>
    <definedName name="A_KEYWORD_ISSR_208001258_INT_INC_IND">#REF!</definedName>
    <definedName name="A_KEYWORD_ISSR_208001258_INV_SECUR">#REF!</definedName>
    <definedName name="A_KEYWORD_ISSR_208001258_Issuer_Name">#REF!</definedName>
    <definedName name="A_KEYWORD_ISSR_208001258_LEASE_DEEM_DEPR">#REF!</definedName>
    <definedName name="A_KEYWORD_ISSR_208001258_LEASE_DEEM_INT">#REF!</definedName>
    <definedName name="A_KEYWORD_ISSR_208001258_LEASE_PAY">#REF!</definedName>
    <definedName name="A_KEYWORD_ISSR_208001258_LT_DEBT">#REF!</definedName>
    <definedName name="A_KEYWORD_ISSR_208001258_MA_PROB">#REF!</definedName>
    <definedName name="A_KEYWORD_ISSR_208001258_MINORITIES">#REF!</definedName>
    <definedName name="A_KEYWORD_ISSR_208001258_MV_ASSOCIATES">#REF!</definedName>
    <definedName name="A_KEYWORD_ISSR_208001258_NET_DEBT">#REF!</definedName>
    <definedName name="A_KEYWORD_ISSR_208001258_NET_DEBT_ADJ">#REF!</definedName>
    <definedName name="A_KEYWORD_ISSR_208001258_NET_FIX_ASS">#REF!</definedName>
    <definedName name="A_KEYWORD_ISSR_208001258_NET_INT_CH">#REF!</definedName>
    <definedName name="A_KEYWORD_ISSR_208001258_NET_INT_EXP">#REF!</definedName>
    <definedName name="A_KEYWORD_ISSR_208001258_NET_INTANG">#REF!</definedName>
    <definedName name="A_KEYWORD_ISSR_208001258_NONPPE_CAPEX">#REF!</definedName>
    <definedName name="A_KEYWORD_ISSR_208001258_OP_COST">#REF!</definedName>
    <definedName name="A_KEYWORD_ISSR_208001258_ORD_SH_FUND">#REF!</definedName>
    <definedName name="A_KEYWORD_ISSR_208001258_ORG_REV_GRTH">#REF!</definedName>
    <definedName name="A_KEYWORD_ISSR_208001258_OTH_COST_INC">#REF!</definedName>
    <definedName name="A_KEYWORD_ISSR_208001258_OTH_CUR_ASS">#REF!</definedName>
    <definedName name="A_KEYWORD_ISSR_208001258_OTH_CUR_LIABS">#REF!</definedName>
    <definedName name="A_KEYWORD_ISSR_208001258_OTH_DACF_ADJ">#REF!</definedName>
    <definedName name="A_KEYWORD_ISSR_208001258_OTH_FIN_CF">#REF!</definedName>
    <definedName name="A_KEYWORD_ISSR_208001258_OTH_GCI_ADJ">#REF!</definedName>
    <definedName name="A_KEYWORD_ISSR_208001258_OTH_INV_CF">#REF!</definedName>
    <definedName name="A_KEYWORD_ISSR_208001258_OTH_LT_ASS">#REF!</definedName>
    <definedName name="A_KEYWORD_ISSR_208001258_OTH_LT_CRED_GQ">#REF!</definedName>
    <definedName name="A_KEYWORD_ISSR_208001258_OTH_NONCASH_ADJ">#REF!</definedName>
    <definedName name="A_KEYWORD_ISSR_208001258_OTH_OP_CF">#REF!</definedName>
    <definedName name="A_KEYWORD_ISSR_208001258_OTH_OP_INC_EXP">#REF!</definedName>
    <definedName name="A_KEYWORD_ISSR_208001258_PERIOD_MILESTONE">#REF!</definedName>
    <definedName name="A_KEYWORD_ISSR_208001258_PL_SALE_ASSETS">#REF!</definedName>
    <definedName name="A_KEYWORD_ISSR_208001258_PREF_SH">#REF!</definedName>
    <definedName name="A_KEYWORD_ISSR_208001258_PROFIT_ON_DISP">#REF!</definedName>
    <definedName name="A_KEYWORD_ISSR_208001258_PT_PROF">#REF!</definedName>
    <definedName name="A_KEYWORD_ISSR_208001258_RD_EXP">#REF!</definedName>
    <definedName name="A_KEYWORD_ISSR_208001258_REV_FIN_SEGMENT">#REF!</definedName>
    <definedName name="A_KEYWORD_ISSR_208001258_SALES">#REF!</definedName>
    <definedName name="A_KEYWORD_ISSR_208001258_SALES_ARGENTINA">#REF!</definedName>
    <definedName name="A_KEYWORD_ISSR_208001258_SALES_BRAZIL">#REF!</definedName>
    <definedName name="A_KEYWORD_ISSR_208001258_SALES_CANADA">#REF!</definedName>
    <definedName name="A_KEYWORD_ISSR_208001258_SALES_CEE">#REF!</definedName>
    <definedName name="A_KEYWORD_ISSR_208001258_SALES_CHILE">#REF!</definedName>
    <definedName name="A_KEYWORD_ISSR_208001258_SALES_CHINA">#REF!</definedName>
    <definedName name="A_KEYWORD_ISSR_208001258_SALES_COLOMBIA">#REF!</definedName>
    <definedName name="A_KEYWORD_ISSR_208001258_SALES_CONS">#REF!</definedName>
    <definedName name="A_KEYWORD_ISSR_208001258_SALES_EU_EX_UK">#REF!</definedName>
    <definedName name="A_KEYWORD_ISSR_208001258_SALES_FINAN">#REF!</definedName>
    <definedName name="A_KEYWORD_ISSR_208001258_SALES_FX_ARS">#REF!</definedName>
    <definedName name="A_KEYWORD_ISSR_208001258_SALES_FX_BRL">#REF!</definedName>
    <definedName name="A_KEYWORD_ISSR_208001258_SALES_FX_CAD">#REF!</definedName>
    <definedName name="A_KEYWORD_ISSR_208001258_SALES_FX_CLP">#REF!</definedName>
    <definedName name="A_KEYWORD_ISSR_208001258_SALES_FX_CNY">#REF!</definedName>
    <definedName name="A_KEYWORD_ISSR_208001258_SALES_FX_COP">#REF!</definedName>
    <definedName name="A_KEYWORD_ISSR_208001258_SALES_FX_EUR">#REF!</definedName>
    <definedName name="A_KEYWORD_ISSR_208001258_SALES_FX_GPB">#REF!</definedName>
    <definedName name="A_KEYWORD_ISSR_208001258_SALES_FX_INR">#REF!</definedName>
    <definedName name="A_KEYWORD_ISSR_208001258_SALES_FX_MXN">#REF!</definedName>
    <definedName name="A_KEYWORD_ISSR_208001258_SALES_FX_OTH">#REF!</definedName>
    <definedName name="A_KEYWORD_ISSR_208001258_SALES_FX_RUB">#REF!</definedName>
    <definedName name="A_KEYWORD_ISSR_208001258_SALES_FX_USD">#REF!</definedName>
    <definedName name="A_KEYWORD_ISSR_208001258_SALES_FX_VEF">#REF!</definedName>
    <definedName name="A_KEYWORD_ISSR_208001258_SALES_FX_YEN">#REF!</definedName>
    <definedName name="A_KEYWORD_ISSR_208001258_SALES_GOV">#REF!</definedName>
    <definedName name="A_KEYWORD_ISSR_208001258_SALES_IND">#REF!</definedName>
    <definedName name="A_KEYWORD_ISSR_208001258_SALES_INDIA">#REF!</definedName>
    <definedName name="A_KEYWORD_ISSR_208001258_SALES_JAPAN">#REF!</definedName>
    <definedName name="A_KEYWORD_ISSR_208001258_SALES_ME">#REF!</definedName>
    <definedName name="A_KEYWORD_ISSR_208001258_SALES_MEXICO">#REF!</definedName>
    <definedName name="A_KEYWORD_ISSR_208001258_SALES_OTH_AEJ">#REF!</definedName>
    <definedName name="A_KEYWORD_ISSR_208001258_SALES_OTH_AM">#REF!</definedName>
    <definedName name="A_KEYWORD_ISSR_208001258_SALES_OTH_EMEA">#REF!</definedName>
    <definedName name="A_KEYWORD_ISSR_208001258_SALES_OTHER">#REF!</definedName>
    <definedName name="A_KEYWORD_ISSR_208001258_SALES_RUSSIA">#REF!</definedName>
    <definedName name="A_KEYWORD_ISSR_208001258_SALES_SMB">#REF!</definedName>
    <definedName name="A_KEYWORD_ISSR_208001258_SALES_TOT_AFRICA">#REF!</definedName>
    <definedName name="A_KEYWORD_ISSR_208001258_SALES_TOT_AM">#REF!</definedName>
    <definedName name="A_KEYWORD_ISSR_208001258_SALES_TOT_ASIA">#REF!</definedName>
    <definedName name="A_KEYWORD_ISSR_208001258_SALES_TOT_EMEA">#REF!</definedName>
    <definedName name="A_KEYWORD_ISSR_208001258_SALES_UK">#REF!</definedName>
    <definedName name="A_KEYWORD_ISSR_208001258_SALES_US">#REF!</definedName>
    <definedName name="A_KEYWORD_ISSR_208001258_SALES_VENEZUELA">#REF!</definedName>
    <definedName name="A_KEYWORD_ISSR_208001258_SEL_GL_AD">#REF!</definedName>
    <definedName name="A_KEYWORD_ISSR_208001258_SH_REPUR">#REF!</definedName>
    <definedName name="A_KEYWORD_ISSR_208001258_SHORT_T_DEBT">#REF!</definedName>
    <definedName name="A_KEYWORD_ISSR_208001258_SHORT_TERM_LIABS">#REF!</definedName>
    <definedName name="A_KEYWORD_ISSR_208001258_STOCKS">#REF!</definedName>
    <definedName name="A_KEYWORD_ISSR_208001258_TOT_ASSET">#REF!</definedName>
    <definedName name="A_KEYWORD_ISSR_208001258_TOT_CF">#REF!</definedName>
    <definedName name="A_KEYWORD_ISSR_208001258_TOT_LIAB">#REF!</definedName>
    <definedName name="A_KEYWORD_ISSR_208001258_TOT_LIAB_EQ">#REF!</definedName>
    <definedName name="A_KEYWORD_ISSR_208001258_TOT_LT_LIAB">#REF!</definedName>
    <definedName name="A_KEYWORD_ISSR_208001258_TOT_OPS_EXP">#REF!</definedName>
    <definedName name="A_KEYWORD_ISSR_208001258_TOT_OPS_EXP_DDA">#REF!</definedName>
    <definedName name="A_KEYWORD_ISSR_208001258_UNF_PENS">#REF!</definedName>
    <definedName name="A_KEYWORD_ISSR_208001258_UNF_PENS_LIAB_OTH">#REF!</definedName>
    <definedName name="A_KEYWORD_ISSR_208001258_UNF_PENS_OFF">#REF!</definedName>
    <definedName name="A_KEYWORD_ISSR_208001258_WORK_CAP">#REF!</definedName>
    <definedName name="A_KEYWORD_ISSR_208009722_ACC_AMORT">#REF!</definedName>
    <definedName name="A_KEYWORD_ISSR_208009722_ACC_DDA">#REF!</definedName>
    <definedName name="A_KEYWORD_ISSR_208009722_ACC_END_DATE">#REF!</definedName>
    <definedName name="A_KEYWORD_ISSR_208009722_ACC_PAY_GQ">#REF!</definedName>
    <definedName name="A_KEYWORD_ISSR_208009722_ACQ">#REF!</definedName>
    <definedName name="A_KEYWORD_ISSR_208009722_ADJ_UNF_PENS_GOOD">#REF!</definedName>
    <definedName name="A_KEYWORD_ISSR_208009722_ASSOC_JV_ADDBK">#REF!</definedName>
    <definedName name="A_KEYWORD_ISSR_208009722_ASSOCIATE">#REF!</definedName>
    <definedName name="A_KEYWORD_ISSR_208009722_ASSOCIATE_OP">#REF!</definedName>
    <definedName name="A_KEYWORD_ISSR_208009722_BAL_MINO_INT">#REF!</definedName>
    <definedName name="A_KEYWORD_ISSR_208009722_CAP_LEASES">#REF!</definedName>
    <definedName name="A_KEYWORD_ISSR_208009722_CAPEX">#REF!</definedName>
    <definedName name="A_KEYWORD_ISSR_208009722_CAPEX_EXPANSION">#REF!</definedName>
    <definedName name="A_KEYWORD_ISSR_208009722_CAPEX_MAINTENANCE">#REF!</definedName>
    <definedName name="A_KEYWORD_ISSR_208009722_CASH_EQ">#REF!</definedName>
    <definedName name="A_KEYWORD_ISSR_208009722_CASH_INT_EXP">#REF!</definedName>
    <definedName name="A_KEYWORD_ISSR_208009722_CASH_TAX_EXP">#REF!</definedName>
    <definedName name="A_KEYWORD_ISSR_208009722_CF_FIN">#REF!</definedName>
    <definedName name="A_KEYWORD_ISSR_208009722_CF_INC_MINORITY">#REF!</definedName>
    <definedName name="A_KEYWORD_ISSR_208009722_CF_INV">#REF!</definedName>
    <definedName name="A_KEYWORD_ISSR_208009722_CF_OPS">#REF!</definedName>
    <definedName name="A_KEYWORD_ISSR_208009722_CHG_LT_DEBT">#REF!</definedName>
    <definedName name="A_KEYWORD_ISSR_208009722_CO_BOR_MARGIN">#REF!</definedName>
    <definedName name="A_KEYWORD_ISSR_208009722_COST_GD_SD">#REF!</definedName>
    <definedName name="A_KEYWORD_ISSR_208009722_CUR_ASS">#REF!</definedName>
    <definedName name="A_KEYWORD_ISSR_208009722_CURRENCY_ISO">#REF!</definedName>
    <definedName name="A_KEYWORD_ISSR_208009722_DEBTORS">#REF!</definedName>
    <definedName name="A_KEYWORD_ISSR_208009722_DEF_INC_TAX">#REF!</definedName>
    <definedName name="A_KEYWORD_ISSR_208009722_DEPR_AMORT">#REF!</definedName>
    <definedName name="A_KEYWORD_ISSR_208009722_DEPREC">#REF!</definedName>
    <definedName name="A_KEYWORD_ISSR_208009722_DIV_PAID">#REF!</definedName>
    <definedName name="A_KEYWORD_ISSR_208009722_DIVDS_ASSOC_JV">#REF!</definedName>
    <definedName name="A_KEYWORD_ISSR_208009722_DIVDS_PD_MINORITIES">#REF!</definedName>
    <definedName name="A_KEYWORD_ISSR_208009722_DIVEST">#REF!</definedName>
    <definedName name="A_KEYWORD_ISSR_208009722_EBIT">#REF!</definedName>
    <definedName name="A_KEYWORD_ISSR_208009722_EBIT_FIN_SEGMENT">#REF!</definedName>
    <definedName name="A_KEYWORD_ISSR_208009722_EBITDA_CALC">#REF!</definedName>
    <definedName name="A_KEYWORD_ISSR_208009722_EMPLOYEES">#REF!</definedName>
    <definedName name="A_KEYWORD_ISSR_208009722_EQ">#REF!</definedName>
    <definedName name="A_KEYWORD_ISSR_208009722_ESO_PRE_TAX">#REF!</definedName>
    <definedName name="A_KEYWORD_ISSR_208009722_FIX_ASS_INV">#REF!</definedName>
    <definedName name="A_KEYWORD_ISSR_208009722_GCI_INFL">#REF!</definedName>
    <definedName name="A_KEYWORD_ISSR_208009722_GOODWILL_AMORT">#REF!</definedName>
    <definedName name="A_KEYWORD_ISSR_208009722_GR_FIX_ASS">#REF!</definedName>
    <definedName name="A_KEYWORD_ISSR_208009722_GR_INTANG">#REF!</definedName>
    <definedName name="A_KEYWORD_ISSR_208009722_INT_EXP_IND">#REF!</definedName>
    <definedName name="A_KEYWORD_ISSR_208009722_INT_INC_IND">#REF!</definedName>
    <definedName name="A_KEYWORD_ISSR_208009722_INV_SECUR">#REF!</definedName>
    <definedName name="A_KEYWORD_ISSR_208009722_Issuer_Name">#REF!</definedName>
    <definedName name="A_KEYWORD_ISSR_208009722_LEASE_DEEM_DEPR">#REF!</definedName>
    <definedName name="A_KEYWORD_ISSR_208009722_LEASE_DEEM_INT">#REF!</definedName>
    <definedName name="A_KEYWORD_ISSR_208009722_LEASE_PAY">#REF!</definedName>
    <definedName name="A_KEYWORD_ISSR_208009722_LT_DEBT">#REF!</definedName>
    <definedName name="A_KEYWORD_ISSR_208009722_MA_PROB">#REF!</definedName>
    <definedName name="A_KEYWORD_ISSR_208009722_MINORITIES">#REF!</definedName>
    <definedName name="A_KEYWORD_ISSR_208009722_MV_ASSOCIATES">#REF!</definedName>
    <definedName name="A_KEYWORD_ISSR_208009722_NET_DEBT">#REF!</definedName>
    <definedName name="A_KEYWORD_ISSR_208009722_NET_DEBT_ADJ">#REF!</definedName>
    <definedName name="A_KEYWORD_ISSR_208009722_NET_FIX_ASS">#REF!</definedName>
    <definedName name="A_KEYWORD_ISSR_208009722_NET_INT_CH">#REF!</definedName>
    <definedName name="A_KEYWORD_ISSR_208009722_NET_INT_EXP">#REF!</definedName>
    <definedName name="A_KEYWORD_ISSR_208009722_NET_INTANG">#REF!</definedName>
    <definedName name="A_KEYWORD_ISSR_208009722_NONPPE_CAPEX">#REF!</definedName>
    <definedName name="A_KEYWORD_ISSR_208009722_OP_AUSTRA">#REF!</definedName>
    <definedName name="A_KEYWORD_ISSR_208009722_OP_AUSTRIA">#REF!</definedName>
    <definedName name="A_KEYWORD_ISSR_208009722_OP_COMPANY0377">#REF!</definedName>
    <definedName name="A_KEYWORD_ISSR_208009722_OP_BRAZIL">#REF!</definedName>
    <definedName name="A_KEYWORD_ISSR_208009722_OP_CANADA">#REF!</definedName>
    <definedName name="A_KEYWORD_ISSR_208009722_OP_CEE">#REF!</definedName>
    <definedName name="A_KEYWORD_ISSR_208009722_OP_CHINA">#REF!</definedName>
    <definedName name="A_KEYWORD_ISSR_208009722_OP_CONS">#REF!</definedName>
    <definedName name="A_KEYWORD_ISSR_208009722_OP_COST">#REF!</definedName>
    <definedName name="A_KEYWORD_ISSR_208009722_OP_DEN">#REF!</definedName>
    <definedName name="A_KEYWORD_ISSR_208009722_OP_EU_EX_UK">#REF!</definedName>
    <definedName name="A_KEYWORD_ISSR_208009722_OP_FIN">#REF!</definedName>
    <definedName name="A_KEYWORD_ISSR_208009722_OP_FRA">#REF!</definedName>
    <definedName name="A_KEYWORD_ISSR_208009722_OP_GER">#REF!</definedName>
    <definedName name="A_KEYWORD_ISSR_208009722_OP_GOV">#REF!</definedName>
    <definedName name="A_KEYWORD_ISSR_208009722_OP_GRE">#REF!</definedName>
    <definedName name="A_KEYWORD_ISSR_208009722_OP_ICE">#REF!</definedName>
    <definedName name="A_KEYWORD_ISSR_208009722_OP_IND">#REF!</definedName>
    <definedName name="A_KEYWORD_ISSR_208009722_OP_INDIA">#REF!</definedName>
    <definedName name="A_KEYWORD_ISSR_208009722_OP_IRE">#REF!</definedName>
    <definedName name="A_KEYWORD_ISSR_208009722_OP_ITA">#REF!</definedName>
    <definedName name="A_KEYWORD_ISSR_208009722_OP_JAPAN">#REF!</definedName>
    <definedName name="A_KEYWORD_ISSR_208009722_OP_ME">#REF!</definedName>
    <definedName name="A_KEYWORD_ISSR_208009722_OP_NETH">#REF!</definedName>
    <definedName name="A_KEYWORD_ISSR_208009722_OP_NOR">#REF!</definedName>
    <definedName name="A_KEYWORD_ISSR_208009722_OP_NZ">#REF!</definedName>
    <definedName name="A_KEYWORD_ISSR_208009722_OP_OTH_AEJ">#REF!</definedName>
    <definedName name="A_KEYWORD_ISSR_208009722_OP_OTH_AM">#REF!</definedName>
    <definedName name="A_KEYWORD_ISSR_208009722_OP_OTH_EMEA">#REF!</definedName>
    <definedName name="A_KEYWORD_ISSR_208009722_OP_OTHER">#REF!</definedName>
    <definedName name="A_KEYWORD_ISSR_208009722_OP_POR">#REF!</definedName>
    <definedName name="A_KEYWORD_ISSR_208009722_OP_RUSSIA">#REF!</definedName>
    <definedName name="A_KEYWORD_ISSR_208009722_OP_SK">#REF!</definedName>
    <definedName name="A_KEYWORD_ISSR_208009722_OP_SPA">#REF!</definedName>
    <definedName name="A_KEYWORD_ISSR_208009722_OP_SWE">#REF!</definedName>
    <definedName name="A_KEYWORD_ISSR_208009722_OP_SWIT">#REF!</definedName>
    <definedName name="A_KEYWORD_ISSR_208009722_OP_TOT_AM">#REF!</definedName>
    <definedName name="A_KEYWORD_ISSR_208009722_OP_TOT_ASIA">#REF!</definedName>
    <definedName name="A_KEYWORD_ISSR_208009722_OP_TOT_EMEA">#REF!</definedName>
    <definedName name="A_KEYWORD_ISSR_208009722_OP_UK">#REF!</definedName>
    <definedName name="A_KEYWORD_ISSR_208009722_OP_US">#REF!</definedName>
    <definedName name="A_KEYWORD_ISSR_208009722_ORD_SH_FUND">#REF!</definedName>
    <definedName name="A_KEYWORD_ISSR_208009722_ORG_REV_GRTH">#REF!</definedName>
    <definedName name="A_KEYWORD_ISSR_208009722_OTH_COST_INC">#REF!</definedName>
    <definedName name="A_KEYWORD_ISSR_208009722_OTH_CUR_ASS">#REF!</definedName>
    <definedName name="A_KEYWORD_ISSR_208009722_OTH_CUR_LIABS">#REF!</definedName>
    <definedName name="A_KEYWORD_ISSR_208009722_OTH_DACF_ADJ">#REF!</definedName>
    <definedName name="A_KEYWORD_ISSR_208009722_OTH_FIN_CF">#REF!</definedName>
    <definedName name="A_KEYWORD_ISSR_208009722_OTH_GCI_ADJ">#REF!</definedName>
    <definedName name="A_KEYWORD_ISSR_208009722_OTH_INV_CF">#REF!</definedName>
    <definedName name="A_KEYWORD_ISSR_208009722_OTH_LT_ASS">#REF!</definedName>
    <definedName name="A_KEYWORD_ISSR_208009722_OTH_LT_CRED_GQ">#REF!</definedName>
    <definedName name="A_KEYWORD_ISSR_208009722_OTH_NONCASH_ADJ">#REF!</definedName>
    <definedName name="A_KEYWORD_ISSR_208009722_OTH_OP_CF">#REF!</definedName>
    <definedName name="A_KEYWORD_ISSR_208009722_OTH_OP_INC_EXP">#REF!</definedName>
    <definedName name="A_KEYWORD_ISSR_208009722_PERIOD_MILESTONE">#REF!</definedName>
    <definedName name="A_KEYWORD_ISSR_208009722_PL_SALE_ASSETS">#REF!</definedName>
    <definedName name="A_KEYWORD_ISSR_208009722_PREF_SH">#REF!</definedName>
    <definedName name="A_KEYWORD_ISSR_208009722_PROFIT_ON_DISP">#REF!</definedName>
    <definedName name="A_KEYWORD_ISSR_208009722_PT_PROF">#REF!</definedName>
    <definedName name="A_KEYWORD_ISSR_208009722_RD_EXP">#REF!</definedName>
    <definedName name="A_KEYWORD_ISSR_208009722_REV_FIN_SEGMENT">#REF!</definedName>
    <definedName name="A_KEYWORD_ISSR_208009722_SALES">#REF!</definedName>
    <definedName name="A_KEYWORD_ISSR_208009722_SALES_AUSTRA">#REF!</definedName>
    <definedName name="A_KEYWORD_ISSR_208009722_SALES_AUSTRIA">#REF!</definedName>
    <definedName name="A_KEYWORD_ISSR_208009722_SALES_COMPANY0377">#REF!</definedName>
    <definedName name="A_KEYWORD_ISSR_208009722_SALES_BRAZIL">#REF!</definedName>
    <definedName name="A_KEYWORD_ISSR_208009722_SALES_CANADA">#REF!</definedName>
    <definedName name="A_KEYWORD_ISSR_208009722_SALES_CEE">#REF!</definedName>
    <definedName name="A_KEYWORD_ISSR_208009722_SALES_CHINA">#REF!</definedName>
    <definedName name="A_KEYWORD_ISSR_208009722_SALES_CONS">#REF!</definedName>
    <definedName name="A_KEYWORD_ISSR_208009722_SALES_DEN">#REF!</definedName>
    <definedName name="A_KEYWORD_ISSR_208009722_SALES_EU_EX_UK">#REF!</definedName>
    <definedName name="A_KEYWORD_ISSR_208009722_SALES_FIN">#REF!</definedName>
    <definedName name="A_KEYWORD_ISSR_208009722_SALES_FINAN">#REF!</definedName>
    <definedName name="A_KEYWORD_ISSR_208009722_SALES_FRA">#REF!</definedName>
    <definedName name="A_KEYWORD_ISSR_208009722_SALES_GER">#REF!</definedName>
    <definedName name="A_KEYWORD_ISSR_208009722_SALES_GOV">#REF!</definedName>
    <definedName name="A_KEYWORD_ISSR_208009722_SALES_GRE">#REF!</definedName>
    <definedName name="A_KEYWORD_ISSR_208009722_SALES_ICE">#REF!</definedName>
    <definedName name="A_KEYWORD_ISSR_208009722_SALES_IND">#REF!</definedName>
    <definedName name="A_KEYWORD_ISSR_208009722_SALES_INDIA">#REF!</definedName>
    <definedName name="A_KEYWORD_ISSR_208009722_SALES_IRE">#REF!</definedName>
    <definedName name="A_KEYWORD_ISSR_208009722_SALES_ITA">#REF!</definedName>
    <definedName name="A_KEYWORD_ISSR_208009722_SALES_JAPAN">#REF!</definedName>
    <definedName name="A_KEYWORD_ISSR_208009722_SALES_ME">#REF!</definedName>
    <definedName name="A_KEYWORD_ISSR_208009722_SALES_NETH">#REF!</definedName>
    <definedName name="A_KEYWORD_ISSR_208009722_SALES_NOR">#REF!</definedName>
    <definedName name="A_KEYWORD_ISSR_208009722_SALES_NZ">#REF!</definedName>
    <definedName name="A_KEYWORD_ISSR_208009722_SALES_OTH_AEJ">#REF!</definedName>
    <definedName name="A_KEYWORD_ISSR_208009722_SALES_OTH_AM">#REF!</definedName>
    <definedName name="A_KEYWORD_ISSR_208009722_SALES_OTH_EMEA">#REF!</definedName>
    <definedName name="A_KEYWORD_ISSR_208009722_SALES_OTHER">#REF!</definedName>
    <definedName name="A_KEYWORD_ISSR_208009722_SALES_POR">#REF!</definedName>
    <definedName name="A_KEYWORD_ISSR_208009722_SALES_RUSSIA">#REF!</definedName>
    <definedName name="A_KEYWORD_ISSR_208009722_SALES_SK">#REF!</definedName>
    <definedName name="A_KEYWORD_ISSR_208009722_SALES_SMB">#REF!</definedName>
    <definedName name="A_KEYWORD_ISSR_208009722_SALES_SPA">#REF!</definedName>
    <definedName name="A_KEYWORD_ISSR_208009722_SALES_SWE">#REF!</definedName>
    <definedName name="A_KEYWORD_ISSR_208009722_SALES_SWIT">#REF!</definedName>
    <definedName name="A_KEYWORD_ISSR_208009722_SALES_TOT_AM">#REF!</definedName>
    <definedName name="A_KEYWORD_ISSR_208009722_SALES_TOT_ASIA">#REF!</definedName>
    <definedName name="A_KEYWORD_ISSR_208009722_SALES_TOT_EMEA">#REF!</definedName>
    <definedName name="A_KEYWORD_ISSR_208009722_SALES_UK">#REF!</definedName>
    <definedName name="A_KEYWORD_ISSR_208009722_SALES_US">#REF!</definedName>
    <definedName name="A_KEYWORD_ISSR_208009722_SEL_GL_AD">#REF!</definedName>
    <definedName name="A_KEYWORD_ISSR_208009722_SH_REPUR">#REF!</definedName>
    <definedName name="A_KEYWORD_ISSR_208009722_SHORT_T_DEBT">#REF!</definedName>
    <definedName name="A_KEYWORD_ISSR_208009722_SHORT_TERM_LIABS">#REF!</definedName>
    <definedName name="A_KEYWORD_ISSR_208009722_STOCKS">#REF!</definedName>
    <definedName name="A_KEYWORD_ISSR_208009722_TOT_ASSET">#REF!</definedName>
    <definedName name="A_KEYWORD_ISSR_208009722_TOT_CF">#REF!</definedName>
    <definedName name="A_KEYWORD_ISSR_208009722_TOT_LIAB">#REF!</definedName>
    <definedName name="A_KEYWORD_ISSR_208009722_TOT_LIAB_EQ">#REF!</definedName>
    <definedName name="A_KEYWORD_ISSR_208009722_TOT_LT_LIAB">#REF!</definedName>
    <definedName name="A_KEYWORD_ISSR_208009722_TOT_OPS_EXP">#REF!</definedName>
    <definedName name="A_KEYWORD_ISSR_208009722_TOT_OPS_EXP_DDA">#REF!</definedName>
    <definedName name="A_KEYWORD_ISSR_208009722_UNF_PENS">#REF!</definedName>
    <definedName name="A_KEYWORD_ISSR_208009722_UNF_PENS_LIAB_OTH">#REF!</definedName>
    <definedName name="A_KEYWORD_ISSR_208009722_UNF_PENS_OFF">#REF!</definedName>
    <definedName name="A_KEYWORD_ISSR_208009722_WORK_CAP">#REF!</definedName>
    <definedName name="A_KEYWORD_ISSR_208011556_ACC_AMORT">#REF!</definedName>
    <definedName name="A_KEYWORD_ISSR_208011556_ACC_DDA">#REF!</definedName>
    <definedName name="A_KEYWORD_ISSR_208011556_ACC_END_DATE">#REF!</definedName>
    <definedName name="A_KEYWORD_ISSR_208011556_ACC_PAY_GQ">#REF!</definedName>
    <definedName name="A_KEYWORD_ISSR_208011556_ACQ">#REF!</definedName>
    <definedName name="A_KEYWORD_ISSR_208011556_ADJ_UNF_PENS_GOOD">#REF!</definedName>
    <definedName name="A_KEYWORD_ISSR_208011556_ASSOC_JV_ADDBK">#REF!</definedName>
    <definedName name="A_KEYWORD_ISSR_208011556_ASSOCIATE">#REF!</definedName>
    <definedName name="A_KEYWORD_ISSR_208011556_ASSOCIATE_OP">#REF!</definedName>
    <definedName name="A_KEYWORD_ISSR_208011556_BAL_MINO_INT">#REF!</definedName>
    <definedName name="A_KEYWORD_ISSR_208011556_CAP_LEASES">#REF!</definedName>
    <definedName name="A_KEYWORD_ISSR_208011556_CAPEX">#REF!</definedName>
    <definedName name="A_KEYWORD_ISSR_208011556_CAPEX_EXPANSION">#REF!</definedName>
    <definedName name="A_KEYWORD_ISSR_208011556_CAPEX_MAINTENANCE">#REF!</definedName>
    <definedName name="A_KEYWORD_ISSR_208011556_CASH_EQ">#REF!</definedName>
    <definedName name="A_KEYWORD_ISSR_208011556_CASH_INT_EXP">#REF!</definedName>
    <definedName name="A_KEYWORD_ISSR_208011556_CASH_PCT_OS_US">#REF!</definedName>
    <definedName name="A_KEYWORD_ISSR_208011556_CASH_TAX_EXP">#REF!</definedName>
    <definedName name="A_KEYWORD_ISSR_208011556_CF_FIN">#REF!</definedName>
    <definedName name="A_KEYWORD_ISSR_208011556_CF_INC_MINORITY">#REF!</definedName>
    <definedName name="A_KEYWORD_ISSR_208011556_CF_INV">#REF!</definedName>
    <definedName name="A_KEYWORD_ISSR_208011556_CF_OPS">#REF!</definedName>
    <definedName name="A_KEYWORD_ISSR_208011556_CHG_LT_DEBT">#REF!</definedName>
    <definedName name="A_KEYWORD_ISSR_208011556_CO_BOR_MARGIN">#REF!</definedName>
    <definedName name="A_KEYWORD_ISSR_208011556_CONTRIB_MARGIN_RATIO">#REF!</definedName>
    <definedName name="A_KEYWORD_ISSR_208011556_COST_GD_SD">#REF!</definedName>
    <definedName name="A_KEYWORD_ISSR_208011556_CUR_ASS">#REF!</definedName>
    <definedName name="A_KEYWORD_ISSR_208011556_CURRENCY_ISO">#REF!</definedName>
    <definedName name="A_KEYWORD_ISSR_208011556_DEBTORS">#REF!</definedName>
    <definedName name="A_KEYWORD_ISSR_208011556_DEF_INC_TAX">#REF!</definedName>
    <definedName name="A_KEYWORD_ISSR_208011556_DEPR_AMORT">#REF!</definedName>
    <definedName name="A_KEYWORD_ISSR_208011556_DEPREC">#REF!</definedName>
    <definedName name="A_KEYWORD_ISSR_208011556_DIV_PAID">#REF!</definedName>
    <definedName name="A_KEYWORD_ISSR_208011556_DIVDS_ASSOC_JV">#REF!</definedName>
    <definedName name="A_KEYWORD_ISSR_208011556_DIVDS_PD_MINORITIES">#REF!</definedName>
    <definedName name="A_KEYWORD_ISSR_208011556_DIVEST">#REF!</definedName>
    <definedName name="A_KEYWORD_ISSR_208011556_EBIT">#REF!</definedName>
    <definedName name="A_KEYWORD_ISSR_208011556_EBIT_FIN_SEGMENT">#REF!</definedName>
    <definedName name="A_KEYWORD_ISSR_208011556_EBITDA_CALC">#REF!</definedName>
    <definedName name="A_KEYWORD_ISSR_208011556_EMPLOYEES">#REF!</definedName>
    <definedName name="A_KEYWORD_ISSR_208011556_EQ">#REF!</definedName>
    <definedName name="A_KEYWORD_ISSR_208011556_ESO_PRE_TAX">#REF!</definedName>
    <definedName name="A_KEYWORD_ISSR_208011556_EXP_ALUMINIUM">#REF!</definedName>
    <definedName name="A_KEYWORD_ISSR_208011556_EXP_COPPER">#REF!</definedName>
    <definedName name="A_KEYWORD_ISSR_208011556_EXP_GLASS">#REF!</definedName>
    <definedName name="A_KEYWORD_ISSR_208011556_EXP_GOLD">#REF!</definedName>
    <definedName name="A_KEYWORD_ISSR_208011556_EXP_NICKEL">#REF!</definedName>
    <definedName name="A_KEYWORD_ISSR_208011556_EXP_OIL_DERIV_NGLS_PLASTICS">#REF!</definedName>
    <definedName name="A_KEYWORD_ISSR_208011556_EXP_OIL_PETRO_FUEL">#REF!</definedName>
    <definedName name="A_KEYWORD_ISSR_208011556_EXP_OTH_COMMODITY">#REF!</definedName>
    <definedName name="A_KEYWORD_ISSR_208011556_EXP_OTH_COST">#REF!</definedName>
    <definedName name="A_KEYWORD_ISSR_208011556_EXP_PALLADIUM">#REF!</definedName>
    <definedName name="A_KEYWORD_ISSR_208011556_EXP_PAPER_PULP">#REF!</definedName>
    <definedName name="A_KEYWORD_ISSR_208011556_EXP_PLATINUM">#REF!</definedName>
    <definedName name="A_KEYWORD_ISSR_208011556_EXP_SILVER">#REF!</definedName>
    <definedName name="A_KEYWORD_ISSR_208011556_EXP_WATER">#REF!</definedName>
    <definedName name="A_KEYWORD_ISSR_208011556_EXP_Company3050">#REF!</definedName>
    <definedName name="A_KEYWORD_ISSR_208011556_FIX_ASS_INV">#REF!</definedName>
    <definedName name="A_KEYWORD_ISSR_208011556_GCI_INFL">#REF!</definedName>
    <definedName name="A_KEYWORD_ISSR_208011556_GOODWILL_AMORT">#REF!</definedName>
    <definedName name="A_KEYWORD_ISSR_208011556_GR_FIX_ASS">#REF!</definedName>
    <definedName name="A_KEYWORD_ISSR_208011556_GR_INTANG">#REF!</definedName>
    <definedName name="A_KEYWORD_ISSR_208011556_INT_EXP_IND">#REF!</definedName>
    <definedName name="A_KEYWORD_ISSR_208011556_INT_INC_IND">#REF!</definedName>
    <definedName name="A_KEYWORD_ISSR_208011556_INV_SECUR">#REF!</definedName>
    <definedName name="A_KEYWORD_ISSR_208011556_Issuer_Name">#REF!</definedName>
    <definedName name="A_KEYWORD_ISSR_208011556_LEASE_DEEM_DEPR">#REF!</definedName>
    <definedName name="A_KEYWORD_ISSR_208011556_LEASE_DEEM_INT">#REF!</definedName>
    <definedName name="A_KEYWORD_ISSR_208011556_LEASE_PAY">#REF!</definedName>
    <definedName name="A_KEYWORD_ISSR_208011556_LT_DEBT">#REF!</definedName>
    <definedName name="A_KEYWORD_ISSR_208011556_MA_PROB">#REF!</definedName>
    <definedName name="A_KEYWORD_ISSR_208011556_MINORITIES">#REF!</definedName>
    <definedName name="A_KEYWORD_ISSR_208011556_MV_ASSOCIATES">#REF!</definedName>
    <definedName name="A_KEYWORD_ISSR_208011556_NET_DEBT">#REF!</definedName>
    <definedName name="A_KEYWORD_ISSR_208011556_NET_DEBT_ADJ">#REF!</definedName>
    <definedName name="A_KEYWORD_ISSR_208011556_NET_FIX_ASS">#REF!</definedName>
    <definedName name="A_KEYWORD_ISSR_208011556_NET_INT_CH">#REF!</definedName>
    <definedName name="A_KEYWORD_ISSR_208011556_NET_INT_EXP">#REF!</definedName>
    <definedName name="A_KEYWORD_ISSR_208011556_NET_INTANG">#REF!</definedName>
    <definedName name="A_KEYWORD_ISSR_208011556_NONPPE_CAPEX">#REF!</definedName>
    <definedName name="A_KEYWORD_ISSR_208011556_OP_COST">#REF!</definedName>
    <definedName name="A_KEYWORD_ISSR_208011556_ORD_SH_FUND">#REF!</definedName>
    <definedName name="A_KEYWORD_ISSR_208011556_OTH_COST_INC">#REF!</definedName>
    <definedName name="A_KEYWORD_ISSR_208011556_OTH_CUR_ASS">#REF!</definedName>
    <definedName name="A_KEYWORD_ISSR_208011556_OTH_CUR_LIABS">#REF!</definedName>
    <definedName name="A_KEYWORD_ISSR_208011556_OTH_DACF_ADJ">#REF!</definedName>
    <definedName name="A_KEYWORD_ISSR_208011556_OTH_FIN_CF">#REF!</definedName>
    <definedName name="A_KEYWORD_ISSR_208011556_OTH_GCI_ADJ">#REF!</definedName>
    <definedName name="A_KEYWORD_ISSR_208011556_OTH_INV_CF">#REF!</definedName>
    <definedName name="A_KEYWORD_ISSR_208011556_OTH_LT_ASS">#REF!</definedName>
    <definedName name="A_KEYWORD_ISSR_208011556_OTH_LT_CRED_GQ">#REF!</definedName>
    <definedName name="A_KEYWORD_ISSR_208011556_OTH_NONCASH_ADJ">#REF!</definedName>
    <definedName name="A_KEYWORD_ISSR_208011556_OTH_OP_CF">#REF!</definedName>
    <definedName name="A_KEYWORD_ISSR_208011556_OTH_OP_INC_EXP">#REF!</definedName>
    <definedName name="A_KEYWORD_ISSR_208011556_PERIOD_MILESTONE">#REF!</definedName>
    <definedName name="A_KEYWORD_ISSR_208011556_PL_SALE_ASSETS">#REF!</definedName>
    <definedName name="A_KEYWORD_ISSR_208011556_PREF_SH">#REF!</definedName>
    <definedName name="A_KEYWORD_ISSR_208011556_PROFIT_ON_DISP">#REF!</definedName>
    <definedName name="A_KEYWORD_ISSR_208011556_PT_PROF">#REF!</definedName>
    <definedName name="A_KEYWORD_ISSR_208011556_RD_EXP">#REF!</definedName>
    <definedName name="A_KEYWORD_ISSR_208011556_REV_FIN_SEGMENT">#REF!</definedName>
    <definedName name="A_KEYWORD_ISSR_208011556_SALES">#REF!</definedName>
    <definedName name="A_KEYWORD_ISSR_208011556_SALES_ARGENTINA">#REF!</definedName>
    <definedName name="A_KEYWORD_ISSR_208011556_SALES_BRAZIL">#REF!</definedName>
    <definedName name="A_KEYWORD_ISSR_208011556_SALES_CANADA">#REF!</definedName>
    <definedName name="A_KEYWORD_ISSR_208011556_SALES_CEE">#REF!</definedName>
    <definedName name="A_KEYWORD_ISSR_208011556_SALES_CHILE">#REF!</definedName>
    <definedName name="A_KEYWORD_ISSR_208011556_SALES_CHINA">#REF!</definedName>
    <definedName name="A_KEYWORD_ISSR_208011556_SALES_COLOMBIA">#REF!</definedName>
    <definedName name="A_KEYWORD_ISSR_208011556_SALES_CONS">#REF!</definedName>
    <definedName name="A_KEYWORD_ISSR_208011556_SALES_EU_EX_UK">#REF!</definedName>
    <definedName name="A_KEYWORD_ISSR_208011556_SALES_FINAN">#REF!</definedName>
    <definedName name="A_KEYWORD_ISSR_208011556_SALES_FX_ARS">#REF!</definedName>
    <definedName name="A_KEYWORD_ISSR_208011556_SALES_FX_BRL">#REF!</definedName>
    <definedName name="A_KEYWORD_ISSR_208011556_SALES_FX_CAD">#REF!</definedName>
    <definedName name="A_KEYWORD_ISSR_208011556_SALES_FX_CLP">#REF!</definedName>
    <definedName name="A_KEYWORD_ISSR_208011556_SALES_FX_CNY">#REF!</definedName>
    <definedName name="A_KEYWORD_ISSR_208011556_SALES_FX_COP">#REF!</definedName>
    <definedName name="A_KEYWORD_ISSR_208011556_SALES_FX_EUR">#REF!</definedName>
    <definedName name="A_KEYWORD_ISSR_208011556_SALES_FX_GPB">#REF!</definedName>
    <definedName name="A_KEYWORD_ISSR_208011556_SALES_FX_INR">#REF!</definedName>
    <definedName name="A_KEYWORD_ISSR_208011556_SALES_FX_MXN">#REF!</definedName>
    <definedName name="A_KEYWORD_ISSR_208011556_SALES_FX_OTH">#REF!</definedName>
    <definedName name="A_KEYWORD_ISSR_208011556_SALES_FX_RUB">#REF!</definedName>
    <definedName name="A_KEYWORD_ISSR_208011556_SALES_FX_USD">#REF!</definedName>
    <definedName name="A_KEYWORD_ISSR_208011556_SALES_FX_VEF">#REF!</definedName>
    <definedName name="A_KEYWORD_ISSR_208011556_SALES_FX_YEN">#REF!</definedName>
    <definedName name="A_KEYWORD_ISSR_208011556_SALES_GOV">#REF!</definedName>
    <definedName name="A_KEYWORD_ISSR_208011556_SALES_IND">#REF!</definedName>
    <definedName name="A_KEYWORD_ISSR_208011556_SALES_INDIA">#REF!</definedName>
    <definedName name="A_KEYWORD_ISSR_208011556_SALES_JAPAN">#REF!</definedName>
    <definedName name="A_KEYWORD_ISSR_208011556_SALES_ME">#REF!</definedName>
    <definedName name="A_KEYWORD_ISSR_208011556_SALES_MEXICO">#REF!</definedName>
    <definedName name="A_KEYWORD_ISSR_208011556_SALES_OTH_AEJ">#REF!</definedName>
    <definedName name="A_KEYWORD_ISSR_208011556_SALES_OTH_AM">#REF!</definedName>
    <definedName name="A_KEYWORD_ISSR_208011556_SALES_OTH_EMEA">#REF!</definedName>
    <definedName name="A_KEYWORD_ISSR_208011556_SALES_OTHER">#REF!</definedName>
    <definedName name="A_KEYWORD_ISSR_208011556_SALES_RUSSIA">#REF!</definedName>
    <definedName name="A_KEYWORD_ISSR_208011556_SALES_SMB">#REF!</definedName>
    <definedName name="A_KEYWORD_ISSR_208011556_SALES_TOT_AFRICA">#REF!</definedName>
    <definedName name="A_KEYWORD_ISSR_208011556_SALES_TOT_AM">#REF!</definedName>
    <definedName name="A_KEYWORD_ISSR_208011556_SALES_TOT_ASIA">#REF!</definedName>
    <definedName name="A_KEYWORD_ISSR_208011556_SALES_TOT_EMEA">#REF!</definedName>
    <definedName name="A_KEYWORD_ISSR_208011556_SALES_UK">#REF!</definedName>
    <definedName name="A_KEYWORD_ISSR_208011556_SALES_US">#REF!</definedName>
    <definedName name="A_KEYWORD_ISSR_208011556_SALES_VENEZUELA">#REF!</definedName>
    <definedName name="A_KEYWORD_ISSR_208011556_SEL_GL_AD">#REF!</definedName>
    <definedName name="A_KEYWORD_ISSR_208011556_SH_REPUR">#REF!</definedName>
    <definedName name="A_KEYWORD_ISSR_208011556_SHORT_T_DEBT">#REF!</definedName>
    <definedName name="A_KEYWORD_ISSR_208011556_SHORT_TERM_LIABS">#REF!</definedName>
    <definedName name="A_KEYWORD_ISSR_208011556_STOCKS">#REF!</definedName>
    <definedName name="A_KEYWORD_ISSR_208011556_TOT_ASSET">#REF!</definedName>
    <definedName name="A_KEYWORD_ISSR_208011556_TOT_CF">#REF!</definedName>
    <definedName name="A_KEYWORD_ISSR_208011556_TOT_LIAB">#REF!</definedName>
    <definedName name="A_KEYWORD_ISSR_208011556_TOT_LIAB_EQ">#REF!</definedName>
    <definedName name="A_KEYWORD_ISSR_208011556_TOT_LT_LIAB">#REF!</definedName>
    <definedName name="A_KEYWORD_ISSR_208011556_TOT_OPS_EXP">#REF!</definedName>
    <definedName name="A_KEYWORD_ISSR_208011556_TOT_OPS_EXP_DDA">#REF!</definedName>
    <definedName name="A_KEYWORD_ISSR_208011556_UNF_PENS">#REF!</definedName>
    <definedName name="A_KEYWORD_ISSR_208011556_UNF_PENS_LIAB_OTH">#REF!</definedName>
    <definedName name="A_KEYWORD_ISSR_208011556_UNF_PENS_OFF">#REF!</definedName>
    <definedName name="A_KEYWORD_ISSR_208011556_WORK_CAP">#REF!</definedName>
    <definedName name="A_LIVEDATA_EQTY_200001646">#REF!</definedName>
    <definedName name="A_LIVEDATA_EQTY_200002831">#REF!</definedName>
    <definedName name="A_LIVEDATA_EQTY_200004419">#REF!</definedName>
    <definedName name="A_LIVEDATA_EQTY_200012762">#REF!</definedName>
    <definedName name="A_LIVEDATA_EQTY_200014750">#REF!</definedName>
    <definedName name="A_LIVEDATA_ISSR_208000603">#REF!</definedName>
    <definedName name="A_LIVEDATA_ISSR_208000976">#REF!</definedName>
    <definedName name="A_LIVEDATA_ISSR_208001258">#REF!</definedName>
    <definedName name="A_LIVEDATA_ISSR_208009722">#REF!</definedName>
    <definedName name="A_LIVEDATA_ISSR_208011556">#REF!</definedName>
    <definedName name="A_NOM">#REF!,#REF!,#REF!,#REF!,#REF!,#REF!</definedName>
    <definedName name="A_PERIOD_2002">#REF!</definedName>
    <definedName name="A_PERIOD_2003">#REF!</definedName>
    <definedName name="A_PERIOD_2003_Q1">#REF!</definedName>
    <definedName name="A_PERIOD_2003_Q2">#REF!</definedName>
    <definedName name="A_PERIOD_2003_Q3">#REF!</definedName>
    <definedName name="A_PERIOD_2003_Q4">#REF!</definedName>
    <definedName name="A_PERIOD_2004">#REF!</definedName>
    <definedName name="A_PERIOD_2004_Q1">#REF!</definedName>
    <definedName name="A_PERIOD_2004_Q2">#REF!</definedName>
    <definedName name="A_PERIOD_2004_Q3">#REF!</definedName>
    <definedName name="A_PERIOD_2004_Q4">#REF!</definedName>
    <definedName name="A_PERIOD_2005">#REF!</definedName>
    <definedName name="A_PERIOD_2005_Q1">#REF!</definedName>
    <definedName name="A_PERIOD_2005_Q2">#REF!</definedName>
    <definedName name="A_PERIOD_2005_Q3">#REF!</definedName>
    <definedName name="A_PERIOD_2005_Q4">#REF!</definedName>
    <definedName name="A_PERIOD_2006_Q1">#REF!</definedName>
    <definedName name="A_PERIOD_2006_Q2">#REF!</definedName>
    <definedName name="A_PERIOD_2006_Q3">#REF!</definedName>
    <definedName name="A_PERIOD_2006_Q4">#REF!</definedName>
    <definedName name="A_SECTION_EQTY_200001646_1314">#REF!</definedName>
    <definedName name="A_SECTION_EQTY_200001646_1319">#REF!</definedName>
    <definedName name="A_SECTION_EQTY_200001646_131E">#REF!</definedName>
    <definedName name="A_SECTION_EQTY_200001646_131O">#REF!</definedName>
    <definedName name="A_SECTION_EQTY_200001646_131P">#REF!</definedName>
    <definedName name="A_SECTION_EQTY_200001646_13A">#REF!</definedName>
    <definedName name="A_SECTION_EQTY_200001646_13K">#REF!</definedName>
    <definedName name="A_SECTION_EQTY_200001646_13U">#REF!</definedName>
    <definedName name="A_SECTION_EQTY_200001646_13V">#REF!</definedName>
    <definedName name="A_SECTION_EQTY_200001646_13W">#REF!</definedName>
    <definedName name="A_SECTION_EQTY_200001646_Reference_Data">#REF!</definedName>
    <definedName name="A_SECTION_EQTY_200002831_1314">#REF!</definedName>
    <definedName name="A_SECTION_EQTY_200002831_1319">#REF!</definedName>
    <definedName name="A_SECTION_EQTY_200002831_131E">#REF!</definedName>
    <definedName name="A_SECTION_EQTY_200002831_131O">#REF!</definedName>
    <definedName name="A_SECTION_EQTY_200002831_13A">#REF!</definedName>
    <definedName name="A_SECTION_EQTY_200002831_13K">#REF!</definedName>
    <definedName name="A_SECTION_EQTY_200002831_13U">#REF!</definedName>
    <definedName name="A_SECTION_EQTY_200002831_13V">#REF!</definedName>
    <definedName name="A_SECTION_EQTY_200002831_13W">#REF!</definedName>
    <definedName name="A_SECTION_EQTY_200002831_Reference_Data">#REF!</definedName>
    <definedName name="A_SECTION_EQTY_200004419_1314">#REF!</definedName>
    <definedName name="A_SECTION_EQTY_200004419_1319">#REF!</definedName>
    <definedName name="A_SECTION_EQTY_200004419_131E">#REF!</definedName>
    <definedName name="A_SECTION_EQTY_200004419_131O">#REF!</definedName>
    <definedName name="A_SECTION_EQTY_200004419_13A">#REF!</definedName>
    <definedName name="A_SECTION_EQTY_200004419_13K">#REF!</definedName>
    <definedName name="A_SECTION_EQTY_200004419_13U">#REF!</definedName>
    <definedName name="A_SECTION_EQTY_200004419_13V">#REF!</definedName>
    <definedName name="A_SECTION_EQTY_200004419_13W">#REF!</definedName>
    <definedName name="A_SECTION_EQTY_200004419_Reference_Data">#REF!</definedName>
    <definedName name="A_SECTION_EQTY_200012762_1314">#REF!</definedName>
    <definedName name="A_SECTION_EQTY_200012762_1319">#REF!</definedName>
    <definedName name="A_SECTION_EQTY_200012762_131E">#REF!</definedName>
    <definedName name="A_SECTION_EQTY_200012762_131O">#REF!</definedName>
    <definedName name="A_SECTION_EQTY_200012762_13A">#REF!</definedName>
    <definedName name="A_SECTION_EQTY_200012762_13K">#REF!</definedName>
    <definedName name="A_SECTION_EQTY_200012762_13U">#REF!</definedName>
    <definedName name="A_SECTION_EQTY_200012762_13V">#REF!</definedName>
    <definedName name="A_SECTION_EQTY_200012762_13W">#REF!</definedName>
    <definedName name="A_SECTION_EQTY_200012762_Reference_Data">#REF!</definedName>
    <definedName name="A_SECTION_EQTY_200014750_1314">#REF!</definedName>
    <definedName name="A_SECTION_EQTY_200014750_1319">#REF!</definedName>
    <definedName name="A_SECTION_EQTY_200014750_131E">#REF!</definedName>
    <definedName name="A_SECTION_EQTY_200014750_131O">#REF!</definedName>
    <definedName name="A_SECTION_EQTY_200014750_13A">#REF!</definedName>
    <definedName name="A_SECTION_EQTY_200014750_13K">#REF!</definedName>
    <definedName name="A_SECTION_EQTY_200014750_13U">#REF!</definedName>
    <definedName name="A_SECTION_EQTY_200014750_13V">#REF!</definedName>
    <definedName name="A_SECTION_EQTY_200014750_13W">#REF!</definedName>
    <definedName name="A_SECTION_EQTY_200014750_Reference_Data">#REF!</definedName>
    <definedName name="A_SECTION_ISSR_208000603_1314">#REF!</definedName>
    <definedName name="A_SECTION_ISSR_208000603_13168">#REF!</definedName>
    <definedName name="A_SECTION_ISSR_208000603_1319">#REF!</definedName>
    <definedName name="A_SECTION_ISSR_208000603_131E">#REF!</definedName>
    <definedName name="A_SECTION_ISSR_208000603_131J">#REF!</definedName>
    <definedName name="A_SECTION_ISSR_208000603_131O">#REF!</definedName>
    <definedName name="A_SECTION_ISSR_208000603_131P">#REF!</definedName>
    <definedName name="A_SECTION_ISSR_208000603_13A">#REF!</definedName>
    <definedName name="A_SECTION_ISSR_208000603_13U">#REF!</definedName>
    <definedName name="A_SECTION_ISSR_208000603_13V">#REF!</definedName>
    <definedName name="A_SECTION_ISSR_208000603_Reference_Data">#REF!</definedName>
    <definedName name="A_SECTION_ISSR_208000976_1314">#REF!</definedName>
    <definedName name="A_SECTION_ISSR_208000976_13168">#REF!</definedName>
    <definedName name="A_SECTION_ISSR_208000976_1316T">#REF!</definedName>
    <definedName name="A_SECTION_ISSR_208000976_1316U">#REF!</definedName>
    <definedName name="A_SECTION_ISSR_208000976_1319">#REF!</definedName>
    <definedName name="A_SECTION_ISSR_208000976_131E">#REF!</definedName>
    <definedName name="A_SECTION_ISSR_208000976_131J">#REF!</definedName>
    <definedName name="A_SECTION_ISSR_208000976_131O">#REF!</definedName>
    <definedName name="A_SECTION_ISSR_208000976_13A">#REF!</definedName>
    <definedName name="A_SECTION_ISSR_208000976_13U">#REF!</definedName>
    <definedName name="A_SECTION_ISSR_208000976_13V">#REF!</definedName>
    <definedName name="A_SECTION_ISSR_208000976_Reference_Data">#REF!</definedName>
    <definedName name="A_SECTION_ISSR_208001258_1314">#REF!</definedName>
    <definedName name="A_SECTION_ISSR_208001258_13168">#REF!</definedName>
    <definedName name="A_SECTION_ISSR_208001258_1316T">#REF!</definedName>
    <definedName name="A_SECTION_ISSR_208001258_1316U">#REF!</definedName>
    <definedName name="A_SECTION_ISSR_208001258_1319">#REF!</definedName>
    <definedName name="A_SECTION_ISSR_208001258_131E">#REF!</definedName>
    <definedName name="A_SECTION_ISSR_208001258_131J">#REF!</definedName>
    <definedName name="A_SECTION_ISSR_208001258_131O">#REF!</definedName>
    <definedName name="A_SECTION_ISSR_208001258_13A">#REF!</definedName>
    <definedName name="A_SECTION_ISSR_208001258_13U">#REF!</definedName>
    <definedName name="A_SECTION_ISSR_208001258_13V">#REF!</definedName>
    <definedName name="A_SECTION_ISSR_208001258_Reference_Data">#REF!</definedName>
    <definedName name="A_SECTION_ISSR_208009722_1314">#REF!</definedName>
    <definedName name="A_SECTION_ISSR_208009722_13168">#REF!</definedName>
    <definedName name="A_SECTION_ISSR_208009722_1319">#REF!</definedName>
    <definedName name="A_SECTION_ISSR_208009722_131E">#REF!</definedName>
    <definedName name="A_SECTION_ISSR_208009722_131J">#REF!</definedName>
    <definedName name="A_SECTION_ISSR_208009722_131O">#REF!</definedName>
    <definedName name="A_SECTION_ISSR_208009722_13A">#REF!</definedName>
    <definedName name="A_SECTION_ISSR_208009722_13U">#REF!</definedName>
    <definedName name="A_SECTION_ISSR_208009722_13V">#REF!</definedName>
    <definedName name="A_SECTION_ISSR_208009722_Reference_Data">#REF!</definedName>
    <definedName name="A_SECTION_ISSR_208011556_1314">#REF!</definedName>
    <definedName name="A_SECTION_ISSR_208011556_13168">#REF!</definedName>
    <definedName name="A_SECTION_ISSR_208011556_1316T">#REF!</definedName>
    <definedName name="A_SECTION_ISSR_208011556_1316U">#REF!</definedName>
    <definedName name="A_SECTION_ISSR_208011556_1319">#REF!</definedName>
    <definedName name="A_SECTION_ISSR_208011556_131E">#REF!</definedName>
    <definedName name="A_SECTION_ISSR_208011556_131J">#REF!</definedName>
    <definedName name="A_SECTION_ISSR_208011556_131O">#REF!</definedName>
    <definedName name="A_SECTION_ISSR_208011556_13A">#REF!</definedName>
    <definedName name="A_SECTION_ISSR_208011556_13U">#REF!</definedName>
    <definedName name="A_SECTION_ISSR_208011556_13V">#REF!</definedName>
    <definedName name="A_SECTION_ISSR_208011556_Reference_Data">#REF!</definedName>
    <definedName name="aa">#REF!</definedName>
    <definedName name="AA_Print_9596Comps">#REF!</definedName>
    <definedName name="aaa">#REF!</definedName>
    <definedName name="AAA_Person0283" hidden="1">"AAA_SET"</definedName>
    <definedName name="AAA_duser" hidden="1">"OFF"</definedName>
    <definedName name="aaaaaaaaaaaaa" hidden="1">{"'Standalone List Price Trends'!$A$1:$X$56"}</definedName>
    <definedName name="AAB_Addin5" hidden="1">"AAB_Description for addin 5,Description for addin 5,Description for addin 5,Description for addin 5,Description for addin 5,Description for addin 5"</definedName>
    <definedName name="AAB_GSPPG" hidden="1">"AAB_Company1150 Company2104 Chart Utilities 1.0g"</definedName>
    <definedName name="Person0042">#REF!</definedName>
    <definedName name="ab">#REF!</definedName>
    <definedName name="ABB_Ltd">#REF!</definedName>
    <definedName name="abc">#REF!</definedName>
    <definedName name="abprice">OFFSET(#REF!,0,0,COUNTA(#REF!),1)</definedName>
    <definedName name="Absolute">OFFSET(#REF!,0,0,COUNTA(#REF!),1)</definedName>
    <definedName name="ac">#REF!</definedName>
    <definedName name="Acc_payable">#REF!</definedName>
    <definedName name="Acc_payable_growth_fore">#REF!</definedName>
    <definedName name="Acc_Rec">#REF!</definedName>
    <definedName name="Acc_Rec_growth_fore">#REF!</definedName>
    <definedName name="Acc_Rec_turns">#REF!</definedName>
    <definedName name="AccessDatabase" hidden="1">"C:\redacted\elyval.mdb"</definedName>
    <definedName name="Accounts_Receivable">#REF!</definedName>
    <definedName name="Accrued_compensation">#REF!</definedName>
    <definedName name="Accrued_compensation_growth_fore">#REF!</definedName>
    <definedName name="Accrued_expenses">#REF!</definedName>
    <definedName name="Accrued_expenses_growth_fore">#REF!</definedName>
    <definedName name="Accum_Cap_Expenses">#REF!</definedName>
    <definedName name="Accum_Cap_Expenses_growth_fore">#REF!</definedName>
    <definedName name="Accum_Goodwill_Amort">#REF!</definedName>
    <definedName name="Accum_Goodwill_Amort_growth_fore">#REF!</definedName>
    <definedName name="Accum_Other_Amort.">#REF!</definedName>
    <definedName name="accumulated_depn_end">#REF!</definedName>
    <definedName name="Acquisitions_NonCash">#REF!</definedName>
    <definedName name="active_flag">#REF!</definedName>
    <definedName name="ad">#REF!</definedName>
    <definedName name="Ad_Rate__Cost_per_millions___CPM__Assumptions">#REF!</definedName>
    <definedName name="Ad_revEuro97">#REF!</definedName>
    <definedName name="Ad_revEuro98">#REF!</definedName>
    <definedName name="Ad_revs96">#REF!</definedName>
    <definedName name="Ad_revs97">#REF!</definedName>
    <definedName name="Ad_revs98">#REF!</definedName>
    <definedName name="adctavg">#REF!</definedName>
    <definedName name="adctavgffq">#REF!</definedName>
    <definedName name="adctchg">#REF!</definedName>
    <definedName name="adctcurr">#REF!</definedName>
    <definedName name="adctcurrffq">#REF!</definedName>
    <definedName name="adctpegrelavg">#REF!</definedName>
    <definedName name="adctpegrelcurr">#REF!</definedName>
    <definedName name="adctpegrowthavg">#REF!</definedName>
    <definedName name="adctpegrowthcurr">#REF!</definedName>
    <definedName name="adctshares">#REF!</definedName>
    <definedName name="Company0028">#REF!</definedName>
    <definedName name="adj_asset">#REF!</definedName>
    <definedName name="Adj_net_oper_fore">#REF!</definedName>
    <definedName name="AdjEPS1999">#REF!</definedName>
    <definedName name="AdjEPS2000">#REF!</definedName>
    <definedName name="AdjEPS2001">#REF!</definedName>
    <definedName name="AdjEPS2002">#REF!</definedName>
    <definedName name="Adjusted_Common_Equity">#REF!</definedName>
    <definedName name="Adjusted_EBIT">#REF!</definedName>
    <definedName name="Adjusted_EBITDA">#REF!</definedName>
    <definedName name="Adjusted_EPS">#REF!</definedName>
    <definedName name="Adjusted_Income_Available_to_Common">#REF!</definedName>
    <definedName name="Adjusted_Net_Operating_Profit">#REF!</definedName>
    <definedName name="Adjusted_Net_Operating_ProfitA">#REF!</definedName>
    <definedName name="adjustedev">#REF!</definedName>
    <definedName name="adjustednetdebt">#REF!</definedName>
    <definedName name="AdMktShare00">#REF!</definedName>
    <definedName name="AdMktShare01">#REF!</definedName>
    <definedName name="AdMktShare02">#REF!</definedName>
    <definedName name="AdMktShare03">#REF!</definedName>
    <definedName name="AdMktShare96">#REF!</definedName>
    <definedName name="AdMktShare97">#REF!</definedName>
    <definedName name="AdMktShare98">#REF!</definedName>
    <definedName name="AdMktShare99">#REF!</definedName>
    <definedName name="Company0029_1MO">#REF!</definedName>
    <definedName name="ADR">#REF!</definedName>
    <definedName name="Adrevgrowth00">#REF!</definedName>
    <definedName name="Adrevgrowth01">#REF!</definedName>
    <definedName name="Adrevgrowth97">#REF!</definedName>
    <definedName name="Adrevgrowth98">#REF!</definedName>
    <definedName name="Adrevgrowth99">#REF!</definedName>
    <definedName name="adtnfy1cons">#REF!</definedName>
    <definedName name="adtnfy2cons">#REF!</definedName>
    <definedName name="adtnhi">#REF!</definedName>
    <definedName name="adtnlow">#REF!</definedName>
    <definedName name="adtnpegrowthavg">#REF!</definedName>
    <definedName name="adtnpegrowthcurr">#REF!</definedName>
    <definedName name="adtnpegrowthhi">#REF!</definedName>
    <definedName name="adtnpegrowthlow">#REF!</definedName>
    <definedName name="adtnprice">#REF!</definedName>
    <definedName name="adtnshares">#REF!</definedName>
    <definedName name="adtnttmavg">#REF!</definedName>
    <definedName name="adtnttmcurr">#REF!</definedName>
    <definedName name="adtnttmhi">#REF!</definedName>
    <definedName name="adtnttmlow">#REF!</definedName>
    <definedName name="adtnttmrelavg">#REF!</definedName>
    <definedName name="adtnttmrelcurr">#REF!</definedName>
    <definedName name="adtnttmrelhi">#REF!</definedName>
    <definedName name="adtnttmrellow">#REF!</definedName>
    <definedName name="AdvMktShare">#REF!</definedName>
    <definedName name="AdvRev">#REF!</definedName>
    <definedName name="AdvRevGrowth">#REF!</definedName>
    <definedName name="afciavg">#REF!</definedName>
    <definedName name="afciavgffq">#REF!</definedName>
    <definedName name="afcichg">#REF!</definedName>
    <definedName name="afcicurr">#REF!</definedName>
    <definedName name="afcicurrffq">#REF!</definedName>
    <definedName name="afcipegrelavg">#REF!</definedName>
    <definedName name="afcipegrelcurr">#REF!</definedName>
    <definedName name="afcipegrowthavg">#REF!</definedName>
    <definedName name="afcipegrowthcurr">#REF!</definedName>
    <definedName name="afcishares">#REF!</definedName>
    <definedName name="After_tax_charge">#REF!</definedName>
    <definedName name="After_Tax_charges_gains">#REF!</definedName>
    <definedName name="AGE">#REF!</definedName>
    <definedName name="AGERev">#REF!</definedName>
    <definedName name="AGESeq.">#REF!</definedName>
    <definedName name="ahdkh" hidden="1">{"Annual_Income",#N/A,FALSE,"Report Page";"Balance_Cash_Flow",#N/A,FALSE,"Report Page";"Quarterly_Income",#N/A,FALSE,"Report Page"}</definedName>
    <definedName name="AJHFkjDGHF" localSheetId="2" hidden="1">{"Annual_Income",#N/A,FALSE,"Report Page";"Balance_Cash_Flow",#N/A,FALSE,"Report Page";"Quarterly_Income",#N/A,FALSE,"Report Page"}</definedName>
    <definedName name="AJHFkjDGHF" hidden="1">{"Annual_Income",#N/A,FALSE,"Report Page";"Balance_Cash_Flow",#N/A,FALSE,"Report Page";"Quarterly_Income",#N/A,FALSE,"Report Page"}</definedName>
    <definedName name="AL_email">"person@example.com"</definedName>
    <definedName name="AL_phone">"(XXX) XXX-XXXX"</definedName>
    <definedName name="alaavg">#REF!</definedName>
    <definedName name="alaavgffq">#REF!</definedName>
    <definedName name="alachg">#REF!</definedName>
    <definedName name="alacurr">#REF!</definedName>
    <definedName name="alacurrffq">#REF!</definedName>
    <definedName name="alapegrelavg">#REF!</definedName>
    <definedName name="alapegrelcurr">#REF!</definedName>
    <definedName name="alapegrowthavg">#REF!</definedName>
    <definedName name="alapegrowthcurr">#REF!</definedName>
    <definedName name="Company0209">#REF!</definedName>
    <definedName name="alkprice">#REF!</definedName>
    <definedName name="All_00_PS">#REF!</definedName>
    <definedName name="All_00_Rev">#REF!</definedName>
    <definedName name="All_97_PS">#REF!</definedName>
    <definedName name="All_97_Rev">#REF!</definedName>
    <definedName name="All_98_PS">#REF!</definedName>
    <definedName name="All_98_Rev">#REF!</definedName>
    <definedName name="All_99_PS">#REF!</definedName>
    <definedName name="All_99_Rev">#REF!</definedName>
    <definedName name="All_EPS_00">#REF!</definedName>
    <definedName name="All_EPS_98">#REF!</definedName>
    <definedName name="All_EPS_99">#REF!</definedName>
    <definedName name="All_Metric">OFFSET(#REF!,0,0,COUNTA(#REF!)-1,2)</definedName>
    <definedName name="All_Mkt_Cap">#REF!</definedName>
    <definedName name="All_Off_High">#REF!</definedName>
    <definedName name="ALL_STATEMENTS">#REF!</definedName>
    <definedName name="All_Stocks">#REF!</definedName>
    <definedName name="alsk_is">#REF!</definedName>
    <definedName name="Company0225">#REF!</definedName>
    <definedName name="Americas_License_Revenue">#REF!</definedName>
    <definedName name="amort">#REF!</definedName>
    <definedName name="Amort96">#REF!</definedName>
    <definedName name="Amortisation_pension_actuarial_gain_loss">#REF!</definedName>
    <definedName name="Amortization">#REF!</definedName>
    <definedName name="Amortization_Of_Intangible_Assets">#REF!</definedName>
    <definedName name="Amount_Spent_Share_Repurchase">#REF!</definedName>
    <definedName name="ampavg">#REF!</definedName>
    <definedName name="ampchg">#REF!</definedName>
    <definedName name="ampcrpe">#REF!</definedName>
    <definedName name="ampcurr">#REF!</definedName>
    <definedName name="ampdate">#REF!</definedName>
    <definedName name="ampdown">#REF!</definedName>
    <definedName name="ampdownsup">#REF!</definedName>
    <definedName name="ampevebitda">#REF!</definedName>
    <definedName name="ampfy1cons">#REF!</definedName>
    <definedName name="ampfy2cons">#REF!</definedName>
    <definedName name="amphi">#REF!</definedName>
    <definedName name="amphilo">#REF!</definedName>
    <definedName name="amplo">#REF!</definedName>
    <definedName name="ampmktcap">#REF!</definedName>
    <definedName name="amppegrowthavg">#REF!</definedName>
    <definedName name="amppegrowthcurr">#REF!</definedName>
    <definedName name="amppegrowthmax">#REF!</definedName>
    <definedName name="amppegrowthmin">#REF!</definedName>
    <definedName name="ampperelavg">#REF!</definedName>
    <definedName name="ampperelcurr">#REF!</definedName>
    <definedName name="ampprice">#REF!</definedName>
    <definedName name="ampqv">#REF!</definedName>
    <definedName name="amprating">#REF!</definedName>
    <definedName name="amprpe">#REF!</definedName>
    <definedName name="ampshares">#REF!</definedName>
    <definedName name="amptech">#REF!</definedName>
    <definedName name="amptprice">#REF!</definedName>
    <definedName name="ampttmavg">#REF!</definedName>
    <definedName name="ampttmcurr">#REF!</definedName>
    <definedName name="ampttmhi">#REF!</definedName>
    <definedName name="ampttmlo">#REF!</definedName>
    <definedName name="ampttmrelavg">#REF!</definedName>
    <definedName name="ampttmrelcurr">#REF!</definedName>
    <definedName name="ampttmrelhi">#REF!</definedName>
    <definedName name="ampttmrello">#REF!</definedName>
    <definedName name="ampup">#REF!</definedName>
    <definedName name="ampupsup">#REF!</definedName>
    <definedName name="ampvol">#REF!</definedName>
    <definedName name="ampyield">#REF!</definedName>
    <definedName name="amrprice">#REF!</definedName>
    <definedName name="amrshares">#REF!</definedName>
    <definedName name="Company0235">#REF!</definedName>
    <definedName name="and" hidden="1">{"fax (BS)",#N/A,FALSE,"BS";"fax (CF)",#N/A,FALSE,"CF";"fax (seg)",#N/A,FALSE,"Seg";"fax (telecomm)",#N/A,FALSE,"telecomm";"fax (infodisplay)",#N/A,FALSE,"infodisplay";"fax (am)",#N/A,FALSE,"AM";"fax (is)",#N/A,FALSE,"IS"}</definedName>
    <definedName name="anicavg">#REF!</definedName>
    <definedName name="anicchg">#REF!</definedName>
    <definedName name="aniccrpe">#REF!</definedName>
    <definedName name="aniccurr">#REF!</definedName>
    <definedName name="anicdate">#REF!</definedName>
    <definedName name="anicdown">#REF!</definedName>
    <definedName name="anicdownsup">#REF!</definedName>
    <definedName name="aniceps98">#REF!</definedName>
    <definedName name="aniceps99">#REF!</definedName>
    <definedName name="anicfy1cons">#REF!</definedName>
    <definedName name="anicfy2cons">#REF!</definedName>
    <definedName name="anichi">#REF!</definedName>
    <definedName name="anichilo">#REF!</definedName>
    <definedName name="aniclow">#REF!</definedName>
    <definedName name="anicmktcap">#REF!</definedName>
    <definedName name="anicpegrowth">#REF!</definedName>
    <definedName name="anicpegrowthavg">#REF!</definedName>
    <definedName name="anicpegrowthcurr">#REF!</definedName>
    <definedName name="anicpegrowthhi">#REF!</definedName>
    <definedName name="anicpegrowthlow">#REF!</definedName>
    <definedName name="anicprice">#REF!</definedName>
    <definedName name="anicrpe">#REF!</definedName>
    <definedName name="anicshares">#REF!</definedName>
    <definedName name="anictprice">#REF!</definedName>
    <definedName name="anicttmavg">#REF!</definedName>
    <definedName name="anicttmcurr">#REF!</definedName>
    <definedName name="anicttmhi">#REF!</definedName>
    <definedName name="anicttmlow">#REF!</definedName>
    <definedName name="anicttmrelavg">#REF!</definedName>
    <definedName name="anicttmrelcurr">#REF!</definedName>
    <definedName name="anicttmrelhi">#REF!</definedName>
    <definedName name="anicttmrellow">#REF!</definedName>
    <definedName name="anicup">#REF!</definedName>
    <definedName name="anicupsup">#REF!</definedName>
    <definedName name="anicvol">#REF!</definedName>
    <definedName name="anicyield">#REF!</definedName>
    <definedName name="Ann_revenue">#REF!</definedName>
    <definedName name="ANNHIGH">#REF!</definedName>
    <definedName name="ANNLOW">#REF!</definedName>
    <definedName name="ANNUAL">#REF!</definedName>
    <definedName name="anscount" hidden="1">1</definedName>
    <definedName name="antcavg">#REF!</definedName>
    <definedName name="antcavgffq">#REF!</definedName>
    <definedName name="antcchg">#REF!</definedName>
    <definedName name="antccurr">#REF!</definedName>
    <definedName name="antccurrffq">#REF!</definedName>
    <definedName name="antcpegrelavg">#REF!</definedName>
    <definedName name="antcpegrelcurr">#REF!</definedName>
    <definedName name="antcpegrowthavg">#REF!</definedName>
    <definedName name="antcpegrowthcurr">#REF!</definedName>
    <definedName name="aomnc" hidden="1">{"fax (BS)",#N/A,FALSE,"BS";"fax (CF)",#N/A,FALSE,"CF";"fax (seg)",#N/A,FALSE,"Seg";"fax (telecomm)",#N/A,FALSE,"telecomm";"fax (infodisplay)",#N/A,FALSE,"infodisplay";"fax (am)",#N/A,FALSE,"AM";"fax (is)",#N/A,FALSE,"IS"}</definedName>
    <definedName name="AP">#REF!</definedName>
    <definedName name="apccavg">#REF!</definedName>
    <definedName name="apccchg">#REF!</definedName>
    <definedName name="apcccrpe">#REF!</definedName>
    <definedName name="apcccurr">#REF!</definedName>
    <definedName name="apccdate">#REF!</definedName>
    <definedName name="apccdown">#REF!</definedName>
    <definedName name="apccdownsup">#REF!</definedName>
    <definedName name="apccfy1cons">#REF!</definedName>
    <definedName name="apccfy2cons">#REF!</definedName>
    <definedName name="apcchi">#REF!</definedName>
    <definedName name="apcchilo">#REF!</definedName>
    <definedName name="apcclow">#REF!</definedName>
    <definedName name="apccmktcap">#REF!</definedName>
    <definedName name="apccpegrowthavg">#REF!</definedName>
    <definedName name="apccpegrowthcurr">#REF!</definedName>
    <definedName name="apccpegrowthhi">#REF!</definedName>
    <definedName name="apccpegrowthlow">#REF!</definedName>
    <definedName name="apccprice">#REF!</definedName>
    <definedName name="apccrpe">#REF!</definedName>
    <definedName name="apccshares">#REF!</definedName>
    <definedName name="apcctprice">#REF!</definedName>
    <definedName name="apccttmavg">#REF!</definedName>
    <definedName name="apccttmcurr">#REF!</definedName>
    <definedName name="apccttmhi">#REF!</definedName>
    <definedName name="apccttmlow">#REF!</definedName>
    <definedName name="apccttmrelavg">#REF!</definedName>
    <definedName name="apccttmrelcurr">#REF!</definedName>
    <definedName name="apccttmrelhi">#REF!</definedName>
    <definedName name="apccttmrellow">#REF!</definedName>
    <definedName name="apccup">#REF!</definedName>
    <definedName name="apccupsup">#REF!</definedName>
    <definedName name="apccurr">#REF!</definedName>
    <definedName name="apccvol">#REF!</definedName>
    <definedName name="apccyield">#REF!</definedName>
    <definedName name="aphavg">#REF!</definedName>
    <definedName name="aphchg">#REF!</definedName>
    <definedName name="aphcrpe">#REF!</definedName>
    <definedName name="aphcurr">#REF!</definedName>
    <definedName name="aphdate">#REF!</definedName>
    <definedName name="aphdown">#REF!</definedName>
    <definedName name="aphdownsup">#REF!</definedName>
    <definedName name="aphfy1cons">#REF!</definedName>
    <definedName name="aphfy2cons">#REF!</definedName>
    <definedName name="aphhi">#REF!</definedName>
    <definedName name="aphhilo">#REF!</definedName>
    <definedName name="aphlow">#REF!</definedName>
    <definedName name="aphmktcap">#REF!</definedName>
    <definedName name="aphpegrowthavg">#REF!</definedName>
    <definedName name="aphpegrowthcurr">#REF!</definedName>
    <definedName name="aphpegrowthhi">#REF!</definedName>
    <definedName name="aphpegrowthlow">#REF!</definedName>
    <definedName name="aphprice">#REF!</definedName>
    <definedName name="aphrpe">#REF!</definedName>
    <definedName name="aphshares">#REF!</definedName>
    <definedName name="aphtprice">#REF!</definedName>
    <definedName name="aphttmavg">#REF!</definedName>
    <definedName name="aphttmcurr">#REF!</definedName>
    <definedName name="aphttmhi">#REF!</definedName>
    <definedName name="aphttmlow">#REF!</definedName>
    <definedName name="aphttmrelavg">#REF!</definedName>
    <definedName name="aphttmrelcurr">#REF!</definedName>
    <definedName name="aphttmrelhi">#REF!</definedName>
    <definedName name="aphttmrellow">#REF!</definedName>
    <definedName name="aphup">#REF!</definedName>
    <definedName name="aphupsup">#REF!</definedName>
    <definedName name="aphvol">#REF!</definedName>
    <definedName name="aphyield">#REF!</definedName>
    <definedName name="AppDevCon">#REF!</definedName>
    <definedName name="AR">#REF!</definedName>
    <definedName name="arcc">#REF!</definedName>
    <definedName name="ARCC_g">#REF!</definedName>
    <definedName name="ARCC_is">#REF!</definedName>
    <definedName name="AreasForDeletion">#REF!</definedName>
    <definedName name="Argentina">#REF!</definedName>
    <definedName name="Arial">#REF!</definedName>
    <definedName name="ARPU">#REF!</definedName>
    <definedName name="ArrayAnnualGrossMargin">#REF!</definedName>
    <definedName name="ArrayAnnualNetIncome">#REF!</definedName>
    <definedName name="ArrayAnnualOperatingIncome">#REF!</definedName>
    <definedName name="ArrayAnnualOperatingMargin">#REF!</definedName>
    <definedName name="ArrayAnnualRev">#REF!</definedName>
    <definedName name="ArrayQuarterGrossMargin">#REF!</definedName>
    <definedName name="ArrayQuarterlyNetIncome">#REF!</definedName>
    <definedName name="ArrayQuarterlyOperatingIncome">#REF!</definedName>
    <definedName name="ArrayQuarterlyRev">#REF!</definedName>
    <definedName name="ArrayQuarterNetIncome">#REF!</definedName>
    <definedName name="ArrayQuarterOperatingIncome">#REF!</definedName>
    <definedName name="ArrayQuarterOperatingMargin">#REF!</definedName>
    <definedName name="ArrayQuarterRev">#REF!</definedName>
    <definedName name="arwavg">#REF!</definedName>
    <definedName name="arwchg">#REF!</definedName>
    <definedName name="arwcurr">#REF!</definedName>
    <definedName name="arwdate">#REF!</definedName>
    <definedName name="arwdown">#REF!</definedName>
    <definedName name="arwdownsup">#REF!</definedName>
    <definedName name="arweps98">#REF!</definedName>
    <definedName name="arweps99">#REF!</definedName>
    <definedName name="arwfy1cons">#REF!</definedName>
    <definedName name="arwfy2cons">#REF!</definedName>
    <definedName name="arwhi">#REF!</definedName>
    <definedName name="arwhilo">#REF!</definedName>
    <definedName name="arwlow">#REF!</definedName>
    <definedName name="arwmktcap">#REF!</definedName>
    <definedName name="arwpegrowthavg">#REF!</definedName>
    <definedName name="arwpegrowthcurr">#REF!</definedName>
    <definedName name="arwpegrowthhi">#REF!</definedName>
    <definedName name="arwpegrowthlow">#REF!</definedName>
    <definedName name="arwprice">#REF!</definedName>
    <definedName name="arwrpe">#REF!</definedName>
    <definedName name="arwshares">#REF!</definedName>
    <definedName name="arwtprice">#REF!</definedName>
    <definedName name="arwttmavg">#REF!</definedName>
    <definedName name="arwttmcurr">#REF!</definedName>
    <definedName name="arwttmhi">#REF!</definedName>
    <definedName name="arwttmlow">#REF!</definedName>
    <definedName name="arwttmrelavg">#REF!</definedName>
    <definedName name="arwttmrelcurr">#REF!</definedName>
    <definedName name="arwttmrelhi">#REF!</definedName>
    <definedName name="arwttmrellow">#REF!</definedName>
    <definedName name="arwup">#REF!</definedName>
    <definedName name="arwupsup">#REF!</definedName>
    <definedName name="arwvol">#REF!</definedName>
    <definedName name="arwyield">#REF!</definedName>
    <definedName name="asdf" hidden="1">{"'Standalone List Price Trends'!$A$1:$X$56"}</definedName>
    <definedName name="asdtf" hidden="1">{"'Standalone List Price Trends'!$A$1:$X$56"}</definedName>
    <definedName name="asggdasgasdg" hidden="1">{"'Standalone List Price Trends'!$A$1:$X$56"}</definedName>
    <definedName name="Asia_Pacific_Revenues">#REF!</definedName>
    <definedName name="asms">#REF!</definedName>
    <definedName name="ASP">#REF!</definedName>
    <definedName name="ASPs">#REF!</definedName>
    <definedName name="Associate_Value">#REF!</definedName>
    <definedName name="ASWXIncStmt">#REF!</definedName>
    <definedName name="AT_5YRGROWTH">#REF!</definedName>
    <definedName name="atsnchg">#REF!</definedName>
    <definedName name="atsncrpe">#REF!</definedName>
    <definedName name="atsncurr">#REF!</definedName>
    <definedName name="atsndate">#REF!</definedName>
    <definedName name="atsndown">#REF!</definedName>
    <definedName name="atsndownsup">#REF!</definedName>
    <definedName name="atsnevebitda">#REF!</definedName>
    <definedName name="atsnffqpeavg">#REF!</definedName>
    <definedName name="atsnffqpecurr">#REF!</definedName>
    <definedName name="atsnFY1cons">#REF!</definedName>
    <definedName name="atsnFY2cons">#REF!</definedName>
    <definedName name="atsnhi">#REF!</definedName>
    <definedName name="atsnhilo">#REF!</definedName>
    <definedName name="atsnlo">#REF!</definedName>
    <definedName name="atsnmktcap">#REF!</definedName>
    <definedName name="atsnpe1">#REF!</definedName>
    <definedName name="atsnpe2">#REF!</definedName>
    <definedName name="atsnpegrowthavg">#REF!</definedName>
    <definedName name="atsnpegrowthcurr">#REF!</definedName>
    <definedName name="atsnpegrowthmax">#REF!</definedName>
    <definedName name="atsnpegrowthmin">#REF!</definedName>
    <definedName name="atsnperelavg">#REF!</definedName>
    <definedName name="atsnperelcurr">#REF!</definedName>
    <definedName name="atsnprice">#REF!</definedName>
    <definedName name="atsnqv">#REF!</definedName>
    <definedName name="atsnrpe">#REF!</definedName>
    <definedName name="atsnshares">#REF!</definedName>
    <definedName name="atsntech">#REF!</definedName>
    <definedName name="atsntprice">#REF!</definedName>
    <definedName name="atsnttmavg">#REF!</definedName>
    <definedName name="atsnttmcurr">#REF!</definedName>
    <definedName name="atsnttmhi">#REF!</definedName>
    <definedName name="atsnttmlo">#REF!</definedName>
    <definedName name="atsnttmrelavg">#REF!</definedName>
    <definedName name="atsnttmrelcurr">#REF!</definedName>
    <definedName name="atsnttmrelhi">#REF!</definedName>
    <definedName name="atsnttmrello">#REF!</definedName>
    <definedName name="atsnup">#REF!</definedName>
    <definedName name="atsnupsup">#REF!</definedName>
    <definedName name="atsnvol">#REF!</definedName>
    <definedName name="atsnyield">#REF!</definedName>
    <definedName name="Company0170">#REF!</definedName>
    <definedName name="Company0173">3</definedName>
    <definedName name="Average_Employees">#REF!</definedName>
    <definedName name="Average_invested_capital">#REF!</definedName>
    <definedName name="Average_invested_capital_DCF">#REF!</definedName>
    <definedName name="Average_thereafter">#REF!</definedName>
    <definedName name="AverageSimple">#REF!</definedName>
    <definedName name="AVG_MRR_per_Lost_Cust">#REF!</definedName>
    <definedName name="AVG_MRR_per_New_Cust">#REF!</definedName>
    <definedName name="AvgAUM_06">#REF!</definedName>
    <definedName name="avgcomp">#REF!</definedName>
    <definedName name="AvgRev.perUnit">#REF!</definedName>
    <definedName name="avtavg">#REF!</definedName>
    <definedName name="avtchg">#REF!</definedName>
    <definedName name="avtcrpe">#REF!</definedName>
    <definedName name="avtcurr">#REF!</definedName>
    <definedName name="avtdate">#REF!</definedName>
    <definedName name="avtdown">#REF!</definedName>
    <definedName name="avtdownsup">#REF!</definedName>
    <definedName name="avteps99">#REF!</definedName>
    <definedName name="avtfy1cons">#REF!</definedName>
    <definedName name="avtfy2cons">#REF!</definedName>
    <definedName name="avthi">#REF!</definedName>
    <definedName name="avthilo">#REF!</definedName>
    <definedName name="avtlow">#REF!</definedName>
    <definedName name="avtmktcap">#REF!</definedName>
    <definedName name="avtpegrowthavg">#REF!</definedName>
    <definedName name="avtpegrowthcurr">#REF!</definedName>
    <definedName name="avtpegrowthhi">#REF!</definedName>
    <definedName name="avtpegrowthlow">#REF!</definedName>
    <definedName name="avtprice">#REF!</definedName>
    <definedName name="avtrpe">#REF!</definedName>
    <definedName name="avtshares">#REF!</definedName>
    <definedName name="avttprice">#REF!</definedName>
    <definedName name="avtttmavg">#REF!</definedName>
    <definedName name="avtttmcurr">#REF!</definedName>
    <definedName name="avtttmhi">#REF!</definedName>
    <definedName name="avtttmlow">#REF!</definedName>
    <definedName name="avtttmrelavg">#REF!</definedName>
    <definedName name="avtttmrelcurr">#REF!</definedName>
    <definedName name="avtttmrelhi">#REF!</definedName>
    <definedName name="avtttmrellow">#REF!</definedName>
    <definedName name="avtup">#REF!</definedName>
    <definedName name="avtupsup">#REF!</definedName>
    <definedName name="avtvol">#REF!</definedName>
    <definedName name="avtyield">#REF!</definedName>
    <definedName name="avxavg">#REF!</definedName>
    <definedName name="avxchg">#REF!</definedName>
    <definedName name="avxcrpe">#REF!</definedName>
    <definedName name="avxcurr">#REF!</definedName>
    <definedName name="avxdate">#REF!</definedName>
    <definedName name="avxdown">#REF!</definedName>
    <definedName name="avxdownsup">#REF!</definedName>
    <definedName name="avxevebitda">#REF!</definedName>
    <definedName name="avxffqpeavg">#REF!</definedName>
    <definedName name="avxffqpecurr">#REF!</definedName>
    <definedName name="avxfy1cons">#REF!</definedName>
    <definedName name="avxfy2cons">#REF!</definedName>
    <definedName name="avxhi">#REF!</definedName>
    <definedName name="avxhilo">#REF!</definedName>
    <definedName name="avxlo">#REF!</definedName>
    <definedName name="avxmktcap">#REF!</definedName>
    <definedName name="avxpegrowthavg">#REF!</definedName>
    <definedName name="avxpegrowthcurr">#REF!</definedName>
    <definedName name="avxpegrowthhi">#REF!</definedName>
    <definedName name="avxpegrowthlo">#REF!</definedName>
    <definedName name="avxperelavg">#REF!</definedName>
    <definedName name="avxperelcurr">#REF!</definedName>
    <definedName name="avxprice">#REF!</definedName>
    <definedName name="avxrating">#REF!</definedName>
    <definedName name="avxrpe">#REF!</definedName>
    <definedName name="avxshares">#REF!</definedName>
    <definedName name="avxtprice">#REF!</definedName>
    <definedName name="avxttmavg">#REF!</definedName>
    <definedName name="avxttmcurr">#REF!</definedName>
    <definedName name="avxttmhi">#REF!</definedName>
    <definedName name="avxttmlo">#REF!</definedName>
    <definedName name="avxttmrelavg">#REF!</definedName>
    <definedName name="avxttmrelcurr">#REF!</definedName>
    <definedName name="avxttmrelhi">#REF!</definedName>
    <definedName name="avxttmrello">#REF!</definedName>
    <definedName name="avxup">#REF!</definedName>
    <definedName name="avxupsup">#REF!</definedName>
    <definedName name="avxvol">#REF!</definedName>
    <definedName name="avxyield">#REF!</definedName>
    <definedName name="awaprice">#REF!</definedName>
    <definedName name="awashares">#REF!</definedName>
    <definedName name="axeavg">#REF!</definedName>
    <definedName name="axechg">#REF!</definedName>
    <definedName name="axecrpe">#REF!</definedName>
    <definedName name="axecurr">#REF!</definedName>
    <definedName name="axedate">#REF!</definedName>
    <definedName name="axedown">#REF!</definedName>
    <definedName name="axedownsup">#REF!</definedName>
    <definedName name="axeevebitda">#REF!</definedName>
    <definedName name="axeffqpeavg">#REF!</definedName>
    <definedName name="axeffqpecurr">#REF!</definedName>
    <definedName name="axeFY1cons">#REF!</definedName>
    <definedName name="axeFY2cons">#REF!</definedName>
    <definedName name="axehi">#REF!</definedName>
    <definedName name="axehilo">#REF!</definedName>
    <definedName name="axelo">#REF!</definedName>
    <definedName name="axemktcap">#REF!</definedName>
    <definedName name="axepe1">#REF!</definedName>
    <definedName name="axepe2">#REF!</definedName>
    <definedName name="axepegrowthavg">#REF!</definedName>
    <definedName name="axepegrowthcurr">#REF!</definedName>
    <definedName name="axepegrowthmax">#REF!</definedName>
    <definedName name="axepegrowthmin">#REF!</definedName>
    <definedName name="axeperelavg">#REF!</definedName>
    <definedName name="axeperelcurr">#REF!</definedName>
    <definedName name="axeprice">#REF!</definedName>
    <definedName name="axeqv">#REF!</definedName>
    <definedName name="axerating">#REF!</definedName>
    <definedName name="axerpe">#REF!</definedName>
    <definedName name="axeshares">#REF!</definedName>
    <definedName name="axetech">#REF!</definedName>
    <definedName name="axetprice">#REF!</definedName>
    <definedName name="axettmavg">#REF!</definedName>
    <definedName name="axettmcurr">#REF!</definedName>
    <definedName name="axettmhi">#REF!</definedName>
    <definedName name="axettmlo">#REF!</definedName>
    <definedName name="axettmrelavg">#REF!</definedName>
    <definedName name="axettmrelcurr">#REF!</definedName>
    <definedName name="axettmrelhi">#REF!</definedName>
    <definedName name="axettmrello">#REF!</definedName>
    <definedName name="axeup">#REF!</definedName>
    <definedName name="axeupsup">#REF!</definedName>
    <definedName name="axevol">#REF!</definedName>
    <definedName name="axeyield">#REF!</definedName>
    <definedName name="b" hidden="1">{"IS",#N/A,FALSE,"IS";"RPTIS",#N/A,FALSE,"RPTIS";"STATS",#N/A,FALSE,"STATS";"CELL",#N/A,FALSE,"CELL";"BS",#N/A,FALSE,"BS"}</definedName>
    <definedName name="B___DEMONSTRAÇÃO_DO_RESULTADO_PROJETADA">#REF!</definedName>
    <definedName name="ba" hidden="1">{"IS",#N/A,FALSE,"IS";"RPTIS",#N/A,FALSE,"RPTIS";"STATS",#N/A,FALSE,"STATS";"CELL",#N/A,FALSE,"CELL";"BS",#N/A,FALSE,"BS"}</definedName>
    <definedName name="ba_cash">#REF!</definedName>
    <definedName name="ba_cur_ass">#REF!</definedName>
    <definedName name="ba_stock">#REF!</definedName>
    <definedName name="ba_tot_ass">#REF!</definedName>
    <definedName name="ba_wip">#REF!</definedName>
    <definedName name="BACK_A">#REF!</definedName>
    <definedName name="Backlog">#REF!</definedName>
    <definedName name="balance">#REF!</definedName>
    <definedName name="balance_sheet">#REF!</definedName>
    <definedName name="balancesheet">#REF!</definedName>
    <definedName name="Balsht">#REF!</definedName>
    <definedName name="BaseTick">#REF!</definedName>
    <definedName name="Basic_Shares_Outstanding">#REF!</definedName>
    <definedName name="BB_email">"person@example.com"</definedName>
    <definedName name="bb_MTI1MDBCNTdGNkJCNDdEQ0" hidden="1">#REF!</definedName>
    <definedName name="BB_phone">"(212) 446-9469"</definedName>
    <definedName name="beicurr">#REF!</definedName>
    <definedName name="beidate">#REF!</definedName>
    <definedName name="beidown">#REF!</definedName>
    <definedName name="beievebitda">#REF!</definedName>
    <definedName name="beify1cons">#REF!</definedName>
    <definedName name="beify2cons">#REF!</definedName>
    <definedName name="beihi">#REF!</definedName>
    <definedName name="beilo">#REF!</definedName>
    <definedName name="beipegrowthavg">#REF!</definedName>
    <definedName name="beipegrowthcurr">#REF!</definedName>
    <definedName name="beipegrowthmax">#REF!</definedName>
    <definedName name="beipegrowthmin">#REF!</definedName>
    <definedName name="beiprice">#REF!</definedName>
    <definedName name="beiqv">#REF!</definedName>
    <definedName name="beirpe">#REF!</definedName>
    <definedName name="beitech">#REF!</definedName>
    <definedName name="beittmavg">#REF!</definedName>
    <definedName name="beittmcurr">#REF!</definedName>
    <definedName name="beittmhi">#REF!</definedName>
    <definedName name="beittmlo">#REF!</definedName>
    <definedName name="beittmrelavg">#REF!</definedName>
    <definedName name="beittmrelcurr">#REF!</definedName>
    <definedName name="beittmrelhi">#REF!</definedName>
    <definedName name="beittmrello">#REF!</definedName>
    <definedName name="beiup">#REF!</definedName>
    <definedName name="beivol">#REF!</definedName>
    <definedName name="beiyield">#REF!</definedName>
    <definedName name="COMPANY0377_5YRGROWTH">#REF!</definedName>
    <definedName name="belnew" hidden="1">{"IS",#N/A,FALSE,"IS";"RPTIS",#N/A,FALSE,"RPTIS";"STATS",#N/A,FALSE,"STATS";"CELL",#N/A,FALSE,"CELL";"BS",#N/A,FALSE,"BS"}</definedName>
    <definedName name="Beta">#REF!</definedName>
    <definedName name="Bias_Chart">#REF!</definedName>
    <definedName name="bl_pens_prov">#REF!</definedName>
    <definedName name="bl_sh_fund">#REF!</definedName>
    <definedName name="bl_tot_cur_liab">#REF!</definedName>
    <definedName name="bl_tot_liab_over">#REF!</definedName>
    <definedName name="bl_tot_liab_use_over">#REF!</definedName>
    <definedName name="blah" hidden="1">{"page 1",#N/A,FALSE,"Comps";"page 2",#N/A,FALSE,"Comps"}</definedName>
    <definedName name="Company0313">#REF!</definedName>
    <definedName name="BLS_5YRGROWTH">#REF!</definedName>
    <definedName name="bls_vge">#REF!</definedName>
    <definedName name="bls_wireless_subs">#REF!</definedName>
    <definedName name="bobj_pe">#REF!</definedName>
    <definedName name="bobj_price">#REF!</definedName>
    <definedName name="Company0326">#REF!</definedName>
    <definedName name="Book_value_per_share">#REF!</definedName>
    <definedName name="Boston_Add">#REF!</definedName>
    <definedName name="braniffprice">#REF!</definedName>
    <definedName name="braniffshares">#REF!</definedName>
    <definedName name="Breakdown">#REF!</definedName>
    <definedName name="BreakdownDetailed">#REF!</definedName>
    <definedName name="bridgeinfo">#REF!</definedName>
    <definedName name="broadband">#REF!</definedName>
    <definedName name="BROADCASTING">#REF!</definedName>
    <definedName name="Broadline">#REF!</definedName>
    <definedName name="Company0345_5YRGROWTH">#REF!</definedName>
    <definedName name="BS">#REF!</definedName>
    <definedName name="bs_drivers">#REF!</definedName>
    <definedName name="BS_Metric">OFFSET(#REF!,0,0,COUNTA(#REF!)-1)</definedName>
    <definedName name="BS_print">#REF!</definedName>
    <definedName name="BS_SF_OS">#REF!</definedName>
    <definedName name="BS_total_assets">#REF!</definedName>
    <definedName name="bt">#REF!</definedName>
    <definedName name="buildout">#REF!</definedName>
    <definedName name="bus_line_growth">#REF!</definedName>
    <definedName name="ButtonsForDeletion">#REF!</definedName>
    <definedName name="BUV">#REF!</definedName>
    <definedName name="Buy_Out_Of_Minorities">#REF!</definedName>
    <definedName name="bv">#REF!</definedName>
    <definedName name="bwccrpe">#REF!</definedName>
    <definedName name="bwccurr">#REF!</definedName>
    <definedName name="bwcdate">#REF!</definedName>
    <definedName name="bwcdown">#REF!</definedName>
    <definedName name="bwcdownsup">#REF!</definedName>
    <definedName name="bwcevebitda">#REF!</definedName>
    <definedName name="bwcffqpeavg">#REF!</definedName>
    <definedName name="bwcffqpecurr">#REF!</definedName>
    <definedName name="bwcFY1cons">#REF!</definedName>
    <definedName name="bwcFY2cons">#REF!</definedName>
    <definedName name="bwchi">#REF!</definedName>
    <definedName name="bwchilo">#REF!</definedName>
    <definedName name="bwclo">#REF!</definedName>
    <definedName name="bwcmktcap">#REF!</definedName>
    <definedName name="bwcpe1">#REF!</definedName>
    <definedName name="bwcpe2">#REF!</definedName>
    <definedName name="bwcpegrowthavg">#REF!</definedName>
    <definedName name="bwcpegrowthcurr">#REF!</definedName>
    <definedName name="bwcpegrowthmax">#REF!</definedName>
    <definedName name="bwcpegrowthmin">#REF!</definedName>
    <definedName name="bwcperelavg">#REF!</definedName>
    <definedName name="bwcperelcurr">#REF!</definedName>
    <definedName name="bwcprice">#REF!</definedName>
    <definedName name="bwcqv">#REF!</definedName>
    <definedName name="bwcrating">#REF!</definedName>
    <definedName name="bwcrpe">#REF!</definedName>
    <definedName name="bwcshares">#REF!</definedName>
    <definedName name="bwctech">#REF!</definedName>
    <definedName name="bwctprice">#REF!</definedName>
    <definedName name="bwcttmavg">#REF!</definedName>
    <definedName name="bwcttmcurr">#REF!</definedName>
    <definedName name="bwcttmhi">#REF!</definedName>
    <definedName name="bwcttmlo">#REF!</definedName>
    <definedName name="bwcttmrelavg">#REF!</definedName>
    <definedName name="bwcttmrelcurr">#REF!</definedName>
    <definedName name="bwcttmrelhi">#REF!</definedName>
    <definedName name="bwcttmrello">#REF!</definedName>
    <definedName name="bwcup">#REF!</definedName>
    <definedName name="bwcupsup">#REF!</definedName>
    <definedName name="bwcvol">#REF!</definedName>
    <definedName name="bwcyield">#REF!</definedName>
    <definedName name="c_cash_eoy">#REF!</definedName>
    <definedName name="c_cash_fin">#REF!</definedName>
    <definedName name="c_cash_inv">#REF!</definedName>
    <definedName name="c_cash_op">#REF!</definedName>
    <definedName name="c_ex_acq">#REF!</definedName>
    <definedName name="c_fin_act_oth">#REF!</definedName>
    <definedName name="c_incr_nwc">#REF!</definedName>
    <definedName name="c_net_depr">#REF!</definedName>
    <definedName name="c_on_cap_ex">#REF!</definedName>
    <definedName name="c_proc_ltl">#REF!</definedName>
    <definedName name="c_proc_stb">#REF!</definedName>
    <definedName name="c_tot_div">#REF!</definedName>
    <definedName name="c_tot_incr_cash">#REF!</definedName>
    <definedName name="CABLE">#REF!</definedName>
    <definedName name="caiprice">#REF!</definedName>
    <definedName name="caishares">#REF!</definedName>
    <definedName name="cal00_eps">#REF!</definedName>
    <definedName name="cal00_rev">#REF!</definedName>
    <definedName name="cal01_eps">#REF!</definedName>
    <definedName name="cal01_rev">#REF!</definedName>
    <definedName name="cal93_eps">#REF!</definedName>
    <definedName name="cal93_rev">#REF!</definedName>
    <definedName name="cal94_eps">#REF!</definedName>
    <definedName name="cal94_rev">#REF!</definedName>
    <definedName name="cal95_eps">#REF!</definedName>
    <definedName name="cal95_rev">#REF!</definedName>
    <definedName name="cal96_eps">#REF!</definedName>
    <definedName name="cal96_rev">#REF!</definedName>
    <definedName name="cal97_eps">#REF!</definedName>
    <definedName name="cal97_rev">#REF!</definedName>
    <definedName name="cal98_eps">#REF!</definedName>
    <definedName name="cal98_rev">#REF!</definedName>
    <definedName name="cal99_eps">#REF!</definedName>
    <definedName name="cal99_rev">#REF!</definedName>
    <definedName name="calendar">#REF!</definedName>
    <definedName name="caleps98">#REF!</definedName>
    <definedName name="caleps99">#REF!</definedName>
    <definedName name="Call_Note">#REF!</definedName>
    <definedName name="calrev95">#REF!</definedName>
    <definedName name="calrev96">#REF!</definedName>
    <definedName name="calrev97">#REF!</definedName>
    <definedName name="calrev98">#REF!</definedName>
    <definedName name="calrev99">#REF!</definedName>
    <definedName name="cap">#REF!</definedName>
    <definedName name="Cap._RnD_Asset_net_of_RnD_amort.">#REF!</definedName>
    <definedName name="CAP_print">#REF!</definedName>
    <definedName name="Capacitors">#REF!</definedName>
    <definedName name="Capacity_Measurement">#REF!</definedName>
    <definedName name="capex">#REF!</definedName>
    <definedName name="Capexp_92">#REF!</definedName>
    <definedName name="Capexp_93">#REF!</definedName>
    <definedName name="Capexp_94">#REF!</definedName>
    <definedName name="Capexp_95">#REF!</definedName>
    <definedName name="CAPEXP92">#REF!</definedName>
    <definedName name="CAPEXP93">#REF!</definedName>
    <definedName name="CAPEXP94">#REF!</definedName>
    <definedName name="CAPEXP95">#REF!</definedName>
    <definedName name="CAPEXP96">#REF!</definedName>
    <definedName name="CAPEXP97">#REF!</definedName>
    <definedName name="Capital_Expenditure">#REF!</definedName>
    <definedName name="capital_investment">#REF!</definedName>
    <definedName name="Capitalised_Value_Operating_Leases">#REF!</definedName>
    <definedName name="Capitalization">#REF!</definedName>
    <definedName name="CAPM">#REF!</definedName>
    <definedName name="cargo">#REF!</definedName>
    <definedName name="Carmel_Add">#REF!</definedName>
    <definedName name="Carmel_Bank">#REF!</definedName>
    <definedName name="Carmel_Date">#REF!</definedName>
    <definedName name="Carmel_Sell">#REF!</definedName>
    <definedName name="Case1">#REF!</definedName>
    <definedName name="Case2">#REF!</definedName>
    <definedName name="Case3">#REF!</definedName>
    <definedName name="Case4">#REF!</definedName>
    <definedName name="Case5">#REF!</definedName>
    <definedName name="CaseSwitch">#REF!</definedName>
    <definedName name="Cash">#REF!</definedName>
    <definedName name="cash_98">#REF!</definedName>
    <definedName name="cash_99">#REF!</definedName>
    <definedName name="Cash_At_End_of_Period">#REF!</definedName>
    <definedName name="Cash_DCF">#REF!</definedName>
    <definedName name="cash_flow">#REF!</definedName>
    <definedName name="Cash_Flow_Statement">#REF!</definedName>
    <definedName name="Cash_fore">#REF!</definedName>
    <definedName name="Cash_growth">#REF!</definedName>
    <definedName name="Cash_growth_fore">#REF!</definedName>
    <definedName name="Cash_Operating_Taxes">#REF!</definedName>
    <definedName name="Cash_operating_taxes_fore">#REF!</definedName>
    <definedName name="cash_to_kirch">#REF!</definedName>
    <definedName name="cashburn">#REF!</definedName>
    <definedName name="CashFlow">#REF!</definedName>
    <definedName name="Cashflow_Option_Expense">#REF!</definedName>
    <definedName name="cashps">#REF!</definedName>
    <definedName name="Company0661">#REF!</definedName>
    <definedName name="cb_sChart1560B1BF_opts" hidden="1">"1, 9, 1, False, 2, False, False, , 0, False, False, 1, 1"</definedName>
    <definedName name="cb_sChart1560B326">#REF!</definedName>
    <definedName name="cb_sChart1560B326_opts" hidden="1">"1, 9, 1, False, 2, False, False, , 0, False, False, 1, 1"</definedName>
    <definedName name="cb_sChart1560B5DC">#REF!</definedName>
    <definedName name="cb_sChart1560B5DC_opts" hidden="1">"1, 9, 1, False, 2, False, False, , 0, False, False, 1, 1"</definedName>
    <definedName name="cb_sChart1560C23F">#REF!</definedName>
    <definedName name="cb_sChart1560C23F_opts" hidden="1">"1, 9, 1, False, 2, False, False, , 0, False, False, 1, 1"</definedName>
    <definedName name="cb_sChart1B28B2AD">#REF!</definedName>
    <definedName name="cb_sChart1B28B2AD_opts" hidden="1">"1, 3, 1, False, 2, False, False, , 0, False, True, 1, 1"</definedName>
    <definedName name="cb_sChart1B28B8C8">#REF!</definedName>
    <definedName name="cb_sChart1B28B8C8_opts" hidden="1">"1, 3, 1, False, 2, False, False, , 0, False, True, 1, 1"</definedName>
    <definedName name="cb_sChart1B28BF3F">#REF!</definedName>
    <definedName name="cb_sChart1B28BF3F_opts" hidden="1">"1, 3, 1, False, 2, False, False, , 0, False, True, 1, 1"</definedName>
    <definedName name="cb_sChart1B28C218">#REF!</definedName>
    <definedName name="cb_sChart1B28C218_opts" hidden="1">"1, 3, 1, False, 2, False, False, , 0, False, True, 1, 1"</definedName>
    <definedName name="cb_sChart1B28C96B">#REF!</definedName>
    <definedName name="cb_sChart1B28C96B_opts" hidden="1">"1, 3, 1, False, 2, False, False, , 0, False, True, 1, 1"</definedName>
    <definedName name="ccc">#REF!</definedName>
    <definedName name="ccnotes">#REF!</definedName>
    <definedName name="cd">#REF!</definedName>
    <definedName name="CDC">#REF!</definedName>
    <definedName name="cdtcurr">#REF!</definedName>
    <definedName name="cdtdate">#REF!</definedName>
    <definedName name="cdtdown">#REF!</definedName>
    <definedName name="cdtdownsup">#REF!</definedName>
    <definedName name="cdtevebitda">#REF!</definedName>
    <definedName name="cdtffqpeavg">#REF!</definedName>
    <definedName name="cdtffqpecurr">#REF!</definedName>
    <definedName name="cdtFY1cons">#REF!</definedName>
    <definedName name="cdtFY2cons">#REF!</definedName>
    <definedName name="cdthi">#REF!</definedName>
    <definedName name="cdthilo">#REF!</definedName>
    <definedName name="cdtlo">#REF!</definedName>
    <definedName name="cdtmktcap">#REF!</definedName>
    <definedName name="cdtpe1">#REF!</definedName>
    <definedName name="cdtpe2">#REF!</definedName>
    <definedName name="cdtpegrowthavg">#REF!</definedName>
    <definedName name="cdtpegrowthcurr">#REF!</definedName>
    <definedName name="cdtpegrowthmax">#REF!</definedName>
    <definedName name="cdtpegrowthmin">#REF!</definedName>
    <definedName name="cdtperelavg">#REF!</definedName>
    <definedName name="cdtperelcurr">#REF!</definedName>
    <definedName name="cdtprice">#REF!</definedName>
    <definedName name="cdtqv">#REF!</definedName>
    <definedName name="cdtrating">#REF!</definedName>
    <definedName name="cdtrpe">#REF!</definedName>
    <definedName name="cdtshares">#REF!</definedName>
    <definedName name="cdttech">#REF!</definedName>
    <definedName name="cdttprice">#REF!</definedName>
    <definedName name="cdtttmavg">#REF!</definedName>
    <definedName name="cdtttmcurr">#REF!</definedName>
    <definedName name="cdtttmhi">#REF!</definedName>
    <definedName name="cdtttmlo">#REF!</definedName>
    <definedName name="cdtttmrelavg">#REF!</definedName>
    <definedName name="cdtttmrelcurr">#REF!</definedName>
    <definedName name="cdtttmrelhi">#REF!</definedName>
    <definedName name="cdtttmrello">#REF!</definedName>
    <definedName name="cdtup">#REF!</definedName>
    <definedName name="cdtupsup">#REF!</definedName>
    <definedName name="cdtvol">#REF!</definedName>
    <definedName name="cdtyield">#REF!</definedName>
    <definedName name="CellEBITDA">#REF!</definedName>
    <definedName name="CEPS00">#REF!</definedName>
    <definedName name="CEPS01">#REF!</definedName>
    <definedName name="CEPS1998">#REF!</definedName>
    <definedName name="CEPS1999">#REF!</definedName>
    <definedName name="CEPS2000">#REF!</definedName>
    <definedName name="CEPS2001">#REF!</definedName>
    <definedName name="CEPS97">#REF!</definedName>
    <definedName name="CEPS98">#REF!</definedName>
    <definedName name="CEPS99">#REF!</definedName>
    <definedName name="cf">#REF!</definedName>
    <definedName name="CF_AS_NT">#REF!</definedName>
    <definedName name="CF_EQ_NT">#REF!</definedName>
    <definedName name="CF_IV_OT">#REF!</definedName>
    <definedName name="CF_Metric">OFFSET(#REF!,0,0,COUNTA(#REF!)-1)</definedName>
    <definedName name="CF_NT">#REF!</definedName>
    <definedName name="CF_PR_SP">#REF!</definedName>
    <definedName name="CF_print">#REF!</definedName>
    <definedName name="CF_SH_IS">#REF!</definedName>
    <definedName name="CF_TR_OT">#REF!</definedName>
    <definedName name="CFPS_Curr_Yr">#REF!</definedName>
    <definedName name="CFPS_Lst_Yr">#REF!</definedName>
    <definedName name="CFPS_Next_Yr">#REF!</definedName>
    <definedName name="ChangeRange" hidden="1">#REF!</definedName>
    <definedName name="Channel">#REF!</definedName>
    <definedName name="Channel_Inv">#REF!</definedName>
    <definedName name="ChannelBrkdwn">#REF!</definedName>
    <definedName name="Charts1">#REF!</definedName>
    <definedName name="Charts2">#REF!</definedName>
    <definedName name="chg">#REF!</definedName>
    <definedName name="Chg_in_fixed_assets">#REF!</definedName>
    <definedName name="Chg_in_other_assets">#REF!</definedName>
    <definedName name="Chg_in_working_capital">#REF!</definedName>
    <definedName name="Chicago_Add">#REF!</definedName>
    <definedName name="Chicago_Bank">#REF!</definedName>
    <definedName name="Chicago_Date">#REF!</definedName>
    <definedName name="Chicago_Sell">#REF!</definedName>
    <definedName name="Chile1">#REF!</definedName>
    <definedName name="Chile2">#REF!</definedName>
    <definedName name="Company0671">#REF!</definedName>
    <definedName name="Chipsets">#REF!</definedName>
    <definedName name="Choices_Wrapper">#N/A</definedName>
    <definedName name="CIEN_1Pager">#REF!</definedName>
    <definedName name="cienavg">#REF!</definedName>
    <definedName name="cienavgffq">#REF!</definedName>
    <definedName name="cienchg">#REF!</definedName>
    <definedName name="ciencurr">#REF!</definedName>
    <definedName name="ciencurrffq">#REF!</definedName>
    <definedName name="cienpegrelavg">#REF!</definedName>
    <definedName name="cienpegrelcurr">#REF!</definedName>
    <definedName name="cienpegrowthavg">#REF!</definedName>
    <definedName name="cienpegrowthcurr">#REF!</definedName>
    <definedName name="cienshares">#REF!</definedName>
    <definedName name="Company0679">#REF!</definedName>
    <definedName name="cingular">#REF!</definedName>
    <definedName name="CL1_CFPS">#REF!</definedName>
    <definedName name="CL1_Company0840_Company2393">#REF!</definedName>
    <definedName name="CL1_EPE_Company2393">#REF!</definedName>
    <definedName name="CL1_EPS_HS">#REF!</definedName>
    <definedName name="CL1_EPSD">#REF!</definedName>
    <definedName name="CL1_EPSG">#REF!</definedName>
    <definedName name="CL1_Company0948_Company2393">#REF!</definedName>
    <definedName name="CL1_FX">#REF!</definedName>
    <definedName name="CL1_NAV_SH">#REF!</definedName>
    <definedName name="CL1_PE">#REF!</definedName>
    <definedName name="CL1_PE_Company2393">#REF!</definedName>
    <definedName name="CL1_PNAV">#REF!</definedName>
    <definedName name="CL1_Recommend">#REF!</definedName>
    <definedName name="CL1_W_Company2393">#REF!</definedName>
    <definedName name="CL2_BONUS">#REF!</definedName>
    <definedName name="CL2_CCS">#REF!</definedName>
    <definedName name="CL2_CFPS">#REF!</definedName>
    <definedName name="CL2_DPS_FD">#REF!</definedName>
    <definedName name="CL2_DPS_PD">#REF!</definedName>
    <definedName name="CL2_EFTW_Company2393">#REF!</definedName>
    <definedName name="CL2_EPE_Company2393">#REF!</definedName>
    <definedName name="CL2_EPS">#REF!</definedName>
    <definedName name="CL2_EPS_HS">#REF!</definedName>
    <definedName name="CL2_EPSC">#REF!</definedName>
    <definedName name="CL2_EPSD">#REF!</definedName>
    <definedName name="CL2_EPSD_HS">#REF!</definedName>
    <definedName name="CL2_EPSG">#REF!</definedName>
    <definedName name="CL2_EQ_FCT">#REF!</definedName>
    <definedName name="CL2_ETW_Company2393">#REF!</definedName>
    <definedName name="CL2_Company0948_Company2393">#REF!</definedName>
    <definedName name="CL2_FF">#REF!</definedName>
    <definedName name="CL2_FX">#REF!</definedName>
    <definedName name="CL2_NAV">#REF!</definedName>
    <definedName name="CL2_NAV_SH">#REF!</definedName>
    <definedName name="CL2_PCF">#REF!</definedName>
    <definedName name="CL2_PE">#REF!</definedName>
    <definedName name="CL2_PE_Company2393">#REF!</definedName>
    <definedName name="CL2_PNAV">#REF!</definedName>
    <definedName name="cl2_recommend">#REF!</definedName>
    <definedName name="CL2_W_Company2393">#REF!</definedName>
    <definedName name="CL3_BONUS">#REF!</definedName>
    <definedName name="CL3_CCS">#REF!</definedName>
    <definedName name="CL3_CFPS">#REF!</definedName>
    <definedName name="CL3_DPS_FD">#REF!</definedName>
    <definedName name="CL3_DPS_PD">#REF!</definedName>
    <definedName name="CL3_EFTW_Company2393">#REF!</definedName>
    <definedName name="CL3_EPE_Company2393">#REF!</definedName>
    <definedName name="CL3_EPS">#REF!</definedName>
    <definedName name="CL3_EPS_HS">#REF!</definedName>
    <definedName name="CL3_EPSC">#REF!</definedName>
    <definedName name="CL3_EPSD">#REF!</definedName>
    <definedName name="CL3_EPSD_HS">#REF!</definedName>
    <definedName name="CL3_EPSG">#REF!</definedName>
    <definedName name="CL3_EQ_FCT">#REF!</definedName>
    <definedName name="CL3_ETW_Company2393">#REF!</definedName>
    <definedName name="CL3_Company0948_Company2393">#REF!</definedName>
    <definedName name="CL3_FF">#REF!</definedName>
    <definedName name="CL3_FX">#REF!</definedName>
    <definedName name="CL3_NAV">#REF!</definedName>
    <definedName name="CL3_NAV_SH">#REF!</definedName>
    <definedName name="CL3_PCF">#REF!</definedName>
    <definedName name="CL3_PE">#REF!</definedName>
    <definedName name="CL3_PE_Company2393">#REF!</definedName>
    <definedName name="CL3_PNAV">#REF!</definedName>
    <definedName name="CL3_recommend">#REF!</definedName>
    <definedName name="CL3_W_Company2393">#REF!</definedName>
    <definedName name="Closed_End">#REF!</definedName>
    <definedName name="clsavg">#REF!</definedName>
    <definedName name="clschg">#REF!</definedName>
    <definedName name="clscrpe">#REF!</definedName>
    <definedName name="clscurr">#REF!</definedName>
    <definedName name="clsdate">#REF!</definedName>
    <definedName name="clsdown">#REF!</definedName>
    <definedName name="clsdownsup">#REF!</definedName>
    <definedName name="clseps98">#REF!</definedName>
    <definedName name="clseps99">#REF!</definedName>
    <definedName name="clsfy1cons">#REF!</definedName>
    <definedName name="clsfy2cons">#REF!</definedName>
    <definedName name="clshi">#REF!</definedName>
    <definedName name="clshilo">#REF!</definedName>
    <definedName name="clslow">#REF!</definedName>
    <definedName name="clsmktcap">#REF!</definedName>
    <definedName name="clspegrowthavg">#REF!</definedName>
    <definedName name="clspegrowthcurr">#REF!</definedName>
    <definedName name="clspegrowthhi">#REF!</definedName>
    <definedName name="clspegrowthlow">#REF!</definedName>
    <definedName name="clsprice">#REF!</definedName>
    <definedName name="clsrpe">#REF!</definedName>
    <definedName name="clsshares">#REF!</definedName>
    <definedName name="clstprice">#REF!</definedName>
    <definedName name="clsttmavg">#REF!</definedName>
    <definedName name="clsttmcurr">#REF!</definedName>
    <definedName name="clsttmhi">#REF!</definedName>
    <definedName name="clsttmlow">#REF!</definedName>
    <definedName name="clsttmrelavg">#REF!</definedName>
    <definedName name="clsttmrelcurr">#REF!</definedName>
    <definedName name="clsttmrelhi">#REF!</definedName>
    <definedName name="clsttmrellow">#REF!</definedName>
    <definedName name="clsup">#REF!</definedName>
    <definedName name="clsupsup">#REF!</definedName>
    <definedName name="clsvol">#REF!</definedName>
    <definedName name="clsyield">#REF!</definedName>
    <definedName name="Cluster">#REF!</definedName>
    <definedName name="cm">#REF!</definedName>
    <definedName name="cmtnavg">#REF!</definedName>
    <definedName name="cmtnavgffq">#REF!</definedName>
    <definedName name="cmtnchg">#REF!</definedName>
    <definedName name="cmtncurr">#REF!</definedName>
    <definedName name="cmtncurrffq">#REF!</definedName>
    <definedName name="cmtnpegrelavg">#REF!</definedName>
    <definedName name="cmtnpegrelcurr">#REF!</definedName>
    <definedName name="cmtnpegrowthavg">#REF!</definedName>
    <definedName name="cmtnpegrowthcurr">#REF!</definedName>
    <definedName name="cmtnshares">#REF!</definedName>
    <definedName name="cmvtavg">#REF!</definedName>
    <definedName name="cmvtavgffq">#REF!</definedName>
    <definedName name="cmvtchg">#REF!</definedName>
    <definedName name="cmvtcurr">#REF!</definedName>
    <definedName name="cmvtcurrffq">#REF!</definedName>
    <definedName name="cmvtpegrelavg">#REF!</definedName>
    <definedName name="cmvtpegrelcurr">#REF!</definedName>
    <definedName name="cmvtpegrowthavg">#REF!</definedName>
    <definedName name="cmvtpegrowthcurr">#REF!</definedName>
    <definedName name="cogn_pe">#REF!</definedName>
    <definedName name="cogn_price">#REF!</definedName>
    <definedName name="COGS">#REF!</definedName>
    <definedName name="column_id">#REF!</definedName>
    <definedName name="column_name">#REF!</definedName>
    <definedName name="Comm_Euro97">#REF!</definedName>
    <definedName name="Comm_Euro98">#REF!</definedName>
    <definedName name="Commercial_Capex">#REF!</definedName>
    <definedName name="Commercial_COGS">#REF!</definedName>
    <definedName name="Commercial_paper">#REF!</definedName>
    <definedName name="Commercial_Revenue">#REF!</definedName>
    <definedName name="Commercial_SGA">#REF!</definedName>
    <definedName name="common">#REF!</definedName>
    <definedName name="Common_Dividend">#REF!</definedName>
    <definedName name="commrate">#REF!</definedName>
    <definedName name="Communications">#REF!</definedName>
    <definedName name="Companies">#REF!</definedName>
    <definedName name="Company">#REF!</definedName>
    <definedName name="Company_Fig_ID">#REF!</definedName>
    <definedName name="Company_ID">#REF!</definedName>
    <definedName name="company_name">#REF!</definedName>
    <definedName name="Company_reported_exceptionals">#REF!</definedName>
    <definedName name="Company1">#REF!</definedName>
    <definedName name="companyinfo">#REF!</definedName>
    <definedName name="CompanyName">#REF!</definedName>
    <definedName name="CompanyNames">#REF!</definedName>
    <definedName name="CompTable_Companies">OFFSET(#REF!,0,0,COUNTA(#REF!)-13)</definedName>
    <definedName name="CompTable_MeanMetrics">OFFSET(#REF!,0,0,1,COUNTA(#REF!)-37)</definedName>
    <definedName name="CompTable_Metric">OFFSET(#REF!,0,8,1,COUNTA(#REF!)-8)</definedName>
    <definedName name="CompTable_YearColRange">OFFSET(#REF!,0,0,1,COUNTA(#REF!))</definedName>
    <definedName name="comscurr">#REF!</definedName>
    <definedName name="comscurrffq">#REF!</definedName>
    <definedName name="comspegrelavg">#REF!</definedName>
    <definedName name="comspegrelcurr">#REF!</definedName>
    <definedName name="comspegrowthavg">#REF!</definedName>
    <definedName name="comspegrowthcurr">#REF!</definedName>
    <definedName name="con">#REF!</definedName>
    <definedName name="concession_active">#REF!</definedName>
    <definedName name="concession_adj_equity_value">#REF!</definedName>
    <definedName name="concession_disc_rate_2">#REF!</definedName>
    <definedName name="concession_payment_stream_2">#REF!</definedName>
    <definedName name="cons_line_growth">#REF!</definedName>
    <definedName name="cons_wcom">#REF!</definedName>
    <definedName name="consolidated_company_id">#REF!</definedName>
    <definedName name="Const_Costs">#REF!</definedName>
    <definedName name="consumer">#REF!</definedName>
    <definedName name="cont_life">#REF!</definedName>
    <definedName name="ContentsHelp" hidden="1">#REF!</definedName>
    <definedName name="conv">#REF!</definedName>
    <definedName name="conv2">#REF!</definedName>
    <definedName name="conversion_rate">#REF!</definedName>
    <definedName name="CopyArea">#REF!</definedName>
    <definedName name="Core_EBIT">#REF!</definedName>
    <definedName name="Core_EBITDA">#REF!</definedName>
    <definedName name="Core_Net_Cash_Debt">#REF!</definedName>
    <definedName name="Core_Sales">#REF!</definedName>
    <definedName name="Corporate_Capex">#REF!</definedName>
    <definedName name="Corporate_COGS">#REF!</definedName>
    <definedName name="Corporate_Revenue">#REF!</definedName>
    <definedName name="Corporate_SGA">#REF!</definedName>
    <definedName name="Corporate_Value">#REF!</definedName>
    <definedName name="COSr_AssociatesMinorities">#REF!</definedName>
    <definedName name="Cost">#REF!</definedName>
    <definedName name="Cost_Of_License">#REF!</definedName>
    <definedName name="Cost_Of_Maintenance">#REF!</definedName>
    <definedName name="Cost_of_sales_net_of_D_A">#REF!</definedName>
    <definedName name="Cost_Of_Services">#REF!</definedName>
    <definedName name="Cost_Of_Subscription">#REF!</definedName>
    <definedName name="Cost_Savings">#REF!</definedName>
    <definedName name="CountriesData">#REF!</definedName>
    <definedName name="Country_Index">#REF!</definedName>
    <definedName name="Country_Name">#REF!</definedName>
    <definedName name="Cov_00_PS">#REF!</definedName>
    <definedName name="Cov_00_Rev">#REF!</definedName>
    <definedName name="Cov_97_PS">#REF!</definedName>
    <definedName name="Cov_97_Rev">#REF!</definedName>
    <definedName name="Cov_98_PS">#REF!</definedName>
    <definedName name="Cov_98_Rev">#REF!</definedName>
    <definedName name="Cov_99_PS">#REF!</definedName>
    <definedName name="Cov_99_Rev">#REF!</definedName>
    <definedName name="Cov_EPS_00">#REF!</definedName>
    <definedName name="Cov_EPS_98">#REF!</definedName>
    <definedName name="Cov_EPS_99">#REF!</definedName>
    <definedName name="Cov_Mkt_Cap">#REF!</definedName>
    <definedName name="Cov_Off_High">#REF!</definedName>
    <definedName name="Cov_Perf_97">#REF!</definedName>
    <definedName name="Cov_Perf_98">#REF!</definedName>
    <definedName name="Cov_Perf_99">#REF!</definedName>
    <definedName name="cov_perf_99b">#REF!</definedName>
    <definedName name="Cov_Univ_Avg">#REF!</definedName>
    <definedName name="Cov_Univ_Total">#REF!</definedName>
    <definedName name="covenants">#REF!</definedName>
    <definedName name="COVER">#REF!</definedName>
    <definedName name="CoverageStatus">#REF!</definedName>
    <definedName name="cox" hidden="1">{#N/A,#N/A,FALSE,"Time Company2988";#N/A,#N/A,FALSE,"Entertainment Group";#N/A,#N/A,FALSE,"EBITDA";#N/A,#N/A,FALSE,"Notes"}</definedName>
    <definedName name="CP_Interest">#REF!</definedName>
    <definedName name="CPI">#REF!</definedName>
    <definedName name="CPT">#REF!</definedName>
    <definedName name="cratios">#REF!</definedName>
    <definedName name="CreateTable" hidden="1">#REF!</definedName>
    <definedName name="CreditSrvSecurites">#REF!</definedName>
    <definedName name="Company0598">#REF!</definedName>
    <definedName name="Crit_12mo">#REF!</definedName>
    <definedName name="Crit_Date">#REF!</definedName>
    <definedName name="Crit_Date_7">#REF!</definedName>
    <definedName name="_xlnm.Criteria">#REF!</definedName>
    <definedName name="CRM">#REF!</definedName>
    <definedName name="cs">#N/A</definedName>
    <definedName name="csc_currency">#REF!</definedName>
    <definedName name="cschg">#REF!</definedName>
    <definedName name="cscoavg">#REF!</definedName>
    <definedName name="cscoavgffq">#REF!</definedName>
    <definedName name="cscochg">#REF!</definedName>
    <definedName name="cscocurr">#REF!</definedName>
    <definedName name="cscocurrffq">#REF!</definedName>
    <definedName name="cscopegrelavg">#REF!</definedName>
    <definedName name="cscopegrelcurr">#REF!</definedName>
    <definedName name="cscopegrowthavg">#REF!</definedName>
    <definedName name="cscopegrowthcurr">#REF!</definedName>
    <definedName name="cscoshares">#REF!</definedName>
    <definedName name="cscurr">#REF!</definedName>
    <definedName name="cscurrffq">#REF!</definedName>
    <definedName name="csDesignMode">1</definedName>
    <definedName name="csize">#REF!</definedName>
    <definedName name="cspegrelavg">#REF!</definedName>
    <definedName name="cspegrelcurr">#REF!</definedName>
    <definedName name="cspegrowthavg">#REF!</definedName>
    <definedName name="cspegrowthcurr">#REF!</definedName>
    <definedName name="Company0624_5YRGROWTH">#REF!</definedName>
    <definedName name="ctvavg">#REF!</definedName>
    <definedName name="ctvchg">#REF!</definedName>
    <definedName name="ctvcrpe">#REF!</definedName>
    <definedName name="ctvcurr">#REF!</definedName>
    <definedName name="ctvdate">#REF!</definedName>
    <definedName name="ctvdown">#REF!</definedName>
    <definedName name="ctvdownsup">#REF!</definedName>
    <definedName name="ctveps98">#REF!</definedName>
    <definedName name="ctveps99">#REF!</definedName>
    <definedName name="ctvfy1cons">#REF!</definedName>
    <definedName name="ctvfy2cons">#REF!</definedName>
    <definedName name="ctvhi">#REF!</definedName>
    <definedName name="ctvhilo">#REF!</definedName>
    <definedName name="ctvlow">#REF!</definedName>
    <definedName name="ctvmktcap">#REF!</definedName>
    <definedName name="ctvpegrowthavg">#REF!</definedName>
    <definedName name="ctvpegrowthcurr">#REF!</definedName>
    <definedName name="ctvpegrowthhi">#REF!</definedName>
    <definedName name="ctvpegrowthlow">#REF!</definedName>
    <definedName name="ctvprice">#REF!</definedName>
    <definedName name="ctvrpe">#REF!</definedName>
    <definedName name="ctvshares">#REF!</definedName>
    <definedName name="ctvtprice">#REF!</definedName>
    <definedName name="ctvttmavg">#REF!</definedName>
    <definedName name="ctvttmcurr">#REF!</definedName>
    <definedName name="ctvttmhi">#REF!</definedName>
    <definedName name="ctvttmlow">#REF!</definedName>
    <definedName name="ctvttmrelavg">#REF!</definedName>
    <definedName name="ctvttmrelcurr">#REF!</definedName>
    <definedName name="ctvttmrelhi">#REF!</definedName>
    <definedName name="ctvttmrellow">#REF!</definedName>
    <definedName name="ctvup">#REF!</definedName>
    <definedName name="ctvupsup">#REF!</definedName>
    <definedName name="ctvvol">#REF!</definedName>
    <definedName name="ctvyield">#REF!</definedName>
    <definedName name="CU">#REF!</definedName>
    <definedName name="CU1_">#REF!</definedName>
    <definedName name="cu102.ShareScalingFactor" hidden="1">1000000</definedName>
    <definedName name="cu103.EmployeeScalingFactor" hidden="1">1000</definedName>
    <definedName name="cu107.DPSSymbol" hidden="1">"US$"</definedName>
    <definedName name="cu107.EPSSymbol" hidden="1">"US$"</definedName>
    <definedName name="cu71.ScalingFactor" hidden="1">1000000</definedName>
    <definedName name="Cumulative_Goodwill_Prev_Written_Off_To_Equity">#REF!</definedName>
    <definedName name="Cumulative_PV_of_EVA">#REF!</definedName>
    <definedName name="Cumulative_PV_of_FCF">#REF!</definedName>
    <definedName name="CUR3MTH">6</definedName>
    <definedName name="CURCYTD">9</definedName>
    <definedName name="CURMTH">1</definedName>
    <definedName name="CURMYTD">12</definedName>
    <definedName name="Currency">#REF!</definedName>
    <definedName name="Currency_Header">#REF!</definedName>
    <definedName name="CurrencyLookup">#REF!</definedName>
    <definedName name="CurrencyMarker">#REF!</definedName>
    <definedName name="CurrencyTable">#REF!</definedName>
    <definedName name="Current_assets">#REF!</definedName>
    <definedName name="Current_cost_adjusted_net_income">#REF!</definedName>
    <definedName name="current_earnings_footnote">#REF!</definedName>
    <definedName name="Current_estd_yr">#REF!</definedName>
    <definedName name="current_liabilities">#REF!</definedName>
    <definedName name="currenta">#REF!</definedName>
    <definedName name="currentl">#REF!</definedName>
    <definedName name="CurrentPE">#REF!</definedName>
    <definedName name="CurrentPrice">#REF!</definedName>
    <definedName name="CurrentTime">#REF!</definedName>
    <definedName name="CURWEEK">1</definedName>
    <definedName name="CUSLink29">#REF!</definedName>
    <definedName name="Cust.Analy.">#REF!</definedName>
    <definedName name="Customer_deposits">#REF!</definedName>
    <definedName name="Customer_deposits_growth_fore">#REF!</definedName>
    <definedName name="Customers">#REF!</definedName>
    <definedName name="CvgRef">#REF!</definedName>
    <definedName name="CY_1Rev">#REF!</definedName>
    <definedName name="CY_2Rev">#REF!</definedName>
    <definedName name="CY01Rev">#REF!</definedName>
    <definedName name="CY02EPS">#REF!</definedName>
    <definedName name="CY02Rev">#REF!</definedName>
    <definedName name="CY03EPS">#REF!</definedName>
    <definedName name="CY03Rev">#REF!</definedName>
    <definedName name="CY0Rev">#REF!</definedName>
    <definedName name="CY1Rev">#REF!</definedName>
    <definedName name="CY2Rev">#REF!</definedName>
    <definedName name="CY3Rev">#REF!</definedName>
    <definedName name="CYTDVOL">11</definedName>
    <definedName name="d">#REF!</definedName>
    <definedName name="da">#REF!</definedName>
    <definedName name="dalprice">#REF!</definedName>
    <definedName name="dalshares">#REF!</definedName>
    <definedName name="Data">#REF!</definedName>
    <definedName name="data_type_id">#REF!</definedName>
    <definedName name="_xlnm.Database">#REF!</definedName>
    <definedName name="Company0779">#REF!</definedName>
    <definedName name="DataSheet">#REF!</definedName>
    <definedName name="date">#REF!</definedName>
    <definedName name="date_of_last_bvps_update">#REF!</definedName>
    <definedName name="date_of_last_eps_update">#REF!</definedName>
    <definedName name="dates">#REF!</definedName>
    <definedName name="Days_Sales_Outstanding_Adj">#REF!</definedName>
    <definedName name="Days_Sales_Outstanding_Rep">#REF!</definedName>
    <definedName name="DaysTotal">#REF!</definedName>
    <definedName name="DB">"WIRENYPROD"</definedName>
    <definedName name="dcf">#REF!</definedName>
    <definedName name="DCF_1995">#REF!</definedName>
    <definedName name="DCF_1996">#REF!</definedName>
    <definedName name="DCF_1997">#REF!</definedName>
    <definedName name="DCF_1998">#REF!</definedName>
    <definedName name="DCF_1999">#REF!</definedName>
    <definedName name="DCF_2000">#REF!</definedName>
    <definedName name="DCF_2001">#REF!</definedName>
    <definedName name="DCF_2002">#REF!</definedName>
    <definedName name="DCF_2003">#REF!</definedName>
    <definedName name="DCF_2004">#REF!</definedName>
    <definedName name="DCF_2005">#REF!</definedName>
    <definedName name="DCF_2006">#REF!</definedName>
    <definedName name="DCF_2007">#REF!</definedName>
    <definedName name="DCF_2008">#REF!</definedName>
    <definedName name="DCF_2009">#REF!</definedName>
    <definedName name="DCF_2010">#REF!</definedName>
    <definedName name="DCF_2011">#REF!</definedName>
    <definedName name="DCF_2012">#REF!</definedName>
    <definedName name="DCF_2013">#REF!</definedName>
    <definedName name="DCF_2014">#REF!</definedName>
    <definedName name="DCF_2015">#REF!</definedName>
    <definedName name="DCF_2016">#REF!</definedName>
    <definedName name="DCF_2017">#REF!</definedName>
    <definedName name="DCF_2018">#REF!</definedName>
    <definedName name="DCF_2019">#REF!</definedName>
    <definedName name="DCF_2020">#REF!</definedName>
    <definedName name="DCF_A">#REF!</definedName>
    <definedName name="DCF_A2">#REF!</definedName>
    <definedName name="DCF_analysis">#REF!</definedName>
    <definedName name="dcf_debt">#REF!</definedName>
    <definedName name="DCF_EY1">#REF!</definedName>
    <definedName name="DCF_EY10">#REF!</definedName>
    <definedName name="DCF_EY11">#REF!</definedName>
    <definedName name="DCF_EY12">#REF!</definedName>
    <definedName name="DCF_EY13">#REF!</definedName>
    <definedName name="DCF_EY14">#REF!</definedName>
    <definedName name="DCF_EY15">#REF!</definedName>
    <definedName name="DCF_EY16">#REF!</definedName>
    <definedName name="DCF_EY17">#REF!</definedName>
    <definedName name="DCF_EY18">#REF!</definedName>
    <definedName name="DCF_EY19">#REF!</definedName>
    <definedName name="DCF_EY2">#REF!</definedName>
    <definedName name="DCF_EY20">#REF!</definedName>
    <definedName name="DCF_EY21">#REF!</definedName>
    <definedName name="DCF_EY22">#REF!</definedName>
    <definedName name="DCF_EY23">#REF!</definedName>
    <definedName name="DCF_EY24">#REF!</definedName>
    <definedName name="DCF_EY25">#REF!</definedName>
    <definedName name="DCF_EY26">#REF!</definedName>
    <definedName name="DCF_EY3">#REF!</definedName>
    <definedName name="DCF_EY4">#REF!</definedName>
    <definedName name="DCF_EY5">#REF!</definedName>
    <definedName name="DCF_EY6">#REF!</definedName>
    <definedName name="DCF_EY7">#REF!</definedName>
    <definedName name="DCF_EY8">#REF!</definedName>
    <definedName name="DCF_EY9">#REF!</definedName>
    <definedName name="dcf_lookup">#REF!</definedName>
    <definedName name="DCF_P">#REF!</definedName>
    <definedName name="DCF_Perpetuity">#REF!</definedName>
    <definedName name="DCF_print">#REF!</definedName>
    <definedName name="DCF_TYPE">#REF!</definedName>
    <definedName name="dd">#REF!</definedName>
    <definedName name="de">#REF!</definedName>
    <definedName name="Deals">#REF!</definedName>
    <definedName name="Deals_Over_1m">#REF!</definedName>
    <definedName name="debt">#REF!</definedName>
    <definedName name="Debt_growth">#REF!</definedName>
    <definedName name="Debt_Market_Cap_Ratio">#REF!</definedName>
    <definedName name="debt_schedule">#REF!</definedName>
    <definedName name="Debt_To_Capital">#REF!</definedName>
    <definedName name="Debt_To_Equity">#REF!</definedName>
    <definedName name="debttc">#REF!</definedName>
    <definedName name="decrease">#REF!</definedName>
    <definedName name="Def">#REF!</definedName>
    <definedName name="DEF_DEM_X">#REF!</definedName>
    <definedName name="DEF_ITL_X">#REF!</definedName>
    <definedName name="Deferred_Rev">#REF!</definedName>
    <definedName name="Deferred_tax_asset">#REF!</definedName>
    <definedName name="Deferred_tax_asset_growth_fore">#REF!</definedName>
    <definedName name="Deferred_Tax_Component_Of_Current_Tax_Charge">#REF!</definedName>
    <definedName name="Deferred_tax_liability">#REF!</definedName>
    <definedName name="Deferred_tax_liability_growth_fore">#REF!</definedName>
    <definedName name="Deferred_taxes">#REF!</definedName>
    <definedName name="Deferred_Taxes_Balance_Sheet">#REF!</definedName>
    <definedName name="Deferred_Taxes_Cash_Flow">#REF!</definedName>
    <definedName name="DeleteArea3">#REF!</definedName>
    <definedName name="DeleteArea4">#REF!</definedName>
    <definedName name="DeleteArea5">#REF!</definedName>
    <definedName name="DeleteArea6">#REF!</definedName>
    <definedName name="DeleteArea7">#REF!</definedName>
    <definedName name="deleteme">#REF!</definedName>
    <definedName name="deleteme2" hidden="1">{#N/A,#N/A,FALSE,"Output";#N/A,#N/A,FALSE,"Cover Sheet";#N/A,#N/A,FALSE,"Current Mkt. Projections"}</definedName>
    <definedName name="deleteme3" hidden="1">{#N/A,#N/A,FALSE,"Output";#N/A,#N/A,FALSE,"Cover Sheet";#N/A,#N/A,FALSE,"Current Mkt. Projections"}</definedName>
    <definedName name="deleteme333" hidden="1">{#N/A,#N/A,FALSE,"Output";#N/A,#N/A,FALSE,"Cover Sheet";#N/A,#N/A,FALSE,"Current Mkt. Projections"}</definedName>
    <definedName name="DeleteRange" hidden="1">#REF!</definedName>
    <definedName name="DeleteTable" hidden="1">#REF!</definedName>
    <definedName name="Company0787">#REF!</definedName>
    <definedName name="dep">#REF!</definedName>
    <definedName name="Dep_and_Amort">#REF!</definedName>
    <definedName name="Dep_margin_fore">#REF!</definedName>
    <definedName name="DepAmo1998">#REF!</definedName>
    <definedName name="DepAmo1999">#REF!</definedName>
    <definedName name="DepAmo2000">#REF!</definedName>
    <definedName name="DepAmo2001">#REF!</definedName>
    <definedName name="depr">#REF!</definedName>
    <definedName name="depr_amort">#REF!</definedName>
    <definedName name="Depreciation">#REF!</definedName>
    <definedName name="Depreciation_Adjustment">#REF!</definedName>
    <definedName name="Depreciation_fore">#REF!</definedName>
    <definedName name="Depreciation_margin">#REF!</definedName>
    <definedName name="deriv_spon_type_id">#REF!</definedName>
    <definedName name="deriv_type_id">#REF!</definedName>
    <definedName name="description">#REF!</definedName>
    <definedName name="Desktop">#REF!</definedName>
    <definedName name="DESKTOPASP">#REF!</definedName>
    <definedName name="DESKTOPREV">#REF!</definedName>
    <definedName name="DESKTOPSHIP.">#REF!</definedName>
    <definedName name="df_analysis">#REF!</definedName>
    <definedName name="dfa" hidden="1">{"Annual_Income",#N/A,FALSE,"Report Page";"Balance_Cash_Flow",#N/A,FALSE,"Report Page";"Quarterly_Income",#N/A,FALSE,"Report Page"}</definedName>
    <definedName name="dfaddfd">#REF!</definedName>
    <definedName name="dfdf" localSheetId="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d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k" localSheetId="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g" localSheetId="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g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ial_around_services">#REF!</definedName>
    <definedName name="Dial_Capex">#REF!</definedName>
    <definedName name="Dial_COGS">#REF!</definedName>
    <definedName name="Dial_Revenue">#REF!</definedName>
    <definedName name="Dial_SGA">#REF!</definedName>
    <definedName name="Diluted_Shares_Outstanding">#REF!</definedName>
    <definedName name="dilution_factor">#REF!</definedName>
    <definedName name="dir">#REF!</definedName>
    <definedName name="Direct">#REF!</definedName>
    <definedName name="DirectTable">#REF!</definedName>
    <definedName name="Disc_Op_Assets_Held_For_Sale">#REF!</definedName>
    <definedName name="Disclosed">#REF!</definedName>
    <definedName name="discount_rate">#REF!</definedName>
    <definedName name="discountrate">#REF!</definedName>
    <definedName name="discountratemax">#REF!</definedName>
    <definedName name="discountratemed">#REF!</definedName>
    <definedName name="discountratemin">#REF!</definedName>
    <definedName name="Discretes">#REF!</definedName>
    <definedName name="Distribution">#REF!</definedName>
    <definedName name="Div">#REF!</definedName>
    <definedName name="dividend">#REF!</definedName>
    <definedName name="DIVIDEND_DISCOUNTED_MODEL">#REF!</definedName>
    <definedName name="Dividends_Other">#REF!</definedName>
    <definedName name="Dividends_Paid">#REF!</definedName>
    <definedName name="Dividends_Special_Common">#REF!</definedName>
    <definedName name="DLX1.USE">#REF!</definedName>
    <definedName name="DLX2.USE">#REF!</definedName>
    <definedName name="DLX21.USE">#REF!</definedName>
    <definedName name="DLX3.USE">#REF!</definedName>
    <definedName name="DLX4.USE">#REF!</definedName>
    <definedName name="DLX5.USE">#REF!</definedName>
    <definedName name="DLX6.USE">#REF!</definedName>
    <definedName name="DLX7.USE">#REF!</definedName>
    <definedName name="DLX8.USE">#REF!</definedName>
    <definedName name="DLX9.USE">#REF!</definedName>
    <definedName name="DnA_fore">#REF!</definedName>
    <definedName name="DnA_growth_fore">#REF!</definedName>
    <definedName name="Person0314">#REF!</definedName>
    <definedName name="Company0808" hidden="1">{"test2",#N/A,TRUE,"Prices"}</definedName>
    <definedName name="dollb">#REF!</definedName>
    <definedName name="DownloadDate">#REF!</definedName>
    <definedName name="downsup">#REF!</definedName>
    <definedName name="DPO_estimate">#REF!</definedName>
    <definedName name="DPS_Curr_Yr">#REF!</definedName>
    <definedName name="DPS_Lst_Yr">#REF!</definedName>
    <definedName name="dps_mkt">#REF!</definedName>
    <definedName name="DPS_Next_Yr">#REF!</definedName>
    <definedName name="dps_over">#REF!</definedName>
    <definedName name="dps_sum_qtr">#REF!</definedName>
    <definedName name="dps_year_actual">#REF!</definedName>
    <definedName name="DPS00">#REF!</definedName>
    <definedName name="DPSEuro03">#REF!</definedName>
    <definedName name="DPSEuro04">#REF!</definedName>
    <definedName name="DPSord00">#REF!</definedName>
    <definedName name="DPSord01">#REF!</definedName>
    <definedName name="DPSord97">#REF!</definedName>
    <definedName name="DPSord98">#REF!</definedName>
    <definedName name="DPSord99">#REF!</definedName>
    <definedName name="drivers1">#REF!</definedName>
    <definedName name="drivers2">#REF!</definedName>
    <definedName name="drivers3">#REF!</definedName>
    <definedName name="DSO">#REF!</definedName>
    <definedName name="DSO_estimate">#REF!</definedName>
    <definedName name="DSTREAM">#REF!</definedName>
    <definedName name="E_ALL_Company0017">#REF!</definedName>
    <definedName name="E_ALL_Company0028">#REF!</definedName>
    <definedName name="E_ALL_Company0083">#REF!</definedName>
    <definedName name="E_ALL_Company0087">#REF!</definedName>
    <definedName name="E_ALL_Company0091">#REF!</definedName>
    <definedName name="E_ALL_AMT">#REF!</definedName>
    <definedName name="E_ALL_Company0125">#REF!</definedName>
    <definedName name="E_ALL_ARM">#REF!</definedName>
    <definedName name="E_ALL_Company0140">#REF!</definedName>
    <definedName name="E_ALL_Company0141">#REF!</definedName>
    <definedName name="E_ALL_Company0174">#REF!</definedName>
    <definedName name="E_ALL_BCE">#REF!</definedName>
    <definedName name="E_ALL_Company0334">#REF!</definedName>
    <definedName name="E_ALL_Company0348">#REF!</definedName>
    <definedName name="E_ALL_CCI">#REF!</definedName>
    <definedName name="E_ALL_Company0465">#REF!</definedName>
    <definedName name="E_ALL_CFG">#REF!</definedName>
    <definedName name="E_ALL_Company0495">#REF!</definedName>
    <definedName name="E_ALL_Company0520">#REF!</definedName>
    <definedName name="E_ALL_Company0606">#REF!</definedName>
    <definedName name="E_ALL_Company0608">#REF!</definedName>
    <definedName name="E_ALL_Company0624">#REF!</definedName>
    <definedName name="E_ALL_Company0626">#REF!</definedName>
    <definedName name="E_ALL_Company0645">#REF!</definedName>
    <definedName name="E_ALL_DBX">#REF!</definedName>
    <definedName name="E_ALL_Company0734">#REF!</definedName>
    <definedName name="E_ALL_Company0760">#REF!</definedName>
    <definedName name="E_ALL_Company0863">#REF!</definedName>
    <definedName name="E_ALL_Company0865">#REF!</definedName>
    <definedName name="E_ALL_Company0871">#REF!</definedName>
    <definedName name="E_ALL_FSL">#REF!</definedName>
    <definedName name="E_ALL_FTR">#REF!</definedName>
    <definedName name="E_ALL_Company1006">#REF!</definedName>
    <definedName name="E_ALL_Company1007">#REF!</definedName>
    <definedName name="E_ALL_Company1082">#REF!</definedName>
    <definedName name="E_ALL_I">#REF!</definedName>
    <definedName name="E_ALL_IBM">#REF!</definedName>
    <definedName name="E_ALL_Company1335">#REF!</definedName>
    <definedName name="E_ALL_Company1341" localSheetId="3">#REF!</definedName>
    <definedName name="E_ALL_Company1341">#REF!</definedName>
    <definedName name="E_ALL_Company1394">#REF!</definedName>
    <definedName name="E_ALL_KEYWORDS_TYPE_Breakdown_EQTY_200001646">#REF!</definedName>
    <definedName name="E_ALL_KEYWORDS_TYPE_Breakdown_EQTY_200002831">#REF!</definedName>
    <definedName name="E_ALL_KEYWORDS_TYPE_Breakdown_EQTY_200004419">#REF!</definedName>
    <definedName name="E_ALL_KEYWORDS_TYPE_ScalarContributed_EQTY_200000304">#REF!,#REF!,#REF!,#REF!</definedName>
    <definedName name="E_ALL_KEYWORDS_TYPE_ScalarContributed_EQTY_200000813">#REF!,#REF!,#REF!,#REF!,#REF!</definedName>
    <definedName name="E_ALL_KEYWORDS_TYPE_ScalarContributed_EQTY_200001265">#REF!,#REF!,#REF!,#REF!</definedName>
    <definedName name="E_ALL_KEYWORDS_TYPE_ScalarContributed_EQTY_200001320">#REF!,#REF!,#REF!,#REF!</definedName>
    <definedName name="E_ALL_KEYWORDS_TYPE_ScalarContributed_EQTY_200001330">#REF!,#REF!,#REF!,#REF!</definedName>
    <definedName name="E_ALL_KEYWORDS_TYPE_ScalarContributed_EQTY_200001353">#REF!,#REF!</definedName>
    <definedName name="E_ALL_KEYWORDS_TYPE_ScalarContributed_EQTY_200001371">#REF!,#REF!</definedName>
    <definedName name="E_ALL_KEYWORDS_TYPE_ScalarContributed_EQTY_200001381">#REF!,#REF!,#REF!,#REF!</definedName>
    <definedName name="E_ALL_KEYWORDS_TYPE_ScalarContributed_EQTY_200001646">#REF!,#REF!,#REF!,#REF!</definedName>
    <definedName name="E_ALL_KEYWORDS_TYPE_ScalarContributed_EQTY_200002282">#REF!,#REF!,#REF!,#REF!,#REF!</definedName>
    <definedName name="E_ALL_KEYWORDS_TYPE_ScalarContributed_EQTY_200002283">#REF!,#REF!,#REF!,#REF!,#REF!</definedName>
    <definedName name="E_ALL_KEYWORDS_TYPE_ScalarContributed_EQTY_200002831">#REF!,#REF!,#REF!,#REF!,#REF!</definedName>
    <definedName name="E_ALL_KEYWORDS_TYPE_ScalarContributed_EQTY_200002833">#REF!,#REF!,#REF!,#REF!</definedName>
    <definedName name="E_ALL_KEYWORDS_TYPE_ScalarContributed_EQTY_200003036">#REF!,#REF!,#REF!,#REF!,#REF!</definedName>
    <definedName name="E_ALL_KEYWORDS_TYPE_ScalarContributed_EQTY_200003037">#REF!,#REF!,#REF!,#REF!</definedName>
    <definedName name="E_ALL_KEYWORDS_TYPE_ScalarContributed_EQTY_200003892">#REF!,#REF!,#REF!,#REF!</definedName>
    <definedName name="E_ALL_KEYWORDS_TYPE_ScalarContributed_EQTY_200004419">#REF!,#REF!,#REF!,#REF!</definedName>
    <definedName name="E_ALL_KEYWORDS_TYPE_ScalarContributed_EQTY_200004906">#REF!,#REF!,#REF!,#REF!,#REF!</definedName>
    <definedName name="E_ALL_KEYWORDS_TYPE_ScalarContributed_EQTY_200005326">#REF!,#REF!,#REF!,#REF!</definedName>
    <definedName name="E_ALL_KEYWORDS_TYPE_ScalarContributed_EQTY_200006384">#REF!,#REF!,#REF!,#REF!,#REF!</definedName>
    <definedName name="E_ALL_KEYWORDS_TYPE_ScalarContributed_EQTY_200007794">#REF!,#REF!,#REF!,#REF!</definedName>
    <definedName name="E_ALL_KEYWORDS_TYPE_ScalarContributed_EQTY_200009556">#REF!,#REF!,#REF!,#REF!</definedName>
    <definedName name="E_ALL_KEYWORDS_TYPE_ScalarContributed_EQTY_200010313">#REF!,#REF!,#REF!,#REF!,#REF!</definedName>
    <definedName name="E_ALL_KEYWORDS_TYPE_ScalarContributed_EQTY_200011598">#REF!,#REF!,#REF!,#REF!,#REF!</definedName>
    <definedName name="E_ALL_KEYWORDS_TYPE_ScalarContributed_EQTY_200012762">#REF!,#REF!,#REF!,#REF!</definedName>
    <definedName name="E_ALL_KEYWORDS_TYPE_ScalarContributed_EQTY_200014300">#REF!,#REF!,#REF!,#REF!</definedName>
    <definedName name="E_ALL_KEYWORDS_TYPE_ScalarContributed_EQTY_200014750">#REF!,#REF!,#REF!,#REF!,#REF!</definedName>
    <definedName name="E_ALL_KEYWORDS_TYPE_ScalarContributed_EQTY_200015107">#REF!,#REF!,#REF!,#REF!</definedName>
    <definedName name="E_ALL_KEYWORDS_TYPE_ScalarContributed_EQTY_200015716">#REF!,#REF!,#REF!,#REF!</definedName>
    <definedName name="E_ALL_KEYWORDS_TYPE_ScalarContributed_EQTY_200015757">#REF!,#REF!,#REF!,#REF!</definedName>
    <definedName name="E_ALL_KEYWORDS_TYPE_ScalarContributed_EQTY_200016026">#REF!,#REF!,#REF!,#REF!</definedName>
    <definedName name="E_ALL_KEYWORDS_TYPE_ScalarContributed_EQTY_200017745">#REF!,#REF!,#REF!,#REF!</definedName>
    <definedName name="E_ALL_KEYWORDS_TYPE_ScalarContributed_EQTY_200021484">#REF!,#REF!,#REF!,#REF!,#REF!</definedName>
    <definedName name="E_ALL_KEYWORDS_TYPE_ScalarContributed_ISSR_208000027">#REF!,#REF!</definedName>
    <definedName name="E_ALL_KEYWORDS_TYPE_ScalarContributed_ISSR_208000430">#REF!,#REF!,#REF!,#REF!,#REF!,#REF!,#REF!,#REF!,#REF!,#REF!,#REF!</definedName>
    <definedName name="E_ALL_KEYWORDS_TYPE_ScalarContributed_ISSR_208000603">#REF!</definedName>
    <definedName name="E_ALL_KEYWORDS_TYPE_ScalarContributed_ISSR_208000826">#REF!,#REF!,#REF!,#REF!</definedName>
    <definedName name="E_ALL_KEYWORDS_TYPE_ScalarContributed_ISSR_208000976">#REF!</definedName>
    <definedName name="E_ALL_KEYWORDS_TYPE_ScalarContributed_ISSR_208000977">#REF!,#REF!</definedName>
    <definedName name="E_ALL_KEYWORDS_TYPE_ScalarContributed_ISSR_208001048">#REF!,#REF!</definedName>
    <definedName name="E_ALL_KEYWORDS_TYPE_ScalarContributed_ISSR_208001258">#REF!</definedName>
    <definedName name="E_ALL_KEYWORDS_TYPE_ScalarContributed_ISSR_208001370">#REF!,#REF!</definedName>
    <definedName name="E_ALL_KEYWORDS_TYPE_ScalarContributed_ISSR_208001515">#REF!,#REF!</definedName>
    <definedName name="E_ALL_KEYWORDS_TYPE_ScalarContributed_ISSR_208001627">#REF!,#REF!,#REF!</definedName>
    <definedName name="E_ALL_KEYWORDS_TYPE_ScalarContributed_ISSR_208001640">#REF!,#REF!</definedName>
    <definedName name="E_ALL_KEYWORDS_TYPE_ScalarContributed_ISSR_208001765">#REF!,#REF!,#REF!</definedName>
    <definedName name="E_ALL_KEYWORDS_TYPE_ScalarContributed_ISSR_208001785">#REF!,#REF!</definedName>
    <definedName name="E_ALL_KEYWORDS_TYPE_ScalarContributed_ISSR_208002651">#REF!,#REF!</definedName>
    <definedName name="E_ALL_KEYWORDS_TYPE_ScalarContributed_ISSR_208005795">#REF!,#REF!</definedName>
    <definedName name="E_ALL_KEYWORDS_TYPE_ScalarContributed_ISSR_208008030">#REF!,#REF!,#REF!</definedName>
    <definedName name="E_ALL_KEYWORDS_TYPE_ScalarContributed_ISSR_208008836">#REF!,#REF!</definedName>
    <definedName name="E_ALL_KEYWORDS_TYPE_ScalarContributed_ISSR_208009722">#REF!</definedName>
    <definedName name="E_ALL_KEYWORDS_TYPE_ScalarContributed_ISSR_208011556">#REF!,#REF!</definedName>
    <definedName name="E_ALL_KEYWORDS_TYPE_ScalarContributed_ISSR_208011888">#REF!,#REF!,#REF!,#REF!,#REF!,#REF!,#REF!,#REF!,#REF!,#REF!,#REF!</definedName>
    <definedName name="E_ALL_KEYWORDS_TYPE_ScalarContributed_ISSR_208012959">#REF!,#REF!,#REF!</definedName>
    <definedName name="E_ALL_KEYWORDS_TYPE_ScalarContributed_ISSR_208015351">#REF!,#REF!</definedName>
    <definedName name="E_ALL_KEYWORDS_TYPE_ScalarContributed_ISSR_208018253">#REF!,#REF!,#REF!</definedName>
    <definedName name="E_ALL_KEYWORDS_TYPE_ScalarContributed_ISSR_208020919">#REF!,#REF!,#REF!</definedName>
    <definedName name="E_ALL_KEYWORDS_TYPE_ScalarReference_EQTY_200001646">#REF!</definedName>
    <definedName name="E_ALL_KEYWORDS_TYPE_ScalarReference_EQTY_200002831">#REF!</definedName>
    <definedName name="E_ALL_KEYWORDS_TYPE_ScalarReference_EQTY_200004419">#REF!</definedName>
    <definedName name="E_ALL_KEYWORDS_TYPE_ScalarReference_EQTY_200012762">#REF!</definedName>
    <definedName name="E_ALL_KEYWORDS_TYPE_ScalarReference_EQTY_200014750">#REF!</definedName>
    <definedName name="E_ALL_KEYWORDS_TYPE_ScalarReference_ISSR_208000603">#REF!</definedName>
    <definedName name="E_ALL_KEYWORDS_TYPE_ScalarReference_ISSR_208000976">#REF!</definedName>
    <definedName name="E_ALL_KEYWORDS_TYPE_ScalarReference_ISSR_208001258">#REF!</definedName>
    <definedName name="E_ALL_KEYWORDS_TYPE_ScalarReference_ISSR_208009722">#REF!</definedName>
    <definedName name="E_ALL_KEYWORDS_TYPE_ScalarReference_ISSR_208011556">#REF!</definedName>
    <definedName name="E_ALL_KEYWORDS_TYPE_Vector_EQTY_200000304">#REF!,#REF!,#REF!,#REF!,#REF!,#REF!,#REF!</definedName>
    <definedName name="E_ALL_KEYWORDS_TYPE_Vector_EQTY_200001265">#REF!,#REF!,#REF!,#REF!,#REF!,#REF!,#REF!</definedName>
    <definedName name="E_ALL_KEYWORDS_TYPE_Vector_EQTY_200001320">#REF!,#REF!,#REF!,#REF!,#REF!,#REF!,#REF!</definedName>
    <definedName name="E_ALL_KEYWORDS_TYPE_Vector_EQTY_200001330">#REF!,#REF!,#REF!,#REF!,#REF!,#REF!,#REF!</definedName>
    <definedName name="E_ALL_KEYWORDS_TYPE_Vector_EQTY_200001353">#REF!,#REF!,#REF!,#REF!,#REF!</definedName>
    <definedName name="E_ALL_KEYWORDS_TYPE_Vector_EQTY_200001371">#REF!,#REF!,#REF!,#REF!,#REF!</definedName>
    <definedName name="E_ALL_KEYWORDS_TYPE_Vector_EQTY_200001381">#REF!,#REF!,#REF!,#REF!,#REF!,#REF!,#REF!</definedName>
    <definedName name="E_ALL_KEYWORDS_TYPE_Vector_EQTY_200001646">#REF!,#REF!,#REF!,#REF!,#REF!,#REF!,#REF!,#REF!</definedName>
    <definedName name="E_ALL_KEYWORDS_TYPE_Vector_EQTY_200002282">#REF!,#REF!,#REF!,#REF!,#REF!,#REF!,#REF!,#REF!</definedName>
    <definedName name="E_ALL_KEYWORDS_TYPE_Vector_EQTY_200002831">#REF!,#REF!,#REF!,#REF!,#REF!,#REF!,#REF!</definedName>
    <definedName name="E_ALL_KEYWORDS_TYPE_Vector_EQTY_200002833">#REF!,#REF!,#REF!,#REF!,#REF!,#REF!,#REF!</definedName>
    <definedName name="E_ALL_KEYWORDS_TYPE_Vector_EQTY_200003036">#REF!,#REF!,#REF!,#REF!,#REF!,#REF!,#REF!</definedName>
    <definedName name="E_ALL_KEYWORDS_TYPE_Vector_EQTY_200003037">#REF!,#REF!,#REF!,#REF!,#REF!,#REF!,#REF!</definedName>
    <definedName name="E_ALL_KEYWORDS_TYPE_Vector_EQTY_200003892">#REF!,#REF!,#REF!,#REF!,#REF!,#REF!,#REF!</definedName>
    <definedName name="E_ALL_KEYWORDS_TYPE_Vector_EQTY_200004419">#REF!,#REF!,#REF!,#REF!,#REF!,#REF!,#REF!</definedName>
    <definedName name="E_ALL_KEYWORDS_TYPE_Vector_EQTY_200004906">#REF!,#REF!,#REF!,#REF!,#REF!,#REF!,#REF!</definedName>
    <definedName name="E_ALL_KEYWORDS_TYPE_Vector_EQTY_200005184">#REF!,#REF!,#REF!,#REF!,#REF!,#REF!,#REF!</definedName>
    <definedName name="E_ALL_KEYWORDS_TYPE_Vector_EQTY_200005326">#REF!,#REF!,#REF!,#REF!,#REF!,#REF!,#REF!</definedName>
    <definedName name="E_ALL_KEYWORDS_TYPE_Vector_EQTY_200005722">#REF!,#REF!,#REF!,#REF!,#REF!,#REF!,#REF!</definedName>
    <definedName name="E_ALL_KEYWORDS_TYPE_Vector_EQTY_200006232">#REF!,#REF!,#REF!,#REF!,#REF!,#REF!,#REF!</definedName>
    <definedName name="E_ALL_KEYWORDS_TYPE_Vector_EQTY_200006333">#REF!,#REF!,#REF!,#REF!,#REF!,#REF!,#REF!,#REF!,#REF!</definedName>
    <definedName name="E_ALL_KEYWORDS_TYPE_Vector_EQTY_200006384">#REF!,#REF!,#REF!,#REF!,#REF!,#REF!,#REF!</definedName>
    <definedName name="E_ALL_KEYWORDS_TYPE_Vector_EQTY_200009556">#REF!,#REF!,#REF!,#REF!,#REF!,#REF!,#REF!</definedName>
    <definedName name="E_ALL_KEYWORDS_TYPE_Vector_EQTY_200011598">#REF!,#REF!,#REF!,#REF!,#REF!,#REF!,#REF!</definedName>
    <definedName name="E_ALL_KEYWORDS_TYPE_Vector_EQTY_200012762">#REF!,#REF!,#REF!,#REF!,#REF!,#REF!,#REF!</definedName>
    <definedName name="E_ALL_KEYWORDS_TYPE_Vector_EQTY_200014300">#REF!,#REF!,#REF!,#REF!,#REF!,#REF!,#REF!</definedName>
    <definedName name="E_ALL_KEYWORDS_TYPE_Vector_EQTY_200014750">#REF!,#REF!,#REF!,#REF!,#REF!,#REF!,#REF!</definedName>
    <definedName name="E_ALL_KEYWORDS_TYPE_Vector_EQTY_200015107">#REF!,#REF!,#REF!,#REF!,#REF!,#REF!,#REF!</definedName>
    <definedName name="E_ALL_KEYWORDS_TYPE_Vector_EQTY_200015716">#REF!,#REF!,#REF!,#REF!,#REF!,#REF!,#REF!</definedName>
    <definedName name="E_ALL_KEYWORDS_TYPE_Vector_EQTY_200015757">#REF!,#REF!,#REF!,#REF!,#REF!,#REF!,#REF!,#REF!</definedName>
    <definedName name="E_ALL_KEYWORDS_TYPE_Vector_EQTY_200016026">#REF!,#REF!,#REF!,#REF!,#REF!,#REF!,#REF!,#REF!</definedName>
    <definedName name="E_ALL_KEYWORDS_TYPE_Vector_EQTY_200017745">#REF!,#REF!,#REF!,#REF!,#REF!,#REF!,#REF!</definedName>
    <definedName name="E_ALL_KEYWORDS_TYPE_Vector_EQTY_200021484">#REF!,#REF!,#REF!,#REF!,#REF!,#REF!,#REF!</definedName>
    <definedName name="E_ALL_KEYWORDS_TYPE_Vector_ISSR_208000027">#REF!,#REF!,#REF!,#REF!,#REF!,#REF!,#REF!,#REF!,#REF!,#REF!,#REF!,#REF!,#REF!,#REF!,#REF!,#REF!</definedName>
    <definedName name="E_ALL_KEYWORDS_TYPE_Vector_ISSR_208000402">#REF!,#REF!,#REF!,#REF!,#REF!,#REF!,#REF!,#REF!,#REF!,#REF!,#REF!,#REF!,#REF!,#REF!,#REF!,#REF!</definedName>
    <definedName name="E_ALL_KEYWORDS_TYPE_Vector_ISSR_208000430">#REF!,#REF!,#REF!,#REF!,#REF!,#REF!,#REF!,#REF!,#REF!,#REF!,#REF!,#REF!,#REF!,#REF!</definedName>
    <definedName name="E_ALL_KEYWORDS_TYPE_Vector_ISSR_208000435">#REF!,#REF!,#REF!,#REF!,#REF!,#REF!,#REF!,#REF!,#REF!,#REF!,#REF!,#REF!,#REF!,#REF!,#REF!,#REF!</definedName>
    <definedName name="E_ALL_KEYWORDS_TYPE_Vector_ISSR_208000451">#REF!,#REF!,#REF!,#REF!,#REF!,#REF!,#REF!,#REF!,#REF!,#REF!,#REF!,#REF!,#REF!,#REF!,#REF!,#REF!,#REF!,#REF!,#REF!,#REF!,#REF!,#REF!,#REF!,#REF!,#REF!,#REF!</definedName>
    <definedName name="E_ALL_KEYWORDS_TYPE_Vector_ISSR_208000468">#REF!,#REF!,#REF!,#REF!,#REF!,#REF!,#REF!,#REF!,#REF!,#REF!,#REF!,#REF!,#REF!,#REF!,#REF!,#REF!</definedName>
    <definedName name="E_ALL_KEYWORDS_TYPE_Vector_ISSR_208000603">#REF!,#REF!,#REF!,#REF!,#REF!,#REF!,#REF!,#REF!,#REF!,#REF!</definedName>
    <definedName name="E_ALL_KEYWORDS_TYPE_Vector_ISSR_208000826">#REF!,#REF!,#REF!,#REF!,#REF!,#REF!,#REF!,#REF!,#REF!,#REF!,#REF!,#REF!,#REF!,#REF!,#REF!,#REF!</definedName>
    <definedName name="E_ALL_KEYWORDS_TYPE_Vector_ISSR_208000976">#REF!,#REF!,#REF!,#REF!,#REF!,#REF!,#REF!,#REF!,#REF!</definedName>
    <definedName name="E_ALL_KEYWORDS_TYPE_Vector_ISSR_208000977">#REF!,#REF!,#REF!,#REF!,#REF!,#REF!,#REF!,#REF!,#REF!,#REF!,#REF!,#REF!,#REF!,#REF!,#REF!</definedName>
    <definedName name="E_ALL_KEYWORDS_TYPE_Vector_ISSR_208001048">#REF!,#REF!,#REF!,#REF!,#REF!,#REF!,#REF!,#REF!,#REF!,#REF!,#REF!,#REF!,#REF!</definedName>
    <definedName name="E_ALL_KEYWORDS_TYPE_Vector_ISSR_208001049">#REF!,#REF!,#REF!,#REF!,#REF!,#REF!,#REF!,#REF!,#REF!,#REF!,#REF!,#REF!,#REF!,#REF!,#REF!</definedName>
    <definedName name="E_ALL_KEYWORDS_TYPE_Vector_ISSR_208001137">#REF!,#REF!,#REF!,#REF!,#REF!,#REF!,#REF!,#REF!,#REF!,#REF!,#REF!,#REF!,#REF!,#REF!,#REF!</definedName>
    <definedName name="E_ALL_KEYWORDS_TYPE_Vector_ISSR_208001258">#REF!,#REF!,#REF!,#REF!,#REF!,#REF!,#REF!,#REF!,#REF!,#REF!,#REF!,#REF!,#REF!,#REF!,#REF!</definedName>
    <definedName name="E_ALL_KEYWORDS_TYPE_Vector_ISSR_208001370">#REF!,#REF!,#REF!,#REF!,#REF!,#REF!,#REF!,#REF!,#REF!,#REF!,#REF!,#REF!,#REF!</definedName>
    <definedName name="E_ALL_KEYWORDS_TYPE_Vector_ISSR_208001515">#REF!,#REF!,#REF!,#REF!,#REF!,#REF!,#REF!,#REF!,#REF!,#REF!,#REF!,#REF!,#REF!</definedName>
    <definedName name="E_ALL_KEYWORDS_TYPE_Vector_ISSR_208001627">#REF!,#REF!,#REF!,#REF!,#REF!,#REF!,#REF!,#REF!,#REF!,#REF!,#REF!,#REF!,#REF!</definedName>
    <definedName name="E_ALL_KEYWORDS_TYPE_Vector_ISSR_208001640">#REF!,#REF!,#REF!,#REF!,#REF!,#REF!,#REF!,#REF!,#REF!,#REF!,#REF!,#REF!,#REF!,#REF!</definedName>
    <definedName name="E_ALL_KEYWORDS_TYPE_Vector_ISSR_208001765">#REF!,#REF!,#REF!,#REF!,#REF!,#REF!,#REF!,#REF!,#REF!,#REF!,#REF!,#REF!,#REF!,#REF!,#REF!,#REF!</definedName>
    <definedName name="E_ALL_KEYWORDS_TYPE_Vector_ISSR_208001785">#REF!,#REF!,#REF!,#REF!,#REF!,#REF!,#REF!,#REF!,#REF!,#REF!,#REF!,#REF!,#REF!</definedName>
    <definedName name="E_ALL_KEYWORDS_TYPE_Vector_ISSR_208002651">#REF!,#REF!,#REF!,#REF!,#REF!,#REF!,#REF!,#REF!,#REF!,#REF!,#REF!,#REF!,#REF!</definedName>
    <definedName name="E_ALL_KEYWORDS_TYPE_Vector_ISSR_208005795">#REF!,#REF!,#REF!,#REF!,#REF!,#REF!,#REF!,#REF!,#REF!,#REF!</definedName>
    <definedName name="E_ALL_KEYWORDS_TYPE_Vector_ISSR_208007359">#REF!,#REF!,#REF!,#REF!,#REF!,#REF!,#REF!,#REF!,#REF!</definedName>
    <definedName name="E_ALL_KEYWORDS_TYPE_Vector_ISSR_208007452">#REF!,#REF!,#REF!,#REF!,#REF!,#REF!,#REF!,#REF!,#REF!,#REF!,#REF!,#REF!,#REF!,#REF!,#REF!,#REF!,#REF!,#REF!,#REF!,#REF!,#REF!,#REF!,#REF!,#REF!,#REF!</definedName>
    <definedName name="E_ALL_KEYWORDS_TYPE_Vector_ISSR_208007986">#REF!,#REF!,#REF!,#REF!,#REF!,#REF!,#REF!,#REF!,#REF!,#REF!,#REF!,#REF!,#REF!,#REF!,#REF!</definedName>
    <definedName name="E_ALL_KEYWORDS_TYPE_Vector_ISSR_208008030">#REF!,#REF!,#REF!,#REF!,#REF!,#REF!,#REF!,#REF!,#REF!,#REF!,#REF!,#REF!,#REF!,#REF!,#REF!,#REF!,#REF!,#REF!,#REF!,#REF!</definedName>
    <definedName name="E_ALL_KEYWORDS_TYPE_Vector_ISSR_208008836">#REF!,#REF!,#REF!,#REF!,#REF!,#REF!,#REF!,#REF!,#REF!,#REF!</definedName>
    <definedName name="E_ALL_KEYWORDS_TYPE_Vector_ISSR_208009722">#REF!,#REF!,#REF!,#REF!,#REF!,#REF!,#REF!,#REF!,#REF!</definedName>
    <definedName name="E_ALL_KEYWORDS_TYPE_Vector_ISSR_208010209">#REF!,#REF!,#REF!,#REF!,#REF!,#REF!,#REF!,#REF!,#REF!,#REF!,#REF!,#REF!,#REF!,#REF!,#REF!</definedName>
    <definedName name="E_ALL_KEYWORDS_TYPE_Vector_ISSR_208011072">#REF!,#REF!,#REF!,#REF!,#REF!,#REF!,#REF!,#REF!,#REF!,#REF!,#REF!,#REF!,#REF!,#REF!</definedName>
    <definedName name="E_ALL_KEYWORDS_TYPE_Vector_ISSR_208011556">#REF!,#REF!,#REF!,#REF!,#REF!,#REF!,#REF!,#REF!,#REF!,#REF!</definedName>
    <definedName name="E_ALL_KEYWORDS_TYPE_Vector_ISSR_208011888">#REF!,#REF!,#REF!,#REF!,#REF!,#REF!,#REF!,#REF!,#REF!,#REF!,#REF!,#REF!,#REF!,#REF!,#REF!,#REF!,#REF!,#REF!,#REF!</definedName>
    <definedName name="E_ALL_KEYWORDS_TYPE_Vector_ISSR_208012959">#REF!,#REF!,#REF!,#REF!,#REF!,#REF!,#REF!,#REF!,#REF!,#REF!,#REF!,#REF!,#REF!,#REF!,#REF!,#REF!,#REF!,#REF!,#REF!,#REF!</definedName>
    <definedName name="E_ALL_KEYWORDS_TYPE_Vector_ISSR_208015351">#REF!,#REF!,#REF!,#REF!,#REF!,#REF!,#REF!,#REF!,#REF!,#REF!,#REF!,#REF!,#REF!,#REF!</definedName>
    <definedName name="E_ALL_KEYWORDS_TYPE_Vector_ISSR_208018253">#REF!,#REF!,#REF!,#REF!,#REF!,#REF!,#REF!,#REF!,#REF!,#REF!,#REF!,#REF!,#REF!</definedName>
    <definedName name="E_ALL_KEYWORDS_TYPE_Vector_ISSR_208020919">#REF!,#REF!,#REF!,#REF!,#REF!,#REF!,#REF!,#REF!,#REF!,#REF!,#REF!,#REF!,#REF!</definedName>
    <definedName name="E_ALL_Ticker0021">#REF!</definedName>
    <definedName name="E_ALL_Company1561">#REF!</definedName>
    <definedName name="E_ALL_Company1584">#REF!</definedName>
    <definedName name="E_ALL_Company1588">#REF!</definedName>
    <definedName name="E_ALL_MCFE">#REF!</definedName>
    <definedName name="E_ALL_Company1666">#REF!</definedName>
    <definedName name="E_ALL_MDB">#REF!</definedName>
    <definedName name="E_ALL_Company1709">#REF!</definedName>
    <definedName name="E_ALL_Company1715">#REF!</definedName>
    <definedName name="E_ALL_Company1744">#REF!</definedName>
    <definedName name="E_ALL_Ticker0024">#REF!</definedName>
    <definedName name="E_ALL_Company1760">#REF!</definedName>
    <definedName name="E_ALL_NOK1V.HE">#REF!</definedName>
    <definedName name="E_ALL_Ticker0027">#REF!</definedName>
    <definedName name="E_ALL_Company1919">#REF!</definedName>
    <definedName name="E_ALL_ON">#REF!</definedName>
    <definedName name="E_ALL_Company2035">#REF!</definedName>
    <definedName name="E_ALL_PERIODS_Company0141">#REF!</definedName>
    <definedName name="E_ALL_PERIODS_Company2327">#REF!</definedName>
    <definedName name="E_ALL_PERIODS_T">#REF!</definedName>
    <definedName name="E_ALL_Company2070">#REF!</definedName>
    <definedName name="E_ALL_Company2194">#REF!</definedName>
    <definedName name="E_ALL_Company2196">#REF!</definedName>
    <definedName name="E_ALL_Company2225">#REF!</definedName>
    <definedName name="E_ALL_Company2257">#REF!</definedName>
    <definedName name="E_ALL_S">#REF!</definedName>
    <definedName name="E_ALL_Company2327">#REF!</definedName>
    <definedName name="E_ALL_SECTION_KEYWORDS_EQTY_200001646_1314">#REF!</definedName>
    <definedName name="E_ALL_SECTION_KEYWORDS_EQTY_200001646_1319">#REF!</definedName>
    <definedName name="E_ALL_SECTION_KEYWORDS_EQTY_200001646_131E">#REF!</definedName>
    <definedName name="E_ALL_SECTION_KEYWORDS_EQTY_200001646_131O">#REF!</definedName>
    <definedName name="E_ALL_SECTION_KEYWORDS_EQTY_200001646_131P">#REF!</definedName>
    <definedName name="E_ALL_SECTION_KEYWORDS_EQTY_200001646_13A">#REF!</definedName>
    <definedName name="E_ALL_SECTION_KEYWORDS_EQTY_200001646_13K">#REF!</definedName>
    <definedName name="E_ALL_SECTION_KEYWORDS_EQTY_200001646_13U">#REF!</definedName>
    <definedName name="E_ALL_SECTION_KEYWORDS_EQTY_200001646_13V">#REF!</definedName>
    <definedName name="E_ALL_SECTION_KEYWORDS_EQTY_200001646_13W">#REF!</definedName>
    <definedName name="E_ALL_SECTION_KEYWORDS_EQTY_200001646_Reference_Data">#REF!</definedName>
    <definedName name="E_ALL_SECTION_KEYWORDS_EQTY_200002831_1314">#REF!</definedName>
    <definedName name="E_ALL_SECTION_KEYWORDS_EQTY_200002831_1319">#REF!</definedName>
    <definedName name="E_ALL_SECTION_KEYWORDS_EQTY_200002831_131E">#REF!</definedName>
    <definedName name="E_ALL_SECTION_KEYWORDS_EQTY_200002831_131O">#REF!</definedName>
    <definedName name="E_ALL_SECTION_KEYWORDS_EQTY_200002831_13A">#REF!</definedName>
    <definedName name="E_ALL_SECTION_KEYWORDS_EQTY_200002831_13K">#REF!</definedName>
    <definedName name="E_ALL_SECTION_KEYWORDS_EQTY_200002831_13U">#REF!</definedName>
    <definedName name="E_ALL_SECTION_KEYWORDS_EQTY_200002831_13V">#REF!</definedName>
    <definedName name="E_ALL_SECTION_KEYWORDS_EQTY_200002831_13W">#REF!</definedName>
    <definedName name="E_ALL_SECTION_KEYWORDS_EQTY_200002831_Reference_Data">#REF!</definedName>
    <definedName name="E_ALL_SECTION_KEYWORDS_EQTY_200004419_1314">#REF!</definedName>
    <definedName name="E_ALL_SECTION_KEYWORDS_EQTY_200004419_1319">#REF!</definedName>
    <definedName name="E_ALL_SECTION_KEYWORDS_EQTY_200004419_131E">#REF!</definedName>
    <definedName name="E_ALL_SECTION_KEYWORDS_EQTY_200004419_131O">#REF!</definedName>
    <definedName name="E_ALL_SECTION_KEYWORDS_EQTY_200004419_13A">#REF!</definedName>
    <definedName name="E_ALL_SECTION_KEYWORDS_EQTY_200004419_13K">#REF!</definedName>
    <definedName name="E_ALL_SECTION_KEYWORDS_EQTY_200004419_13U">#REF!</definedName>
    <definedName name="E_ALL_SECTION_KEYWORDS_EQTY_200004419_13V">#REF!</definedName>
    <definedName name="E_ALL_SECTION_KEYWORDS_EQTY_200004419_13W">#REF!</definedName>
    <definedName name="E_ALL_SECTION_KEYWORDS_EQTY_200004419_Reference_Data">#REF!</definedName>
    <definedName name="E_ALL_SECTION_KEYWORDS_EQTY_200004906_13K">#REF!</definedName>
    <definedName name="E_ALL_SECTION_KEYWORDS_EQTY_200005326_13K">#REF!</definedName>
    <definedName name="E_ALL_SECTION_KEYWORDS_EQTY_200006333_13K">#REF!</definedName>
    <definedName name="E_ALL_SECTION_KEYWORDS_EQTY_200012762_1314">#REF!</definedName>
    <definedName name="E_ALL_SECTION_KEYWORDS_EQTY_200012762_1319">#REF!</definedName>
    <definedName name="E_ALL_SECTION_KEYWORDS_EQTY_200012762_131E">#REF!</definedName>
    <definedName name="E_ALL_SECTION_KEYWORDS_EQTY_200012762_131O">#REF!</definedName>
    <definedName name="E_ALL_SECTION_KEYWORDS_EQTY_200012762_13A">#REF!</definedName>
    <definedName name="E_ALL_SECTION_KEYWORDS_EQTY_200012762_13K">#REF!</definedName>
    <definedName name="E_ALL_SECTION_KEYWORDS_EQTY_200012762_13U">#REF!</definedName>
    <definedName name="E_ALL_SECTION_KEYWORDS_EQTY_200012762_13V">#REF!</definedName>
    <definedName name="E_ALL_SECTION_KEYWORDS_EQTY_200012762_13W">#REF!</definedName>
    <definedName name="E_ALL_SECTION_KEYWORDS_EQTY_200012762_Reference_Data">#REF!</definedName>
    <definedName name="E_ALL_SECTION_KEYWORDS_EQTY_200014750_1314">#REF!</definedName>
    <definedName name="E_ALL_SECTION_KEYWORDS_EQTY_200014750_1319">#REF!</definedName>
    <definedName name="E_ALL_SECTION_KEYWORDS_EQTY_200014750_131E">#REF!</definedName>
    <definedName name="E_ALL_SECTION_KEYWORDS_EQTY_200014750_131O">#REF!</definedName>
    <definedName name="E_ALL_SECTION_KEYWORDS_EQTY_200014750_13A">#REF!</definedName>
    <definedName name="E_ALL_SECTION_KEYWORDS_EQTY_200014750_13K">#REF!</definedName>
    <definedName name="E_ALL_SECTION_KEYWORDS_EQTY_200014750_13U">#REF!</definedName>
    <definedName name="E_ALL_SECTION_KEYWORDS_EQTY_200014750_13V">#REF!</definedName>
    <definedName name="E_ALL_SECTION_KEYWORDS_EQTY_200014750_13W">#REF!</definedName>
    <definedName name="E_ALL_SECTION_KEYWORDS_EQTY_200014750_Reference_Data">#REF!</definedName>
    <definedName name="E_ALL_SECTION_KEYWORDS_EQTY_200021484_13A">#REF!</definedName>
    <definedName name="E_ALL_SECTION_KEYWORDS_EQTY_200021484_13K">#REF!</definedName>
    <definedName name="E_ALL_SECTION_KEYWORDS_ISSR_208000402_136J">#REF!,#REF!</definedName>
    <definedName name="E_ALL_SECTION_KEYWORDS_ISSR_208000435_136J">#REF!,#REF!</definedName>
    <definedName name="E_ALL_SECTION_KEYWORDS_ISSR_208000603_1314">#REF!</definedName>
    <definedName name="E_ALL_SECTION_KEYWORDS_ISSR_208000603_13168">#REF!</definedName>
    <definedName name="E_ALL_SECTION_KEYWORDS_ISSR_208000603_1319">#REF!</definedName>
    <definedName name="E_ALL_SECTION_KEYWORDS_ISSR_208000603_131E">#REF!</definedName>
    <definedName name="E_ALL_SECTION_KEYWORDS_ISSR_208000603_131J">#REF!</definedName>
    <definedName name="E_ALL_SECTION_KEYWORDS_ISSR_208000603_131O">#REF!</definedName>
    <definedName name="E_ALL_SECTION_KEYWORDS_ISSR_208000603_131P">#REF!</definedName>
    <definedName name="E_ALL_SECTION_KEYWORDS_ISSR_208000603_13A">#REF!</definedName>
    <definedName name="E_ALL_SECTION_KEYWORDS_ISSR_208000603_13U">#REF!</definedName>
    <definedName name="E_ALL_SECTION_KEYWORDS_ISSR_208000603_13V">#REF!</definedName>
    <definedName name="E_ALL_SECTION_KEYWORDS_ISSR_208000603_Reference_Data">#REF!</definedName>
    <definedName name="E_ALL_SECTION_KEYWORDS_ISSR_208000826_136J">#REF!,#REF!</definedName>
    <definedName name="E_ALL_SECTION_KEYWORDS_ISSR_208000976_1314">#REF!</definedName>
    <definedName name="E_ALL_SECTION_KEYWORDS_ISSR_208000976_13168">#REF!</definedName>
    <definedName name="E_ALL_SECTION_KEYWORDS_ISSR_208000976_1316T">#REF!</definedName>
    <definedName name="E_ALL_SECTION_KEYWORDS_ISSR_208000976_1316U">#REF!</definedName>
    <definedName name="E_ALL_SECTION_KEYWORDS_ISSR_208000976_1319">#REF!</definedName>
    <definedName name="E_ALL_SECTION_KEYWORDS_ISSR_208000976_131E">#REF!</definedName>
    <definedName name="E_ALL_SECTION_KEYWORDS_ISSR_208000976_131J">#REF!</definedName>
    <definedName name="E_ALL_SECTION_KEYWORDS_ISSR_208000976_131O">#REF!</definedName>
    <definedName name="E_ALL_SECTION_KEYWORDS_ISSR_208000976_136E">#REF!,#REF!</definedName>
    <definedName name="E_ALL_SECTION_KEYWORDS_ISSR_208000976_13A">#REF!</definedName>
    <definedName name="E_ALL_SECTION_KEYWORDS_ISSR_208000976_13U">#REF!</definedName>
    <definedName name="E_ALL_SECTION_KEYWORDS_ISSR_208000976_13V">#REF!</definedName>
    <definedName name="E_ALL_SECTION_KEYWORDS_ISSR_208000976_Reference_Data">#REF!</definedName>
    <definedName name="E_ALL_SECTION_KEYWORDS_ISSR_208000977_136E">#REF!,#REF!</definedName>
    <definedName name="E_ALL_SECTION_KEYWORDS_ISSR_208001048_13V">#REF!,#REF!</definedName>
    <definedName name="E_ALL_SECTION_KEYWORDS_ISSR_208001258_1314">#REF!</definedName>
    <definedName name="E_ALL_SECTION_KEYWORDS_ISSR_208001258_13168">#REF!</definedName>
    <definedName name="E_ALL_SECTION_KEYWORDS_ISSR_208001258_1316T">#REF!</definedName>
    <definedName name="E_ALL_SECTION_KEYWORDS_ISSR_208001258_1316U">#REF!</definedName>
    <definedName name="E_ALL_SECTION_KEYWORDS_ISSR_208001258_1319">#REF!</definedName>
    <definedName name="E_ALL_SECTION_KEYWORDS_ISSR_208001258_131E">#REF!</definedName>
    <definedName name="E_ALL_SECTION_KEYWORDS_ISSR_208001258_131J">#REF!</definedName>
    <definedName name="E_ALL_SECTION_KEYWORDS_ISSR_208001258_131O">#REF!</definedName>
    <definedName name="E_ALL_SECTION_KEYWORDS_ISSR_208001258_13A">#REF!</definedName>
    <definedName name="E_ALL_SECTION_KEYWORDS_ISSR_208001258_13U">#REF!</definedName>
    <definedName name="E_ALL_SECTION_KEYWORDS_ISSR_208001258_13V">#REF!</definedName>
    <definedName name="E_ALL_SECTION_KEYWORDS_ISSR_208001258_Reference_Data">#REF!</definedName>
    <definedName name="E_ALL_SECTION_KEYWORDS_ISSR_208001370_1314">#REF!</definedName>
    <definedName name="E_ALL_SECTION_KEYWORDS_ISSR_208001370_1319">#REF!</definedName>
    <definedName name="E_ALL_SECTION_KEYWORDS_ISSR_208001370_131E">#REF!</definedName>
    <definedName name="E_ALL_SECTION_KEYWORDS_ISSR_208001370_13V">#REF!,#REF!</definedName>
    <definedName name="E_ALL_SECTION_KEYWORDS_ISSR_208001515_1314">#REF!</definedName>
    <definedName name="E_ALL_SECTION_KEYWORDS_ISSR_208001515_1319">#REF!</definedName>
    <definedName name="E_ALL_SECTION_KEYWORDS_ISSR_208001515_131E">#REF!</definedName>
    <definedName name="E_ALL_SECTION_KEYWORDS_ISSR_208001515_13V">#REF!,#REF!</definedName>
    <definedName name="E_ALL_SECTION_KEYWORDS_ISSR_208001627_131O">#REF!,#REF!</definedName>
    <definedName name="E_ALL_SECTION_KEYWORDS_ISSR_208001640_13V">#REF!,#REF!</definedName>
    <definedName name="E_ALL_SECTION_KEYWORDS_ISSR_208001765_1314">#REF!</definedName>
    <definedName name="E_ALL_SECTION_KEYWORDS_ISSR_208001765_13168">#REF!</definedName>
    <definedName name="E_ALL_SECTION_KEYWORDS_ISSR_208001765_1316T">#REF!</definedName>
    <definedName name="E_ALL_SECTION_KEYWORDS_ISSR_208001765_1319">#REF!</definedName>
    <definedName name="E_ALL_SECTION_KEYWORDS_ISSR_208001765_131E">#REF!</definedName>
    <definedName name="E_ALL_SECTION_KEYWORDS_ISSR_208001765_136E">#REF!,#REF!</definedName>
    <definedName name="E_ALL_SECTION_KEYWORDS_ISSR_208001765_13V">#REF!,#REF!</definedName>
    <definedName name="E_ALL_SECTION_KEYWORDS_ISSR_208001785_13V">#REF!,#REF!</definedName>
    <definedName name="E_ALL_SECTION_KEYWORDS_ISSR_208002651_13V">#REF!,#REF!</definedName>
    <definedName name="E_ALL_SECTION_KEYWORDS_ISSR_208006029_136E">#REF!,#REF!</definedName>
    <definedName name="E_ALL_SECTION_KEYWORDS_ISSR_208006029_13V">#REF!,#REF!</definedName>
    <definedName name="E_ALL_SECTION_KEYWORDS_ISSR_208007452_136J">#REF!,#REF!</definedName>
    <definedName name="E_ALL_SECTION_KEYWORDS_ISSR_208007452_13V">#REF!,#REF!</definedName>
    <definedName name="E_ALL_SECTION_KEYWORDS_ISSR_208007986_13168">#REF!,#REF!</definedName>
    <definedName name="E_ALL_SECTION_KEYWORDS_ISSR_208007986_136E">#REF!,#REF!</definedName>
    <definedName name="E_ALL_SECTION_KEYWORDS_ISSR_208008030_1316P">#REF!,#REF!</definedName>
    <definedName name="E_ALL_SECTION_KEYWORDS_ISSR_208008030_131Y">#REF!,#REF!</definedName>
    <definedName name="E_ALL_SECTION_KEYWORDS_ISSR_208008030_134L">#REF!,#REF!</definedName>
    <definedName name="E_ALL_SECTION_KEYWORDS_ISSR_208008836_136E">#REF!,#REF!</definedName>
    <definedName name="E_ALL_SECTION_KEYWORDS_ISSR_208009722_1314">#REF!</definedName>
    <definedName name="E_ALL_SECTION_KEYWORDS_ISSR_208009722_13168">#REF!</definedName>
    <definedName name="E_ALL_SECTION_KEYWORDS_ISSR_208009722_1319">#REF!</definedName>
    <definedName name="E_ALL_SECTION_KEYWORDS_ISSR_208009722_131E">#REF!</definedName>
    <definedName name="E_ALL_SECTION_KEYWORDS_ISSR_208009722_131J">#REF!</definedName>
    <definedName name="E_ALL_SECTION_KEYWORDS_ISSR_208009722_131O">#REF!</definedName>
    <definedName name="E_ALL_SECTION_KEYWORDS_ISSR_208009722_13A">#REF!</definedName>
    <definedName name="E_ALL_SECTION_KEYWORDS_ISSR_208009722_13U">#REF!</definedName>
    <definedName name="E_ALL_SECTION_KEYWORDS_ISSR_208009722_13V">#REF!</definedName>
    <definedName name="E_ALL_SECTION_KEYWORDS_ISSR_208009722_Reference_Data">#REF!</definedName>
    <definedName name="E_ALL_SECTION_KEYWORDS_ISSR_208011556_1314">#REF!</definedName>
    <definedName name="E_ALL_SECTION_KEYWORDS_ISSR_208011556_13168">#REF!</definedName>
    <definedName name="E_ALL_SECTION_KEYWORDS_ISSR_208011556_1316T">#REF!</definedName>
    <definedName name="E_ALL_SECTION_KEYWORDS_ISSR_208011556_1316U">#REF!</definedName>
    <definedName name="E_ALL_SECTION_KEYWORDS_ISSR_208011556_1319">#REF!</definedName>
    <definedName name="E_ALL_SECTION_KEYWORDS_ISSR_208011556_131E">#REF!</definedName>
    <definedName name="E_ALL_SECTION_KEYWORDS_ISSR_208011556_131J">#REF!</definedName>
    <definedName name="E_ALL_SECTION_KEYWORDS_ISSR_208011556_131O">#REF!</definedName>
    <definedName name="E_ALL_SECTION_KEYWORDS_ISSR_208011556_13A">#REF!</definedName>
    <definedName name="E_ALL_SECTION_KEYWORDS_ISSR_208011556_13U">#REF!</definedName>
    <definedName name="E_ALL_SECTION_KEYWORDS_ISSR_208011556_13V">#REF!</definedName>
    <definedName name="E_ALL_SECTION_KEYWORDS_ISSR_208011556_Reference_Data">#REF!</definedName>
    <definedName name="E_ALL_SECTION_KEYWORDS_ISSR_208011888_136E">#REF!,#REF!</definedName>
    <definedName name="E_ALL_SECTION_KEYWORDS_ISSR_208015351_13V">#REF!,#REF!</definedName>
    <definedName name="E_ALL_SECTION_KEYWORDS_ISSR_208018253_131O">#REF!,#REF!</definedName>
    <definedName name="E_ALL_SECTION_KEYWORDS_ISSR_208020919_131O">#REF!,#REF!</definedName>
    <definedName name="E_ALL_SECTION_KEYWORDS_ISSR_208020919_136J">#REF!,#REF!</definedName>
    <definedName name="E_ALL_SECTIONS_EQTY_200000304">#REF!,#REF!,#REF!,#REF!,#REF!,#REF!,#REF!,#REF!,#REF!,#REF!</definedName>
    <definedName name="E_ALL_SECTIONS_EQTY_200001265">#REF!,#REF!,#REF!,#REF!,#REF!,#REF!,#REF!,#REF!,#REF!,#REF!</definedName>
    <definedName name="E_ALL_SECTIONS_EQTY_200001320">#REF!,#REF!,#REF!,#REF!,#REF!,#REF!,#REF!,#REF!,#REF!,#REF!</definedName>
    <definedName name="E_ALL_SECTIONS_EQTY_200001330">#REF!,#REF!,#REF!,#REF!,#REF!,#REF!,#REF!,#REF!,#REF!,#REF!</definedName>
    <definedName name="E_ALL_SECTIONS_EQTY_200001353">#REF!,#REF!,#REF!,#REF!,#REF!,#REF!,#REF!,#REF!</definedName>
    <definedName name="E_ALL_SECTIONS_EQTY_200001371">#REF!,#REF!,#REF!,#REF!,#REF!,#REF!,#REF!,#REF!</definedName>
    <definedName name="E_ALL_SECTIONS_EQTY_200001381">#REF!,#REF!,#REF!,#REF!,#REF!,#REF!,#REF!,#REF!,#REF!,#REF!</definedName>
    <definedName name="E_ALL_SECTIONS_EQTY_200001646">#REF!,#REF!,#REF!,#REF!,#REF!,#REF!,#REF!,#REF!,#REF!,#REF!,#REF!</definedName>
    <definedName name="E_ALL_SECTIONS_EQTY_200002831">#REF!,#REF!,#REF!,#REF!,#REF!,#REF!,#REF!,#REF!,#REF!,#REF!</definedName>
    <definedName name="E_ALL_SECTIONS_EQTY_200002833">#REF!,#REF!,#REF!,#REF!,#REF!,#REF!,#REF!,#REF!,#REF!,#REF!</definedName>
    <definedName name="E_ALL_SECTIONS_EQTY_200003037">#REF!,#REF!,#REF!,#REF!,#REF!,#REF!,#REF!,#REF!,#REF!,#REF!</definedName>
    <definedName name="E_ALL_SECTIONS_EQTY_200003892">#REF!,#REF!,#REF!,#REF!,#REF!,#REF!,#REF!,#REF!,#REF!,#REF!</definedName>
    <definedName name="E_ALL_SECTIONS_EQTY_200004419">#REF!,#REF!,#REF!,#REF!,#REF!,#REF!,#REF!,#REF!,#REF!,#REF!</definedName>
    <definedName name="E_ALL_SECTIONS_EQTY_200005326">#REF!,#REF!,#REF!,#REF!,#REF!,#REF!,#REF!,#REF!,#REF!,#REF!</definedName>
    <definedName name="E_ALL_SECTIONS_EQTY_200006232">#REF!,#REF!,#REF!,#REF!,#REF!,#REF!,#REF!,#REF!,#REF!,#REF!</definedName>
    <definedName name="E_ALL_SECTIONS_EQTY_200009556">#REF!,#REF!,#REF!,#REF!,#REF!,#REF!,#REF!,#REF!,#REF!,#REF!</definedName>
    <definedName name="E_ALL_SECTIONS_EQTY_200011598">#REF!,#REF!,#REF!,#REF!,#REF!,#REF!,#REF!,#REF!,#REF!,#REF!</definedName>
    <definedName name="E_ALL_SECTIONS_EQTY_200012762">#REF!,#REF!,#REF!,#REF!,#REF!,#REF!,#REF!,#REF!,#REF!,#REF!</definedName>
    <definedName name="E_ALL_SECTIONS_EQTY_200014300">#REF!,#REF!,#REF!,#REF!,#REF!,#REF!,#REF!,#REF!,#REF!,#REF!</definedName>
    <definedName name="E_ALL_SECTIONS_EQTY_200014750">#REF!,#REF!,#REF!,#REF!,#REF!,#REF!,#REF!,#REF!,#REF!,#REF!</definedName>
    <definedName name="E_ALL_SECTIONS_EQTY_200015107">#REF!,#REF!,#REF!,#REF!,#REF!,#REF!,#REF!,#REF!,#REF!,#REF!</definedName>
    <definedName name="E_ALL_SECTIONS_EQTY_200015716">#REF!,#REF!,#REF!,#REF!,#REF!,#REF!,#REF!,#REF!,#REF!,#REF!</definedName>
    <definedName name="E_ALL_SECTIONS_EQTY_200015757">#REF!,#REF!,#REF!,#REF!,#REF!,#REF!,#REF!,#REF!,#REF!,#REF!,#REF!</definedName>
    <definedName name="E_ALL_SECTIONS_EQTY_200016026">#REF!,#REF!,#REF!,#REF!,#REF!,#REF!,#REF!,#REF!,#REF!,#REF!,#REF!</definedName>
    <definedName name="E_ALL_SECTIONS_EQTY_200017745">#REF!,#REF!,#REF!,#REF!,#REF!,#REF!,#REF!,#REF!,#REF!,#REF!</definedName>
    <definedName name="E_ALL_SECTIONS_ISSR_208000430">#REF!,#REF!,#REF!,#REF!,#REF!,#REF!,#REF!,#REF!,#REF!,#REF!,#REF!</definedName>
    <definedName name="E_ALL_SECTIONS_ISSR_208000451">#REF!,#REF!,#REF!,#REF!,#REF!,#REF!,#REF!,#REF!,#REF!,#REF!</definedName>
    <definedName name="E_ALL_SECTIONS_ISSR_208000603">#REF!,#REF!,#REF!,#REF!,#REF!,#REF!,#REF!,#REF!,#REF!,#REF!,#REF!</definedName>
    <definedName name="E_ALL_SECTIONS_ISSR_208000977">#REF!,#REF!,#REF!,#REF!,#REF!,#REF!,#REF!,#REF!,#REF!,#REF!,#REF!</definedName>
    <definedName name="E_ALL_SECTIONS_ISSR_208001049">#REF!,#REF!,#REF!,#REF!,#REF!,#REF!,#REF!,#REF!,#REF!,#REF!,#REF!</definedName>
    <definedName name="E_ALL_SECTIONS_ISSR_208001137">#REF!,#REF!,#REF!,#REF!,#REF!,#REF!,#REF!,#REF!,#REF!,#REF!,#REF!</definedName>
    <definedName name="E_ALL_SECTIONS_ISSR_208001258">#REF!,#REF!,#REF!,#REF!,#REF!,#REF!,#REF!,#REF!,#REF!,#REF!,#REF!</definedName>
    <definedName name="E_ALL_SECTIONS_ISSR_208001515">#REF!,#REF!,#REF!,#REF!,#REF!,#REF!,#REF!,#REF!,#REF!,#REF!</definedName>
    <definedName name="E_ALL_SECTIONS_ISSR_208005795">#REF!,#REF!,#REF!,#REF!,#REF!,#REF!,#REF!,#REF!,#REF!,#REF!,#REF!</definedName>
    <definedName name="E_ALL_SECTIONS_ISSR_208007359">#REF!,#REF!,#REF!,#REF!,#REF!,#REF!,#REF!,#REF!,#REF!,#REF!</definedName>
    <definedName name="E_ALL_SECTIONS_ISSR_208009722">#REF!,#REF!,#REF!,#REF!,#REF!,#REF!,#REF!,#REF!,#REF!,#REF!</definedName>
    <definedName name="E_ALL_SECTIONS_ISSR_208010209">#REF!,#REF!,#REF!,#REF!,#REF!,#REF!,#REF!,#REF!,#REF!,#REF!,#REF!</definedName>
    <definedName name="E_ALL_SECTIONS_ISSR_208011072">#REF!,#REF!,#REF!,#REF!,#REF!,#REF!,#REF!,#REF!,#REF!,#REF!,#REF!</definedName>
    <definedName name="E_ALL_SECTIONS_ISSR_208012959">#REF!,#REF!,#REF!,#REF!,#REF!,#REF!,#REF!,#REF!,#REF!,#REF!,#REF!,#REF!,#REF!</definedName>
    <definedName name="E_ALL_SECTIONS_ISSR_208015351">#REF!,#REF!,#REF!,#REF!,#REF!,#REF!,#REF!,#REF!,#REF!,#REF!,#REF!</definedName>
    <definedName name="E_ALL_SEMI">#REF!</definedName>
    <definedName name="E_ALL_Company2410">#REF!</definedName>
    <definedName name="E_ALL_Company2514">#REF!</definedName>
    <definedName name="E_ALL_T">#REF!</definedName>
    <definedName name="E_ALL_TEL">#REF!</definedName>
    <definedName name="E_ALL_Company2637">#REF!</definedName>
    <definedName name="E_ALL_TER">#REF!</definedName>
    <definedName name="E_ALL_Ticker0031">#REF!</definedName>
    <definedName name="E_ALL_Company2662">#REF!</definedName>
    <definedName name="E_ALL_Company2714">#REF!</definedName>
    <definedName name="E_ALL_Company2718">#REF!</definedName>
    <definedName name="E_ALL_Company2724">#REF!</definedName>
    <definedName name="E_ALL_Company2865">#REF!</definedName>
    <definedName name="E_ALL_Company2881">#REF!</definedName>
    <definedName name="E_ALL_VZ">#REF!</definedName>
    <definedName name="E_ALL_Company2932">#REF!</definedName>
    <definedName name="E_ALL_WIN">#REF!</definedName>
    <definedName name="E_ALL_Company3047">#REF!</definedName>
    <definedName name="E_ALL_ZS">#REF!</definedName>
    <definedName name="E_ALL_ZS_OLD">#REF!</definedName>
    <definedName name="E_CURRENCY_EQTY_200000304_PRI">#REF!</definedName>
    <definedName name="E_CURRENCY_EQTY_200000304_PUB">#REF!</definedName>
    <definedName name="E_CURRENCY_EQTY_200000304_REP">#REF!</definedName>
    <definedName name="E_CURRENCY_EQTY_200001265_PRI">#REF!</definedName>
    <definedName name="E_CURRENCY_EQTY_200001265_PUB">#REF!</definedName>
    <definedName name="E_CURRENCY_EQTY_200001265_REP">#REF!</definedName>
    <definedName name="E_CURRENCY_EQTY_200001320_PRI">#REF!</definedName>
    <definedName name="E_CURRENCY_EQTY_200001320_PUB">#REF!</definedName>
    <definedName name="E_CURRENCY_EQTY_200001320_REP">#REF!</definedName>
    <definedName name="E_CURRENCY_EQTY_200001330_PRI">#REF!</definedName>
    <definedName name="E_CURRENCY_EQTY_200001330_PUB">#REF!</definedName>
    <definedName name="E_CURRENCY_EQTY_200001330_REP">#REF!</definedName>
    <definedName name="E_CURRENCY_EQTY_200001353_PRI">#REF!</definedName>
    <definedName name="E_CURRENCY_EQTY_200001353_PUB">#REF!</definedName>
    <definedName name="E_CURRENCY_EQTY_200001353_REP">#REF!</definedName>
    <definedName name="E_CURRENCY_EQTY_200001371_PRI">#REF!</definedName>
    <definedName name="E_CURRENCY_EQTY_200001371_PUB">#REF!</definedName>
    <definedName name="E_CURRENCY_EQTY_200001371_REP">#REF!</definedName>
    <definedName name="E_CURRENCY_EQTY_200001381_PRI" hidden="1">#REF!</definedName>
    <definedName name="E_CURRENCY_EQTY_200001381_PUB" hidden="1">#REF!</definedName>
    <definedName name="E_CURRENCY_EQTY_200001381_REP" hidden="1">#REF!</definedName>
    <definedName name="E_CURRENCY_EQTY_200001646_PRI">#REF!</definedName>
    <definedName name="E_CURRENCY_EQTY_200001646_PUB">#REF!</definedName>
    <definedName name="E_CURRENCY_EQTY_200001646_REP">#REF!</definedName>
    <definedName name="E_CURRENCY_EQTY_200002831_PRI">#REF!</definedName>
    <definedName name="E_CURRENCY_EQTY_200002831_PUB">#REF!</definedName>
    <definedName name="E_CURRENCY_EQTY_200002831_REP">#REF!</definedName>
    <definedName name="E_CURRENCY_EQTY_200002833_PRI">#REF!</definedName>
    <definedName name="E_CURRENCY_EQTY_200002833_PUB">#REF!</definedName>
    <definedName name="E_CURRENCY_EQTY_200002833_REP">#REF!</definedName>
    <definedName name="E_CURRENCY_EQTY_200003037_PRI">#REF!</definedName>
    <definedName name="E_CURRENCY_EQTY_200003037_PUB">#REF!</definedName>
    <definedName name="E_CURRENCY_EQTY_200003037_REP">#REF!</definedName>
    <definedName name="E_CURRENCY_EQTY_200003892_PRI">#REF!</definedName>
    <definedName name="E_CURRENCY_EQTY_200003892_PUB">#REF!</definedName>
    <definedName name="E_CURRENCY_EQTY_200003892_REP">#REF!</definedName>
    <definedName name="E_CURRENCY_EQTY_200004419_PRI">#REF!</definedName>
    <definedName name="E_CURRENCY_EQTY_200004419_PUB">#REF!</definedName>
    <definedName name="E_CURRENCY_EQTY_200004419_REP">#REF!</definedName>
    <definedName name="E_CURRENCY_EQTY_200005326_PRI">#REF!</definedName>
    <definedName name="E_CURRENCY_EQTY_200005326_PUB">#REF!</definedName>
    <definedName name="E_CURRENCY_EQTY_200005326_REP">#REF!</definedName>
    <definedName name="E_CURRENCY_EQTY_200006232_PRI">#REF!</definedName>
    <definedName name="E_CURRENCY_EQTY_200006232_PUB">#REF!</definedName>
    <definedName name="E_CURRENCY_EQTY_200006232_REP">#REF!</definedName>
    <definedName name="E_CURRENCY_EQTY_200006639_PUB">#REF!</definedName>
    <definedName name="E_CURRENCY_EQTY_200009556_PRI">#REF!</definedName>
    <definedName name="E_CURRENCY_EQTY_200009556_PUB">#REF!</definedName>
    <definedName name="E_CURRENCY_EQTY_200009556_REP">#REF!</definedName>
    <definedName name="E_CURRENCY_EQTY_200011598_PRI">#REF!</definedName>
    <definedName name="E_CURRENCY_EQTY_200011598_PUB">#REF!</definedName>
    <definedName name="E_CURRENCY_EQTY_200011598_REP">#REF!</definedName>
    <definedName name="E_CURRENCY_EQTY_200012762_PRI">#REF!</definedName>
    <definedName name="E_CURRENCY_EQTY_200012762_PUB">#REF!</definedName>
    <definedName name="E_CURRENCY_EQTY_200012762_REP">#REF!</definedName>
    <definedName name="E_CURRENCY_EQTY_200014300_PRI">#REF!</definedName>
    <definedName name="E_CURRENCY_EQTY_200014300_PUB">#REF!</definedName>
    <definedName name="E_CURRENCY_EQTY_200014300_REP">#REF!</definedName>
    <definedName name="E_CURRENCY_EQTY_200014750_PRI">#REF!</definedName>
    <definedName name="E_CURRENCY_EQTY_200014750_PUB">#REF!</definedName>
    <definedName name="E_CURRENCY_EQTY_200014750_REP">#REF!</definedName>
    <definedName name="E_CURRENCY_EQTY_200015107_PRI">#REF!</definedName>
    <definedName name="E_CURRENCY_EQTY_200015107_PUB">#REF!</definedName>
    <definedName name="E_CURRENCY_EQTY_200015107_REP">#REF!</definedName>
    <definedName name="E_CURRENCY_EQTY_200015716_PRI">#REF!</definedName>
    <definedName name="E_CURRENCY_EQTY_200015716_PUB">#REF!</definedName>
    <definedName name="E_CURRENCY_EQTY_200015716_REP">#REF!</definedName>
    <definedName name="E_CURRENCY_EQTY_200015757_PRI">#REF!</definedName>
    <definedName name="E_CURRENCY_EQTY_200015757_PUB">#REF!</definedName>
    <definedName name="E_CURRENCY_EQTY_200015757_REP">#REF!</definedName>
    <definedName name="E_CURRENCY_EQTY_200016026_PRI">#REF!</definedName>
    <definedName name="E_CURRENCY_EQTY_200016026_PUB">#REF!</definedName>
    <definedName name="E_CURRENCY_EQTY_200016026_REP">#REF!</definedName>
    <definedName name="E_CURRENCY_EQTY_200017745_PRI">#REF!</definedName>
    <definedName name="E_CURRENCY_EQTY_200017745_PUB">#REF!</definedName>
    <definedName name="E_CURRENCY_EQTY_200017745_REP">#REF!</definedName>
    <definedName name="E_CURRENCY_ISSR_208000027_REP">#REF!</definedName>
    <definedName name="E_CURRENCY_ISSR_208000402_REP">#REF!</definedName>
    <definedName name="E_CURRENCY_ISSR_208000430_REP">#REF!</definedName>
    <definedName name="E_CURRENCY_ISSR_208000435_REP">#REF!</definedName>
    <definedName name="E_CURRENCY_ISSR_208000451_REP">#REF!</definedName>
    <definedName name="E_CURRENCY_ISSR_208000468_REP" hidden="1">#REF!</definedName>
    <definedName name="E_CURRENCY_ISSR_208000603_REP">#REF!</definedName>
    <definedName name="E_CURRENCY_ISSR_208000976_REP">#REF!</definedName>
    <definedName name="E_CURRENCY_ISSR_208000977_REP">#REF!</definedName>
    <definedName name="E_CURRENCY_ISSR_208001049_REP">#REF!</definedName>
    <definedName name="E_CURRENCY_ISSR_208001137_REP">#REF!</definedName>
    <definedName name="E_CURRENCY_ISSR_208001258_REP">#REF!</definedName>
    <definedName name="E_CURRENCY_ISSR_208001515_REP">#REF!</definedName>
    <definedName name="E_CURRENCY_ISSR_208005795_REP">#REF!</definedName>
    <definedName name="E_CURRENCY_ISSR_208007359_REP">#REF!</definedName>
    <definedName name="E_CURRENCY_ISSR_208008030_REP">#REF!</definedName>
    <definedName name="E_CURRENCY_ISSR_208008836_REP">#REF!</definedName>
    <definedName name="E_CURRENCY_ISSR_208009722_REP">#REF!</definedName>
    <definedName name="E_CURRENCY_ISSR_208010209_REP">#REF!</definedName>
    <definedName name="E_CURRENCY_ISSR_208011072_REP">#REF!</definedName>
    <definedName name="E_CURRENCY_ISSR_208011556_REP">#REF!</definedName>
    <definedName name="E_CURRENCY_ISSR_208011888_REP">#REF!</definedName>
    <definedName name="E_CURRENCY_ISSR_208012959_REP">#REF!</definedName>
    <definedName name="E_CURRENCY_ISSR_208015351_REP">#REF!</definedName>
    <definedName name="E_ENTITY_DATA_EQTY_200001646">#REF!</definedName>
    <definedName name="E_ENTITY_DATA_EQTY_200012762">#REF!</definedName>
    <definedName name="E_ENTITY_DATA_ISSR_208000603">#REF!</definedName>
    <definedName name="E_ENTITY_DATA_ISSR_208009722">#REF!</definedName>
    <definedName name="E_ENTITY_DATA_ISSR_208011556">#REF!</definedName>
    <definedName name="E_KEYWORD_EQTY_200001646_ACT1">#REF!</definedName>
    <definedName name="E_KEYWORD_EQTY_200001646_AMER_CONVICTION">#REF!</definedName>
    <definedName name="E_KEYWORD_EQTY_200001646_AMER_LIST">#REF!</definedName>
    <definedName name="E_KEYWORD_EQTY_200001646_BETA_ANALYST">#REF!</definedName>
    <definedName name="E_KEYWORD_EQTY_200001646_BVPS">#REF!</definedName>
    <definedName name="E_KEYWORD_EQTY_200001646_BVPS_PUB">#REF!</definedName>
    <definedName name="E_KEYWORD_EQTY_200001646_CF_NI_PRE_PREF">#REF!</definedName>
    <definedName name="E_KEYWORD_EQTY_200001646_COMMON_DIV_PAID">#REF!</definedName>
    <definedName name="E_KEYWORD_EQTY_200001646_CURRENCY_ISO">#REF!</definedName>
    <definedName name="E_KEYWORD_EQTY_200001646_DILUTE_SHARES">#REF!</definedName>
    <definedName name="E_KEYWORD_EQTY_200001646_DPS">#REF!</definedName>
    <definedName name="E_KEYWORD_EQTY_200001646_DPS_PUB">#REF!</definedName>
    <definedName name="E_KEYWORD_EQTY_200001646_EBIT_PUB">#REF!</definedName>
    <definedName name="E_KEYWORD_EQTY_200001646_EBITDA_PUB">#REF!</definedName>
    <definedName name="E_KEYWORD_EQTY_200001646_EPS">#REF!</definedName>
    <definedName name="E_KEYWORD_EQTY_200001646_EPS_EX_ESO_B">#REF!</definedName>
    <definedName name="E_KEYWORD_EQTY_200001646_EPS_EX_ESO_D">#REF!</definedName>
    <definedName name="E_KEYWORD_EQTY_200001646_EPS_FUL_DIL">#REF!</definedName>
    <definedName name="E_KEYWORD_EQTY_200001646_EPS_POST_BASIC">#REF!</definedName>
    <definedName name="E_KEYWORD_EQTY_200001646_EPS_PUB">#REF!</definedName>
    <definedName name="E_KEYWORD_EQTY_200001646_EPS_PUB_EX_ESO">#REF!</definedName>
    <definedName name="E_KEYWORD_EQTY_200001646_EQ_PUB">#REF!</definedName>
    <definedName name="E_KEYWORD_EQTY_200001646_ESO_POST_TAX">#REF!</definedName>
    <definedName name="E_KEYWORD_EQTY_200001646_ESO_YEAR">#REF!</definedName>
    <definedName name="E_KEYWORD_EQTY_200001646_EV_ADJ_PUB">#REF!</definedName>
    <definedName name="E_KEYWORD_EQTY_200001646_FREE_FLOAT">#REF!</definedName>
    <definedName name="E_KEYWORD_EQTY_200001646_FULLY_DIL_EPS">#REF!</definedName>
    <definedName name="E_KEYWORD_EQTY_200001646_FV_GRANT">#REF!</definedName>
    <definedName name="E_KEYWORD_EQTY_200001646_GT_BETA">#REF!</definedName>
    <definedName name="E_KEYWORD_EQTY_200001646_INC_MINORITY">#REF!</definedName>
    <definedName name="E_KEYWORD_EQTY_200001646_Interim_Type">#REF!</definedName>
    <definedName name="E_KEYWORD_EQTY_200001646_LEGAL_RATING">#REF!</definedName>
    <definedName name="E_KEYWORD_EQTY_200001646_MARGIN_TAX_RATE">#REF!</definedName>
    <definedName name="E_KEYWORD_EQTY_200001646_MKT_EQ_RISK_PREM">#REF!</definedName>
    <definedName name="E_KEYWORD_EQTY_200001646_NET_DEBT_PUB">#REF!</definedName>
    <definedName name="E_KEYWORD_EQTY_200001646_NET_EARNING">#REF!</definedName>
    <definedName name="E_KEYWORD_EQTY_200001646_NET_INC">#REF!</definedName>
    <definedName name="E_KEYWORD_EQTY_200001646_NI_PRE_PREF">#REF!</definedName>
    <definedName name="E_KEYWORD_EQTY_200001646_NI_PUB">#REF!</definedName>
    <definedName name="E_KEYWORD_EQTY_200001646_NON_OP_ADD">#REF!</definedName>
    <definedName name="E_KEYWORD_EQTY_200001646_NUM_SH">#REF!</definedName>
    <definedName name="E_KEYWORD_EQTY_200001646_PREF_DIV">#REF!</definedName>
    <definedName name="E_KEYWORD_EQTY_200001646_PRICE_CURRENCY_ISO">#REF!</definedName>
    <definedName name="E_KEYWORD_EQTY_200001646_PROV_INC_TAX">#REF!</definedName>
    <definedName name="E_KEYWORD_EQTY_200001646_PTP_PUB">#REF!</definedName>
    <definedName name="E_KEYWORD_EQTY_200001646_PUB_CURRENCY_ISO">#REF!</definedName>
    <definedName name="E_KEYWORD_EQTY_200001646_REPUR_ACTUAL">#REF!</definedName>
    <definedName name="E_KEYWORD_EQTY_200001646_REPUR_REMAINING">#REF!</definedName>
    <definedName name="E_KEYWORD_EQTY_200001646_REPUR_SUSPENDED">#REF!</definedName>
    <definedName name="E_KEYWORD_EQTY_200001646_REPUR_TOT_AUTH">#REF!</definedName>
    <definedName name="E_KEYWORD_EQTY_200001646_REVS_PUB">#REF!</definedName>
    <definedName name="E_KEYWORD_EQTY_200001646_RISK_FR_RATE">#REF!</definedName>
    <definedName name="E_KEYWORD_EQTY_200001646_Security_Name">#REF!</definedName>
    <definedName name="E_KEYWORD_EQTY_200001646_SH">#REF!</definedName>
    <definedName name="E_KEYWORD_EQTY_200001646_TARGET_PRICE">#REF!</definedName>
    <definedName name="E_KEYWORD_EQTY_200001646_TAX_EXC">#REF!</definedName>
    <definedName name="E_KEYWORD_EQTY_200001646_Ticker">#REF!</definedName>
    <definedName name="E_KEYWORD_EQTY_200001646_TP_PERIOD">#REF!</definedName>
    <definedName name="E_KEYWORD_EQTY_200002831_ACT1">#REF!</definedName>
    <definedName name="E_KEYWORD_EQTY_200002831_ACT2">#REF!</definedName>
    <definedName name="E_KEYWORD_EQTY_200002831_ACT3">#REF!</definedName>
    <definedName name="E_KEYWORD_EQTY_200002831_ACT4">#REF!</definedName>
    <definedName name="E_KEYWORD_EQTY_200002831_ACT5">#REF!</definedName>
    <definedName name="E_KEYWORD_EQTY_200002831_ACT6">#REF!</definedName>
    <definedName name="E_KEYWORD_EQTY_200002831_ACT7">#REF!</definedName>
    <definedName name="E_KEYWORD_EQTY_200002831_ACT8">#REF!</definedName>
    <definedName name="E_KEYWORD_EQTY_200002831_ACT9">#REF!</definedName>
    <definedName name="E_KEYWORD_EQTY_200002831_AMER_CONVICTION">#REF!</definedName>
    <definedName name="E_KEYWORD_EQTY_200002831_AMER_LIST">#REF!</definedName>
    <definedName name="E_KEYWORD_EQTY_200002831_BETA_ANALYST">#REF!</definedName>
    <definedName name="E_KEYWORD_EQTY_200002831_BVPS">#REF!</definedName>
    <definedName name="E_KEYWORD_EQTY_200002831_BVPS_PUB">#REF!</definedName>
    <definedName name="E_KEYWORD_EQTY_200002831_CF_NI_PRE_PREF">#REF!</definedName>
    <definedName name="E_KEYWORD_EQTY_200002831_COMMON_DIV_PAID">#REF!</definedName>
    <definedName name="E_KEYWORD_EQTY_200002831_CURRENCY_ISO">#REF!</definedName>
    <definedName name="E_KEYWORD_EQTY_200002831_DILUTE_SHARES">#REF!</definedName>
    <definedName name="E_KEYWORD_EQTY_200002831_DPS">#REF!</definedName>
    <definedName name="E_KEYWORD_EQTY_200002831_DPS_PUB">#REF!</definedName>
    <definedName name="E_KEYWORD_EQTY_200002831_EBIT_PUB">#REF!</definedName>
    <definedName name="E_KEYWORD_EQTY_200002831_EBITDA_PUB">#REF!</definedName>
    <definedName name="E_KEYWORD_EQTY_200002831_EPS">#REF!</definedName>
    <definedName name="E_KEYWORD_EQTY_200002831_EPS_EX_ESO_B">#REF!</definedName>
    <definedName name="E_KEYWORD_EQTY_200002831_EPS_EX_ESO_D">#REF!</definedName>
    <definedName name="E_KEYWORD_EQTY_200002831_EPS_FUL_DIL">#REF!</definedName>
    <definedName name="E_KEYWORD_EQTY_200002831_EPS_POST_BASIC">#REF!</definedName>
    <definedName name="E_KEYWORD_EQTY_200002831_EPS_PUB">#REF!</definedName>
    <definedName name="E_KEYWORD_EQTY_200002831_EPS_PUB_EX_ESO">#REF!</definedName>
    <definedName name="E_KEYWORD_EQTY_200002831_EQ_PUB">#REF!</definedName>
    <definedName name="E_KEYWORD_EQTY_200002831_ESO_POST_TAX">#REF!</definedName>
    <definedName name="E_KEYWORD_EQTY_200002831_ESO_YEAR">#REF!</definedName>
    <definedName name="E_KEYWORD_EQTY_200002831_EV_ADJ_PUB">#REF!</definedName>
    <definedName name="E_KEYWORD_EQTY_200002831_FREE_FLOAT">#REF!</definedName>
    <definedName name="E_KEYWORD_EQTY_200002831_FULLY_DIL_EPS">#REF!</definedName>
    <definedName name="E_KEYWORD_EQTY_200002831_FV_GRANT">#REF!</definedName>
    <definedName name="E_KEYWORD_EQTY_200002831_INC_MINORITY">#REF!</definedName>
    <definedName name="E_KEYWORD_EQTY_200002831_Interim_Type">#REF!</definedName>
    <definedName name="E_KEYWORD_EQTY_200002831_LEGAL_RATING">#REF!</definedName>
    <definedName name="E_KEYWORD_EQTY_200002831_MARGIN_TAX_RATE">#REF!</definedName>
    <definedName name="E_KEYWORD_EQTY_200002831_MKT_EQ_RISK_PREM">#REF!</definedName>
    <definedName name="E_KEYWORD_EQTY_200002831_NET_DEBT_PUB">#REF!</definedName>
    <definedName name="E_KEYWORD_EQTY_200002831_NET_EARNING">#REF!</definedName>
    <definedName name="E_KEYWORD_EQTY_200002831_NET_INC">#REF!</definedName>
    <definedName name="E_KEYWORD_EQTY_200002831_NI_PRE_PREF">#REF!</definedName>
    <definedName name="E_KEYWORD_EQTY_200002831_NI_PUB">#REF!</definedName>
    <definedName name="E_KEYWORD_EQTY_200002831_NON_OP_ADD">#REF!</definedName>
    <definedName name="E_KEYWORD_EQTY_200002831_NUM_SH">#REF!</definedName>
    <definedName name="E_KEYWORD_EQTY_200002831_PREF_DIV">#REF!</definedName>
    <definedName name="E_KEYWORD_EQTY_200002831_PRICE_CURRENCY_ISO">#REF!</definedName>
    <definedName name="E_KEYWORD_EQTY_200002831_PROV_INC_TAX">#REF!</definedName>
    <definedName name="E_KEYWORD_EQTY_200002831_PTP_PUB">#REF!</definedName>
    <definedName name="E_KEYWORD_EQTY_200002831_PUB_CURRENCY_ISO">#REF!</definedName>
    <definedName name="E_KEYWORD_EQTY_200002831_REPUR_ACTUAL">#REF!</definedName>
    <definedName name="E_KEYWORD_EQTY_200002831_REPUR_REMAINING">#REF!</definedName>
    <definedName name="E_KEYWORD_EQTY_200002831_REPUR_SUSPENDED">#REF!</definedName>
    <definedName name="E_KEYWORD_EQTY_200002831_REPUR_TOT_AUTH">#REF!</definedName>
    <definedName name="E_KEYWORD_EQTY_200002831_REVS_PUB">#REF!</definedName>
    <definedName name="E_KEYWORD_EQTY_200002831_RISK_FR_RATE">#REF!</definedName>
    <definedName name="E_KEYWORD_EQTY_200002831_Security_Name">#REF!</definedName>
    <definedName name="E_KEYWORD_EQTY_200002831_SH">#REF!</definedName>
    <definedName name="E_KEYWORD_EQTY_200002831_TARGET_PRICE">#REF!</definedName>
    <definedName name="E_KEYWORD_EQTY_200002831_TAX_EXC">#REF!</definedName>
    <definedName name="E_KEYWORD_EQTY_200002831_Ticker">#REF!</definedName>
    <definedName name="E_KEYWORD_EQTY_200002831_TP_PERIOD">#REF!</definedName>
    <definedName name="E_KEYWORD_EQTY_200004419_ACT1">#REF!</definedName>
    <definedName name="E_KEYWORD_EQTY_200004419_ACT2">#REF!</definedName>
    <definedName name="E_KEYWORD_EQTY_200004419_ACT3">#REF!</definedName>
    <definedName name="E_KEYWORD_EQTY_200004419_ACT4">#REF!</definedName>
    <definedName name="E_KEYWORD_EQTY_200004419_ACT5">#REF!</definedName>
    <definedName name="E_KEYWORD_EQTY_200004419_ACT6">#REF!</definedName>
    <definedName name="E_KEYWORD_EQTY_200004419_ACT7">#REF!</definedName>
    <definedName name="E_KEYWORD_EQTY_200004419_ACT8">#REF!</definedName>
    <definedName name="E_KEYWORD_EQTY_200004419_ACT9">#REF!</definedName>
    <definedName name="E_KEYWORD_EQTY_200004419_AMER_CONVICTION">#REF!</definedName>
    <definedName name="E_KEYWORD_EQTY_200004419_AMER_LIST">#REF!</definedName>
    <definedName name="E_KEYWORD_EQTY_200004419_BETA_ANALYST">#REF!</definedName>
    <definedName name="E_KEYWORD_EQTY_200004419_BVPS">#REF!</definedName>
    <definedName name="E_KEYWORD_EQTY_200004419_BVPS_PUB">#REF!</definedName>
    <definedName name="E_KEYWORD_EQTY_200004419_CEEE_EPS">#REF!</definedName>
    <definedName name="E_KEYWORD_EQTY_200004419_CF_NI_PRE_PREF">#REF!</definedName>
    <definedName name="E_KEYWORD_EQTY_200004419_COMMON_DIV_PAID">#REF!</definedName>
    <definedName name="E_KEYWORD_EQTY_200004419_CURRENCY_ISO">#REF!</definedName>
    <definedName name="E_KEYWORD_EQTY_200004419_DILUTE_SHARES">#REF!</definedName>
    <definedName name="E_KEYWORD_EQTY_200004419_DPS">#REF!</definedName>
    <definedName name="E_KEYWORD_EQTY_200004419_DPS_PUB">#REF!</definedName>
    <definedName name="E_KEYWORD_EQTY_200004419_EBIT_PUB">#REF!</definedName>
    <definedName name="E_KEYWORD_EQTY_200004419_EBITDA_PUB">#REF!</definedName>
    <definedName name="E_KEYWORD_EQTY_200004419_EPS">#REF!</definedName>
    <definedName name="E_KEYWORD_EQTY_200004419_EPS_EX_ESO_B">#REF!</definedName>
    <definedName name="E_KEYWORD_EQTY_200004419_EPS_EX_ESO_D">#REF!</definedName>
    <definedName name="E_KEYWORD_EQTY_200004419_EPS_FUL_DIL">#REF!</definedName>
    <definedName name="E_KEYWORD_EQTY_200004419_EPS_POST_BASIC">#REF!</definedName>
    <definedName name="E_KEYWORD_EQTY_200004419_EPS_PUB">#REF!</definedName>
    <definedName name="E_KEYWORD_EQTY_200004419_EPS_PUB_EX_ESO">#REF!</definedName>
    <definedName name="E_KEYWORD_EQTY_200004419_EQ_PUB">#REF!</definedName>
    <definedName name="E_KEYWORD_EQTY_200004419_ESO_POST_TAX">#REF!</definedName>
    <definedName name="E_KEYWORD_EQTY_200004419_ESO_YEAR">#REF!</definedName>
    <definedName name="E_KEYWORD_EQTY_200004419_EV_ADJ_PUB">#REF!</definedName>
    <definedName name="E_KEYWORD_EQTY_200004419_FREE_FLOAT">#REF!</definedName>
    <definedName name="E_KEYWORD_EQTY_200004419_FULLY_DIL_EPS">#REF!</definedName>
    <definedName name="E_KEYWORD_EQTY_200004419_FV_GRANT">#REF!</definedName>
    <definedName name="E_KEYWORD_EQTY_200004419_INC_MINORITY">#REF!</definedName>
    <definedName name="E_KEYWORD_EQTY_200004419_Interim_Type">#REF!</definedName>
    <definedName name="E_KEYWORD_EQTY_200004419_LEGAL_RATING">#REF!</definedName>
    <definedName name="E_KEYWORD_EQTY_200004419_MARGIN_TAX_RATE">#REF!</definedName>
    <definedName name="E_KEYWORD_EQTY_200004419_MKT_EQ_RISK_PREM">#REF!</definedName>
    <definedName name="E_KEYWORD_EQTY_200004419_NET_DEBT_PUB">#REF!</definedName>
    <definedName name="E_KEYWORD_EQTY_200004419_NET_EARNING">#REF!</definedName>
    <definedName name="E_KEYWORD_EQTY_200004419_NET_INC">#REF!</definedName>
    <definedName name="E_KEYWORD_EQTY_200004419_NI_PRE_PREF">#REF!</definedName>
    <definedName name="E_KEYWORD_EQTY_200004419_NI_PUB">#REF!</definedName>
    <definedName name="E_KEYWORD_EQTY_200004419_NON_OP_ADD">#REF!</definedName>
    <definedName name="E_KEYWORD_EQTY_200004419_NUM_SH">#REF!</definedName>
    <definedName name="E_KEYWORD_EQTY_200004419_PREF_DIV">#REF!</definedName>
    <definedName name="E_KEYWORD_EQTY_200004419_PRICE_CURRENCY_ISO">#REF!</definedName>
    <definedName name="E_KEYWORD_EQTY_200004419_PROV_INC_TAX">#REF!</definedName>
    <definedName name="E_KEYWORD_EQTY_200004419_PTP_PUB">#REF!</definedName>
    <definedName name="E_KEYWORD_EQTY_200004419_PUB_CURRENCY_ISO">#REF!</definedName>
    <definedName name="E_KEYWORD_EQTY_200004419_REPUR_ACTUAL">#REF!</definedName>
    <definedName name="E_KEYWORD_EQTY_200004419_REPUR_REMAINING">#REF!</definedName>
    <definedName name="E_KEYWORD_EQTY_200004419_REPUR_SUSPENDED">#REF!</definedName>
    <definedName name="E_KEYWORD_EQTY_200004419_REPUR_TOT_AUTH">#REF!</definedName>
    <definedName name="E_KEYWORD_EQTY_200004419_REVS_PUB">#REF!</definedName>
    <definedName name="E_KEYWORD_EQTY_200004419_RISK_FR_RATE">#REF!</definedName>
    <definedName name="E_KEYWORD_EQTY_200004419_Security_Name">#REF!</definedName>
    <definedName name="E_KEYWORD_EQTY_200004419_SH">#REF!</definedName>
    <definedName name="E_KEYWORD_EQTY_200004419_TARGET_PRICE">#REF!</definedName>
    <definedName name="E_KEYWORD_EQTY_200004419_TAX_EXC">#REF!</definedName>
    <definedName name="E_KEYWORD_EQTY_200004419_Ticker">#REF!</definedName>
    <definedName name="E_KEYWORD_EQTY_200004419_TP_PERIOD">#REF!</definedName>
    <definedName name="E_KEYWORD_EQTY_200012762_AMER_CONVICTION">#REF!</definedName>
    <definedName name="E_KEYWORD_EQTY_200012762_AMER_LIST">#REF!</definedName>
    <definedName name="E_KEYWORD_EQTY_200012762_BETA_ANALYST">#REF!</definedName>
    <definedName name="E_KEYWORD_EQTY_200012762_BVPS">#REF!</definedName>
    <definedName name="E_KEYWORD_EQTY_200012762_BVPS_PUB">#REF!</definedName>
    <definedName name="E_KEYWORD_EQTY_200012762_CEEE_EPS">#REF!</definedName>
    <definedName name="E_KEYWORD_EQTY_200012762_CF_NI_PRE_PREF">#REF!</definedName>
    <definedName name="E_KEYWORD_EQTY_200012762_COMMON_DIV_PAID">#REF!</definedName>
    <definedName name="E_KEYWORD_EQTY_200012762_CURRENCY_ISO">#REF!</definedName>
    <definedName name="E_KEYWORD_EQTY_200012762_DILUTE_SHARES">#REF!</definedName>
    <definedName name="E_KEYWORD_EQTY_200012762_DPS">#REF!</definedName>
    <definedName name="E_KEYWORD_EQTY_200012762_DPS_PUB">#REF!</definedName>
    <definedName name="E_KEYWORD_EQTY_200012762_EBIT_PUB">#REF!</definedName>
    <definedName name="E_KEYWORD_EQTY_200012762_EBITDA_PUB">#REF!</definedName>
    <definedName name="E_KEYWORD_EQTY_200012762_EPS">#REF!</definedName>
    <definedName name="E_KEYWORD_EQTY_200012762_EPS_EX_ESO_B">#REF!</definedName>
    <definedName name="E_KEYWORD_EQTY_200012762_EPS_EX_ESO_D">#REF!</definedName>
    <definedName name="E_KEYWORD_EQTY_200012762_EPS_FUL_DIL">#REF!</definedName>
    <definedName name="E_KEYWORD_EQTY_200012762_EPS_POST_BASIC">#REF!</definedName>
    <definedName name="E_KEYWORD_EQTY_200012762_EPS_PUB">#REF!</definedName>
    <definedName name="E_KEYWORD_EQTY_200012762_EPS_PUB_EX_ESO">#REF!</definedName>
    <definedName name="E_KEYWORD_EQTY_200012762_EQ_PUB">#REF!</definedName>
    <definedName name="E_KEYWORD_EQTY_200012762_ESO_POST_TAX">#REF!</definedName>
    <definedName name="E_KEYWORD_EQTY_200012762_ESO_YEAR">#REF!</definedName>
    <definedName name="E_KEYWORD_EQTY_200012762_EV_ADJ_PUB">#REF!</definedName>
    <definedName name="E_KEYWORD_EQTY_200012762_FREE_FLOAT">#REF!</definedName>
    <definedName name="E_KEYWORD_EQTY_200012762_FULLY_DIL_EPS">#REF!</definedName>
    <definedName name="E_KEYWORD_EQTY_200012762_FV_GRANT">#REF!</definedName>
    <definedName name="E_KEYWORD_EQTY_200012762_INC_MINORITY">#REF!</definedName>
    <definedName name="E_KEYWORD_EQTY_200012762_Interim_Type">#REF!</definedName>
    <definedName name="E_KEYWORD_EQTY_200012762_LEGAL_RATING">#REF!</definedName>
    <definedName name="E_KEYWORD_EQTY_200012762_MARGIN_TAX_RATE">#REF!</definedName>
    <definedName name="E_KEYWORD_EQTY_200012762_MKT_EQ_RISK_PREM">#REF!</definedName>
    <definedName name="E_KEYWORD_EQTY_200012762_NET_DEBT_PUB">#REF!</definedName>
    <definedName name="E_KEYWORD_EQTY_200012762_NET_EARNING">#REF!</definedName>
    <definedName name="E_KEYWORD_EQTY_200012762_NET_INC">#REF!</definedName>
    <definedName name="E_KEYWORD_EQTY_200012762_NI_PRE_PREF">#REF!</definedName>
    <definedName name="E_KEYWORD_EQTY_200012762_NI_PUB">#REF!</definedName>
    <definedName name="E_KEYWORD_EQTY_200012762_NON_OP_ADD">#REF!</definedName>
    <definedName name="E_KEYWORD_EQTY_200012762_NUM_SH">#REF!</definedName>
    <definedName name="E_KEYWORD_EQTY_200012762_PREF_DIV">#REF!</definedName>
    <definedName name="E_KEYWORD_EQTY_200012762_PRICE_CURRENCY_ISO">#REF!</definedName>
    <definedName name="E_KEYWORD_EQTY_200012762_PROV_INC_TAX">#REF!</definedName>
    <definedName name="E_KEYWORD_EQTY_200012762_PTP_PUB">#REF!</definedName>
    <definedName name="E_KEYWORD_EQTY_200012762_PUB_CURRENCY_ISO">#REF!</definedName>
    <definedName name="E_KEYWORD_EQTY_200012762_REPUR_ACTUAL">#REF!</definedName>
    <definedName name="E_KEYWORD_EQTY_200012762_REPUR_REMAINING">#REF!</definedName>
    <definedName name="E_KEYWORD_EQTY_200012762_REPUR_SUSPENDED">#REF!</definedName>
    <definedName name="E_KEYWORD_EQTY_200012762_REPUR_TOT_AUTH">#REF!</definedName>
    <definedName name="E_KEYWORD_EQTY_200012762_REVS_PUB">#REF!</definedName>
    <definedName name="E_KEYWORD_EQTY_200012762_RISK_FR_RATE">#REF!</definedName>
    <definedName name="E_KEYWORD_EQTY_200012762_Security_Name">#REF!</definedName>
    <definedName name="E_KEYWORD_EQTY_200012762_SH">#REF!</definedName>
    <definedName name="E_KEYWORD_EQTY_200012762_TARGET_PRICE">#REF!</definedName>
    <definedName name="E_KEYWORD_EQTY_200012762_TAX_EXC">#REF!</definedName>
    <definedName name="E_KEYWORD_EQTY_200012762_Ticker">#REF!</definedName>
    <definedName name="E_KEYWORD_EQTY_200012762_TP_PERIOD">#REF!</definedName>
    <definedName name="E_KEYWORD_EQTY_200014750_AMER_CONVICTION">#REF!</definedName>
    <definedName name="E_KEYWORD_EQTY_200014750_AMER_LIST">#REF!</definedName>
    <definedName name="E_KEYWORD_EQTY_200014750_BETA_ANALYST">#REF!</definedName>
    <definedName name="E_KEYWORD_EQTY_200014750_BVPS">#REF!</definedName>
    <definedName name="E_KEYWORD_EQTY_200014750_BVPS_PUB">#REF!</definedName>
    <definedName name="E_KEYWORD_EQTY_200014750_CEEE_EPS">#REF!</definedName>
    <definedName name="E_KEYWORD_EQTY_200014750_CF_NI_PRE_PREF">#REF!</definedName>
    <definedName name="E_KEYWORD_EQTY_200014750_COMMON_DIV_PAID">#REF!</definedName>
    <definedName name="E_KEYWORD_EQTY_200014750_CURRENCY_ISO">#REF!</definedName>
    <definedName name="E_KEYWORD_EQTY_200014750_DILUTE_SHARES">#REF!</definedName>
    <definedName name="E_KEYWORD_EQTY_200014750_DPS">#REF!</definedName>
    <definedName name="E_KEYWORD_EQTY_200014750_DPS_PUB">#REF!</definedName>
    <definedName name="E_KEYWORD_EQTY_200014750_EBIT_PUB">#REF!</definedName>
    <definedName name="E_KEYWORD_EQTY_200014750_EBITDA_PUB">#REF!</definedName>
    <definedName name="E_KEYWORD_EQTY_200014750_EPS">#REF!</definedName>
    <definedName name="E_KEYWORD_EQTY_200014750_EPS_CONS_PUB">#REF!</definedName>
    <definedName name="E_KEYWORD_EQTY_200014750_EPS_EX_ESO_B">#REF!</definedName>
    <definedName name="E_KEYWORD_EQTY_200014750_EPS_EX_ESO_D">#REF!</definedName>
    <definedName name="E_KEYWORD_EQTY_200014750_EPS_FUL_DIL">#REF!</definedName>
    <definedName name="E_KEYWORD_EQTY_200014750_EPS_POST_BASIC">#REF!</definedName>
    <definedName name="E_KEYWORD_EQTY_200014750_EPS_PUB">#REF!</definedName>
    <definedName name="E_KEYWORD_EQTY_200014750_EPS_PUB_EX_ESO">#REF!</definedName>
    <definedName name="E_KEYWORD_EQTY_200014750_EQ_PUB">#REF!</definedName>
    <definedName name="E_KEYWORD_EQTY_200014750_ESO_POST_TAX">#REF!</definedName>
    <definedName name="E_KEYWORD_EQTY_200014750_ESO_YEAR">#REF!</definedName>
    <definedName name="E_KEYWORD_EQTY_200014750_EV_ADJ_PUB">#REF!</definedName>
    <definedName name="E_KEYWORD_EQTY_200014750_FOREIGN_HOLDNG">#REF!</definedName>
    <definedName name="E_KEYWORD_EQTY_200014750_FREE_FLOAT">#REF!</definedName>
    <definedName name="E_KEYWORD_EQTY_200014750_FULLY_DIL_EPS">#REF!</definedName>
    <definedName name="E_KEYWORD_EQTY_200014750_FV_GRANT">#REF!</definedName>
    <definedName name="E_KEYWORD_EQTY_200014750_INC_MINORITY">#REF!</definedName>
    <definedName name="E_KEYWORD_EQTY_200014750_Interim_Type">#REF!</definedName>
    <definedName name="E_KEYWORD_EQTY_200014750_LEGAL_RATING">#REF!</definedName>
    <definedName name="E_KEYWORD_EQTY_200014750_MARGIN_TAX_RATE">#REF!</definedName>
    <definedName name="E_KEYWORD_EQTY_200014750_MKT_EQ_RISK_PREM">#REF!</definedName>
    <definedName name="E_KEYWORD_EQTY_200014750_NET_DEBT_PUB">#REF!</definedName>
    <definedName name="E_KEYWORD_EQTY_200014750_NET_EARNING">#REF!</definedName>
    <definedName name="E_KEYWORD_EQTY_200014750_NET_INC">#REF!</definedName>
    <definedName name="E_KEYWORD_EQTY_200014750_NI_CONS">#REF!</definedName>
    <definedName name="E_KEYWORD_EQTY_200014750_NI_PRE_PREF">#REF!</definedName>
    <definedName name="E_KEYWORD_EQTY_200014750_NI_PUB">#REF!</definedName>
    <definedName name="E_KEYWORD_EQTY_200014750_NON_OP_ADD">#REF!</definedName>
    <definedName name="E_KEYWORD_EQTY_200014750_NUM_SH">#REF!</definedName>
    <definedName name="E_KEYWORD_EQTY_200014750_PREF_DIV">#REF!</definedName>
    <definedName name="E_KEYWORD_EQTY_200014750_PRI_TARG_METH">#REF!</definedName>
    <definedName name="E_KEYWORD_EQTY_200014750_PRI_TARG_MULT">#REF!</definedName>
    <definedName name="E_KEYWORD_EQTY_200014750_PRICE_CURRENCY_ISO">#REF!</definedName>
    <definedName name="E_KEYWORD_EQTY_200014750_PROV_INC_TAX">#REF!</definedName>
    <definedName name="E_KEYWORD_EQTY_200014750_PTP_PUB">#REF!</definedName>
    <definedName name="E_KEYWORD_EQTY_200014750_PUB_CURRENCY_ISO">#REF!</definedName>
    <definedName name="E_KEYWORD_EQTY_200014750_REPUR_ACTUAL">#REF!</definedName>
    <definedName name="E_KEYWORD_EQTY_200014750_REPUR_REMAINING">#REF!</definedName>
    <definedName name="E_KEYWORD_EQTY_200014750_REPUR_SUSPENDED">#REF!</definedName>
    <definedName name="E_KEYWORD_EQTY_200014750_REPUR_TOT_AUTH">#REF!</definedName>
    <definedName name="E_KEYWORD_EQTY_200014750_REVS_PUB">#REF!</definedName>
    <definedName name="E_KEYWORD_EQTY_200014750_RISK_FR_RATE">#REF!</definedName>
    <definedName name="E_KEYWORD_EQTY_200014750_Security_Name">#REF!</definedName>
    <definedName name="E_KEYWORD_EQTY_200014750_SH">#REF!</definedName>
    <definedName name="E_KEYWORD_EQTY_200014750_TARGET_PRICE">#REF!</definedName>
    <definedName name="E_KEYWORD_EQTY_200014750_TAX_EXC">#REF!</definedName>
    <definedName name="E_KEYWORD_EQTY_200014750_Ticker">#REF!</definedName>
    <definedName name="E_KEYWORD_EQTY_200014750_TP_PERIOD">#REF!</definedName>
    <definedName name="E_KEYWORD_ISSR_208000603_ACC_AMORT">#REF!</definedName>
    <definedName name="E_KEYWORD_ISSR_208000603_ACC_DDA">#REF!</definedName>
    <definedName name="E_KEYWORD_ISSR_208000603_ACC_END_DATE">#REF!</definedName>
    <definedName name="E_KEYWORD_ISSR_208000603_ACC_GW_AM">#REF!</definedName>
    <definedName name="E_KEYWORD_ISSR_208000603_ACC_PAY_GQ">#REF!</definedName>
    <definedName name="E_KEYWORD_ISSR_208000603_ACCUM_AMORT">#REF!</definedName>
    <definedName name="E_KEYWORD_ISSR_208000603_ACQ">#REF!</definedName>
    <definedName name="E_KEYWORD_ISSR_208000603_ADJ_UNF_PENS_GOOD">#REF!</definedName>
    <definedName name="E_KEYWORD_ISSR_208000603_ASSOC_JV_ADDBK">#REF!</definedName>
    <definedName name="E_KEYWORD_ISSR_208000603_ASSOCIATE">#REF!</definedName>
    <definedName name="E_KEYWORD_ISSR_208000603_ASSOCIATE_OP">#REF!</definedName>
    <definedName name="E_KEYWORD_ISSR_208000603_BAL_MINO_INT">#REF!</definedName>
    <definedName name="E_KEYWORD_ISSR_208000603_CAP_LEASES">#REF!</definedName>
    <definedName name="E_KEYWORD_ISSR_208000603_CAPEX">#REF!</definedName>
    <definedName name="E_KEYWORD_ISSR_208000603_CAPEX_EXPANSION">#REF!</definedName>
    <definedName name="E_KEYWORD_ISSR_208000603_CAPEX_MAINTENANCE">#REF!</definedName>
    <definedName name="E_KEYWORD_ISSR_208000603_CASH_EQ">#REF!</definedName>
    <definedName name="E_KEYWORD_ISSR_208000603_CASH_INT_EXP">#REF!</definedName>
    <definedName name="E_KEYWORD_ISSR_208000603_CASH_TAX_EXP">#REF!</definedName>
    <definedName name="E_KEYWORD_ISSR_208000603_CF_FIN">#REF!</definedName>
    <definedName name="E_KEYWORD_ISSR_208000603_CF_INC_MINORITY">#REF!</definedName>
    <definedName name="E_KEYWORD_ISSR_208000603_CF_INV">#REF!</definedName>
    <definedName name="E_KEYWORD_ISSR_208000603_CF_OPS">#REF!</definedName>
    <definedName name="E_KEYWORD_ISSR_208000603_CHG_LT_DEBT">#REF!</definedName>
    <definedName name="E_KEYWORD_ISSR_208000603_CO_BOR_MARGIN">#REF!</definedName>
    <definedName name="E_KEYWORD_ISSR_208000603_COST_GD_SD">#REF!</definedName>
    <definedName name="E_KEYWORD_ISSR_208000603_CUR_ASS">#REF!</definedName>
    <definedName name="E_KEYWORD_ISSR_208000603_CURRENCY_ISO">#REF!</definedName>
    <definedName name="E_KEYWORD_ISSR_208000603_DEBTORS">#REF!</definedName>
    <definedName name="E_KEYWORD_ISSR_208000603_DEF_INC_TAX">#REF!</definedName>
    <definedName name="E_KEYWORD_ISSR_208000603_DEPR_AMORT">#REF!</definedName>
    <definedName name="E_KEYWORD_ISSR_208000603_DEPREC">#REF!</definedName>
    <definedName name="E_KEYWORD_ISSR_208000603_DIV_PAID">#REF!</definedName>
    <definedName name="E_KEYWORD_ISSR_208000603_DIVDS_ASSOC_JV">#REF!</definedName>
    <definedName name="E_KEYWORD_ISSR_208000603_DIVDS_PD_MINORITIES">#REF!</definedName>
    <definedName name="E_KEYWORD_ISSR_208000603_DIVEST">#REF!</definedName>
    <definedName name="E_KEYWORD_ISSR_208000603_EBIT">#REF!</definedName>
    <definedName name="E_KEYWORD_ISSR_208000603_EBIT_FIN_SEGMENT">#REF!</definedName>
    <definedName name="E_KEYWORD_ISSR_208000603_EBITDA_CALC">#REF!</definedName>
    <definedName name="E_KEYWORD_ISSR_208000603_EMPLOYEES">#REF!</definedName>
    <definedName name="E_KEYWORD_ISSR_208000603_EQ">#REF!</definedName>
    <definedName name="E_KEYWORD_ISSR_208000603_ESO_PRE_TAX">#REF!</definedName>
    <definedName name="E_KEYWORD_ISSR_208000603_FIX_ASS_INV">#REF!</definedName>
    <definedName name="E_KEYWORD_ISSR_208000603_GCI_INFL">#REF!</definedName>
    <definedName name="E_KEYWORD_ISSR_208000603_GOODWILL_AMORT">#REF!</definedName>
    <definedName name="E_KEYWORD_ISSR_208000603_GR_FIX_ASS">#REF!</definedName>
    <definedName name="E_KEYWORD_ISSR_208000603_GR_INTANG">#REF!</definedName>
    <definedName name="E_KEYWORD_ISSR_208000603_GROSS_GW">#REF!</definedName>
    <definedName name="E_KEYWORD_ISSR_208000603_GROSS_OTH_INTANG">#REF!</definedName>
    <definedName name="E_KEYWORD_ISSR_208000603_GT_BLEND_ARPU_PC">#REF!</definedName>
    <definedName name="E_KEYWORD_ISSR_208000603_GT_BLEND_MOU">#REF!</definedName>
    <definedName name="E_KEYWORD_ISSR_208000603_GT_CAPEX_MOU">#REF!</definedName>
    <definedName name="E_KEYWORD_ISSR_208000603_GT_DSL_SUB">#REF!</definedName>
    <definedName name="E_KEYWORD_ISSR_208000603_GT_FIX_DATA_REV">#REF!</definedName>
    <definedName name="E_KEYWORD_ISSR_208000603_GT_FIX_VOICE_REV">#REF!</definedName>
    <definedName name="E_KEYWORD_ISSR_208000603_GT_LD_SUB">#REF!</definedName>
    <definedName name="E_KEYWORD_ISSR_208000603_GT_MOB_DATA_REV">#REF!</definedName>
    <definedName name="E_KEYWORD_ISSR_208000603_GT_MOB_VOICE_REV">#REF!</definedName>
    <definedName name="E_KEYWORD_ISSR_208000603_GT_OTH_CAPEX">#REF!</definedName>
    <definedName name="E_KEYWORD_ISSR_208000603_GT_OTH_REV">#REF!</definedName>
    <definedName name="E_KEYWORD_ISSR_208000603_GT_OTHER_REV">#REF!</definedName>
    <definedName name="E_KEYWORD_ISSR_208000603_GT_PAY_TV_REV">#REF!</definedName>
    <definedName name="E_KEYWORD_ISSR_208000603_GT_SERVC_REV">#REF!</definedName>
    <definedName name="E_KEYWORD_ISSR_208000603_GT_TOT_ACC_LINE">#REF!</definedName>
    <definedName name="E_KEYWORD_ISSR_208000603_GT_TOT_BUS_LINE">#REF!</definedName>
    <definedName name="E_KEYWORD_ISSR_208000603_GT_TOT_MINS">#REF!</definedName>
    <definedName name="E_KEYWORD_ISSR_208000603_GT_TOT_PPD_SUB_PC">#REF!</definedName>
    <definedName name="E_KEYWORD_ISSR_208000603_GT_TOT_RES_LINE">#REF!</definedName>
    <definedName name="E_KEYWORD_ISSR_208000603_GT_TOT_RET_LINE">#REF!</definedName>
    <definedName name="E_KEYWORD_ISSR_208000603_GT_Company2963_CAPEX">#REF!</definedName>
    <definedName name="E_KEYWORD_ISSR_208000603_GT_Company2963_REV">#REF!</definedName>
    <definedName name="E_KEYWORD_ISSR_208000603_GT_WRLS_ARPU">#REF!</definedName>
    <definedName name="E_KEYWORD_ISSR_208000603_GT_WRLS_CAPEX">#REF!</definedName>
    <definedName name="E_KEYWORD_ISSR_208000603_GT_WRLS_CHURN">#REF!</definedName>
    <definedName name="E_KEYWORD_ISSR_208000603_GT_WRLS_REV">#REF!</definedName>
    <definedName name="E_KEYWORD_ISSR_208000603_GT_WRLS_SUB">#REF!</definedName>
    <definedName name="E_KEYWORD_ISSR_208000603_INT_EXP_IND">#REF!</definedName>
    <definedName name="E_KEYWORD_ISSR_208000603_INT_INC_IND">#REF!</definedName>
    <definedName name="E_KEYWORD_ISSR_208000603_INT_PAID_CF">#REF!</definedName>
    <definedName name="E_KEYWORD_ISSR_208000603_INTANG_CAPEX">#REF!</definedName>
    <definedName name="E_KEYWORD_ISSR_208000603_INV_SECUR">#REF!</definedName>
    <definedName name="E_KEYWORD_ISSR_208000603_Issuer_Name">#REF!</definedName>
    <definedName name="E_KEYWORD_ISSR_208000603_LEASE_DEEM_DEPR">#REF!</definedName>
    <definedName name="E_KEYWORD_ISSR_208000603_LEASE_DEEM_INT">#REF!</definedName>
    <definedName name="E_KEYWORD_ISSR_208000603_LEASE_PAY">#REF!</definedName>
    <definedName name="E_KEYWORD_ISSR_208000603_LT_DEBT">#REF!</definedName>
    <definedName name="E_KEYWORD_ISSR_208000603_MA_PROB">#REF!</definedName>
    <definedName name="E_KEYWORD_ISSR_208000603_MINORITIES">#REF!</definedName>
    <definedName name="E_KEYWORD_ISSR_208000603_MV_ASSOCIATES">#REF!</definedName>
    <definedName name="E_KEYWORD_ISSR_208000603_NET_DEBT">#REF!</definedName>
    <definedName name="E_KEYWORD_ISSR_208000603_NET_DEBT_ADJ">#REF!</definedName>
    <definedName name="E_KEYWORD_ISSR_208000603_NET_FIX_ASS">#REF!</definedName>
    <definedName name="E_KEYWORD_ISSR_208000603_NET_GW">#REF!</definedName>
    <definedName name="E_KEYWORD_ISSR_208000603_NET_INT_CH">#REF!</definedName>
    <definedName name="E_KEYWORD_ISSR_208000603_NET_INT_EXP">#REF!</definedName>
    <definedName name="E_KEYWORD_ISSR_208000603_NET_INTANG">#REF!</definedName>
    <definedName name="E_KEYWORD_ISSR_208000603_NET_OTH_INTANG">#REF!</definedName>
    <definedName name="E_KEYWORD_ISSR_208000603_NONPPE_CAPEX">#REF!</definedName>
    <definedName name="E_KEYWORD_ISSR_208000603_OP_AUSTRA">#REF!</definedName>
    <definedName name="E_KEYWORD_ISSR_208000603_OP_AUSTRIA">#REF!</definedName>
    <definedName name="E_KEYWORD_ISSR_208000603_OP_COMPANY0377">#REF!</definedName>
    <definedName name="E_KEYWORD_ISSR_208000603_OP_BRAZIL">#REF!</definedName>
    <definedName name="E_KEYWORD_ISSR_208000603_OP_CANADA">#REF!</definedName>
    <definedName name="E_KEYWORD_ISSR_208000603_OP_CEE">#REF!</definedName>
    <definedName name="E_KEYWORD_ISSR_208000603_OP_CHINA">#REF!</definedName>
    <definedName name="E_KEYWORD_ISSR_208000603_OP_CONS">#REF!</definedName>
    <definedName name="E_KEYWORD_ISSR_208000603_OP_COST">#REF!</definedName>
    <definedName name="E_KEYWORD_ISSR_208000603_OP_DEN">#REF!</definedName>
    <definedName name="E_KEYWORD_ISSR_208000603_OP_EU_EX_UK">#REF!</definedName>
    <definedName name="E_KEYWORD_ISSR_208000603_OP_FIN">#REF!</definedName>
    <definedName name="E_KEYWORD_ISSR_208000603_OP_FRA">#REF!</definedName>
    <definedName name="E_KEYWORD_ISSR_208000603_OP_GER">#REF!</definedName>
    <definedName name="E_KEYWORD_ISSR_208000603_OP_GOV">#REF!</definedName>
    <definedName name="E_KEYWORD_ISSR_208000603_OP_GRE">#REF!</definedName>
    <definedName name="E_KEYWORD_ISSR_208000603_OP_ICE">#REF!</definedName>
    <definedName name="E_KEYWORD_ISSR_208000603_OP_IND">#REF!</definedName>
    <definedName name="E_KEYWORD_ISSR_208000603_OP_INDIA">#REF!</definedName>
    <definedName name="E_KEYWORD_ISSR_208000603_OP_IRE">#REF!</definedName>
    <definedName name="E_KEYWORD_ISSR_208000603_OP_ITA">#REF!</definedName>
    <definedName name="E_KEYWORD_ISSR_208000603_OP_JAPAN">#REF!</definedName>
    <definedName name="E_KEYWORD_ISSR_208000603_OP_ME">#REF!</definedName>
    <definedName name="E_KEYWORD_ISSR_208000603_OP_NETH">#REF!</definedName>
    <definedName name="E_KEYWORD_ISSR_208000603_OP_NOR">#REF!</definedName>
    <definedName name="E_KEYWORD_ISSR_208000603_OP_NZ">#REF!</definedName>
    <definedName name="E_KEYWORD_ISSR_208000603_OP_OTH_AEJ">#REF!</definedName>
    <definedName name="E_KEYWORD_ISSR_208000603_OP_OTH_AM">#REF!</definedName>
    <definedName name="E_KEYWORD_ISSR_208000603_OP_OTH_EMEA">#REF!</definedName>
    <definedName name="E_KEYWORD_ISSR_208000603_OP_OTHER">#REF!</definedName>
    <definedName name="E_KEYWORD_ISSR_208000603_OP_POR">#REF!</definedName>
    <definedName name="E_KEYWORD_ISSR_208000603_OP_RUSSIA">#REF!</definedName>
    <definedName name="E_KEYWORD_ISSR_208000603_OP_SK">#REF!</definedName>
    <definedName name="E_KEYWORD_ISSR_208000603_OP_SPA">#REF!</definedName>
    <definedName name="E_KEYWORD_ISSR_208000603_OP_SWE">#REF!</definedName>
    <definedName name="E_KEYWORD_ISSR_208000603_OP_SWIT">#REF!</definedName>
    <definedName name="E_KEYWORD_ISSR_208000603_OP_TOT_AM">#REF!</definedName>
    <definedName name="E_KEYWORD_ISSR_208000603_OP_TOT_ASIA">#REF!</definedName>
    <definedName name="E_KEYWORD_ISSR_208000603_OP_TOT_EMEA">#REF!</definedName>
    <definedName name="E_KEYWORD_ISSR_208000603_OP_UK">#REF!</definedName>
    <definedName name="E_KEYWORD_ISSR_208000603_OP_US">#REF!</definedName>
    <definedName name="E_KEYWORD_ISSR_208000603_ORD_SH_FUND">#REF!</definedName>
    <definedName name="E_KEYWORD_ISSR_208000603_OTH_COST_INC">#REF!</definedName>
    <definedName name="E_KEYWORD_ISSR_208000603_OTH_CUR_ASS">#REF!</definedName>
    <definedName name="E_KEYWORD_ISSR_208000603_OTH_CUR_LIABS">#REF!</definedName>
    <definedName name="E_KEYWORD_ISSR_208000603_OTH_DACF_ADJ">#REF!</definedName>
    <definedName name="E_KEYWORD_ISSR_208000603_OTH_FIN_CF">#REF!</definedName>
    <definedName name="E_KEYWORD_ISSR_208000603_OTH_GCI_ADJ">#REF!</definedName>
    <definedName name="E_KEYWORD_ISSR_208000603_OTH_INV_CF">#REF!</definedName>
    <definedName name="E_KEYWORD_ISSR_208000603_OTH_LT_ASS">#REF!</definedName>
    <definedName name="E_KEYWORD_ISSR_208000603_OTH_LT_CRED_GQ">#REF!</definedName>
    <definedName name="E_KEYWORD_ISSR_208000603_OTH_NONCASH_ADJ">#REF!</definedName>
    <definedName name="E_KEYWORD_ISSR_208000603_OTH_OP_CF">#REF!</definedName>
    <definedName name="E_KEYWORD_ISSR_208000603_OTH_OP_INC_EXP">#REF!</definedName>
    <definedName name="E_KEYWORD_ISSR_208000603_PERIOD_MILESTONE">#REF!</definedName>
    <definedName name="E_KEYWORD_ISSR_208000603_PL_SALE_ASSETS">#REF!</definedName>
    <definedName name="E_KEYWORD_ISSR_208000603_PPNT_FCF">#REF!</definedName>
    <definedName name="E_KEYWORD_ISSR_208000603_PREF_SH">#REF!</definedName>
    <definedName name="E_KEYWORD_ISSR_208000603_PROFIT_ON_DISP">#REF!</definedName>
    <definedName name="E_KEYWORD_ISSR_208000603_PT_PROF">#REF!</definedName>
    <definedName name="E_KEYWORD_ISSR_208000603_RD_EXP">#REF!</definedName>
    <definedName name="E_KEYWORD_ISSR_208000603_REV_FIN_SEGMENT">#REF!</definedName>
    <definedName name="E_KEYWORD_ISSR_208000603_SALES">#REF!</definedName>
    <definedName name="E_KEYWORD_ISSR_208000603_SALES_AUSTRA">#REF!</definedName>
    <definedName name="E_KEYWORD_ISSR_208000603_SALES_AUSTRIA">#REF!</definedName>
    <definedName name="E_KEYWORD_ISSR_208000603_SALES_COMPANY0377">#REF!</definedName>
    <definedName name="E_KEYWORD_ISSR_208000603_SALES_BRAZIL">#REF!</definedName>
    <definedName name="E_KEYWORD_ISSR_208000603_SALES_CANADA">#REF!</definedName>
    <definedName name="E_KEYWORD_ISSR_208000603_SALES_CEE">#REF!</definedName>
    <definedName name="E_KEYWORD_ISSR_208000603_SALES_CHINA">#REF!</definedName>
    <definedName name="E_KEYWORD_ISSR_208000603_SALES_CONS">#REF!</definedName>
    <definedName name="E_KEYWORD_ISSR_208000603_SALES_DEN">#REF!</definedName>
    <definedName name="E_KEYWORD_ISSR_208000603_SALES_EU_EX_UK">#REF!</definedName>
    <definedName name="E_KEYWORD_ISSR_208000603_SALES_FIN">#REF!</definedName>
    <definedName name="E_KEYWORD_ISSR_208000603_SALES_FINAN">#REF!</definedName>
    <definedName name="E_KEYWORD_ISSR_208000603_SALES_FRA">#REF!</definedName>
    <definedName name="E_KEYWORD_ISSR_208000603_SALES_GER">#REF!</definedName>
    <definedName name="E_KEYWORD_ISSR_208000603_SALES_GOV">#REF!</definedName>
    <definedName name="E_KEYWORD_ISSR_208000603_SALES_GRE">#REF!</definedName>
    <definedName name="E_KEYWORD_ISSR_208000603_SALES_ICE">#REF!</definedName>
    <definedName name="E_KEYWORD_ISSR_208000603_SALES_IND">#REF!</definedName>
    <definedName name="E_KEYWORD_ISSR_208000603_SALES_INDIA">#REF!</definedName>
    <definedName name="E_KEYWORD_ISSR_208000603_SALES_IRE">#REF!</definedName>
    <definedName name="E_KEYWORD_ISSR_208000603_SALES_ITA">#REF!</definedName>
    <definedName name="E_KEYWORD_ISSR_208000603_SALES_JAPAN">#REF!</definedName>
    <definedName name="E_KEYWORD_ISSR_208000603_SALES_ME">#REF!</definedName>
    <definedName name="E_KEYWORD_ISSR_208000603_SALES_NETH">#REF!</definedName>
    <definedName name="E_KEYWORD_ISSR_208000603_SALES_NOR">#REF!</definedName>
    <definedName name="E_KEYWORD_ISSR_208000603_SALES_NZ">#REF!</definedName>
    <definedName name="E_KEYWORD_ISSR_208000603_SALES_OTH_AEJ">#REF!</definedName>
    <definedName name="E_KEYWORD_ISSR_208000603_SALES_OTH_AM">#REF!</definedName>
    <definedName name="E_KEYWORD_ISSR_208000603_SALES_OTH_EMEA">#REF!</definedName>
    <definedName name="E_KEYWORD_ISSR_208000603_SALES_OTHER">#REF!</definedName>
    <definedName name="E_KEYWORD_ISSR_208000603_SALES_POR">#REF!</definedName>
    <definedName name="E_KEYWORD_ISSR_208000603_SALES_RUSSIA">#REF!</definedName>
    <definedName name="E_KEYWORD_ISSR_208000603_SALES_SK">#REF!</definedName>
    <definedName name="E_KEYWORD_ISSR_208000603_SALES_SMB">#REF!</definedName>
    <definedName name="E_KEYWORD_ISSR_208000603_SALES_SPA">#REF!</definedName>
    <definedName name="E_KEYWORD_ISSR_208000603_SALES_SWE">#REF!</definedName>
    <definedName name="E_KEYWORD_ISSR_208000603_SALES_SWIT">#REF!</definedName>
    <definedName name="E_KEYWORD_ISSR_208000603_SALES_TOT_AM">#REF!</definedName>
    <definedName name="E_KEYWORD_ISSR_208000603_SALES_TOT_ASIA">#REF!</definedName>
    <definedName name="E_KEYWORD_ISSR_208000603_SALES_TOT_EMEA">#REF!</definedName>
    <definedName name="E_KEYWORD_ISSR_208000603_SALES_UK">#REF!</definedName>
    <definedName name="E_KEYWORD_ISSR_208000603_SALES_US">#REF!</definedName>
    <definedName name="E_KEYWORD_ISSR_208000603_SEL_GL_AD">#REF!</definedName>
    <definedName name="E_KEYWORD_ISSR_208000603_SH_REPUR">#REF!</definedName>
    <definedName name="E_KEYWORD_ISSR_208000603_SHORT_T_DEBT">#REF!</definedName>
    <definedName name="E_KEYWORD_ISSR_208000603_SHORT_TERM_LIABS">#REF!</definedName>
    <definedName name="E_KEYWORD_ISSR_208000603_STOCKS">#REF!</definedName>
    <definedName name="E_KEYWORD_ISSR_208000603_TANG_CAPEX">#REF!</definedName>
    <definedName name="E_KEYWORD_ISSR_208000603_TAX_PAID_CF">#REF!</definedName>
    <definedName name="E_KEYWORD_ISSR_208000603_TOT_ASSET">#REF!</definedName>
    <definedName name="E_KEYWORD_ISSR_208000603_TOT_CF">#REF!</definedName>
    <definedName name="E_KEYWORD_ISSR_208000603_TOT_LIAB">#REF!</definedName>
    <definedName name="E_KEYWORD_ISSR_208000603_TOT_LIAB_EQ">#REF!</definedName>
    <definedName name="E_KEYWORD_ISSR_208000603_TOT_LT_LIAB">#REF!</definedName>
    <definedName name="E_KEYWORD_ISSR_208000603_TOT_OPS_EXP">#REF!</definedName>
    <definedName name="E_KEYWORD_ISSR_208000603_TOT_OPS_EXP_DDA">#REF!</definedName>
    <definedName name="E_KEYWORD_ISSR_208000603_UNF_PENS">#REF!</definedName>
    <definedName name="E_KEYWORD_ISSR_208000603_UNF_PENS_LIAB_OTH">#REF!</definedName>
    <definedName name="E_KEYWORD_ISSR_208000603_UNF_PENS_OFF">#REF!</definedName>
    <definedName name="E_KEYWORD_ISSR_208000603_WORK_CAP">#REF!</definedName>
    <definedName name="E_KEYWORD_ISSR_208000976_ACC_AMORT">#REF!</definedName>
    <definedName name="E_KEYWORD_ISSR_208000976_ACC_DDA">#REF!</definedName>
    <definedName name="E_KEYWORD_ISSR_208000976_ACC_END_DATE">#REF!</definedName>
    <definedName name="E_KEYWORD_ISSR_208000976_ACC_PAY_GQ">#REF!</definedName>
    <definedName name="E_KEYWORD_ISSR_208000976_ACQ">#REF!</definedName>
    <definedName name="E_KEYWORD_ISSR_208000976_ADJ_UNF_PENS_GOOD">#REF!</definedName>
    <definedName name="E_KEYWORD_ISSR_208000976_ASSOC_JV_ADDBK">#REF!</definedName>
    <definedName name="E_KEYWORD_ISSR_208000976_ASSOCIATE">#REF!</definedName>
    <definedName name="E_KEYWORD_ISSR_208000976_ASSOCIATE_OP">#REF!</definedName>
    <definedName name="E_KEYWORD_ISSR_208000976_BAL_MINO_INT">#REF!</definedName>
    <definedName name="E_KEYWORD_ISSR_208000976_CAP_LEASES">#REF!</definedName>
    <definedName name="E_KEYWORD_ISSR_208000976_CAPEX">#REF!</definedName>
    <definedName name="E_KEYWORD_ISSR_208000976_CAPEX_EXPANSION">#REF!</definedName>
    <definedName name="E_KEYWORD_ISSR_208000976_CAPEX_MAINTENANCE">#REF!</definedName>
    <definedName name="E_KEYWORD_ISSR_208000976_CASH_EQ">#REF!</definedName>
    <definedName name="E_KEYWORD_ISSR_208000976_CASH_INT_EXP">#REF!</definedName>
    <definedName name="E_KEYWORD_ISSR_208000976_CASH_PCT_OS_US">#REF!</definedName>
    <definedName name="E_KEYWORD_ISSR_208000976_CASH_TAX_EXP">#REF!</definedName>
    <definedName name="E_KEYWORD_ISSR_208000976_CF_FIN">#REF!</definedName>
    <definedName name="E_KEYWORD_ISSR_208000976_CF_INC_MINORITY">#REF!</definedName>
    <definedName name="E_KEYWORD_ISSR_208000976_CF_INV">#REF!</definedName>
    <definedName name="E_KEYWORD_ISSR_208000976_CF_OPS">#REF!</definedName>
    <definedName name="E_KEYWORD_ISSR_208000976_CHG_LT_DEBT">#REF!</definedName>
    <definedName name="E_KEYWORD_ISSR_208000976_CO_BOR_MARGIN">#REF!</definedName>
    <definedName name="E_KEYWORD_ISSR_208000976_COST_GD_SD">#REF!</definedName>
    <definedName name="E_KEYWORD_ISSR_208000976_CUR_ASS">#REF!</definedName>
    <definedName name="E_KEYWORD_ISSR_208000976_CURRENCY_ISO">#REF!</definedName>
    <definedName name="E_KEYWORD_ISSR_208000976_DEBTORS">#REF!</definedName>
    <definedName name="E_KEYWORD_ISSR_208000976_DEF_INC_TAX">#REF!</definedName>
    <definedName name="E_KEYWORD_ISSR_208000976_DEPR_AMORT">#REF!</definedName>
    <definedName name="E_KEYWORD_ISSR_208000976_DEPREC">#REF!</definedName>
    <definedName name="E_KEYWORD_ISSR_208000976_DIV_PAID">#REF!</definedName>
    <definedName name="E_KEYWORD_ISSR_208000976_DIVDS_ASSOC_JV">#REF!</definedName>
    <definedName name="E_KEYWORD_ISSR_208000976_DIVDS_PD_MINORITIES">#REF!</definedName>
    <definedName name="E_KEYWORD_ISSR_208000976_DIVEST">#REF!</definedName>
    <definedName name="E_KEYWORD_ISSR_208000976_EBIT">#REF!</definedName>
    <definedName name="E_KEYWORD_ISSR_208000976_EBIT_FIN_SEGMENT">#REF!</definedName>
    <definedName name="E_KEYWORD_ISSR_208000976_EBITDA_CALC">#REF!</definedName>
    <definedName name="E_KEYWORD_ISSR_208000976_EMPLOYEES">#REF!</definedName>
    <definedName name="E_KEYWORD_ISSR_208000976_EQ">#REF!</definedName>
    <definedName name="E_KEYWORD_ISSR_208000976_ESO_PRE_TAX">#REF!</definedName>
    <definedName name="E_KEYWORD_ISSR_208000976_EXP_ALUMINIUM">#REF!</definedName>
    <definedName name="E_KEYWORD_ISSR_208000976_EXP_COPPER">#REF!</definedName>
    <definedName name="E_KEYWORD_ISSR_208000976_EXP_GLASS">#REF!</definedName>
    <definedName name="E_KEYWORD_ISSR_208000976_EXP_GOLD">#REF!</definedName>
    <definedName name="E_KEYWORD_ISSR_208000976_EXP_NICKEL">#REF!</definedName>
    <definedName name="E_KEYWORD_ISSR_208000976_EXP_OIL_DERIV_NGLS_PLASTICS">#REF!</definedName>
    <definedName name="E_KEYWORD_ISSR_208000976_EXP_OIL_PETRO_FUEL">#REF!</definedName>
    <definedName name="E_KEYWORD_ISSR_208000976_EXP_OTH_COMMODITY">#REF!</definedName>
    <definedName name="E_KEYWORD_ISSR_208000976_EXP_OTH_COST">#REF!</definedName>
    <definedName name="E_KEYWORD_ISSR_208000976_EXP_PALLADIUM">#REF!</definedName>
    <definedName name="E_KEYWORD_ISSR_208000976_EXP_PAPER_PULP">#REF!</definedName>
    <definedName name="E_KEYWORD_ISSR_208000976_EXP_PLATINUM">#REF!</definedName>
    <definedName name="E_KEYWORD_ISSR_208000976_EXP_SILVER">#REF!</definedName>
    <definedName name="E_KEYWORD_ISSR_208000976_EXP_WATER">#REF!</definedName>
    <definedName name="E_KEYWORD_ISSR_208000976_EXP_Company3050">#REF!</definedName>
    <definedName name="E_KEYWORD_ISSR_208000976_FIX_ASS_INV">#REF!</definedName>
    <definedName name="E_KEYWORD_ISSR_208000976_GCI_INFL">#REF!</definedName>
    <definedName name="E_KEYWORD_ISSR_208000976_GOODWILL_AMORT">#REF!</definedName>
    <definedName name="E_KEYWORD_ISSR_208000976_GR_FIX_ASS">#REF!</definedName>
    <definedName name="E_KEYWORD_ISSR_208000976_GR_INTANG">#REF!</definedName>
    <definedName name="E_KEYWORD_ISSR_208000976_INT_EXP_IND">#REF!</definedName>
    <definedName name="E_KEYWORD_ISSR_208000976_INT_INC_IND">#REF!</definedName>
    <definedName name="E_KEYWORD_ISSR_208000976_INV_SECUR">#REF!</definedName>
    <definedName name="E_KEYWORD_ISSR_208000976_Issuer_Name">#REF!</definedName>
    <definedName name="E_KEYWORD_ISSR_208000976_LEASE_DEEM_DEPR">#REF!</definedName>
    <definedName name="E_KEYWORD_ISSR_208000976_LEASE_DEEM_INT">#REF!</definedName>
    <definedName name="E_KEYWORD_ISSR_208000976_LEASE_PAY">#REF!</definedName>
    <definedName name="E_KEYWORD_ISSR_208000976_LT_DEBT">#REF!</definedName>
    <definedName name="E_KEYWORD_ISSR_208000976_MA_PROB">#REF!</definedName>
    <definedName name="E_KEYWORD_ISSR_208000976_MINORITIES">#REF!</definedName>
    <definedName name="E_KEYWORD_ISSR_208000976_MV_ASSOCIATES">#REF!</definedName>
    <definedName name="E_KEYWORD_ISSR_208000976_NET_DEBT">#REF!</definedName>
    <definedName name="E_KEYWORD_ISSR_208000976_NET_DEBT_ADJ">#REF!</definedName>
    <definedName name="E_KEYWORD_ISSR_208000976_NET_FIX_ASS">#REF!</definedName>
    <definedName name="E_KEYWORD_ISSR_208000976_NET_INT_CH">#REF!</definedName>
    <definedName name="E_KEYWORD_ISSR_208000976_NET_INT_EXP">#REF!</definedName>
    <definedName name="E_KEYWORD_ISSR_208000976_NET_INTANG">#REF!</definedName>
    <definedName name="E_KEYWORD_ISSR_208000976_NONPPE_CAPEX">#REF!</definedName>
    <definedName name="E_KEYWORD_ISSR_208000976_OP_COST">#REF!</definedName>
    <definedName name="E_KEYWORD_ISSR_208000976_ORD_SH_FUND">#REF!</definedName>
    <definedName name="E_KEYWORD_ISSR_208000976_ORG_REV_GRTH">#REF!</definedName>
    <definedName name="E_KEYWORD_ISSR_208000976_OTH_COST_INC">#REF!</definedName>
    <definedName name="E_KEYWORD_ISSR_208000976_OTH_CUR_ASS">#REF!</definedName>
    <definedName name="E_KEYWORD_ISSR_208000976_OTH_CUR_LIABS">#REF!</definedName>
    <definedName name="E_KEYWORD_ISSR_208000976_OTH_DACF_ADJ">#REF!</definedName>
    <definedName name="E_KEYWORD_ISSR_208000976_OTH_FIN_CF">#REF!</definedName>
    <definedName name="E_KEYWORD_ISSR_208000976_OTH_GCI_ADJ">#REF!</definedName>
    <definedName name="E_KEYWORD_ISSR_208000976_OTH_INV_CF">#REF!</definedName>
    <definedName name="E_KEYWORD_ISSR_208000976_OTH_LT_ASS">#REF!</definedName>
    <definedName name="E_KEYWORD_ISSR_208000976_OTH_LT_CRED_GQ">#REF!</definedName>
    <definedName name="E_KEYWORD_ISSR_208000976_OTH_NONCASH_ADJ">#REF!</definedName>
    <definedName name="E_KEYWORD_ISSR_208000976_OTH_OP_CF">#REF!</definedName>
    <definedName name="E_KEYWORD_ISSR_208000976_OTH_OP_INC_EXP">#REF!</definedName>
    <definedName name="E_KEYWORD_ISSR_208000976_PERIOD_MILESTONE">#REF!</definedName>
    <definedName name="E_KEYWORD_ISSR_208000976_PL_SALE_ASSETS">#REF!</definedName>
    <definedName name="E_KEYWORD_ISSR_208000976_PREF_SH">#REF!</definedName>
    <definedName name="E_KEYWORD_ISSR_208000976_PROFIT_ON_DISP">#REF!</definedName>
    <definedName name="E_KEYWORD_ISSR_208000976_PT_PROF">#REF!</definedName>
    <definedName name="E_KEYWORD_ISSR_208000976_RD_EXP">#REF!</definedName>
    <definedName name="E_KEYWORD_ISSR_208000976_REV_FIN_SEGMENT">#REF!</definedName>
    <definedName name="E_KEYWORD_ISSR_208000976_SALES">#REF!</definedName>
    <definedName name="E_KEYWORD_ISSR_208000976_SALES_ARGENTINA">#REF!</definedName>
    <definedName name="E_KEYWORD_ISSR_208000976_SALES_BRAZIL">#REF!</definedName>
    <definedName name="E_KEYWORD_ISSR_208000976_SALES_CANADA">#REF!</definedName>
    <definedName name="E_KEYWORD_ISSR_208000976_SALES_CEE">#REF!</definedName>
    <definedName name="E_KEYWORD_ISSR_208000976_SALES_CHILE">#REF!</definedName>
    <definedName name="E_KEYWORD_ISSR_208000976_SALES_CHINA">#REF!</definedName>
    <definedName name="E_KEYWORD_ISSR_208000976_SALES_COLOMBIA">#REF!</definedName>
    <definedName name="E_KEYWORD_ISSR_208000976_SALES_CONS">#REF!</definedName>
    <definedName name="E_KEYWORD_ISSR_208000976_SALES_EU_EX_UK">#REF!</definedName>
    <definedName name="E_KEYWORD_ISSR_208000976_SALES_FINAN">#REF!</definedName>
    <definedName name="E_KEYWORD_ISSR_208000976_SALES_FX_ARS">#REF!</definedName>
    <definedName name="E_KEYWORD_ISSR_208000976_SALES_FX_BRL">#REF!</definedName>
    <definedName name="E_KEYWORD_ISSR_208000976_SALES_FX_CAD">#REF!</definedName>
    <definedName name="E_KEYWORD_ISSR_208000976_SALES_FX_CLP">#REF!</definedName>
    <definedName name="E_KEYWORD_ISSR_208000976_SALES_FX_CNY">#REF!</definedName>
    <definedName name="E_KEYWORD_ISSR_208000976_SALES_FX_COP">#REF!</definedName>
    <definedName name="E_KEYWORD_ISSR_208000976_SALES_FX_EUR">#REF!</definedName>
    <definedName name="E_KEYWORD_ISSR_208000976_SALES_FX_GPB">#REF!</definedName>
    <definedName name="E_KEYWORD_ISSR_208000976_SALES_FX_INR">#REF!</definedName>
    <definedName name="E_KEYWORD_ISSR_208000976_SALES_FX_MXN">#REF!</definedName>
    <definedName name="E_KEYWORD_ISSR_208000976_SALES_FX_OTH">#REF!</definedName>
    <definedName name="E_KEYWORD_ISSR_208000976_SALES_FX_RUB">#REF!</definedName>
    <definedName name="E_KEYWORD_ISSR_208000976_SALES_FX_USD">#REF!</definedName>
    <definedName name="E_KEYWORD_ISSR_208000976_SALES_FX_VEF">#REF!</definedName>
    <definedName name="E_KEYWORD_ISSR_208000976_SALES_FX_YEN">#REF!</definedName>
    <definedName name="E_KEYWORD_ISSR_208000976_SALES_GOV">#REF!</definedName>
    <definedName name="E_KEYWORD_ISSR_208000976_SALES_IND">#REF!</definedName>
    <definedName name="E_KEYWORD_ISSR_208000976_SALES_INDIA">#REF!</definedName>
    <definedName name="E_KEYWORD_ISSR_208000976_SALES_JAPAN">#REF!</definedName>
    <definedName name="E_KEYWORD_ISSR_208000976_SALES_ME">#REF!</definedName>
    <definedName name="E_KEYWORD_ISSR_208000976_SALES_MEXICO">#REF!</definedName>
    <definedName name="E_KEYWORD_ISSR_208000976_SALES_OTH_AEJ">#REF!</definedName>
    <definedName name="E_KEYWORD_ISSR_208000976_SALES_OTH_AM">#REF!</definedName>
    <definedName name="E_KEYWORD_ISSR_208000976_SALES_OTH_EMEA">#REF!</definedName>
    <definedName name="E_KEYWORD_ISSR_208000976_SALES_OTHER">#REF!</definedName>
    <definedName name="E_KEYWORD_ISSR_208000976_SALES_RUSSIA">#REF!</definedName>
    <definedName name="E_KEYWORD_ISSR_208000976_SALES_SMB">#REF!</definedName>
    <definedName name="E_KEYWORD_ISSR_208000976_SALES_TOT_AFRICA">#REF!</definedName>
    <definedName name="E_KEYWORD_ISSR_208000976_SALES_TOT_AM">#REF!</definedName>
    <definedName name="E_KEYWORD_ISSR_208000976_SALES_TOT_ASIA">#REF!</definedName>
    <definedName name="E_KEYWORD_ISSR_208000976_SALES_TOT_EMEA">#REF!</definedName>
    <definedName name="E_KEYWORD_ISSR_208000976_SALES_UK">#REF!</definedName>
    <definedName name="E_KEYWORD_ISSR_208000976_SALES_US">#REF!</definedName>
    <definedName name="E_KEYWORD_ISSR_208000976_SALES_VENEZUELA">#REF!</definedName>
    <definedName name="E_KEYWORD_ISSR_208000976_SEL_GL_AD">#REF!</definedName>
    <definedName name="E_KEYWORD_ISSR_208000976_SH_REPUR">#REF!</definedName>
    <definedName name="E_KEYWORD_ISSR_208000976_SHORT_T_DEBT">#REF!</definedName>
    <definedName name="E_KEYWORD_ISSR_208000976_SHORT_TERM_LIABS">#REF!</definedName>
    <definedName name="E_KEYWORD_ISSR_208000976_STOCKS">#REF!</definedName>
    <definedName name="E_KEYWORD_ISSR_208000976_TOT_ASSET">#REF!</definedName>
    <definedName name="E_KEYWORD_ISSR_208000976_TOT_CF">#REF!</definedName>
    <definedName name="E_KEYWORD_ISSR_208000976_TOT_LIAB">#REF!</definedName>
    <definedName name="E_KEYWORD_ISSR_208000976_TOT_LIAB_EQ">#REF!</definedName>
    <definedName name="E_KEYWORD_ISSR_208000976_TOT_LT_LIAB">#REF!</definedName>
    <definedName name="E_KEYWORD_ISSR_208000976_TOT_OPS_EXP">#REF!</definedName>
    <definedName name="E_KEYWORD_ISSR_208000976_TOT_OPS_EXP_DDA">#REF!</definedName>
    <definedName name="E_KEYWORD_ISSR_208000976_UNF_PENS">#REF!</definedName>
    <definedName name="E_KEYWORD_ISSR_208000976_UNF_PENS_LIAB_OTH">#REF!</definedName>
    <definedName name="E_KEYWORD_ISSR_208000976_UNF_PENS_OFF">#REF!</definedName>
    <definedName name="E_KEYWORD_ISSR_208000976_WORK_CAP">#REF!</definedName>
    <definedName name="E_KEYWORD_ISSR_208001048_ORG_REV_GRTH">#REF!</definedName>
    <definedName name="E_KEYWORD_ISSR_208001258_ACC_AMORT">#REF!</definedName>
    <definedName name="E_KEYWORD_ISSR_208001258_ACC_DDA">#REF!</definedName>
    <definedName name="E_KEYWORD_ISSR_208001258_ACC_END_DATE">#REF!</definedName>
    <definedName name="E_KEYWORD_ISSR_208001258_ACC_PAY_GQ">#REF!</definedName>
    <definedName name="E_KEYWORD_ISSR_208001258_ACQ">#REF!</definedName>
    <definedName name="E_KEYWORD_ISSR_208001258_ADJ_UNF_PENS_GOOD">#REF!</definedName>
    <definedName name="E_KEYWORD_ISSR_208001258_ASSOC_JV_ADDBK">#REF!</definedName>
    <definedName name="E_KEYWORD_ISSR_208001258_ASSOCIATE">#REF!</definedName>
    <definedName name="E_KEYWORD_ISSR_208001258_ASSOCIATE_OP">#REF!</definedName>
    <definedName name="E_KEYWORD_ISSR_208001258_BAL_MINO_INT">#REF!</definedName>
    <definedName name="E_KEYWORD_ISSR_208001258_CAP_LEASES">#REF!</definedName>
    <definedName name="E_KEYWORD_ISSR_208001258_CAPEX">#REF!</definedName>
    <definedName name="E_KEYWORD_ISSR_208001258_CAPEX_EXPANSION">#REF!</definedName>
    <definedName name="E_KEYWORD_ISSR_208001258_CAPEX_MAINTENANCE">#REF!</definedName>
    <definedName name="E_KEYWORD_ISSR_208001258_CASH_EQ">#REF!</definedName>
    <definedName name="E_KEYWORD_ISSR_208001258_CASH_INT_EXP">#REF!</definedName>
    <definedName name="E_KEYWORD_ISSR_208001258_CASH_PCT_OS_US">#REF!</definedName>
    <definedName name="E_KEYWORD_ISSR_208001258_CASH_TAX_EXP">#REF!</definedName>
    <definedName name="E_KEYWORD_ISSR_208001258_CF_FIN">#REF!</definedName>
    <definedName name="E_KEYWORD_ISSR_208001258_CF_INC_MINORITY">#REF!</definedName>
    <definedName name="E_KEYWORD_ISSR_208001258_CF_INV">#REF!</definedName>
    <definedName name="E_KEYWORD_ISSR_208001258_CF_OPS">#REF!</definedName>
    <definedName name="E_KEYWORD_ISSR_208001258_CHG_LT_DEBT">#REF!</definedName>
    <definedName name="E_KEYWORD_ISSR_208001258_CO_BOR_MARGIN">#REF!</definedName>
    <definedName name="E_KEYWORD_ISSR_208001258_COST_GD_SD">#REF!</definedName>
    <definedName name="E_KEYWORD_ISSR_208001258_CUR_ASS">#REF!</definedName>
    <definedName name="E_KEYWORD_ISSR_208001258_CURRENCY_ISO">#REF!</definedName>
    <definedName name="E_KEYWORD_ISSR_208001258_DEBTORS">#REF!</definedName>
    <definedName name="E_KEYWORD_ISSR_208001258_DEF_INC_TAX">#REF!</definedName>
    <definedName name="E_KEYWORD_ISSR_208001258_DEPR_AMORT">#REF!</definedName>
    <definedName name="E_KEYWORD_ISSR_208001258_DEPREC">#REF!</definedName>
    <definedName name="E_KEYWORD_ISSR_208001258_DIV_PAID">#REF!</definedName>
    <definedName name="E_KEYWORD_ISSR_208001258_DIVDS_ASSOC_JV">#REF!</definedName>
    <definedName name="E_KEYWORD_ISSR_208001258_DIVDS_PD_MINORITIES">#REF!</definedName>
    <definedName name="E_KEYWORD_ISSR_208001258_DIVEST">#REF!</definedName>
    <definedName name="E_KEYWORD_ISSR_208001258_EBIT">#REF!</definedName>
    <definedName name="E_KEYWORD_ISSR_208001258_EBIT_FIN_SEGMENT">#REF!</definedName>
    <definedName name="E_KEYWORD_ISSR_208001258_EBITDA_CALC">#REF!</definedName>
    <definedName name="E_KEYWORD_ISSR_208001258_EMPLOYEES">#REF!</definedName>
    <definedName name="E_KEYWORD_ISSR_208001258_EQ">#REF!</definedName>
    <definedName name="E_KEYWORD_ISSR_208001258_ESO_PRE_TAX">#REF!</definedName>
    <definedName name="E_KEYWORD_ISSR_208001258_EXP_ALUMINIUM">#REF!</definedName>
    <definedName name="E_KEYWORD_ISSR_208001258_EXP_COPPER">#REF!</definedName>
    <definedName name="E_KEYWORD_ISSR_208001258_EXP_GLASS">#REF!</definedName>
    <definedName name="E_KEYWORD_ISSR_208001258_EXP_GOLD">#REF!</definedName>
    <definedName name="E_KEYWORD_ISSR_208001258_EXP_NICKEL">#REF!</definedName>
    <definedName name="E_KEYWORD_ISSR_208001258_EXP_OIL_DERIV_NGLS_PLASTICS">#REF!</definedName>
    <definedName name="E_KEYWORD_ISSR_208001258_EXP_OIL_PETRO_FUEL">#REF!</definedName>
    <definedName name="E_KEYWORD_ISSR_208001258_EXP_OTH_COMMODITY">#REF!</definedName>
    <definedName name="E_KEYWORD_ISSR_208001258_EXP_OTH_COST">#REF!</definedName>
    <definedName name="E_KEYWORD_ISSR_208001258_EXP_PALLADIUM">#REF!</definedName>
    <definedName name="E_KEYWORD_ISSR_208001258_EXP_PAPER_PULP">#REF!</definedName>
    <definedName name="E_KEYWORD_ISSR_208001258_EXP_PLATINUM">#REF!</definedName>
    <definedName name="E_KEYWORD_ISSR_208001258_EXP_SILVER">#REF!</definedName>
    <definedName name="E_KEYWORD_ISSR_208001258_EXP_WATER">#REF!</definedName>
    <definedName name="E_KEYWORD_ISSR_208001258_EXP_Company3050">#REF!</definedName>
    <definedName name="E_KEYWORD_ISSR_208001258_FIX_ASS_INV">#REF!</definedName>
    <definedName name="E_KEYWORD_ISSR_208001258_GCI_INFL">#REF!</definedName>
    <definedName name="E_KEYWORD_ISSR_208001258_GOODWILL_AMORT">#REF!</definedName>
    <definedName name="E_KEYWORD_ISSR_208001258_GR_FIX_ASS">#REF!</definedName>
    <definedName name="E_KEYWORD_ISSR_208001258_GR_INTANG">#REF!</definedName>
    <definedName name="E_KEYWORD_ISSR_208001258_INT_EXP_IND">#REF!</definedName>
    <definedName name="E_KEYWORD_ISSR_208001258_INT_INC_IND">#REF!</definedName>
    <definedName name="E_KEYWORD_ISSR_208001258_INV_SECUR">#REF!</definedName>
    <definedName name="E_KEYWORD_ISSR_208001258_Issuer_Name">#REF!</definedName>
    <definedName name="E_KEYWORD_ISSR_208001258_LEASE_DEEM_DEPR">#REF!</definedName>
    <definedName name="E_KEYWORD_ISSR_208001258_LEASE_DEEM_INT">#REF!</definedName>
    <definedName name="E_KEYWORD_ISSR_208001258_LEASE_PAY">#REF!</definedName>
    <definedName name="E_KEYWORD_ISSR_208001258_LT_DEBT">#REF!</definedName>
    <definedName name="E_KEYWORD_ISSR_208001258_MA_PROB">#REF!</definedName>
    <definedName name="E_KEYWORD_ISSR_208001258_MINORITIES">#REF!</definedName>
    <definedName name="E_KEYWORD_ISSR_208001258_MV_ASSOCIATES">#REF!</definedName>
    <definedName name="E_KEYWORD_ISSR_208001258_NET_DEBT">#REF!</definedName>
    <definedName name="E_KEYWORD_ISSR_208001258_NET_DEBT_ADJ">#REF!</definedName>
    <definedName name="E_KEYWORD_ISSR_208001258_NET_FIX_ASS">#REF!</definedName>
    <definedName name="E_KEYWORD_ISSR_208001258_NET_INT_CH">#REF!</definedName>
    <definedName name="E_KEYWORD_ISSR_208001258_NET_INT_EXP">#REF!</definedName>
    <definedName name="E_KEYWORD_ISSR_208001258_NET_INTANG">#REF!</definedName>
    <definedName name="E_KEYWORD_ISSR_208001258_NONPPE_CAPEX">#REF!</definedName>
    <definedName name="E_KEYWORD_ISSR_208001258_OP_COST">#REF!</definedName>
    <definedName name="E_KEYWORD_ISSR_208001258_ORD_SH_FUND">#REF!</definedName>
    <definedName name="E_KEYWORD_ISSR_208001258_ORG_REV_GRTH">#REF!</definedName>
    <definedName name="E_KEYWORD_ISSR_208001258_OTH_COST_INC">#REF!</definedName>
    <definedName name="E_KEYWORD_ISSR_208001258_OTH_CUR_ASS">#REF!</definedName>
    <definedName name="E_KEYWORD_ISSR_208001258_OTH_CUR_LIABS">#REF!</definedName>
    <definedName name="E_KEYWORD_ISSR_208001258_OTH_DACF_ADJ">#REF!</definedName>
    <definedName name="E_KEYWORD_ISSR_208001258_OTH_FIN_CF">#REF!</definedName>
    <definedName name="E_KEYWORD_ISSR_208001258_OTH_GCI_ADJ">#REF!</definedName>
    <definedName name="E_KEYWORD_ISSR_208001258_OTH_INV_CF">#REF!</definedName>
    <definedName name="E_KEYWORD_ISSR_208001258_OTH_LT_ASS">#REF!</definedName>
    <definedName name="E_KEYWORD_ISSR_208001258_OTH_LT_CRED_GQ">#REF!</definedName>
    <definedName name="E_KEYWORD_ISSR_208001258_OTH_NONCASH_ADJ">#REF!</definedName>
    <definedName name="E_KEYWORD_ISSR_208001258_OTH_OP_CF">#REF!</definedName>
    <definedName name="E_KEYWORD_ISSR_208001258_OTH_OP_INC_EXP">#REF!</definedName>
    <definedName name="E_KEYWORD_ISSR_208001258_PERIOD_MILESTONE">#REF!</definedName>
    <definedName name="E_KEYWORD_ISSR_208001258_PL_SALE_ASSETS">#REF!</definedName>
    <definedName name="E_KEYWORD_ISSR_208001258_PREF_SH">#REF!</definedName>
    <definedName name="E_KEYWORD_ISSR_208001258_PROFIT_ON_DISP">#REF!</definedName>
    <definedName name="E_KEYWORD_ISSR_208001258_PT_PROF">#REF!</definedName>
    <definedName name="E_KEYWORD_ISSR_208001258_RD_EXP">#REF!</definedName>
    <definedName name="E_KEYWORD_ISSR_208001258_REV_FIN_SEGMENT">#REF!</definedName>
    <definedName name="E_KEYWORD_ISSR_208001258_SALES">#REF!</definedName>
    <definedName name="E_KEYWORD_ISSR_208001258_SALES_ARGENTINA">#REF!</definedName>
    <definedName name="E_KEYWORD_ISSR_208001258_SALES_BRAZIL">#REF!</definedName>
    <definedName name="E_KEYWORD_ISSR_208001258_SALES_CANADA">#REF!</definedName>
    <definedName name="E_KEYWORD_ISSR_208001258_SALES_CEE">#REF!</definedName>
    <definedName name="E_KEYWORD_ISSR_208001258_SALES_CHILE">#REF!</definedName>
    <definedName name="E_KEYWORD_ISSR_208001258_SALES_CHINA">#REF!</definedName>
    <definedName name="E_KEYWORD_ISSR_208001258_SALES_COLOMBIA">#REF!</definedName>
    <definedName name="E_KEYWORD_ISSR_208001258_SALES_CONS">#REF!</definedName>
    <definedName name="E_KEYWORD_ISSR_208001258_SALES_EU_EX_UK">#REF!</definedName>
    <definedName name="E_KEYWORD_ISSR_208001258_SALES_FINAN">#REF!</definedName>
    <definedName name="E_KEYWORD_ISSR_208001258_SALES_FX_ARS">#REF!</definedName>
    <definedName name="E_KEYWORD_ISSR_208001258_SALES_FX_BRL">#REF!</definedName>
    <definedName name="E_KEYWORD_ISSR_208001258_SALES_FX_CAD">#REF!</definedName>
    <definedName name="E_KEYWORD_ISSR_208001258_SALES_FX_CLP">#REF!</definedName>
    <definedName name="E_KEYWORD_ISSR_208001258_SALES_FX_CNY">#REF!</definedName>
    <definedName name="E_KEYWORD_ISSR_208001258_SALES_FX_COP">#REF!</definedName>
    <definedName name="E_KEYWORD_ISSR_208001258_SALES_FX_EUR">#REF!</definedName>
    <definedName name="E_KEYWORD_ISSR_208001258_SALES_FX_GPB">#REF!</definedName>
    <definedName name="E_KEYWORD_ISSR_208001258_SALES_FX_INR">#REF!</definedName>
    <definedName name="E_KEYWORD_ISSR_208001258_SALES_FX_MXN">#REF!</definedName>
    <definedName name="E_KEYWORD_ISSR_208001258_SALES_FX_OTH">#REF!</definedName>
    <definedName name="E_KEYWORD_ISSR_208001258_SALES_FX_RUB">#REF!</definedName>
    <definedName name="E_KEYWORD_ISSR_208001258_SALES_FX_USD">#REF!</definedName>
    <definedName name="E_KEYWORD_ISSR_208001258_SALES_FX_VEF">#REF!</definedName>
    <definedName name="E_KEYWORD_ISSR_208001258_SALES_FX_YEN">#REF!</definedName>
    <definedName name="E_KEYWORD_ISSR_208001258_SALES_GOV">#REF!</definedName>
    <definedName name="E_KEYWORD_ISSR_208001258_SALES_IND">#REF!</definedName>
    <definedName name="E_KEYWORD_ISSR_208001258_SALES_INDIA">#REF!</definedName>
    <definedName name="E_KEYWORD_ISSR_208001258_SALES_JAPAN">#REF!</definedName>
    <definedName name="E_KEYWORD_ISSR_208001258_SALES_ME">#REF!</definedName>
    <definedName name="E_KEYWORD_ISSR_208001258_SALES_MEXICO">#REF!</definedName>
    <definedName name="E_KEYWORD_ISSR_208001258_SALES_OTH_AEJ">#REF!</definedName>
    <definedName name="E_KEYWORD_ISSR_208001258_SALES_OTH_AM">#REF!</definedName>
    <definedName name="E_KEYWORD_ISSR_208001258_SALES_OTH_EMEA">#REF!</definedName>
    <definedName name="E_KEYWORD_ISSR_208001258_SALES_OTHER">#REF!</definedName>
    <definedName name="E_KEYWORD_ISSR_208001258_SALES_RUSSIA">#REF!</definedName>
    <definedName name="E_KEYWORD_ISSR_208001258_SALES_SMB">#REF!</definedName>
    <definedName name="E_KEYWORD_ISSR_208001258_SALES_TOT_AFRICA">#REF!</definedName>
    <definedName name="E_KEYWORD_ISSR_208001258_SALES_TOT_AM">#REF!</definedName>
    <definedName name="E_KEYWORD_ISSR_208001258_SALES_TOT_ASIA">#REF!</definedName>
    <definedName name="E_KEYWORD_ISSR_208001258_SALES_TOT_EMEA">#REF!</definedName>
    <definedName name="E_KEYWORD_ISSR_208001258_SALES_UK">#REF!</definedName>
    <definedName name="E_KEYWORD_ISSR_208001258_SALES_US">#REF!</definedName>
    <definedName name="E_KEYWORD_ISSR_208001258_SALES_VENEZUELA">#REF!</definedName>
    <definedName name="E_KEYWORD_ISSR_208001258_SEL_GL_AD">#REF!</definedName>
    <definedName name="E_KEYWORD_ISSR_208001258_SH_REPUR">#REF!</definedName>
    <definedName name="E_KEYWORD_ISSR_208001258_SHORT_T_DEBT">#REF!</definedName>
    <definedName name="E_KEYWORD_ISSR_208001258_SHORT_TERM_LIABS">#REF!</definedName>
    <definedName name="E_KEYWORD_ISSR_208001258_STOCKS">#REF!</definedName>
    <definedName name="E_KEYWORD_ISSR_208001258_TOT_ASSET">#REF!</definedName>
    <definedName name="E_KEYWORD_ISSR_208001258_TOT_CF">#REF!</definedName>
    <definedName name="E_KEYWORD_ISSR_208001258_TOT_LIAB">#REF!</definedName>
    <definedName name="E_KEYWORD_ISSR_208001258_TOT_LIAB_EQ">#REF!</definedName>
    <definedName name="E_KEYWORD_ISSR_208001258_TOT_LT_LIAB">#REF!</definedName>
    <definedName name="E_KEYWORD_ISSR_208001258_TOT_OPS_EXP">#REF!</definedName>
    <definedName name="E_KEYWORD_ISSR_208001258_TOT_OPS_EXP_DDA">#REF!</definedName>
    <definedName name="E_KEYWORD_ISSR_208001258_UNF_PENS">#REF!</definedName>
    <definedName name="E_KEYWORD_ISSR_208001258_UNF_PENS_LIAB_OTH">#REF!</definedName>
    <definedName name="E_KEYWORD_ISSR_208001258_UNF_PENS_OFF">#REF!</definedName>
    <definedName name="E_KEYWORD_ISSR_208001258_WORK_CAP">#REF!</definedName>
    <definedName name="E_KEYWORD_ISSR_208009722_ACC_AMORT">#REF!</definedName>
    <definedName name="E_KEYWORD_ISSR_208009722_ACC_DDA">#REF!</definedName>
    <definedName name="E_KEYWORD_ISSR_208009722_ACC_END_DATE">#REF!</definedName>
    <definedName name="E_KEYWORD_ISSR_208009722_ACC_PAY_GQ">#REF!</definedName>
    <definedName name="E_KEYWORD_ISSR_208009722_ACQ">#REF!</definedName>
    <definedName name="E_KEYWORD_ISSR_208009722_ADJ_UNF_PENS_GOOD">#REF!</definedName>
    <definedName name="E_KEYWORD_ISSR_208009722_ASSOC_JV_ADDBK">#REF!</definedName>
    <definedName name="E_KEYWORD_ISSR_208009722_ASSOCIATE">#REF!</definedName>
    <definedName name="E_KEYWORD_ISSR_208009722_ASSOCIATE_OP">#REF!</definedName>
    <definedName name="E_KEYWORD_ISSR_208009722_BAL_MINO_INT">#REF!</definedName>
    <definedName name="E_KEYWORD_ISSR_208009722_CAP_LEASES">#REF!</definedName>
    <definedName name="E_KEYWORD_ISSR_208009722_CAPEX">#REF!</definedName>
    <definedName name="E_KEYWORD_ISSR_208009722_CAPEX_EXPANSION">#REF!</definedName>
    <definedName name="E_KEYWORD_ISSR_208009722_CAPEX_MAINTENANCE">#REF!</definedName>
    <definedName name="E_KEYWORD_ISSR_208009722_CASH_EQ">#REF!</definedName>
    <definedName name="E_KEYWORD_ISSR_208009722_CASH_INT_EXP">#REF!</definedName>
    <definedName name="E_KEYWORD_ISSR_208009722_CASH_TAX_EXP">#REF!</definedName>
    <definedName name="E_KEYWORD_ISSR_208009722_CF_FIN">#REF!</definedName>
    <definedName name="E_KEYWORD_ISSR_208009722_CF_INC_MINORITY">#REF!</definedName>
    <definedName name="E_KEYWORD_ISSR_208009722_CF_INV">#REF!</definedName>
    <definedName name="E_KEYWORD_ISSR_208009722_CF_OPS">#REF!</definedName>
    <definedName name="E_KEYWORD_ISSR_208009722_CHG_LT_DEBT">#REF!</definedName>
    <definedName name="E_KEYWORD_ISSR_208009722_CO_BOR_MARGIN">#REF!</definedName>
    <definedName name="E_KEYWORD_ISSR_208009722_COST_GD_SD">#REF!</definedName>
    <definedName name="E_KEYWORD_ISSR_208009722_CUR_ASS">#REF!</definedName>
    <definedName name="E_KEYWORD_ISSR_208009722_CURRENCY_ISO">#REF!</definedName>
    <definedName name="E_KEYWORD_ISSR_208009722_DEBTORS">#REF!</definedName>
    <definedName name="E_KEYWORD_ISSR_208009722_DEF_INC_TAX">#REF!</definedName>
    <definedName name="E_KEYWORD_ISSR_208009722_DEPR_AMORT">#REF!</definedName>
    <definedName name="E_KEYWORD_ISSR_208009722_DEPREC">#REF!</definedName>
    <definedName name="E_KEYWORD_ISSR_208009722_DIV_PAID">#REF!</definedName>
    <definedName name="E_KEYWORD_ISSR_208009722_DIVDS_ASSOC_JV">#REF!</definedName>
    <definedName name="E_KEYWORD_ISSR_208009722_DIVDS_PD_MINORITIES">#REF!</definedName>
    <definedName name="E_KEYWORD_ISSR_208009722_DIVEST">#REF!</definedName>
    <definedName name="E_KEYWORD_ISSR_208009722_EBIT">#REF!</definedName>
    <definedName name="E_KEYWORD_ISSR_208009722_EBIT_FIN_SEGMENT">#REF!</definedName>
    <definedName name="E_KEYWORD_ISSR_208009722_EBITDA_CALC">#REF!</definedName>
    <definedName name="E_KEYWORD_ISSR_208009722_EMPLOYEES">#REF!</definedName>
    <definedName name="E_KEYWORD_ISSR_208009722_EQ">#REF!</definedName>
    <definedName name="E_KEYWORD_ISSR_208009722_ESO_PRE_TAX">#REF!</definedName>
    <definedName name="E_KEYWORD_ISSR_208009722_FIX_ASS_INV">#REF!</definedName>
    <definedName name="E_KEYWORD_ISSR_208009722_GCI_INFL">#REF!</definedName>
    <definedName name="E_KEYWORD_ISSR_208009722_GOODWILL_AMORT">#REF!</definedName>
    <definedName name="E_KEYWORD_ISSR_208009722_GR_FIX_ASS">#REF!</definedName>
    <definedName name="E_KEYWORD_ISSR_208009722_GR_INTANG">#REF!</definedName>
    <definedName name="E_KEYWORD_ISSR_208009722_INT_EXP_IND">#REF!</definedName>
    <definedName name="E_KEYWORD_ISSR_208009722_INT_INC_IND">#REF!</definedName>
    <definedName name="E_KEYWORD_ISSR_208009722_INV_SECUR">#REF!</definedName>
    <definedName name="E_KEYWORD_ISSR_208009722_Issuer_Name">#REF!</definedName>
    <definedName name="E_KEYWORD_ISSR_208009722_LEASE_DEEM_DEPR">#REF!</definedName>
    <definedName name="E_KEYWORD_ISSR_208009722_LEASE_DEEM_INT">#REF!</definedName>
    <definedName name="E_KEYWORD_ISSR_208009722_LEASE_PAY">#REF!</definedName>
    <definedName name="E_KEYWORD_ISSR_208009722_LT_DEBT">#REF!</definedName>
    <definedName name="E_KEYWORD_ISSR_208009722_MA_PROB">#REF!</definedName>
    <definedName name="E_KEYWORD_ISSR_208009722_MINORITIES">#REF!</definedName>
    <definedName name="E_KEYWORD_ISSR_208009722_MV_ASSOCIATES">#REF!</definedName>
    <definedName name="E_KEYWORD_ISSR_208009722_NET_DEBT">#REF!</definedName>
    <definedName name="E_KEYWORD_ISSR_208009722_NET_DEBT_ADJ">#REF!</definedName>
    <definedName name="E_KEYWORD_ISSR_208009722_NET_FIX_ASS">#REF!</definedName>
    <definedName name="E_KEYWORD_ISSR_208009722_NET_INT_CH">#REF!</definedName>
    <definedName name="E_KEYWORD_ISSR_208009722_NET_INT_EXP">#REF!</definedName>
    <definedName name="E_KEYWORD_ISSR_208009722_NET_INTANG">#REF!</definedName>
    <definedName name="E_KEYWORD_ISSR_208009722_NONPPE_CAPEX">#REF!</definedName>
    <definedName name="E_KEYWORD_ISSR_208009722_OP_AUSTRA">#REF!</definedName>
    <definedName name="E_KEYWORD_ISSR_208009722_OP_AUSTRIA">#REF!</definedName>
    <definedName name="E_KEYWORD_ISSR_208009722_OP_COMPANY0377">#REF!</definedName>
    <definedName name="E_KEYWORD_ISSR_208009722_OP_BRAZIL">#REF!</definedName>
    <definedName name="E_KEYWORD_ISSR_208009722_OP_CANADA">#REF!</definedName>
    <definedName name="E_KEYWORD_ISSR_208009722_OP_CEE">#REF!</definedName>
    <definedName name="E_KEYWORD_ISSR_208009722_OP_CHINA">#REF!</definedName>
    <definedName name="E_KEYWORD_ISSR_208009722_OP_CONS">#REF!</definedName>
    <definedName name="E_KEYWORD_ISSR_208009722_OP_COST">#REF!</definedName>
    <definedName name="E_KEYWORD_ISSR_208009722_OP_DEN">#REF!</definedName>
    <definedName name="E_KEYWORD_ISSR_208009722_OP_EU_EX_UK">#REF!</definedName>
    <definedName name="E_KEYWORD_ISSR_208009722_OP_FIN">#REF!</definedName>
    <definedName name="E_KEYWORD_ISSR_208009722_OP_FRA">#REF!</definedName>
    <definedName name="E_KEYWORD_ISSR_208009722_OP_GER">#REF!</definedName>
    <definedName name="E_KEYWORD_ISSR_208009722_OP_GOV">#REF!</definedName>
    <definedName name="E_KEYWORD_ISSR_208009722_OP_GRE">#REF!</definedName>
    <definedName name="E_KEYWORD_ISSR_208009722_OP_ICE">#REF!</definedName>
    <definedName name="E_KEYWORD_ISSR_208009722_OP_IND">#REF!</definedName>
    <definedName name="E_KEYWORD_ISSR_208009722_OP_INDIA">#REF!</definedName>
    <definedName name="E_KEYWORD_ISSR_208009722_OP_IRE">#REF!</definedName>
    <definedName name="E_KEYWORD_ISSR_208009722_OP_ITA">#REF!</definedName>
    <definedName name="E_KEYWORD_ISSR_208009722_OP_JAPAN">#REF!</definedName>
    <definedName name="E_KEYWORD_ISSR_208009722_OP_ME">#REF!</definedName>
    <definedName name="E_KEYWORD_ISSR_208009722_OP_NETH">#REF!</definedName>
    <definedName name="E_KEYWORD_ISSR_208009722_OP_NOR">#REF!</definedName>
    <definedName name="E_KEYWORD_ISSR_208009722_OP_NZ">#REF!</definedName>
    <definedName name="E_KEYWORD_ISSR_208009722_OP_OTH_AEJ">#REF!</definedName>
    <definedName name="E_KEYWORD_ISSR_208009722_OP_OTH_AM">#REF!</definedName>
    <definedName name="E_KEYWORD_ISSR_208009722_OP_OTH_EMEA">#REF!</definedName>
    <definedName name="E_KEYWORD_ISSR_208009722_OP_OTHER">#REF!</definedName>
    <definedName name="E_KEYWORD_ISSR_208009722_OP_POR">#REF!</definedName>
    <definedName name="E_KEYWORD_ISSR_208009722_OP_RUSSIA">#REF!</definedName>
    <definedName name="E_KEYWORD_ISSR_208009722_OP_SK">#REF!</definedName>
    <definedName name="E_KEYWORD_ISSR_208009722_OP_SPA">#REF!</definedName>
    <definedName name="E_KEYWORD_ISSR_208009722_OP_SWE">#REF!</definedName>
    <definedName name="E_KEYWORD_ISSR_208009722_OP_SWIT">#REF!</definedName>
    <definedName name="E_KEYWORD_ISSR_208009722_OP_TOT_AM">#REF!</definedName>
    <definedName name="E_KEYWORD_ISSR_208009722_OP_TOT_ASIA">#REF!</definedName>
    <definedName name="E_KEYWORD_ISSR_208009722_OP_TOT_EMEA">#REF!</definedName>
    <definedName name="E_KEYWORD_ISSR_208009722_OP_UK">#REF!</definedName>
    <definedName name="E_KEYWORD_ISSR_208009722_OP_US">#REF!</definedName>
    <definedName name="E_KEYWORD_ISSR_208009722_ORD_SH_FUND">#REF!</definedName>
    <definedName name="E_KEYWORD_ISSR_208009722_ORG_REV_GRTH">#REF!</definedName>
    <definedName name="E_KEYWORD_ISSR_208009722_OTH_COST_INC">#REF!</definedName>
    <definedName name="E_KEYWORD_ISSR_208009722_OTH_CUR_ASS">#REF!</definedName>
    <definedName name="E_KEYWORD_ISSR_208009722_OTH_CUR_LIABS">#REF!</definedName>
    <definedName name="E_KEYWORD_ISSR_208009722_OTH_DACF_ADJ">#REF!</definedName>
    <definedName name="E_KEYWORD_ISSR_208009722_OTH_FIN_CF">#REF!</definedName>
    <definedName name="E_KEYWORD_ISSR_208009722_OTH_GCI_ADJ">#REF!</definedName>
    <definedName name="E_KEYWORD_ISSR_208009722_OTH_INV_CF">#REF!</definedName>
    <definedName name="E_KEYWORD_ISSR_208009722_OTH_LT_ASS">#REF!</definedName>
    <definedName name="E_KEYWORD_ISSR_208009722_OTH_LT_CRED_GQ">#REF!</definedName>
    <definedName name="E_KEYWORD_ISSR_208009722_OTH_NONCASH_ADJ">#REF!</definedName>
    <definedName name="E_KEYWORD_ISSR_208009722_OTH_OP_CF">#REF!</definedName>
    <definedName name="E_KEYWORD_ISSR_208009722_OTH_OP_INC_EXP">#REF!</definedName>
    <definedName name="E_KEYWORD_ISSR_208009722_PERIOD_MILESTONE">#REF!</definedName>
    <definedName name="E_KEYWORD_ISSR_208009722_PL_SALE_ASSETS">#REF!</definedName>
    <definedName name="E_KEYWORD_ISSR_208009722_PREF_SH">#REF!</definedName>
    <definedName name="E_KEYWORD_ISSR_208009722_PROFIT_ON_DISP">#REF!</definedName>
    <definedName name="E_KEYWORD_ISSR_208009722_PT_PROF">#REF!</definedName>
    <definedName name="E_KEYWORD_ISSR_208009722_RD_EXP">#REF!</definedName>
    <definedName name="E_KEYWORD_ISSR_208009722_REV_FIN_SEGMENT">#REF!</definedName>
    <definedName name="E_KEYWORD_ISSR_208009722_SALES">#REF!</definedName>
    <definedName name="E_KEYWORD_ISSR_208009722_SALES_AUSTRA">#REF!</definedName>
    <definedName name="E_KEYWORD_ISSR_208009722_SALES_AUSTRIA">#REF!</definedName>
    <definedName name="E_KEYWORD_ISSR_208009722_SALES_COMPANY0377">#REF!</definedName>
    <definedName name="E_KEYWORD_ISSR_208009722_SALES_BRAZIL">#REF!</definedName>
    <definedName name="E_KEYWORD_ISSR_208009722_SALES_CANADA">#REF!</definedName>
    <definedName name="E_KEYWORD_ISSR_208009722_SALES_CEE">#REF!</definedName>
    <definedName name="E_KEYWORD_ISSR_208009722_SALES_CHINA">#REF!</definedName>
    <definedName name="E_KEYWORD_ISSR_208009722_SALES_CONS">#REF!</definedName>
    <definedName name="E_KEYWORD_ISSR_208009722_SALES_DEN">#REF!</definedName>
    <definedName name="E_KEYWORD_ISSR_208009722_SALES_EU_EX_UK">#REF!</definedName>
    <definedName name="E_KEYWORD_ISSR_208009722_SALES_FIN">#REF!</definedName>
    <definedName name="E_KEYWORD_ISSR_208009722_SALES_FINAN">#REF!</definedName>
    <definedName name="E_KEYWORD_ISSR_208009722_SALES_FRA">#REF!</definedName>
    <definedName name="E_KEYWORD_ISSR_208009722_SALES_GER">#REF!</definedName>
    <definedName name="E_KEYWORD_ISSR_208009722_SALES_GOV">#REF!</definedName>
    <definedName name="E_KEYWORD_ISSR_208009722_SALES_GRE">#REF!</definedName>
    <definedName name="E_KEYWORD_ISSR_208009722_SALES_ICE">#REF!</definedName>
    <definedName name="E_KEYWORD_ISSR_208009722_SALES_IND">#REF!</definedName>
    <definedName name="E_KEYWORD_ISSR_208009722_SALES_INDIA">#REF!</definedName>
    <definedName name="E_KEYWORD_ISSR_208009722_SALES_IRE">#REF!</definedName>
    <definedName name="E_KEYWORD_ISSR_208009722_SALES_ITA">#REF!</definedName>
    <definedName name="E_KEYWORD_ISSR_208009722_SALES_JAPAN">#REF!</definedName>
    <definedName name="E_KEYWORD_ISSR_208009722_SALES_ME">#REF!</definedName>
    <definedName name="E_KEYWORD_ISSR_208009722_SALES_NETH">#REF!</definedName>
    <definedName name="E_KEYWORD_ISSR_208009722_SALES_NOR">#REF!</definedName>
    <definedName name="E_KEYWORD_ISSR_208009722_SALES_NZ">#REF!</definedName>
    <definedName name="E_KEYWORD_ISSR_208009722_SALES_OTH_AEJ">#REF!</definedName>
    <definedName name="E_KEYWORD_ISSR_208009722_SALES_OTH_AM">#REF!</definedName>
    <definedName name="E_KEYWORD_ISSR_208009722_SALES_OTH_EMEA">#REF!</definedName>
    <definedName name="E_KEYWORD_ISSR_208009722_SALES_OTHER">#REF!</definedName>
    <definedName name="E_KEYWORD_ISSR_208009722_SALES_POR">#REF!</definedName>
    <definedName name="E_KEYWORD_ISSR_208009722_SALES_RUSSIA">#REF!</definedName>
    <definedName name="E_KEYWORD_ISSR_208009722_SALES_SK">#REF!</definedName>
    <definedName name="E_KEYWORD_ISSR_208009722_SALES_SMB">#REF!</definedName>
    <definedName name="E_KEYWORD_ISSR_208009722_SALES_SPA">#REF!</definedName>
    <definedName name="E_KEYWORD_ISSR_208009722_SALES_SWE">#REF!</definedName>
    <definedName name="E_KEYWORD_ISSR_208009722_SALES_SWIT">#REF!</definedName>
    <definedName name="E_KEYWORD_ISSR_208009722_SALES_TOT_AM">#REF!</definedName>
    <definedName name="E_KEYWORD_ISSR_208009722_SALES_TOT_ASIA">#REF!</definedName>
    <definedName name="E_KEYWORD_ISSR_208009722_SALES_TOT_EMEA">#REF!</definedName>
    <definedName name="E_KEYWORD_ISSR_208009722_SALES_UK">#REF!</definedName>
    <definedName name="E_KEYWORD_ISSR_208009722_SALES_US">#REF!</definedName>
    <definedName name="E_KEYWORD_ISSR_208009722_SEL_GL_AD">#REF!</definedName>
    <definedName name="E_KEYWORD_ISSR_208009722_SH_REPUR">#REF!</definedName>
    <definedName name="E_KEYWORD_ISSR_208009722_SHORT_T_DEBT">#REF!</definedName>
    <definedName name="E_KEYWORD_ISSR_208009722_SHORT_TERM_LIABS">#REF!</definedName>
    <definedName name="E_KEYWORD_ISSR_208009722_STOCKS">#REF!</definedName>
    <definedName name="E_KEYWORD_ISSR_208009722_TOT_ASSET">#REF!</definedName>
    <definedName name="E_KEYWORD_ISSR_208009722_TOT_CF">#REF!</definedName>
    <definedName name="E_KEYWORD_ISSR_208009722_TOT_LIAB">#REF!</definedName>
    <definedName name="E_KEYWORD_ISSR_208009722_TOT_LIAB_EQ">#REF!</definedName>
    <definedName name="E_KEYWORD_ISSR_208009722_TOT_LT_LIAB">#REF!</definedName>
    <definedName name="E_KEYWORD_ISSR_208009722_TOT_OPS_EXP">#REF!</definedName>
    <definedName name="E_KEYWORD_ISSR_208009722_TOT_OPS_EXP_DDA">#REF!</definedName>
    <definedName name="E_KEYWORD_ISSR_208009722_UNF_PENS">#REF!</definedName>
    <definedName name="E_KEYWORD_ISSR_208009722_UNF_PENS_LIAB_OTH">#REF!</definedName>
    <definedName name="E_KEYWORD_ISSR_208009722_UNF_PENS_OFF">#REF!</definedName>
    <definedName name="E_KEYWORD_ISSR_208009722_WORK_CAP">#REF!</definedName>
    <definedName name="E_KEYWORD_ISSR_208011556_ACC_AMORT">#REF!</definedName>
    <definedName name="E_KEYWORD_ISSR_208011556_ACC_DDA">#REF!</definedName>
    <definedName name="E_KEYWORD_ISSR_208011556_ACC_END_DATE">#REF!</definedName>
    <definedName name="E_KEYWORD_ISSR_208011556_ACC_PAY_GQ">#REF!</definedName>
    <definedName name="E_KEYWORD_ISSR_208011556_ACQ">#REF!</definedName>
    <definedName name="E_KEYWORD_ISSR_208011556_ADJ_UNF_PENS_GOOD">#REF!</definedName>
    <definedName name="E_KEYWORD_ISSR_208011556_ASSOC_JV_ADDBK">#REF!</definedName>
    <definedName name="E_KEYWORD_ISSR_208011556_ASSOCIATE">#REF!</definedName>
    <definedName name="E_KEYWORD_ISSR_208011556_ASSOCIATE_OP">#REF!</definedName>
    <definedName name="E_KEYWORD_ISSR_208011556_BAL_MINO_INT">#REF!</definedName>
    <definedName name="E_KEYWORD_ISSR_208011556_CAP_LEASES">#REF!</definedName>
    <definedName name="E_KEYWORD_ISSR_208011556_CAPEX">#REF!</definedName>
    <definedName name="E_KEYWORD_ISSR_208011556_CAPEX_EXPANSION">#REF!</definedName>
    <definedName name="E_KEYWORD_ISSR_208011556_CAPEX_MAINTENANCE">#REF!</definedName>
    <definedName name="E_KEYWORD_ISSR_208011556_CASH_EQ">#REF!</definedName>
    <definedName name="E_KEYWORD_ISSR_208011556_CASH_INT_EXP">#REF!</definedName>
    <definedName name="E_KEYWORD_ISSR_208011556_CASH_PCT_OS_US">#REF!</definedName>
    <definedName name="E_KEYWORD_ISSR_208011556_CASH_TAX_EXP">#REF!</definedName>
    <definedName name="E_KEYWORD_ISSR_208011556_CF_FIN">#REF!</definedName>
    <definedName name="E_KEYWORD_ISSR_208011556_CF_INC_MINORITY">#REF!</definedName>
    <definedName name="E_KEYWORD_ISSR_208011556_CF_INV">#REF!</definedName>
    <definedName name="E_KEYWORD_ISSR_208011556_CF_OPS">#REF!</definedName>
    <definedName name="E_KEYWORD_ISSR_208011556_CHG_LT_DEBT">#REF!</definedName>
    <definedName name="E_KEYWORD_ISSR_208011556_CO_BOR_MARGIN">#REF!</definedName>
    <definedName name="E_KEYWORD_ISSR_208011556_CONTRIB_MARGIN_RATIO">#REF!</definedName>
    <definedName name="E_KEYWORD_ISSR_208011556_COST_GD_SD">#REF!</definedName>
    <definedName name="E_KEYWORD_ISSR_208011556_CUR_ASS">#REF!</definedName>
    <definedName name="E_KEYWORD_ISSR_208011556_CURRENCY_ISO">#REF!</definedName>
    <definedName name="E_KEYWORD_ISSR_208011556_DEBTORS">#REF!</definedName>
    <definedName name="E_KEYWORD_ISSR_208011556_DEF_INC_TAX">#REF!</definedName>
    <definedName name="E_KEYWORD_ISSR_208011556_DEPR_AMORT">#REF!</definedName>
    <definedName name="E_KEYWORD_ISSR_208011556_DEPREC">#REF!</definedName>
    <definedName name="E_KEYWORD_ISSR_208011556_DIV_PAID">#REF!</definedName>
    <definedName name="E_KEYWORD_ISSR_208011556_DIVDS_ASSOC_JV">#REF!</definedName>
    <definedName name="E_KEYWORD_ISSR_208011556_DIVDS_PD_MINORITIES">#REF!</definedName>
    <definedName name="E_KEYWORD_ISSR_208011556_DIVEST">#REF!</definedName>
    <definedName name="E_KEYWORD_ISSR_208011556_EBIT">#REF!</definedName>
    <definedName name="E_KEYWORD_ISSR_208011556_EBIT_FIN_SEGMENT">#REF!</definedName>
    <definedName name="E_KEYWORD_ISSR_208011556_EBITDA_CALC">#REF!</definedName>
    <definedName name="E_KEYWORD_ISSR_208011556_EMPLOYEES">#REF!</definedName>
    <definedName name="E_KEYWORD_ISSR_208011556_EQ">#REF!</definedName>
    <definedName name="E_KEYWORD_ISSR_208011556_ESO_PRE_TAX">#REF!</definedName>
    <definedName name="E_KEYWORD_ISSR_208011556_EXP_ALUMINIUM">#REF!</definedName>
    <definedName name="E_KEYWORD_ISSR_208011556_EXP_COPPER">#REF!</definedName>
    <definedName name="E_KEYWORD_ISSR_208011556_EXP_GLASS">#REF!</definedName>
    <definedName name="E_KEYWORD_ISSR_208011556_EXP_GOLD">#REF!</definedName>
    <definedName name="E_KEYWORD_ISSR_208011556_EXP_NICKEL">#REF!</definedName>
    <definedName name="E_KEYWORD_ISSR_208011556_EXP_OIL_DERIV_NGLS_PLASTICS">#REF!</definedName>
    <definedName name="E_KEYWORD_ISSR_208011556_EXP_OIL_PETRO_FUEL">#REF!</definedName>
    <definedName name="E_KEYWORD_ISSR_208011556_EXP_OTH_COMMODITY">#REF!</definedName>
    <definedName name="E_KEYWORD_ISSR_208011556_EXP_OTH_COST">#REF!</definedName>
    <definedName name="E_KEYWORD_ISSR_208011556_EXP_PALLADIUM">#REF!</definedName>
    <definedName name="E_KEYWORD_ISSR_208011556_EXP_PAPER_PULP">#REF!</definedName>
    <definedName name="E_KEYWORD_ISSR_208011556_EXP_PLATINUM">#REF!</definedName>
    <definedName name="E_KEYWORD_ISSR_208011556_EXP_SILVER">#REF!</definedName>
    <definedName name="E_KEYWORD_ISSR_208011556_EXP_WATER">#REF!</definedName>
    <definedName name="E_KEYWORD_ISSR_208011556_EXP_Company3050">#REF!</definedName>
    <definedName name="E_KEYWORD_ISSR_208011556_FIX_ASS_INV">#REF!</definedName>
    <definedName name="E_KEYWORD_ISSR_208011556_GCI_INFL">#REF!</definedName>
    <definedName name="E_KEYWORD_ISSR_208011556_GOODWILL_AMORT">#REF!</definedName>
    <definedName name="E_KEYWORD_ISSR_208011556_GR_FIX_ASS">#REF!</definedName>
    <definedName name="E_KEYWORD_ISSR_208011556_GR_INTANG">#REF!</definedName>
    <definedName name="E_KEYWORD_ISSR_208011556_INT_EXP_IND">#REF!</definedName>
    <definedName name="E_KEYWORD_ISSR_208011556_INT_INC_IND">#REF!</definedName>
    <definedName name="E_KEYWORD_ISSR_208011556_INV_SECUR">#REF!</definedName>
    <definedName name="E_KEYWORD_ISSR_208011556_Issuer_Name">#REF!</definedName>
    <definedName name="E_KEYWORD_ISSR_208011556_LEASE_DEEM_DEPR">#REF!</definedName>
    <definedName name="E_KEYWORD_ISSR_208011556_LEASE_DEEM_INT">#REF!</definedName>
    <definedName name="E_KEYWORD_ISSR_208011556_LEASE_PAY">#REF!</definedName>
    <definedName name="E_KEYWORD_ISSR_208011556_LT_DEBT">#REF!</definedName>
    <definedName name="E_KEYWORD_ISSR_208011556_MA_PROB">#REF!</definedName>
    <definedName name="E_KEYWORD_ISSR_208011556_MINORITIES">#REF!</definedName>
    <definedName name="E_KEYWORD_ISSR_208011556_MV_ASSOCIATES">#REF!</definedName>
    <definedName name="E_KEYWORD_ISSR_208011556_NET_DEBT">#REF!</definedName>
    <definedName name="E_KEYWORD_ISSR_208011556_NET_DEBT_ADJ">#REF!</definedName>
    <definedName name="E_KEYWORD_ISSR_208011556_NET_FIX_ASS">#REF!</definedName>
    <definedName name="E_KEYWORD_ISSR_208011556_NET_INT_CH">#REF!</definedName>
    <definedName name="E_KEYWORD_ISSR_208011556_NET_INT_EXP">#REF!</definedName>
    <definedName name="E_KEYWORD_ISSR_208011556_NET_INTANG">#REF!</definedName>
    <definedName name="E_KEYWORD_ISSR_208011556_NONPPE_CAPEX">#REF!</definedName>
    <definedName name="E_KEYWORD_ISSR_208011556_OP_COST">#REF!</definedName>
    <definedName name="E_KEYWORD_ISSR_208011556_ORD_SH_FUND">#REF!</definedName>
    <definedName name="E_KEYWORD_ISSR_208011556_OTH_COST_INC">#REF!</definedName>
    <definedName name="E_KEYWORD_ISSR_208011556_OTH_CUR_ASS">#REF!</definedName>
    <definedName name="E_KEYWORD_ISSR_208011556_OTH_CUR_LIABS">#REF!</definedName>
    <definedName name="E_KEYWORD_ISSR_208011556_OTH_DACF_ADJ">#REF!</definedName>
    <definedName name="E_KEYWORD_ISSR_208011556_OTH_FIN_CF">#REF!</definedName>
    <definedName name="E_KEYWORD_ISSR_208011556_OTH_GCI_ADJ">#REF!</definedName>
    <definedName name="E_KEYWORD_ISSR_208011556_OTH_INV_CF">#REF!</definedName>
    <definedName name="E_KEYWORD_ISSR_208011556_OTH_LT_ASS">#REF!</definedName>
    <definedName name="E_KEYWORD_ISSR_208011556_OTH_LT_CRED_GQ">#REF!</definedName>
    <definedName name="E_KEYWORD_ISSR_208011556_OTH_NONCASH_ADJ">#REF!</definedName>
    <definedName name="E_KEYWORD_ISSR_208011556_OTH_OP_CF">#REF!</definedName>
    <definedName name="E_KEYWORD_ISSR_208011556_OTH_OP_INC_EXP">#REF!</definedName>
    <definedName name="E_KEYWORD_ISSR_208011556_PERIOD_MILESTONE">#REF!</definedName>
    <definedName name="E_KEYWORD_ISSR_208011556_PL_SALE_ASSETS">#REF!</definedName>
    <definedName name="E_KEYWORD_ISSR_208011556_PREF_SH">#REF!</definedName>
    <definedName name="E_KEYWORD_ISSR_208011556_PROFIT_ON_DISP">#REF!</definedName>
    <definedName name="E_KEYWORD_ISSR_208011556_PT_PROF">#REF!</definedName>
    <definedName name="E_KEYWORD_ISSR_208011556_RD_EXP">#REF!</definedName>
    <definedName name="E_KEYWORD_ISSR_208011556_REV_FIN_SEGMENT">#REF!</definedName>
    <definedName name="E_KEYWORD_ISSR_208011556_SALES">#REF!</definedName>
    <definedName name="E_KEYWORD_ISSR_208011556_SALES_ARGENTINA">#REF!</definedName>
    <definedName name="E_KEYWORD_ISSR_208011556_SALES_BRAZIL">#REF!</definedName>
    <definedName name="E_KEYWORD_ISSR_208011556_SALES_CANADA">#REF!</definedName>
    <definedName name="E_KEYWORD_ISSR_208011556_SALES_CEE">#REF!</definedName>
    <definedName name="E_KEYWORD_ISSR_208011556_SALES_CHILE">#REF!</definedName>
    <definedName name="E_KEYWORD_ISSR_208011556_SALES_CHINA">#REF!</definedName>
    <definedName name="E_KEYWORD_ISSR_208011556_SALES_COLOMBIA">#REF!</definedName>
    <definedName name="E_KEYWORD_ISSR_208011556_SALES_CONS">#REF!</definedName>
    <definedName name="E_KEYWORD_ISSR_208011556_SALES_EU_EX_UK">#REF!</definedName>
    <definedName name="E_KEYWORD_ISSR_208011556_SALES_FINAN">#REF!</definedName>
    <definedName name="E_KEYWORD_ISSR_208011556_SALES_FX_ARS">#REF!</definedName>
    <definedName name="E_KEYWORD_ISSR_208011556_SALES_FX_BRL">#REF!</definedName>
    <definedName name="E_KEYWORD_ISSR_208011556_SALES_FX_CAD">#REF!</definedName>
    <definedName name="E_KEYWORD_ISSR_208011556_SALES_FX_CLP">#REF!</definedName>
    <definedName name="E_KEYWORD_ISSR_208011556_SALES_FX_CNY">#REF!</definedName>
    <definedName name="E_KEYWORD_ISSR_208011556_SALES_FX_COP">#REF!</definedName>
    <definedName name="E_KEYWORD_ISSR_208011556_SALES_FX_EUR">#REF!</definedName>
    <definedName name="E_KEYWORD_ISSR_208011556_SALES_FX_GPB">#REF!</definedName>
    <definedName name="E_KEYWORD_ISSR_208011556_SALES_FX_INR">#REF!</definedName>
    <definedName name="E_KEYWORD_ISSR_208011556_SALES_FX_MXN">#REF!</definedName>
    <definedName name="E_KEYWORD_ISSR_208011556_SALES_FX_OTH">#REF!</definedName>
    <definedName name="E_KEYWORD_ISSR_208011556_SALES_FX_RUB">#REF!</definedName>
    <definedName name="E_KEYWORD_ISSR_208011556_SALES_FX_USD">#REF!</definedName>
    <definedName name="E_KEYWORD_ISSR_208011556_SALES_FX_VEF">#REF!</definedName>
    <definedName name="E_KEYWORD_ISSR_208011556_SALES_FX_YEN">#REF!</definedName>
    <definedName name="E_KEYWORD_ISSR_208011556_SALES_GOV">#REF!</definedName>
    <definedName name="E_KEYWORD_ISSR_208011556_SALES_IND">#REF!</definedName>
    <definedName name="E_KEYWORD_ISSR_208011556_SALES_INDIA">#REF!</definedName>
    <definedName name="E_KEYWORD_ISSR_208011556_SALES_JAPAN">#REF!</definedName>
    <definedName name="E_KEYWORD_ISSR_208011556_SALES_ME">#REF!</definedName>
    <definedName name="E_KEYWORD_ISSR_208011556_SALES_MEXICO">#REF!</definedName>
    <definedName name="E_KEYWORD_ISSR_208011556_SALES_OTH_AEJ">#REF!</definedName>
    <definedName name="E_KEYWORD_ISSR_208011556_SALES_OTH_AM">#REF!</definedName>
    <definedName name="E_KEYWORD_ISSR_208011556_SALES_OTH_EMEA">#REF!</definedName>
    <definedName name="E_KEYWORD_ISSR_208011556_SALES_OTHER">#REF!</definedName>
    <definedName name="E_KEYWORD_ISSR_208011556_SALES_RUSSIA">#REF!</definedName>
    <definedName name="E_KEYWORD_ISSR_208011556_SALES_SMB">#REF!</definedName>
    <definedName name="E_KEYWORD_ISSR_208011556_SALES_TOT_AFRICA">#REF!</definedName>
    <definedName name="E_KEYWORD_ISSR_208011556_SALES_TOT_AM">#REF!</definedName>
    <definedName name="E_KEYWORD_ISSR_208011556_SALES_TOT_ASIA">#REF!</definedName>
    <definedName name="E_KEYWORD_ISSR_208011556_SALES_TOT_EMEA">#REF!</definedName>
    <definedName name="E_KEYWORD_ISSR_208011556_SALES_UK">#REF!</definedName>
    <definedName name="E_KEYWORD_ISSR_208011556_SALES_US">#REF!</definedName>
    <definedName name="E_KEYWORD_ISSR_208011556_SALES_VENEZUELA">#REF!</definedName>
    <definedName name="E_KEYWORD_ISSR_208011556_SEL_GL_AD">#REF!</definedName>
    <definedName name="E_KEYWORD_ISSR_208011556_SH_REPUR">#REF!</definedName>
    <definedName name="E_KEYWORD_ISSR_208011556_SHORT_T_DEBT">#REF!</definedName>
    <definedName name="E_KEYWORD_ISSR_208011556_SHORT_TERM_LIABS">#REF!</definedName>
    <definedName name="E_KEYWORD_ISSR_208011556_STOCKS">#REF!</definedName>
    <definedName name="E_KEYWORD_ISSR_208011556_TOT_ASSET">#REF!</definedName>
    <definedName name="E_KEYWORD_ISSR_208011556_TOT_CF">#REF!</definedName>
    <definedName name="E_KEYWORD_ISSR_208011556_TOT_LIAB">#REF!</definedName>
    <definedName name="E_KEYWORD_ISSR_208011556_TOT_LIAB_EQ">#REF!</definedName>
    <definedName name="E_KEYWORD_ISSR_208011556_TOT_LT_LIAB">#REF!</definedName>
    <definedName name="E_KEYWORD_ISSR_208011556_TOT_OPS_EXP">#REF!</definedName>
    <definedName name="E_KEYWORD_ISSR_208011556_TOT_OPS_EXP_DDA">#REF!</definedName>
    <definedName name="E_KEYWORD_ISSR_208011556_UNF_PENS">#REF!</definedName>
    <definedName name="E_KEYWORD_ISSR_208011556_UNF_PENS_LIAB_OTH">#REF!</definedName>
    <definedName name="E_KEYWORD_ISSR_208011556_UNF_PENS_OFF">#REF!</definedName>
    <definedName name="E_KEYWORD_ISSR_208011556_WORK_CAP">#REF!</definedName>
    <definedName name="E_LIVEDATA_EQTY_200001646">#REF!</definedName>
    <definedName name="E_LIVEDATA_EQTY_200002831">#REF!</definedName>
    <definedName name="E_LIVEDATA_EQTY_200004419">#REF!</definedName>
    <definedName name="E_LIVEDATA_EQTY_200012762">#REF!</definedName>
    <definedName name="E_LIVEDATA_EQTY_200014750">#REF!</definedName>
    <definedName name="E_LIVEDATA_ISSR_208000603">#REF!</definedName>
    <definedName name="E_LIVEDATA_ISSR_208000976">#REF!</definedName>
    <definedName name="E_LIVEDATA_ISSR_208001258">#REF!</definedName>
    <definedName name="E_LIVEDATA_ISSR_208009722">#REF!</definedName>
    <definedName name="E_LIVEDATA_ISSR_208011556">#REF!</definedName>
    <definedName name="E_OCF_2001">#REF!</definedName>
    <definedName name="E_OCF_2002">#REF!</definedName>
    <definedName name="E_OCF_2003">#REF!</definedName>
    <definedName name="E_OCF_2004">#REF!</definedName>
    <definedName name="E_PERIOD_2002">#REF!</definedName>
    <definedName name="E_PERIOD_2003">#REF!</definedName>
    <definedName name="E_PERIOD_2003_Q1">#REF!</definedName>
    <definedName name="E_PERIOD_2003_Q2">#REF!</definedName>
    <definedName name="E_PERIOD_2003_Q3">#REF!</definedName>
    <definedName name="E_PERIOD_2003_Q4">#REF!</definedName>
    <definedName name="E_PERIOD_2004">#REF!</definedName>
    <definedName name="E_PERIOD_2004_Q1">#REF!</definedName>
    <definedName name="E_PERIOD_2004_Q2">#REF!</definedName>
    <definedName name="E_PERIOD_2004_Q3">#REF!</definedName>
    <definedName name="E_PERIOD_2004_Q4">#REF!</definedName>
    <definedName name="E_PERIOD_2005">#REF!</definedName>
    <definedName name="E_PERIOD_2005_Q1">#REF!</definedName>
    <definedName name="E_PERIOD_2005_Q2">#REF!</definedName>
    <definedName name="E_PERIOD_2005_Q3">#REF!</definedName>
    <definedName name="E_PERIOD_2005_Q4">#REF!</definedName>
    <definedName name="E_PERIOD_2006_Q1">#REF!</definedName>
    <definedName name="E_PERIOD_2006_Q2">#REF!</definedName>
    <definedName name="E_PERIOD_2006_Q3">#REF!</definedName>
    <definedName name="E_PERIOD_2006_Q4">#REF!</definedName>
    <definedName name="E_Rev_2000">#REF!</definedName>
    <definedName name="E_Rev_2002">#REF!</definedName>
    <definedName name="E_SECTION_EQTY_200001646_1314">#REF!</definedName>
    <definedName name="E_SECTION_EQTY_200001646_1319">#REF!</definedName>
    <definedName name="E_SECTION_EQTY_200001646_131E">#REF!</definedName>
    <definedName name="E_SECTION_EQTY_200001646_131O">#REF!</definedName>
    <definedName name="E_SECTION_EQTY_200001646_131P">#REF!</definedName>
    <definedName name="E_SECTION_EQTY_200001646_13A">#REF!</definedName>
    <definedName name="E_SECTION_EQTY_200001646_13K">#REF!</definedName>
    <definedName name="E_SECTION_EQTY_200001646_13U">#REF!</definedName>
    <definedName name="E_SECTION_EQTY_200001646_13V">#REF!</definedName>
    <definedName name="E_SECTION_EQTY_200001646_13W">#REF!</definedName>
    <definedName name="E_SECTION_EQTY_200001646_Reference_Data">#REF!</definedName>
    <definedName name="E_SECTION_EQTY_200002831_1314">#REF!</definedName>
    <definedName name="E_SECTION_EQTY_200002831_1319">#REF!</definedName>
    <definedName name="E_SECTION_EQTY_200002831_131E">#REF!</definedName>
    <definedName name="E_SECTION_EQTY_200002831_131O">#REF!</definedName>
    <definedName name="E_SECTION_EQTY_200002831_13A">#REF!</definedName>
    <definedName name="E_SECTION_EQTY_200002831_13K">#REF!</definedName>
    <definedName name="E_SECTION_EQTY_200002831_13U">#REF!</definedName>
    <definedName name="E_SECTION_EQTY_200002831_13V">#REF!</definedName>
    <definedName name="E_SECTION_EQTY_200002831_13W">#REF!</definedName>
    <definedName name="E_SECTION_EQTY_200002831_Reference_Data">#REF!</definedName>
    <definedName name="E_SECTION_EQTY_200004419_1314">#REF!</definedName>
    <definedName name="E_SECTION_EQTY_200004419_1319">#REF!</definedName>
    <definedName name="E_SECTION_EQTY_200004419_131E">#REF!</definedName>
    <definedName name="E_SECTION_EQTY_200004419_131O">#REF!</definedName>
    <definedName name="E_SECTION_EQTY_200004419_13A">#REF!</definedName>
    <definedName name="E_SECTION_EQTY_200004419_13K">#REF!</definedName>
    <definedName name="E_SECTION_EQTY_200004419_13U">#REF!</definedName>
    <definedName name="E_SECTION_EQTY_200004419_13V">#REF!</definedName>
    <definedName name="E_SECTION_EQTY_200004419_13W">#REF!</definedName>
    <definedName name="E_SECTION_EQTY_200004419_Reference_Data">#REF!</definedName>
    <definedName name="E_SECTION_EQTY_200012762_1314">#REF!</definedName>
    <definedName name="E_SECTION_EQTY_200012762_1319">#REF!</definedName>
    <definedName name="E_SECTION_EQTY_200012762_131E">#REF!</definedName>
    <definedName name="E_SECTION_EQTY_200012762_131O">#REF!</definedName>
    <definedName name="E_SECTION_EQTY_200012762_13A">#REF!</definedName>
    <definedName name="E_SECTION_EQTY_200012762_13K">#REF!</definedName>
    <definedName name="E_SECTION_EQTY_200012762_13U">#REF!</definedName>
    <definedName name="E_SECTION_EQTY_200012762_13V">#REF!</definedName>
    <definedName name="E_SECTION_EQTY_200012762_13W">#REF!</definedName>
    <definedName name="E_SECTION_EQTY_200012762_Reference_Data">#REF!</definedName>
    <definedName name="E_SECTION_EQTY_200014750_1314">#REF!</definedName>
    <definedName name="E_SECTION_EQTY_200014750_1319">#REF!</definedName>
    <definedName name="E_SECTION_EQTY_200014750_131E">#REF!</definedName>
    <definedName name="E_SECTION_EQTY_200014750_131O">#REF!</definedName>
    <definedName name="E_SECTION_EQTY_200014750_13A">#REF!</definedName>
    <definedName name="E_SECTION_EQTY_200014750_13K">#REF!</definedName>
    <definedName name="E_SECTION_EQTY_200014750_13U">#REF!</definedName>
    <definedName name="E_SECTION_EQTY_200014750_13V">#REF!</definedName>
    <definedName name="E_SECTION_EQTY_200014750_13W">#REF!</definedName>
    <definedName name="E_SECTION_EQTY_200014750_Reference_Data">#REF!</definedName>
    <definedName name="E_SECTION_ISSR_208000603_1314">#REF!</definedName>
    <definedName name="E_SECTION_ISSR_208000603_13168">#REF!</definedName>
    <definedName name="E_SECTION_ISSR_208000603_1319">#REF!</definedName>
    <definedName name="E_SECTION_ISSR_208000603_131E">#REF!</definedName>
    <definedName name="E_SECTION_ISSR_208000603_131J">#REF!</definedName>
    <definedName name="E_SECTION_ISSR_208000603_131O">#REF!</definedName>
    <definedName name="E_SECTION_ISSR_208000603_131P">#REF!</definedName>
    <definedName name="E_SECTION_ISSR_208000603_13A">#REF!</definedName>
    <definedName name="E_SECTION_ISSR_208000603_13U">#REF!</definedName>
    <definedName name="E_SECTION_ISSR_208000603_13V">#REF!</definedName>
    <definedName name="E_SECTION_ISSR_208000603_Reference_Data">#REF!</definedName>
    <definedName name="E_SECTION_ISSR_208000976_1314">#REF!</definedName>
    <definedName name="E_SECTION_ISSR_208000976_13168">#REF!</definedName>
    <definedName name="E_SECTION_ISSR_208000976_1316T">#REF!</definedName>
    <definedName name="E_SECTION_ISSR_208000976_1316U">#REF!</definedName>
    <definedName name="E_SECTION_ISSR_208000976_1319">#REF!</definedName>
    <definedName name="E_SECTION_ISSR_208000976_131E">#REF!</definedName>
    <definedName name="E_SECTION_ISSR_208000976_131J">#REF!</definedName>
    <definedName name="E_SECTION_ISSR_208000976_131O">#REF!</definedName>
    <definedName name="E_SECTION_ISSR_208000976_13A">#REF!</definedName>
    <definedName name="E_SECTION_ISSR_208000976_13U">#REF!</definedName>
    <definedName name="E_SECTION_ISSR_208000976_13V">#REF!</definedName>
    <definedName name="E_SECTION_ISSR_208000976_Reference_Data">#REF!</definedName>
    <definedName name="E_SECTION_ISSR_208001258_1314">#REF!</definedName>
    <definedName name="E_SECTION_ISSR_208001258_13168">#REF!</definedName>
    <definedName name="E_SECTION_ISSR_208001258_1316T">#REF!</definedName>
    <definedName name="E_SECTION_ISSR_208001258_1316U">#REF!</definedName>
    <definedName name="E_SECTION_ISSR_208001258_1319">#REF!</definedName>
    <definedName name="E_SECTION_ISSR_208001258_131E">#REF!</definedName>
    <definedName name="E_SECTION_ISSR_208001258_131J">#REF!</definedName>
    <definedName name="E_SECTION_ISSR_208001258_131O">#REF!</definedName>
    <definedName name="E_SECTION_ISSR_208001258_13A">#REF!</definedName>
    <definedName name="E_SECTION_ISSR_208001258_13U">#REF!</definedName>
    <definedName name="E_SECTION_ISSR_208001258_13V">#REF!</definedName>
    <definedName name="E_SECTION_ISSR_208001258_Reference_Data">#REF!</definedName>
    <definedName name="E_SECTION_ISSR_208009722_1314">#REF!</definedName>
    <definedName name="E_SECTION_ISSR_208009722_13168">#REF!</definedName>
    <definedName name="E_SECTION_ISSR_208009722_1319">#REF!</definedName>
    <definedName name="E_SECTION_ISSR_208009722_131E">#REF!</definedName>
    <definedName name="E_SECTION_ISSR_208009722_131J">#REF!</definedName>
    <definedName name="E_SECTION_ISSR_208009722_131O">#REF!</definedName>
    <definedName name="E_SECTION_ISSR_208009722_13A">#REF!</definedName>
    <definedName name="E_SECTION_ISSR_208009722_13U">#REF!</definedName>
    <definedName name="E_SECTION_ISSR_208009722_13V">#REF!</definedName>
    <definedName name="E_SECTION_ISSR_208009722_Reference_Data">#REF!</definedName>
    <definedName name="E_SECTION_ISSR_208011556_1314">#REF!</definedName>
    <definedName name="E_SECTION_ISSR_208011556_13168">#REF!</definedName>
    <definedName name="E_SECTION_ISSR_208011556_1316T">#REF!</definedName>
    <definedName name="E_SECTION_ISSR_208011556_1316U">#REF!</definedName>
    <definedName name="E_SECTION_ISSR_208011556_1319">#REF!</definedName>
    <definedName name="E_SECTION_ISSR_208011556_131E">#REF!</definedName>
    <definedName name="E_SECTION_ISSR_208011556_131J">#REF!</definedName>
    <definedName name="E_SECTION_ISSR_208011556_131O">#REF!</definedName>
    <definedName name="E_SECTION_ISSR_208011556_13A">#REF!</definedName>
    <definedName name="E_SECTION_ISSR_208011556_13U">#REF!</definedName>
    <definedName name="E_SECTION_ISSR_208011556_13V">#REF!</definedName>
    <definedName name="E_SECTION_ISSR_208011556_Reference_Data">#REF!</definedName>
    <definedName name="earn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asternprice">#REF!</definedName>
    <definedName name="easternshares">#REF!</definedName>
    <definedName name="EBIT">#REF!</definedName>
    <definedName name="EBIT_fore">#REF!</definedName>
    <definedName name="EBIT_growth">#REF!</definedName>
    <definedName name="EBIT_Lit03">#REF!</definedName>
    <definedName name="EBIT_margin">#REF!</definedName>
    <definedName name="EBIT_margin_fore">#REF!</definedName>
    <definedName name="ebit_pretelstra">#REF!</definedName>
    <definedName name="EBIT00">#REF!</definedName>
    <definedName name="EBIT01">#REF!</definedName>
    <definedName name="EBIT02">#REF!</definedName>
    <definedName name="EBIT03">#REF!</definedName>
    <definedName name="EBIT04">#REF!</definedName>
    <definedName name="EBIT1997">#REF!</definedName>
    <definedName name="EBIT1998">#REF!</definedName>
    <definedName name="EBIT1999">#REF!</definedName>
    <definedName name="EBIT2000">#REF!</definedName>
    <definedName name="EBIT2001">#REF!</definedName>
    <definedName name="EBIT95">#REF!</definedName>
    <definedName name="EBIT96">#REF!</definedName>
    <definedName name="EBIT97">#REF!</definedName>
    <definedName name="EBIT98">#REF!</definedName>
    <definedName name="EBIT99">#REF!</definedName>
    <definedName name="EBITA">#REF!</definedName>
    <definedName name="EBITA_fore">#REF!</definedName>
    <definedName name="EBITDA">#REF!</definedName>
    <definedName name="EBITDA_DCF">#REF!</definedName>
    <definedName name="EBITDA_fore">#REF!</definedName>
    <definedName name="EBITDA_growth">#REF!</definedName>
    <definedName name="EBITDA_growth_avg">#REF!</definedName>
    <definedName name="EBITDA_margin">#REF!</definedName>
    <definedName name="EBITDA_margin_fore">#REF!</definedName>
    <definedName name="ebitda_pretelstra">#REF!</definedName>
    <definedName name="EBITDA_Share">#REF!</definedName>
    <definedName name="ebitda00">#REF!</definedName>
    <definedName name="EBITDA01">#REF!</definedName>
    <definedName name="EBITDA02">#REF!</definedName>
    <definedName name="EBITDA1997">#REF!</definedName>
    <definedName name="EBITDA1998">#REF!</definedName>
    <definedName name="EBITDA1999">#REF!</definedName>
    <definedName name="EBITDA2000">#REF!</definedName>
    <definedName name="EBITDA2001">#REF!</definedName>
    <definedName name="EBITDA2002">#REF!</definedName>
    <definedName name="EBITDA2003">#REF!</definedName>
    <definedName name="EBITDA2004">#REF!</definedName>
    <definedName name="ebitda96">#REF!</definedName>
    <definedName name="ebitda97">#REF!</definedName>
    <definedName name="ebitda98">#REF!</definedName>
    <definedName name="ebitda99">#REF!</definedName>
    <definedName name="EBITDAAAPR1997">#REF!</definedName>
    <definedName name="EBITDAAAPR1998">#REF!</definedName>
    <definedName name="EBITDAAAPR1999">#REF!</definedName>
    <definedName name="EBITDAAAPR2000">#REF!</definedName>
    <definedName name="EBITDAAAPR2001">#REF!</definedName>
    <definedName name="EBITDALit03">#REF!</definedName>
    <definedName name="EBITDALit04">#REF!</definedName>
    <definedName name="ebitdaps00">#REF!</definedName>
    <definedName name="ebitdaps98">#REF!</definedName>
    <definedName name="ebitdaps99">#REF!</definedName>
    <definedName name="EBITSENS">#REF!</definedName>
    <definedName name="ecilcurr">#REF!</definedName>
    <definedName name="ecilcurrffq">#REF!</definedName>
    <definedName name="ecilpegrelavg">#REF!</definedName>
    <definedName name="ecilpegrelcurr">#REF!</definedName>
    <definedName name="ecilpegrowthavg">#REF!</definedName>
    <definedName name="ecilpegrowthcurr">#REF!</definedName>
    <definedName name="Economic_profit">#REF!</definedName>
    <definedName name="Economic_profit_dcf">#REF!</definedName>
    <definedName name="Economic_profit_DCF_2">#REF!</definedName>
    <definedName name="Economic_profit2">#REF!</definedName>
    <definedName name="effective_tax">#REF!</definedName>
    <definedName name="Effective_tax_rate">#REF!</definedName>
    <definedName name="effodd" hidden="1">{"'Standalone List Price Trends'!$A$1:$X$56"}</definedName>
    <definedName name="EG_DPS">#REF!</definedName>
    <definedName name="EG_Net_Profit">#REF!</definedName>
    <definedName name="ElDato">#REF!</definedName>
    <definedName name="elim_perc">#REF!</definedName>
    <definedName name="elxis">#REF!</definedName>
    <definedName name="EMC">#REF!</definedName>
    <definedName name="employee">#REF!</definedName>
    <definedName name="Employees">#REF!</definedName>
    <definedName name="EndDate">#REF!</definedName>
    <definedName name="EndYear">#REF!</definedName>
    <definedName name="ENI_Pivot_SMCD">#REF!</definedName>
    <definedName name="ENI_Pivot_SMR">#REF!</definedName>
    <definedName name="ent">#REF!</definedName>
    <definedName name="enterprise">#REF!</definedName>
    <definedName name="ENTERPRISEASP">#REF!</definedName>
    <definedName name="ENTERPRISEREV">#REF!</definedName>
    <definedName name="ENTERPRISESHIP.">#REF!</definedName>
    <definedName name="Company0866">#REF!</definedName>
    <definedName name="EPS">#REF!</definedName>
    <definedName name="EPS_Curr_Qtr">#REF!</definedName>
    <definedName name="EPS_Curr_Yr">#REF!</definedName>
    <definedName name="EPS_ex_exceptionals_pretelstra">#REF!</definedName>
    <definedName name="eps_fiscal_yr_change_comment">#REF!</definedName>
    <definedName name="eps_growth">#REF!</definedName>
    <definedName name="EPS_growth_avg">#REF!</definedName>
    <definedName name="EPS_Growth_Rate">#REF!</definedName>
    <definedName name="eps_grwth97">#REF!</definedName>
    <definedName name="EPS_grwth98">#REF!</definedName>
    <definedName name="EPS_lastactual98">#REF!</definedName>
    <definedName name="EPS_Lit03">#REF!</definedName>
    <definedName name="EPS_Lit04">#REF!</definedName>
    <definedName name="EPS_Lst_Yr">#REF!</definedName>
    <definedName name="EPS_Next_Yr">#REF!</definedName>
    <definedName name="EPS_Qtr_Date">#REF!</definedName>
    <definedName name="eps_row1">#REF!</definedName>
    <definedName name="eps_row2">#REF!</definedName>
    <definedName name="eps_row3">#REF!</definedName>
    <definedName name="EPS00">#REF!</definedName>
    <definedName name="EPSCY00">#REF!</definedName>
    <definedName name="EPSCY01">#REF!</definedName>
    <definedName name="EPSCY02">#REF!</definedName>
    <definedName name="EPSCY03">#REF!</definedName>
    <definedName name="EPSCY99">#REF!</definedName>
    <definedName name="EPSEuro01">#REF!</definedName>
    <definedName name="EPSEuro02">#REF!</definedName>
    <definedName name="epsffq">#REF!</definedName>
    <definedName name="epsffqch">#REF!</definedName>
    <definedName name="epsffqgr">#REF!</definedName>
    <definedName name="EPSFY0">#REF!</definedName>
    <definedName name="EPSFY1">#REF!</definedName>
    <definedName name="EPSNTM">#REF!</definedName>
    <definedName name="EPSNTM3">#REF!</definedName>
    <definedName name="Company0927">#REF!</definedName>
    <definedName name="EPSQ195">#REF!</definedName>
    <definedName name="EPSQ196">#REF!</definedName>
    <definedName name="EPSQ197">#REF!</definedName>
    <definedName name="EPSQ295">#REF!</definedName>
    <definedName name="EPSQ296">#REF!</definedName>
    <definedName name="EPSQ297">#REF!</definedName>
    <definedName name="EPSQ395">#REF!</definedName>
    <definedName name="EPSQ396">#REF!</definedName>
    <definedName name="EPSQ397">#REF!</definedName>
    <definedName name="EPSQ495">#REF!</definedName>
    <definedName name="EPSQ496">#REF!</definedName>
    <definedName name="EPSQ497">#REF!</definedName>
    <definedName name="EPSTable">#REF!</definedName>
    <definedName name="EqtyConsolAssets">#REF!</definedName>
    <definedName name="Equipment">#REF!</definedName>
    <definedName name="equity">#REF!</definedName>
    <definedName name="equity_cons">#REF!</definedName>
    <definedName name="Equity_Equivalents">#REF!</definedName>
    <definedName name="Equity_In_Affiliates">#REF!</definedName>
    <definedName name="Equity_risk_premium">#REF!</definedName>
    <definedName name="Equity_Ticker">#REF!</definedName>
    <definedName name="eqv">#REF!</definedName>
    <definedName name="eqv_ord">#REF!</definedName>
    <definedName name="eqv_sav">#REF!</definedName>
    <definedName name="ericycurr">#REF!</definedName>
    <definedName name="ericycurrffq">#REF!</definedName>
    <definedName name="ericypegrelavg">#REF!</definedName>
    <definedName name="ericypegrelcurr">#REF!</definedName>
    <definedName name="ericypegrowthavg">#REF!</definedName>
    <definedName name="ericypegrowthcurr">#REF!</definedName>
    <definedName name="ERP">#REF!</definedName>
    <definedName name="Errorline">#REF!</definedName>
    <definedName name="ESG">#REF!</definedName>
    <definedName name="ESO_MARGINAL_TAX_RATE">#REF!</definedName>
    <definedName name="ESO_TAX_RATE">#REF!</definedName>
    <definedName name="ESO_TAX_RATE_old">#REF!</definedName>
    <definedName name="EstRef">#REF!</definedName>
    <definedName name="etekcurr">#REF!</definedName>
    <definedName name="etekdown">#REF!</definedName>
    <definedName name="etekdownsup">#REF!</definedName>
    <definedName name="etekeps99">#REF!</definedName>
    <definedName name="etekfy1cons">#REF!</definedName>
    <definedName name="etekfy2cons">#REF!</definedName>
    <definedName name="etekhi">#REF!</definedName>
    <definedName name="etekhilo">#REF!</definedName>
    <definedName name="eteklow">#REF!</definedName>
    <definedName name="etekmktcap">#REF!</definedName>
    <definedName name="etekpegrowthavg">#REF!</definedName>
    <definedName name="etekpegrowthcurr">#REF!</definedName>
    <definedName name="etekpegrowthhi">#REF!</definedName>
    <definedName name="etekpegrowthlow">#REF!</definedName>
    <definedName name="etekprice">#REF!</definedName>
    <definedName name="etekrpe">#REF!</definedName>
    <definedName name="etekshares">#REF!</definedName>
    <definedName name="etektprice">#REF!</definedName>
    <definedName name="etekttmavg">#REF!</definedName>
    <definedName name="etekttmcurr">#REF!</definedName>
    <definedName name="etekttmhi">#REF!</definedName>
    <definedName name="etekttmlow">#REF!</definedName>
    <definedName name="etekttmrelavg">#REF!</definedName>
    <definedName name="etekttmrelcurr">#REF!</definedName>
    <definedName name="etekttmrelhi">#REF!</definedName>
    <definedName name="etekttmrellow">#REF!</definedName>
    <definedName name="etekup">#REF!</definedName>
    <definedName name="etekupsup">#REF!</definedName>
    <definedName name="etekvol">#REF!</definedName>
    <definedName name="etekyield">#REF!</definedName>
    <definedName name="euro">#REF!</definedName>
    <definedName name="EURO_AdjustedEV">#REF!</definedName>
    <definedName name="EURO_AssociatesMinorities">#REF!</definedName>
    <definedName name="EURO_Find">#REF!</definedName>
    <definedName name="EURO_UnleveredFCF">#REF!</definedName>
    <definedName name="European_Revenues">#REF!</definedName>
    <definedName name="europta">#REF!</definedName>
    <definedName name="ev">#REF!</definedName>
    <definedName name="ev.Calculation" hidden="1">-4105</definedName>
    <definedName name="ev.Initialized" hidden="1">FALSE</definedName>
    <definedName name="ev_euro">#REF!</definedName>
    <definedName name="EVCE" hidden="1">{#N/A,#N/A,FALSE,"Output";#N/A,#N/A,FALSE,"Cover Sheet";#N/A,#N/A,FALSE,"Current Mkt. Projections"}</definedName>
    <definedName name="Event_Type">#REF!</definedName>
    <definedName name="Ever">#REF!</definedName>
    <definedName name="eveuro">#REF!</definedName>
    <definedName name="EVs" hidden="1">{#N/A,#N/A,FALSE,"Output";#N/A,#N/A,FALSE,"Cover Sheet";#N/A,#N/A,FALSE,"Current Mkt. Projections"}</definedName>
    <definedName name="EVtoSvROCE" hidden="1">{#N/A,#N/A,FALSE,"Output";#N/A,#N/A,FALSE,"Cover Sheet";#N/A,#N/A,FALSE,"Current Mkt. Projections"}</definedName>
    <definedName name="EXACT">#REF!</definedName>
    <definedName name="ExcelPath">#N/A</definedName>
    <definedName name="Exceptionals">#REF!</definedName>
    <definedName name="Excess_cash">#REF!</definedName>
    <definedName name="exch">#REF!</definedName>
    <definedName name="Exchange">#REF!</definedName>
    <definedName name="exchange_code">#REF!</definedName>
    <definedName name="exchK">#REF!</definedName>
    <definedName name="exchQ">#REF!</definedName>
    <definedName name="exchQ1">#REF!</definedName>
    <definedName name="EXERCISE_WEIGHTING">#REF!</definedName>
    <definedName name="Expected_Life">#REF!</definedName>
    <definedName name="Expected_Volatility">#REF!</definedName>
    <definedName name="Expl_forecast_10th_yr">#REF!</definedName>
    <definedName name="Expl_forecast_1st_yr">#REF!</definedName>
    <definedName name="Expl_forecast_2nd_yr">#REF!</definedName>
    <definedName name="Expl_forecast_3rd_yr">#REF!</definedName>
    <definedName name="Expl_forecast_4th_yr">#REF!</definedName>
    <definedName name="Expl_forecast_5th_yr">#REF!</definedName>
    <definedName name="Expl_forecast_6th_yr">#REF!</definedName>
    <definedName name="Expl_forecast_7th_yr">#REF!</definedName>
    <definedName name="Expl_forecast_8th_yr">#REF!</definedName>
    <definedName name="Expl_forecast_9th_yr">#REF!</definedName>
    <definedName name="export">#REF!</definedName>
    <definedName name="export1">#REF!</definedName>
    <definedName name="export2">#REF!</definedName>
    <definedName name="export3">#REF!</definedName>
    <definedName name="exrate">#REF!</definedName>
    <definedName name="External_Storage">#REF!</definedName>
    <definedName name="ExternalNotes.REV">#REF!</definedName>
    <definedName name="Extraordinary_Or_Unusual_Items">#REF!</definedName>
    <definedName name="extras">#REF!</definedName>
    <definedName name="extravg">#REF!</definedName>
    <definedName name="extravgffq">#REF!</definedName>
    <definedName name="extrchg">#REF!</definedName>
    <definedName name="extrcurr">#REF!</definedName>
    <definedName name="extrcurrffq">#REF!</definedName>
    <definedName name="extrpegrelavg">#REF!</definedName>
    <definedName name="extrpegrelcurr">#REF!</definedName>
    <definedName name="extrpegrowthavg">#REF!</definedName>
    <definedName name="extrpegrowthcurr">#REF!</definedName>
    <definedName name="f" hidden="1">{"IS",#N/A,FALSE,"IS";"RPTIS",#N/A,FALSE,"RPTIS";"STATS",#N/A,FALSE,"STATS";"CELL",#N/A,FALSE,"CELL";"BS",#N/A,FALSE,"BS"}</definedName>
    <definedName name="F.1990.01">#REF!</definedName>
    <definedName name="F.1991.01">#REF!</definedName>
    <definedName name="F.1992.01">#REF!</definedName>
    <definedName name="F.1993.01">#REF!</definedName>
    <definedName name="F.1994.01">#REF!</definedName>
    <definedName name="F.1995.01">#REF!</definedName>
    <definedName name="F.1996.01">#REF!</definedName>
    <definedName name="F.1997.01">#REF!</definedName>
    <definedName name="F.1998.01">#REF!</definedName>
    <definedName name="F.1999.01">#REF!</definedName>
    <definedName name="F.2000.01">#REF!</definedName>
    <definedName name="F.2001.01">#REF!</definedName>
    <definedName name="F.2002.01">#REF!</definedName>
    <definedName name="F.2003.01">#REF!</definedName>
    <definedName name="F.2004.01">#REF!</definedName>
    <definedName name="F.2005.01">#REF!</definedName>
    <definedName name="F.2006.01">#REF!</definedName>
    <definedName name="F.2007.01">#REF!</definedName>
    <definedName name="F.2007.12">#REF!</definedName>
    <definedName name="F.2008.07">#REF!</definedName>
    <definedName name="F.2008.09">#REF!</definedName>
    <definedName name="F.2008.11">#REF!</definedName>
    <definedName name="F.2008.12">#REF!</definedName>
    <definedName name="F.2009.01">#REF!</definedName>
    <definedName name="F.2009.03">#REF!</definedName>
    <definedName name="F.2009.05">#REF!</definedName>
    <definedName name="F.2009.06">#REF!</definedName>
    <definedName name="F.2009.07">#REF!</definedName>
    <definedName name="F.2009.09">#REF!</definedName>
    <definedName name="F.2009.11">#REF!</definedName>
    <definedName name="F.2009.12">#REF!</definedName>
    <definedName name="F.2010.01">#REF!</definedName>
    <definedName name="F.2010.05">#REF!</definedName>
    <definedName name="F.2010.06">#REF!</definedName>
    <definedName name="F.2010.09">#REF!</definedName>
    <definedName name="F.2010.10">#REF!</definedName>
    <definedName name="F.2010.11">#REF!</definedName>
    <definedName name="F.2010.12">#REF!</definedName>
    <definedName name="F.2011.01">#REF!</definedName>
    <definedName name="F.2011.05">#REF!</definedName>
    <definedName name="F.2011.06">#REF!</definedName>
    <definedName name="F.2011.10">#REF!</definedName>
    <definedName name="F.2011.11">#REF!</definedName>
    <definedName name="F.2011.12">#REF!</definedName>
    <definedName name="F.2012.01">#REF!</definedName>
    <definedName name="F.2012.05">#REF!</definedName>
    <definedName name="F.2012.06">#REF!</definedName>
    <definedName name="F.2012.10">#REF!</definedName>
    <definedName name="F.2012.11">#REF!</definedName>
    <definedName name="F.2012.12">#REF!</definedName>
    <definedName name="F.2013.01">#REF!</definedName>
    <definedName name="F.2013.05">#REF!</definedName>
    <definedName name="F.2013.06">#REF!</definedName>
    <definedName name="F.2013.10">#REF!</definedName>
    <definedName name="F.2013.11">#REF!</definedName>
    <definedName name="F.2013.12">#REF!</definedName>
    <definedName name="F.2014.01">#REF!</definedName>
    <definedName name="F.2014.05">#REF!</definedName>
    <definedName name="F.2014.06">#REF!</definedName>
    <definedName name="F.2014.10">#REF!</definedName>
    <definedName name="F.2014.11">#REF!</definedName>
    <definedName name="F_AFLCFM1">#REF!</definedName>
    <definedName name="F_AFLCFM2">#REF!</definedName>
    <definedName name="F_AFLPEM3">#REF!</definedName>
    <definedName name="F_AFLPEM4">#REF!</definedName>
    <definedName name="F_AFLPEMb">#REF!</definedName>
    <definedName name="F_AFLSD1">#REF!</definedName>
    <definedName name="F_AFLSD2">#REF!</definedName>
    <definedName name="F_Book_value_per_share">#REF!</definedName>
    <definedName name="FAMERange1MonthPC16">#REF!</definedName>
    <definedName name="FAMERangeDJ_BALAL28">#REF!</definedName>
    <definedName name="FAMERangeDJ_BALAM28">#REF!</definedName>
    <definedName name="FAMERangeDJ_BALAN28">#REF!</definedName>
    <definedName name="FAMERangeEPSB54">#REF!</definedName>
    <definedName name="FAMERangeGCI_BALD62">#REF!</definedName>
    <definedName name="FAMERangeGCI_BALD63">#REF!</definedName>
    <definedName name="FAMERangeGCI_ISD88">#REF!</definedName>
    <definedName name="FAMERangeKRI_BALAL99">#REF!</definedName>
    <definedName name="FAMERangeKRI_BALAM99">#REF!</definedName>
    <definedName name="FAMERangeKRI_BALAN99">#REF!</definedName>
    <definedName name="FAMERangeMonthly_DownloadB5">#REF!</definedName>
    <definedName name="FAMERangeMonthly_DownloadD5">#REF!</definedName>
    <definedName name="FAMERangeraw_dataB36">#REF!</definedName>
    <definedName name="FAMERangeraw_dataB37">#REF!</definedName>
    <definedName name="FAMERangeraw_dataB38">#REF!</definedName>
    <definedName name="FAMERangeraw_dataB39">#REF!</definedName>
    <definedName name="FAMERangeraw_dataB40">#REF!</definedName>
    <definedName name="FAMERangeraw_dataB45">#REF!</definedName>
    <definedName name="FAMERangeraw_dataB51">#REF!</definedName>
    <definedName name="FAMERangeraw_dataB52">#REF!</definedName>
    <definedName name="FAMERangeraw_dataB54">#REF!</definedName>
    <definedName name="FAMERangeraw_dataB55">#REF!</definedName>
    <definedName name="FAMERangeraw_dataB57">#REF!</definedName>
    <definedName name="FAMERangeraw_dataB58">#REF!</definedName>
    <definedName name="FAMERangeraw_dataB59">#REF!</definedName>
    <definedName name="FAMERangeraw_dataB60">#REF!</definedName>
    <definedName name="FAMERangeraw_dataB62">#REF!</definedName>
    <definedName name="FAMERangeraw_dataB63">#REF!</definedName>
    <definedName name="FAMERangeraw_dataB64">#REF!</definedName>
    <definedName name="FAMERangeraw_dataB65">#REF!</definedName>
    <definedName name="FAMERangeraw_dataB68">#REF!</definedName>
    <definedName name="FAMERangeraw_dataC34">#REF!</definedName>
    <definedName name="FAMERangeraw_dataC44">#REF!</definedName>
    <definedName name="FAMERangeraw_dataC45">#REF!</definedName>
    <definedName name="FAMERangeraw_dataC51">#REF!</definedName>
    <definedName name="FAMERangeraw_dataC52">#REF!</definedName>
    <definedName name="FAMERangeraw_dataC54">#REF!</definedName>
    <definedName name="FAMERangeraw_dataC55">#REF!</definedName>
    <definedName name="FAMERangeraw_dataC57">#REF!</definedName>
    <definedName name="FAMERangeraw_dataC58">#REF!</definedName>
    <definedName name="FAMERangeraw_dataC59">#REF!</definedName>
    <definedName name="FAMERangeraw_dataC60">#REF!</definedName>
    <definedName name="FAMERangeraw_dataC62">#REF!</definedName>
    <definedName name="FAMERangeraw_dataC63">#REF!</definedName>
    <definedName name="FAMERangeraw_dataC71">#REF!</definedName>
    <definedName name="FAMERangeraw_dataD34">#REF!</definedName>
    <definedName name="FAMERangeraw_dataD44">#REF!</definedName>
    <definedName name="FAMERangeraw_dataD45">#REF!</definedName>
    <definedName name="FAMERangeraw_dataD62">#REF!</definedName>
    <definedName name="FAMERangeraw_dataD71">#REF!</definedName>
    <definedName name="FAMERangeraw_dataE44">#REF!</definedName>
    <definedName name="FAMERangeraw_dataE45">#REF!</definedName>
    <definedName name="FAMERangeraw_dataE63">#REF!</definedName>
    <definedName name="FAMERangeraw_dataE64">#REF!</definedName>
    <definedName name="FAMERangeraw_dataE65">#REF!</definedName>
    <definedName name="FAMERangeraw_dataE71">#REF!</definedName>
    <definedName name="FAMERangeraw_dataG40">#REF!</definedName>
    <definedName name="FAMERangeraw_dataG41">#REF!</definedName>
    <definedName name="FAMERangeraw_dataH40">#REF!</definedName>
    <definedName name="FAMERangeraw_dataH41">#REF!</definedName>
    <definedName name="FAMERangeraw_dataI40">#REF!</definedName>
    <definedName name="FAMERangeROEBVEPSC4">#REF!</definedName>
    <definedName name="FAMERangeSheet2B2">#REF!</definedName>
    <definedName name="FAMERangeSheet2C2">#REF!</definedName>
    <definedName name="FAMERangeSheet2D2">#REF!</definedName>
    <definedName name="FAMERangeValuationC8">#REF!</definedName>
    <definedName name="FAMERangeValuationO13">#REF!</definedName>
    <definedName name="FAMERangeValuationS13">#REF!</definedName>
    <definedName name="FAMERangeYTD_PriceD16">#REF!</definedName>
    <definedName name="Fax">#REF!</definedName>
    <definedName name="fcc00">#REF!</definedName>
    <definedName name="FCCY01">#REF!</definedName>
    <definedName name="FCCY02">#REF!</definedName>
    <definedName name="FCCY03">#REF!</definedName>
    <definedName name="FCF">#REF!</definedName>
    <definedName name="fcfps00">#REF!</definedName>
    <definedName name="fcfps96">#REF!</definedName>
    <definedName name="fcfps97">#REF!</definedName>
    <definedName name="fcfps98">#REF!</definedName>
    <definedName name="fcfps99">#REF!</definedName>
    <definedName name="FCHBA">#REF!</definedName>
    <definedName name="FCHBA_Mode">#REF!</definedName>
    <definedName name="f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fdryavg">#REF!</definedName>
    <definedName name="fdryavgffq">#REF!</definedName>
    <definedName name="fdrychg">#REF!</definedName>
    <definedName name="fdrycurr">#REF!</definedName>
    <definedName name="fdrycurrffq">#REF!</definedName>
    <definedName name="fdrypegrelavg">#REF!</definedName>
    <definedName name="fdrypegrelcurr">#REF!</definedName>
    <definedName name="fdrypegrowthavg">#REF!</definedName>
    <definedName name="fdrypegrowthcurr">#REF!</definedName>
    <definedName name="fdryshares">#REF!</definedName>
    <definedName name="fdsa" hidden="1">{"'Standalone List Price Trends'!$A$1:$X$56"}</definedName>
    <definedName name="fdso">#REF!</definedName>
    <definedName name="fee_rev_06">#REF!</definedName>
    <definedName name="fffffffffff" hidden="1">{"'Standalone List Price Trends'!$A$1:$X$56"}</definedName>
    <definedName name="fiber_upgrade">#REF!</definedName>
    <definedName name="field_headings">#REF!</definedName>
    <definedName name="figures">#REF!</definedName>
    <definedName name="FileLocation">#REF!</definedName>
    <definedName name="FilingPriceIncrement">#REF!</definedName>
    <definedName name="Fin_Const_Costs">#REF!</definedName>
    <definedName name="financial_data">#REF!</definedName>
    <definedName name="financial_data2">#REF!</definedName>
    <definedName name="financial_data3">#REF!</definedName>
    <definedName name="financial_data4">#REF!</definedName>
    <definedName name="FinancialData">#REF!</definedName>
    <definedName name="FINCopyDirection">1</definedName>
    <definedName name="FINCriteriaRange">#REF!</definedName>
    <definedName name="FINCriteriaType">1</definedName>
    <definedName name="FINExtractRange">#REF!</definedName>
    <definedName name="Finish">#REF!</definedName>
    <definedName name="FINOptions">"0,0,1,1,1,0,0,-1,0,0,2,0,"</definedName>
    <definedName name="FirstCall">#REF!</definedName>
    <definedName name="FirstSummaryQuarter">#REF!</definedName>
    <definedName name="FirstYear">#REF!</definedName>
    <definedName name="five_year_growth">#REF!</definedName>
    <definedName name="fixed">#REF!</definedName>
    <definedName name="Fixed_asset_turns">#REF!</definedName>
    <definedName name="Fixed_asset_turns_DCF">#REF!</definedName>
    <definedName name="Fixed_asset_turns_fore">#REF!</definedName>
    <definedName name="Fixed_assets">#REF!</definedName>
    <definedName name="Fixed_assets_DCF">#REF!</definedName>
    <definedName name="flexchg">#REF!</definedName>
    <definedName name="flexcrpe">#REF!</definedName>
    <definedName name="flexcurr">#REF!</definedName>
    <definedName name="flexdate">#REF!</definedName>
    <definedName name="flexdown">#REF!</definedName>
    <definedName name="flexdownsup">#REF!</definedName>
    <definedName name="flexeps99">#REF!</definedName>
    <definedName name="flexfy1cons">#REF!</definedName>
    <definedName name="flexfy2cons">#REF!</definedName>
    <definedName name="flexhi">#REF!</definedName>
    <definedName name="flexhilo">#REF!</definedName>
    <definedName name="flexlow">#REF!</definedName>
    <definedName name="flexmax">#REF!</definedName>
    <definedName name="flexmin">#REF!</definedName>
    <definedName name="flexmktcap">#REF!</definedName>
    <definedName name="flexpegrowthavg">#REF!</definedName>
    <definedName name="flexpegrowthcurr">#REF!</definedName>
    <definedName name="flexpegrowthhi">#REF!</definedName>
    <definedName name="flexpegrowthlow">#REF!</definedName>
    <definedName name="flexprice">#REF!</definedName>
    <definedName name="flexrpe">#REF!</definedName>
    <definedName name="flexshares">#REF!</definedName>
    <definedName name="flextprice">#REF!</definedName>
    <definedName name="flexttmavg">#REF!</definedName>
    <definedName name="flexttmcurr">#REF!</definedName>
    <definedName name="flexttmhi">#REF!</definedName>
    <definedName name="flexttmlow">#REF!</definedName>
    <definedName name="flexttmrelavg">#REF!</definedName>
    <definedName name="flexttmrelcurr">#REF!</definedName>
    <definedName name="flexttmrelhi">#REF!</definedName>
    <definedName name="flexttmrellow">#REF!</definedName>
    <definedName name="flexup">#REF!</definedName>
    <definedName name="flexupsup">#REF!</definedName>
    <definedName name="flexvol">#REF!</definedName>
    <definedName name="flexyield">#REF!</definedName>
    <definedName name="flows">#REF!</definedName>
    <definedName name="footnote">#REF!</definedName>
    <definedName name="ForcePrice">#REF!</definedName>
    <definedName name="Forecast__IT_Services_with_Currency_Converter__2013_2019__Millions_of_U.S._Dollars">#REF!</definedName>
    <definedName name="Forex_Adjustment">#REF!</definedName>
    <definedName name="FQE_range">#REF!</definedName>
    <definedName name="fratios">#REF!</definedName>
    <definedName name="frcfnetinc">#REF!</definedName>
    <definedName name="free">#REF!</definedName>
    <definedName name="Free_Cash_Flow">#REF!</definedName>
    <definedName name="FRF_X">#REF!</definedName>
    <definedName name="Company1046">#REF!</definedName>
    <definedName name="fwd2axe">#REF!</definedName>
    <definedName name="fwd2bwc">#REF!</definedName>
    <definedName name="fwd2cdt">#REF!</definedName>
    <definedName name="fwd2cien">#REF!</definedName>
    <definedName name="fwd2cls">#REF!</definedName>
    <definedName name="fwd2etek">#REF!</definedName>
    <definedName name="fwd2glw">#REF!</definedName>
    <definedName name="fwd2jds">#REF!</definedName>
    <definedName name="fwd2jdsu">#REF!</definedName>
    <definedName name="fwd2knt">#REF!</definedName>
    <definedName name="fwd2molx">#REF!</definedName>
    <definedName name="fwd2oak">#REF!</definedName>
    <definedName name="fwd2sanm">#REF!</definedName>
    <definedName name="fwd2scmr">#REF!</definedName>
    <definedName name="fwd2sdli">#REF!</definedName>
    <definedName name="fwd2unph">#REF!</definedName>
    <definedName name="fwd2vsh">#REF!</definedName>
    <definedName name="fwdebitda">#REF!</definedName>
    <definedName name="fwdebitdagr">#REF!</definedName>
    <definedName name="fwdebitdaps">#REF!</definedName>
    <definedName name="fwdfrcf">#REF!</definedName>
    <definedName name="fwdfrcfch">#REF!</definedName>
    <definedName name="fwdfrcfmktcap">#REF!</definedName>
    <definedName name="fwdfrcfpct">#REF!</definedName>
    <definedName name="fwdfrcfps">#REF!</definedName>
    <definedName name="fx">120</definedName>
    <definedName name="FX_Gains">#REF!</definedName>
    <definedName name="FXRate">#REF!</definedName>
    <definedName name="fy.00">#REF!</definedName>
    <definedName name="fy.01">#REF!</definedName>
    <definedName name="fy.02">#REF!</definedName>
    <definedName name="fy.95">#REF!</definedName>
    <definedName name="fy.96">#REF!</definedName>
    <definedName name="fy.97">#REF!</definedName>
    <definedName name="fy.98">#REF!</definedName>
    <definedName name="fy.99">#REF!</definedName>
    <definedName name="fy_00">#REF!</definedName>
    <definedName name="fy_01">#REF!</definedName>
    <definedName name="fy_02">#REF!</definedName>
    <definedName name="FY_03">#REF!</definedName>
    <definedName name="FY_1GrossMargin">#REF!</definedName>
    <definedName name="FY_1NetIncome">#REF!</definedName>
    <definedName name="FY_1OpsIncome">#REF!</definedName>
    <definedName name="FY_1OpsMargin">#REF!</definedName>
    <definedName name="FY_1Rev">#REF!</definedName>
    <definedName name="FY_2GrossMargin">#REF!</definedName>
    <definedName name="FY_2NetIncome">#REF!</definedName>
    <definedName name="FY_2OpsIncome">#REF!</definedName>
    <definedName name="FY_2OpsMargin">#REF!</definedName>
    <definedName name="FY_2Rev">#REF!</definedName>
    <definedName name="FY_3GrossMargin">#REF!</definedName>
    <definedName name="FY_3NetIncome">#REF!</definedName>
    <definedName name="FY_3OpsIncome">#REF!</definedName>
    <definedName name="FY_3OpsMargin">#REF!</definedName>
    <definedName name="FY_3Rev">#REF!</definedName>
    <definedName name="FY_4GrossMargin">#REF!</definedName>
    <definedName name="FY_4NetIncome">#REF!</definedName>
    <definedName name="FY_4OpsIncome">#REF!</definedName>
    <definedName name="FY_4OpsMargin">#REF!</definedName>
    <definedName name="FY_4Rev">#REF!</definedName>
    <definedName name="FY_87">#REF!</definedName>
    <definedName name="FY_88">#REF!</definedName>
    <definedName name="FY_89">#REF!</definedName>
    <definedName name="FY_90">#REF!</definedName>
    <definedName name="FY_91">#REF!</definedName>
    <definedName name="FY_92">#REF!</definedName>
    <definedName name="FY_93">#REF!</definedName>
    <definedName name="FY_94">#REF!</definedName>
    <definedName name="FY_95">#REF!</definedName>
    <definedName name="FY_96">#REF!</definedName>
    <definedName name="fy_97">#REF!</definedName>
    <definedName name="fy_98">#REF!</definedName>
    <definedName name="fy_99">#REF!</definedName>
    <definedName name="fy00_eps">#REF!</definedName>
    <definedName name="fy00_rev">#REF!</definedName>
    <definedName name="FY0GrossMargin">#REF!</definedName>
    <definedName name="FY0NetIncome">#REF!</definedName>
    <definedName name="FY0OpsIncome">#REF!</definedName>
    <definedName name="FY0OpsMargin">#REF!</definedName>
    <definedName name="FY0Rev">#REF!</definedName>
    <definedName name="FY1GrossMargin">#REF!</definedName>
    <definedName name="FY1NetIncome">#REF!</definedName>
    <definedName name="FY1OpsIncome">#REF!</definedName>
    <definedName name="FY1OpsMargin">#REF!</definedName>
    <definedName name="FY1Rev">#REF!</definedName>
    <definedName name="FY2GrossMargin">#REF!</definedName>
    <definedName name="FY2NetIncome">#REF!</definedName>
    <definedName name="FY2OpsIncome">#REF!</definedName>
    <definedName name="FY2OpsMargin">#REF!</definedName>
    <definedName name="FY2Rev">#REF!</definedName>
    <definedName name="FY3GrossMargin">#REF!</definedName>
    <definedName name="FY3NetIncome">#REF!</definedName>
    <definedName name="FY3OpsIncome">#REF!</definedName>
    <definedName name="FY3OpsMargin">#REF!</definedName>
    <definedName name="FY3Rev">#REF!</definedName>
    <definedName name="fy95_r">#REF!</definedName>
    <definedName name="fy95_rev">#REF!</definedName>
    <definedName name="fy96_rev">#REF!</definedName>
    <definedName name="fy96_shares">#REF!</definedName>
    <definedName name="fy97_ni">#REF!</definedName>
    <definedName name="fy97_rev">#REF!</definedName>
    <definedName name="fy97_shares">#REF!</definedName>
    <definedName name="fy98_eps">#REF!</definedName>
    <definedName name="fy98_ni">#REF!</definedName>
    <definedName name="fy98_rev">#REF!</definedName>
    <definedName name="fy98_shares">#REF!</definedName>
    <definedName name="fy99_eps">#REF!</definedName>
    <definedName name="fy99_ni">#REF!</definedName>
    <definedName name="fy99_rev">#REF!</definedName>
    <definedName name="fy99_shares">#REF!</definedName>
    <definedName name="FYE">#REF!</definedName>
    <definedName name="fye.00">#REF!</definedName>
    <definedName name="fye.98">#REF!</definedName>
    <definedName name="fye.99">#REF!</definedName>
    <definedName name="FYERef">#REF!</definedName>
    <definedName name="g" hidden="1">{"IS",#N/A,FALSE,"IS";"RPTIS",#N/A,FALSE,"RPTIS";"STATS",#N/A,FALSE,"STATS";"BS",#N/A,FALSE,"BS"}</definedName>
    <definedName name="GA_Expense">#REF!</definedName>
    <definedName name="GAAP">#REF!</definedName>
    <definedName name="gains">#REF!</definedName>
    <definedName name="GalliumArsenide">#REF!</definedName>
    <definedName name="gallon">#REF!</definedName>
    <definedName name="gallprice">#REF!</definedName>
    <definedName name="Company1062_Depreciation">#REF!</definedName>
    <definedName name="Company1062_EBIT">#REF!</definedName>
    <definedName name="Company1062_Increase_Net_Debt">#REF!</definedName>
    <definedName name="Company1062_Minority_Interests_Balance_Sheet">#REF!</definedName>
    <definedName name="Company1062_Operating_Cash_Flow">#REF!</definedName>
    <definedName name="Company1062_Other_Operating">#REF!</definedName>
    <definedName name="Company1062_Working_Capital_Increase">#REF!</definedName>
    <definedName name="GBP_X">#REF!</definedName>
    <definedName name="gcnavg">#REF!</definedName>
    <definedName name="gcnchg">#REF!</definedName>
    <definedName name="gcncrpe">#REF!</definedName>
    <definedName name="gcncurr">#REF!</definedName>
    <definedName name="gcndate">#REF!</definedName>
    <definedName name="gcndown">#REF!</definedName>
    <definedName name="gcndownsup">#REF!</definedName>
    <definedName name="gcneps98">#REF!</definedName>
    <definedName name="gcneps99">#REF!</definedName>
    <definedName name="gcnfy1cons">#REF!</definedName>
    <definedName name="gcnfy2cons">#REF!</definedName>
    <definedName name="gcnhi">#REF!</definedName>
    <definedName name="gcnhilo">#REF!</definedName>
    <definedName name="gcnlow">#REF!</definedName>
    <definedName name="gcnmktcap">#REF!</definedName>
    <definedName name="gcnpegrowthavg">#REF!</definedName>
    <definedName name="gcnpegrowthcurr">#REF!</definedName>
    <definedName name="gcnpegrowthhi">#REF!</definedName>
    <definedName name="gcnpegrowthlow">#REF!</definedName>
    <definedName name="gcnprice">#REF!</definedName>
    <definedName name="gcnrpe">#REF!</definedName>
    <definedName name="gcnshares">#REF!</definedName>
    <definedName name="gcntprice">#REF!</definedName>
    <definedName name="gcnttmavg">#REF!</definedName>
    <definedName name="gcnttmcurr">#REF!</definedName>
    <definedName name="gcnttmhi">#REF!</definedName>
    <definedName name="gcnttmlow">#REF!</definedName>
    <definedName name="gcnttmrelavg">#REF!</definedName>
    <definedName name="gcnttmrelcurr">#REF!</definedName>
    <definedName name="gcnttmrelhi">#REF!</definedName>
    <definedName name="gcnttmrellow">#REF!</definedName>
    <definedName name="gcnup">#REF!</definedName>
    <definedName name="gcnupsup">#REF!</definedName>
    <definedName name="gcnvol">#REF!</definedName>
    <definedName name="gcnyield">#REF!</definedName>
    <definedName name="GD">#REF!</definedName>
    <definedName name="GDP">#REF!</definedName>
    <definedName name="gdp00">#REF!</definedName>
    <definedName name="gdpgr00">#REF!</definedName>
    <definedName name="gdpgr01">#REF!</definedName>
    <definedName name="gdpgr02">#REF!</definedName>
    <definedName name="gdpgr03">#REF!</definedName>
    <definedName name="gdpgr96">#REF!</definedName>
    <definedName name="gdpgr97">#REF!</definedName>
    <definedName name="gdpgr98">#REF!</definedName>
    <definedName name="gdpgr99">#REF!</definedName>
    <definedName name="GDRM_Ctry_1">#REF!</definedName>
    <definedName name="GDRM_Ctry_10">#REF!</definedName>
    <definedName name="GDRM_Ctry_11">#REF!</definedName>
    <definedName name="GDRM_Ctry_12">#REF!</definedName>
    <definedName name="GDRM_Ctry_13">#REF!</definedName>
    <definedName name="GDRM_Ctry_14">#REF!</definedName>
    <definedName name="GDRM_Ctry_15">#REF!</definedName>
    <definedName name="GDRM_Ctry_16">#REF!</definedName>
    <definedName name="GDRM_Ctry_17">#REF!</definedName>
    <definedName name="GDRM_Ctry_2">#REF!</definedName>
    <definedName name="GDRM_Ctry_3">#REF!</definedName>
    <definedName name="GDRM_Ctry_4">#REF!</definedName>
    <definedName name="GDRM_Ctry_5">#REF!</definedName>
    <definedName name="GDRM_Ctry_6">#REF!</definedName>
    <definedName name="GDRM_Ctry_7">#REF!</definedName>
    <definedName name="GDRM_Ctry_8">#REF!</definedName>
    <definedName name="GDRM_Ctry_9">#REF!</definedName>
    <definedName name="GDRV_Ctry_1">#REF!</definedName>
    <definedName name="GDRV_Ctry_10">#REF!</definedName>
    <definedName name="GDRV_Ctry_11">#REF!</definedName>
    <definedName name="GDRV_Ctry_12">#REF!</definedName>
    <definedName name="GDRV_Ctry_13">#REF!</definedName>
    <definedName name="GDRV_Ctry_14">#REF!</definedName>
    <definedName name="GDRV_Ctry_15">#REF!</definedName>
    <definedName name="GDRV_Ctry_16">#REF!</definedName>
    <definedName name="GDRV_Ctry_17">#REF!</definedName>
    <definedName name="GDRV_Ctry_2">#REF!</definedName>
    <definedName name="GDRV_Ctry_3">#REF!</definedName>
    <definedName name="GDRV_Ctry_4">#REF!</definedName>
    <definedName name="GDRV_Ctry_5">#REF!</definedName>
    <definedName name="GDRV_Ctry_6">#REF!</definedName>
    <definedName name="GDRV_Ctry_7">#REF!</definedName>
    <definedName name="GDRV_Ctry_8">#REF!</definedName>
    <definedName name="GDRV_Ctry_9">#REF!</definedName>
    <definedName name="Company1071">#REF!</definedName>
    <definedName name="gemsavg">#REF!</definedName>
    <definedName name="gemsavgffq">#REF!</definedName>
    <definedName name="gemschg">#REF!</definedName>
    <definedName name="gemscurr">#REF!</definedName>
    <definedName name="gemscurrffq">#REF!</definedName>
    <definedName name="gemspegrelavg">#REF!</definedName>
    <definedName name="gemspegrelcurr">#REF!</definedName>
    <definedName name="gemspegrowthavg">#REF!</definedName>
    <definedName name="gemspegrowthcurr">#REF!</definedName>
    <definedName name="GeneralCompanyName">#REF!</definedName>
    <definedName name="Geographical">#REF!</definedName>
    <definedName name="Geography">#REF!</definedName>
    <definedName name="ghj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icfy1cons">#REF!</definedName>
    <definedName name="gicfy2cons">#REF!</definedName>
    <definedName name="gichi">#REF!</definedName>
    <definedName name="giclow">#REF!</definedName>
    <definedName name="gicpegrowthavg">#REF!</definedName>
    <definedName name="gicpegrowthcurr">#REF!</definedName>
    <definedName name="gicpegrowthhi">#REF!</definedName>
    <definedName name="gicpegrowthlow">#REF!</definedName>
    <definedName name="gicprice">#REF!</definedName>
    <definedName name="gicshares">#REF!</definedName>
    <definedName name="gicttmavg">#REF!</definedName>
    <definedName name="gicttmcurr">#REF!</definedName>
    <definedName name="gicttmhi">#REF!</definedName>
    <definedName name="gicttmlow">#REF!</definedName>
    <definedName name="gicttmrelavg">#REF!</definedName>
    <definedName name="gicttmrelcurr">#REF!</definedName>
    <definedName name="gicttmrelhi">#REF!</definedName>
    <definedName name="gicttmrellow">#REF!</definedName>
    <definedName name="gig_conversion">#REF!</definedName>
    <definedName name="Global_Sector">#REF!</definedName>
    <definedName name="gls_ACT_EST_ROW" hidden="1">#REF!</definedName>
    <definedName name="gls_ACT_FORM_OFFSET" hidden="1">#REF!</definedName>
    <definedName name="gls_ALLOW_PARENT_OR_CONSOLIDATED" hidden="1">#REF!</definedName>
    <definedName name="gls_ALLOW_PUBLISH" hidden="1">#REF!</definedName>
    <definedName name="gls_AnalystEmpNoHeading" hidden="1">#REF!</definedName>
    <definedName name="gls_AnalystNameHeading" hidden="1">#REF!</definedName>
    <definedName name="gls_CF_BEGINS" hidden="1">#REF!</definedName>
    <definedName name="gls_CFD_CHANGEACT" hidden="1">#REF!</definedName>
    <definedName name="gls_CFD_CHANGEEST" hidden="1">#REF!</definedName>
    <definedName name="gls_CFD_FIRSTAVAIL" hidden="1">#REF!</definedName>
    <definedName name="gls_CFD_LISTAVAIL" hidden="1">#REF!</definedName>
    <definedName name="gls_CFD_SELECTED" hidden="1">#REF!</definedName>
    <definedName name="gls_CHANGED_NAMES" hidden="1">#REF!</definedName>
    <definedName name="gls_CHG_KEY_USER" hidden="1">#REF!</definedName>
    <definedName name="gls_CHG_SEL_ONLY" hidden="1">#REF!</definedName>
    <definedName name="gls_COMPANY_WORKBOOK_ID" hidden="1">#REF!</definedName>
    <definedName name="gls_ctrlShareholders" hidden="1">#REF!</definedName>
    <definedName name="gls_DELETED_PERIODS" hidden="1">#REF!</definedName>
    <definedName name="gls_EST_FORM_OFFSET" hidden="1">#REF!</definedName>
    <definedName name="gls_EXC_NOT_EXT" hidden="1">#REF!</definedName>
    <definedName name="gls_EXISTING_PERIODS" hidden="1">#REF!</definedName>
    <definedName name="gls_EXT_BELOW_PBT" hidden="1">#REF!</definedName>
    <definedName name="gls_FIRST_ITEM" hidden="1">#REF!</definedName>
    <definedName name="gls_FIRST_PK" hidden="1">#REF!</definedName>
    <definedName name="gls_FIRST_ROWMULT" hidden="1">#REF!</definedName>
    <definedName name="gls_FIRST_UNITS" hidden="1">#REF!</definedName>
    <definedName name="gls_FIXED_NAMES" hidden="1">#REF!</definedName>
    <definedName name="gls_FONT_STATUS" hidden="1">#REF!</definedName>
    <definedName name="gls_GenAccountingConvention" hidden="1">#REF!</definedName>
    <definedName name="gls_GenAdditionalInfo" hidden="1">#REF!</definedName>
    <definedName name="gls_GenComments" hidden="1">#REF!</definedName>
    <definedName name="gls_GenCompany" hidden="1">#REF!</definedName>
    <definedName name="gls_GenCompanyInfo" hidden="1">#REF!</definedName>
    <definedName name="gls_GenCountry" hidden="1">#REF!</definedName>
    <definedName name="gls_GenCurrency" hidden="1">#REF!</definedName>
    <definedName name="gls_GenCurrencyMultiplier" hidden="1">#REF!</definedName>
    <definedName name="gls_GenEnterCompInfo" hidden="1">#REF!</definedName>
    <definedName name="gls_GenEPSComment" hidden="1">#REF!</definedName>
    <definedName name="gls_GenHomeRegion" hidden="1">#REF!</definedName>
    <definedName name="gls_GenLastPublished" hidden="1">#REF!</definedName>
    <definedName name="gls_GenLastRecRevised" hidden="1">#REF!</definedName>
    <definedName name="gls_GenMainInfo" hidden="1">#REF!</definedName>
    <definedName name="gls_GenNoteComment" hidden="1">#REF!</definedName>
    <definedName name="gls_GenProfile" hidden="1">#REF!</definedName>
    <definedName name="gls_GenRecComment" hidden="1">#REF!</definedName>
    <definedName name="gls_GenSaleslineInfo" hidden="1">#REF!</definedName>
    <definedName name="gls_GenSalesSplitByRegion" hidden="1">#REF!</definedName>
    <definedName name="gls_GenSalesSplitHeading" hidden="1">#REF!</definedName>
    <definedName name="gls_GenSheetVersion" hidden="1">#REF!</definedName>
    <definedName name="gls_genStockCore" hidden="1">#REF!</definedName>
    <definedName name="gls_genStockRec" hidden="1">#REF!</definedName>
    <definedName name="gls_GLOSS_MONTHS" hidden="1">#REF!</definedName>
    <definedName name="gls_GW_IN" hidden="1">#REF!</definedName>
    <definedName name="gls_IIAA_IN" hidden="1">#REF!</definedName>
    <definedName name="gls_InterimValue" hidden="1">#REF!</definedName>
    <definedName name="gls_IssuedStockClassHeading" hidden="1">#REF!</definedName>
    <definedName name="gls_IssuedStockCodeHeading" hidden="1">#REF!</definedName>
    <definedName name="gls_IssuedStockFreeFloatHeading" hidden="1">#REF!</definedName>
    <definedName name="gls_KEY_DATA" hidden="1">#REF!</definedName>
    <definedName name="gls_KEY_VALUE" hidden="1">#REF!</definedName>
    <definedName name="gls_LANGUAGE" hidden="1">#REF!</definedName>
    <definedName name="gls_NEXT_PK" hidden="1">#REF!</definedName>
    <definedName name="gls_PERIOD_CODE" hidden="1">#REF!</definedName>
    <definedName name="gls_PERIOD_INDICATOR" hidden="1">#REF!</definedName>
    <definedName name="gls_PERIOD_PARENT_OR_CONSOL" hidden="1">#REF!</definedName>
    <definedName name="gls_PERIOD_TOTAL" hidden="1">#REF!</definedName>
    <definedName name="gls_PERIOD_TYPE" hidden="1">#REF!</definedName>
    <definedName name="gls_PrincipalStockClass" hidden="1">#REF!</definedName>
    <definedName name="gls_PROFILE_NAME" hidden="1">#REF!</definedName>
    <definedName name="gls_Recommendations" hidden="1">#REF!</definedName>
    <definedName name="gls_SASS5HistEPSGrowth" hidden="1">#REF!</definedName>
    <definedName name="gls_SASS5ProjEPSGrowth" hidden="1">#REF!</definedName>
    <definedName name="gls_SASSDirectorHoldings" hidden="1">#REF!</definedName>
    <definedName name="gls_SASSEPS45AGR" hidden="1">#REF!</definedName>
    <definedName name="gls_SASSIsInterimLastAnnounce" hidden="1">#REF!</definedName>
    <definedName name="gls_SASSLastAnnounce" hidden="1">#REF!</definedName>
    <definedName name="gls_SASSNETDIV45AGR" hidden="1">#REF!</definedName>
    <definedName name="gls_SaveBeforePublish" hidden="1">#REF!</definedName>
    <definedName name="gls_SaveWkbForNewPeriodCodes" hidden="1">#REF!</definedName>
    <definedName name="gls_ShareholderClassHeading" hidden="1">#REF!</definedName>
    <definedName name="gls_ShareholderHolding" hidden="1">#REF!</definedName>
    <definedName name="gls_ShareholderHoldingHeading" hidden="1">#REF!</definedName>
    <definedName name="gls_ShareholderName" hidden="1">#REF!</definedName>
    <definedName name="gls_ShareholderNameHeading" hidden="1">#REF!</definedName>
    <definedName name="gls_ShareholdingName" hidden="1">#REF!</definedName>
    <definedName name="gls_SHOW_CONTROL_VALUE" hidden="1">#REF!</definedName>
    <definedName name="gls_SHOW_KEY_VAL_COLUMN" hidden="1">#REF!</definedName>
    <definedName name="gls_SHOW_KEY_VALUES" hidden="1">#REF!</definedName>
    <definedName name="gls_SHOW_LINKED_ITEMS" hidden="1">#REF!</definedName>
    <definedName name="gls_SHOW_LOCAL_NAMES" hidden="1">#REF!</definedName>
    <definedName name="gls_SHOW_MULTIPLIERS" hidden="1">#REF!</definedName>
    <definedName name="gls_SHOW_PK_COLUMN" hidden="1">#REF!</definedName>
    <definedName name="gls_SHOW_STATUS_INFORMATION" hidden="1">#REF!</definedName>
    <definedName name="gls_SHOW_UNITS" hidden="1">#REF!</definedName>
    <definedName name="gls_SPARE_YEARS" hidden="1">#REF!</definedName>
    <definedName name="gls_SPECIAL_DIALOG" hidden="1">#REF!</definedName>
    <definedName name="gls_START_FORMULA_OVERRIDEABLE" hidden="1">#REF!</definedName>
    <definedName name="gls_START_LOCAL_NAMES" hidden="1">#REF!</definedName>
    <definedName name="gls_START_PERIOD_CURRENCY" hidden="1">#REF!</definedName>
    <definedName name="gls_START_STATUS" hidden="1">#REF!</definedName>
    <definedName name="gls_START_USER_REQ" hidden="1">#REF!</definedName>
    <definedName name="gls_START_USER_STATUS" hidden="1">#REF!</definedName>
    <definedName name="gls_START_VALIDATION" hidden="1">#REF!</definedName>
    <definedName name="gls_START_WHAT" hidden="1">#REF!</definedName>
    <definedName name="gls_START_YEAR" hidden="1">#REF!</definedName>
    <definedName name="gls_StockTicker" hidden="1">#REF!</definedName>
    <definedName name="gls_TEMP_PERIOD_CODE" hidden="1">#REF!</definedName>
    <definedName name="gls_THISWORKBOOK_NAME" hidden="1">#REF!</definedName>
    <definedName name="gls_UNUSUAL_POS" hidden="1">#REF!</definedName>
    <definedName name="gls_USING_CONSOLIDATED" hidden="1">#REF!</definedName>
    <definedName name="gls_YEAR_AE_CONTROL" hidden="1">#REF!</definedName>
    <definedName name="gls_YEAR_END_ROW" hidden="1">#REF!</definedName>
    <definedName name="gls_YetToRunStartupWizard" hidden="1">#REF!</definedName>
    <definedName name="glwavg">#REF!</definedName>
    <definedName name="glwchg">#REF!</definedName>
    <definedName name="glwcrpe">#REF!</definedName>
    <definedName name="glwcurr">#REF!</definedName>
    <definedName name="glwdate">#REF!</definedName>
    <definedName name="glwdown">#REF!</definedName>
    <definedName name="glwdownsup">#REF!</definedName>
    <definedName name="glwevebitda">#REF!</definedName>
    <definedName name="glwffqpeavg">#REF!</definedName>
    <definedName name="glwffqpecurr">#REF!</definedName>
    <definedName name="glwFY1cons">#REF!</definedName>
    <definedName name="glwFY2cons">#REF!</definedName>
    <definedName name="glwhi">#REF!</definedName>
    <definedName name="glwhilo">#REF!</definedName>
    <definedName name="glwlo">#REF!</definedName>
    <definedName name="glwmktcap">#REF!</definedName>
    <definedName name="glwpe1">#REF!</definedName>
    <definedName name="glwpe2">#REF!</definedName>
    <definedName name="glwpegrowthavg">#REF!</definedName>
    <definedName name="glwpegrowthcurr">#REF!</definedName>
    <definedName name="glwpegrowthmax">#REF!</definedName>
    <definedName name="glwpegrowthmin">#REF!</definedName>
    <definedName name="glwperelavg">#REF!</definedName>
    <definedName name="glwperelcurr">#REF!</definedName>
    <definedName name="glwprice">#REF!</definedName>
    <definedName name="glwqv">#REF!</definedName>
    <definedName name="glwrating">#REF!</definedName>
    <definedName name="glwrpe">#REF!</definedName>
    <definedName name="glwshares">#REF!</definedName>
    <definedName name="glwtech">#REF!</definedName>
    <definedName name="glwtprice">#REF!</definedName>
    <definedName name="glwttmavg">#REF!</definedName>
    <definedName name="glwttmcurr">#REF!</definedName>
    <definedName name="glwttmhi">#REF!</definedName>
    <definedName name="glwttmlo">#REF!</definedName>
    <definedName name="glwttmrelavg">#REF!</definedName>
    <definedName name="glwttmrelcurr">#REF!</definedName>
    <definedName name="glwttmrelhi">#REF!</definedName>
    <definedName name="glwttmrello">#REF!</definedName>
    <definedName name="glwup">#REF!</definedName>
    <definedName name="glwupsup">#REF!</definedName>
    <definedName name="glwvol">#REF!</definedName>
    <definedName name="glwyield">#REF!</definedName>
    <definedName name="GM">#REF!</definedName>
    <definedName name="Goodwill">#REF!</definedName>
    <definedName name="Goodwill_Amort">#REF!</definedName>
    <definedName name="Goodwill_growth_fore">#REF!</definedName>
    <definedName name="Goodwill1998">#REF!</definedName>
    <definedName name="Goodwill1999">#REF!</definedName>
    <definedName name="Goodwill2000">#REF!</definedName>
    <definedName name="Goodwill2001">#REF!</definedName>
    <definedName name="GotoMenu">#REF!</definedName>
    <definedName name="GotoTab">#REF!</definedName>
    <definedName name="GQ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rm00">#REF!</definedName>
    <definedName name="gross.marg">#N/A</definedName>
    <definedName name="Gross_inc_growth">#REF!</definedName>
    <definedName name="Gross_income">#REF!</definedName>
    <definedName name="Gross_income_fore">#REF!</definedName>
    <definedName name="Gross_income_growth_avg">#REF!</definedName>
    <definedName name="Gross_Margin">#REF!</definedName>
    <definedName name="Gross_margin_fore">#REF!</definedName>
    <definedName name="GrossMargin">#REF!</definedName>
    <definedName name="Group1">#REF!</definedName>
    <definedName name="Growth">#REF!</definedName>
    <definedName name="Growth_97">#REF!</definedName>
    <definedName name="Growth_98">#REF!</definedName>
    <definedName name="Growth_99">#REF!</definedName>
    <definedName name="h" hidden="1">{"'Standalone List Price Trends'!$A$1:$X$56"}</definedName>
    <definedName name="HANDHELDS">#REF!</definedName>
    <definedName name="Company1230">#REF!</definedName>
    <definedName name="HB_email">"person@example.com"</definedName>
    <definedName name="HB_phone">"(XXX) XXX-XXXX"</definedName>
    <definedName name="HBAASP">#REF!</definedName>
    <definedName name="HBAinfo">#REF!</definedName>
    <definedName name="Headcount">#REF!</definedName>
    <definedName name="HeadlineCell">#REF!</definedName>
    <definedName name="HEASP">#REF!</definedName>
    <definedName name="hello">#REF!</definedName>
    <definedName name="HelpCaption">#REF!</definedName>
    <definedName name="HERAID">#REF!</definedName>
    <definedName name="HERELSHARE">#REF!</definedName>
    <definedName name="HESeq.">#REF!</definedName>
    <definedName name="HETBSeq.">#REF!</definedName>
    <definedName name="HETBShipped">#REF!</definedName>
    <definedName name="HETBYoY">#REF!</definedName>
    <definedName name="HEYoY">#REF!</definedName>
    <definedName name="Person0465_Convert">#REF!</definedName>
    <definedName name="hide">#REF!</definedName>
    <definedName name="hidebs">#REF!</definedName>
    <definedName name="HighestAllowedPE">#REF!</definedName>
    <definedName name="hist3atsn">#REF!</definedName>
    <definedName name="hist3avx">#REF!</definedName>
    <definedName name="hist3axe">#REF!</definedName>
    <definedName name="hist3bwc">#REF!</definedName>
    <definedName name="hist3cdt">#REF!</definedName>
    <definedName name="hist3cien">#REF!</definedName>
    <definedName name="hist3cls">#REF!</definedName>
    <definedName name="hist3etek">#REF!</definedName>
    <definedName name="hist3glw">#REF!</definedName>
    <definedName name="hist3jds">#REF!</definedName>
    <definedName name="hist3jdsu">#REF!</definedName>
    <definedName name="hist3knt">#REF!</definedName>
    <definedName name="hist3molx">#REF!</definedName>
    <definedName name="hist3oak">#REF!</definedName>
    <definedName name="hist3sanm">#REF!</definedName>
    <definedName name="hist3sci">#REF!</definedName>
    <definedName name="hist3scmr">#REF!</definedName>
    <definedName name="hist3sdli">#REF!</definedName>
    <definedName name="hist3unph">#REF!</definedName>
    <definedName name="hist3vsh">#REF!</definedName>
    <definedName name="historic_prices">#REF!</definedName>
    <definedName name="historic_prices_new">#REF!</definedName>
    <definedName name="historical_date_Range">#REF!</definedName>
    <definedName name="Historical_Incremental_ROIC">#REF!</definedName>
    <definedName name="Company1249">#REF!</definedName>
    <definedName name="hlitavg">#REF!</definedName>
    <definedName name="hlitchg">#REF!</definedName>
    <definedName name="hlitcurr">#REF!</definedName>
    <definedName name="hlitfy1cons">#REF!</definedName>
    <definedName name="hlitfy2cons">#REF!</definedName>
    <definedName name="hlithi">#REF!</definedName>
    <definedName name="hlitlow">#REF!</definedName>
    <definedName name="hlitpegrowthavg">#REF!</definedName>
    <definedName name="hlitpegrowthcurr">#REF!</definedName>
    <definedName name="hlitpegrowthhi">#REF!</definedName>
    <definedName name="hlitpegrowthlow">#REF!</definedName>
    <definedName name="hlitprice">#REF!</definedName>
    <definedName name="hlitshares">#REF!</definedName>
    <definedName name="hlitttmavg">#REF!</definedName>
    <definedName name="hlitttmcurr">#REF!</definedName>
    <definedName name="hlitttmhi">#REF!</definedName>
    <definedName name="hlitttmlow">#REF!</definedName>
    <definedName name="hlitttmrelavg">#REF!</definedName>
    <definedName name="hlitttmrelcurr">#REF!</definedName>
    <definedName name="hlitttmrelhi">#REF!</definedName>
    <definedName name="hlitttmrellow">#REF!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ome_Market_EBIT_Incl_Above">#REF!</definedName>
    <definedName name="Home_Market_Turnover_Incl_Above">#REF!</definedName>
    <definedName name="HOST_DEAL">#REF!</definedName>
    <definedName name="HTML_CodePage" hidden="1">1252</definedName>
    <definedName name="HTML_Control" hidden="1">{"'Standalone List Price Trends'!$A$1:$X$56"}</definedName>
    <definedName name="HTML_Description" hidden="1">""</definedName>
    <definedName name="HTML_Email" hidden="1">""</definedName>
    <definedName name="HTML_Header" hidden="1">"Standalone List Price Trends"</definedName>
    <definedName name="HTML_LastUpdate" hidden="1">"3/5/98"</definedName>
    <definedName name="HTML_LineAfter" hidden="1">FALSE</definedName>
    <definedName name="HTML_LineBefore" hidden="1">FALSE</definedName>
    <definedName name="HTML_Name" hidden="1">"Person0611 Person0777"</definedName>
    <definedName name="HTML_OBDlg2" hidden="1">TRUE</definedName>
    <definedName name="HTML_OBDlg4" hidden="1">TRUE</definedName>
    <definedName name="HTML_OS" hidden="1">0</definedName>
    <definedName name="HTML_PathFile" hidden="1">"C:\redacted's Data\SW$\SW$SVC HTML\Strends.htm"</definedName>
    <definedName name="HTML_Title" hidden="1">"Switch Prices 03-98 xl97"</definedName>
    <definedName name="HUh" hidden="1">{"'Standalone List Price Trends'!$A$1:$X$56"}</definedName>
    <definedName name="hw_maint_rev">#REF!</definedName>
    <definedName name="Hw_rev">#REF!</definedName>
    <definedName name="HYSL">#REF!</definedName>
    <definedName name="hysl_pe">#REF!</definedName>
    <definedName name="hysl_price">#REF!</definedName>
    <definedName name="i_an_new_business">#REF!</definedName>
    <definedName name="i_claims_ratio">#REF!</definedName>
    <definedName name="i_combined_ratio">#REF!</definedName>
    <definedName name="i_embedded_value">#REF!</definedName>
    <definedName name="i_expense_ratio">#REF!</definedName>
    <definedName name="i_solvency_ratio">#REF!</definedName>
    <definedName name="Iasp">#REF!</definedName>
    <definedName name="ibesd">#REF!</definedName>
    <definedName name="IBM_softwareRevs">#REF!</definedName>
    <definedName name="IBPEVA">#REF!</definedName>
    <definedName name="IC_1">#REF!</definedName>
    <definedName name="IC_10">#REF!</definedName>
    <definedName name="IC_11">#REF!</definedName>
    <definedName name="IC_12">#REF!</definedName>
    <definedName name="IC_13">#REF!</definedName>
    <definedName name="IC_14">#REF!</definedName>
    <definedName name="IC_2">#REF!</definedName>
    <definedName name="IC_3">#REF!</definedName>
    <definedName name="IC_4">#REF!</definedName>
    <definedName name="IC_5">#REF!</definedName>
    <definedName name="IC_6">#REF!</definedName>
    <definedName name="IC_7">#REF!</definedName>
    <definedName name="IC_8">#REF!</definedName>
    <definedName name="IC_9">#REF!</definedName>
    <definedName name="IC_P">#REF!</definedName>
    <definedName name="IC_P1">#REF!</definedName>
    <definedName name="IC_P2">#REF!</definedName>
    <definedName name="IC_P3">#REF!</definedName>
    <definedName name="Company1298">#REF!</definedName>
    <definedName name="IFLX">#REF!</definedName>
    <definedName name="in">#REF!</definedName>
    <definedName name="IN_g">#REF!</definedName>
    <definedName name="IN_is">#REF!</definedName>
    <definedName name="Inc.Mrgn">#REF!</definedName>
    <definedName name="Inc_cap_RnD_fore">#REF!</definedName>
    <definedName name="INcome">#REF!</definedName>
    <definedName name="Income_before_taxes">#REF!</definedName>
    <definedName name="Income_equivalents">#REF!</definedName>
    <definedName name="Income_equivalents_fore">#REF!</definedName>
    <definedName name="Income_form_uncons_subs_fore">#REF!</definedName>
    <definedName name="Income_from_Unconsolidated_Subs">#REF!</definedName>
    <definedName name="Income_Statement">#REF!</definedName>
    <definedName name="Income_tax">#REF!</definedName>
    <definedName name="Income_tax_fore">#REF!</definedName>
    <definedName name="Income_tax_growth_fore">#REF!</definedName>
    <definedName name="Income_tax_rate">#REF!</definedName>
    <definedName name="Income_taxes_payable">#REF!</definedName>
    <definedName name="Income_taxes_payable_growth_fore">#REF!</definedName>
    <definedName name="Increase_cap_RnD_fore">#REF!</definedName>
    <definedName name="Increase_Capitalized_R_D_net">#REF!</definedName>
    <definedName name="Increase_Deferred_Taxes">#REF!</definedName>
    <definedName name="Increase_In_Cash">#REF!</definedName>
    <definedName name="Increase_In_Equity">#REF!</definedName>
    <definedName name="Increase_In_Long_Term_Debt">#REF!</definedName>
    <definedName name="Increase_in_other_liabilities">#REF!</definedName>
    <definedName name="Increase_in_other_reserves">#REF!</definedName>
    <definedName name="Increase_In_Short_Term_Debt">#REF!</definedName>
    <definedName name="Increase_LIFO_Reserve">#REF!</definedName>
    <definedName name="Incremental_investment">#REF!</definedName>
    <definedName name="Incremental_ROIC">#REF!</definedName>
    <definedName name="Incremental_ROIC_DCF">#REF!</definedName>
    <definedName name="IncSt">#REF!</definedName>
    <definedName name="IncStItem">#REF!</definedName>
    <definedName name="IncStQuarter">#REF!</definedName>
    <definedName name="inct">#REF!</definedName>
    <definedName name="InfoNext">#N/A</definedName>
    <definedName name="InfoPrev">#N/A</definedName>
    <definedName name="Company1330">#REF!</definedName>
    <definedName name="initial_fiber_miles">#REF!</definedName>
    <definedName name="initial_trans_rev">#REF!</definedName>
    <definedName name="Company1376">#REF!</definedName>
    <definedName name="INPUT">#REF!</definedName>
    <definedName name="input_data">#REF!</definedName>
    <definedName name="INPUTS">#REF!</definedName>
    <definedName name="Inputs2">#REF!,#REF!,#REF!,#REF!</definedName>
    <definedName name="Institutions">#REF!</definedName>
    <definedName name="int_calc">#REF!</definedName>
    <definedName name="Int_exp_OL">#REF!</definedName>
    <definedName name="int_income">#REF!</definedName>
    <definedName name="intcap">#REF!</definedName>
    <definedName name="Interest_exp_growth_fore">#REF!</definedName>
    <definedName name="Interest_exp_inc_fore">#REF!</definedName>
    <definedName name="Interest_expense_after_taxes">#REF!</definedName>
    <definedName name="Interest_expense_income">#REF!</definedName>
    <definedName name="Interest_expense_oper_leases">#REF!</definedName>
    <definedName name="interest_expense_pretelstra">#REF!</definedName>
    <definedName name="interest_income_pretelstra">#REF!</definedName>
    <definedName name="Interest_oper_lease">#REF!</definedName>
    <definedName name="Interest_Paid">#REF!</definedName>
    <definedName name="interl">#REF!</definedName>
    <definedName name="internl">#REF!</definedName>
    <definedName name="intl">#REF!</definedName>
    <definedName name="Intra_1Q98">#REF!</definedName>
    <definedName name="Inventories">#REF!</definedName>
    <definedName name="Inventory">#REF!</definedName>
    <definedName name="Inventory_growth_fore">#REF!</definedName>
    <definedName name="Inventory_turns">#REF!</definedName>
    <definedName name="Invested_capital">#REF!</definedName>
    <definedName name="Invested_capital_DCF">#REF!</definedName>
    <definedName name="Invested_capital_growth_fore">#REF!</definedName>
    <definedName name="Invested_capital_turns">#REF!</definedName>
    <definedName name="Invested_capital_turns_DCF">#REF!</definedName>
    <definedName name="Invested_capital_turns_fore">#REF!</definedName>
    <definedName name="Investment_In_Affiliates">#REF!</definedName>
    <definedName name="Investments_in_Unconsolidated_Subs">#REF!</definedName>
    <definedName name="Investments_Other_Assets">#REF!</definedName>
    <definedName name="ION">#REF!</definedName>
    <definedName name="IPOTRIG">#REF!</definedName>
    <definedName name="IQ_1_4_CONSTRUCTION_GROSS_LOANS_FFIEC" hidden="1">"c13402"</definedName>
    <definedName name="IQ_1_4_CONSTRUCTION_LL_REC_DOM_FFIEC" hidden="1">"c12899"</definedName>
    <definedName name="IQ_1_4_CONSTRUCTION_LOAN_COMMITMENTS_UNUSED_FFIEC" hidden="1">"c13244"</definedName>
    <definedName name="IQ_1_4_CONSTRUCTION_LOANS_DUE_30_89_FFIEC" hidden="1">"c13257"</definedName>
    <definedName name="IQ_1_4_CONSTRUCTION_LOANS_DUE_90_FFIEC" hidden="1">"c13285"</definedName>
    <definedName name="IQ_1_4_CONSTRUCTION_LOANS_NON_ACCRUAL_FFIEC" hidden="1">"c13311"</definedName>
    <definedName name="IQ_1_4_CONSTRUCTION_RISK_BASED_FFIEC" hidden="1">"c13423"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BS_AVAIL_SALE_FFIEC" hidden="1">"c12802"</definedName>
    <definedName name="IQ_ABS_FFIEC" hidden="1">"c12788"</definedName>
    <definedName name="IQ_ABS_INVEST_SECURITIES_FFIEC" hidden="1">"c13461"</definedName>
    <definedName name="IQ_ABS_PERIOD" hidden="1">"c13823"</definedName>
    <definedName name="IQ_ACCOUNT_CHANGE" hidden="1">"c1449"</definedName>
    <definedName name="IQ_ACCOUNTING_FFIEC" hidden="1">"c13054"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RUED_INTEREST_RECEIVABLE_FFIEC" hidden="1">"c12842"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PERSON0813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PRODUCT0419" hidden="1">"c9565"</definedName>
    <definedName name="IQ_ACTUAL_PRODUCTION_URAN" hidden="1">"c9618"</definedName>
    <definedName name="IQ_ACTUAL_PRODUCTION_Company3050" hidden="1">"c9353"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DVERTISING_MARKETING_EXPENSES_FFIEC" hidden="1">"c13048"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S_INVEST_SECURITIES_FFIEC" hidden="1">"c13456"</definedName>
    <definedName name="IQ_AFS_SECURITIES_TIER_1_FFIEC" hidden="1">"c13343"</definedName>
    <definedName name="IQ_AFTER_TAX_INCOME_FDIC" hidden="1">"c6583"</definedName>
    <definedName name="IQ_AGENCY" hidden="1">"c8960"</definedName>
    <definedName name="IQ_AGENCY_INVEST_SECURITIES_FFIEC" hidden="1">"c13458"</definedName>
    <definedName name="IQ_AGG_CORPORATE_SHARES" hidden="1">"c13781"</definedName>
    <definedName name="IQ_AGG_CORPORATE_VALUE" hidden="1">"c13774"</definedName>
    <definedName name="IQ_AGG_ESOP_SHARES" hidden="1">"c13782"</definedName>
    <definedName name="IQ_AGG_ESOP_VALUE" hidden="1">"c13775"</definedName>
    <definedName name="IQ_AGG_FOUNDATION_SHARES" hidden="1">"c13783"</definedName>
    <definedName name="IQ_AGG_FOUNDATION_VALUE" hidden="1">"c13776"</definedName>
    <definedName name="IQ_AGG_HEDGEFUND_SHARES" hidden="1">"c13785"</definedName>
    <definedName name="IQ_AGG_HEDGEFUND_VALUE" hidden="1">"c13778"</definedName>
    <definedName name="IQ_AGG_INSIDER_SHARES" hidden="1">"c13780"</definedName>
    <definedName name="IQ_AGG_INSIDER_VALUE" hidden="1">"c13773"</definedName>
    <definedName name="IQ_AGG_INSTITUTIONAL_SHARES" hidden="1">"c13779"</definedName>
    <definedName name="IQ_AGG_INSTITUTIONAL_VALUE" hidden="1">"c13772"</definedName>
    <definedName name="IQ_AGG_OTHER_SHARES" hidden="1">"c13784"</definedName>
    <definedName name="IQ_AGG_OTHER_VALUE" hidden="1">"c13777"</definedName>
    <definedName name="IQ_AGRICULTURAL_GROSS_LOANS_FFIEC" hidden="1">"c13413"</definedName>
    <definedName name="IQ_AGRICULTURAL_LOANS_FOREIGN_FFIEC" hidden="1">"c13481"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GRICULTURAL_RISK_BASED_FFIEC" hidden="1">"c13434"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_OTHER_LEASES_CHARGE_OFFS_FFIEC" hidden="1">"c13185"</definedName>
    <definedName name="IQ_ALL_OTHER_LEASES_RECOV_FFIEC" hidden="1">"c13207"</definedName>
    <definedName name="IQ_ALL_OTHER_LOANS_CHARGE_OFFS_FFIEC" hidden="1">"c13183"</definedName>
    <definedName name="IQ_ALL_OTHER_LOANS_RECOV_FFIEC" hidden="1">"c13205"</definedName>
    <definedName name="IQ_ALL_OTHER_TRADING_LIABILITIES_DOM_FFIEC" hidden="1">"c12942"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_LL_LOSSES_FFIEC" hidden="1">"c12810"</definedName>
    <definedName name="IQ_ALLOWABLE_T2_CAPITAL_FFIEC" hidden="1">"c13150"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CREDIT_LOSSES_OFF_BS_FFIEC" hidden="1">"c12871"</definedName>
    <definedName name="IQ_ALLOWANCE_LL_LOSSES_T2_FFIEC" hidden="1">"c13146"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_IMPAIRMENT_OTHER_INTANGIBLE_ASSETS_FFIEC" hidden="1">"c13026"</definedName>
    <definedName name="IQ_AMORT_EXPENSE_FDIC" hidden="1">"c6677"</definedName>
    <definedName name="IQ_AMORTIZATION" hidden="1">"c1591"</definedName>
    <definedName name="IQ_AMORTIZED_COST_FDIC" hidden="1">"c6426"</definedName>
    <definedName name="IQ_AMOUNT_FINANCIAL_LOC_CONVEYED_FFIEC" hidden="1">"c13250"</definedName>
    <definedName name="IQ_AMOUNT_PERFORMANCE_LOC_CONVEYED_FFIEC" hidden="1">"c13252"</definedName>
    <definedName name="IQ_AMT_OUT" hidden="1">"c2145"</definedName>
    <definedName name="IQ_ANALYST_EMAIL" hidden="1">"c13738"</definedName>
    <definedName name="IQ_ANALYST_NAME" hidden="1">"c13736"</definedName>
    <definedName name="IQ_ANALYST_PHONE" hidden="1">"c13737"</definedName>
    <definedName name="IQ_ANALYST_START_DATE" hidden="1">"c13740"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NNUITY_SALES_FEES_COMMISSIONS_FFIEC" hidden="1">"c13007"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PPLICABLE_INCOME_TAXES_FTE_FFIEC" hidden="1">"c13853"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SUPPLE" hidden="1">"c13812"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FAIR_VALUE" hidden="1">"c13843"</definedName>
    <definedName name="IQ_ASSETS_HELD_FDIC" hidden="1">"c6305"</definedName>
    <definedName name="IQ_ASSETS_LEVEL_1" hidden="1">"c13839"</definedName>
    <definedName name="IQ_ASSETS_LEVEL_2" hidden="1">"c13840"</definedName>
    <definedName name="IQ_ASSETS_LEVEL_3" hidden="1">"c13841"</definedName>
    <definedName name="IQ_ASSETS_NAME_AP" hidden="1">"c8921"</definedName>
    <definedName name="IQ_ASSETS_NAME_AP_ABS" hidden="1">"c8940"</definedName>
    <definedName name="IQ_ASSETS_NETTING_OTHER_ADJUSTMENTS" hidden="1">"c13842"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REPRICE_ASSETS_TOT_FFIEC" hidden="1">"c13454"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TM_FEES_FFIEC" hidden="1">"c13042"</definedName>
    <definedName name="IQ_ATM_INTERCHANGE_EXPENSES_FFIEC" hidden="1">"c13056"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AILABLE_SALE_SEC_FFIEC" hidden="1">"c12791"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Company2232" hidden="1">"c5315"</definedName>
    <definedName name="IQ_AVG_BROKER_REC_Company2232" hidden="1">"c3630"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PERSON0813" hidden="1">"c9307"</definedName>
    <definedName name="IQ_AVG_GRADE_PLAT" hidden="1">"c9145"</definedName>
    <definedName name="IQ_AVG_GRADE_SILVER" hidden="1">"c9092"</definedName>
    <definedName name="IQ_AVG_GRADE_PRODUCT0419" hidden="1">"c9572"</definedName>
    <definedName name="IQ_AVG_GRADE_URAN" hidden="1">"c9625"</definedName>
    <definedName name="IQ_AVG_GRADE_Company3050" hidden="1">"c9360"</definedName>
    <definedName name="IQ_AVG_INDUSTRY_REC" hidden="1">"c4455"</definedName>
    <definedName name="IQ_AVG_INDUSTRY_REC_CIQ" hidden="1">"c4984"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PERSON0813" hidden="1">"c9302"</definedName>
    <definedName name="IQ_AVG_PRODUCTION_PER_MINE_PLAT" hidden="1">"c9140"</definedName>
    <definedName name="IQ_AVG_PRODUCTION_PER_MINE_SILVER" hidden="1">"c9087"</definedName>
    <definedName name="IQ_AVG_PRODUCTION_PER_MINE_PRODUCT0419" hidden="1">"c9567"</definedName>
    <definedName name="IQ_AVG_PRODUCTION_PER_MINE_URAN" hidden="1">"c9620"</definedName>
    <definedName name="IQ_AVG_PRODUCTION_PER_MINE_Company3050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PERSON0813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PRODUCT0419" hidden="1">"c9577"</definedName>
    <definedName name="IQ_AVG_REAL_PRICE_POST_TREAT_REFINING_URAN" hidden="1">"c9630"</definedName>
    <definedName name="IQ_AVG_REAL_PRICE_POST_TREAT_REFINING_Company3050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PERSON0813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PRODUCT0419" hidden="1">"c9576"</definedName>
    <definedName name="IQ_AVG_REAL_PRICE_PRE_TREAT_REFINING_URAN" hidden="1">"c9629"</definedName>
    <definedName name="IQ_AVG_REAL_PRICE_PRE_TREAT_REFINING_Company3050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PERSON0813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PRODUCT0419" hidden="1">"c9575"</definedName>
    <definedName name="IQ_AVG_REALIZED_PRICE_AFTER_HEDGING_URAN" hidden="1">"c9628"</definedName>
    <definedName name="IQ_AVG_REALIZED_PRICE_AFTER_HEDGING_Company3050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PERSON0813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PRODUCT0419" hidden="1">"c9574"</definedName>
    <definedName name="IQ_AVG_REALIZED_PRICE_BEFORE_HEDGING_URAN" hidden="1">"c9627"</definedName>
    <definedName name="IQ_AVG_REALIZED_PRICE_BEFORE_HEDGING_Company3050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TOTAL_ASSETS_LEVERAGE_CAPITAL_FFIEC" hidden="1">"c13159"</definedName>
    <definedName name="IQ_AVG_TOTAL_ASSETS_LEVERAGE_RATIO_FFIEC" hidden="1">"c13154"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FC_UNUSED_UNUSED_UNUSED" hidden="1">"c8353"</definedName>
    <definedName name="IQ_BALANCE_GOODS_APR_UNUSED" hidden="1">"c7473"</definedName>
    <definedName name="IQ_BALANCE_GOODS_APR_UNUSED_UNUSED_UNUSED" hidden="1">"c7473"</definedName>
    <definedName name="IQ_BALANCE_GOODS_FC_UNUSED" hidden="1">"c7693"</definedName>
    <definedName name="IQ_BALANCE_GOODS_FC_UNUSED_UNUSED_UNUSED" hidden="1">"c7693"</definedName>
    <definedName name="IQ_BALANCE_GOODS_POP_FC_UNUSED" hidden="1">"c7913"</definedName>
    <definedName name="IQ_BALANCE_GOODS_POP_FC_UNUSED_UNUSED_UNUSED" hidden="1">"c7913"</definedName>
    <definedName name="IQ_BALANCE_GOODS_POP_UNUSED" hidden="1">"c7033"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FC_UNUSED_UNUSED_UNUSED" hidden="1">"c8133"</definedName>
    <definedName name="IQ_BALANCE_GOODS_YOY_UNUSED" hidden="1">"c7253"</definedName>
    <definedName name="IQ_BALANCE_GOODS_YOY_UNUSED_UNUSED_UNUSED" hidden="1">"c7253"</definedName>
    <definedName name="IQ_BALANCE_SERV_APR_FC_UNUSED" hidden="1">"c8355"</definedName>
    <definedName name="IQ_BALANCE_SERV_APR_FC_UNUSED_UNUSED_UNUSED" hidden="1">"c8355"</definedName>
    <definedName name="IQ_BALANCE_SERV_APR_UNUSED" hidden="1">"c7475"</definedName>
    <definedName name="IQ_BALANCE_SERV_APR_UNUSED_UNUSED_UNUSED" hidden="1">"c7475"</definedName>
    <definedName name="IQ_BALANCE_SERV_FC_UNUSED" hidden="1">"c7695"</definedName>
    <definedName name="IQ_BALANCE_SERV_FC_UNUSED_UNUSED_UNUSED" hidden="1">"c7695"</definedName>
    <definedName name="IQ_BALANCE_SERV_POP_FC_UNUSED" hidden="1">"c7915"</definedName>
    <definedName name="IQ_BALANCE_SERV_POP_FC_UNUSED_UNUSED_UNUSED" hidden="1">"c7915"</definedName>
    <definedName name="IQ_BALANCE_SERV_POP_UNUSED" hidden="1">"c7035"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FC_UNUSED_UNUSED_UNUSED" hidden="1">"c8135"</definedName>
    <definedName name="IQ_BALANCE_SERV_YOY_UNUSED" hidden="1">"c7255"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FC_UNUSED_UNUSED_UNUSED" hidden="1">"c8357"</definedName>
    <definedName name="IQ_BALANCE_TRADE_APR_UNUSED" hidden="1">"c7477"</definedName>
    <definedName name="IQ_BALANCE_TRADE_APR_UNUSED_UNUSED_UNUSED" hidden="1">"c7477"</definedName>
    <definedName name="IQ_BALANCE_TRADE_FC_UNUSED" hidden="1">"c7697"</definedName>
    <definedName name="IQ_BALANCE_TRADE_FC_UNUSED_UNUSED_UNUSED" hidden="1">"c7697"</definedName>
    <definedName name="IQ_BALANCE_TRADE_POP_FC_UNUSED" hidden="1">"c7917"</definedName>
    <definedName name="IQ_BALANCE_TRADE_POP_FC_UNUSED_UNUSED_UNUSED" hidden="1">"c7917"</definedName>
    <definedName name="IQ_BALANCE_TRADE_POP_UNUSED" hidden="1">"c7037"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FC_UNUSED_UNUSED_UNUSED" hidden="1">"c8137"</definedName>
    <definedName name="IQ_BALANCE_TRADE_YOY_UNUSED" hidden="1">"c7257"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LOAN_LIST" hidden="1">"c13507"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ING_FEES_OPERATING_INC_FFIEC" hidden="1">"c13386"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ID" hidden="1">"c13756"</definedName>
    <definedName name="IQ_BOARD_MEMBER_TITLE" hidden="1">"c97"</definedName>
    <definedName name="IQ_BOND_COUPON" hidden="1">"c2183"</definedName>
    <definedName name="IQ_BOND_COUPON_TYPE" hidden="1">"c2184"</definedName>
    <definedName name="IQ_BOND_LIST" hidden="1">"c13505"</definedName>
    <definedName name="IQ_BOND_PRICE" hidden="1">"c2162"</definedName>
    <definedName name="IQ_BORROWED_MONEY_QUARTERLY_AVG_FFIEC" hidden="1">"c13091"</definedName>
    <definedName name="IQ_BORROWINGS_LESS_1YR_ASSETS_TOT_FFIEC" hidden="1">"c13450"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" hidden="1">"c8359"</definedName>
    <definedName name="IQ_BUDGET_BALANCE_APR_FC_UNUSED_UNUSED_UNUSED" hidden="1">"c8359"</definedName>
    <definedName name="IQ_BUDGET_BALANCE_APR_UNUSED" hidden="1">"c7479"</definedName>
    <definedName name="IQ_BUDGET_BALANCE_APR_UNUSED_UNUSED_UNUSED" hidden="1">"c7479"</definedName>
    <definedName name="IQ_BUDGET_BALANCE_FC_UNUSED" hidden="1">"c7699"</definedName>
    <definedName name="IQ_BUDGET_BALANCE_FC_UNUSED_UNUSED_UNUSED" hidden="1">"c7699"</definedName>
    <definedName name="IQ_BUDGET_BALANCE_POP_FC_UNUSED" hidden="1">"c7919"</definedName>
    <definedName name="IQ_BUDGET_BALANCE_POP_FC_UNUSED_UNUSED_UNUSED" hidden="1">"c7919"</definedName>
    <definedName name="IQ_BUDGET_BALANCE_POP_UNUSED" hidden="1">"c7039"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UNUSED_UNUSED_UNUSED" hidden="1">"c6819"</definedName>
    <definedName name="IQ_BUDGET_BALANCE_YOY_FC_UNUSED" hidden="1">"c8139"</definedName>
    <definedName name="IQ_BUDGET_BALANCE_YOY_FC_UNUSED_UNUSED_UNUSED" hidden="1">"c8139"</definedName>
    <definedName name="IQ_BUDGET_BALANCE_YOY_UNUSED" hidden="1">"c7259"</definedName>
    <definedName name="IQ_BUDGET_BALANCE_YOY_UNUSED_UNUSED_UNUSED" hidden="1">"c7259"</definedName>
    <definedName name="IQ_BUDGET_RECEIPTS_APR_FC_UNUSED" hidden="1">"c8361"</definedName>
    <definedName name="IQ_BUDGET_RECEIPTS_APR_FC_UNUSED_UNUSED_UNUSED" hidden="1">"c8361"</definedName>
    <definedName name="IQ_BUDGET_RECEIPTS_APR_UNUSED" hidden="1">"c7481"</definedName>
    <definedName name="IQ_BUDGET_RECEIPTS_APR_UNUSED_UNUSED_UNUSED" hidden="1">"c7481"</definedName>
    <definedName name="IQ_BUDGET_RECEIPTS_FC_UNUSED" hidden="1">"c7701"</definedName>
    <definedName name="IQ_BUDGET_RECEIPTS_FC_UNUSED_UNUSED_UNUSED" hidden="1">"c7701"</definedName>
    <definedName name="IQ_BUDGET_RECEIPTS_POP_FC_UNUSED" hidden="1">"c7921"</definedName>
    <definedName name="IQ_BUDGET_RECEIPTS_POP_FC_UNUSED_UNUSED_UNUSED" hidden="1">"c7921"</definedName>
    <definedName name="IQ_BUDGET_RECEIPTS_POP_UNUSED" hidden="1">"c7041"</definedName>
    <definedName name="IQ_BUDGET_RECEIPTS_POP_UNUSED_UNUSED_UNUSED" hidden="1">"c7041"</definedName>
    <definedName name="IQ_BUDGET_RECEIPTS_UNUSED" hidden="1">"c6821"</definedName>
    <definedName name="IQ_BUDGET_RECEIPTS_UNUSED_UNUSED_UNUSED" hidden="1">"c6821"</definedName>
    <definedName name="IQ_BUDGET_RECEIPTS_YOY_FC_UNUSED" hidden="1">"c8141"</definedName>
    <definedName name="IQ_BUDGET_RECEIPTS_YOY_FC_UNUSED_UNUSED_UNUSED" hidden="1">"c8141"</definedName>
    <definedName name="IQ_BUDGET_RECEIPTS_YOY_UNUSED" hidden="1">"c7261"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COMBINATIONS_FFIEC" hidden="1">"c12967"</definedName>
    <definedName name="IQ_BUSINESS_DESCRIPTION" hidden="1">"c322"</definedName>
    <definedName name="IQ_BV_ACT_OR_EST_CIQ" hidden="1">"c5068"</definedName>
    <definedName name="IQ_BV_OVER_SHARES" hidden="1">"c1349"</definedName>
    <definedName name="IQ_BV_SHARE" hidden="1">"c100"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COMPANY0235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COMPANY0235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COMPANY0235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Q_EST_Company2232" hidden="1">"c6800"</definedName>
    <definedName name="IQ_CAL_Y" hidden="1">"c102"</definedName>
    <definedName name="IQ_CAL_Y_EST" hidden="1">"c6797"</definedName>
    <definedName name="IQ_CAL_Y_EST_CIQ" hidden="1">"c6809"</definedName>
    <definedName name="IQ_CAL_Y_EST_Company2232" hidden="1">"c6801"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BALANCES_DUE_FFIEC" hidden="1">"c12773"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PERSON0813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PRODUCT0419" hidden="1">"c9570"</definedName>
    <definedName name="IQ_CASH_COST_URAN" hidden="1">"c9623"</definedName>
    <definedName name="IQ_CASH_COST_Company3050" hidden="1">"c9358"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NAME_AP" hidden="1">"c8926"</definedName>
    <definedName name="IQ_CASH_OPER_NAME_AP_ABS" hidden="1">"c8945"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URRENCY" hidden="1">"c6031"</definedName>
    <definedName name="IQ_CDS_DERIVATIVES_BENEFICIARY_FFIEC" hidden="1">"c13119"</definedName>
    <definedName name="IQ_CDS_DERIVATIVES_GUARANTOR_FFIEC" hidden="1">"c13112"</definedName>
    <definedName name="IQ_CDS_EVAL_DATE" hidden="1">"c6029"</definedName>
    <definedName name="IQ_CDS_LIST" hidden="1">"c13510"</definedName>
    <definedName name="IQ_CDS_LOAN_LIST" hidden="1">"c13518"</definedName>
    <definedName name="IQ_CDS_MID" hidden="1">"c6028"</definedName>
    <definedName name="IQ_CDS_NAME" hidden="1">"c6034"</definedName>
    <definedName name="IQ_CDS_SENIOR_LIST" hidden="1">"c13508"</definedName>
    <definedName name="IQ_CDS_SUB_LIST" hidden="1">"c13509"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FAIR_VALUE_FINANCIAL_LIAB_T1_FFIEC" hidden="1">"c13138"</definedName>
    <definedName name="IQ_CHANGE_FAIR_VALUE_OPTIONS_FFIEC" hidden="1">"c13045"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FC_UNUSED_UNUSED_UNUSED" hidden="1">"c8500"</definedName>
    <definedName name="IQ_CHANGE_INVENT_REAL_APR_UNUSED" hidden="1">"c7620"</definedName>
    <definedName name="IQ_CHANGE_INVENT_REAL_APR_UNUSED_UNUSED_UNUSED" hidden="1">"c7620"</definedName>
    <definedName name="IQ_CHANGE_INVENT_REAL_FC_UNUSED" hidden="1">"c7840"</definedName>
    <definedName name="IQ_CHANGE_INVENT_REAL_FC_UNUSED_UNUSED_UNUSED" hidden="1">"c7840"</definedName>
    <definedName name="IQ_CHANGE_INVENT_REAL_POP_FC_UNUSED" hidden="1">"c8060"</definedName>
    <definedName name="IQ_CHANGE_INVENT_REAL_POP_FC_UNUSED_UNUSED_UNUSED" hidden="1">"c8060"</definedName>
    <definedName name="IQ_CHANGE_INVENT_REAL_POP_UNUSED" hidden="1">"c7180"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FC_UNUSED_UNUSED_UNUSED" hidden="1">"c8280"</definedName>
    <definedName name="IQ_CHANGE_INVENT_REAL_YOY_UNUSED" hidden="1">"c7400"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IMS_ADJUSTMENT_EXP_PC_FFIEC" hidden="1">"c13100"</definedName>
    <definedName name="IQ_CLASS_MARKETCAP" hidden="1">"c13512"</definedName>
    <definedName name="IQ_CLASS_SHARESOUTSTANDING" hidden="1">"c13513"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D_END_1_4_FAM_LOANS_TOT_LOANS_FFIEC" hidden="1">"c13866"</definedName>
    <definedName name="IQ_CLOSED_END_1_4_FIRST_LIENS_TRADING_DOM_FFIEC" hidden="1">"c12928"</definedName>
    <definedName name="IQ_CLOSED_END_1_4_JR_LIENS_LL_REC_DOM_FFIEC" hidden="1">"c12904"</definedName>
    <definedName name="IQ_CLOSED_END_1_4_JUNIOR_LIENS_TRADING_DOM_FFIEC" hidden="1">"c12929"</definedName>
    <definedName name="IQ_CLOSED_END_SEC_1_4_1ST_LIENS_CHARGE_OFFS_FFIEC" hidden="1">"c13169"</definedName>
    <definedName name="IQ_CLOSED_END_SEC_1_4_1ST_LIENS_DUE_30_89_FFIEC" hidden="1">"c13261"</definedName>
    <definedName name="IQ_CLOSED_END_SEC_1_4_1ST_LIENS_DUE_90_FFIEC" hidden="1">"c13289"</definedName>
    <definedName name="IQ_CLOSED_END_SEC_1_4_1ST_LIENS_NON_ACCRUAL_FFIEC" hidden="1">"c13315"</definedName>
    <definedName name="IQ_CLOSED_END_SEC_1_4_1ST_LIENS_RECOV_FFIEC" hidden="1">"c13191"</definedName>
    <definedName name="IQ_CLOSED_END_SEC_1_4_JR_LIENS_CHARGE_OFFS_FFIEC" hidden="1">"c13170"</definedName>
    <definedName name="IQ_CLOSED_END_SEC_1_4_JR_LIENS_DUE_30_89_FFIEC" hidden="1">"c13262"</definedName>
    <definedName name="IQ_CLOSED_END_SEC_1_4_JR_LIENS_DUE_90_FFIEC" hidden="1">"c13290"</definedName>
    <definedName name="IQ_CLOSED_END_SEC_1_4_JR_LIENS_NON_ACCRUAL_FFIEC" hidden="1">"c13316"</definedName>
    <definedName name="IQ_CLOSED_END_SEC_1_4_JR_LIENS_RECOV_FFIEC" hidden="1">"c13192"</definedName>
    <definedName name="IQ_CLOSED_END_SECURED_1_4_FIRST_LIENS_LL_REC_DOM_FFIEC" hidden="1">"c12903"</definedName>
    <definedName name="IQ_CLOSED_LOANS_GROSS_LOANS_FFIEC" hidden="1">"c13399"</definedName>
    <definedName name="IQ_CLOSED_LOANS_RISK_BASED_FFIEC" hidden="1">"c13420"</definedName>
    <definedName name="IQ_CLOSEPRICE" hidden="1">"c174"</definedName>
    <definedName name="IQ_CLOSEPRICE_ADJ" hidden="1">"c2115"</definedName>
    <definedName name="IQ_CMBS_ISSUED_AVAIL_SALE_FFIEC" hidden="1">"c12800"</definedName>
    <definedName name="IQ_CMBS_ISSUED_FFIEC" hidden="1">"c12786"</definedName>
    <definedName name="IQ_CMO_FDIC" hidden="1">"c6406"</definedName>
    <definedName name="IQ_COGS" hidden="1">"c175"</definedName>
    <definedName name="IQ_COLLATERAL_TYPE" hidden="1">"c8954"</definedName>
    <definedName name="IQ_COLLECTION_DOMESTIC_FDIC" hidden="1">"c6387"</definedName>
    <definedName name="IQ_COM_TARGET_PRICE" hidden="1">"c13606"</definedName>
    <definedName name="IQ_COM_TARGET_PRICE_CIQ" hidden="1">"c13599"</definedName>
    <definedName name="IQ_COM_TARGET_PRICE_HIGH" hidden="1">"c13607"</definedName>
    <definedName name="IQ_COM_TARGET_PRICE_HIGH_CIQ" hidden="1">"c13600"</definedName>
    <definedName name="IQ_COM_TARGET_PRICE_LOW" hidden="1">"c13608"</definedName>
    <definedName name="IQ_COM_TARGET_PRICE_LOW_CIQ" hidden="1">"c13601"</definedName>
    <definedName name="IQ_COM_TARGET_PRICE_MEDIAN" hidden="1">"c13609"</definedName>
    <definedName name="IQ_COM_TARGET_PRICE_MEDIAN_CIQ" hidden="1">"c13602"</definedName>
    <definedName name="IQ_COM_TARGET_PRICE_NUM" hidden="1">"c13604"</definedName>
    <definedName name="IQ_COM_TARGET_PRICE_NUM_CIQ" hidden="1">"c13597"</definedName>
    <definedName name="IQ_COM_TARGET_PRICE_STDDEV" hidden="1">"c13605"</definedName>
    <definedName name="IQ_COM_TARGET_PRICE_STDDEV_CIQ" hidden="1">"c13598"</definedName>
    <definedName name="IQ_COMBINED_RATIO" hidden="1">"c176"</definedName>
    <definedName name="IQ_COMM_IND_LOANS_TOT_LOANS_FFIEC" hidden="1">"c13874"</definedName>
    <definedName name="IQ_COMM_INDUSTRIAL_LOANS_FFIEC" hidden="1">"c12821"</definedName>
    <definedName name="IQ_COMM_INDUSTRIAL_NON_US_LL_REC_FFIEC" hidden="1">"c12888"</definedName>
    <definedName name="IQ_COMM_INDUSTRIAL_US_LL_REC_FFIEC" hidden="1">"c12887"</definedName>
    <definedName name="IQ_COMM_RE_FARM_LOANS_TOT_LOANS_FFIEC" hidden="1">"c13872"</definedName>
    <definedName name="IQ_COMM_RE_NONFARM_NONRES_TOT_LOANS_FFIEC" hidden="1">"c13871"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GROSS_LOANS_FFIEC" hidden="1">"c13410"</definedName>
    <definedName name="IQ_COMMERCIAL_INDUSTRIAL_LOANS_DUE_30_89_FFIEC" hidden="1">"c13271"</definedName>
    <definedName name="IQ_COMMERCIAL_INDUSTRIAL_LOANS_DUE_90_FFIEC" hidden="1">"c13297"</definedName>
    <definedName name="IQ_COMMERCIAL_INDUSTRIAL_LOANS_LL_REC_DOM_FFIEC" hidden="1">"c12910"</definedName>
    <definedName name="IQ_COMMERCIAL_INDUSTRIAL_LOANS_NET_FDIC" hidden="1">"c6317"</definedName>
    <definedName name="IQ_COMMERCIAL_INDUSTRIAL_LOANS_NON_ACCRUAL_FFIEC" hidden="1">"c13323"</definedName>
    <definedName name="IQ_COMMERCIAL_INDUSTRIAL_NET_CHARGE_OFFS_FDIC" hidden="1">"c6636"</definedName>
    <definedName name="IQ_COMMERCIAL_INDUSTRIAL_NON_US_CHARGE_OFFS_FFIEC" hidden="1">"c13179"</definedName>
    <definedName name="IQ_COMMERCIAL_INDUSTRIAL_NON_US_RECOV_FFIEC" hidden="1">"c13201"</definedName>
    <definedName name="IQ_COMMERCIAL_INDUSTRIAL_RECOVERIES_FDIC" hidden="1">"c6617"</definedName>
    <definedName name="IQ_COMMERCIAL_INDUSTRIAL_RISK_BASED_FFIEC" hidden="1">"c13431"</definedName>
    <definedName name="IQ_COMMERCIAL_INDUSTRIAL_TOTAL_LOANS_FOREIGN_FDIC" hidden="1">"c6451"</definedName>
    <definedName name="IQ_COMMERCIAL_INDUSTRIAL_TRADING_DOM_FFIEC" hidden="1">"c12932"</definedName>
    <definedName name="IQ_COMMERCIAL_INDUSTRIAL_US_CHARGE_OFFS_FFIEC" hidden="1">"c13178"</definedName>
    <definedName name="IQ_COMMERCIAL_INDUSTRIAL_US_RECOV_FFIEC" hidden="1">"c13200"</definedName>
    <definedName name="IQ_COMMERCIAL_MORT" hidden="1">"c179"</definedName>
    <definedName name="IQ_COMMERCIAL_OTHER_LOC_FFIEC" hidden="1">"c13253"</definedName>
    <definedName name="IQ_COMMERCIAL_PAPER_ASSETS_TOT_FFIEC" hidden="1">"c13449"</definedName>
    <definedName name="IQ_COMMERCIAL_PAPER_FFIEC" hidden="1">"c12863"</definedName>
    <definedName name="IQ_COMMERCIAL_RE_CONSTRUCTION_LAND_DEV_FDIC" hidden="1">"c6526"</definedName>
    <definedName name="IQ_COMMERCIAL_RE_GROSS_LOANS_FFIEC" hidden="1">"c13400"</definedName>
    <definedName name="IQ_COMMERCIAL_RE_LOANS_FDIC" hidden="1">"c6312"</definedName>
    <definedName name="IQ_COMMERCIAL_RE_RISK_BASED_FFIEC" hidden="1">"c13421"</definedName>
    <definedName name="IQ_COMMISS_FEES" hidden="1">"c180"</definedName>
    <definedName name="IQ_COMMISSION_DEF" hidden="1">"c181"</definedName>
    <definedName name="IQ_COMMITMENTS_BUY_SEC_OTHER_OFF_BS_FFIEC" hidden="1">"c13128"</definedName>
    <definedName name="IQ_COMMITMENTS_COMMERCIAL_RE_UNUSED_FFIEC" hidden="1">"c13243"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ITMENTS_SELL_SEC_OTHER_OFF_BS_FFIEC" hidden="1">"c13129"</definedName>
    <definedName name="IQ_COMMODITY_EXPOSURE_FFIEC" hidden="1">"c13061"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MON_STOCK_FFIEC" hidden="1">"c12876"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ETITOR_ALL" hidden="1">"c13754"</definedName>
    <definedName name="IQ_COMPETITOR_NAMED_BY_COMPANY" hidden="1">"c13751"</definedName>
    <definedName name="IQ_COMPETITOR_NAMED_BY_COMPETITOR" hidden="1">"c13752"</definedName>
    <definedName name="IQ_COMPETITOR_NAMED_BY_THIRDPARTY" hidden="1">"c13753"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OLIDATED_ASSETS_QUARTERLY_AVG_FFIEC" hidden="1">"c13087"</definedName>
    <definedName name="IQ_CONST_LAND_DEV_LOANS_TOT_LOANS_FFIEC" hidden="1">"c13865"</definedName>
    <definedName name="IQ_CONST_LAND_DEVELOP_OTHER_DOM_CHARGE_OFFS_FFIEC" hidden="1">"c13628"</definedName>
    <definedName name="IQ_CONST_LAND_DEVELOP_OTHER_DOM_RECOV_FFIEC" hidden="1">"c13632"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L_REC_DOM_FFIEC" hidden="1">"c12900"</definedName>
    <definedName name="IQ_CONSTRUCTION_LOANS" hidden="1">"c222"</definedName>
    <definedName name="IQ_CONSTRUCTION_LOANS_DOM_DUE_30_89_FFIEC" hidden="1">"c13256"</definedName>
    <definedName name="IQ_CONSTRUCTION_LOANS_DOM_DUE_90_FFIEC" hidden="1">"c13284"</definedName>
    <definedName name="IQ_CONSTRUCTION_LOANS_DOM_NON_ACCRUAL_FFIEC" hidden="1">"c13310"</definedName>
    <definedName name="IQ_CONSTRUCTION_LOANS_GROSS_LOANS_FFIEC" hidden="1">"c13401"</definedName>
    <definedName name="IQ_CONSTRUCTION_RISK_BASED_FFIEC" hidden="1">"c13422"</definedName>
    <definedName name="IQ_CONSULTING_FFIEC" hidden="1">"c13055"</definedName>
    <definedName name="IQ_CONSUMER_COMPANY0686" hidden="1">"c6831"</definedName>
    <definedName name="IQ_CONSUMER_COMPANY0686_APR" hidden="1">"c7491"</definedName>
    <definedName name="IQ_CONSUMER_COMPANY0686_APR_FC" hidden="1">"c8371"</definedName>
    <definedName name="IQ_CONSUMER_COMPANY0686_FC" hidden="1">"c7711"</definedName>
    <definedName name="IQ_CONSUMER_COMPANY0686_POP" hidden="1">"c7051"</definedName>
    <definedName name="IQ_CONSUMER_COMPANY0686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ASES_LL_REC_FFIEC" hidden="1">"c12895"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LOANS_LL_REC_DOM_FFIEC" hidden="1">"c12911"</definedName>
    <definedName name="IQ_CONSUMER_LOANS_TOT_LOANS_FFIEC" hidden="1">"c13875"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._FDIC" hidden="1">"c6522"</definedName>
    <definedName name="IQ_CONTRACTS_OTHER_COMMODITIES_EQUITIES_FDIC" hidden="1">"c6522"</definedName>
    <definedName name="IQ_CONTRIBUTOR_CIQID" hidden="1">"c13742"</definedName>
    <definedName name="IQ_CONTRIBUTOR_NAME" hidden="1">"c13735"</definedName>
    <definedName name="IQ_CONTRIBUTOR_START_DATE" hidden="1">"c13741"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SION_COMMON_FFIEC" hidden="1">"c12964"</definedName>
    <definedName name="IQ_CONVERSION_PREF_FFIEC" hidden="1">"c12962"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E_DEPOSITS_ASSETS_TOT_FFIEC" hidden="1">"c13442"</definedName>
    <definedName name="IQ_CORE_DEPOSITS_FFIEC" hidden="1">"c13862"</definedName>
    <definedName name="IQ_CORE_DEPOSITS_TOT_DEPOSITS_FFIEC" hidden="1">"c13911"</definedName>
    <definedName name="IQ_CORP_GOODS_PRICE_INDEX_APR_FC_UNUSED" hidden="1">"c8381"</definedName>
    <definedName name="IQ_CORP_GOODS_PRICE_INDEX_APR_FC_UNUSED_UNUSED_UNUSED" hidden="1">"c8381"</definedName>
    <definedName name="IQ_CORP_GOODS_PRICE_INDEX_APR_UNUSED" hidden="1">"c7501"</definedName>
    <definedName name="IQ_CORP_GOODS_PRICE_INDEX_APR_UNUSED_UNUSED_UNUSED" hidden="1">"c7501"</definedName>
    <definedName name="IQ_CORP_GOODS_PRICE_INDEX_FC_UNUSED" hidden="1">"c7721"</definedName>
    <definedName name="IQ_CORP_GOODS_PRICE_INDEX_FC_UNUSED_UNUSED_UNUSED" hidden="1">"c7721"</definedName>
    <definedName name="IQ_CORP_GOODS_PRICE_INDEX_POP_FC_UNUSED" hidden="1">"c7941"</definedName>
    <definedName name="IQ_CORP_GOODS_PRICE_INDEX_POP_FC_UNUSED_UNUSED_UNUSED" hidden="1">"c7941"</definedName>
    <definedName name="IQ_CORP_GOODS_PRICE_INDEX_POP_UNUSED" hidden="1">"c7061"</definedName>
    <definedName name="IQ_CORP_GOODS_PRICE_INDEX_POP_UNUSED_UNUSED_UNUSED" hidden="1">"c7061"</definedName>
    <definedName name="IQ_CORP_GOODS_PRICE_INDEX_UNUSED" hidden="1">"c6841"</definedName>
    <definedName name="IQ_CORP_GOODS_PRICE_INDEX_UNUSED_UNUSED_UNUSED" hidden="1">"c6841"</definedName>
    <definedName name="IQ_CORP_GOODS_PRICE_INDEX_YOY_FC_UNUSED" hidden="1">"c8161"</definedName>
    <definedName name="IQ_CORP_GOODS_PRICE_INDEX_YOY_FC_UNUSED_UNUSED_UNUSED" hidden="1">"c8161"</definedName>
    <definedName name="IQ_CORP_GOODS_PRICE_INDEX_YOY_UNUSED" hidden="1">"c7281"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RPORATE_OVER_TOTAL" hidden="1">"c13767"</definedName>
    <definedName name="IQ_COST_BORROWED_FUNDS_FFIEC" hidden="1">"c13492"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FOREIGN_DEPOSITS_FFIEC" hidden="1">"c13490"</definedName>
    <definedName name="IQ_COST_FUNDS_PURCHASED_FFIEC" hidden="1">"c13491"</definedName>
    <definedName name="IQ_COST_INT_DEPOSITS_FFIEC" hidden="1">"c13489"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GROSS_LOANS_FFIEC" hidden="1">"c13412"</definedName>
    <definedName name="IQ_CREDIT_CARD_INTERCHANGE_FEES_FFIEC" hidden="1">"c13046"</definedName>
    <definedName name="IQ_CREDIT_CARD_LINES_FDIC" hidden="1">"c6525"</definedName>
    <definedName name="IQ_CREDIT_CARD_LINES_UNUSED_FFIEC" hidden="1">"c13242"</definedName>
    <definedName name="IQ_CREDIT_CARD_LOANS_CHARGE_OFFS_FFIEC" hidden="1">"c13180"</definedName>
    <definedName name="IQ_CREDIT_CARD_LOANS_DUE_30_89_FFIEC" hidden="1">"c13272"</definedName>
    <definedName name="IQ_CREDIT_CARD_LOANS_DUE_90_FFIEC" hidden="1">"c13298"</definedName>
    <definedName name="IQ_CREDIT_CARD_LOANS_FDIC" hidden="1">"c6319"</definedName>
    <definedName name="IQ_CREDIT_CARD_LOANS_NON_ACCRUAL_FFIEC" hidden="1">"c13324"</definedName>
    <definedName name="IQ_CREDIT_CARD_LOANS_RECOV_FFIEC" hidden="1">"c13202"</definedName>
    <definedName name="IQ_CREDIT_CARD_NET_CHARGE_OFFS_FDIC" hidden="1">"c6654"</definedName>
    <definedName name="IQ_CREDIT_CARD_RECOVERIES_FDIC" hidden="1">"c6653"</definedName>
    <definedName name="IQ_CREDIT_CARD_RISK_BASED_FFIEC" hidden="1">"c13433"</definedName>
    <definedName name="IQ_CREDIT_CARDS_CONSUMER_LOANS_FFIEC" hidden="1">"c12822"</definedName>
    <definedName name="IQ_CREDIT_CARDS_LL_REC_FFIEC" hidden="1">"c12889"</definedName>
    <definedName name="IQ_CREDIT_CARDS_LOANS_TRADING_DOM_FFIEC" hidden="1">"c12933"</definedName>
    <definedName name="IQ_CREDIT_EXPOSURE" hidden="1">"c10038"</definedName>
    <definedName name="IQ_CREDIT_EXPOSURE_FFIEC" hidden="1">"c13062"</definedName>
    <definedName name="IQ_CREDIT_LOSS_CF" hidden="1">"c232"</definedName>
    <definedName name="IQ_CREDIT_LOSS_PROVISION_NET_CHARGE_OFFS_FDIC" hidden="1">"c6734"</definedName>
    <definedName name="IQ_CREDIT_LOSSES_DERIVATIVES_FFIEC" hidden="1">"c13068"</definedName>
    <definedName name="IQ_CREDIT_OPTIONS_DERIVATIVES_BENEFICIARY_FFIEC" hidden="1">"c13121"</definedName>
    <definedName name="IQ_CREDIT_OPTIONS_DERIVATIVES_GUARANTOR_FFIEC" hidden="1">"c13114"</definedName>
    <definedName name="IQ_CUMULATIVE_PREFERREDS_T2_FFIEC" hidden="1">"c13145"</definedName>
    <definedName name="IQ_CUMULATIVE_SPLIT_FACTOR" hidden="1">"c2094"</definedName>
    <definedName name="IQ_CURR_ACCT_BALANCE_APR_FC_UNUSED" hidden="1">"c8387"</definedName>
    <definedName name="IQ_CURR_ACCT_BALANCE_APR_FC_UNUSED_UNUSED_UNUSED" hidden="1">"c8387"</definedName>
    <definedName name="IQ_CURR_ACCT_BALANCE_APR_UNUSED" hidden="1">"c7507"</definedName>
    <definedName name="IQ_CURR_ACCT_BALANCE_APR_UNUSED_UNUSED_UNUSED" hidden="1">"c7507"</definedName>
    <definedName name="IQ_CURR_ACCT_BALANCE_FC_UNUSED" hidden="1">"c7727"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FC_UNUSED_UNUSED_UNUSED" hidden="1">"c7947"</definedName>
    <definedName name="IQ_CURR_ACCT_BALANCE_POP_UNUSED" hidden="1">"c7067"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FC_UNUSED_UNUSED_UNUSED" hidden="1">"c8167"</definedName>
    <definedName name="IQ_CURR_ACCT_BALANCE_YOY_UNUSED" hidden="1">"c7287"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TOMER_LIAB_ACCEPTANCES_OUT_FFIEC" hidden="1">"c12835"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A_PROCESSING_EXP_FFIEC" hidden="1">"c13047"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1_5_INVEST_SECURITIES_FFIEC" hidden="1">"c13465"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BT_LESS_1YR_INVEST_SECURITIES_FFIEC" hidden="1">"c13464"</definedName>
    <definedName name="IQ_DEBT_MATURING_MORE_THAN_ONE_YEAR_FFIEC" hidden="1">"c13164"</definedName>
    <definedName name="IQ_DEBT_MATURING_WITHIN_ONE_YEAR_FFIEC" hidden="1">"c13163"</definedName>
    <definedName name="IQ_DEBT_SEC_OVER_5YR_INVEST_SECURITIES_FFIEC" hidden="1">"c13466"</definedName>
    <definedName name="IQ_DEBT_SECURITIES_FOREIGN_FFIEC" hidden="1">"c13484"</definedName>
    <definedName name="IQ_DEBT_SECURITIES_OTHER_ASSETS_DUE_30_89_FFIEC" hidden="1">"c13279"</definedName>
    <definedName name="IQ_DEBT_SECURITIES_OTHER_ASSETS_DUE_90_FFIEC" hidden="1">"c13305"</definedName>
    <definedName name="IQ_DEBT_SECURITIES_OTHER_ASSETS_NON_ACCRUAL_FFIEC" hidden="1">"c13331"</definedName>
    <definedName name="IQ_DECREASE_INT_EXPENSE_FFIEC" hidden="1">"c13064"</definedName>
    <definedName name="IQ_DEDUCTIONS_TOTAL_RISK_BASED_CAPITAL_FFIEC" hidden="1">"c13152"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_ASSETS_FFIEC" hidden="1">"c12843"</definedName>
    <definedName name="IQ_DEFERRED_TAX_ASSETS_T1_FFIEC" hidden="1">"c13141"</definedName>
    <definedName name="IQ_DEFERRED_TAX_LIAB_FFIEC" hidden="1">"c12870"</definedName>
    <definedName name="IQ_DEFERRED_TAXES" hidden="1">"c1356"</definedName>
    <definedName name="IQ_DEMAND_DEP" hidden="1">"c320"</definedName>
    <definedName name="IQ_DEMAND_DEPOSITS_COMMERCIAL_BANK_SUBS_FFIEC" hidden="1">"c12945"</definedName>
    <definedName name="IQ_DEMAND_DEPOSITS_FDIC" hidden="1">"c6489"</definedName>
    <definedName name="IQ_DEMAND_DEPOSITS_TOT_DEPOSITS_FFIEC" hidden="1">"c13902"</definedName>
    <definedName name="IQ_DEPOSIT_ACCOUNTS_LESS_THAN_100K_FDIC" hidden="1">"c6494"</definedName>
    <definedName name="IQ_DEPOSIT_ACCOUNTS_MORE_THAN_100K_FDIC" hidden="1">"c6492"</definedName>
    <definedName name="IQ_DEPOSITORY_INST_ACCEPTANCES_LL_REC_DOM_FFIEC" hidden="1">"c12908"</definedName>
    <definedName name="IQ_DEPOSITORY_INST_GROSS_LOANS_FFIEC" hidden="1">"c13409"</definedName>
    <definedName name="IQ_DEPOSITORY_INST_RISK_BASED_FFIEC" hidden="1">"c13430"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100K_MORE_ASSETS_TOT_FFIEC" hidden="1">"c13444"</definedName>
    <definedName name="IQ_DEPOSITS_DOM_FFIEC" hidden="1">"c12850"</definedName>
    <definedName name="IQ_DEPOSITS_FAIR_VALUE_TOT_FFIEC" hidden="1">"c13213"</definedName>
    <definedName name="IQ_DEPOSITS_FIN" hidden="1">"c321"</definedName>
    <definedName name="IQ_DEPOSITS_FOREIGN_FFIEC" hidden="1">"c12853"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100K_COMMERCIAL_BANK_SUBS_FFIEC" hidden="1">"c12948"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LEVEL_1_FFIEC" hidden="1">"c13221"</definedName>
    <definedName name="IQ_DEPOSITS_LEVEL_2_FFIEC" hidden="1">"c13229"</definedName>
    <definedName name="IQ_DEPOSITS_LEVEL_3_FFIEC" hidden="1">"c13237"</definedName>
    <definedName name="IQ_DEPOSITS_MORE_100K_COMMERCIAL_BANK_SUBS_FFIEC" hidden="1">"c12949"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RIVATIVES_NEGATIVE_FAIR_VALUE_DOM_FFIEC" hidden="1">"c12943"</definedName>
    <definedName name="IQ_DERIVATIVES_NEGATIVE_VALUE_FFIEC" hidden="1">"c12861"</definedName>
    <definedName name="IQ_DERIVATIVES_POS_FAIR_VALUE_FFIEC" hidden="1">"c12827"</definedName>
    <definedName name="IQ_DERIVATIVES_POSITIVE_FAIR_VALUE_TRADING_DOM_FFIEC" hidden="1">"c12938"</definedName>
    <definedName name="IQ_DESCRIPTION_LONG" hidden="1">"c1520"</definedName>
    <definedName name="IQ_DEVELOP_LAND" hidden="1">"c323"</definedName>
    <definedName name="IQ_DIC" hidden="1">"c13834"</definedName>
    <definedName name="IQ_DIFF_LASTCLOSE_TARGET_PRICE" hidden="1">"c1854"</definedName>
    <definedName name="IQ_DIFF_LASTCLOSE_TARGET_PRICE_CIQ" hidden="1">"c4767"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RECTORS_FEES_FFIEC" hidden="1">"c13049"</definedName>
    <definedName name="IQ_DISALLOWED_DEFERRED_TAX_ASSETS_FFIEC" hidden="1">"c13157"</definedName>
    <definedName name="IQ_DISALLOWED_GOODWILL_INTANGIBLE_ASSETS_FFIEC" hidden="1">"c13155"</definedName>
    <definedName name="IQ_DISALLOWED_GOODWILL_INTANGIBLES_T1_FFIEC" hidden="1">"c13137"</definedName>
    <definedName name="IQ_DISALLOWED_SERVICING_ASSETS_FFIEC" hidden="1">"c13156"</definedName>
    <definedName name="IQ_DISALLOWED_SERVICING_ASSETS_T1_FFIEC" hidden="1">"c13140"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EST_CIQ" hidden="1">"c4802"</definedName>
    <definedName name="IQ_DISTRIBUTABLE_CASH_HIGH_EST_CIQ" hidden="1">"c4805"</definedName>
    <definedName name="IQ_DISTRIBUTABLE_CASH_LOW_EST_CIQ" hidden="1">"c4806"</definedName>
    <definedName name="IQ_DISTRIBUTABLE_CASH_MEDIAN_EST_CIQ" hidden="1">"c4807"</definedName>
    <definedName name="IQ_DISTRIBUTABLE_CASH_NUM_EST_CIQ" hidden="1">"c4808"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STRIBUTABLE_CASH_SHARE_EST_CIQ" hidden="1">"c4810"</definedName>
    <definedName name="IQ_DISTRIBUTABLE_CASH_SHARE_HIGH_EST_CIQ" hidden="1">"c4813"</definedName>
    <definedName name="IQ_DISTRIBUTABLE_CASH_SHARE_LOW_EST_CIQ" hidden="1">"c4814"</definedName>
    <definedName name="IQ_DISTRIBUTABLE_CASH_SHARE_MEDIAN_EST_CIQ" hidden="1">"c4815"</definedName>
    <definedName name="IQ_DISTRIBUTABLE_CASH_SHARE_NUM_EST_CIQ" hidden="1">"c4816"</definedName>
    <definedName name="IQ_DISTRIBUTABLE_CASH_SHARE_STDDEV_EST_CIQ" hidden="1">"c4817"</definedName>
    <definedName name="IQ_DISTRIBUTABLE_CASH_STDDEV_EST_CIQ" hidden="1">"c4819"</definedName>
    <definedName name="IQ_DIV_AMOUNT" hidden="1">"c3041"</definedName>
    <definedName name="IQ_DIV_PAYMENT_DATE" hidden="1">"c2205"</definedName>
    <definedName name="IQ_DIV_PAYMENT_TYPE" hidden="1">"c12752"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COMMON_FFIEC" hidden="1">"c12969"</definedName>
    <definedName name="IQ_DIVIDENDS_DECLARED_PREFERRED_FDIC" hidden="1">"c6658"</definedName>
    <definedName name="IQ_DIVIDENDS_DECLARED_PREFERRED_FFIEC" hidden="1">"c12968"</definedName>
    <definedName name="IQ_DIVIDENDS_FDIC" hidden="1">"c6660"</definedName>
    <definedName name="IQ_DIVIDENDS_NET_INCOME_FFIEC" hidden="1">"c13349"</definedName>
    <definedName name="IQ_DIVIDENDS_PAID_DECLARED_PERIOD_COVERED" hidden="1">"c9960"</definedName>
    <definedName name="IQ_DIVIDENDS_PAID_DECLARED_PERIOD_GROUP" hidden="1">"c9946"</definedName>
    <definedName name="IQ_Company0742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OM_OFFICE_DEPOSITS_TOT_DEPOSITS_FFIEC" hidden="1">"c13910"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AVG_ASSETS_FFIEC" hidden="1">"c13354"</definedName>
    <definedName name="IQ_EARNING_ASSETS_FDIC" hidden="1">"c6360"</definedName>
    <definedName name="IQ_EARNING_ASSETS_QUARTERLY_AVG_FFIEC" hidden="1">"c13086"</definedName>
    <definedName name="IQ_EARNING_ASSETS_REPRICE_ASSETS_TOT_FFIEC" hidden="1">"c13451"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Company2232" hidden="1">"c5314"</definedName>
    <definedName name="IQ_EARNINGS_CO_FFIEC" hidden="1">"c13032"</definedName>
    <definedName name="IQ_EARNINGS_COVERAGE_LOSSES_FFIEC" hidden="1">"c13351"</definedName>
    <definedName name="IQ_EARNINGS_COVERAGE_NET_CHARGE_OFFS_FDIC" hidden="1">"c6735"</definedName>
    <definedName name="IQ_EARNINGS_LIFE_INSURANCE_FFIEC" hidden="1">"c13041"</definedName>
    <definedName name="IQ_EARNINGS_PERIOD_COVERED" hidden="1">"c9958"</definedName>
    <definedName name="IQ_EARNINGS_PERIOD_GROUP" hidden="1">"c9944"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EQ_INC" hidden="1">"c3498"</definedName>
    <definedName name="IQ_EBIT_EQ_INC_EXCL_SBC" hidden="1">"c3502"</definedName>
    <definedName name="IQ_EBIT_EST" hidden="1">"c1681"</definedName>
    <definedName name="IQ_EBIT_EXCL_SBC" hidden="1">"c3082"</definedName>
    <definedName name="IQ_EBIT_GW_ACT_OR_EST" hidden="1">"c4306"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BC_ACT_OR_EST" hidden="1">"c4316"</definedName>
    <definedName name="IQ_EBIT_SBC_ACT_OR_EST_CIQ" hidden="1">"c4841"</definedName>
    <definedName name="IQ_EBIT_SBC_GW_ACT_OR_EST" hidden="1">"c4320"</definedName>
    <definedName name="IQ_EBIT_SBC_GW_ACT_OR_EST_CIQ" hidden="1">"c4845"</definedName>
    <definedName name="IQ_EBIT_STDDEV_EST" hidden="1">"c1686"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Company2232" hidden="1">"c3640"</definedName>
    <definedName name="IQ_EBITDA_EXCL_SBC" hidden="1">"c3081"</definedName>
    <definedName name="IQ_EBITDA_HIGH_EST" hidden="1">"c370"</definedName>
    <definedName name="IQ_EBITDA_HIGH_EST_CIQ" hidden="1">"c3624"</definedName>
    <definedName name="IQ_EBITDA_HIGH_EST_Company2232" hidden="1">"c3642"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Company2232" hidden="1">"c3643"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Company2232" hidden="1">"c3641"</definedName>
    <definedName name="IQ_EBITDA_NUM_EST" hidden="1">"c374"</definedName>
    <definedName name="IQ_EBITDA_NUM_EST_CIQ" hidden="1">"c3626"</definedName>
    <definedName name="IQ_EBITDA_NUM_EST_Company2232" hidden="1">"c3644"</definedName>
    <definedName name="IQ_EBITDA_OVER_TOTAL_IE" hidden="1">"c1371"</definedName>
    <definedName name="IQ_EBITDA_SBC_ACT_OR_EST" hidden="1">"c4337"</definedName>
    <definedName name="IQ_EBITDA_SBC_ACT_OR_EST_CIQ" hidden="1">"c4862"</definedName>
    <definedName name="IQ_EBITDA_STDDEV_EST" hidden="1">"c375"</definedName>
    <definedName name="IQ_EBITDA_STDDEV_EST_CIQ" hidden="1">"c3627"</definedName>
    <definedName name="IQ_EBITDA_STDDEV_EST_Company2232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FIEC" hidden="1">"c13029"</definedName>
    <definedName name="IQ_EBT_FIN" hidden="1">"c386"</definedName>
    <definedName name="IQ_EBT_FTE_FFIEC" hidden="1">"c13037"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GW_ACT_OR_EST" hidden="1">"c4354"</definedName>
    <definedName name="IQ_EBT_SBC_GW_ACT_OR_EST_CIQ" hidden="1">"c4879"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25_UNUSED_UNUSED_UNUSED" hidden="1">"c6825"</definedName>
    <definedName name="IQ_ECO_METRIC_6839_UNUSED" hidden="1">"c6839"</definedName>
    <definedName name="IQ_ECO_METRIC_6839_UNUSED_UNUSED_UNUSED" hidden="1">"c6839"</definedName>
    <definedName name="IQ_ECO_METRIC_6896_UNUSED" hidden="1">"c6896"</definedName>
    <definedName name="IQ_ECO_METRIC_6896_UNUSED_UNUSED_UNUSED" hidden="1">"c6896"</definedName>
    <definedName name="IQ_ECO_METRIC_6897_UNUSED" hidden="1">"c6897"</definedName>
    <definedName name="IQ_ECO_METRIC_6897_UNUSED_UNUSED_UNUSED" hidden="1">"c6897"</definedName>
    <definedName name="IQ_ECO_METRIC_6927" hidden="1">"c6927"</definedName>
    <definedName name="IQ_ECO_METRIC_6988_UNUSED" hidden="1">"c6988"</definedName>
    <definedName name="IQ_ECO_METRIC_6988_UNUSED_UNUSED_UNUSED" hidden="1">"c6988"</definedName>
    <definedName name="IQ_ECO_METRIC_7045_UNUSED" hidden="1">"c7045"</definedName>
    <definedName name="IQ_ECO_METRIC_7045_UNUSED_UNUSED_UNUSED" hidden="1">"c7045"</definedName>
    <definedName name="IQ_ECO_METRIC_7059_UNUSED" hidden="1">"c7059"</definedName>
    <definedName name="IQ_ECO_METRIC_7059_UNUSED_UNUSED_UNUSED" hidden="1">"c7059"</definedName>
    <definedName name="IQ_ECO_METRIC_7116_UNUSED" hidden="1">"c7116"</definedName>
    <definedName name="IQ_ECO_METRIC_7116_UNUSED_UNUSED_UNUSED" hidden="1">"c7116"</definedName>
    <definedName name="IQ_ECO_METRIC_7117_UNUSED" hidden="1">"c7117"</definedName>
    <definedName name="IQ_ECO_METRIC_7117_UNUSED_UNUSED_UNUSED" hidden="1">"c7117"</definedName>
    <definedName name="IQ_ECO_METRIC_7147" hidden="1">"c7147"</definedName>
    <definedName name="IQ_ECO_METRIC_7208_UNUSED" hidden="1">"c7208"</definedName>
    <definedName name="IQ_ECO_METRIC_7208_UNUSED_UNUSED_UNUSED" hidden="1">"c7208"</definedName>
    <definedName name="IQ_ECO_METRIC_7265_UNUSED" hidden="1">"c7265"</definedName>
    <definedName name="IQ_ECO_METRIC_7265_UNUSED_UNUSED_UNUSED" hidden="1">"c7265"</definedName>
    <definedName name="IQ_ECO_METRIC_7279_UNUSED" hidden="1">"c7279"</definedName>
    <definedName name="IQ_ECO_METRIC_7279_UNUSED_UNUSED_UNUSED" hidden="1">"c7279"</definedName>
    <definedName name="IQ_ECO_METRIC_7336_UNUSED" hidden="1">"c7336"</definedName>
    <definedName name="IQ_ECO_METRIC_7336_UNUSED_UNUSED_UNUSED" hidden="1">"c7336"</definedName>
    <definedName name="IQ_ECO_METRIC_7337_UNUSED" hidden="1">"c7337"</definedName>
    <definedName name="IQ_ECO_METRIC_7337_UNUSED_UNUSED_UNUSED" hidden="1">"c7337"</definedName>
    <definedName name="IQ_ECO_METRIC_7367" hidden="1">"c7367"</definedName>
    <definedName name="IQ_ECO_METRIC_7428_UNUSED" hidden="1">"c7428"</definedName>
    <definedName name="IQ_ECO_METRIC_7428_UNUSED_UNUSED_UNUSED" hidden="1">"c7428"</definedName>
    <definedName name="IQ_ECO_METRIC_7556_UNUSED" hidden="1">"c7556"</definedName>
    <definedName name="IQ_ECO_METRIC_7556_UNUSED_UNUSED_UNUSED" hidden="1">"c7556"</definedName>
    <definedName name="IQ_ECO_METRIC_7557_UNUSED" hidden="1">"c7557"</definedName>
    <definedName name="IQ_ECO_METRIC_7557_UNUSED_UNUSED_UNUSED" hidden="1">"c7557"</definedName>
    <definedName name="IQ_ECO_METRIC_7587" hidden="1">"c7587"</definedName>
    <definedName name="IQ_ECO_METRIC_7648_UNUSED" hidden="1">"c7648"</definedName>
    <definedName name="IQ_ECO_METRIC_7648_UNUSED_UNUSED_UNUSED" hidden="1">"c7648"</definedName>
    <definedName name="IQ_ECO_METRIC_7704" hidden="1">"c7704"</definedName>
    <definedName name="IQ_ECO_METRIC_7705_UNUSED" hidden="1">"c7705"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19_UNUSED_UNUSED_UNUSED" hidden="1">"c7719"</definedName>
    <definedName name="IQ_ECO_METRIC_7776_UNUSED" hidden="1">"c7776"</definedName>
    <definedName name="IQ_ECO_METRIC_7776_UNUSED_UNUSED_UNUSED" hidden="1">"c7776"</definedName>
    <definedName name="IQ_ECO_METRIC_7777_UNUSED" hidden="1">"c7777"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39_UNUSED_UNUSED_UNUSED" hidden="1">"c7939"</definedName>
    <definedName name="IQ_ECO_METRIC_7996_UNUSED" hidden="1">"c7996"</definedName>
    <definedName name="IQ_ECO_METRIC_7996_UNUSED_UNUSED_UNUSED" hidden="1">"c7996"</definedName>
    <definedName name="IQ_ECO_METRIC_7997_UNUSED" hidden="1">"c7997"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159_UNUSED_UNUSED_UNUSED" hidden="1">"c8159"</definedName>
    <definedName name="IQ_ECO_METRIC_8216_UNUSED" hidden="1">"c8216"</definedName>
    <definedName name="IQ_ECO_METRIC_8216_UNUSED_UNUSED_UNUSED" hidden="1">"c8216"</definedName>
    <definedName name="IQ_ECO_METRIC_8217_UNUSED" hidden="1">"c8217"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6_UNUSED_UNUSED_UNUSED" hidden="1">"c8436"</definedName>
    <definedName name="IQ_ECO_METRIC_8437_UNUSED" hidden="1">"c8437"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MPLOYEES_FFIEC" hidden="1">"c13035"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P" hidden="1">"c8880"</definedName>
    <definedName name="IQ_EPS_AP_ABS" hidden="1">"c8899"</definedName>
    <definedName name="IQ_EPS_EST" hidden="1">"c399"</definedName>
    <definedName name="IQ_EPS_EST_BOTTOM_UP_CIQ" hidden="1">"c12026"</definedName>
    <definedName name="IQ_EPS_EST_CIQ" hidden="1">"c4994"</definedName>
    <definedName name="IQ_EPS_EST_Company2232" hidden="1">"c5453"</definedName>
    <definedName name="IQ_EPS_GW_ACT_OR_EST" hidden="1">"c2223"</definedName>
    <definedName name="IQ_EPS_GW_ACT_OR_EST_CIQ" hidden="1">"c5066"</definedName>
    <definedName name="IQ_EPS_GW_EST" hidden="1">"c1737"</definedName>
    <definedName name="IQ_EPS_GW_EST_BOTTOM_UP_CIQ" hidden="1">"c12028"</definedName>
    <definedName name="IQ_EPS_GW_EST_CIQ" hidden="1">"c4723"</definedName>
    <definedName name="IQ_EPS_GW_EST_Company2232" hidden="1">"c5389"</definedName>
    <definedName name="IQ_EPS_GW_HIGH_EST" hidden="1">"c1739"</definedName>
    <definedName name="IQ_EPS_GW_HIGH_EST_CIQ" hidden="1">"c4725"</definedName>
    <definedName name="IQ_EPS_GW_HIGH_EST_Company2232" hidden="1">"c5391"</definedName>
    <definedName name="IQ_EPS_GW_LOW_EST" hidden="1">"c1740"</definedName>
    <definedName name="IQ_EPS_GW_LOW_EST_CIQ" hidden="1">"c4726"</definedName>
    <definedName name="IQ_EPS_GW_LOW_EST_Company2232" hidden="1">"c5392"</definedName>
    <definedName name="IQ_EPS_GW_MEDIAN_EST" hidden="1">"c1738"</definedName>
    <definedName name="IQ_EPS_GW_MEDIAN_EST_CIQ" hidden="1">"c4724"</definedName>
    <definedName name="IQ_EPS_GW_MEDIAN_EST_Company2232" hidden="1">"c5390"</definedName>
    <definedName name="IQ_EPS_GW_NUM_EST" hidden="1">"c1741"</definedName>
    <definedName name="IQ_EPS_GW_NUM_EST_CIQ" hidden="1">"c4727"</definedName>
    <definedName name="IQ_EPS_GW_NUM_EST_Company2232" hidden="1">"c5393"</definedName>
    <definedName name="IQ_EPS_GW_STDDEV_EST" hidden="1">"c1742"</definedName>
    <definedName name="IQ_EPS_GW_STDDEV_EST_CIQ" hidden="1">"c4728"</definedName>
    <definedName name="IQ_EPS_GW_STDDEV_EST_Company2232" hidden="1">"c5394"</definedName>
    <definedName name="IQ_EPS_HIGH_EST" hidden="1">"c400"</definedName>
    <definedName name="IQ_EPS_HIGH_EST_CIQ" hidden="1">"c4995"</definedName>
    <definedName name="IQ_EPS_HIGH_EST_Company2232" hidden="1">"c5454"</definedName>
    <definedName name="IQ_EPS_LOW_EST" hidden="1">"c401"</definedName>
    <definedName name="IQ_EPS_LOW_EST_CIQ" hidden="1">"c4996"</definedName>
    <definedName name="IQ_EPS_LOW_EST_Company2232" hidden="1">"c5455"</definedName>
    <definedName name="IQ_EPS_MEDIAN_EST" hidden="1">"c1661"</definedName>
    <definedName name="IQ_EPS_MEDIAN_EST_CIQ" hidden="1">"c4997"</definedName>
    <definedName name="IQ_EPS_MEDIAN_EST_Company2232" hidden="1">"c5456"</definedName>
    <definedName name="IQ_EPS_NAME_AP" hidden="1">"c8918"</definedName>
    <definedName name="IQ_EPS_NAME_AP_ABS" hidden="1">"c8937"</definedName>
    <definedName name="IQ_EPS_NORM" hidden="1">"c1902"</definedName>
    <definedName name="IQ_EPS_NORM_EST" hidden="1">"c2226"</definedName>
    <definedName name="IQ_EPS_NORM_EST_BOTTOM_UP_CIQ" hidden="1">"c12027"</definedName>
    <definedName name="IQ_EPS_NORM_EST_CIQ" hidden="1">"c4667"</definedName>
    <definedName name="IQ_EPS_NORM_EST_Company2232" hidden="1">"c5326"</definedName>
    <definedName name="IQ_EPS_NORM_HIGH_EST" hidden="1">"c2228"</definedName>
    <definedName name="IQ_EPS_NORM_HIGH_EST_CIQ" hidden="1">"c4669"</definedName>
    <definedName name="IQ_EPS_NORM_HIGH_EST_Company2232" hidden="1">"c5328"</definedName>
    <definedName name="IQ_EPS_NORM_LOW_EST" hidden="1">"c2229"</definedName>
    <definedName name="IQ_EPS_NORM_LOW_EST_CIQ" hidden="1">"c4670"</definedName>
    <definedName name="IQ_EPS_NORM_LOW_EST_Company2232" hidden="1">"c5329"</definedName>
    <definedName name="IQ_EPS_NORM_MEDIAN_EST" hidden="1">"c2227"</definedName>
    <definedName name="IQ_EPS_NORM_MEDIAN_EST_CIQ" hidden="1">"c4668"</definedName>
    <definedName name="IQ_EPS_NORM_MEDIAN_EST_Company2232" hidden="1">"c5327"</definedName>
    <definedName name="IQ_EPS_NORM_NUM_EST" hidden="1">"c2230"</definedName>
    <definedName name="IQ_EPS_NORM_NUM_EST_CIQ" hidden="1">"c4671"</definedName>
    <definedName name="IQ_EPS_NORM_NUM_EST_Company2232" hidden="1">"c5330"</definedName>
    <definedName name="IQ_EPS_NORM_STDDEV_EST" hidden="1">"c2231"</definedName>
    <definedName name="IQ_EPS_NORM_STDDEV_EST_CIQ" hidden="1">"c4672"</definedName>
    <definedName name="IQ_EPS_NORM_STDDEV_EST_Company2232" hidden="1">"c5331"</definedName>
    <definedName name="IQ_EPS_NUM_EST" hidden="1">"c402"</definedName>
    <definedName name="IQ_EPS_NUM_EST_CIQ" hidden="1">"c4992"</definedName>
    <definedName name="IQ_EPS_NUM_EST_Company2232" hidden="1">"c5451"</definedName>
    <definedName name="IQ_EPS_REPORT_ACT_OR_EST" hidden="1">"c2224"</definedName>
    <definedName name="IQ_EPS_REPORT_ACT_OR_EST_CIQ" hidden="1">"c5067"</definedName>
    <definedName name="IQ_EPS_REPORTED_EST" hidden="1">"c1744"</definedName>
    <definedName name="IQ_EPS_REPORTED_EST_BOTTOM_UP_CIQ" hidden="1">"c12029"</definedName>
    <definedName name="IQ_EPS_REPORTED_EST_CIQ" hidden="1">"c4730"</definedName>
    <definedName name="IQ_EPS_REPORTED_EST_Company2232" hidden="1">"c5396"</definedName>
    <definedName name="IQ_EPS_REPORTED_HIGH_EST" hidden="1">"c1746"</definedName>
    <definedName name="IQ_EPS_REPORTED_HIGH_EST_CIQ" hidden="1">"c4732"</definedName>
    <definedName name="IQ_EPS_REPORTED_HIGH_EST_Company2232" hidden="1">"c5398"</definedName>
    <definedName name="IQ_EPS_REPORTED_LOW_EST" hidden="1">"c1747"</definedName>
    <definedName name="IQ_EPS_REPORTED_LOW_EST_CIQ" hidden="1">"c4733"</definedName>
    <definedName name="IQ_EPS_REPORTED_LOW_EST_Company2232" hidden="1">"c5399"</definedName>
    <definedName name="IQ_EPS_REPORTED_MEDIAN_EST" hidden="1">"c1745"</definedName>
    <definedName name="IQ_EPS_REPORTED_MEDIAN_EST_CIQ" hidden="1">"c4731"</definedName>
    <definedName name="IQ_EPS_REPORTED_MEDIAN_EST_Company2232" hidden="1">"c5397"</definedName>
    <definedName name="IQ_EPS_REPORTED_NUM_EST" hidden="1">"c1748"</definedName>
    <definedName name="IQ_EPS_REPORTED_NUM_EST_CIQ" hidden="1">"c4734"</definedName>
    <definedName name="IQ_EPS_REPORTED_NUM_EST_Company2232" hidden="1">"c5400"</definedName>
    <definedName name="IQ_EPS_REPORTED_STDDEV_EST" hidden="1">"c1749"</definedName>
    <definedName name="IQ_EPS_REPORTED_STDDEV_EST_CIQ" hidden="1">"c4735"</definedName>
    <definedName name="IQ_EPS_REPORTED_STDDEV_EST_Company2232" hidden="1">"c5401"</definedName>
    <definedName name="IQ_EPS_SBC_ACT_OR_EST" hidden="1">"c4376"</definedName>
    <definedName name="IQ_EPS_SBC_ACT_OR_EST_CIQ" hidden="1">"c4901"</definedName>
    <definedName name="IQ_EPS_SBC_GW_ACT_OR_EST" hidden="1">"c4380"</definedName>
    <definedName name="IQ_EPS_SBC_GW_ACT_OR_EST_CIQ" hidden="1">"c4905"</definedName>
    <definedName name="IQ_EPS_STDDEV_EST" hidden="1">"c403"</definedName>
    <definedName name="IQ_EPS_STDDEV_EST_CIQ" hidden="1">"c4993"</definedName>
    <definedName name="IQ_EPS_STDDEV_EST_Company2232" hidden="1">"c5452"</definedName>
    <definedName name="IQ_EQUITY_AFFIL" hidden="1">"c1451"</definedName>
    <definedName name="IQ_EQUITY_AP" hidden="1">"c8887"</definedName>
    <definedName name="IQ_EQUITY_AP_ABS" hidden="1">"c8906"</definedName>
    <definedName name="IQ_EQUITY_ASSETS_TOT_FFIEC" hidden="1">"c13436"</definedName>
    <definedName name="IQ_EQUITY_BEG_EXCL_FFIEC" hidden="1">"c12957"</definedName>
    <definedName name="IQ_EQUITY_BEG_FFIEC" hidden="1">"c12959"</definedName>
    <definedName name="IQ_EQUITY_CAPITAL_ASSETS_FDIC" hidden="1">"c6744"</definedName>
    <definedName name="IQ_EQUITY_CAPITAL_QUARTERLY_AVG_FFIEC" hidden="1">"c13092"</definedName>
    <definedName name="IQ_EQUITY_ENDING_FFIEC" hidden="1">"c12973"</definedName>
    <definedName name="IQ_EQUITY_FDIC" hidden="1">"c6353"</definedName>
    <definedName name="IQ_EQUITY_INDEX_EXPOSURE_FFIEC" hidden="1">"c13060"</definedName>
    <definedName name="IQ_EQUITY_METHOD" hidden="1">"c404"</definedName>
    <definedName name="IQ_EQUITY_NAME_AP" hidden="1">"c8925"</definedName>
    <definedName name="IQ_EQUITY_NAME_AP_ABS" hidden="1">"c8944"</definedName>
    <definedName name="IQ_EQUITY_SEC_FAIR_VALUE_FFIEC" hidden="1">"c12805"</definedName>
    <definedName name="IQ_EQUITY_SEC_INVEST_SECURITIES_FFIEC" hidden="1">"c13463"</definedName>
    <definedName name="IQ_EQUITY_SECURITIES_FDIC" hidden="1">"c6304"</definedName>
    <definedName name="IQ_EQUITY_SECURITIES_WITHOUT_FAIR_VALUES_FFIEC" hidden="1">"c12846"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OP_DEBT_GUARANTEED_FFIEC" hidden="1">"c12971"</definedName>
    <definedName name="IQ_ESOP_OVER_TOTAL" hidden="1">"c13768"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BITDA_CIQ" hidden="1">"c3667"</definedName>
    <definedName name="IQ_EST_ACT_EPS" hidden="1">"c1648"</definedName>
    <definedName name="IQ_EST_ACT_EPS_CIQ" hidden="1">"c4998"</definedName>
    <definedName name="IQ_EST_ACT_EPS_GW" hidden="1">"c1743"</definedName>
    <definedName name="IQ_EST_ACT_EPS_GW_CIQ" hidden="1">"c4729"</definedName>
    <definedName name="IQ_EST_ACT_EPS_GW_Company2232" hidden="1">"c5395"</definedName>
    <definedName name="IQ_EST_ACT_EPS_NORM" hidden="1">"c2232"</definedName>
    <definedName name="IQ_EST_ACT_EPS_NORM_CIQ" hidden="1">"c4673"</definedName>
    <definedName name="IQ_EST_ACT_EPS_NORM_Company2232" hidden="1">"c5332"</definedName>
    <definedName name="IQ_EST_ACT_EPS_REPORTED" hidden="1">"c1750"</definedName>
    <definedName name="IQ_EST_ACT_EPS_REPORTED_CIQ" hidden="1">"c4736"</definedName>
    <definedName name="IQ_EST_ACT_EPS_REPORTED_Company2232" hidden="1">"c5402"</definedName>
    <definedName name="IQ_EST_ACT_FFO" hidden="1">"c1666"</definedName>
    <definedName name="IQ_EST_ACT_FFO_Company2646" hidden="1">"c4005"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ACT_REV_CIQ" hidden="1">"c3666"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CURRENCY_CIQ" hidden="1">"c4769"</definedName>
    <definedName name="IQ_EST_CURRENCY_Company2232" hidden="1">"c5437"</definedName>
    <definedName name="IQ_EST_DATE" hidden="1">"c1634"</definedName>
    <definedName name="IQ_EST_DATE_CIQ" hidden="1">"c4770"</definedName>
    <definedName name="IQ_EST_DATE_Company2232" hidden="1">"c5438"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DIFF_CIQ" hidden="1">"c3719"</definedName>
    <definedName name="IQ_EST_EBITDA_GROWTH_1YR" hidden="1">"c1766"</definedName>
    <definedName name="IQ_EST_EBITDA_GROWTH_1YR_CIQ" hidden="1">"c3695"</definedName>
    <definedName name="IQ_EST_EBITDA_GROWTH_2YR" hidden="1">"c1767"</definedName>
    <definedName name="IQ_EST_EBITDA_GROWTH_2YR_CIQ" hidden="1">"c3696"</definedName>
    <definedName name="IQ_EST_EBITDA_GROWTH_Q_1YR" hidden="1">"c1768"</definedName>
    <definedName name="IQ_EST_EBITDA_GROWTH_Q_1YR_CIQ" hidden="1">"c3697"</definedName>
    <definedName name="IQ_EST_EBITDA_SEQ_GROWTH_Q" hidden="1">"c1769"</definedName>
    <definedName name="IQ_EST_EBITDA_SEQ_GROWTH_Q_CIQ" hidden="1">"c3698"</definedName>
    <definedName name="IQ_EST_EBITDA_SURPRISE_PERCENT" hidden="1">"c1868"</definedName>
    <definedName name="IQ_EST_EBITDA_SURPRISE_PERCENT_CIQ" hidden="1">"c3720"</definedName>
    <definedName name="IQ_EST_EPS_DIFF" hidden="1">"c1864"</definedName>
    <definedName name="IQ_EST_EPS_DIFF_CIQ" hidden="1">"c4999"</definedName>
    <definedName name="IQ_EST_EPS_GROWTH_1YR" hidden="1">"c1636"</definedName>
    <definedName name="IQ_EST_EPS_GROWTH_1YR_CIQ" hidden="1">"c3628"</definedName>
    <definedName name="IQ_EST_EPS_GROWTH_1YR_Company2232" hidden="1">"c3646"</definedName>
    <definedName name="IQ_EST_EPS_GROWTH_2YR" hidden="1">"c1637"</definedName>
    <definedName name="IQ_EST_EPS_GROWTH_2YR_CIQ" hidden="1">"c3689"</definedName>
    <definedName name="IQ_EST_EPS_GROWTH_5YR" hidden="1">"c1655"</definedName>
    <definedName name="IQ_EST_EPS_GROWTH_5YR_BOTTOM_UP_CIQ" hidden="1">"c12024"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LOW" hidden="1">"c1658"</definedName>
    <definedName name="IQ_EST_EPS_GROWTH_5YR_LOW_CIQ" hidden="1">"c4664"</definedName>
    <definedName name="IQ_EST_EPS_GROWTH_5YR_MEDIAN" hidden="1">"c1656"</definedName>
    <definedName name="IQ_EST_EPS_GROWTH_5YR_MEDIAN_CIQ" hidden="1">"c5480"</definedName>
    <definedName name="IQ_EST_EPS_GROWTH_5YR_NUM" hidden="1">"c1659"</definedName>
    <definedName name="IQ_EST_EPS_GROWTH_5YR_NUM_CIQ" hidden="1">"c4665"</definedName>
    <definedName name="IQ_EST_EPS_GROWTH_5YR_Company2232" hidden="1">"c3633"</definedName>
    <definedName name="IQ_EST_EPS_GROWTH_5YR_STDDEV" hidden="1">"c1660"</definedName>
    <definedName name="IQ_EST_EPS_GROWTH_5YR_STDDEV_CIQ" hidden="1">"c4666"</definedName>
    <definedName name="IQ_EST_EPS_GROWTH_Q_1YR" hidden="1">"c1641"</definedName>
    <definedName name="IQ_EST_EPS_GROWTH_Q_1YR_CIQ" hidden="1">"c4744"</definedName>
    <definedName name="IQ_EST_EPS_GROWTH_Q_1YR_Company2232" hidden="1">"c5410"</definedName>
    <definedName name="IQ_EST_EPS_GW_DIFF" hidden="1">"c1891"</definedName>
    <definedName name="IQ_EST_EPS_GW_DIFF_CIQ" hidden="1">"c4761"</definedName>
    <definedName name="IQ_EST_EPS_GW_DIFF_Company2232" hidden="1">"c5429"</definedName>
    <definedName name="IQ_EST_EPS_GW_SURPRISE_PERCENT" hidden="1">"c1892"</definedName>
    <definedName name="IQ_EST_EPS_GW_SURPRISE_PERCENT_CIQ" hidden="1">"c4762"</definedName>
    <definedName name="IQ_EST_EPS_GW_SURPRISE_PERCENT_Company2232" hidden="1">"c5430"</definedName>
    <definedName name="IQ_EST_EPS_NORM_DIFF" hidden="1">"c2247"</definedName>
    <definedName name="IQ_EST_EPS_NORM_DIFF_CIQ" hidden="1">"c4745"</definedName>
    <definedName name="IQ_EST_EPS_NORM_DIFF_Company2232" hidden="1">"c5411"</definedName>
    <definedName name="IQ_EST_EPS_NORM_SURPRISE_PERCENT" hidden="1">"c2248"</definedName>
    <definedName name="IQ_EST_EPS_NORM_SURPRISE_PERCENT_CIQ" hidden="1">"c4746"</definedName>
    <definedName name="IQ_EST_EPS_NORM_SURPRISE_PERCENT_Company2232" hidden="1">"c5412"</definedName>
    <definedName name="IQ_EST_EPS_REPORT_DIFF" hidden="1">"c1893"</definedName>
    <definedName name="IQ_EST_EPS_REPORT_DIFF_CIQ" hidden="1">"c4763"</definedName>
    <definedName name="IQ_EST_EPS_REPORT_DIFF_Company2232" hidden="1">"c5431"</definedName>
    <definedName name="IQ_EST_EPS_REPORT_SURPRISE_PERCENT" hidden="1">"c1894"</definedName>
    <definedName name="IQ_EST_EPS_REPORT_SURPRISE_PERCENT_CIQ" hidden="1">"c4764"</definedName>
    <definedName name="IQ_EST_EPS_REPORT_SURPRISE_PERCENT_Company2232" hidden="1">"c5432"</definedName>
    <definedName name="IQ_EST_EPS_SEQ_GROWTH_Q" hidden="1">"c1764"</definedName>
    <definedName name="IQ_EST_EPS_SEQ_GROWTH_Q_CIQ" hidden="1">"c3690"</definedName>
    <definedName name="IQ_EST_EPS_SURPRISE" hidden="1">"c1635"</definedName>
    <definedName name="IQ_EST_EPS_SURPRISE_PERCENT" hidden="1">"c1635"</definedName>
    <definedName name="IQ_EST_EPS_SURPRISE_PERCENT_CIQ" hidden="1">"c5000"</definedName>
    <definedName name="IQ_EST_FAIR_VALUE_MORT_SERVICING_ASSETS_FFIEC" hidden="1">"c12956"</definedName>
    <definedName name="IQ_EST_FFO_DIFF" hidden="1">"c1869"</definedName>
    <definedName name="IQ_EST_FFO_DIFF_Company2646" hidden="1">"c5186"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FFO_SURPRISE_PERCENT_Company2646" hidden="1">"c5187"</definedName>
    <definedName name="IQ_EST_FOOTNOTE" hidden="1">"c4540"</definedName>
    <definedName name="IQ_EST_FOOTNOTE_CIQ" hidden="1">"c12022"</definedName>
    <definedName name="IQ_EST_NAV_DIFF" hidden="1">"c1895"</definedName>
    <definedName name="IQ_EST_NAV_SURPRISE_PERCENT" hidden="1">"c1896"</definedName>
    <definedName name="IQ_EST_NEXT_EARNINGS_DATE" hidden="1">"c13591"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IGH_REC" hidden="1">"c5649"</definedName>
    <definedName name="IQ_EST_NUM_HIGH_REC_CIQ" hidden="1">"c3701"</definedName>
    <definedName name="IQ_EST_NUM_HIGHEST_REC" hidden="1">"c5648"</definedName>
    <definedName name="IQ_EST_NUM_HIGHEST_REC_CIQ" hidden="1">"c3700"</definedName>
    <definedName name="IQ_EST_NUM_HOLD" hidden="1">"c1761"</definedName>
    <definedName name="IQ_EST_NUM_LOW_REC" hidden="1">"c5651"</definedName>
    <definedName name="IQ_EST_NUM_LOW_REC_CIQ" hidden="1">"c3703"</definedName>
    <definedName name="IQ_EST_NUM_LOWEST_REC" hidden="1">"c5652"</definedName>
    <definedName name="IQ_EST_NUM_LOWEST_REC_CIQ" hidden="1">"c3704"</definedName>
    <definedName name="IQ_EST_NUM_NEUTRAL_REC" hidden="1">"c5650"</definedName>
    <definedName name="IQ_EST_NUM_NEUTRAL_REC_CIQ" hidden="1">"c3702"</definedName>
    <definedName name="IQ_EST_NUM_NO_OPINION" hidden="1">"c1758"</definedName>
    <definedName name="IQ_EST_NUM_NO_OPINION_CIQ" hidden="1">"c3699"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DIFF_CIQ" hidden="1">"c3717"</definedName>
    <definedName name="IQ_EST_REV_GROWTH_1YR" hidden="1">"c1638"</definedName>
    <definedName name="IQ_EST_REV_GROWTH_1YR_CIQ" hidden="1">"c3691"</definedName>
    <definedName name="IQ_EST_REV_GROWTH_2YR" hidden="1">"c1639"</definedName>
    <definedName name="IQ_EST_REV_GROWTH_2YR_CIQ" hidden="1">"c3692"</definedName>
    <definedName name="IQ_EST_REV_GROWTH_Q_1YR" hidden="1">"c1640"</definedName>
    <definedName name="IQ_EST_REV_GROWTH_Q_1YR_CIQ" hidden="1">"c3693"</definedName>
    <definedName name="IQ_EST_REV_SEQ_GROWTH_Q" hidden="1">"c1765"</definedName>
    <definedName name="IQ_EST_REV_SEQ_GROWTH_Q_CIQ" hidden="1">"c3694"</definedName>
    <definedName name="IQ_EST_REV_SURPRISE_PERCENT" hidden="1">"c1866"</definedName>
    <definedName name="IQ_EST_REV_SURPRISE_PERCENT_CIQ" hidden="1">"c3718"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VENT_DATE" hidden="1">"c13819"</definedName>
    <definedName name="IQ_EVENT_ID" hidden="1">"c13818"</definedName>
    <definedName name="IQ_EVENT_TIME" hidden="1">"c13820"</definedName>
    <definedName name="IQ_EVENT_TYPE" hidden="1">"c13821"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S_AP" hidden="1">"c8875"</definedName>
    <definedName name="IQ_EXPENSES_AP_ABS" hidden="1">"c8894"</definedName>
    <definedName name="IQ_EXPENSES_FIXED_ASSETS_FFIEC" hidden="1">"c13024"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PERSON0813" hidden="1">"c9308"</definedName>
    <definedName name="IQ_EXPLORATION_EXPENDITURE_PLAT" hidden="1">"c9146"</definedName>
    <definedName name="IQ_EXPLORATION_EXPENDITURE_SILVER" hidden="1">"c9093"</definedName>
    <definedName name="IQ_EXPLORATION_EXPENDITURE_PRODUCT0419" hidden="1">"c9573"</definedName>
    <definedName name="IQ_EXPLORATION_EXPENDITURE_URAN" hidden="1">"c9626"</definedName>
    <definedName name="IQ_EXPLORATION_EXPENDITURE_Company3050" hidden="1">"c9361"</definedName>
    <definedName name="IQ_EXPLORE_DRILL" hidden="1">"c409"</definedName>
    <definedName name="IQ_EXPLORE_DRILL_EXP_TOTAL" hidden="1">"c13850"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FC_UNUSED_UNUSED_UNUSED" hidden="1">"c8401"</definedName>
    <definedName name="IQ_EXPORTS_APR_UNUSED" hidden="1">"c7521"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FC_UNUSED_UNUSED_UNUSED" hidden="1">"c8512"</definedName>
    <definedName name="IQ_EXPORTS_GOODS_REAL_SAAR_APR_UNUSED" hidden="1">"c7632"</definedName>
    <definedName name="IQ_EXPORTS_GOODS_REAL_SAAR_APR_UNUSED_UNUSED_UNUSED" hidden="1">"c7632"</definedName>
    <definedName name="IQ_EXPORTS_GOODS_REAL_SAAR_FC_UNUSED" hidden="1">"c7852"</definedName>
    <definedName name="IQ_EXPORTS_GOODS_REAL_SAAR_FC_UNUSED_UNUSED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FC_UNUSED_UNUSED_UNUSED" hidden="1">"c8072"</definedName>
    <definedName name="IQ_EXPORTS_GOODS_REAL_SAAR_POP_UNUSED" hidden="1">"c7192"</definedName>
    <definedName name="IQ_EXPORTS_GOODS_REAL_SAAR_POP_UNUSED_UNUSED_UNUSED" hidden="1">"c7192"</definedName>
    <definedName name="IQ_EXPORTS_GOODS_REAL_SAAR_UNUSED" hidden="1">"c6972"</definedName>
    <definedName name="IQ_EXPORTS_GOODS_REAL_SAAR_UNUSED_UNUSED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FC_UNUSED_UNUSED_UNUSED" hidden="1">"c8292"</definedName>
    <definedName name="IQ_EXPORTS_GOODS_REAL_SAAR_YOY_UNUSED" hidden="1">"c7412"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FC_UNUSED_UNUSED_UNUSED" hidden="1">"c7961"</definedName>
    <definedName name="IQ_EXPORTS_POP_UNUSED" hidden="1">"c7081"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FC_UNUSED_UNUSED_UNUSED" hidden="1">"c8516"</definedName>
    <definedName name="IQ_EXPORTS_SERVICES_REAL_SAAR_APR_UNUSED" hidden="1">"c7636"</definedName>
    <definedName name="IQ_EXPORTS_SERVICES_REAL_SAAR_APR_UNUSED_UNUSED_UNUSED" hidden="1">"c7636"</definedName>
    <definedName name="IQ_EXPORTS_SERVICES_REAL_SAAR_FC_UNUSED" hidden="1">"c7856"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FC_UNUSED_UNUSED_UNUSED" hidden="1">"c8076"</definedName>
    <definedName name="IQ_EXPORTS_SERVICES_REAL_SAAR_POP_UNUSED" hidden="1">"c7196"</definedName>
    <definedName name="IQ_EXPORTS_SERVICES_REAL_SAAR_POP_UNUSED_UNUSED_UNUSED" hidden="1">"c7196"</definedName>
    <definedName name="IQ_EXPORTS_SERVICES_REAL_SAAR_UNUSED" hidden="1">"c6976"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FC_UNUSED_UNUSED_UNUSED" hidden="1">"c8296"</definedName>
    <definedName name="IQ_EXPORTS_SERVICES_REAL_SAAR_YOY_UNUSED" hidden="1">"c7416"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FC_UNUSED_UNUSED_UNUSED" hidden="1">"c8181"</definedName>
    <definedName name="IQ_EXPORTS_YOY_UNUSED" hidden="1">"c7301"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AVG_ASSETS_FFIEC" hidden="1">"c13369"</definedName>
    <definedName name="IQ_EXTRA_ITEMS" hidden="1">"c1459"</definedName>
    <definedName name="IQ_EXTRAORDINARY_GAINS_FDIC" hidden="1">"c6586"</definedName>
    <definedName name="IQ_EXTRAORDINARY_ITEMS_FFIEC" hidden="1">"c13033"</definedName>
    <definedName name="IQ_FAD" hidden="1">"c8757"</definedName>
    <definedName name="IQ_FAD_PAYOUT_RATIO" hidden="1">"c8872"</definedName>
    <definedName name="IQ_FAIR_VALUE_CHANGE_INCL_EARNINGS" hidden="1">"c13849"</definedName>
    <definedName name="IQ_FAIR_VALUE_FDIC" hidden="1">"c6427"</definedName>
    <definedName name="IQ_FARM_LOANS_NET_FDIC" hidden="1">"c6316"</definedName>
    <definedName name="IQ_FARM_LOANS_TOT_LOANS_FFIEC" hidden="1">"c13870"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DIC_DEPOSIT_INSURANCE_FFIEC" hidden="1">"c13053"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DOM_FFIEC" hidden="1">"c12856"</definedName>
    <definedName name="IQ_FED_FUNDS_PURCHASED_FDIC" hidden="1">"c6343"</definedName>
    <definedName name="IQ_FED_FUNDS_PURCHASED_QUARTERLY_AVG_FFIEC" hidden="1">"c13090"</definedName>
    <definedName name="IQ_FED_FUNDS_SOLD_DOM_FFIEC" hidden="1">"c12806"</definedName>
    <definedName name="IQ_FED_FUNDS_SOLD_FDIC" hidden="1">"c6307"</definedName>
    <definedName name="IQ_FED_FUNDS_SOLD_QUARTERLY_AVG_FFIEC" hidden="1">"c13080"</definedName>
    <definedName name="IQ_FEDFUNDS_SOLD" hidden="1">"c2256"</definedName>
    <definedName name="IQ_FEES_COMMISSIONS_BROKERAGE_FFIEC" hidden="1">"c13005"</definedName>
    <definedName name="IQ_FFO" hidden="1">"c1574"</definedName>
    <definedName name="IQ_FFO_ACT_OR_EST" hidden="1">"c2216"</definedName>
    <definedName name="IQ_FFO_ADJ_ACT_OR_EST" hidden="1">"c4435"</definedName>
    <definedName name="IQ_FFO_ADJ_ACT_OR_EST_CIQ" hidden="1">"c4960"</definedName>
    <definedName name="IQ_FFO_ADJ_EST_CIQ" hidden="1">"c4959"</definedName>
    <definedName name="IQ_FFO_ADJ_HIGH_EST_CIQ" hidden="1">"c4962"</definedName>
    <definedName name="IQ_FFO_ADJ_LOW_EST_CIQ" hidden="1">"c4963"</definedName>
    <definedName name="IQ_FFO_ADJ_MEDIAN_EST_CIQ" hidden="1">"c4964"</definedName>
    <definedName name="IQ_FFO_ADJ_NUM_EST_CIQ" hidden="1">"c4965"</definedName>
    <definedName name="IQ_FFO_ADJ_STDDEV_EST_CIQ" hidden="1">"c4966"</definedName>
    <definedName name="IQ_FFO_EST" hidden="1">"c418"</definedName>
    <definedName name="IQ_FFO_EST_CIQ" hidden="1">"c4970"</definedName>
    <definedName name="IQ_FFO_EST_Company2646" hidden="1">"c3999"</definedName>
    <definedName name="IQ_FFO_HIGH_EST" hidden="1">"c419"</definedName>
    <definedName name="IQ_FFO_HIGH_EST_CIQ" hidden="1">"c4977"</definedName>
    <definedName name="IQ_FFO_HIGH_EST_Company2646" hidden="1">"c4001"</definedName>
    <definedName name="IQ_FFO_LOW_EST" hidden="1">"c420"</definedName>
    <definedName name="IQ_FFO_LOW_EST_CIQ" hidden="1">"c4978"</definedName>
    <definedName name="IQ_FFO_LOW_EST_Company2646" hidden="1">"c4002"</definedName>
    <definedName name="IQ_FFO_MEDIAN_EST" hidden="1">"c1665"</definedName>
    <definedName name="IQ_FFO_MEDIAN_EST_CIQ" hidden="1">"c4979"</definedName>
    <definedName name="IQ_FFO_MEDIAN_EST_Company2646" hidden="1">"c4000"</definedName>
    <definedName name="IQ_FFO_NUM_EST" hidden="1">"c421"</definedName>
    <definedName name="IQ_FFO_NUM_EST_CIQ" hidden="1">"c4980"</definedName>
    <definedName name="IQ_FFO_NUM_EST_Company2646" hidden="1">"c4003"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"c4446"</definedName>
    <definedName name="IQ_FFO_SHARE_ACT_OR_EST_CIQ" hidden="1">"c4971"</definedName>
    <definedName name="IQ_FFO_STDDEV_EST" hidden="1">"c422"</definedName>
    <definedName name="IQ_FFO_STDDEV_EST_CIQ" hidden="1">"c4981"</definedName>
    <definedName name="IQ_FFO_STDDEV_EST_Company2646" hidden="1">"c4004"</definedName>
    <definedName name="IQ_FH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DUCIARY_INCOME_OPERATING_INC_FFIEC" hidden="1">"c13383"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DEBT_CURRENT" hidden="1">"c429"</definedName>
    <definedName name="IQ_FIN_DIV_DEBT_LT" hidden="1">"c430"</definedName>
    <definedName name="IQ_FIN_DIV_DEBT_TOTAL" hidden="1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AL_LOC_FOREIGN_GUARANTEES_FFIEC" hidden="1">"c13249"</definedName>
    <definedName name="IQ_FINANCIAL_SERVICING_ASSETS_FAIR_VALUE_TOT_FFIEC" hidden="1">"c13212"</definedName>
    <definedName name="IQ_FINANCIAL_SERVICING_ASSETS_LEVEL_1_FFIEC" hidden="1">"c13220"</definedName>
    <definedName name="IQ_FINANCIAL_SERVICING_ASSETS_LEVEL_2_FFIEC" hidden="1">"c13228"</definedName>
    <definedName name="IQ_FINANCIAL_SERVICING_ASSETS_LEVEL_3_FFIEC" hidden="1">"c13236"</definedName>
    <definedName name="IQ_FINANCIAL_SERVICING_LIAB_FAIR_VALUE_TOT_FFIEC" hidden="1">"c13215"</definedName>
    <definedName name="IQ_FINANCIAL_SERVICING_LIAB_LEVEL_1_FFIEC" hidden="1">"c13223"</definedName>
    <definedName name="IQ_FINANCIAL_SERVICING_LIAB_LEVEL_2_FFIEC" hidden="1">"c13231"</definedName>
    <definedName name="IQ_FINANCIAL_SERVICING_LIAB_LEVEL_3_FFIEC" hidden="1">"c13239"</definedName>
    <definedName name="IQ_FINANCING_CASH" hidden="1">"c1405"</definedName>
    <definedName name="IQ_FINANCING_CASH_SUPPL" hidden="1">"c1406"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Q_EST_Company2232" hidden="1">"c6798"</definedName>
    <definedName name="IQ_FISCAL_Y" hidden="1">"c441"</definedName>
    <definedName name="IQ_FISCAL_Y_EST" hidden="1">"c6795"</definedName>
    <definedName name="IQ_FISCAL_Y_EST_CIQ" hidden="1">"c6807"</definedName>
    <definedName name="IQ_FISCAL_Y_EST_Company2232" hidden="1">"c6799"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COME_LIST" hidden="1">"c13504"</definedName>
    <definedName name="IQ_FIXED_INVEST_APR_FC_UNUSED" hidden="1">"c8410"</definedName>
    <definedName name="IQ_FIXED_INVEST_APR_FC_UNUSED_UNUSED_UNUSED" hidden="1">"c8410"</definedName>
    <definedName name="IQ_FIXED_INVEST_APR_UNUSED" hidden="1">"c7530"</definedName>
    <definedName name="IQ_FIXED_INVEST_APR_UNUSED_UNUSED_UNUSED" hidden="1">"c7530"</definedName>
    <definedName name="IQ_FIXED_INVEST_FC_UNUSED" hidden="1">"c7750"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FC_UNUSED_UNUSED_UNUSED" hidden="1">"c7970"</definedName>
    <definedName name="IQ_FIXED_INVEST_POP_UNUSED" hidden="1">"c7090"</definedName>
    <definedName name="IQ_FIXED_INVEST_POP_UNUSED_UNUSED_UNUSED" hidden="1">"c7090"</definedName>
    <definedName name="IQ_FIXED_INVEST_REAL_APR_FC_UNUSED" hidden="1">"c8518"</definedName>
    <definedName name="IQ_FIXED_INVEST_REAL_APR_FC_UNUSED_UNUSED_UNUSED" hidden="1">"c8518"</definedName>
    <definedName name="IQ_FIXED_INVEST_REAL_APR_UNUSED" hidden="1">"c7638"</definedName>
    <definedName name="IQ_FIXED_INVEST_REAL_APR_UNUSED_UNUSED_UNUSED" hidden="1">"c7638"</definedName>
    <definedName name="IQ_FIXED_INVEST_REAL_FC_UNUSED" hidden="1">"c7858"</definedName>
    <definedName name="IQ_FIXED_INVEST_REAL_FC_UNUSED_UNUSED_UNUSED" hidden="1">"c7858"</definedName>
    <definedName name="IQ_FIXED_INVEST_REAL_POP_FC_UNUSED" hidden="1">"c8078"</definedName>
    <definedName name="IQ_FIXED_INVEST_REAL_POP_FC_UNUSED_UNUSED_UNUSED" hidden="1">"c8078"</definedName>
    <definedName name="IQ_FIXED_INVEST_REAL_POP_UNUSED" hidden="1">"c7198"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FC_UNUSED_UNUSED_UNUSED" hidden="1">"c8298"</definedName>
    <definedName name="IQ_FIXED_INVEST_REAL_YOY_UNUSED" hidden="1">"c7418"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FC_UNUSED_UNUSED_UNUSED" hidden="1">"c8190"</definedName>
    <definedName name="IQ_FIXED_INVEST_YOY_UNUSED" hidden="1">"c7310"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DUE_30_89_FFIEC" hidden="1">"c13269"</definedName>
    <definedName name="IQ_FOREIGN_BANKS_DUE_90_FFIEC" hidden="1">"c13295"</definedName>
    <definedName name="IQ_FOREIGN_BANKS_LOAN_CHARG_OFFS_FDIC" hidden="1">"c6645"</definedName>
    <definedName name="IQ_FOREIGN_BANKS_NET_CHARGE_OFFS_FDIC" hidden="1">"c6647"</definedName>
    <definedName name="IQ_FOREIGN_BANKS_NON_ACCRUAL_FFIEC" hidden="1">"c13321"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ASSETS_TOT_FFIEC" hidden="1">"c13445"</definedName>
    <definedName name="IQ_FOREIGN_DEPOSITS_NONTRANSACTION_ACCOUNTS_FDIC" hidden="1">"c6549"</definedName>
    <definedName name="IQ_FOREIGN_DEPOSITS_TOT_FFIEC" hidden="1">"c13486"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L_REC_FFIEC" hidden="1">"c12892"</definedName>
    <definedName name="IQ_FOREIGN_LOANS" hidden="1">"c448"</definedName>
    <definedName name="IQ_FOREIGN_LOANS_LEASES_FOREIGN_FFIEC" hidden="1">"c13478"</definedName>
    <definedName name="IQ_FOUNDATION_OVER_TOTAL" hidden="1">"c13769"</definedName>
    <definedName name="IQ_FQ">500</definedName>
    <definedName name="IQ_FUEL" hidden="1">"c449"</definedName>
    <definedName name="IQ_FULL_TIME" hidden="1">"c450"</definedName>
    <definedName name="IQ_FULLY_INSURED_DEPOSITS_FDIC" hidden="1">"c6487"</definedName>
    <definedName name="IQ_FUND_FEE_INC_NON_INT_INC_FFIEC" hidden="1">"c13493"</definedName>
    <definedName name="IQ_FUNDING_DEPENDENCE_FFIEC" hidden="1">"c13336"</definedName>
    <definedName name="IQ_FUNDING_DEPENDENCE_ST_FFIEC" hidden="1">"c13337"</definedName>
    <definedName name="IQ_FUNDS_PURCHASED_ASSETS_TOT_FFIEC" hidden="1">"c13446"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FFIEC" hidden="1">"c13125"</definedName>
    <definedName name="IQ_FX_CONTRACTS_SPOT_FDIC" hidden="1">"c6356"</definedName>
    <definedName name="IQ_FX_EXPOSURE_FFIEC" hidden="1">"c13059"</definedName>
    <definedName name="IQ_FY">1000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CREDIT_DERIVATIVES_FFIEC" hidden="1">"c13066"</definedName>
    <definedName name="IQ_GAIN_CREDIT_DERIVATIVES_NON_TRADING_FFIEC" hidden="1">"c13067"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AFS_AVG_ASSETS_FFIEC" hidden="1">"c13364"</definedName>
    <definedName name="IQ_GAINS_ASSETS_TOT_FFIEC" hidden="1">"c13073"</definedName>
    <definedName name="IQ_GAINS_AVAIL_SALE_EQUITY_SEC_T2_FFIEC" hidden="1">"c13147"</definedName>
    <definedName name="IQ_GAINS_AVAIL_SALE_SEC_T1_FFIEC" hidden="1">"c13131"</definedName>
    <definedName name="IQ_GAINS_CASH_FLOW_HEDGES_T1_FFIEC" hidden="1">"c13133"</definedName>
    <definedName name="IQ_GAINS_HTM_AVG_ASSETS_FFIEC" hidden="1">"c13363"</definedName>
    <definedName name="IQ_GAINS_INSTRUMENT_SPECIFIC_CREDIT_RISK_LIAB_FFIEC" hidden="1">"c13076"</definedName>
    <definedName name="IQ_GAINS_INSTRUMENT_SPECIFIC_RISK_FFIEC" hidden="1">"c13074"</definedName>
    <definedName name="IQ_GAINS_INSURANCE_ACTIVITIES_FFIEC" hidden="1">"c13072"</definedName>
    <definedName name="IQ_GAINS_LIABILITIES_FFIEC" hidden="1">"c13075"</definedName>
    <definedName name="IQ_GAINS_SALE_ASSETS_FDIC" hidden="1">"c6675"</definedName>
    <definedName name="IQ_GAINS_SALE_LOANS_LEASES_FFIEC" hidden="1">"c13013"</definedName>
    <definedName name="IQ_GAINS_SALE_OTHER_ASSETS_FFIEC" hidden="1">"c13015"</definedName>
    <definedName name="IQ_GAINS_SALE_OTHER_RE_OWNED_FFIEC" hidden="1">"c13014"</definedName>
    <definedName name="IQ_GAINS_SECURITIZATION_OPERATING_INC_FFIEC" hidden="1">"c13391"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FFIEC" hidden="1">"c12836"</definedName>
    <definedName name="IQ_GOODWILL_IMPAIRMENT_FDIC" hidden="1">"c6678"</definedName>
    <definedName name="IQ_GOODWILL_IMPAIRMENT_FFIEC" hidden="1">"c13025"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LOSSES_AVG_LOANS_FFIEC" hidden="1">"c13475"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DGEFUND_OVER_TOTAL" hidden="1">"c13771"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LOW_CLOSEPRICE_DATE" hidden="1">"c1204"</definedName>
    <definedName name="IQ_HIGH_TARGET_PRICE" hidden="1">"c1651"</definedName>
    <definedName name="IQ_HIGH_TARGET_PRICE_CIQ" hidden="1">"c4659"</definedName>
    <definedName name="IQ_HIGH_TARGET_PRICE_Company2232" hidden="1">"c5317"</definedName>
    <definedName name="IQ_HIGHPRICE" hidden="1">"c545"</definedName>
    <definedName name="IQ_HOLDER_CIQID" hidden="1">"c13787"</definedName>
    <definedName name="IQ_HOLDER_CIQID_SECURITY" hidden="1">"c13794"</definedName>
    <definedName name="IQ_HOLDER_DERIVATIVES" hidden="1">"c13789"</definedName>
    <definedName name="IQ_HOLDER_DERIVATIVES_SECURITY" hidden="1">"c13796"</definedName>
    <definedName name="IQ_HOLDER_NAME" hidden="1">"c13786"</definedName>
    <definedName name="IQ_HOLDER_NAME_SECURITY" hidden="1">"c13793"</definedName>
    <definedName name="IQ_HOLDER_PERCENT" hidden="1">"c13790"</definedName>
    <definedName name="IQ_HOLDER_PERCENT_SECURITY" hidden="1">"c13831"</definedName>
    <definedName name="IQ_HOLDER_POSITION_DATE" hidden="1">"c13792"</definedName>
    <definedName name="IQ_HOLDER_POSITION_DATE_SECURITY" hidden="1">"c13798"</definedName>
    <definedName name="IQ_HOLDER_SHARES" hidden="1">"c13788"</definedName>
    <definedName name="IQ_HOLDER_SHARES_SECURITY" hidden="1">"c13795"</definedName>
    <definedName name="IQ_HOLDER_VALUE" hidden="1">"c13791"</definedName>
    <definedName name="IQ_HOLDER_VALUE_SECURITY" hidden="1">"c13797"</definedName>
    <definedName name="IQ_HOLDING_CIQID" hidden="1">"c13802"</definedName>
    <definedName name="IQ_HOLDING_NAME" hidden="1">"c13799"</definedName>
    <definedName name="IQ_HOLDING_PERCENT" hidden="1">"c13805"</definedName>
    <definedName name="IQ_HOLDING_PERCENT_PORTFOLIO" hidden="1">"c13806"</definedName>
    <definedName name="IQ_HOLDING_POSITION_DATE" hidden="1">"c13808"</definedName>
    <definedName name="IQ_HOLDING_SECURITY_TYPE" hidden="1">"c13803"</definedName>
    <definedName name="IQ_HOLDING_SHARES" hidden="1">"c13804"</definedName>
    <definedName name="IQ_HOLDING_TICKER" hidden="1">"c13800"</definedName>
    <definedName name="IQ_HOLDING_TRADING_ITEM_CIQID" hidden="1">"c13801"</definedName>
    <definedName name="IQ_HOLDING_VALUE" hidden="1">"c13807"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ANS_TOT_LOANS_FFIEC" hidden="1">"c13867"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FC_UNUSED_UNUSED_UNUSED" hidden="1">"c8422"</definedName>
    <definedName name="IQ_HOUSING_COMPLETIONS_SINGLE_FAM_APR_UNUSED" hidden="1">"c7542"</definedName>
    <definedName name="IQ_HOUSING_COMPLETIONS_SINGLE_FAM_APR_UNUSED_UNUSED_UNUSED" hidden="1">"c7542"</definedName>
    <definedName name="IQ_HOUSING_COMPLETIONS_SINGLE_FAM_FC_UNUSED" hidden="1">"c7762"</definedName>
    <definedName name="IQ_HOUSING_COMPLETIONS_SINGLE_FAM_FC_UNUSED_UNUSED_UNUSED" hidden="1">"c7762"</definedName>
    <definedName name="IQ_HOUSING_COMPLETIONS_SINGLE_FAM_POP_FC_UNUSED" hidden="1">"c7982"</definedName>
    <definedName name="IQ_HOUSING_COMPLETIONS_SINGLE_FAM_POP_FC_UNUSED_UNUSED_UNUSED" hidden="1">"c7982"</definedName>
    <definedName name="IQ_HOUSING_COMPLETIONS_SINGLE_FAM_POP_UNUSED" hidden="1">"c7102"</definedName>
    <definedName name="IQ_HOUSING_COMPLETIONS_SINGLE_FAM_POP_UNUSED_UNUSED_UNUSED" hidden="1">"c7102"</definedName>
    <definedName name="IQ_HOUSING_COMPLETIONS_SINGLE_FAM_UNUSED" hidden="1">"c6882"</definedName>
    <definedName name="IQ_HOUSING_COMPLETIONS_SINGLE_FAM_UNUSED_UNUSED_UNUSED" hidden="1">"c6882"</definedName>
    <definedName name="IQ_HOUSING_COMPLETIONS_SINGLE_FAM_YOY_FC_UNUSED" hidden="1">"c8202"</definedName>
    <definedName name="IQ_HOUSING_COMPLETIONS_SINGLE_FAM_YOY_FC_UNUSED_UNUSED_UNUSED" hidden="1">"c8202"</definedName>
    <definedName name="IQ_HOUSING_COMPLETIONS_SINGLE_FAM_YOY_UNUSED" hidden="1">"c7322"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HTM_INVEST_SECURITIES_FFIEC" hidden="1">"c13455"</definedName>
    <definedName name="IQ_HTM_SECURITIES_TIER_1_FFIEC" hidden="1">"c13342"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AIRMENT_GW_SUPPLE" hidden="1">"c13811"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FC_UNUSED_UNUSED_UNUSED" hidden="1">"c8523"</definedName>
    <definedName name="IQ_IMPORTS_GOODS_REAL_SAAR_APR_UNUSED" hidden="1">"c7643"</definedName>
    <definedName name="IQ_IMPORTS_GOODS_REAL_SAAR_APR_UNUSED_UNUSED_UNUSED" hidden="1">"c7643"</definedName>
    <definedName name="IQ_IMPORTS_GOODS_REAL_SAAR_FC_UNUSED" hidden="1">"c7863"</definedName>
    <definedName name="IQ_IMPORTS_GOODS_REAL_SAAR_FC_UNUSED_UNUSED_UNUSED" hidden="1">"c7863"</definedName>
    <definedName name="IQ_IMPORTS_GOODS_REAL_SAAR_POP_FC_UNUSED" hidden="1">"c8083"</definedName>
    <definedName name="IQ_IMPORTS_GOODS_REAL_SAAR_POP_FC_UNUSED_UNUSED_UNUSED" hidden="1">"c8083"</definedName>
    <definedName name="IQ_IMPORTS_GOODS_REAL_SAAR_POP_UNUSED" hidden="1">"c7203"</definedName>
    <definedName name="IQ_IMPORTS_GOODS_REAL_SAAR_POP_UNUSED_UNUSED_UNUSED" hidden="1">"c7203"</definedName>
    <definedName name="IQ_IMPORTS_GOODS_REAL_SAAR_UNUSED" hidden="1">"c6983"</definedName>
    <definedName name="IQ_IMPORTS_GOODS_REAL_SAAR_UNUSED_UNUSED_UNUSED" hidden="1">"c6983"</definedName>
    <definedName name="IQ_IMPORTS_GOODS_REAL_SAAR_YOY_FC_UNUSED" hidden="1">"c8303"</definedName>
    <definedName name="IQ_IMPORTS_GOODS_REAL_SAAR_YOY_FC_UNUSED_UNUSED_UNUSED" hidden="1">"c8303"</definedName>
    <definedName name="IQ_IMPORTS_GOODS_REAL_SAAR_YOY_UNUSED" hidden="1">"c7423"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FC_UNUSED_UNUSED_UNUSED" hidden="1">"c8429"</definedName>
    <definedName name="IQ_IMPORTS_GOODS_SERVICES_APR_UNUSED" hidden="1">"c7549"</definedName>
    <definedName name="IQ_IMPORTS_GOODS_SERVICES_APR_UNUSED_UNUSED_UNUSED" hidden="1">"c7549"</definedName>
    <definedName name="IQ_IMPORTS_GOODS_SERVICES_FC_UNUSED" hidden="1">"c7769"</definedName>
    <definedName name="IQ_IMPORTS_GOODS_SERVICES_FC_UNUSED_UNUSED_UNUSED" hidden="1">"c7769"</definedName>
    <definedName name="IQ_IMPORTS_GOODS_SERVICES_POP_FC_UNUSED" hidden="1">"c7989"</definedName>
    <definedName name="IQ_IMPORTS_GOODS_SERVICES_POP_FC_UNUSED_UNUSED_UNUSED" hidden="1">"c7989"</definedName>
    <definedName name="IQ_IMPORTS_GOODS_SERVICES_POP_UNUSED" hidden="1">"c7109"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FC_UNUSED_UNUSED_UNUSED" hidden="1">"c8524"</definedName>
    <definedName name="IQ_IMPORTS_GOODS_SERVICES_REAL_SAAR_APR_UNUSED" hidden="1">"c7644"</definedName>
    <definedName name="IQ_IMPORTS_GOODS_SERVICES_REAL_SAAR_APR_UNUSED_UNUSED_UNUSED" hidden="1">"c7644"</definedName>
    <definedName name="IQ_IMPORTS_GOODS_SERVICES_REAL_SAAR_FC_UNUSED" hidden="1">"c7864"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FC_UNUSED_UNUSED_UNUSED" hidden="1">"c8084"</definedName>
    <definedName name="IQ_IMPORTS_GOODS_SERVICES_REAL_SAAR_POP_UNUSED" hidden="1">"c7204"</definedName>
    <definedName name="IQ_IMPORTS_GOODS_SERVICES_REAL_SAAR_POP_UNUSED_UNUSED_UNUSED" hidden="1">"c7204"</definedName>
    <definedName name="IQ_IMPORTS_GOODS_SERVICES_REAL_SAAR_UNUSED" hidden="1">"c6984"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FC_UNUSED_UNUSED_UNUSED" hidden="1">"c8304"</definedName>
    <definedName name="IQ_IMPORTS_GOODS_SERVICES_REAL_SAAR_YOY_UNUSED" hidden="1">"c7424"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FC_UNUSED_UNUSED_UNUSED" hidden="1">"c8209"</definedName>
    <definedName name="IQ_IMPORTS_GOODS_SERVICES_YOY_UNUSED" hidden="1">"c7329"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DOM_LOANS_FFIEC" hidden="1">"c12975"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CHECKS_FFIEC" hidden="1">"c13040"</definedName>
    <definedName name="IQ_INCOME_EARNED_FDIC" hidden="1">"c6359"</definedName>
    <definedName name="IQ_INCOME_FIDUCIARY_ACTIVITIES_FFIEC" hidden="1">"c13002"</definedName>
    <definedName name="IQ_INCOME_LEASE_FINANCING_REC_FFIEC" hidden="1">"c12980"</definedName>
    <definedName name="IQ_INCOME_LOANS_LEASES_TAX_EXEMPT_FFIEC" hidden="1">"c13038"</definedName>
    <definedName name="IQ_INCOME_OTHER_INSURANCE_ACTIVITIES_FFIEC" hidden="1">"c13009"</definedName>
    <definedName name="IQ_INCOME_SALE_MUTUAL_FUNDS_DOM_FFIEC" hidden="1">"c13069"</definedName>
    <definedName name="IQ_INCOME_SECURITIES_TAX_EXEMPT_FFIEC" hidden="1">"c13039"</definedName>
    <definedName name="IQ_INCOME_TAXES_FDIC" hidden="1">"c6582"</definedName>
    <definedName name="IQ_INCOME_TAXES_FFIEC" hidden="1">"c13030"</definedName>
    <definedName name="IQ_INCREASE_INT_INCOME_FFIEC" hidden="1">"c13063"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PERSON0813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PRODUCT0419" hidden="1">"c9556"</definedName>
    <definedName name="IQ_INDICATED_ATTRIB_ORE_RESOURCES_URAN" hidden="1">"c9609"</definedName>
    <definedName name="IQ_INDICATED_ATTRIB_ORE_RESOURCES_Company3050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PERSON0813" hidden="1">"c9277"</definedName>
    <definedName name="IQ_INDICATED_ORE_RESOURCES_PLAT" hidden="1">"c9115"</definedName>
    <definedName name="IQ_INDICATED_ORE_RESOURCES_SILVER" hidden="1">"c9062"</definedName>
    <definedName name="IQ_INDICATED_ORE_RESOURCES_PRODUCT0419" hidden="1">"c9542"</definedName>
    <definedName name="IQ_INDICATED_ORE_RESOURCES_URAN" hidden="1">"c9595"</definedName>
    <definedName name="IQ_INDICATED_ORE_RESOURCES_Company3050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PERSON0813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PRODUCT0419" hidden="1">"c9561"</definedName>
    <definedName name="IQ_INDICATED_RECOV_ATTRIB_RESOURCES_URAN" hidden="1">"c9614"</definedName>
    <definedName name="IQ_INDICATED_RECOV_ATTRIB_RESOURCES_Company3050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PERSON0813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PRODUCT0419" hidden="1">"c9551"</definedName>
    <definedName name="IQ_INDICATED_RECOV_RESOURCES_URAN" hidden="1">"c9604"</definedName>
    <definedName name="IQ_INDICATED_RECOV_RESOURCES_Company3050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PERSON0813" hidden="1">"c9278"</definedName>
    <definedName name="IQ_INDICATED_RESOURCES_GRADE_PLAT" hidden="1">"c9116"</definedName>
    <definedName name="IQ_INDICATED_RESOURCES_GRADE_SILVER" hidden="1">"c9063"</definedName>
    <definedName name="IQ_INDICATED_RESOURCES_GRADE_PRODUCT0419" hidden="1">"c9543"</definedName>
    <definedName name="IQ_INDICATED_RESOURCES_GRADE_URAN" hidden="1">"c9596"</definedName>
    <definedName name="IQ_INDICATED_RESOURCES_GRADE_Company3050" hidden="1">"c9331"</definedName>
    <definedName name="IQ_INDIVIDUALS_CHARGE_OFFS_FDIC" hidden="1">"c6599"</definedName>
    <definedName name="IQ_INDIVIDUALS_GROSS_LOANS_FFIEC" hidden="1">"c13411"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IVIDUALS_RISK_BASED_FFIEC" hidden="1">"c13432"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PERSON0813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PRODUCT0419" hidden="1">"c9558"</definedName>
    <definedName name="IQ_INFERRED_ATTRIB_ORE_RESOURCES_URAN" hidden="1">"c9611"</definedName>
    <definedName name="IQ_INFERRED_ATTRIB_ORE_RESOURCES_Company3050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PERSON0813" hidden="1">"c9281"</definedName>
    <definedName name="IQ_INFERRED_ORE_RESOURCES_PLAT" hidden="1">"c9119"</definedName>
    <definedName name="IQ_INFERRED_ORE_RESOURCES_SILVER" hidden="1">"c9066"</definedName>
    <definedName name="IQ_INFERRED_ORE_RESOURCES_PRODUCT0419" hidden="1">"c9546"</definedName>
    <definedName name="IQ_INFERRED_ORE_RESOURCES_URAN" hidden="1">"c9599"</definedName>
    <definedName name="IQ_INFERRED_ORE_RESOURCES_Company3050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PERSON0813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PRODUCT0419" hidden="1">"c9563"</definedName>
    <definedName name="IQ_INFERRED_RECOV_ATTRIB_RESOURCES_URAN" hidden="1">"c9616"</definedName>
    <definedName name="IQ_INFERRED_RECOV_ATTRIB_RESOURCES_Company3050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PERSON0813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PRODUCT0419" hidden="1">"c9553"</definedName>
    <definedName name="IQ_INFERRED_RECOV_RESOURCES_URAN" hidden="1">"c9606"</definedName>
    <definedName name="IQ_INFERRED_RECOV_RESOURCES_Company3050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PERSON0813" hidden="1">"c9282"</definedName>
    <definedName name="IQ_INFERRED_RESOURCES_GRADE_PLAT" hidden="1">"c9120"</definedName>
    <definedName name="IQ_INFERRED_RESOURCES_GRADE_SILVER" hidden="1">"c9067"</definedName>
    <definedName name="IQ_INFERRED_RESOURCES_GRADE_PRODUCT0419" hidden="1">"c9547"</definedName>
    <definedName name="IQ_INFERRED_RESOURCES_GRADE_URAN" hidden="1">"c9600"</definedName>
    <definedName name="IQ_INFERRED_RESOURCES_GRADE_Company3050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SUPPLE" hidden="1">"c13814"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REINSURANCE_UNDERWRITING_INCOME_FFIEC" hidden="1">"c13008"</definedName>
    <definedName name="IQ_INSURANCE_REV_OPERATING_INC_FFIEC" hidden="1">"c13387"</definedName>
    <definedName name="IQ_INSURANCE_UNDERWRITING_INCOME_FDIC" hidden="1">"c6671"</definedName>
    <definedName name="IQ_INT_BEARING_DEPOSITS" hidden="1">"c1166"</definedName>
    <definedName name="IQ_INT_BEARING_FUNDS_AVG_ASSETS_FFIEC" hidden="1">"c13355"</definedName>
    <definedName name="IQ_INT_BEARING_LIABILITIES_REPRICE_ASSETS_TOT_FFIEC" hidden="1">"c13452"</definedName>
    <definedName name="IQ_INT_BORROW" hidden="1">"c583"</definedName>
    <definedName name="IQ_INT_DEMAND_NOTES_FDIC" hidden="1">"c6567"</definedName>
    <definedName name="IQ_INT_DEPOSITS" hidden="1">"c584"</definedName>
    <definedName name="IQ_INT_DEPOSITS_DOM_FFIEC" hidden="1">"c12852"</definedName>
    <definedName name="IQ_INT_DEPOSITS_DOM_QUARTERLY_AVG_FFIEC" hidden="1">"c13088"</definedName>
    <definedName name="IQ_INT_DEPOSITS_FOREIGN_FFIEC" hidden="1">"c12855"</definedName>
    <definedName name="IQ_INT_DEPOSITS_FOREIGN_QUARTERLY_AVG_FFIEC" hidden="1">"c13089"</definedName>
    <definedName name="IQ_INT_DIV_INC" hidden="1">"c585"</definedName>
    <definedName name="IQ_INT_DIV_INC_MBS_FFIEC" hidden="1">"c12984"</definedName>
    <definedName name="IQ_INT_DIV_INC_SECURITIES_FFIEC" hidden="1">"c12982"</definedName>
    <definedName name="IQ_INT_DIV_INC_SECURITIES_OTHER_FFIEC" hidden="1">"c12985"</definedName>
    <definedName name="IQ_INT_DIV_INC_TREASURY_SECURITIES_FFIEC" hidden="1">"c12983"</definedName>
    <definedName name="IQ_INT_DOMESTIC_DEPOSITS_FDIC" hidden="1">"c6564"</definedName>
    <definedName name="IQ_INT_EXP_AVG_ASSETS_FFIEC" hidden="1">"c13357"</definedName>
    <definedName name="IQ_INT_EXP_BR" hidden="1">"c586"</definedName>
    <definedName name="IQ_INT_EXP_COVERAGE" hidden="1">"c587"</definedName>
    <definedName name="IQ_INT_EXP_EARNING_ASSETS_FFIEC" hidden="1">"c13376"</definedName>
    <definedName name="IQ_INT_EXP_FED_FUNDS_PURCHASED_FFIEC" hidden="1">"c12996"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EE_INC_LOANS_1_4_DOM_FFIEC" hidden="1">"c12976"</definedName>
    <definedName name="IQ_INT_FEE_INC_LOANS_DOM_FFIEC" hidden="1">"c13335"</definedName>
    <definedName name="IQ_INT_FEE_INC_LOANS_FOREIGN_FFIEC" hidden="1">"c12979"</definedName>
    <definedName name="IQ_INT_FEE_INC_LOANS_OTHER_DOM_FFIEC" hidden="1">"c12978"</definedName>
    <definedName name="IQ_INT_FEE_INC_SECURED_RE_DOM_FFIEC" hidden="1">"c12977"</definedName>
    <definedName name="IQ_INT_FEE_INCOME_FFIEC" hidden="1">"c12974"</definedName>
    <definedName name="IQ_INT_FOREIGN_DEPOSITS_FDIC" hidden="1">"c6565"</definedName>
    <definedName name="IQ_INT_INC_AVG_ASSETS_FFIEC" hidden="1">"c13356"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DUE_DEPOSITORY_INSTITUTIONS_FFIEC" hidden="1">"c12981"</definedName>
    <definedName name="IQ_INT_INC_EARNING_ASSETS_FFIEC" hidden="1">"c13375"</definedName>
    <definedName name="IQ_INT_INC_FED_FUNDS_FDIC" hidden="1">"c6561"</definedName>
    <definedName name="IQ_INT_INC_FED_FUNDS_SOLD_FFIEC" hidden="1">"c12987"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E_AVG_ASSETS_FFIEC" hidden="1">"c13358"</definedName>
    <definedName name="IQ_INT_INC_TE_EARNING_ASSETS_FFIEC" hidden="1">"c13377"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TRADING_ASSETS_FFIEC" hidden="1">"c12986"</definedName>
    <definedName name="IQ_INT_INC_UTI" hidden="1">"c599"</definedName>
    <definedName name="IQ_INT_INCOME_FTE_AVG_ASSETS_FFIEC" hidden="1">"c13856"</definedName>
    <definedName name="IQ_INT_INCOME_FTE_AVG_EARNING_ASSETS_FFIEC" hidden="1">"c13857"</definedName>
    <definedName name="IQ_INT_INCOME_FTE_FFIEC" hidden="1">"c13852"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ON_DEPOSITS_DOM_FFIEC" hidden="1">"c12991"</definedName>
    <definedName name="IQ_INT_ON_DEPOSITS_FFIEC" hidden="1">"c12990"</definedName>
    <definedName name="IQ_INT_ON_DEPOSITS_FOREIGN_FFIEC" hidden="1">"c12995"</definedName>
    <definedName name="IQ_INT_RATE_EXPOSURE_FFIEC" hidden="1">"c13058"</definedName>
    <definedName name="IQ_INT_RATE_SPREAD" hidden="1">"c604"</definedName>
    <definedName name="IQ_INT_SUB_NOTES_FDIC" hidden="1">"c6568"</definedName>
    <definedName name="IQ_INT_SUB_NOTES_FFIEC" hidden="1">"c12998"</definedName>
    <definedName name="IQ_INT_TIME_DEPOSITS_LESS_THAN_100K_DOM_FFIEC" hidden="1">"c12993"</definedName>
    <definedName name="IQ_INT_TIME_DEPOSITS_MORE_THAN_100K_DOM_FFIEC" hidden="1">"c12992"</definedName>
    <definedName name="IQ_INT_TRADING_LIABILITIES_FFIEC" hidden="1">"c12997"</definedName>
    <definedName name="IQ_INTANGIBLES_NET" hidden="1">"c1407"</definedName>
    <definedName name="IQ_INTEREST_BEARING_BALANCES_FDIC" hidden="1">"c6371"</definedName>
    <definedName name="IQ_INTEREST_BEARING_CASH_FOREIGN_FFIEC" hidden="1">"c12776"</definedName>
    <definedName name="IQ_INTEREST_BEARING_CASH_US_FFIEC" hidden="1">"c12775"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IES_ASSETS_TOT_FFIEC" hidden="1">"c13440"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_UNCONSOLIDATED_SUBS_FFIEC" hidden="1">"c12834"</definedName>
    <definedName name="IQ_INVESTMENT_BANKING_BROKERAGE_FEES_FFIEC" hidden="1">"c13627"</definedName>
    <definedName name="IQ_INVESTMENT_BANKING_FEES_COMMISSIONS_FFIEC" hidden="1">"c13006"</definedName>
    <definedName name="IQ_INVESTMENT_BANKING_OTHER_FEES_FDIC" hidden="1">"c6666"</definedName>
    <definedName name="IQ_IPRD" hidden="1">"c644"</definedName>
    <definedName name="IQ_IPRD_SUPPLE" hidden="1">"c13813"</definedName>
    <definedName name="IQ_IRA_Person0564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FC_UNUSED_UNUSED_UNUSED" hidden="1">"c8443"</definedName>
    <definedName name="IQ_ISM_SERVICES_APR_UNUSED" hidden="1">"c7563"</definedName>
    <definedName name="IQ_ISM_SERVICES_APR_UNUSED_UNUSED_UNUSED" hidden="1">"c7563"</definedName>
    <definedName name="IQ_ISM_SERVICES_FC_UNUSED" hidden="1">"c7783"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FC_UNUSED_UNUSED_UNUSED" hidden="1">"c8003"</definedName>
    <definedName name="IQ_ISM_SERVICES_POP_UNUSED" hidden="1">"c7123"</definedName>
    <definedName name="IQ_ISM_SERVICES_POP_UNUSED_UNUSED_UNUSED" hidden="1">"c7123"</definedName>
    <definedName name="IQ_ISM_SERVICES_UNUSED" hidden="1">"c6903"</definedName>
    <definedName name="IQ_ISM_SERVICES_UNUSED_UNUSED_UNUSED" hidden="1">"c6903"</definedName>
    <definedName name="IQ_ISM_SERVICES_YOY_FC_UNUSED" hidden="1">"c8223"</definedName>
    <definedName name="IQ_ISM_SERVICES_YOY_FC_UNUSED_UNUSED_UNUSED" hidden="1">"c8223"</definedName>
    <definedName name="IQ_ISM_SERVICES_YOY_UNUSED" hidden="1">"c7343"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KEY_DEV_COMPANY_ID" hidden="1">"c13830"</definedName>
    <definedName name="IQ_KEY_DEV_COMPANY_NAME" hidden="1">"c13829"</definedName>
    <definedName name="IQ_KEY_DEV_DATE" hidden="1">"c13763"</definedName>
    <definedName name="IQ_KEY_DEV_HEADLINE" hidden="1">"c13761"</definedName>
    <definedName name="IQ_KEY_DEV_ID" hidden="1">"c13760"</definedName>
    <definedName name="IQ_KEY_DEV_ID_INCL_SUBS" hidden="1">"c13832"</definedName>
    <definedName name="IQ_KEY_DEV_SITUATION" hidden="1">"c13762"</definedName>
    <definedName name="IQ_KEY_DEV_SOURCE" hidden="1">"c13765"</definedName>
    <definedName name="IQ_KEY_DEV_TIME" hidden="1">"c13833"</definedName>
    <definedName name="IQ_KEY_DEV_TRANSACTION_ID" hidden="1">"c13766"</definedName>
    <definedName name="IQ_KEY_DEV_TYPE" hidden="1">"c13764"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_MONTHLY_FACTOR" hidden="1">"c8971"</definedName>
    <definedName name="IQ_LATEST_MONTHLY_FACTOR_DATE" hidden="1">"c8972"</definedName>
    <definedName name="IQ_LATESTK" hidden="1">1000</definedName>
    <definedName name="IQ_LATESTQ" hidden="1">500</definedName>
    <definedName name="IQ_LEAD_UNDERWRITER" hidden="1">"c8957"</definedName>
    <definedName name="IQ_LEASE_FIN_RECEIVABLES_NON_US_CHARGE_OFFS_FFIEC" hidden="1">"c13631"</definedName>
    <definedName name="IQ_LEASE_FIN_RECEIVABLES_NON_US_RECOV_FFIEC" hidden="1">"c13635"</definedName>
    <definedName name="IQ_LEASE_FIN_RECEIVABLES_US_CHARGE_OFFS_FFIEC" hidden="1">"c13630"</definedName>
    <definedName name="IQ_LEASE_FIN_RECEIVABLES_US_RECOV_FFIEC" hidden="1">"c13634"</definedName>
    <definedName name="IQ_LEASE_FINANCE" hidden="1">"c5654"</definedName>
    <definedName name="IQ_LEASE_FINANCING_REC_DUE_30_89_FFIEC" hidden="1">"c13276"</definedName>
    <definedName name="IQ_LEASE_FINANCING_REC_DUE_90_FFIEC" hidden="1">"c13302"</definedName>
    <definedName name="IQ_LEASE_FINANCING_REC_NON_ACCRUAL_FFIEC" hidden="1">"c13328"</definedName>
    <definedName name="IQ_LEASE_FINANCING_RECEIVABLES_CHARGE_OFFS_FDIC" hidden="1">"c6602"</definedName>
    <definedName name="IQ_LEASE_FINANCING_RECEIVABLES_DOM_FFIEC" hidden="1">"c12915"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ASE_RECEIVABLES_FOREIGN_FFIEC" hidden="1">"c13483"</definedName>
    <definedName name="IQ_LEASES_INDIVIDUALS_CHARGE_OFFS_FFIEC" hidden="1">"c13184"</definedName>
    <definedName name="IQ_LEASES_INDIVIDUALS_RECOV_FFIEC" hidden="1">"c13206"</definedName>
    <definedName name="IQ_LEASES_PERSONAL_EXP_DUE_30_89_FFIEC" hidden="1">"c13277"</definedName>
    <definedName name="IQ_LEASES_PERSONAL_EXP_DUE_90_FFIEC" hidden="1">"c13303"</definedName>
    <definedName name="IQ_LEASES_PERSONAL_EXP_NON_ACCRUAL_FFIEC" hidden="1">"c13329"</definedName>
    <definedName name="IQ_LEGAL_FEES_FFIEC" hidden="1">"c13052"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SUPPLE" hidden="1">"c13815"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ABILITIES_FAIR_VALUE" hidden="1">"c13848"</definedName>
    <definedName name="IQ_LIABILITIES_LEVEL_1" hidden="1">"c13844"</definedName>
    <definedName name="IQ_LIABILITIES_LEVEL_2" hidden="1">"c13845"</definedName>
    <definedName name="IQ_LIABILITIES_LEVEL_3" hidden="1">"c13846"</definedName>
    <definedName name="IQ_LIABILITIES_NETTING_OTHER_ADJUSTMENTS" hidden="1">"c13847"</definedName>
    <definedName name="IQ_LIABILITY_ACCEPTANCES_OUT_FFIEC" hidden="1">"c12866"</definedName>
    <definedName name="IQ_LIABILITY_SHORT_POSITIONS_DOM_FFIEC" hidden="1">"c12941"</definedName>
    <definedName name="IQ_LICENSED_POPS" hidden="1">"c2123"</definedName>
    <definedName name="IQ_LIFE_EARNED" hidden="1">"c2739"</definedName>
    <definedName name="IQ_LIFE_INSURANCE_ASSETS_FDIC" hidden="1">"c6372"</definedName>
    <definedName name="IQ_LIFE_INSURANCE_ASSETS_FFIEC" hidden="1">"c12847"</definedName>
    <definedName name="IQ_LIFOR" hidden="1">"c655"</definedName>
    <definedName name="IQ_LIQUID_ASSETS_ASSETS_TOT_FFIEC" hidden="1">"c13439"</definedName>
    <definedName name="IQ_LIQUID_ASSETS_NONCORE_FUNDING_FFIEC" hidden="1">"c13339"</definedName>
    <definedName name="IQ_LIQUIDATION_VALUE_PREFERRED_CONVERT" hidden="1">"c13835"</definedName>
    <definedName name="IQ_LIQUIDATION_VALUE_PREFERRED_NON_REDEEM" hidden="1">"c13836"</definedName>
    <definedName name="IQ_LIQUIDATION_VALUE_PREFERRED_REDEEM" hidden="1">"c13837"</definedName>
    <definedName name="IQ_LL" hidden="1">"c656"</definedName>
    <definedName name="IQ_LOAN_ALLOW_GROSS_LOANS_FFIEC" hidden="1">"c13415"</definedName>
    <definedName name="IQ_LOAN_ALLOWANCE_GROSS_LOSSES_FFIEC" hidden="1">"c13352"</definedName>
    <definedName name="IQ_LOAN_ALLOWANCE_NET_LOANS_FFIEC" hidden="1">"c13472"</definedName>
    <definedName name="IQ_LOAN_ALLOWANCE_NONACCRUAL_ASSETS_FFIEC" hidden="1">"c13473"</definedName>
    <definedName name="IQ_LOAN_ALLOWANCE_PAST_DUE_NONACCRUAL_FFIEC" hidden="1">"c13474"</definedName>
    <definedName name="IQ_LOAN_COMMITMENTS_FAIR_VALUE_TOT_FFIEC" hidden="1">"c13216"</definedName>
    <definedName name="IQ_LOAN_COMMITMENTS_LEVEL_1_FFIEC" hidden="1">"c13224"</definedName>
    <definedName name="IQ_LOAN_COMMITMENTS_LEVEL_2_FFIEC" hidden="1">"c13232"</definedName>
    <definedName name="IQ_LOAN_COMMITMENTS_LEVEL_3_FFIEC" hidden="1">"c13240"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_PERF_ASSETS_FFIEC" hidden="1">"c13912"</definedName>
    <definedName name="IQ_LOAN_LOSS_ALLOWANCE_NONCURRENT_LOANS_FDIC" hidden="1">"c6740"</definedName>
    <definedName name="IQ_LOAN_LOSSES_AVERAGE_LOANS_FFIEC" hidden="1">"c13350"</definedName>
    <definedName name="IQ_LOAN_LOSSES_FDIC" hidden="1">"c6580"</definedName>
    <definedName name="IQ_LOAN_SERVICE_REV" hidden="1">"c658"</definedName>
    <definedName name="IQ_LOANS_AGRICULTURAL_PROD_LL_REC_FFIEC" hidden="1">"c12886"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_US_LL_REC_FFIEC" hidden="1">"c12884"</definedName>
    <definedName name="IQ_LOANS_DEPOSITORY_INSTITUTIONS_FDIC" hidden="1">"c6382"</definedName>
    <definedName name="IQ_LOANS_DOM_QUARTERLY_AVG_FFIEC" hidden="1">"c13084"</definedName>
    <definedName name="IQ_LOANS_FARMERS_CHARGE_OFFS_FFIEC" hidden="1">"c13177"</definedName>
    <definedName name="IQ_LOANS_FARMERS_RECOV_FFIEC" hidden="1">"c13199"</definedName>
    <definedName name="IQ_LOANS_FINANCE_AGRICULTURAL_DUE_30_89_FFIEC" hidden="1">"c13270"</definedName>
    <definedName name="IQ_LOANS_FINANCE_AGRICULTURAL_DUE_90_FFIEC" hidden="1">"c13296"</definedName>
    <definedName name="IQ_LOANS_FINANCE_AGRICULTURAL_NON_ACCRUAL_FFIEC" hidden="1">"c13322"</definedName>
    <definedName name="IQ_LOANS_FINANCE_AGRICULTURAL_PROD_LL_REC_DOM_FFIEC" hidden="1">"c12909"</definedName>
    <definedName name="IQ_LOANS_FOR_SALE" hidden="1">"c666"</definedName>
    <definedName name="IQ_LOANS_FOREIGN_GOV_CHARGE_OFFS_FFIEC" hidden="1">"c13182"</definedName>
    <definedName name="IQ_LOANS_FOREIGN_GOV_DUE_30_89_FFIEC" hidden="1">"c13274"</definedName>
    <definedName name="IQ_LOANS_FOREIGN_GOV_DUE_90_FFIEC" hidden="1">"c13300"</definedName>
    <definedName name="IQ_LOANS_FOREIGN_GOV_LL_REC_DOM_FFIEC" hidden="1">"c12912"</definedName>
    <definedName name="IQ_LOANS_FOREIGN_GOV_NON_ACCRUAL_FFIEC" hidden="1">"c13326"</definedName>
    <definedName name="IQ_LOANS_FOREIGN_GOV_RECOV_FFIEC" hidden="1">"c13204"</definedName>
    <definedName name="IQ_LOANS_FOREIGN_INST_CHARGE_OFFS_FFIEC" hidden="1">"c13176"</definedName>
    <definedName name="IQ_LOANS_FOREIGN_INST_RECOV_FFIEC" hidden="1">"c13198"</definedName>
    <definedName name="IQ_LOANS_FOREIGN_LL_REC_FFIEC" hidden="1">"c12885"</definedName>
    <definedName name="IQ_LOANS_GOV_GUARANTEED_DUE_30_89_FFIEC" hidden="1">"c13281"</definedName>
    <definedName name="IQ_LOANS_GOV_GUARANTEED_DUE_90_FFIEC" hidden="1">"c13307"</definedName>
    <definedName name="IQ_LOANS_GOV_GUARANTEED_EXCL_GNMA_DUE_30_89_FFIEC" hidden="1">"c13282"</definedName>
    <definedName name="IQ_LOANS_GOV_GUARANTEED_EXCL_GNMA_DUE_90_FFIEC" hidden="1">"c13308"</definedName>
    <definedName name="IQ_LOANS_GOV_GUARANTEED_EXCL_GNMA_NON_ACCRUAL_FFIEC" hidden="1">"c13333"</definedName>
    <definedName name="IQ_LOANS_GOV_GUARANTEED_NON_ACCRUAL_FFIEC" hidden="1">"c13332"</definedName>
    <definedName name="IQ_LOANS_HELD_FOREIGN_FDIC" hidden="1">"c6315"</definedName>
    <definedName name="IQ_LOANS_INDIVIDUALS_FOREIGN_FFIEC" hidden="1">"c13480"</definedName>
    <definedName name="IQ_LOANS_LEASES_ASSETS_TOT_FFIEC" hidden="1">"c13437"</definedName>
    <definedName name="IQ_LOANS_LEASES_FAIR_VALUE_TOT_FFIEC" hidden="1">"c13209"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ELD_SALE_FFIEC" hidden="1">"c12808"</definedName>
    <definedName name="IQ_LOANS_LEASES_LEVEL_1_FFIEC" hidden="1">"c13217"</definedName>
    <definedName name="IQ_LOANS_LEASES_LEVEL_2_FFIEC" hidden="1">"c13225"</definedName>
    <definedName name="IQ_LOANS_LEASES_LEVEL_3_FFIEC" hidden="1">"c13233"</definedName>
    <definedName name="IQ_LOANS_LEASES_NET_FDIC" hidden="1">"c6327"</definedName>
    <definedName name="IQ_LOANS_LEASES_NET_UNEARNED_FDIC" hidden="1">"c6325"</definedName>
    <definedName name="IQ_LOANS_LEASES_NET_UNEARNED_INC_ALLOWANCE_FFIEC" hidden="1">"c12811"</definedName>
    <definedName name="IQ_LOANS_LEASES_NET_UNEARNED_INCOME_FFIEC" hidden="1">"c12809"</definedName>
    <definedName name="IQ_LOANS_LEASES_QUARTERLY_AVG_FFIEC" hidden="1">"c13081"</definedName>
    <definedName name="IQ_LOANS_LOC_ASSETS_TOT_FFIEC" hidden="1">"c13441"</definedName>
    <definedName name="IQ_LOANS_NOT_SECURED_RE_FDIC" hidden="1">"c6381"</definedName>
    <definedName name="IQ_LOANS_PAST_DUE" hidden="1">"c667"</definedName>
    <definedName name="IQ_LOANS_PURCHASING_CARRYING_SECURITIES_LL_REC_DOM_FFIEC" hidden="1">"c12913"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_RE_FOREIGN_CHARGE_OFFS_FFIEC" hidden="1">"c13174"</definedName>
    <definedName name="IQ_LOANS_SEC_RE_FOREIGN_RECOV_FFIEC" hidden="1">"c13196"</definedName>
    <definedName name="IQ_LOANS_SECURED_1_4_DOM_QUARTERLY_AVG_FFIEC" hidden="1">"c13082"</definedName>
    <definedName name="IQ_LOANS_SECURED_BY_RE_CHARGE_OFFS_FDIC" hidden="1">"c6588"</definedName>
    <definedName name="IQ_LOANS_SECURED_BY_RE_RECOVERIES_FDIC" hidden="1">"c6607"</definedName>
    <definedName name="IQ_LOANS_SECURED_CONSTRUCTION_TRADING_DOM_FFIEC" hidden="1">"c12925"</definedName>
    <definedName name="IQ_LOANS_SECURED_FARMLAND_TRADING_DOM_FFIEC" hidden="1">"c12926"</definedName>
    <definedName name="IQ_LOANS_SECURED_NON_US_FDIC" hidden="1">"c6380"</definedName>
    <definedName name="IQ_LOANS_SECURED_RE_DOM_QUARTERLY_AVG_FFIEC" hidden="1">"c13083"</definedName>
    <definedName name="IQ_LOANS_SECURED_RE_FFIEC" hidden="1">"c12820"</definedName>
    <definedName name="IQ_LOANS_SECURED_RE_LL_REC_FFIEC" hidden="1">"c12883"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ANS_US_INST_CHARGE_OFFS_FFIEC" hidden="1">"c13175"</definedName>
    <definedName name="IQ_LOANS_US_INST_RECOV_FFIEC" hidden="1">"c13197"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AVAIL_SALE_EQUITY_SEC_T1_FFIEC" hidden="1">"c13132"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CIQ" hidden="1">"c4660"</definedName>
    <definedName name="IQ_LOW_TARGET_PRICE_Company2232" hidden="1">"c5318"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MATURING_1YR_INT_SENSITIVITY_FFIEC" hidden="1">"c13097"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REPRICE_ASSETS_TOT_FFIEC" hidden="1">"c13453"</definedName>
    <definedName name="IQ_LT_DEBT_REPRICING_WITHIN_1_YR_INT_SENSITIVITY_FFIEC" hidden="1">"c13095"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BS_INVEST_SECURITIES_FFIEC" hidden="1">"c13460"</definedName>
    <definedName name="IQ_MBS_OTHER_ISSUED_FNMA_OTHERS_AVAIL_SALE_FFIEC" hidden="1">"c12799"</definedName>
    <definedName name="IQ_MBS_OTHER_ISSUED_FNMA_OTHERS_FFIEC" hidden="1">"c12785"</definedName>
    <definedName name="IQ_MBS_PASS_THROUGH_FNMA_AVAIL_SALE_FFIEC" hidden="1">"c12797"</definedName>
    <definedName name="IQ_MBS_PASS_THROUGH_FNMA_FFIEC" hidden="1">"c12783"</definedName>
    <definedName name="IQ_MBS_PASS_THROUGH_GNMA_AVAIL_SALE_FFIEC" hidden="1">"c12796"</definedName>
    <definedName name="IQ_MBS_PASS_THROUGH_GNMA_FFIEC" hidden="1">"c12782"</definedName>
    <definedName name="IQ_MBS_PASS_THROUGH_ISSUED_FNMA_GNMA_TRADING_DOM_FFIEC" hidden="1">"c12921"</definedName>
    <definedName name="IQ_MBS_PASS_THROUGH_OTHER_AVAIL_SALE_FFIEC" hidden="1">"c12798"</definedName>
    <definedName name="IQ_MBS_PASS_THROUGH_OTHER_FFIEC" hidden="1">"c12784"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PERSON0813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PRODUCT0419" hidden="1">"c9555"</definedName>
    <definedName name="IQ_MEASURED_ATTRIB_ORE_RESOURCES_URAN" hidden="1">"c9608"</definedName>
    <definedName name="IQ_MEASURED_ATTRIB_ORE_RESOURCES_Company3050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PERSON0813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PRODUCT0419" hidden="1">"c9557"</definedName>
    <definedName name="IQ_MEASURED_INDICATED_ATTRIB_ORE_RESOURCES_URAN" hidden="1">"c9610"</definedName>
    <definedName name="IQ_MEASURED_INDICATED_ATTRIB_ORE_RESOURCES_Company3050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PERSON0813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PRODUCT0419" hidden="1">"c9544"</definedName>
    <definedName name="IQ_MEASURED_INDICATED_ORE_RESOURCES_URAN" hidden="1">"c9597"</definedName>
    <definedName name="IQ_MEASURED_INDICATED_ORE_RESOURCES_Company3050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PERSON0813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PRODUCT0419" hidden="1">"c9552"</definedName>
    <definedName name="IQ_MEASURED_INDICATED_RECOV_RESOURCES_URAN" hidden="1">"c9605"</definedName>
    <definedName name="IQ_MEASURED_INDICATED_RECOV_RESOURCES_Company3050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PERSON0813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PRODUCT0419" hidden="1">"c9545"</definedName>
    <definedName name="IQ_MEASURED_INDICATED_RESOURCES_GRADE_URAN" hidden="1">"c9598"</definedName>
    <definedName name="IQ_MEASURED_INDICATED_RESOURCES_GRADE_Company3050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PERSON0813" hidden="1">"c9275"</definedName>
    <definedName name="IQ_MEASURED_ORE_RESOURCES_PLAT" hidden="1">"c9113"</definedName>
    <definedName name="IQ_MEASURED_ORE_RESOURCES_SILVER" hidden="1">"c9060"</definedName>
    <definedName name="IQ_MEASURED_ORE_RESOURCES_PRODUCT0419" hidden="1">"c9540"</definedName>
    <definedName name="IQ_MEASURED_ORE_RESOURCES_URAN" hidden="1">"c9593"</definedName>
    <definedName name="IQ_MEASURED_ORE_RESOURCES_Company3050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PERSON0813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PRODUCT0419" hidden="1">"c9560"</definedName>
    <definedName name="IQ_MEASURED_RECOV_ATTRIB_RESOURCES_URAN" hidden="1">"c9613"</definedName>
    <definedName name="IQ_MEASURED_RECOV_ATTRIB_RESOURCES_Company3050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PERSON0813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PRODUCT0419" hidden="1">"c9550"</definedName>
    <definedName name="IQ_MEASURED_RECOV_RESOURCES_URAN" hidden="1">"c9603"</definedName>
    <definedName name="IQ_MEASURED_RECOV_RESOURCES_Company3050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PERSON0813" hidden="1">"c9276"</definedName>
    <definedName name="IQ_MEASURED_RESOURCES_GRADE_PLAT" hidden="1">"c9114"</definedName>
    <definedName name="IQ_MEASURED_RESOURCES_GRADE_SILVER" hidden="1">"c9061"</definedName>
    <definedName name="IQ_MEASURED_RESOURCES_GRADE_PRODUCT0419" hidden="1">"c9541"</definedName>
    <definedName name="IQ_MEASURED_RESOURCES_GRADE_URAN" hidden="1">"c9594"</definedName>
    <definedName name="IQ_MEASURED_RESOURCES_GRADE_Company3050" hidden="1">"c9329"</definedName>
    <definedName name="IQ_MEDIAN_NEW_HOME_SALES_APR_FC_UNUSED" hidden="1">"c8460"</definedName>
    <definedName name="IQ_MEDIAN_NEW_HOME_SALES_APR_FC_UNUSED_UNUSED_UNUSED" hidden="1">"c8460"</definedName>
    <definedName name="IQ_MEDIAN_NEW_HOME_SALES_APR_UNUSED" hidden="1">"c7580"</definedName>
    <definedName name="IQ_MEDIAN_NEW_HOME_SALES_APR_UNUSED_UNUSED_UNUSED" hidden="1">"c7580"</definedName>
    <definedName name="IQ_MEDIAN_NEW_HOME_SALES_FC_UNUSED" hidden="1">"c7800"</definedName>
    <definedName name="IQ_MEDIAN_NEW_HOME_SALES_FC_UNUSED_UNUSED_UNUSED" hidden="1">"c7800"</definedName>
    <definedName name="IQ_MEDIAN_NEW_HOME_SALES_POP_FC_UNUSED" hidden="1">"c8020"</definedName>
    <definedName name="IQ_MEDIAN_NEW_HOME_SALES_POP_FC_UNUSED_UNUSED_UNUSED" hidden="1">"c8020"</definedName>
    <definedName name="IQ_MEDIAN_NEW_HOME_SALES_POP_UNUSED" hidden="1">"c7140"</definedName>
    <definedName name="IQ_MEDIAN_NEW_HOME_SALES_POP_UNUSED_UNUSED_UNUSED" hidden="1">"c7140"</definedName>
    <definedName name="IQ_MEDIAN_NEW_HOME_SALES_UNUSED" hidden="1">"c6920"</definedName>
    <definedName name="IQ_MEDIAN_NEW_HOME_SALES_UNUSED_UNUSED_UNUSED" hidden="1">"c6920"</definedName>
    <definedName name="IQ_MEDIAN_NEW_HOME_SALES_YOY_FC_UNUSED" hidden="1">"c8240"</definedName>
    <definedName name="IQ_MEDIAN_NEW_HOME_SALES_YOY_FC_UNUSED_UNUSED_UNUSED" hidden="1">"c8240"</definedName>
    <definedName name="IQ_MEDIAN_NEW_HOME_SALES_YOY_UNUSED" hidden="1">"c7360"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DIAN_TARGET_PRICE_Company2232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SUPPLE" hidden="1">"c13810"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PERSON0813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PRODUCT0419" hidden="1">"c9562"</definedName>
    <definedName name="IQ_MI_RECOV_ATTRIB_RESOURCES_URAN" hidden="1">"c9615"</definedName>
    <definedName name="IQ_MI_RECOV_ATTRIB_RESOURCES_Company3050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_AVG_ASSETS_FFIEC" hidden="1">"c13367"</definedName>
    <definedName name="IQ_MINORITY_INT_BS_FFIEC" hidden="1">"c12874"</definedName>
    <definedName name="IQ_MINORITY_INT_FFIEC" hidden="1">"c13031"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Company2232" hidden="1">"c4048"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MDA_SAVINGS_TOT_DEPOSITS_FFIEC" hidden="1">"c13905"</definedName>
    <definedName name="IQ_MONEY_MARKET_ACCOUNTS_COMMERCIAL_BANK_SUBS_FFIEC" hidden="1">"c12947"</definedName>
    <definedName name="IQ_MONEY_MARKET_ACCOUNTS_OTHER_INSTITUTIONS_FFIEC" hidden="1">"c12952"</definedName>
    <definedName name="IQ_MONEY_MARKET_DEPOSIT_ACCOUNTS_FDIC" hidden="1">"c6553"</definedName>
    <definedName name="IQ_MONTH">15000</definedName>
    <definedName name="IQ_MOODYS_ACTION_LT" hidden="1">"c5660"</definedName>
    <definedName name="IQ_MOODYS_ACTION_ST" hidden="1">"c5663"</definedName>
    <definedName name="IQ_MOODYS_BANK_FIN_STRENGTH_ACTION_LT" hidden="1">"c5669"</definedName>
    <definedName name="IQ_MOODYS_BANK_FIN_STRENGTH_DATE_LT" hidden="1">"c5668"</definedName>
    <definedName name="IQ_MOODYS_BANK_FIN_STRENGTH_LT" hidden="1">"c5670"</definedName>
    <definedName name="IQ_MOODYS_CORP_FAMILY_ACTION_LT" hidden="1">"c5666"</definedName>
    <definedName name="IQ_MOODYS_CORP_FAMILY_DATE_LT" hidden="1">"c5665"</definedName>
    <definedName name="IQ_MOODYS_CORP_FAMILY_LT" hidden="1">"c5667"</definedName>
    <definedName name="IQ_MOODYS_DATE_LT" hidden="1">"c5659"</definedName>
    <definedName name="IQ_MOODYS_DATE_ST" hidden="1">"c5662"</definedName>
    <definedName name="IQ_MOODYS_INS_FIN_STRENGTH_ACTION_LT" hidden="1">"c5672"</definedName>
    <definedName name="IQ_MOODYS_INS_FIN_STRENGTH_ACTION_ST" hidden="1">"c5675"</definedName>
    <definedName name="IQ_MOODYS_INS_FIN_STRENGTH_DATE_LT" hidden="1">"c5671"</definedName>
    <definedName name="IQ_MOODYS_INS_FIN_STRENGTH_DATE_ST" hidden="1">"c5674"</definedName>
    <definedName name="IQ_MOODYS_INS_FIN_STRENGTH_LT" hidden="1">"c5673"</definedName>
    <definedName name="IQ_MOODYS_INS_FIN_STRENGTH_ST" hidden="1">"c5676"</definedName>
    <definedName name="IQ_MOODYS_ISSUE_ACTION_LT" hidden="1">"c5683"</definedName>
    <definedName name="IQ_MOODYS_ISSUE_ACTION_ST" hidden="1">"c6784"</definedName>
    <definedName name="IQ_MOODYS_ISSUE_DATE_LT" hidden="1">"c5682"</definedName>
    <definedName name="IQ_MOODYS_ISSUE_DATE_ST" hidden="1">"c6783"</definedName>
    <definedName name="IQ_MOODYS_ISSUE_LT" hidden="1">"c5684"</definedName>
    <definedName name="IQ_MOODYS_ISSUE_ST" hidden="1">"c6785"</definedName>
    <definedName name="IQ_MOODYS_ISSUE_WATCHLIST_DATE" hidden="1">"c5685"</definedName>
    <definedName name="IQ_MOODYS_ISSUE_WATCHLIST_INDICATOR" hidden="1">"c5687"</definedName>
    <definedName name="IQ_MOODYS_ISSUE_WATCHLIST_REASON" hidden="1">"c5686"</definedName>
    <definedName name="IQ_MOODYS_JR_SUB_ACTION_LT" hidden="1">"c13537"</definedName>
    <definedName name="IQ_MOODYS_JR_SUB_DATE_LT" hidden="1">"c13536"</definedName>
    <definedName name="IQ_MOODYS_JR_SUB_LT" hidden="1">"c13535"</definedName>
    <definedName name="IQ_MOODYS_JR_SUB_TYPE_LT" hidden="1">"c13538"</definedName>
    <definedName name="IQ_MOODYS_LATEST_DATE_LT" hidden="1">"c12711"</definedName>
    <definedName name="IQ_MOODYS_LATEST_DATE_ST" hidden="1">"c12715"</definedName>
    <definedName name="IQ_MOODYS_LATEST_LT" hidden="1">"c12710"</definedName>
    <definedName name="IQ_MOODYS_LATEST_ST" hidden="1">"c12714"</definedName>
    <definedName name="IQ_MOODYS_LATEST_TYPE_LT" hidden="1">"c12713"</definedName>
    <definedName name="IQ_MOODYS_LATEST_TYPE_ST" hidden="1">"c12717"</definedName>
    <definedName name="IQ_MOODYS_LT" hidden="1">"c5661"</definedName>
    <definedName name="IQ_MOODYS_OTHER_ACTION_LT" hidden="1">"c13545"</definedName>
    <definedName name="IQ_MOODYS_OTHER_ACTION_ST" hidden="1">"c13569"</definedName>
    <definedName name="IQ_MOODYS_OTHER_DATE_LT" hidden="1">"c13544"</definedName>
    <definedName name="IQ_MOODYS_OTHER_DATE_ST" hidden="1">"c13568"</definedName>
    <definedName name="IQ_MOODYS_OTHER_LT" hidden="1">"c13543"</definedName>
    <definedName name="IQ_MOODYS_OTHER_ST" hidden="1">"c13567"</definedName>
    <definedName name="IQ_MOODYS_OTHER_TYPE_LT" hidden="1">"c13546"</definedName>
    <definedName name="IQ_MOODYS_OTHER_TYPE_ST" hidden="1">"c13570"</definedName>
    <definedName name="IQ_MOODYS_OUTLOOK" hidden="1">"c5678"</definedName>
    <definedName name="IQ_MOODYS_OUTLOOK_DATE" hidden="1">"c5677"</definedName>
    <definedName name="IQ_MOODYS_PREF_ACTION_LT" hidden="1">"c13541"</definedName>
    <definedName name="IQ_MOODYS_PREF_DATE_LT" hidden="1">"c13540"</definedName>
    <definedName name="IQ_MOODYS_PREF_LT" hidden="1">"c13539"</definedName>
    <definedName name="IQ_MOODYS_PREF_TYPE_LT" hidden="1">"c13542"</definedName>
    <definedName name="IQ_MOODYS_SERVICER_QUALITY_ACTION_LT" hidden="1">"c13549"</definedName>
    <definedName name="IQ_MOODYS_SERVICER_QUALITY_DATE_LT" hidden="1">"c13548"</definedName>
    <definedName name="IQ_MOODYS_SERVICER_QUALITY_LT" hidden="1">"c13547"</definedName>
    <definedName name="IQ_MOODYS_SERVICER_QUALITY_TYPE_LT" hidden="1">"c13550"</definedName>
    <definedName name="IQ_MOODYS_SR_SECURED_ACTION_LT" hidden="1">"c13521"</definedName>
    <definedName name="IQ_MOODYS_SR_SECURED_ACTION_ST" hidden="1">"c13553"</definedName>
    <definedName name="IQ_MOODYS_SR_SECURED_DATE_LT" hidden="1">"c13520"</definedName>
    <definedName name="IQ_MOODYS_SR_SECURED_DATE_ST" hidden="1">"c13552"</definedName>
    <definedName name="IQ_MOODYS_SR_SECURED_LT" hidden="1">"c13519"</definedName>
    <definedName name="IQ_MOODYS_SR_SECURED_ST" hidden="1">"c13551"</definedName>
    <definedName name="IQ_MOODYS_SR_SECURED_TYPE_LT" hidden="1">"c13522"</definedName>
    <definedName name="IQ_MOODYS_SR_SECURED_TYPE_ST" hidden="1">"c13554"</definedName>
    <definedName name="IQ_MOODYS_SR_SUB_ACTION_LT" hidden="1">"c13529"</definedName>
    <definedName name="IQ_MOODYS_SR_SUB_ACTION_ST" hidden="1">"c13561"</definedName>
    <definedName name="IQ_MOODYS_SR_SUB_DATE_LT" hidden="1">"c13528"</definedName>
    <definedName name="IQ_MOODYS_SR_SUB_DATE_ST" hidden="1">"c13560"</definedName>
    <definedName name="IQ_MOODYS_SR_SUB_LT" hidden="1">"c13527"</definedName>
    <definedName name="IQ_MOODYS_SR_SUB_ST" hidden="1">"c13559"</definedName>
    <definedName name="IQ_MOODYS_SR_SUB_TYPE_LT" hidden="1">"c13530"</definedName>
    <definedName name="IQ_MOODYS_SR_SUB_TYPE_ST" hidden="1">"c13562"</definedName>
    <definedName name="IQ_MOODYS_SR_UNSECURED_ACTION_LT" hidden="1">"c13525"</definedName>
    <definedName name="IQ_MOODYS_SR_UNSECURED_ACTION_ST" hidden="1">"c13557"</definedName>
    <definedName name="IQ_MOODYS_SR_UNSECURED_DATE_LT" hidden="1">"c13524"</definedName>
    <definedName name="IQ_MOODYS_SR_UNSECURED_DATE_ST" hidden="1">"c13556"</definedName>
    <definedName name="IQ_MOODYS_SR_UNSECURED_LT" hidden="1">"c13523"</definedName>
    <definedName name="IQ_MOODYS_SR_UNSECURED_ST" hidden="1">"c13555"</definedName>
    <definedName name="IQ_MOODYS_SR_UNSECURED_TYPE_LT" hidden="1">"c13526"</definedName>
    <definedName name="IQ_MOODYS_SR_UNSECURED_TYPE_ST" hidden="1">"c13558"</definedName>
    <definedName name="IQ_MOODYS_ST" hidden="1">"c5664"</definedName>
    <definedName name="IQ_MOODYS_SUB_ACTION_LT" hidden="1">"c13533"</definedName>
    <definedName name="IQ_MOODYS_SUB_ACTION_ST" hidden="1">"c13565"</definedName>
    <definedName name="IQ_MOODYS_SUB_DATE_LT" hidden="1">"c13532"</definedName>
    <definedName name="IQ_MOODYS_SUB_DATE_ST" hidden="1">"c13564"</definedName>
    <definedName name="IQ_MOODYS_SUB_LT" hidden="1">"c13531"</definedName>
    <definedName name="IQ_MOODYS_SUB_ST" hidden="1">"c13563"</definedName>
    <definedName name="IQ_MOODYS_SUB_TYPE_LT" hidden="1">"c13534"</definedName>
    <definedName name="IQ_MOODYS_SUB_TYPE_ST" hidden="1">"c13566"</definedName>
    <definedName name="IQ_MOODYS_WATCHLIST_DATE" hidden="1">"c5679"</definedName>
    <definedName name="IQ_MOODYS_WATCHLIST_INDICATOR" hidden="1">"c5681"</definedName>
    <definedName name="IQ_MOODYS_WATCHLIST_REASON" hidden="1">"c5680"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ASSETS_FFIEC" hidden="1">"c12838"</definedName>
    <definedName name="IQ_MORTGAGE_SERVICING_FDIC" hidden="1">"c6335"</definedName>
    <definedName name="IQ_MTD" hidden="1">800000</definedName>
    <definedName name="IQ_MULTI_RES_PROPERTIES_TRADING_DOM_FFIEC" hidden="1">"c12930"</definedName>
    <definedName name="IQ_MULTIFAM_5_LOANS_TOT_LOANS_FFIEC" hidden="1">"c13869"</definedName>
    <definedName name="IQ_MULTIFAMILY_LOANS_GROSS_LOANS_FFIEC" hidden="1">"c13404"</definedName>
    <definedName name="IQ_MULTIFAMILY_LOANS_RISK_BASED_FFIEC" hidden="1">"c13425"</definedName>
    <definedName name="IQ_MULTIFAMILY_RESIDENTIAL_LOANS_FDIC" hidden="1">"c6311"</definedName>
    <definedName name="IQ_MUNICIPAL_INVEST_SECURITIES_FFIEC" hidden="1">"c13459"</definedName>
    <definedName name="IQ_NAMES_REVISION_DATE_" hidden="1">44767.465462963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TIVE_COMPANY_NAME" hidden="1">"c13822"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CLS_CLOSED_END_1_4_FAM_LOANS_TOT_LOANS_FFIEC" hidden="1">"c13891"</definedName>
    <definedName name="IQ_NCLS_COMM_IND_LOANS_TOT_LOANS_FFIEC" hidden="1">"c13898"</definedName>
    <definedName name="IQ_NCLS_COMM_RE_FARM_LOANS_TOT_LOANS_FFIEC" hidden="1">"c13897"</definedName>
    <definedName name="IQ_NCLS_COMM_RE_NONFARM_NONRES_TOT_LOANS_FFIEC" hidden="1">"c13896"</definedName>
    <definedName name="IQ_NCLS_CONST_LAND_DEV_LOANS_TOT_LOANS_FFIEC" hidden="1">"c13890"</definedName>
    <definedName name="IQ_NCLS_CONSUMER_LOANS_TOT_LOANS_FFIEC" hidden="1">"c13899"</definedName>
    <definedName name="IQ_NCLS_FARM_LOANS_TOT_LOANS_FFIEC" hidden="1">"c13895"</definedName>
    <definedName name="IQ_NCLS_HOME_EQUITY_LOANS_TOT_LOANS_FFIEC" hidden="1">"c13892"</definedName>
    <definedName name="IQ_NCLS_MULTIFAM_5_LOANS_TOT_LOANS_FFIEC" hidden="1">"c13894"</definedName>
    <definedName name="IQ_NCLS_TOT_1_4_FAM_LOANS_TOT_LOANS_FFIEC" hidden="1">"c13893"</definedName>
    <definedName name="IQ_NCLS_TOT_LEASES_TOT_LOANS_FFIEC" hidden="1">"c13900"</definedName>
    <definedName name="IQ_NCLS_TOT_LOANS_TOT_LOANS_FFIEC" hidden="1">"c13901"</definedName>
    <definedName name="IQ_NCOS_CLOSED_END_1_4_FAM_LOANS_TOT_LOANS_FFIEC" hidden="1">"c13879"</definedName>
    <definedName name="IQ_NCOS_COMM_IND_LOANS_TOT_LOANS_FFIEC" hidden="1">"c13886"</definedName>
    <definedName name="IQ_NCOS_COMM_RE_FARM_LOANS_TOT_LOANS_FFIEC" hidden="1">"c13885"</definedName>
    <definedName name="IQ_NCOS_COMM_RE_NONFARM_NONRES_TOT_LOANS_FFIEC" hidden="1">"c13884"</definedName>
    <definedName name="IQ_NCOS_CONST_LAND_DEV_LOANS_TOT_LOANS_FFIEC" hidden="1">"c13878"</definedName>
    <definedName name="IQ_NCOS_CONSUMER_LOANS_TOT_LOANS_FFIEC" hidden="1">"c13887"</definedName>
    <definedName name="IQ_NCOS_FARM_LOANS_TOT_LOANS_FFIEC" hidden="1">"c13883"</definedName>
    <definedName name="IQ_NCOS_HOME_EQUITY_LOANS_TOT_LOANS_FFIEC" hidden="1">"c13880"</definedName>
    <definedName name="IQ_NCOS_MULTIFAM_5_LOANS_TOT_LOANS_FFIEC" hidden="1">"c13882"</definedName>
    <definedName name="IQ_NCOS_TOT_1_4_FAM_LOANS_TOT_LOANS_FFIEC" hidden="1">"c13881"</definedName>
    <definedName name="IQ_NCOS_TOT_LEASES_TOT_LOANS_FFIEC" hidden="1">"c13888"</definedName>
    <definedName name="IQ_NCOS_TOT_LOANS_TOT_LOANS_FFIEC" hidden="1">"c13889"</definedName>
    <definedName name="IQ_NEGATIVE_FAIR_VALUE_DERIVATIVES_BENEFICIARY_FFIEC" hidden="1">"c13124"</definedName>
    <definedName name="IQ_NEGATIVE_FAIR_VALUE_DERIVATIVES_GUARANTOR_FFIEC" hidden="1">"c13117"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EARNED" hidden="1">"c2734"</definedName>
    <definedName name="IQ_NET_FUNDS_PURCHASED_ASSETS_TOT_FFIEC" hidden="1">"c13448"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COME_LH_FFIEC" hidden="1">"c13110"</definedName>
    <definedName name="IQ_NET_INCOME_PC_FFIEC" hidden="1">"c13103"</definedName>
    <definedName name="IQ_NET_INCOME_SHE_FFIEC" hidden="1">"c12960"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INCOME_FFIEC" hidden="1">"c13001"</definedName>
    <definedName name="IQ_NET_INT_INCOME_FTE_FFIEC" hidden="1">"c13036"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CORE_DEPOSITS_FFIEC" hidden="1">"c13341"</definedName>
    <definedName name="IQ_NET_LOANS_DEPOSITS_FFIEC" hidden="1">"c13340"</definedName>
    <definedName name="IQ_NET_LOANS_EQUITY_FFIEC" hidden="1">"c13347"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WS" hidden="1">"c13743"</definedName>
    <definedName name="IQ_NEWS_DATE" hidden="1">"c13746"</definedName>
    <definedName name="IQ_NEWS_SOURCE" hidden="1">"c13745"</definedName>
    <definedName name="IQ_NEWS_TIME" hidden="1">"c13759"</definedName>
    <definedName name="IQ_NEWS_URL" hidden="1">"c13744"</definedName>
    <definedName name="IQ_NEXT_CALL_DATE" hidden="1">"c2198"</definedName>
    <definedName name="IQ_NEXT_CALL_PRICE" hidden="1">"c2199"</definedName>
    <definedName name="IQ_NEXT_EARNINGS_DATE" hidden="1">"c13592"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PERSON0813" hidden="1">"c9304"</definedName>
    <definedName name="IQ_NEXT_YR_PROD_EST_MAX_PLAT" hidden="1">"c9142"</definedName>
    <definedName name="IQ_NEXT_YR_PROD_EST_MAX_SILVER" hidden="1">"c9089"</definedName>
    <definedName name="IQ_NEXT_YR_PROD_EST_MAX_PRODUCT0419" hidden="1">"c9569"</definedName>
    <definedName name="IQ_NEXT_YR_PROD_EST_MAX_URAN" hidden="1">"c9622"</definedName>
    <definedName name="IQ_NEXT_YR_PROD_EST_MAX_Company3050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PERSON0813" hidden="1">"c9303"</definedName>
    <definedName name="IQ_NEXT_YR_PROD_EST_MIN_PLAT" hidden="1">"c9141"</definedName>
    <definedName name="IQ_NEXT_YR_PROD_EST_MIN_SILVER" hidden="1">"c9088"</definedName>
    <definedName name="IQ_NEXT_YR_PROD_EST_MIN_PRODUCT0419" hidden="1">"c9568"</definedName>
    <definedName name="IQ_NEXT_YR_PROD_EST_MIN_URAN" hidden="1">"c9621"</definedName>
    <definedName name="IQ_NEXT_YR_PROD_EST_MIN_Company3050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AVG_ASSETS_FFIEC" hidden="1">"c13370"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EST" hidden="1">"c1716"</definedName>
    <definedName name="IQ_NI_FFIEC" hidden="1">"c13034"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BC_ACT_OR_EST" hidden="1">"c4474"</definedName>
    <definedName name="IQ_NI_SBC_ACT_OR_EST_CIQ" hidden="1">"c5012"</definedName>
    <definedName name="IQ_NI_SBC_GW_ACT_OR_EST" hidden="1">"c4478"</definedName>
    <definedName name="IQ_NI_SBC_GW_ACT_OR_EST_CIQ" hidden="1">"c5016"</definedName>
    <definedName name="IQ_NI_SFAS" hidden="1">"c795"</definedName>
    <definedName name="IQ_NI_STDDEV_EST" hidden="1">"c1721"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_ALLOW_RECEIVABLES_FFIEC" hidden="1">"c13353"</definedName>
    <definedName name="IQ_NON_ACCRUAL_LOANS" hidden="1">"c796"</definedName>
    <definedName name="IQ_NON_CASH" hidden="1">"c1399"</definedName>
    <definedName name="IQ_NON_CASH_ITEMS" hidden="1">"c797"</definedName>
    <definedName name="IQ_NON_CURRENT_LOANS_FFIEC" hidden="1">"c13860"</definedName>
    <definedName name="IQ_NON_FARM_NONRES_PROPERTIES_TRADING_DOM_FFIEC" hidden="1">"c12931"</definedName>
    <definedName name="IQ_NON_INS_EXP" hidden="1">"c798"</definedName>
    <definedName name="IQ_NON_INS_REV" hidden="1">"c799"</definedName>
    <definedName name="IQ_NON_INT_BAL_OTHER_INSTITUTIONS_FFIEC" hidden="1">"c12950"</definedName>
    <definedName name="IQ_NON_INT_BEAR_CD" hidden="1">"c800"</definedName>
    <definedName name="IQ_NON_INT_BEARING_DEPOSITS" hidden="1">"c800"</definedName>
    <definedName name="IQ_NON_INT_DEPOSITS_DOM_FFIEC" hidden="1">"c12851"</definedName>
    <definedName name="IQ_NON_INT_DEPOSITS_FOREIGN_FFIEC" hidden="1">"c12854"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EXPENSE_FFIEC" hidden="1">"c13028"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AVG_ASSETS_FFIEC" hidden="1">"c13359"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_INC_OPERATING_INC_FFIEC" hidden="1">"c13382"</definedName>
    <definedName name="IQ_NON_INT_INCOME_FFIEC" hidden="1">"c13017"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ASSETS_FFIEC" hidden="1">"c13859"</definedName>
    <definedName name="IQ_NON_PERFORMING_LOANS" hidden="1">"c827"</definedName>
    <definedName name="IQ_NON_PERFORMING_LOANS_FFIEC" hidden="1">"c13861"</definedName>
    <definedName name="IQ_NON_US_ADDRESS_LEASE_FIN_REC_FFIEC" hidden="1">"c13625"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INCOME_AMORT_CLOSED_END_LOANS_FFIEC" hidden="1">"c13078"</definedName>
    <definedName name="IQ_NONCASH_PENSION_EXP" hidden="1">"c3000"</definedName>
    <definedName name="IQ_NONCORE_ASSETS_TOT_FFIEC" hidden="1">"c13443"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NONRES_GROSS_LOANS_FFIEC" hidden="1">"c13405"</definedName>
    <definedName name="IQ_NONFARM_NONRES_LL_REC_DOM_FFIEC" hidden="1">"c13626"</definedName>
    <definedName name="IQ_NONFARM_NONRES_RISK_BASED_FFIEC" hidden="1">"c13426"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CASH_FFIEC" hidden="1">"c12774"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QUALIFYING_PREFERRED_T1_FFIEC" hidden="1">"c13134"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FC_UNUSED_UNUSED_UNUSED" hidden="1">"c8468"</definedName>
    <definedName name="IQ_NONRES_FIXED_INVEST_PRIV_APR_UNUSED" hidden="1">"c7588"</definedName>
    <definedName name="IQ_NONRES_FIXED_INVEST_PRIV_APR_UNUSED_UNUSED_UNUSED" hidden="1">"c7588"</definedName>
    <definedName name="IQ_NONRES_FIXED_INVEST_PRIV_FC_UNUSED" hidden="1">"c7808"</definedName>
    <definedName name="IQ_NONRES_FIXED_INVEST_PRIV_FC_UNUSED_UNUSED_UNUSED" hidden="1">"c7808"</definedName>
    <definedName name="IQ_NONRES_FIXED_INVEST_PRIV_POP_FC_UNUSED" hidden="1">"c8028"</definedName>
    <definedName name="IQ_NONRES_FIXED_INVEST_PRIV_POP_FC_UNUSED_UNUSED_UNUSED" hidden="1">"c8028"</definedName>
    <definedName name="IQ_NONRES_FIXED_INVEST_PRIV_POP_UNUSED" hidden="1">"c7148"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FC_UNUSED_UNUSED_UNUSED" hidden="1">"c8248"</definedName>
    <definedName name="IQ_NONRES_FIXED_INVEST_PRIV_YOY_UNUSED" hidden="1">"c7368"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DING_SECURITIES_FAIR_VALUE_TOT_FFIEC" hidden="1">"c13211"</definedName>
    <definedName name="IQ_NONTRADING_SECURITIES_LEVEL_1_FFIEC" hidden="1">"c13219"</definedName>
    <definedName name="IQ_NONTRADING_SECURITIES_LEVEL_2_FFIEC" hidden="1">"c13227"</definedName>
    <definedName name="IQ_NONTRADING_SECURITIES_LEVEL_3_FFIEC" hidden="1">"c13235"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AMT_DERIVATIVES_BENEFICIARY_FFIEC" hidden="1">"c13118"</definedName>
    <definedName name="IQ_NOTIONAL_AMT_DERIVATIVES_GUARANTOR_FFIEC" hidden="1">"c13111"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OW_ATS_ACCOUNTS_COMMERCIAL_BANK_SUBS_FFIEC" hidden="1">"c12946"</definedName>
    <definedName name="IQ_NOW_ATS_ACCOUNTS_OTHER_INSTITUTIONS_FFIEC" hidden="1">"c12951"</definedName>
    <definedName name="IQ_NOW_OTHER_TRANS_ACCTS_TOT_DEPOSITS_FFIEC" hidden="1">"c13903"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CONTRIBUTORS" hidden="1">"c13739"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PERSON0813" hidden="1">"c9301"</definedName>
    <definedName name="IQ_NUMBER_MINES_PLAT" hidden="1">"c9139"</definedName>
    <definedName name="IQ_NUMBER_MINES_SILVER" hidden="1">"c9086"</definedName>
    <definedName name="IQ_NUMBER_MINES_PRODUCT0419" hidden="1">"c9566"</definedName>
    <definedName name="IQ_NUMBER_MINES_URAN" hidden="1">"c9619"</definedName>
    <definedName name="IQ_NUMBER_MINES_Company3050" hidden="1">"c9354"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EXP_AVG_ASSETS_FFIEC" hidden="1">"c13372"</definedName>
    <definedName name="IQ_OCCUPANCY_EXP_OPERATING_INC_FFIEC" hidden="1">"c13380"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Company0325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" hidden="1">"c6240"</definedName>
    <definedName name="IQ_OPER_INC_REIT" hidden="1">"c853"</definedName>
    <definedName name="IQ_OPER_INC_STDDEV_EST" hidden="1">"c1693"</definedName>
    <definedName name="IQ_OPER_INC_UTI" hidden="1">"c854"</definedName>
    <definedName name="IQ_OPERATING_EXP_AVG_ASSETS_FFIEC" hidden="1">"c13373"</definedName>
    <definedName name="IQ_OPERATING_INC_AVG_ASSETS_FFIEC" hidden="1">"c13368"</definedName>
    <definedName name="IQ_OPERATING_INC_TE_AVG_ASSETS_FFIEC" hidden="1">"c13360"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FIEC" hidden="1">"c12831"</definedName>
    <definedName name="IQ_OREO_FOREIGN_FDIC" hidden="1">"c6460"</definedName>
    <definedName name="IQ_OREO_MULTI_FAMILY_RESIDENTIAL_FDIC" hidden="1">"c6455"</definedName>
    <definedName name="IQ_OREO_OTHER_FFIEC" hidden="1">"c12833"</definedName>
    <definedName name="IQ_OTHER_ADDITIONS_T1_FFIEC" hidden="1">"c13142"</definedName>
    <definedName name="IQ_OTHER_ADDITIONS_T2_FFIEC" hidden="1">"c13148"</definedName>
    <definedName name="IQ_OTHER_ADJUST_GROSS_LOANS" hidden="1">"c859"</definedName>
    <definedName name="IQ_OTHER_ADJUSTMENTS_COVERED" hidden="1">"c9961"</definedName>
    <definedName name="IQ_OTHER_ADJUSTMENTS_FFIEC" hidden="1">"c12972"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FIEC" hidden="1">"c12848"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TOTAL_FFIEC" hidden="1">"c12841"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BORROWED_MONEY_FFIEC" hidden="1">"c12862"</definedName>
    <definedName name="IQ_OTHER_BORROWED_MONEY_LT_FFIEC" hidden="1">"c12865"</definedName>
    <definedName name="IQ_OTHER_BORROWED_MONEY_ST_FFIEC" hidden="1">"c12864"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OMPREHENSIVE_INCOME_FFIEC" hidden="1">"c12970"</definedName>
    <definedName name="IQ_OTHER_CONSTRUCTION_GROSS_LOANS_FFIEC" hidden="1">"c13403"</definedName>
    <definedName name="IQ_OTHER_CONSTRUCTION_LOANS_DUE_30_89_FFIEC" hidden="1">"c13258"</definedName>
    <definedName name="IQ_OTHER_CONSTRUCTION_LOANS_DUE_90_FFIEC" hidden="1">"c13286"</definedName>
    <definedName name="IQ_OTHER_CONSTRUCTION_LOANS_NON_ACCRUAL_FFIEC" hidden="1">"c13312"</definedName>
    <definedName name="IQ_OTHER_CONSTRUCTION_LOANS_UNUSED_FFIEC" hidden="1">"c13245"</definedName>
    <definedName name="IQ_OTHER_CONSTRUCTION_RISK_BASED_FFIEC" hidden="1">"c13424"</definedName>
    <definedName name="IQ_OTHER_CONSUMER_LL_REC_FFIEC" hidden="1">"c12891"</definedName>
    <definedName name="IQ_OTHER_CONSUMER_LOANS_FFIEC" hidden="1">"c12824"</definedName>
    <definedName name="IQ_OTHER_CONSUMER_LOANS_TRADING_DOM_FFIEC" hidden="1">"c12935"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BT_SEC_DOM_AVAIL_SALE_FFIEC" hidden="1">"c12803"</definedName>
    <definedName name="IQ_OTHER_DEBT_SEC_FOREIGN_AVAIL_SALE_FFIEC" hidden="1">"c12804"</definedName>
    <definedName name="IQ_OTHER_DEBT_SEC_INVEST_SECURITIES_FFIEC" hidden="1">"c13462"</definedName>
    <definedName name="IQ_OTHER_DEBT_SEC_TRADING_DOM_FFIEC" hidden="1">"c12924"</definedName>
    <definedName name="IQ_OTHER_DEBT_SEC_TRADING_FFIEC" hidden="1">"c12819"</definedName>
    <definedName name="IQ_OTHER_DEBT_SECURITIES_DOM_FFIEC" hidden="1">"c12789"</definedName>
    <definedName name="IQ_OTHER_DEBT_SECURITIES_FOREIGN_FFIEC" hidden="1">"c12790"</definedName>
    <definedName name="IQ_OTHER_DEDUCTIONS_LEVERAGE_RATIO_FFIEC" hidden="1">"c13158"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EPOSITS_FFIEC" hidden="1">"c12994"</definedName>
    <definedName name="IQ_OTHER_DERIVATIVES_BENEFICIARY_FFIEC" hidden="1">"c13122"</definedName>
    <definedName name="IQ_OTHER_DERIVATIVES_GUARANTOR_FFIEC" hidden="1">"c13115"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CAPITAL_COMPS_FFIEC" hidden="1">"c12880"</definedName>
    <definedName name="IQ_OTHER_EQUITY_FFIEC" hidden="1">"c12879"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EXP_OPERATING_INC_FFIEC" hidden="1">"c13381"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FOREIGN_LOANS_FOREIGN_FFIEC" hidden="1">"c13482"</definedName>
    <definedName name="IQ_OTHER_INSURANCE_FEES_FDIC" hidden="1">"c6672"</definedName>
    <definedName name="IQ_OTHER_INSURANCE_PREMIUMS_FFIEC" hidden="1">"c13071"</definedName>
    <definedName name="IQ_OTHER_INT_EXPENSE_FFIEC" hidden="1">"c12999"</definedName>
    <definedName name="IQ_OTHER_INT_INCOME_FFIEC" hidden="1">"c12988"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ASSETS_FFIEC" hidden="1">"c12837"</definedName>
    <definedName name="IQ_OTHER_INTANGIBLE_ASSETS_TOT_FFIEC" hidden="1">"c12840"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EASES_DUE_30_89_FFIEC" hidden="1">"c13278"</definedName>
    <definedName name="IQ_OTHER_LEASES_DUE_90_FFIEC" hidden="1">"c13304"</definedName>
    <definedName name="IQ_OTHER_LEASES_LL_REC_FFIEC" hidden="1">"c12896"</definedName>
    <definedName name="IQ_OTHER_LEASES_NON_ACCRUAL_FFIEC" hidden="1">"c13330"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IABILITIES_FFIEC" hidden="1">"c12872"</definedName>
    <definedName name="IQ_OTHER_LIABILITIES_TOTAL_FFIEC" hidden="1">"c12869"</definedName>
    <definedName name="IQ_OTHER_LL_REC_FFIEC" hidden="1">"c12894"</definedName>
    <definedName name="IQ_OTHER_LOANS" hidden="1">"c945"</definedName>
    <definedName name="IQ_OTHER_LOANS_CHARGE_OFFS_FDIC" hidden="1">"c6601"</definedName>
    <definedName name="IQ_OTHER_LOANS_DUE_30_89_FFIEC" hidden="1">"c13275"</definedName>
    <definedName name="IQ_OTHER_LOANS_DUE_90_FFIEC" hidden="1">"c13301"</definedName>
    <definedName name="IQ_OTHER_LOANS_FFIEC" hidden="1">"c12825"</definedName>
    <definedName name="IQ_OTHER_LOANS_FOREIGN_FDIC" hidden="1">"c6446"</definedName>
    <definedName name="IQ_OTHER_LOANS_GROSS_LOANS_FFIEC" hidden="1">"c13414"</definedName>
    <definedName name="IQ_OTHER_LOANS_INDIVIDUALS_CHARGE_OFFS_FFIEC" hidden="1">"c13181"</definedName>
    <definedName name="IQ_OTHER_LOANS_INDIVIDUALS_DUE_30_89_FFIEC" hidden="1">"c13273"</definedName>
    <definedName name="IQ_OTHER_LOANS_INDIVIDUALS_DUE_90_FFIEC" hidden="1">"c13299"</definedName>
    <definedName name="IQ_OTHER_LOANS_INDIVIDUALS_NON_ACCRUAL_FFIEC" hidden="1">"c13325"</definedName>
    <definedName name="IQ_OTHER_LOANS_INDIVIDUALS_RECOV_FFIEC" hidden="1">"c13203"</definedName>
    <definedName name="IQ_OTHER_LOANS_LEASES_FDIC" hidden="1">"c6322"</definedName>
    <definedName name="IQ_OTHER_LOANS_LL_REC_DOM_FFIEC" hidden="1">"c12914"</definedName>
    <definedName name="IQ_OTHER_LOANS_NET_CHARGE_OFFS_FDIC" hidden="1">"c6639"</definedName>
    <definedName name="IQ_OTHER_LOANS_NON_ACCRUAL_FFIEC" hidden="1">"c13327"</definedName>
    <definedName name="IQ_OTHER_LOANS_RECOVERIES_FDIC" hidden="1">"c6620"</definedName>
    <definedName name="IQ_OTHER_LOANS_RISK_BASED_FFIEC" hidden="1">"c13435"</definedName>
    <definedName name="IQ_OTHER_LOANS_TOTAL_FDIC" hidden="1">"c6432"</definedName>
    <definedName name="IQ_OTHER_LOANS_TRADING_DOM_FFIEC" hidden="1">"c12936"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MBS_AVAIL_SALE_FFIEC" hidden="1">"c12801"</definedName>
    <definedName name="IQ_OTHER_MBS_FFIEC" hidden="1">"c12787"</definedName>
    <definedName name="IQ_OTHER_MBS_ISSUED_FNMA_GNMA_TRADING_DOM_FFIEC" hidden="1">"c12922"</definedName>
    <definedName name="IQ_OTHER_MBS_ISSUED_FNMA_GNMA_TRADING_FFIEC" hidden="1">"c12817"</definedName>
    <definedName name="IQ_OTHER_MBS_TRADING_DOM_FFIEC" hidden="1">"c12923"</definedName>
    <definedName name="IQ_OTHER_MBS_TRADING_FFIEC" hidden="1">"c12818"</definedName>
    <definedName name="IQ_OTHER_NET" hidden="1">"c1453"</definedName>
    <definedName name="IQ_OTHER_NON_INT_ALLOCATIONS_FFIEC" hidden="1">"c13065"</definedName>
    <definedName name="IQ_OTHER_NON_INT_EXP" hidden="1">"c953"</definedName>
    <definedName name="IQ_OTHER_NON_INT_EXP_FDIC" hidden="1">"c6578"</definedName>
    <definedName name="IQ_OTHER_NON_INT_EXP_FFIEC" hidden="1">"c13027"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INT_INC_OPERATING_INC_FFIEC" hidden="1">"c13392"</definedName>
    <definedName name="IQ_OTHER_NON_INT_INCOME_FFIEC" hidden="1">"c13016"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FARM_NONRES_GROSS_LOANS_FFIEC" hidden="1">"c13407"</definedName>
    <definedName name="IQ_OTHER_NONFARM_NONRES_LL_REC_DOM_FFIEC" hidden="1">"c12907"</definedName>
    <definedName name="IQ_OTHER_NONFARM_NONRES_RISK_BASED_FFIEC" hidden="1">"c13428"</definedName>
    <definedName name="IQ_OTHER_OFF_BS_ITEMS_FFIEC" hidden="1">"c13126"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OVER_TOTAL" hidden="1">"c13770"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EVOL_CREDIT_CONSUMER_LOANS_FFIEC" hidden="1">"c12823"</definedName>
    <definedName name="IQ_OTHER_REVOLVING_CREDIT_LL_REC_FFIEC" hidden="1">"c12890"</definedName>
    <definedName name="IQ_OTHER_REVOLVING_CREDIT_LOANS_TRADING_DOM_FFIEC" hidden="1">"c12934"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AX_EQUIVALENT_ADJUSTMENTS_FFIEC" hidden="1">"c13855"</definedName>
    <definedName name="IQ_OTHER_TRADING_ASSETS_FFIEC" hidden="1">"c12826"</definedName>
    <definedName name="IQ_OTHER_TRADING_ASSETS_TOTAL_FFIEC" hidden="1">"c12937"</definedName>
    <definedName name="IQ_OTHER_TRADING_LIABILITIES_FFIEC" hidden="1">"c12860"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ED_FFIEC" hidden="1">"c13248"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SUPPLE" hidden="1">"c13816"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VERHEAD_EXP_AVG_ASSETS_FFIEC" hidden="1">"c13361"</definedName>
    <definedName name="IQ_OVERHEAD_EXP_REV_FFIEC" hidden="1">"c13494"</definedName>
    <definedName name="IQ_OVERHEAD_NON_INT_INC_AVG_ASSETS_FFIEC" hidden="1">"c13374"</definedName>
    <definedName name="IQ_OVERHEAD_NON_INT_OPERATING_INC_FFIEC" hidden="1">"c13393"</definedName>
    <definedName name="IQ_OVERHEAD_OPERATING_INC_FFIEC" hidden="1">"c13378"</definedName>
    <definedName name="IQ_OWNER_OCCUPIED_GROSS_LOANS_FFIEC" hidden="1">"c13406"</definedName>
    <definedName name="IQ_OWNER_OCCUPIED_LOANS_RISK_BASED_FFIEC" hidden="1">"c13427"</definedName>
    <definedName name="IQ_OWNER_OCCUPIED_NONFARM_NONRES_LL_REC_DOM_FFIEC" hidden="1">"c12906"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ICIPATIONS_ACCEPTANCES_FFIEC" hidden="1">"c13254"</definedName>
    <definedName name="IQ_PARTNERSHIP_INC_RE" hidden="1">"c12039"</definedName>
    <definedName name="IQ_PASS_THROUGH_FNMA_GNMA_TRADING_FFIEC" hidden="1">"c12816"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ST_DUE_ALLOW_GROSS_LOANS_FFIEC" hidden="1">"c13416"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Company2232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Company2232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DAY" hidden="1">"c1846"</definedName>
    <definedName name="IQ_PERCENT_CHANGE_EST_5YR_GROWTH_RATE_DAY_CIQ" hidden="1">"c3785"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WEEK" hidden="1">"c1847"</definedName>
    <definedName name="IQ_PERCENT_CHANGE_EST_5YR_GROWTH_RATE_WEEK_CIQ" hidden="1">"c3797"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2MONTHS_CIQ" hidden="1">"c3748"</definedName>
    <definedName name="IQ_PERCENT_CHANGE_EST_EBITDA_18MONTHS" hidden="1">"c1805"</definedName>
    <definedName name="IQ_PERCENT_CHANGE_EST_EBITDA_18MONTHS_CIQ" hidden="1">"c3749"</definedName>
    <definedName name="IQ_PERCENT_CHANGE_EST_EBITDA_3MONTHS" hidden="1">"c1801"</definedName>
    <definedName name="IQ_PERCENT_CHANGE_EST_EBITDA_3MONTHS_CIQ" hidden="1">"c3745"</definedName>
    <definedName name="IQ_PERCENT_CHANGE_EST_EBITDA_6MONTHS" hidden="1">"c1802"</definedName>
    <definedName name="IQ_PERCENT_CHANGE_EST_EBITDA_6MONTHS_CIQ" hidden="1">"c3746"</definedName>
    <definedName name="IQ_PERCENT_CHANGE_EST_EBITDA_9MONTHS" hidden="1">"c1803"</definedName>
    <definedName name="IQ_PERCENT_CHANGE_EST_EBITDA_9MONTHS_CIQ" hidden="1">"c3747"</definedName>
    <definedName name="IQ_PERCENT_CHANGE_EST_EBITDA_DAY" hidden="1">"c1798"</definedName>
    <definedName name="IQ_PERCENT_CHANGE_EST_EBITDA_DAY_CIQ" hidden="1">"c3743"</definedName>
    <definedName name="IQ_PERCENT_CHANGE_EST_EBITDA_MONTH" hidden="1">"c1800"</definedName>
    <definedName name="IQ_PERCENT_CHANGE_EST_EBITDA_MONTH_CIQ" hidden="1">"c3744"</definedName>
    <definedName name="IQ_PERCENT_CHANGE_EST_EBITDA_WEEK" hidden="1">"c1799"</definedName>
    <definedName name="IQ_PERCENT_CHANGE_EST_EBITDA_WEEK_CIQ" hidden="1">"c3792"</definedName>
    <definedName name="IQ_PERCENT_CHANGE_EST_EPS_12MONTHS" hidden="1">"c1788"</definedName>
    <definedName name="IQ_PERCENT_CHANGE_EST_EPS_12MONTHS_CIQ" hidden="1">"c3733"</definedName>
    <definedName name="IQ_PERCENT_CHANGE_EST_EPS_18MONTHS" hidden="1">"c1789"</definedName>
    <definedName name="IQ_PERCENT_CHANGE_EST_EPS_18MONTHS_CIQ" hidden="1">"c3734"</definedName>
    <definedName name="IQ_PERCENT_CHANGE_EST_EPS_3MONTHS" hidden="1">"c1785"</definedName>
    <definedName name="IQ_PERCENT_CHANGE_EST_EPS_3MONTHS_CIQ" hidden="1">"c3730"</definedName>
    <definedName name="IQ_PERCENT_CHANGE_EST_EPS_6MONTHS" hidden="1">"c1786"</definedName>
    <definedName name="IQ_PERCENT_CHANGE_EST_EPS_6MONTHS_CIQ" hidden="1">"c3731"</definedName>
    <definedName name="IQ_PERCENT_CHANGE_EST_EPS_9MONTHS" hidden="1">"c1787"</definedName>
    <definedName name="IQ_PERCENT_CHANGE_EST_EPS_9MONTHS_CIQ" hidden="1">"c3732"</definedName>
    <definedName name="IQ_PERCENT_CHANGE_EST_EPS_DAY" hidden="1">"c1782"</definedName>
    <definedName name="IQ_PERCENT_CHANGE_EST_EPS_DAY_CIQ" hidden="1">"c3727"</definedName>
    <definedName name="IQ_PERCENT_CHANGE_EST_EPS_MONTH" hidden="1">"c1784"</definedName>
    <definedName name="IQ_PERCENT_CHANGE_EST_EPS_MONTH_CIQ" hidden="1">"c3729"</definedName>
    <definedName name="IQ_PERCENT_CHANGE_EST_EPS_WEEK" hidden="1">"c1783"</definedName>
    <definedName name="IQ_PERCENT_CHANGE_EST_EPS_WEEK_CIQ" hidden="1">"c3728"</definedName>
    <definedName name="IQ_PERCENT_CHANGE_EST_FFO_12MONTHS" hidden="1">"c1828"</definedName>
    <definedName name="IQ_PERCENT_CHANGE_EST_FFO_12MONTHS_CIQ" hidden="1">"c3769"</definedName>
    <definedName name="IQ_PERCENT_CHANGE_EST_FFO_12MONTHS_Company2646" hidden="1">"c5248"</definedName>
    <definedName name="IQ_PERCENT_CHANGE_EST_FFO_18MONTHS" hidden="1">"c1829"</definedName>
    <definedName name="IQ_PERCENT_CHANGE_EST_FFO_18MONTHS_CIQ" hidden="1">"c3770"</definedName>
    <definedName name="IQ_PERCENT_CHANGE_EST_FFO_18MONTHS_Company2646" hidden="1">"c5249"</definedName>
    <definedName name="IQ_PERCENT_CHANGE_EST_FFO_3MONTHS" hidden="1">"c1825"</definedName>
    <definedName name="IQ_PERCENT_CHANGE_EST_FFO_3MONTHS_CIQ" hidden="1">"c3766"</definedName>
    <definedName name="IQ_PERCENT_CHANGE_EST_FFO_3MONTHS_Company2646" hidden="1">"c5245"</definedName>
    <definedName name="IQ_PERCENT_CHANGE_EST_FFO_6MONTHS" hidden="1">"c1826"</definedName>
    <definedName name="IQ_PERCENT_CHANGE_EST_FFO_6MONTHS_CIQ" hidden="1">"c3767"</definedName>
    <definedName name="IQ_PERCENT_CHANGE_EST_FFO_6MONTHS_Company2646" hidden="1">"c5246"</definedName>
    <definedName name="IQ_PERCENT_CHANGE_EST_FFO_9MONTHS" hidden="1">"c1827"</definedName>
    <definedName name="IQ_PERCENT_CHANGE_EST_FFO_9MONTHS_CIQ" hidden="1">"c3768"</definedName>
    <definedName name="IQ_PERCENT_CHANGE_EST_FFO_9MONTHS_Company2646" hidden="1">"c5247"</definedName>
    <definedName name="IQ_PERCENT_CHANGE_EST_FFO_DAY" hidden="1">"c1822"</definedName>
    <definedName name="IQ_PERCENT_CHANGE_EST_FFO_DAY_CIQ" hidden="1">"c3764"</definedName>
    <definedName name="IQ_PERCENT_CHANGE_EST_FFO_DAY_Company2646" hidden="1">"c5243"</definedName>
    <definedName name="IQ_PERCENT_CHANGE_EST_FFO_MONTH" hidden="1">"c1824"</definedName>
    <definedName name="IQ_PERCENT_CHANGE_EST_FFO_MONTH_CIQ" hidden="1">"c3765"</definedName>
    <definedName name="IQ_PERCENT_CHANGE_EST_FFO_MONTH_Company2646" hidden="1">"c5244"</definedName>
    <definedName name="IQ_PERCENT_CHANGE_EST_FFO_WEEK" hidden="1">"c1823"</definedName>
    <definedName name="IQ_PERCENT_CHANGE_EST_FFO_WEEK_CIQ" hidden="1">"c3795"</definedName>
    <definedName name="IQ_PERCENT_CHANGE_EST_FFO_WEEK_Company2646" hidden="1">"c5274"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3MONTHS" hidden="1">"c1841"</definedName>
    <definedName name="IQ_PERCENT_CHANGE_EST_PRICE_TARGET_3MONTHS_CIQ" hidden="1">"c3780"</definedName>
    <definedName name="IQ_PERCENT_CHANGE_EST_PRICE_TARGET_6MONTHS" hidden="1">"c1842"</definedName>
    <definedName name="IQ_PERCENT_CHANGE_EST_PRICE_TARGET_6MONTHS_CIQ" hidden="1">"c3781"</definedName>
    <definedName name="IQ_PERCENT_CHANGE_EST_PRICE_TARGET_9MONTHS" hidden="1">"c1843"</definedName>
    <definedName name="IQ_PERCENT_CHANGE_EST_PRICE_TARGET_9MONTHS_CIQ" hidden="1">"c3782"</definedName>
    <definedName name="IQ_PERCENT_CHANGE_EST_PRICE_TARGET_DAY" hidden="1">"c1838"</definedName>
    <definedName name="IQ_PERCENT_CHANGE_EST_PRICE_TARGET_DAY_CIQ" hidden="1">"c3778"</definedName>
    <definedName name="IQ_PERCENT_CHANGE_EST_PRICE_TARGET_MONTH" hidden="1">"c1840"</definedName>
    <definedName name="IQ_PERCENT_CHANGE_EST_PRICE_TARGET_MONTH_CIQ" hidden="1">"c3779"</definedName>
    <definedName name="IQ_PERCENT_CHANGE_EST_PRICE_TARGET_WEEK" hidden="1">"c1839"</definedName>
    <definedName name="IQ_PERCENT_CHANGE_EST_PRICE_TARGET_WEEK_CIQ" hidden="1">"c3798"</definedName>
    <definedName name="IQ_PERCENT_CHANGE_EST_RECO_12MONTHS" hidden="1">"c1836"</definedName>
    <definedName name="IQ_PERCENT_CHANGE_EST_RECO_12MONTHS_CIQ" hidden="1">"c3776"</definedName>
    <definedName name="IQ_PERCENT_CHANGE_EST_RECO_18MONTHS" hidden="1">"c1837"</definedName>
    <definedName name="IQ_PERCENT_CHANGE_EST_RECO_18MONTHS_CIQ" hidden="1">"c3777"</definedName>
    <definedName name="IQ_PERCENT_CHANGE_EST_RECO_3MONTHS" hidden="1">"c1833"</definedName>
    <definedName name="IQ_PERCENT_CHANGE_EST_RECO_3MONTHS_CIQ" hidden="1">"c3773"</definedName>
    <definedName name="IQ_PERCENT_CHANGE_EST_RECO_6MONTHS" hidden="1">"c1834"</definedName>
    <definedName name="IQ_PERCENT_CHANGE_EST_RECO_6MONTHS_CIQ" hidden="1">"c3774"</definedName>
    <definedName name="IQ_PERCENT_CHANGE_EST_RECO_9MONTHS" hidden="1">"c1835"</definedName>
    <definedName name="IQ_PERCENT_CHANGE_EST_RECO_9MONTHS_CIQ" hidden="1">"c3775"</definedName>
    <definedName name="IQ_PERCENT_CHANGE_EST_RECO_DAY" hidden="1">"c1830"</definedName>
    <definedName name="IQ_PERCENT_CHANGE_EST_RECO_DAY_CIQ" hidden="1">"c3771"</definedName>
    <definedName name="IQ_PERCENT_CHANGE_EST_RECO_MONTH" hidden="1">"c1832"</definedName>
    <definedName name="IQ_PERCENT_CHANGE_EST_RECO_MONTH_CIQ" hidden="1">"c3772"</definedName>
    <definedName name="IQ_PERCENT_CHANGE_EST_RECO_WEEK" hidden="1">"c1831"</definedName>
    <definedName name="IQ_PERCENT_CHANGE_EST_RECO_WEEK_CIQ" hidden="1">"c3796"</definedName>
    <definedName name="IQ_PERCENT_CHANGE_EST_REV_12MONTHS" hidden="1">"c1796"</definedName>
    <definedName name="IQ_PERCENT_CHANGE_EST_REV_12MONTHS_CIQ" hidden="1">"c3741"</definedName>
    <definedName name="IQ_PERCENT_CHANGE_EST_REV_18MONTHS" hidden="1">"c1797"</definedName>
    <definedName name="IQ_PERCENT_CHANGE_EST_REV_18MONTHS_CIQ" hidden="1">"c3742"</definedName>
    <definedName name="IQ_PERCENT_CHANGE_EST_REV_3MONTHS" hidden="1">"c1793"</definedName>
    <definedName name="IQ_PERCENT_CHANGE_EST_REV_3MONTHS_CIQ" hidden="1">"c3738"</definedName>
    <definedName name="IQ_PERCENT_CHANGE_EST_REV_6MONTHS" hidden="1">"c1794"</definedName>
    <definedName name="IQ_PERCENT_CHANGE_EST_REV_6MONTHS_CIQ" hidden="1">"c3739"</definedName>
    <definedName name="IQ_PERCENT_CHANGE_EST_REV_9MONTHS" hidden="1">"c1795"</definedName>
    <definedName name="IQ_PERCENT_CHANGE_EST_REV_9MONTHS_CIQ" hidden="1">"c3740"</definedName>
    <definedName name="IQ_PERCENT_CHANGE_EST_REV_DAY" hidden="1">"c1790"</definedName>
    <definedName name="IQ_PERCENT_CHANGE_EST_REV_DAY_CIQ" hidden="1">"c3735"</definedName>
    <definedName name="IQ_PERCENT_CHANGE_EST_REV_MONTH" hidden="1">"c1792"</definedName>
    <definedName name="IQ_PERCENT_CHANGE_EST_REV_MONTH_CIQ" hidden="1">"c3737"</definedName>
    <definedName name="IQ_PERCENT_CHANGE_EST_REV_WEEK" hidden="1">"c1791"</definedName>
    <definedName name="IQ_PERCENT_CHANGE_EST_REV_WEEK_CIQ" hidden="1">"c3736"</definedName>
    <definedName name="IQ_PERCENT_INSURED_FDIC" hidden="1">"c6374"</definedName>
    <definedName name="IQ_PERFORMANCE_LOC_FOREIGN_GUARANTEES_FFIEC" hidden="1">"c13251"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 hidden="1">"c13646"</definedName>
    <definedName name="IQ_PERIODDATE_FFIEC" hidden="1">"c13645"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SONNEL_EXP_AVG_ASSETS_FFIEC" hidden="1">"c13371"</definedName>
    <definedName name="IQ_PERSONNEL_EXP_OPERATING_INC_FFIEC" hidden="1">"c13379"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_INVEST_SECURITIES_FFIEC" hidden="1">"c13467"</definedName>
    <definedName name="IQ_PLEDGED_SECURITIES_FDIC" hidden="1">"c6401"</definedName>
    <definedName name="IQ_PLL" hidden="1">"c2114"</definedName>
    <definedName name="IQ_Company2089_DIFFUSION_INDEX" hidden="1">"c6946"</definedName>
    <definedName name="IQ_Company2089_DIFFUSION_INDEX_APR" hidden="1">"c7606"</definedName>
    <definedName name="IQ_Company2089_DIFFUSION_INDEX_APR_FC" hidden="1">"c8486"</definedName>
    <definedName name="IQ_Company2089_DIFFUSION_INDEX_FC" hidden="1">"c7826"</definedName>
    <definedName name="IQ_Company2089_DIFFUSION_INDEX_POP" hidden="1">"c7166"</definedName>
    <definedName name="IQ_Company2089_DIFFUSION_INDEX_POP_FC" hidden="1">"c8046"</definedName>
    <definedName name="IQ_Company2089_DIFFUSION_INDEX_YOY" hidden="1">"c7386"</definedName>
    <definedName name="IQ_Company2089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LICYHOLDER_BENEFITS_LH_FFIEC" hidden="1">"c13107"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ITIVE_FAIR_VALUE_DERIVATIVES_BENEFICIARY_FFIEC" hidden="1">"c13123"</definedName>
    <definedName name="IQ_POSITIVE_FAIR_VALUE_DERIVATIVES_GUARANTOR_FFIEC" hidden="1">"c13116"</definedName>
    <definedName name="IQ_POST_RETIRE_EXP" hidden="1">"c1039"</definedName>
    <definedName name="IQ_POSTAGE_FFIEC" hidden="1">"c13051"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CIQ" hidden="1">"c3799"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PERSON0813" hidden="1">"c9271"</definedName>
    <definedName name="IQ_PP_ATTRIB_ORE_RESERVES_PLAT" hidden="1">"c9109"</definedName>
    <definedName name="IQ_PP_ATTRIB_ORE_RESERVES_SILVER" hidden="1">"c9056"</definedName>
    <definedName name="IQ_PP_ATTRIB_ORE_RESERVES_PRODUCT0419" hidden="1">"c9536"</definedName>
    <definedName name="IQ_PP_ATTRIB_ORE_RESERVES_URAN" hidden="1">"c9589"</definedName>
    <definedName name="IQ_PP_ATTRIB_ORE_RESERVES_Company3050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PERSON0813" hidden="1">"c9264"</definedName>
    <definedName name="IQ_PP_ORE_RESERVES_PLAT" hidden="1">"c9102"</definedName>
    <definedName name="IQ_PP_ORE_RESERVES_SILVER" hidden="1">"c9049"</definedName>
    <definedName name="IQ_PP_ORE_RESERVES_PRODUCT0419" hidden="1">"c9529"</definedName>
    <definedName name="IQ_PP_ORE_RESERVES_URAN" hidden="1">"c9582"</definedName>
    <definedName name="IQ_PP_ORE_RESERVES_Company3050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PERSON0813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PRODUCT0419" hidden="1">"c9539"</definedName>
    <definedName name="IQ_PP_RECOV_ATTRIB_RESERVES_URAN" hidden="1">"c9592"</definedName>
    <definedName name="IQ_PP_RECOV_ATTRIB_RESERVES_Company3050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PERSON0813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PRODUCT0419" hidden="1">"c9533"</definedName>
    <definedName name="IQ_PP_RECOV_RESERVES_URAN" hidden="1">"c9586"</definedName>
    <definedName name="IQ_PP_RECOV_RESERVES_Company3050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PERSON0813" hidden="1">"c9265"</definedName>
    <definedName name="IQ_PP_RESERVES_GRADE_PLAT" hidden="1">"c9103"</definedName>
    <definedName name="IQ_PP_RESERVES_GRADE_SILVER" hidden="1">"c9050"</definedName>
    <definedName name="IQ_PP_RESERVES_GRADE_PRODUCT0419" hidden="1">"c9530"</definedName>
    <definedName name="IQ_PP_RESERVES_GRADE_URAN" hidden="1">"c9583"</definedName>
    <definedName name="IQ_PP_RESERVES_GRADE_Company3050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STOCK_FFIEC" hidden="1">"c12875"</definedName>
    <definedName name="IQ_PREF_TOT" hidden="1">"c1415"</definedName>
    <definedName name="IQ_PREFERRED_FDIC" hidden="1">"c6349"</definedName>
    <definedName name="IQ_PREFERRED_LIST" hidden="1">"c13506"</definedName>
    <definedName name="IQ_PREMISES_EQUIPMENT_FDIC" hidden="1">"c6577"</definedName>
    <definedName name="IQ_PREMISES_FIXED_ASSETS_CAP_LEASES_FFIEC" hidden="1">"c12830"</definedName>
    <definedName name="IQ_PREMIUM_INSURANCE_CREDIT_FFIEC" hidden="1">"c13070"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OPERATING_INC_AVG_ASSETS_FFIEC" hidden="1">"c13365"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ICE_CFPS_FWD" hidden="1">"c2237"</definedName>
    <definedName name="IQ_PRICE_OVER_BVPS" hidden="1">"c1412"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BOTTOM_UP_CIQ" hidden="1">"c12023"</definedName>
    <definedName name="IQ_PRICE_TARGET_CIQ" hidden="1">"c3613"</definedName>
    <definedName name="IQ_PRICE_TARGET_Company2232" hidden="1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IVATE_CONST_TOTAL_APR_FC_UNUSED" hidden="1">"c8559"</definedName>
    <definedName name="IQ_PRIVATE_CONST_TOTAL_APR_FC_UNUSED_UNUSED_UNUSED" hidden="1">"c8559"</definedName>
    <definedName name="IQ_PRIVATE_CONST_TOTAL_APR_UNUSED" hidden="1">"c7679"</definedName>
    <definedName name="IQ_PRIVATE_CONST_TOTAL_APR_UNUSED_UNUSED_UNUSED" hidden="1">"c7679"</definedName>
    <definedName name="IQ_PRIVATE_CONST_TOTAL_FC_UNUSED" hidden="1">"c7899"</definedName>
    <definedName name="IQ_PRIVATE_CONST_TOTAL_FC_UNUSED_UNUSED_UNUSED" hidden="1">"c7899"</definedName>
    <definedName name="IQ_PRIVATE_CONST_TOTAL_POP_FC_UNUSED" hidden="1">"c8119"</definedName>
    <definedName name="IQ_PRIVATE_CONST_TOTAL_POP_FC_UNUSED_UNUSED_UNUSED" hidden="1">"c8119"</definedName>
    <definedName name="IQ_PRIVATE_CONST_TOTAL_POP_UNUSED" hidden="1">"c7239"</definedName>
    <definedName name="IQ_PRIVATE_CONST_TOTAL_POP_UNUSED_UNUSED_UNUSED" hidden="1">"c7239"</definedName>
    <definedName name="IQ_PRIVATE_CONST_TOTAL_UNUSED" hidden="1">"c7019"</definedName>
    <definedName name="IQ_PRIVATE_CONST_TOTAL_UNUSED_UNUSED_UNUSED" hidden="1">"c7019"</definedName>
    <definedName name="IQ_PRIVATE_CONST_TOTAL_YOY_FC_UNUSED" hidden="1">"c8339"</definedName>
    <definedName name="IQ_PRIVATE_CONST_TOTAL_YOY_FC_UNUSED_UNUSED_UNUSED" hidden="1">"c8339"</definedName>
    <definedName name="IQ_PRIVATE_CONST_TOTAL_YOY_UNUSED" hidden="1">"c7459"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FC_UNUSED_UNUSED_UNUSED" hidden="1">"c8535"</definedName>
    <definedName name="IQ_PRIVATE_RES_CONST_REAL_APR_UNUSED" hidden="1">"c7655"</definedName>
    <definedName name="IQ_PRIVATE_RES_CONST_REAL_APR_UNUSED_UNUSED_UNUSED" hidden="1">"c7655"</definedName>
    <definedName name="IQ_PRIVATE_RES_CONST_REAL_FC_UNUSED" hidden="1">"c7875"</definedName>
    <definedName name="IQ_PRIVATE_RES_CONST_REAL_FC_UNUSED_UNUSED_UNUSED" hidden="1">"c7875"</definedName>
    <definedName name="IQ_PRIVATE_RES_CONST_REAL_POP_FC_UNUSED" hidden="1">"c8095"</definedName>
    <definedName name="IQ_PRIVATE_RES_CONST_REAL_POP_FC_UNUSED_UNUSED_UNUSED" hidden="1">"c8095"</definedName>
    <definedName name="IQ_PRIVATE_RES_CONST_REAL_POP_UNUSED" hidden="1">"c7215"</definedName>
    <definedName name="IQ_PRIVATE_RES_CONST_REAL_POP_UNUSED_UNUSED_UNUSED" hidden="1">"c7215"</definedName>
    <definedName name="IQ_PRIVATE_RES_CONST_REAL_UNUSED" hidden="1">"c6995"</definedName>
    <definedName name="IQ_PRIVATE_RES_CONST_REAL_UNUSED_UNUSED_UNUSED" hidden="1">"c6995"</definedName>
    <definedName name="IQ_PRIVATE_RES_CONST_REAL_YOY_FC_UNUSED" hidden="1">"c8315"</definedName>
    <definedName name="IQ_PRIVATE_RES_CONST_REAL_YOY_FC_UNUSED_UNUSED_UNUSED" hidden="1">"c8315"</definedName>
    <definedName name="IQ_PRIVATE_RES_CONST_REAL_YOY_UNUSED" hidden="1">"c7435"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PERSON0813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PRODUCT0419" hidden="1">"c9535"</definedName>
    <definedName name="IQ_PROBABLE_ATTRIB_ORE_RESERVES_URAN" hidden="1">"c9588"</definedName>
    <definedName name="IQ_PROBABLE_ATTRIB_ORE_RESERVES_Company3050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PERSON0813" hidden="1">"c9262"</definedName>
    <definedName name="IQ_PROBABLE_ORE_RESERVES_PLAT" hidden="1">"c9100"</definedName>
    <definedName name="IQ_PROBABLE_ORE_RESERVES_SILVER" hidden="1">"c9047"</definedName>
    <definedName name="IQ_PROBABLE_ORE_RESERVES_PRODUCT0419" hidden="1">"c9527"</definedName>
    <definedName name="IQ_PROBABLE_ORE_RESERVES_URAN" hidden="1">"c9580"</definedName>
    <definedName name="IQ_PROBABLE_ORE_RESERVES_Company3050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PERSON0813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PRODUCT0419" hidden="1">"c9538"</definedName>
    <definedName name="IQ_PROBABLE_RECOV_ATTRIB_RESERVES_URAN" hidden="1">"c9591"</definedName>
    <definedName name="IQ_PROBABLE_RECOV_ATTRIB_RESERVES_Company3050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PERSON0813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PRODUCT0419" hidden="1">"c9532"</definedName>
    <definedName name="IQ_PROBABLE_RECOV_RESERVES_URAN" hidden="1">"c9585"</definedName>
    <definedName name="IQ_PROBABLE_RECOV_RESERVES_Company3050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PERSON0813" hidden="1">"c9263"</definedName>
    <definedName name="IQ_PROBABLE_RESERVES_GRADE_PLAT" hidden="1">"c9101"</definedName>
    <definedName name="IQ_PROBABLE_RESERVES_GRADE_SILVER" hidden="1">"c9048"</definedName>
    <definedName name="IQ_PROBABLE_RESERVES_GRADE_PRODUCT0419" hidden="1">"c9528"</definedName>
    <definedName name="IQ_PROBABLE_RESERVES_GRADE_URAN" hidden="1">"c9581"</definedName>
    <definedName name="IQ_PROBABLE_RESERVES_GRADE_Company3050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PERSON0813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PRODUCT0419" hidden="1">"c9571"</definedName>
    <definedName name="IQ_PRODUCTION_COST_URAN" hidden="1">"c9624"</definedName>
    <definedName name="IQ_PRODUCTION_COST_Company3050" hidden="1">"c9359"</definedName>
    <definedName name="IQ_PROFESSIONAL" hidden="1">"c1071"</definedName>
    <definedName name="IQ_PROFESSIONAL_ID" hidden="1">"c13755"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PERSON0813" hidden="1">"c9269"</definedName>
    <definedName name="IQ_PROVED_ATTRIB_ORE_RESERVES_PLAT" hidden="1">"c9107"</definedName>
    <definedName name="IQ_PROVED_ATTRIB_ORE_RESERVES_SILVER" hidden="1">"c9054"</definedName>
    <definedName name="IQ_PROVED_ATTRIB_ORE_RESERVES_PRODUCT0419" hidden="1">"c9534"</definedName>
    <definedName name="IQ_PROVED_ATTRIB_ORE_RESERVES_URAN" hidden="1">"c9587"</definedName>
    <definedName name="IQ_PROVED_ATTRIB_ORE_RESERVES_Company3050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PERSON0813" hidden="1">"c9260"</definedName>
    <definedName name="IQ_PROVED_ORE_RESERVES_PLAT" hidden="1">"c9098"</definedName>
    <definedName name="IQ_PROVED_ORE_RESERVES_SILVER" hidden="1">"c9045"</definedName>
    <definedName name="IQ_PROVED_ORE_RESERVES_PRODUCT0419" hidden="1">"c9525"</definedName>
    <definedName name="IQ_PROVED_ORE_RESERVES_URAN" hidden="1">"c9578"</definedName>
    <definedName name="IQ_PROVED_ORE_RESERVES_Company3050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PERSON0813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PRODUCT0419" hidden="1">"c9537"</definedName>
    <definedName name="IQ_PROVED_RECOV_ATTRIB_RESERVES_URAN" hidden="1">"c9590"</definedName>
    <definedName name="IQ_PROVED_RECOV_ATTRIB_RESERVES_Company3050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PERSON0813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PRODUCT0419" hidden="1">"c9531"</definedName>
    <definedName name="IQ_PROVED_RECOV_RESERVES_URAN" hidden="1">"c9584"</definedName>
    <definedName name="IQ_PROVED_RECOV_RESERVES_Company3050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PERSON0813" hidden="1">"c9261"</definedName>
    <definedName name="IQ_PROVED_RESERVES_GRADE_PLAT" hidden="1">"c9099"</definedName>
    <definedName name="IQ_PROVED_RESERVES_GRADE_SILVER" hidden="1">"c9046"</definedName>
    <definedName name="IQ_PROVED_RESERVES_GRADE_PRODUCT0419" hidden="1">"c9526"</definedName>
    <definedName name="IQ_PROVED_RESERVES_GRADE_URAN" hidden="1">"c9579"</definedName>
    <definedName name="IQ_PROVED_RESERVES_GRADE_Company3050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ROVISION_LL_FFIEC" hidden="1">"c13019"</definedName>
    <definedName name="IQ_PROVISION_LOSSES_AVG_ASSETS_FFIEC" hidden="1">"c13362"</definedName>
    <definedName name="IQ_PROVISION_LOSSES_AVG_LOANS_FFIEC" hidden="1">"c13470"</definedName>
    <definedName name="IQ_PROVISION_LOSSES_NET_LOSSES_FFIEC" hidden="1">"c13471"</definedName>
    <definedName name="IQ_PTBV" hidden="1">"c1084"</definedName>
    <definedName name="IQ_PTBV_AVG" hidden="1">"c1085"</definedName>
    <definedName name="IQ_PURCHASE_FOREIGN_CURRENCIES_FDIC" hidden="1">"c6513"</definedName>
    <definedName name="IQ_PURCHASE_TREASURY_FFIEC" hidden="1">"c12966"</definedName>
    <definedName name="IQ_PURCHASED_CREDIT_RELS_SERVICING_ASSETS_FFIEC" hidden="1">"c12839"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" hidden="1">"c8491"</definedName>
    <definedName name="IQ_PURCHASES_EQUIP_NONRES_SAAR_APR_FC_UNUSED_UNUSED_UNUSED" hidden="1">"c8491"</definedName>
    <definedName name="IQ_PURCHASES_EQUIP_NONRES_SAAR_APR_UNUSED" hidden="1">"c7611"</definedName>
    <definedName name="IQ_PURCHASES_EQUIP_NONRES_SAAR_APR_UNUSED_UNUSED_UNUSED" hidden="1">"c7611"</definedName>
    <definedName name="IQ_PURCHASES_EQUIP_NONRES_SAAR_FC_UNUSED" hidden="1">"c7831"</definedName>
    <definedName name="IQ_PURCHASES_EQUIP_NONRES_SAAR_FC_UNUSED_UNUSED_UNUSED" hidden="1">"c7831"</definedName>
    <definedName name="IQ_PURCHASES_EQUIP_NONRES_SAAR_POP_FC_UNUSED" hidden="1">"c8051"</definedName>
    <definedName name="IQ_PURCHASES_EQUIP_NONRES_SAAR_POP_FC_UNUSED_UNUSED_UNUSED" hidden="1">"c8051"</definedName>
    <definedName name="IQ_PURCHASES_EQUIP_NONRES_SAAR_POP_UNUSED" hidden="1">"c7171"</definedName>
    <definedName name="IQ_PURCHASES_EQUIP_NONRES_SAAR_POP_UNUSED_UNUSED_UNUSED" hidden="1">"c7171"</definedName>
    <definedName name="IQ_PURCHASES_EQUIP_NONRES_SAAR_UNUSED" hidden="1">"c6951"</definedName>
    <definedName name="IQ_PURCHASES_EQUIP_NONRES_SAAR_UNUSED_UNUSED_UNUSED" hidden="1">"c6951"</definedName>
    <definedName name="IQ_PURCHASES_EQUIP_NONRES_SAAR_YOY_FC_UNUSED" hidden="1">"c8271"</definedName>
    <definedName name="IQ_PURCHASES_EQUIP_NONRES_SAAR_YOY_FC_UNUSED_UNUSED_UNUSED" hidden="1">"c8271"</definedName>
    <definedName name="IQ_PURCHASES_EQUIP_NONRES_SAAR_YOY_UNUSED" hidden="1">"c7391"</definedName>
    <definedName name="IQ_PURCHASES_EQUIP_NONRES_SAAR_YOY_UNUSED_UNUSED_UNUSED" hidden="1">"c7391"</definedName>
    <definedName name="IQ_PURCHASING_SECURITIES_LL_REC_FFIEC" hidden="1">"c12893"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ALIFYING_MINORITY_INT_T1_FFIEC" hidden="1">"c13135"</definedName>
    <definedName name="IQ_QUALIFYING_SUB_DEBT_REDEEM_PREF_T2_FFIEC" hidden="1">"c13144"</definedName>
    <definedName name="IQ_QUALIFYING_TRUST_PREFERRED_T1_FFIEC" hidden="1">"c13136"</definedName>
    <definedName name="IQ_QUICK_COMP" hidden="1">"c13750"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1_4_RISK_BASED_FFIEC" hidden="1">"c13418"</definedName>
    <definedName name="IQ_RE_ACQ_SATISFACTION_DEBTS_FFIEC" hidden="1">"c12832"</definedName>
    <definedName name="IQ_RE_DEPR_AMORT" hidden="1">"c8750"</definedName>
    <definedName name="IQ_RE_FARMLAND_GROSS_LOANS_FFIEC" hidden="1">"c13408"</definedName>
    <definedName name="IQ_RE_FARMLAND_RISK_BASED_FFIEC" hidden="1">"c13429"</definedName>
    <definedName name="IQ_RE_Company0943" hidden="1">"c8858"</definedName>
    <definedName name="IQ_RE_Company0943_CONT_OPS" hidden="1">"c8859"</definedName>
    <definedName name="IQ_RE_Company0943_INCL_DISC_OPS" hidden="1">"c8860"</definedName>
    <definedName name="IQ_RE_Company0943_INCL_PREF_DIV" hidden="1">"c8861"</definedName>
    <definedName name="IQ_RE_Company0943_INCL_PREF_DIV_CONT_OPS" hidden="1">"c8862"</definedName>
    <definedName name="IQ_RE_Company0943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FOREIGN_FFIEC" hidden="1">"c13479"</definedName>
    <definedName name="IQ_RE_GAIN_LOSS_SALE_ASSETS" hidden="1">"c8751"</definedName>
    <definedName name="IQ_RE_INVEST_FDIC" hidden="1">"c6331"</definedName>
    <definedName name="IQ_RE_LOANS_1_4_GROSS_LOANS_FFIEC" hidden="1">"c13397"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LOANS_GROSS_LOANS_FFIEC" hidden="1">"c13396"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_RISK_BASED_FFIEC" hidden="1">"c13417"</definedName>
    <definedName name="IQ_REAL_ESTATE" hidden="1">"c1093"</definedName>
    <definedName name="IQ_REAL_ESTATE_ASSETS" hidden="1">"c1094"</definedName>
    <definedName name="IQ_REALIZED_GAINS_AVAIL_SALE_SEC_FFIEC" hidden="1">"c13022"</definedName>
    <definedName name="IQ_REALIZED_GAINS_HELD_MATURITY_SEC_FFIEC" hidden="1">"c13021"</definedName>
    <definedName name="IQ_REALIZED_GAINS_SEC_TOT_FFIEC" hidden="1">"c13517"</definedName>
    <definedName name="IQ_RECOVERIES_1_4_FAMILY_LOANS_FDIC" hidden="1">"c6707"</definedName>
    <definedName name="IQ_RECOVERIES_AUTO_LOANS_FDIC" hidden="1">"c6701"</definedName>
    <definedName name="IQ_RECOVERIES_AVG_LOANS_FFIEC" hidden="1">"c13476"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SHARE_ACT_OR_EST" hidden="1">"c4508"</definedName>
    <definedName name="IQ_RECURRING_PROFIT_SHARE_ACT_OR_EST_CIQ" hidden="1">"c5046"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INSURANCE_RECOVERABLE_ASSETS_LH_FFIEC" hidden="1">"c13104"</definedName>
    <definedName name="IQ_REINSURANCE_RECOVERABLE_ASSETS_PC_FFIEC" hidden="1">"c13098"</definedName>
    <definedName name="IQ_RELATED_PLANS_FDIC" hidden="1">"c6320"</definedName>
    <definedName name="IQ_RENT_OTHER_INC_FROM_OREO_FFIEC" hidden="1">"c13043"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_SAFE_DEPOSIT_FFIEC" hidden="1">"c13044"</definedName>
    <definedName name="IQ_RENTAL_REV" hidden="1">"c1101"</definedName>
    <definedName name="IQ_REPRICEABLE_EARNING_ASSETS_INT_SENSITIVITY_FFIEC" hidden="1">"c13093"</definedName>
    <definedName name="IQ_REPRICEABLE_INT_DEPOSITS_INT_SENSITIVITY_FFIEC" hidden="1">"c13094"</definedName>
    <definedName name="IQ_REPURCHASED_REBOOKED_GNMA_DUE_30_89_FFIEC" hidden="1">"c13283"</definedName>
    <definedName name="IQ_REPURCHASED_REBOOKED_GNMA_DUE_90_FFIEC" hidden="1">"c13309"</definedName>
    <definedName name="IQ_REPURCHASED_REBOOKED_GNMA_NON_ACCRUAL_FFIEC" hidden="1">"c13334"</definedName>
    <definedName name="IQ_RES_CONST_REAL_APR_FC_UNUSED" hidden="1">"c8536"</definedName>
    <definedName name="IQ_RES_CONST_REAL_APR_FC_UNUSED_UNUSED_UNUSED" hidden="1">"c8536"</definedName>
    <definedName name="IQ_RES_CONST_REAL_APR_UNUSED" hidden="1">"c7656"</definedName>
    <definedName name="IQ_RES_CONST_REAL_APR_UNUSED_UNUSED_UNUSED" hidden="1">"c7656"</definedName>
    <definedName name="IQ_RES_CONST_REAL_FC_UNUSED" hidden="1">"c7876"</definedName>
    <definedName name="IQ_RES_CONST_REAL_FC_UNUSED_UNUSED_UNUSED" hidden="1">"c7876"</definedName>
    <definedName name="IQ_RES_CONST_REAL_POP_FC_UNUSED" hidden="1">"c8096"</definedName>
    <definedName name="IQ_RES_CONST_REAL_POP_FC_UNUSED_UNUSED_UNUSED" hidden="1">"c8096"</definedName>
    <definedName name="IQ_RES_CONST_REAL_POP_UNUSED" hidden="1">"c7216"</definedName>
    <definedName name="IQ_RES_CONST_REAL_POP_UNUSED_UNUSED_UNUSED" hidden="1">"c7216"</definedName>
    <definedName name="IQ_RES_CONST_REAL_SAAR_APR_FC_UNUSED" hidden="1">"c8537"</definedName>
    <definedName name="IQ_RES_CONST_REAL_SAAR_APR_FC_UNUSED_UNUSED_UNUSED" hidden="1">"c8537"</definedName>
    <definedName name="IQ_RES_CONST_REAL_SAAR_APR_UNUSED" hidden="1">"c7657"</definedName>
    <definedName name="IQ_RES_CONST_REAL_SAAR_APR_UNUSED_UNUSED_UNUSED" hidden="1">"c7657"</definedName>
    <definedName name="IQ_RES_CONST_REAL_SAAR_FC_UNUSED" hidden="1">"c7877"</definedName>
    <definedName name="IQ_RES_CONST_REAL_SAAR_FC_UNUSED_UNUSED_UNUSED" hidden="1">"c7877"</definedName>
    <definedName name="IQ_RES_CONST_REAL_SAAR_POP_FC_UNUSED" hidden="1">"c8097"</definedName>
    <definedName name="IQ_RES_CONST_REAL_SAAR_POP_FC_UNUSED_UNUSED_UNUSED" hidden="1">"c8097"</definedName>
    <definedName name="IQ_RES_CONST_REAL_SAAR_POP_UNUSED" hidden="1">"c7217"</definedName>
    <definedName name="IQ_RES_CONST_REAL_SAAR_POP_UNUSED_UNUSED_UNUSED" hidden="1">"c7217"</definedName>
    <definedName name="IQ_RES_CONST_REAL_SAAR_UNUSED" hidden="1">"c6997"</definedName>
    <definedName name="IQ_RES_CONST_REAL_SAAR_UNUSED_UNUSED_UNUSED" hidden="1">"c6997"</definedName>
    <definedName name="IQ_RES_CONST_REAL_SAAR_YOY_FC_UNUSED" hidden="1">"c8317"</definedName>
    <definedName name="IQ_RES_CONST_REAL_SAAR_YOY_FC_UNUSED_UNUSED_UNUSED" hidden="1">"c8317"</definedName>
    <definedName name="IQ_RES_CONST_REAL_SAAR_YOY_UNUSED" hidden="1">"c7437"</definedName>
    <definedName name="IQ_RES_CONST_REAL_SAAR_YOY_UNUSED_UNUSED_UNUSED" hidden="1">"c7437"</definedName>
    <definedName name="IQ_RES_CONST_REAL_UNUSED" hidden="1">"c6996"</definedName>
    <definedName name="IQ_RES_CONST_REAL_UNUSED_UNUSED_UNUSED" hidden="1">"c6996"</definedName>
    <definedName name="IQ_RES_CONST_REAL_YOY_FC_UNUSED" hidden="1">"c8316"</definedName>
    <definedName name="IQ_RES_CONST_REAL_YOY_FC_UNUSED_UNUSED_UNUSED" hidden="1">"c8316"</definedName>
    <definedName name="IQ_RES_CONST_REAL_YOY_UNUSED" hidden="1">"c7436"</definedName>
    <definedName name="IQ_RES_CONST_REAL_YOY_UNUSED_UNUSED_UNUSED" hidden="1">"c7436"</definedName>
    <definedName name="IQ_RES_CONST_SAAR_APR_FC_UNUSED" hidden="1">"c8540"</definedName>
    <definedName name="IQ_RES_CONST_SAAR_APR_FC_UNUSED_UNUSED_UNUSED" hidden="1">"c8540"</definedName>
    <definedName name="IQ_RES_CONST_SAAR_APR_UNUSED" hidden="1">"c7660"</definedName>
    <definedName name="IQ_RES_CONST_SAAR_APR_UNUSED_UNUSED_UNUSED" hidden="1">"c7660"</definedName>
    <definedName name="IQ_RES_CONST_SAAR_FC_UNUSED" hidden="1">"c7880"</definedName>
    <definedName name="IQ_RES_CONST_SAAR_FC_UNUSED_UNUSED_UNUSED" hidden="1">"c7880"</definedName>
    <definedName name="IQ_RES_CONST_SAAR_POP_FC_UNUSED" hidden="1">"c8100"</definedName>
    <definedName name="IQ_RES_CONST_SAAR_POP_FC_UNUSED_UNUSED_UNUSED" hidden="1">"c8100"</definedName>
    <definedName name="IQ_RES_CONST_SAAR_POP_UNUSED" hidden="1">"c7220"</definedName>
    <definedName name="IQ_RES_CONST_SAAR_POP_UNUSED_UNUSED_UNUSED" hidden="1">"c7220"</definedName>
    <definedName name="IQ_RES_CONST_SAAR_UNUSED" hidden="1">"c7000"</definedName>
    <definedName name="IQ_RES_CONST_SAAR_UNUSED_UNUSED_UNUSED" hidden="1">"c7000"</definedName>
    <definedName name="IQ_RES_CONST_SAAR_YOY_FC_UNUSED" hidden="1">"c8320"</definedName>
    <definedName name="IQ_RES_CONST_SAAR_YOY_FC_UNUSED_UNUSED_UNUSED" hidden="1">"c8320"</definedName>
    <definedName name="IQ_RES_CONST_SAAR_YOY_UNUSED" hidden="1">"c7440"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FFIEC" hidden="1">"c12958"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SUPPLE" hidden="1">"c13809"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AINED_EARNINGS_EQUITY_FFIEC" hidden="1">"c13348"</definedName>
    <definedName name="IQ_RETAINED_EARNINGS_FFIEC" hidden="1">"c12878"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COMMON_EQUITY" hidden="1">"c13838"</definedName>
    <definedName name="IQ_RETURN_EMBEDDED_VALUE" hidden="1">"c9974"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Company2232" hidden="1">"c3639"</definedName>
    <definedName name="IQ_REV_UTI" hidden="1">"c1125"</definedName>
    <definedName name="IQ_REVALUATION_GAINS_DERIVATIVE_DOM_FFIEC" hidden="1">"c12828"</definedName>
    <definedName name="IQ_REVALUATION_GAINS_DERIVATIVE_FOREIGN_FFIEC" hidden="1">"c12829"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ACT_OR_EST" hidden="1">"c2214"</definedName>
    <definedName name="IQ_REVENUE_ACT_OR_EST_CIQ" hidden="1">"c5059"</definedName>
    <definedName name="IQ_REVENUE_BEFORE_LL_FFIEC" hidden="1">"c13018"</definedName>
    <definedName name="IQ_REVENUE_EST" hidden="1">"c1126"</definedName>
    <definedName name="IQ_REVENUE_EST_BOTTOM_UP_CIQ" hidden="1">"c12025"</definedName>
    <definedName name="IQ_REVENUE_EST_CIQ" hidden="1">"c3616"</definedName>
    <definedName name="IQ_REVENUE_EST_Company2232" hidden="1">"c3634"</definedName>
    <definedName name="IQ_REVENUE_HIGH_EST" hidden="1">"c1127"</definedName>
    <definedName name="IQ_REVENUE_HIGH_EST_CIQ" hidden="1">"c3618"</definedName>
    <definedName name="IQ_REVENUE_HIGH_EST_Company2232" hidden="1">"c3636"</definedName>
    <definedName name="IQ_REVENUE_LOW_EST" hidden="1">"c1128"</definedName>
    <definedName name="IQ_REVENUE_LOW_EST_CIQ" hidden="1">"c3619"</definedName>
    <definedName name="IQ_REVENUE_LOW_EST_Company2232" hidden="1">"c3637"</definedName>
    <definedName name="IQ_REVENUE_MEDIAN_EST" hidden="1">"c1662"</definedName>
    <definedName name="IQ_REVENUE_MEDIAN_EST_CIQ" hidden="1">"c3617"</definedName>
    <definedName name="IQ_REVENUE_MEDIAN_EST_Company2232" hidden="1">"c3635"</definedName>
    <definedName name="IQ_REVENUE_NUM_EST" hidden="1">"c1129"</definedName>
    <definedName name="IQ_REVENUE_NUM_EST_CIQ" hidden="1">"c3620"</definedName>
    <definedName name="IQ_REVENUE_NUM_EST_Company2232" hidden="1">"c3638"</definedName>
    <definedName name="IQ_REVISION_DATE_" hidden="1">39384.8344907407</definedName>
    <definedName name="IQ_REVOLV_OPEN_SECURED_1_4_LL_REC_DOM_FFIEC" hidden="1">"c12902"</definedName>
    <definedName name="IQ_REVOLVING_HOME_EQUITY_LINES_UNUSED_FFIEC" hidden="1">"c13241"</definedName>
    <definedName name="IQ_REVOLVING_LOANS_GROSS_LOANS_FFIEC" hidden="1">"c13398"</definedName>
    <definedName name="IQ_REVOLVING_LOANS_RISK_BASED_FFIEC" hidden="1">"c13419"</definedName>
    <definedName name="IQ_REVOLVING_LOANS_SEC_1_4_DOM_CHARGE_OFFS_FFIEC" hidden="1">"c13168"</definedName>
    <definedName name="IQ_REVOLVING_LOANS_SEC_1_4_DOM_RECOV_FFIEC" hidden="1">"c13190"</definedName>
    <definedName name="IQ_REVOLVING_OPEN_END_1_4_TRADING_DOM_FFIEC" hidden="1">"c12927"</definedName>
    <definedName name="IQ_REVOLVING_SECURED_1_4_DUE_30_89_FFIEC" hidden="1">"c13260"</definedName>
    <definedName name="IQ_REVOLVING_SECURED_1_4_DUE_90_FFIEC" hidden="1">"c13288"</definedName>
    <definedName name="IQ_REVOLVING_SECURED_1_4_NON_ACCRUAL_FFIEC" hidden="1">"c13314"</definedName>
    <definedName name="IQ_RISK_ADJ_BANK_ASSETS" hidden="1">"c2670"</definedName>
    <definedName name="IQ_RISK_WEIGHTED_ASSETS_FDIC" hidden="1">"c6370"</definedName>
    <definedName name="IQ_RSI" hidden="1">"c12704"</definedName>
    <definedName name="IQ_RSI_ADJ" hidden="1">"c12705"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IES_EMPLOYEE_BENEFITS_FFIEC" hidden="1">"c13023"</definedName>
    <definedName name="IQ_SALARY" hidden="1">"c1130"</definedName>
    <definedName name="IQ_SALARY_FDIC" hidden="1">"c6576"</definedName>
    <definedName name="IQ_SALE_COMMON_GROSS_FFIEC" hidden="1">"c12963"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PREF_FFIEC" hidden="1">"c12961"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_TREASURY_FFIEC" hidden="1">"c12965"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BC_EXPENSE_FFIEC" hidden="1">"c13077"</definedName>
    <definedName name="IQ_SEC_1_4_CONSTRUCTION_DOM_CHARGE_OFFS_FFIEC" hidden="1">"c13165"</definedName>
    <definedName name="IQ_SEC_1_4_CONSTRUCTION_DOM_RECOV_FFIEC" hidden="1">"c13187"</definedName>
    <definedName name="IQ_SEC_BORROWED_OFF_BS_FFIEC" hidden="1">"c13127"</definedName>
    <definedName name="IQ_SEC_FARMLAND_DOM_CHARGE_OFFS_FFIEC" hidden="1">"c13167"</definedName>
    <definedName name="IQ_SEC_FARMLAND_DOM_RECOV_FFIEC" hidden="1">"c13189"</definedName>
    <definedName name="IQ_SEC_FUNDS_PURCHASED_ASSETS_TOT_FFIEC" hidden="1">"c13447"</definedName>
    <definedName name="IQ_SEC_ISSUED_US_AVAIL_SALE_FFIEC" hidden="1">"c12795"</definedName>
    <definedName name="IQ_SEC_ISSUED_US_TRADING_DOM_FFIEC" hidden="1">"c12920"</definedName>
    <definedName name="IQ_SEC_ISSUED_US_TRADING_FFIEC" hidden="1">"c12815"</definedName>
    <definedName name="IQ_SEC_MULTIFAM_DOM_CHARGE_OFFS_FFIEC" hidden="1">"c13171"</definedName>
    <definedName name="IQ_SEC_MULTIFAM_DOM_DUE_30_89_FFIEC" hidden="1">"c13263"</definedName>
    <definedName name="IQ_SEC_MULTIFAM_DOM_DUE_90_FFIEC" hidden="1">"c13291"</definedName>
    <definedName name="IQ_SEC_MULTIFAM_DOM_NON_ACCRUAL_FFIEC" hidden="1">"c13317"</definedName>
    <definedName name="IQ_SEC_MULTIFAM_DOM_RECOV_FFIEC" hidden="1">"c13193"</definedName>
    <definedName name="IQ_SEC_NONFARM_NONRES_CHARGE_OFFS_FFIEC" hidden="1">"c13629"</definedName>
    <definedName name="IQ_SEC_NONFARM_NONRES_DOM_OFFICES_DUE_30_89_FFIEC" hidden="1">"c13264"</definedName>
    <definedName name="IQ_SEC_NONFARM_NONRES_DOM_OFFICES_DUE_90_FFIEC" hidden="1">"c13292"</definedName>
    <definedName name="IQ_SEC_NONFARM_NONRES_DOM_OFFICES_NON_ACCRUAL_FFIEC" hidden="1">"c13318"</definedName>
    <definedName name="IQ_SEC_NONFARM_NONRES_RECOV_FFIEC" hidden="1">"c13633"</definedName>
    <definedName name="IQ_SEC_OTHER_CONSTRUCTION_DOM_CHARGE_OFFS_FFIEC" hidden="1">"c13166"</definedName>
    <definedName name="IQ_SEC_OTHER_CONSTRUCTION_DOM_RECOV_FFIEC" hidden="1">"c13188"</definedName>
    <definedName name="IQ_SEC_OTHER_NONFARM_NONRES_CHARGE_OFFS_FFIEC" hidden="1">"c13173"</definedName>
    <definedName name="IQ_SEC_OTHER_NONFARM_NONRES_DUE_30_89_FFIEC" hidden="1">"c13266"</definedName>
    <definedName name="IQ_SEC_OTHER_NONFARM_NONRES_DUE_90_FFIEC" hidden="1">"c13637"</definedName>
    <definedName name="IQ_SEC_OTHER_NONFARM_NONRES_RECOV_FFIEC" hidden="1">"c13195"</definedName>
    <definedName name="IQ_SEC_OWNER_NONFARM_NONRES_CHARGE_OFFS_FFIEC" hidden="1">"c13172"</definedName>
    <definedName name="IQ_SEC_OWNER_NONFARM_NONRES_DUE_30_89_FFIEC" hidden="1">"c13265"</definedName>
    <definedName name="IQ_SEC_OWNER_NONFARM_NONRES_DUE_90_FFIEC" hidden="1">"c13636"</definedName>
    <definedName name="IQ_SEC_OWNER_NONFARM_NONRES_RECOV_FFIEC" hidden="1">"c13194"</definedName>
    <definedName name="IQ_SEC_PURCHASED_RESELL" hidden="1">"c5513"</definedName>
    <definedName name="IQ_SEC_PURCHASED_RESELL_FFIEC" hidden="1">"c12807"</definedName>
    <definedName name="IQ_SEC_RE_FOREIGN_DUE_30_89_FFIEC" hidden="1">"c13267"</definedName>
    <definedName name="IQ_SEC_RE_FOREIGN_DUE_90_FFIEC" hidden="1">"c13293"</definedName>
    <definedName name="IQ_SEC_RE_FOREIGN_NON_ACCRUAL_FFIEC" hidden="1">"c13319"</definedName>
    <definedName name="IQ_SEC_SOLD_REPURCHASE_FFIEC" hidden="1">"c12857"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DOM_DUE_30_89_FFIEC" hidden="1">"c13259"</definedName>
    <definedName name="IQ_SECURED_FARMLAND_DOM_DUE_90_FFIEC" hidden="1">"c13287"</definedName>
    <definedName name="IQ_SECURED_FARMLAND_DOM_NON_ACCRUAL_FFIEC" hidden="1">"c13313"</definedName>
    <definedName name="IQ_SECURED_FARMLAND_LL_REC_DOM_FFIEC" hidden="1">"c12901"</definedName>
    <definedName name="IQ_SECURED_FARMLAND_NET_CHARGE_OFFS_FDIC" hidden="1">"c6631"</definedName>
    <definedName name="IQ_SECURED_FARMLAND_RECOVERIES_FDIC" hidden="1">"c6612"</definedName>
    <definedName name="IQ_SECURED_MULTI_RES_LL_REC_DOM_FFIEC" hidden="1">"c12905"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HELD_MATURITY_FFIEC" hidden="1">"c12777"</definedName>
    <definedName name="IQ_SECURITIES_ISSUED_STATES_FDIC" hidden="1">"c6300"</definedName>
    <definedName name="IQ_SECURITIES_ISSUED_US_FFIEC" hidden="1">"c12781"</definedName>
    <definedName name="IQ_SECURITIES_LENT_FDIC" hidden="1">"c6532"</definedName>
    <definedName name="IQ_SECURITIES_LENT_FFIEC" hidden="1">"c13255"</definedName>
    <definedName name="IQ_SECURITIES_QUARTERLY_AVG_FFIEC" hidden="1">"c13079"</definedName>
    <definedName name="IQ_SECURITIES_UNDERWRITING_FDIC" hidden="1">"c6529"</definedName>
    <definedName name="IQ_SECURITIES_UNDERWRITING_UNUSED_FFIEC" hidden="1">"c13247"</definedName>
    <definedName name="IQ_SECURITIZATION_INC_OPERATING_INC_FFIEC" hidden="1">"c13390"</definedName>
    <definedName name="IQ_SECURITIZATION_INCOME_FFIEC" hidden="1">"c13012"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DOL" hidden="1">"c12042"</definedName>
    <definedName name="IQ_SELECTED_FOREIGN_ASSETS_FFIEC" hidden="1">"c13485"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_ACCOUNT_ASSETS_LH_FFIEC" hidden="1">"c13105"</definedName>
    <definedName name="IQ_SEPARATE_ACCOUNT_LIAB_LH_FFIEC" hidden="1">"c13108"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DEPOSIT_ACCOUNTS_DOM_FFIEC" hidden="1">"c13003"</definedName>
    <definedName name="IQ_SERVICE_CHARGES_FDIC" hidden="1">"c6572"</definedName>
    <definedName name="IQ_SERVICE_CHARGES_OPERATING_INC_FFIEC" hidden="1">"c13384"</definedName>
    <definedName name="IQ_SERVICE_FEE" hidden="1">"c8951"</definedName>
    <definedName name="IQ_SERVICING_FEES_FFIEC" hidden="1">"c13011"</definedName>
    <definedName name="IQ_SERVICING_FEES_OPERATING_INC_FFIEC" hidden="1">"c13389"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ER_DR" hidden="1">"c204"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POSITIONS_FFIEC" hidden="1">"c12859"</definedName>
    <definedName name="IQ_SHORT_TERM_INVEST" hidden="1">"c1425"</definedName>
    <definedName name="IQ_SMALL_INT_BEAR_CD" hidden="1">"c1166"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NSR_ACTION_LT" hidden="1">"c13616"</definedName>
    <definedName name="IQ_SP_ISSUE_NSR_ACTION_ST" hidden="1">"c13622"</definedName>
    <definedName name="IQ_SP_ISSUE_NSR_DATE_LT" hidden="1">"c13615"</definedName>
    <definedName name="IQ_SP_ISSUE_NSR_DATE_ST" hidden="1">"c13621"</definedName>
    <definedName name="IQ_SP_ISSUE_NSR_LT" hidden="1">"c13614"</definedName>
    <definedName name="IQ_SP_ISSUE_NSR_ST" hidden="1">"c13620"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NSR_ACTION_LT" hidden="1">"c13613"</definedName>
    <definedName name="IQ_SP_NSR_ACTION_ST" hidden="1">"c13619"</definedName>
    <definedName name="IQ_SP_NSR_DATE_LT" hidden="1">"c13612"</definedName>
    <definedName name="IQ_SP_NSR_DATE_ST" hidden="1">"c13618"</definedName>
    <definedName name="IQ_SP_NSR_LT" hidden="1">"c13611"</definedName>
    <definedName name="IQ_SP_NSR_ST" hidden="1">"c13617"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ASSETS_TOT_FFIEC" hidden="1">"c13438"</definedName>
    <definedName name="IQ_ST_INVEST_ST_NONCORE_FUNDING_FFIEC" hidden="1">"c13338"</definedName>
    <definedName name="IQ_ST_INVEST_UTI" hidden="1">"c1198"</definedName>
    <definedName name="IQ_ST_NOTE_RECEIV" hidden="1">"c1199"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XPLORE_DRILL" hidden="1">"c13851"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RIPS_RECEIVABLE_MORTGAGE_LOANS_FFIEC" hidden="1">"c12844"</definedName>
    <definedName name="IQ_STRIPS_RECEIVABLE_OTHER_FFIEC" hidden="1">"c12845"</definedName>
    <definedName name="IQ_STRUCT_FIN_CLASS" hidden="1">"c8950"</definedName>
    <definedName name="IQ_STRUCT_FIN_SERIES" hidden="1">"c8956"</definedName>
    <definedName name="IQ_STRUCTURED_NOTES_INVEST_SECURITIES_FFIEC" hidden="1">"c13468"</definedName>
    <definedName name="IQ_STRUCTURING_NOTES_TIER_1_FFIEC" hidden="1">"c13344"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FIEC" hidden="1">"c12867"</definedName>
    <definedName name="IQ_SUB_NOTES_PAYABLE_UNCONSOLIDATED_TRUSTS_FFIEC" hidden="1">"c12868"</definedName>
    <definedName name="IQ_SUPPLIES_FFIEC" hidden="1">"c13050"</definedName>
    <definedName name="IQ_SURPLUS_FDIC" hidden="1">"c6351"</definedName>
    <definedName name="IQ_SURPLUS_FFIEC" hidden="1">"c12877"</definedName>
    <definedName name="IQ_SVA" hidden="1">"c1214"</definedName>
    <definedName name="IQ_TANGIBLE_ASSETS_FFIEC" hidden="1">"c13916"</definedName>
    <definedName name="IQ_TANGIBLE_COMMON_EQUITY_FFIEC" hidden="1">"c13914"</definedName>
    <definedName name="IQ_TANGIBLE_EQUITY_ASSETS_FFIEC" hidden="1">"c13346"</definedName>
    <definedName name="IQ_TANGIBLE_EQUITY_FFIEC" hidden="1">"c13915"</definedName>
    <definedName name="IQ_TANGIBLE_TIER_1_LEVERAGE_FFIEC" hidden="1">"c13345"</definedName>
    <definedName name="IQ_TARGET_PRICE_NUM" hidden="1">"c1653"</definedName>
    <definedName name="IQ_TARGET_PRICE_NUM_CIQ" hidden="1">"c4661"</definedName>
    <definedName name="IQ_TARGET_PRICE_NUM_Company2232" hidden="1">"c5319"</definedName>
    <definedName name="IQ_TARGET_PRICE_STDDEV" hidden="1">"c1654"</definedName>
    <definedName name="IQ_TARGET_PRICE_STDDEV_CIQ" hidden="1">"c4662"</definedName>
    <definedName name="IQ_TARGET_PRICE_STDDEV_Company2232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EQUIVALENT_ADJUSTMENTS_FFIEC" hidden="1">"c13854"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AXES_ADJ_NOI_FFIEC" hidden="1">"c13395"</definedName>
    <definedName name="IQ_TAXES_NOI_FFIEC" hidden="1">"c13394"</definedName>
    <definedName name="IQ_TAXES_TE_AVG_ASSETS_FFIEC" hidden="1">"c13366"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EXCL_FFIEC" hidden="1">"c13516"</definedName>
    <definedName name="IQ_TBV_SHARE" hidden="1">"c1217"</definedName>
    <definedName name="IQ_TELECOM_FFIEC" hidden="1">"c13057"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BITDA_FWD_Company2232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Company2232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CAPITAL_BEFORE_CHARGES_T1_FFIEC" hidden="1">"c13139"</definedName>
    <definedName name="IQ_TIER_1_CAPITAL_FFIEC" hidden="1">"c13143"</definedName>
    <definedName name="IQ_TIER_1_LEVERAGE_RATIO_FFIEC" hidden="1">"c13160"</definedName>
    <definedName name="IQ_TIER_1_RISK_BASED_CAPITAL_RATIO_FDIC" hidden="1">"c6746"</definedName>
    <definedName name="IQ_TIER_1_RISK_BASED_CAPITAL_RATIO_FFIEC" hidden="1">"c13161"</definedName>
    <definedName name="IQ_TIER_2_CAPITAL_FFIEC" hidden="1">"c13149"</definedName>
    <definedName name="IQ_TIER_3_CAPITAL_ALLOCATED_MARKET_RISK_FFIEC" hidden="1">"c13151"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100K_OTHER_INSTITUTIONS_FFIEC" hidden="1">"c12953"</definedName>
    <definedName name="IQ_TIME_DEPOSITS_LESS_100K_TOT_DEPOSITS_FFIEC" hidden="1">"c13907"</definedName>
    <definedName name="IQ_TIME_DEPOSITS_LESS_THAN_100K_FDIC" hidden="1">"c6465"</definedName>
    <definedName name="IQ_TIME_DEPOSITS_MORE_100K_OTHER_INSTITUTIONS_FFIEC" hidden="1">"c12954"</definedName>
    <definedName name="IQ_TIME_DEPOSITS_MORE_100K_TOT_DEPOSITS_FFIEC" hidden="1">"c13906"</definedName>
    <definedName name="IQ_TIME_DEPOSITS_MORE_THAN_100K_FDIC" hidden="1">"c6470"</definedName>
    <definedName name="IQ_TODAY" hidden="1">0</definedName>
    <definedName name="IQ_TOT_1_4_FAM_LOANS_TOT_LOANS_FFIEC" hidden="1">"c13868"</definedName>
    <definedName name="IQ_TOT_ADJ_INC" hidden="1">"c1616"</definedName>
    <definedName name="IQ_TOT_LEASES_TOT_LOANS_FFIEC" hidden="1">"c13876"</definedName>
    <definedName name="IQ_TOT_NON_RE_LOANS_TOT_LOANS_FFIEC" hidden="1">"c13877"</definedName>
    <definedName name="IQ_TOT_NONTRANS_ACCTS_TOT_DEPOSITS_FFIEC" hidden="1">"c13909"</definedName>
    <definedName name="IQ_TOT_RE_LOANS_TOT_LOANS_FFIEC" hidden="1">"c13873"</definedName>
    <definedName name="IQ_TOT_TIME_DEPOSITS_TOT_DEPOSITS_FFIEC" hidden="1">"c13908"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BNK_SUBTOTAL_AP" hidden="1">"c13644"</definedName>
    <definedName name="IQ_TOTAL_ASSETS_FDIC" hidden="1">"c6339"</definedName>
    <definedName name="IQ_TOTAL_ASSETS_FFIEC" hidden="1">"c12849"</definedName>
    <definedName name="IQ_TOTAL_ASSETS_LH_FFIEC" hidden="1">"c13106"</definedName>
    <definedName name="IQ_TOTAL_ASSETS_PC_FFIEC" hidden="1">"c13099"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PERSON0813" hidden="1">"c9294"</definedName>
    <definedName name="IQ_TOTAL_ATTRIB_ORE_RESOURCES_PLAT" hidden="1">"c9132"</definedName>
    <definedName name="IQ_TOTAL_ATTRIB_ORE_RESOURCES_SILVER" hidden="1">"c9079"</definedName>
    <definedName name="IQ_TOTAL_ATTRIB_ORE_RESOURCES_PRODUCT0419" hidden="1">"c9559"</definedName>
    <definedName name="IQ_TOTAL_ATTRIB_ORE_RESOURCES_URAN" hidden="1">"c9612"</definedName>
    <definedName name="IQ_TOTAL_ATTRIB_ORE_RESOURCES_Company3050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OMMON_EQUITY_FFIEC" hidden="1">"c13913"</definedName>
    <definedName name="IQ_TOTAL_COMMON_EQUITY_TOTAL_ASSETS_FFIEC" hidden="1">"c13864"</definedName>
    <definedName name="IQ_TOTAL_COMMON_SHARES_OUT_FFIEC" hidden="1">"c12955"</definedName>
    <definedName name="IQ_TOTAL_CONSTRUCTION_LL_REC_DOM_FFIEC" hidden="1">"c13515"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NON_CURRENT" hidden="1">"c6191"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EPOSITS_FFIEC" hidden="1">"c13623"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CAPITAL_T1_FFIEC" hidden="1">"c13130"</definedName>
    <definedName name="IQ_TOTAL_EQUITY_FFIEC" hidden="1">"c12881"</definedName>
    <definedName name="IQ_TOTAL_EQUITY_LH_FFIEC" hidden="1">"c13109"</definedName>
    <definedName name="IQ_TOTAL_EQUITY_PC_FFIEC" hidden="1">"c13102"</definedName>
    <definedName name="IQ_TOTAL_EQUITY_SUBTOTAL_AP" hidden="1">"c8989"</definedName>
    <definedName name="IQ_TOTAL_EQUITY_TOTAL_ASSETS_FFIEC" hidden="1">"c13863"</definedName>
    <definedName name="IQ_TOTAL_INT_EXPENSE_FFIEC" hidden="1">"c13000"</definedName>
    <definedName name="IQ_TOTAL_INT_INCOME_FFIEC" hidden="1">"c12989"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EQUITY_FFIEC" hidden="1">"c12882"</definedName>
    <definedName name="IQ_TOTAL_LIABILITIES_FDIC" hidden="1">"c6348"</definedName>
    <definedName name="IQ_TOTAL_LIABILITIES_FFIEC" hidden="1">"c12873"</definedName>
    <definedName name="IQ_TOTAL_LL_REC_DOM_FFIEC" hidden="1">"c12917"</definedName>
    <definedName name="IQ_TOTAL_LL_REC_FFIEC" hidden="1">"c12898"</definedName>
    <definedName name="IQ_TOTAL_LOANS" hidden="1">"c5653"</definedName>
    <definedName name="IQ_TOTAL_LOANS_LEASES_CHARGE_OFFS_FFIEC" hidden="1">"c13186"</definedName>
    <definedName name="IQ_TOTAL_LOANS_LEASES_DUE_30_89_FFIEC" hidden="1">"c13280"</definedName>
    <definedName name="IQ_TOTAL_LOANS_LEASES_DUE_90_FFIEC" hidden="1">"c13306"</definedName>
    <definedName name="IQ_TOTAL_LOANS_LEASES_NON_ACCRUAL_FFIEC" hidden="1">"c13757"</definedName>
    <definedName name="IQ_TOTAL_LOANS_LEASES_RECOV_FFIEC" hidden="1">"c13208"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PERSON0813" hidden="1">"c9283"</definedName>
    <definedName name="IQ_TOTAL_ORE_RESOURCES_PLAT" hidden="1">"c9121"</definedName>
    <definedName name="IQ_TOTAL_ORE_RESOURCES_SILVER" hidden="1">"c9068"</definedName>
    <definedName name="IQ_TOTAL_ORE_RESOURCES_PRODUCT0419" hidden="1">"c9548"</definedName>
    <definedName name="IQ_TOTAL_ORE_RESOURCES_URAN" hidden="1">"c9601"</definedName>
    <definedName name="IQ_TOTAL_ORE_RESOURCES_Company3050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PERSON0813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PRODUCT0419" hidden="1">"c9564"</definedName>
    <definedName name="IQ_TOTAL_RECOV_ATTRIB_RESOURCES_URAN" hidden="1">"c9617"</definedName>
    <definedName name="IQ_TOTAL_RECOV_ATTRIB_RESOURCES_Company3050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PERSON0813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PRODUCT0419" hidden="1">"c9554"</definedName>
    <definedName name="IQ_TOTAL_RECOV_RESOURCES_URAN" hidden="1">"c9607"</definedName>
    <definedName name="IQ_TOTAL_RECOV_RESOURCES_Company3050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PERSON0813" hidden="1">"c9284"</definedName>
    <definedName name="IQ_TOTAL_RESOURCES_GRADE_PLAT" hidden="1">"c9122"</definedName>
    <definedName name="IQ_TOTAL_RESOURCES_GRADE_SILVER" hidden="1">"c9069"</definedName>
    <definedName name="IQ_TOTAL_RESOURCES_GRADE_PRODUCT0419" hidden="1">"c9549"</definedName>
    <definedName name="IQ_TOTAL_RESOURCES_GRADE_URAN" hidden="1">"c9602"</definedName>
    <definedName name="IQ_TOTAL_RESOURCES_GRADE_Company3050" hidden="1">"c9337"</definedName>
    <definedName name="IQ_TOTAL_RETURN_SWAPS_DERIVATIVES_BENEFICIARY_FFIEC" hidden="1">"c13120"</definedName>
    <definedName name="IQ_TOTAL_RETURN_SWAPS_DERIVATIVES_GUARANTOR_FFIEC" hidden="1">"c13113"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EVENUE_FFIEC" hidden="1">"c13020"</definedName>
    <definedName name="IQ_TOTAL_RISK_BASED_CAPITAL_FFIEC" hidden="1">"c13153"</definedName>
    <definedName name="IQ_TOTAL_RISK_BASED_CAPITAL_RATIO_FDIC" hidden="1">"c6747"</definedName>
    <definedName name="IQ_TOTAL_RISK_BASED_CAPITAL_RATIO_FFIEC" hidden="1">"c13162"</definedName>
    <definedName name="IQ_TOTAL_RISK_WEIGHTED_ASSETS_FFIEC" hidden="1">"c13858"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TRADING_ASSETS_FFIEC" hidden="1">"c12939"</definedName>
    <definedName name="IQ_TOTAL_TRADING_LIAB_DOM_FFIEC" hidden="1">"c12944"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SUPPLE" hidden="1">"c13817"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_TERM_FEE" hidden="1">"c13638"</definedName>
    <definedName name="IQ_TR_BUY_TERM_FEE_PCT" hidden="1">"c13639"</definedName>
    <definedName name="IQ_TR_BUYBACK_TO_CLOSE" hidden="1">"c13919"</definedName>
    <definedName name="IQ_TR_BUYBACK_TO_HIGH" hidden="1">"c13917"</definedName>
    <definedName name="IQ_TR_BUYBACK_TO_LOW" hidden="1">"c13918"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GISTRATION_FEES" hidden="1">"c2274"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_TERM_FEE" hidden="1">"c2298"</definedName>
    <definedName name="IQ_TR_SELL_TERM_FEE_PCT" hidden="1">"c2297"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AIR_VALUE_TOT_FFIEC" hidden="1">"c13210"</definedName>
    <definedName name="IQ_TRADING_ASSETS_FDIC" hidden="1">"c6328"</definedName>
    <definedName name="IQ_TRADING_ASSETS_FFIEC" hidden="1">"c12812"</definedName>
    <definedName name="IQ_TRADING_ASSETS_FOREIGN_FFIEC" hidden="1">"c12940"</definedName>
    <definedName name="IQ_TRADING_ASSETS_LEVEL_1_FFIEC" hidden="1">"c13218"</definedName>
    <definedName name="IQ_TRADING_ASSETS_LEVEL_2_FFIEC" hidden="1">"c13226"</definedName>
    <definedName name="IQ_TRADING_ASSETS_LEVEL_3_FFIEC" hidden="1">"c13234"</definedName>
    <definedName name="IQ_TRADING_ASSETS_QUARTERLY_AVG_FFIEC" hidden="1">"c13085"</definedName>
    <definedName name="IQ_TRADING_CURRENCY" hidden="1">"c2212"</definedName>
    <definedName name="IQ_TRADING_ITEM_CIQID" hidden="1">"c8949"</definedName>
    <definedName name="IQ_TRADING_LIABILITIES_FAIR_VALUE_TOT_FFIEC" hidden="1">"c13214"</definedName>
    <definedName name="IQ_TRADING_LIABILITIES_FDIC" hidden="1">"c6344"</definedName>
    <definedName name="IQ_TRADING_LIABILITIES_FFIEC" hidden="1">"c12858"</definedName>
    <definedName name="IQ_TRADING_LIABILITIES_LEVEL_1_FFIEC" hidden="1">"c13222"</definedName>
    <definedName name="IQ_TRADING_LIABILITIES_LEVEL_2_FFIEC" hidden="1">"c13230"</definedName>
    <definedName name="IQ_TRADING_LIABILITIES_LEVEL_3_FFIEC" hidden="1">"c13238"</definedName>
    <definedName name="IQ_TRADING_REV_OPERATING_INC_FFIEC" hidden="1">"c13385"</definedName>
    <definedName name="IQ_TRADING_REVENUE_FFIEC" hidden="1">"c13004"</definedName>
    <definedName name="IQ_TRANS_ACCTS_TOT_DEPOSITS_FFIEC" hidden="1">"c13904"</definedName>
    <definedName name="IQ_TRANSACTION_ACCOUNTS_FDIC" hidden="1">"c6544"</definedName>
    <definedName name="IQ_TREASURY" hidden="1">"c1311"</definedName>
    <definedName name="IQ_TREASURY_INVEST_SECURITIES_FFIEC" hidden="1">"c13457"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ARNED_INCOME_LL_REC_DOM_FFIEC" hidden="1">"c12916"</definedName>
    <definedName name="IQ_UNEARNED_INCOME_LL_REC_FFIEC" hidden="1">"c12897"</definedName>
    <definedName name="IQ_UNEARNED_PREMIUMS_PC_FFIEC" hidden="1">"c13101"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COMMITMENTS_COMMERCIAL_RE_UNUSED_FFIEC" hidden="1">"c13246"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ADDRESS_LEASE_FIN_REC_FFIEC" hidden="1">"c13624"</definedName>
    <definedName name="IQ_US_AGENCY_OBLIG_FFIEC" hidden="1">"c12779"</definedName>
    <definedName name="IQ_US_AGENCY_OBLIG_TRADING_DOM_FFIEC" hidden="1">"c12919"</definedName>
    <definedName name="IQ_US_AGENCY_OBLIG_TRADING_FFIEC" hidden="1">"c12814"</definedName>
    <definedName name="IQ_US_AGENCY_OBLIGATIONS_AVAIL_SALE_FFIEC" hidden="1">"c12793"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INST_DUE_30_89_FFIEC" hidden="1">"c13268"</definedName>
    <definedName name="IQ_US_INST_DUE_90_FFIEC" hidden="1">"c13294"</definedName>
    <definedName name="IQ_US_INST_NON_ACCRUAL_FFIEC" hidden="1">"c13320"</definedName>
    <definedName name="IQ_US_SPONSORED_AGENCY_OBLIG_AVAIL_SALE_FFIEC" hidden="1">"c12794"</definedName>
    <definedName name="IQ_US_SPONSORED_AGENCY_OBLIG_FFIEC" hidden="1">"c12780"</definedName>
    <definedName name="IQ_US_TREASURY_SEC_AVAIL_SALE_FFIEC" hidden="1">"c12792"</definedName>
    <definedName name="IQ_US_TREASURY_SEC_TRADING_DOM_FFIEC" hidden="1">"c12918"</definedName>
    <definedName name="IQ_US_TREASURY_SEC_TRADING_FFIEC" hidden="1">"c12813"</definedName>
    <definedName name="IQ_US_TREASURY_SECURITIES_FDIC" hidden="1">"c6298"</definedName>
    <definedName name="IQ_US_TREASURY_SECURITIES_FFIEC" hidden="1">"c12778"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ARIABLE_RATE_PREFERREDS_INT_SENSITIVITY_FFIEC" hidden="1">"c13096"</definedName>
    <definedName name="IQ_VC_REV_OPERATING_INC_FFIEC" hidden="1">"c13388"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ENTURE_CAPITAL_REVENUE_FFIEC" hidden="1">"c13010"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VWAP" hidden="1">"c13514"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IELD_FED_FUNDS_SOLD_FFIEC" hidden="1">"c13487"</definedName>
    <definedName name="IQ_YIELD_TRADING_ASSETS_FFIEC" hidden="1">"c13488"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ShowHideColumns" hidden="1">"iQShowAnnual"</definedName>
    <definedName name="Irev">#REF!</definedName>
    <definedName name="irpeg_rate">#REF!</definedName>
    <definedName name="IS">#REF!</definedName>
    <definedName name="IS_1">#REF!</definedName>
    <definedName name="IS_10">#REF!</definedName>
    <definedName name="IS_11">#REF!</definedName>
    <definedName name="IS_12">#REF!</definedName>
    <definedName name="IS_13">#REF!</definedName>
    <definedName name="IS_14">#REF!</definedName>
    <definedName name="IS_2">#REF!</definedName>
    <definedName name="IS_3">#REF!</definedName>
    <definedName name="IS_4">#REF!</definedName>
    <definedName name="IS_5">#REF!</definedName>
    <definedName name="IS_6">#REF!</definedName>
    <definedName name="IS_7">#REF!</definedName>
    <definedName name="IS_8">#REF!</definedName>
    <definedName name="IS_9">#REF!</definedName>
    <definedName name="is_active">#REF!</definedName>
    <definedName name="is_holdbin">#REF!</definedName>
    <definedName name="IS_p">#REF!</definedName>
    <definedName name="IS_print">#REF!</definedName>
    <definedName name="is_restricted">#REF!</definedName>
    <definedName name="is_restricted_ext">#REF!</definedName>
    <definedName name="is_restricted_over">#REF!</definedName>
    <definedName name="is_restricted_use_over">#REF!</definedName>
    <definedName name="is_week_of_next_release_date">#REF!</definedName>
    <definedName name="IsColHidden" hidden="1">FALSE</definedName>
    <definedName name="ISitem">#REF!</definedName>
    <definedName name="IsLTMColHidden" hidden="1">FALSE</definedName>
    <definedName name="iso_country_code">#REF!</definedName>
    <definedName name="iso_currency_code">#REF!</definedName>
    <definedName name="ISQuarter">#REF!</definedName>
    <definedName name="Issue_Id_Primary">#REF!</definedName>
    <definedName name="Issue_Id_Secondary">#REF!</definedName>
    <definedName name="Issue_Id_Tertiary">#REF!</definedName>
    <definedName name="IssueData">#REF!</definedName>
    <definedName name="itc">#REF!</definedName>
    <definedName name="itc_g">#REF!</definedName>
    <definedName name="itc_is">#REF!</definedName>
    <definedName name="Item_1">#REF!</definedName>
    <definedName name="Item_10">#REF!</definedName>
    <definedName name="Item_11">#REF!</definedName>
    <definedName name="Item_12">#REF!</definedName>
    <definedName name="Item_13">#REF!</definedName>
    <definedName name="Item_14">#REF!</definedName>
    <definedName name="Item_15">#REF!</definedName>
    <definedName name="Item_16">#REF!</definedName>
    <definedName name="Item_17">#REF!</definedName>
    <definedName name="Item_18">#REF!</definedName>
    <definedName name="Item_19">#REF!</definedName>
    <definedName name="Item_2">#REF!</definedName>
    <definedName name="Item_20">#REF!</definedName>
    <definedName name="Item_3">#REF!</definedName>
    <definedName name="Item_4">#REF!</definedName>
    <definedName name="Item_5">#REF!</definedName>
    <definedName name="Item_6">#REF!</definedName>
    <definedName name="Item_7">#REF!</definedName>
    <definedName name="Item_8">#REF!</definedName>
    <definedName name="Item_9">#REF!</definedName>
    <definedName name="ITL_X">#REF!</definedName>
    <definedName name="ITLBLN_X">#REF!</definedName>
    <definedName name="itlpta">#REF!</definedName>
    <definedName name="ITLPTARATE_X">#REF!</definedName>
    <definedName name="ITLTRL_X">#REF!</definedName>
    <definedName name="ITSCurrecnyRange">#REF!</definedName>
    <definedName name="Japan">#REF!</definedName>
    <definedName name="Java_rev">#REF!</definedName>
    <definedName name="jblavg">#REF!</definedName>
    <definedName name="jblchg">#REF!</definedName>
    <definedName name="jblcrpe">#REF!</definedName>
    <definedName name="jblcurr">#REF!</definedName>
    <definedName name="jbldate">#REF!</definedName>
    <definedName name="jbldown">#REF!</definedName>
    <definedName name="jbldownsup">#REF!</definedName>
    <definedName name="jbleps99">#REF!</definedName>
    <definedName name="jblfy1cons">#REF!</definedName>
    <definedName name="jblfy2cons">#REF!</definedName>
    <definedName name="jblhi">#REF!</definedName>
    <definedName name="jblhilo">#REF!</definedName>
    <definedName name="jbllow">#REF!</definedName>
    <definedName name="jblmktcap">#REF!</definedName>
    <definedName name="jblpegrowthavg">#REF!</definedName>
    <definedName name="jblpegrowthcurr">#REF!</definedName>
    <definedName name="jblpegrowthhi">#REF!</definedName>
    <definedName name="jblpegrowthlow">#REF!</definedName>
    <definedName name="jblprice">#REF!</definedName>
    <definedName name="jblrpe">#REF!</definedName>
    <definedName name="jblshares">#REF!</definedName>
    <definedName name="jbltprice">#REF!</definedName>
    <definedName name="jblttmavg">#REF!</definedName>
    <definedName name="jblttmcurr">#REF!</definedName>
    <definedName name="jblttmhi">#REF!</definedName>
    <definedName name="jblttmlow">#REF!</definedName>
    <definedName name="jblttmrelavg">#REF!</definedName>
    <definedName name="jblttmrelcurr">#REF!</definedName>
    <definedName name="jblttmrelhi">#REF!</definedName>
    <definedName name="jblttmrellow">#REF!</definedName>
    <definedName name="jblup">#REF!</definedName>
    <definedName name="jblupsup">#REF!</definedName>
    <definedName name="jblvol">#REF!</definedName>
    <definedName name="jblyield">#REF!</definedName>
    <definedName name="JDSU_1Pager">#REF!</definedName>
    <definedName name="JDSU_BS">#REF!</definedName>
    <definedName name="JDSU_CF">#REF!</definedName>
    <definedName name="JDSU_IS">#REF!</definedName>
    <definedName name="jdsucurr">#REF!</definedName>
    <definedName name="jdsudate">#REF!</definedName>
    <definedName name="jdsudown">#REF!</definedName>
    <definedName name="jdsudownsup">#REF!</definedName>
    <definedName name="jdsuevebitda">#REF!</definedName>
    <definedName name="jdsuffqpeavg">#REF!</definedName>
    <definedName name="jdsuffqpecurr">#REF!</definedName>
    <definedName name="jdsufy1cons">#REF!</definedName>
    <definedName name="jdsufy2cons">#REF!</definedName>
    <definedName name="jdsuhi">#REF!</definedName>
    <definedName name="jdsuhilo">#REF!</definedName>
    <definedName name="jdsulow">#REF!</definedName>
    <definedName name="jdsumktcap">#REF!</definedName>
    <definedName name="jdsupe1">#REF!</definedName>
    <definedName name="jdsupe2">#REF!</definedName>
    <definedName name="jdsupegrowthavg">#REF!</definedName>
    <definedName name="jdsupegrowthcurr">#REF!</definedName>
    <definedName name="jdsupegrowthhi">#REF!</definedName>
    <definedName name="jdsupegrowthlow">#REF!</definedName>
    <definedName name="jdsuperelavg">#REF!</definedName>
    <definedName name="jdsuperelcurr">#REF!</definedName>
    <definedName name="jdsuprice">#REF!</definedName>
    <definedName name="jdsupsup">#REF!</definedName>
    <definedName name="jdsurpe">#REF!</definedName>
    <definedName name="jdsushares">#REF!</definedName>
    <definedName name="jdsutprice">#REF!</definedName>
    <definedName name="jdsuttmavg">#REF!</definedName>
    <definedName name="jdsuttmcurr">#REF!</definedName>
    <definedName name="jdsuttmhi">#REF!</definedName>
    <definedName name="jdsuttmlow">#REF!</definedName>
    <definedName name="jdsuttmrelavg">#REF!</definedName>
    <definedName name="jdsuttmrelcurr">#REF!</definedName>
    <definedName name="jdsuttmrelhi">#REF!</definedName>
    <definedName name="jdsuttmrellow">#REF!</definedName>
    <definedName name="jdsuup">#REF!</definedName>
    <definedName name="jdsuupsup">#REF!</definedName>
    <definedName name="jdsuvol">#REF!</definedName>
    <definedName name="jdsuyield">#REF!</definedName>
    <definedName name="jdsvol">#REF!</definedName>
    <definedName name="jdsyield">#REF!</definedName>
    <definedName name="jnpravg">#REF!</definedName>
    <definedName name="jnpravgffq">#REF!</definedName>
    <definedName name="jnprchg">#REF!</definedName>
    <definedName name="jnprcurr">#REF!</definedName>
    <definedName name="jnprcurrffq">#REF!</definedName>
    <definedName name="jnprpegrelavg">#REF!</definedName>
    <definedName name="jnprpegrelcurr">#REF!</definedName>
    <definedName name="jnprpegrowthavg">#REF!</definedName>
    <definedName name="jnprpegrowthcurr">#REF!</definedName>
    <definedName name="jnprshares">#REF!</definedName>
    <definedName name="Joan30YrBond">#REF!</definedName>
    <definedName name="Person0533">#REF!</definedName>
    <definedName name="JPMSCY01">#REF!</definedName>
    <definedName name="JPMSCY02">#REF!</definedName>
    <definedName name="JPMSCY03">#REF!</definedName>
    <definedName name="JPMSNTM3">#REF!</definedName>
    <definedName name="junk">#REF!</definedName>
    <definedName name="Kd">#REF!</definedName>
    <definedName name="Ke">#REF!</definedName>
    <definedName name="KerberosID">#REF!</definedName>
    <definedName name="KerberosPwd">#REF!</definedName>
    <definedName name="KEVA">#REF!</definedName>
    <definedName name="key_driv">#REF!</definedName>
    <definedName name="keycustomers">#REF!</definedName>
    <definedName name="kirchmedia">#REF!</definedName>
    <definedName name="KM_Metric">OFFSET(#REF!,0,0,COUNTA(#REF!)-1)</definedName>
    <definedName name="kmetavg">#REF!</definedName>
    <definedName name="kmetchg">#REF!</definedName>
    <definedName name="kmetcrpe">#REF!</definedName>
    <definedName name="kmetcurr">#REF!</definedName>
    <definedName name="kmetdate">#REF!</definedName>
    <definedName name="kmetdown">#REF!</definedName>
    <definedName name="kmetdownsup">#REF!</definedName>
    <definedName name="kmeteps98">#REF!</definedName>
    <definedName name="kmeteps99">#REF!</definedName>
    <definedName name="kmetfy1cons">#REF!</definedName>
    <definedName name="kmetfy2cons">#REF!</definedName>
    <definedName name="kmethi">#REF!</definedName>
    <definedName name="kmethilo">#REF!</definedName>
    <definedName name="kmetlow">#REF!</definedName>
    <definedName name="kmetmktcap">#REF!</definedName>
    <definedName name="kmetpegrowthavg">#REF!</definedName>
    <definedName name="kmetpegrowthcurr">#REF!</definedName>
    <definedName name="kmetpegrowthhi">#REF!</definedName>
    <definedName name="kmetpegrowthlow">#REF!</definedName>
    <definedName name="kmetprice">#REF!</definedName>
    <definedName name="kmetrpe">#REF!</definedName>
    <definedName name="kmetshares">#REF!</definedName>
    <definedName name="kmettprice">#REF!</definedName>
    <definedName name="kmetttmavg">#REF!</definedName>
    <definedName name="kmetttmcurr">#REF!</definedName>
    <definedName name="kmetttmhi">#REF!</definedName>
    <definedName name="kmetttmlow">#REF!</definedName>
    <definedName name="kmetttmrelavg">#REF!</definedName>
    <definedName name="kmetttmrelcurr">#REF!</definedName>
    <definedName name="kmetttmrelhi">#REF!</definedName>
    <definedName name="kmetttmrellow">#REF!</definedName>
    <definedName name="kmetup">#REF!</definedName>
    <definedName name="kmetupsup">#REF!</definedName>
    <definedName name="kmetvol">#REF!</definedName>
    <definedName name="kmetyield">#REF!</definedName>
    <definedName name="kntavg">#REF!</definedName>
    <definedName name="kntchg">#REF!</definedName>
    <definedName name="kntcrpe">#REF!</definedName>
    <definedName name="kntcurr">#REF!</definedName>
    <definedName name="kntdate">#REF!</definedName>
    <definedName name="kntdown">#REF!</definedName>
    <definedName name="kntdownsup">#REF!</definedName>
    <definedName name="kntevebitda">#REF!</definedName>
    <definedName name="kntffqpeavg">#REF!</definedName>
    <definedName name="kntffqpecurr">#REF!</definedName>
    <definedName name="kntfy1cons">#REF!</definedName>
    <definedName name="kntfy2cons">#REF!</definedName>
    <definedName name="knthi">#REF!</definedName>
    <definedName name="knthilo">#REF!</definedName>
    <definedName name="kntlow">#REF!</definedName>
    <definedName name="kntmktcap">#REF!</definedName>
    <definedName name="kntpe1">#REF!</definedName>
    <definedName name="kntpe2">#REF!</definedName>
    <definedName name="kntpegrowthavg">#REF!</definedName>
    <definedName name="kntpegrowthcurr">#REF!</definedName>
    <definedName name="kntpegrowthhi">#REF!</definedName>
    <definedName name="kntpegrowthlow">#REF!</definedName>
    <definedName name="kntperelavg">#REF!</definedName>
    <definedName name="kntperelcurr">#REF!</definedName>
    <definedName name="kntprice">#REF!</definedName>
    <definedName name="kntrpe">#REF!</definedName>
    <definedName name="kntshares">#REF!</definedName>
    <definedName name="knttprice">#REF!</definedName>
    <definedName name="kntttmavg">#REF!</definedName>
    <definedName name="kntttmcurr">#REF!</definedName>
    <definedName name="kntttmhi">#REF!</definedName>
    <definedName name="kntttmlow">#REF!</definedName>
    <definedName name="kntttmrelavg">#REF!</definedName>
    <definedName name="kntttmrelcurr">#REF!</definedName>
    <definedName name="kntttmrelhi">#REF!</definedName>
    <definedName name="kntttmrellow">#REF!</definedName>
    <definedName name="kntup">#REF!</definedName>
    <definedName name="kntupsup">#REF!</definedName>
    <definedName name="kntvol">#REF!</definedName>
    <definedName name="kntyield">#REF!</definedName>
    <definedName name="kpw">#REF!</definedName>
    <definedName name="l" hidden="1">{"IS",#N/A,FALSE,"IS";"RPTIS",#N/A,FALSE,"RPTIS";"STATS",#N/A,FALSE,"STATS";"CELL",#N/A,FALSE,"CELL";"BS",#N/A,FALSE,"BS"}</definedName>
    <definedName name="L_ALL_Company0017">#REF!</definedName>
    <definedName name="L_ALL_Company0028">#REF!</definedName>
    <definedName name="L_ALL_Company0028_">#REF!</definedName>
    <definedName name="L_ALL_Company0083">#REF!</definedName>
    <definedName name="L_ALL_Company0087">#REF!</definedName>
    <definedName name="L_ALL_Company0087_">#REF!</definedName>
    <definedName name="L_ALL_Company0091">#REF!</definedName>
    <definedName name="L_ALL_Company0091_">#REF!</definedName>
    <definedName name="L_ALL_AMT">#REF!</definedName>
    <definedName name="L_ALL_Company0125">#REF!</definedName>
    <definedName name="L_ALL_ARM">#REF!</definedName>
    <definedName name="L_ALL_Company0140">#REF!</definedName>
    <definedName name="L_ALL_Company0140_">#REF!</definedName>
    <definedName name="L_ALL_Company0141">#REF!</definedName>
    <definedName name="L_ALL_Company0174">#REF!</definedName>
    <definedName name="L_ALL_Company0174_">#REF!</definedName>
    <definedName name="L_ALL_BCE">#REF!</definedName>
    <definedName name="L_ALL_Company0334">#REF!</definedName>
    <definedName name="L_ALL_Company0334_">#REF!</definedName>
    <definedName name="L_ALL_Company0348">#REF!</definedName>
    <definedName name="L_ALL_CCI">#REF!</definedName>
    <definedName name="L_ALL_Company0465">#REF!</definedName>
    <definedName name="L_ALL_CFG">#REF!</definedName>
    <definedName name="L_ALL_Company0495">#REF!</definedName>
    <definedName name="L_ALL_Company0520">#REF!</definedName>
    <definedName name="L_ALL_Company0606">#REF!</definedName>
    <definedName name="L_ALL_Company0608">#REF!</definedName>
    <definedName name="L_ALL_Company0624">#REF!</definedName>
    <definedName name="L_ALL_Company0624_">#REF!</definedName>
    <definedName name="L_ALL_Company0626">#REF!</definedName>
    <definedName name="L_ALL_Company0645">#REF!</definedName>
    <definedName name="L_ALL_DBX">#REF!</definedName>
    <definedName name="L_ALL_Company0734">#REF!</definedName>
    <definedName name="L_ALL_Company0760">#REF!</definedName>
    <definedName name="L_ALL_DWRE">#REF!</definedName>
    <definedName name="L_ALL_Company0863">#REF!</definedName>
    <definedName name="L_ALL_Company0865">#REF!</definedName>
    <definedName name="L_ALL_Company0871">#REF!</definedName>
    <definedName name="L_ALL_FSL">#REF!</definedName>
    <definedName name="L_ALL_FTR">#REF!</definedName>
    <definedName name="L_ALL_Company1006">#REF!</definedName>
    <definedName name="L_ALL_Company1007">#REF!</definedName>
    <definedName name="L_ALL_Company1082">#REF!</definedName>
    <definedName name="L_ALL_I">#REF!</definedName>
    <definedName name="L_ALL_IBM">#REF!</definedName>
    <definedName name="L_ALL_Company1335">#REF!</definedName>
    <definedName name="L_ALL_Company1335_">#REF!</definedName>
    <definedName name="L_ALL_Company1341" localSheetId="3">#REF!</definedName>
    <definedName name="L_ALL_Company1341">#REF!</definedName>
    <definedName name="L_ALL_Company1341_" localSheetId="3">#REF!</definedName>
    <definedName name="L_ALL_Company1341_">#REF!</definedName>
    <definedName name="L_ALL_Company1394">#REF!</definedName>
    <definedName name="L_ALL_KEYWORDS_TYPE_Breakdown_EQTY_200001646">#REF!</definedName>
    <definedName name="L_ALL_KEYWORDS_TYPE_Breakdown_EQTY_200002831">#REF!</definedName>
    <definedName name="L_ALL_KEYWORDS_TYPE_Breakdown_EQTY_200004419">#REF!</definedName>
    <definedName name="L_ALL_KEYWORDS_TYPE_ScalarContributed_EQTY_200000304">#REF!,#REF!,#REF!,#REF!</definedName>
    <definedName name="L_ALL_KEYWORDS_TYPE_ScalarContributed_EQTY_200000813">#REF!,#REF!,#REF!,#REF!,#REF!</definedName>
    <definedName name="L_ALL_KEYWORDS_TYPE_ScalarContributed_EQTY_200001265">#REF!,#REF!,#REF!,#REF!</definedName>
    <definedName name="L_ALL_KEYWORDS_TYPE_ScalarContributed_EQTY_200001320">#REF!,#REF!,#REF!,#REF!</definedName>
    <definedName name="L_ALL_KEYWORDS_TYPE_ScalarContributed_EQTY_200001330">#REF!,#REF!,#REF!,#REF!</definedName>
    <definedName name="L_ALL_KEYWORDS_TYPE_ScalarContributed_EQTY_200001353">#REF!,#REF!</definedName>
    <definedName name="L_ALL_KEYWORDS_TYPE_ScalarContributed_EQTY_200001371">#REF!,#REF!</definedName>
    <definedName name="L_ALL_KEYWORDS_TYPE_ScalarContributed_EQTY_200001381">#REF!,#REF!,#REF!,#REF!,#REF!</definedName>
    <definedName name="L_ALL_KEYWORDS_TYPE_ScalarContributed_EQTY_200001646">#REF!,#REF!,#REF!,#REF!</definedName>
    <definedName name="L_ALL_KEYWORDS_TYPE_ScalarContributed_EQTY_200002282">#REF!,#REF!,#REF!,#REF!,#REF!</definedName>
    <definedName name="L_ALL_KEYWORDS_TYPE_ScalarContributed_EQTY_200002283">#REF!,#REF!,#REF!,#REF!,#REF!</definedName>
    <definedName name="L_ALL_KEYWORDS_TYPE_ScalarContributed_EQTY_200002309">#REF!,#REF!,#REF!,#REF!,#REF!</definedName>
    <definedName name="L_ALL_KEYWORDS_TYPE_ScalarContributed_EQTY_200002831">#REF!,#REF!,#REF!,#REF!,#REF!</definedName>
    <definedName name="L_ALL_KEYWORDS_TYPE_ScalarContributed_EQTY_200002833">#REF!,#REF!,#REF!,#REF!</definedName>
    <definedName name="L_ALL_KEYWORDS_TYPE_ScalarContributed_EQTY_200003036">#REF!,#REF!,#REF!,#REF!,#REF!</definedName>
    <definedName name="L_ALL_KEYWORDS_TYPE_ScalarContributed_EQTY_200003037">#REF!,#REF!,#REF!,#REF!</definedName>
    <definedName name="L_ALL_KEYWORDS_TYPE_ScalarContributed_EQTY_200003892">#REF!,#REF!,#REF!,#REF!</definedName>
    <definedName name="L_ALL_KEYWORDS_TYPE_ScalarContributed_EQTY_200004230">#REF!,#REF!,#REF!,#REF!,#REF!</definedName>
    <definedName name="L_ALL_KEYWORDS_TYPE_ScalarContributed_EQTY_200004419">#REF!,#REF!,#REF!,#REF!</definedName>
    <definedName name="L_ALL_KEYWORDS_TYPE_ScalarContributed_EQTY_200004906">#REF!,#REF!,#REF!,#REF!,#REF!</definedName>
    <definedName name="L_ALL_KEYWORDS_TYPE_ScalarContributed_EQTY_200005326">#REF!,#REF!,#REF!,#REF!,#REF!</definedName>
    <definedName name="L_ALL_KEYWORDS_TYPE_ScalarContributed_EQTY_200005490">#REF!,#REF!,#REF!,#REF!,#REF!</definedName>
    <definedName name="L_ALL_KEYWORDS_TYPE_ScalarContributed_EQTY_200005674">#REF!,#REF!,#REF!,#REF!,#REF!</definedName>
    <definedName name="L_ALL_KEYWORDS_TYPE_ScalarContributed_EQTY_200005722">#REF!,#REF!,#REF!,#REF!,#REF!</definedName>
    <definedName name="L_ALL_KEYWORDS_TYPE_ScalarContributed_EQTY_200006232">#REF!,#REF!,#REF!,#REF!</definedName>
    <definedName name="L_ALL_KEYWORDS_TYPE_ScalarContributed_EQTY_200006333">#REF!,#REF!,#REF!,#REF!</definedName>
    <definedName name="L_ALL_KEYWORDS_TYPE_ScalarContributed_EQTY_200006384">#REF!,#REF!,#REF!,#REF!,#REF!</definedName>
    <definedName name="L_ALL_KEYWORDS_TYPE_ScalarContributed_EQTY_200007794">#REF!,#REF!,#REF!,#REF!,#REF!</definedName>
    <definedName name="L_ALL_KEYWORDS_TYPE_ScalarContributed_EQTY_200009556">#REF!,#REF!,#REF!,#REF!</definedName>
    <definedName name="L_ALL_KEYWORDS_TYPE_ScalarContributed_EQTY_200009677">#REF!,#REF!,#REF!,#REF!,#REF!</definedName>
    <definedName name="L_ALL_KEYWORDS_TYPE_ScalarContributed_EQTY_200010313">#REF!,#REF!,#REF!,#REF!</definedName>
    <definedName name="L_ALL_KEYWORDS_TYPE_ScalarContributed_EQTY_200011598">#REF!,#REF!,#REF!,#REF!,#REF!</definedName>
    <definedName name="L_ALL_KEYWORDS_TYPE_ScalarContributed_EQTY_200012393">#REF!,#REF!,#REF!,#REF!,#REF!</definedName>
    <definedName name="L_ALL_KEYWORDS_TYPE_ScalarContributed_EQTY_200012762">#REF!,#REF!,#REF!,#REF!</definedName>
    <definedName name="L_ALL_KEYWORDS_TYPE_ScalarContributed_EQTY_200014300">#REF!,#REF!,#REF!,#REF!</definedName>
    <definedName name="L_ALL_KEYWORDS_TYPE_ScalarContributed_EQTY_200014367">#REF!,#REF!,#REF!,#REF!,#REF!</definedName>
    <definedName name="L_ALL_KEYWORDS_TYPE_ScalarContributed_EQTY_200014493">#REF!,#REF!,#REF!,#REF!</definedName>
    <definedName name="L_ALL_KEYWORDS_TYPE_ScalarContributed_EQTY_200014750">#REF!,#REF!,#REF!,#REF!,#REF!</definedName>
    <definedName name="L_ALL_KEYWORDS_TYPE_ScalarContributed_EQTY_200015107">#REF!,#REF!,#REF!,#REF!</definedName>
    <definedName name="L_ALL_KEYWORDS_TYPE_ScalarContributed_EQTY_200015716">#REF!,#REF!,#REF!,#REF!</definedName>
    <definedName name="L_ALL_KEYWORDS_TYPE_ScalarContributed_EQTY_200015757">#REF!,#REF!,#REF!,#REF!</definedName>
    <definedName name="L_ALL_KEYWORDS_TYPE_ScalarContributed_EQTY_200016026">#REF!,#REF!,#REF!,#REF!</definedName>
    <definedName name="L_ALL_KEYWORDS_TYPE_ScalarContributed_EQTY_200017745">#REF!,#REF!,#REF!,#REF!,#REF!</definedName>
    <definedName name="L_ALL_KEYWORDS_TYPE_ScalarContributed_EQTY_200019587">#REF!,#REF!,#REF!,#REF!</definedName>
    <definedName name="L_ALL_KEYWORDS_TYPE_ScalarContributed_EQTY_200019588">#REF!,#REF!,#REF!,#REF!</definedName>
    <definedName name="L_ALL_KEYWORDS_TYPE_ScalarContributed_EQTY_200021484">#REF!,#REF!,#REF!,#REF!,#REF!</definedName>
    <definedName name="L_ALL_KEYWORDS_TYPE_ScalarContributed_ISSR_208000027">#REF!,#REF!</definedName>
    <definedName name="L_ALL_KEYWORDS_TYPE_ScalarContributed_ISSR_208000156">#REF!,#REF!</definedName>
    <definedName name="L_ALL_KEYWORDS_TYPE_ScalarContributed_ISSR_208000430">#REF!,#REF!,#REF!,#REF!,#REF!,#REF!,#REF!,#REF!,#REF!,#REF!,#REF!</definedName>
    <definedName name="L_ALL_KEYWORDS_TYPE_ScalarContributed_ISSR_208000435">#REF!,#REF!</definedName>
    <definedName name="L_ALL_KEYWORDS_TYPE_ScalarContributed_ISSR_208000468">#REF!,#REF!</definedName>
    <definedName name="L_ALL_KEYWORDS_TYPE_ScalarContributed_ISSR_208000603">#REF!</definedName>
    <definedName name="L_ALL_KEYWORDS_TYPE_ScalarContributed_ISSR_208000826">#REF!,#REF!,#REF!</definedName>
    <definedName name="L_ALL_KEYWORDS_TYPE_ScalarContributed_ISSR_208000827">#REF!,#REF!,#REF!</definedName>
    <definedName name="L_ALL_KEYWORDS_TYPE_ScalarContributed_ISSR_208000836">#REF!,#REF!,#REF!</definedName>
    <definedName name="L_ALL_KEYWORDS_TYPE_ScalarContributed_ISSR_208000976">#REF!,#REF!</definedName>
    <definedName name="L_ALL_KEYWORDS_TYPE_ScalarContributed_ISSR_208000977">#REF!,#REF!</definedName>
    <definedName name="L_ALL_KEYWORDS_TYPE_ScalarContributed_ISSR_208001048">#REF!,#REF!</definedName>
    <definedName name="L_ALL_KEYWORDS_TYPE_ScalarContributed_ISSR_208001204">#REF!,#REF!,#REF!</definedName>
    <definedName name="L_ALL_KEYWORDS_TYPE_ScalarContributed_ISSR_208001258">#REF!</definedName>
    <definedName name="L_ALL_KEYWORDS_TYPE_ScalarContributed_ISSR_208001370">#REF!,#REF!</definedName>
    <definedName name="L_ALL_KEYWORDS_TYPE_ScalarContributed_ISSR_208001515">#REF!,#REF!</definedName>
    <definedName name="L_ALL_KEYWORDS_TYPE_ScalarContributed_ISSR_208001562">#REF!,#REF!,#REF!</definedName>
    <definedName name="L_ALL_KEYWORDS_TYPE_ScalarContributed_ISSR_208001627">#REF!,#REF!,#REF!</definedName>
    <definedName name="L_ALL_KEYWORDS_TYPE_ScalarContributed_ISSR_208001640">#REF!,#REF!</definedName>
    <definedName name="L_ALL_KEYWORDS_TYPE_ScalarContributed_ISSR_208001765">#REF!,#REF!,#REF!</definedName>
    <definedName name="L_ALL_KEYWORDS_TYPE_ScalarContributed_ISSR_208001785">#REF!,#REF!</definedName>
    <definedName name="L_ALL_KEYWORDS_TYPE_ScalarContributed_ISSR_208002651">#REF!,#REF!</definedName>
    <definedName name="L_ALL_KEYWORDS_TYPE_ScalarContributed_ISSR_208005795">#REF!,#REF!</definedName>
    <definedName name="L_ALL_KEYWORDS_TYPE_ScalarContributed_ISSR_208007986">#REF!,#REF!,#REF!</definedName>
    <definedName name="L_ALL_KEYWORDS_TYPE_ScalarContributed_ISSR_208008030">#REF!,#REF!,#REF!</definedName>
    <definedName name="L_ALL_KEYWORDS_TYPE_ScalarContributed_ISSR_208008836">#REF!,#REF!</definedName>
    <definedName name="L_ALL_KEYWORDS_TYPE_ScalarContributed_ISSR_208009377">#REF!,#REF!</definedName>
    <definedName name="L_ALL_KEYWORDS_TYPE_ScalarContributed_ISSR_208009722">#REF!</definedName>
    <definedName name="L_ALL_KEYWORDS_TYPE_ScalarContributed_ISSR_208011028">#REF!,#REF!,#REF!</definedName>
    <definedName name="L_ALL_KEYWORDS_TYPE_ScalarContributed_ISSR_208011556">#REF!,#REF!</definedName>
    <definedName name="L_ALL_KEYWORDS_TYPE_ScalarContributed_ISSR_208011888">#REF!,#REF!,#REF!,#REF!,#REF!,#REF!,#REF!,#REF!,#REF!,#REF!,#REF!</definedName>
    <definedName name="L_ALL_KEYWORDS_TYPE_ScalarContributed_ISSR_208012959">#REF!,#REF!,#REF!</definedName>
    <definedName name="L_ALL_KEYWORDS_TYPE_ScalarContributed_ISSR_208015351">#REF!,#REF!</definedName>
    <definedName name="L_ALL_KEYWORDS_TYPE_ScalarContributed_ISSR_208018132">#REF!,#REF!,#REF!</definedName>
    <definedName name="L_ALL_KEYWORDS_TYPE_ScalarContributed_ISSR_208018133">#REF!,#REF!,#REF!,#REF!,#REF!,#REF!,#REF!,#REF!,#REF!,#REF!,#REF!,#REF!</definedName>
    <definedName name="L_ALL_KEYWORDS_TYPE_ScalarContributed_ISSR_208018253">#REF!,#REF!,#REF!</definedName>
    <definedName name="L_ALL_KEYWORDS_TYPE_ScalarContributed_ISSR_208020566">#REF!,#REF!,#REF!</definedName>
    <definedName name="L_ALL_KEYWORDS_TYPE_ScalarContributed_ISSR_208020919">#REF!,#REF!,#REF!</definedName>
    <definedName name="L_ALL_KEYWORDS_TYPE_ScalarReference_EQTY_200001646">#REF!</definedName>
    <definedName name="L_ALL_KEYWORDS_TYPE_ScalarReference_EQTY_200002831">#REF!</definedName>
    <definedName name="L_ALL_KEYWORDS_TYPE_ScalarReference_EQTY_200004419">#REF!</definedName>
    <definedName name="L_ALL_KEYWORDS_TYPE_ScalarReference_EQTY_200012762">#REF!</definedName>
    <definedName name="L_ALL_KEYWORDS_TYPE_ScalarReference_EQTY_200014750">#REF!</definedName>
    <definedName name="L_ALL_KEYWORDS_TYPE_ScalarReference_ISSR_208000603">#REF!</definedName>
    <definedName name="L_ALL_KEYWORDS_TYPE_ScalarReference_ISSR_208000976">#REF!</definedName>
    <definedName name="L_ALL_KEYWORDS_TYPE_ScalarReference_ISSR_208001258">#REF!</definedName>
    <definedName name="L_ALL_KEYWORDS_TYPE_ScalarReference_ISSR_208009722">#REF!</definedName>
    <definedName name="L_ALL_KEYWORDS_TYPE_ScalarReference_ISSR_208011556">#REF!</definedName>
    <definedName name="L_ALL_KEYWORDS_TYPE_Vector_EQTY_200000304">#REF!,#REF!,#REF!,#REF!,#REF!,#REF!,#REF!</definedName>
    <definedName name="L_ALL_KEYWORDS_TYPE_Vector_EQTY_200000813">#REF!,#REF!,#REF!,#REF!,#REF!,#REF!,#REF!</definedName>
    <definedName name="L_ALL_KEYWORDS_TYPE_Vector_EQTY_200001265">#REF!,#REF!,#REF!,#REF!,#REF!,#REF!,#REF!</definedName>
    <definedName name="L_ALL_KEYWORDS_TYPE_Vector_EQTY_200001320">#REF!,#REF!,#REF!,#REF!,#REF!,#REF!,#REF!</definedName>
    <definedName name="L_ALL_KEYWORDS_TYPE_Vector_EQTY_200001330">#REF!,#REF!,#REF!,#REF!,#REF!,#REF!,#REF!</definedName>
    <definedName name="L_ALL_KEYWORDS_TYPE_Vector_EQTY_200001353">#REF!,#REF!,#REF!,#REF!,#REF!</definedName>
    <definedName name="L_ALL_KEYWORDS_TYPE_Vector_EQTY_200001371">#REF!,#REF!,#REF!,#REF!,#REF!</definedName>
    <definedName name="L_ALL_KEYWORDS_TYPE_Vector_EQTY_200001381">#REF!,#REF!,#REF!,#REF!,#REF!,#REF!,#REF!</definedName>
    <definedName name="L_ALL_KEYWORDS_TYPE_Vector_EQTY_200001646">#REF!,#REF!,#REF!,#REF!,#REF!,#REF!,#REF!,#REF!</definedName>
    <definedName name="L_ALL_KEYWORDS_TYPE_Vector_EQTY_200002282">#REF!,#REF!,#REF!,#REF!,#REF!,#REF!,#REF!,#REF!</definedName>
    <definedName name="L_ALL_KEYWORDS_TYPE_Vector_EQTY_200002283">#REF!,#REF!,#REF!,#REF!,#REF!,#REF!,#REF!,#REF!</definedName>
    <definedName name="L_ALL_KEYWORDS_TYPE_Vector_EQTY_200002309">#REF!,#REF!,#REF!,#REF!,#REF!,#REF!,#REF!,#REF!</definedName>
    <definedName name="L_ALL_KEYWORDS_TYPE_Vector_EQTY_200002831">#REF!,#REF!,#REF!,#REF!,#REF!,#REF!,#REF!</definedName>
    <definedName name="L_ALL_KEYWORDS_TYPE_Vector_EQTY_200002833">#REF!,#REF!,#REF!,#REF!,#REF!,#REF!,#REF!</definedName>
    <definedName name="L_ALL_KEYWORDS_TYPE_Vector_EQTY_200003036">#REF!,#REF!,#REF!,#REF!,#REF!,#REF!,#REF!</definedName>
    <definedName name="L_ALL_KEYWORDS_TYPE_Vector_EQTY_200003037">#REF!,#REF!,#REF!,#REF!,#REF!,#REF!,#REF!</definedName>
    <definedName name="L_ALL_KEYWORDS_TYPE_Vector_EQTY_200003892">#REF!,#REF!,#REF!,#REF!,#REF!,#REF!,#REF!</definedName>
    <definedName name="L_ALL_KEYWORDS_TYPE_Vector_EQTY_200004230">#REF!,#REF!,#REF!,#REF!,#REF!,#REF!,#REF!,#REF!</definedName>
    <definedName name="L_ALL_KEYWORDS_TYPE_Vector_EQTY_200004419">#REF!,#REF!,#REF!,#REF!,#REF!,#REF!,#REF!</definedName>
    <definedName name="L_ALL_KEYWORDS_TYPE_Vector_EQTY_200004906">#REF!,#REF!,#REF!,#REF!,#REF!,#REF!,#REF!</definedName>
    <definedName name="L_ALL_KEYWORDS_TYPE_Vector_EQTY_200005184">#REF!,#REF!,#REF!,#REF!,#REF!,#REF!,#REF!</definedName>
    <definedName name="L_ALL_KEYWORDS_TYPE_Vector_EQTY_200005326">#REF!,#REF!,#REF!,#REF!,#REF!,#REF!,#REF!</definedName>
    <definedName name="L_ALL_KEYWORDS_TYPE_Vector_EQTY_200005490">#REF!,#REF!,#REF!,#REF!,#REF!,#REF!,#REF!,#REF!</definedName>
    <definedName name="L_ALL_KEYWORDS_TYPE_Vector_EQTY_200005722">#REF!,#REF!,#REF!,#REF!,#REF!,#REF!,#REF!</definedName>
    <definedName name="L_ALL_KEYWORDS_TYPE_Vector_EQTY_200006232">#REF!,#REF!,#REF!,#REF!,#REF!,#REF!,#REF!</definedName>
    <definedName name="L_ALL_KEYWORDS_TYPE_Vector_EQTY_200006333">#REF!,#REF!,#REF!,#REF!,#REF!,#REF!,#REF!,#REF!,#REF!</definedName>
    <definedName name="L_ALL_KEYWORDS_TYPE_Vector_EQTY_200006384">#REF!,#REF!,#REF!,#REF!,#REF!,#REF!,#REF!</definedName>
    <definedName name="L_ALL_KEYWORDS_TYPE_Vector_EQTY_200009556">#REF!,#REF!,#REF!,#REF!,#REF!,#REF!,#REF!</definedName>
    <definedName name="L_ALL_KEYWORDS_TYPE_Vector_EQTY_200010313">#REF!,#REF!,#REF!,#REF!,#REF!,#REF!,#REF!,#REF!</definedName>
    <definedName name="L_ALL_KEYWORDS_TYPE_Vector_EQTY_200011598">#REF!,#REF!,#REF!,#REF!,#REF!,#REF!,#REF!</definedName>
    <definedName name="L_ALL_KEYWORDS_TYPE_Vector_EQTY_200012393">#REF!,#REF!,#REF!,#REF!,#REF!,#REF!,#REF!</definedName>
    <definedName name="L_ALL_KEYWORDS_TYPE_Vector_EQTY_200012762">#REF!,#REF!,#REF!,#REF!,#REF!,#REF!,#REF!</definedName>
    <definedName name="L_ALL_KEYWORDS_TYPE_Vector_EQTY_200014300">#REF!,#REF!,#REF!,#REF!,#REF!,#REF!,#REF!</definedName>
    <definedName name="L_ALL_KEYWORDS_TYPE_Vector_EQTY_200014493">#REF!,#REF!,#REF!,#REF!,#REF!,#REF!,#REF!</definedName>
    <definedName name="L_ALL_KEYWORDS_TYPE_Vector_EQTY_200014750">#REF!,#REF!,#REF!,#REF!,#REF!,#REF!,#REF!</definedName>
    <definedName name="L_ALL_KEYWORDS_TYPE_Vector_EQTY_200015107">#REF!,#REF!,#REF!,#REF!,#REF!,#REF!,#REF!</definedName>
    <definedName name="L_ALL_KEYWORDS_TYPE_Vector_EQTY_200015716">#REF!,#REF!,#REF!,#REF!,#REF!,#REF!,#REF!</definedName>
    <definedName name="L_ALL_KEYWORDS_TYPE_Vector_EQTY_200015757">#REF!,#REF!,#REF!,#REF!,#REF!,#REF!,#REF!,#REF!</definedName>
    <definedName name="L_ALL_KEYWORDS_TYPE_Vector_EQTY_200016026">#REF!,#REF!,#REF!,#REF!,#REF!,#REF!,#REF!,#REF!</definedName>
    <definedName name="L_ALL_KEYWORDS_TYPE_Vector_EQTY_200017745">#REF!,#REF!,#REF!,#REF!,#REF!,#REF!,#REF!</definedName>
    <definedName name="L_ALL_KEYWORDS_TYPE_Vector_EQTY_200019588">#REF!,#REF!,#REF!,#REF!,#REF!,#REF!,#REF!</definedName>
    <definedName name="L_ALL_KEYWORDS_TYPE_Vector_EQTY_200021484">#REF!,#REF!,#REF!,#REF!,#REF!,#REF!,#REF!</definedName>
    <definedName name="L_ALL_KEYWORDS_TYPE_Vector_ISSR_208000027">#REF!,#REF!,#REF!,#REF!,#REF!,#REF!,#REF!,#REF!,#REF!,#REF!</definedName>
    <definedName name="L_ALL_KEYWORDS_TYPE_Vector_ISSR_208000156">#REF!,#REF!,#REF!,#REF!,#REF!,#REF!,#REF!,#REF!,#REF!,#REF!,#REF!,#REF!,#REF!</definedName>
    <definedName name="L_ALL_KEYWORDS_TYPE_Vector_ISSR_208000430">#REF!,#REF!,#REF!,#REF!,#REF!,#REF!,#REF!,#REF!,#REF!,#REF!,#REF!,#REF!,#REF!,#REF!</definedName>
    <definedName name="L_ALL_KEYWORDS_TYPE_Vector_ISSR_208000435">#REF!,#REF!,#REF!,#REF!,#REF!,#REF!,#REF!,#REF!,#REF!,#REF!</definedName>
    <definedName name="L_ALL_KEYWORDS_TYPE_Vector_ISSR_208000451">#REF!,#REF!,#REF!,#REF!,#REF!,#REF!,#REF!,#REF!,#REF!,#REF!,#REF!,#REF!,#REF!,#REF!,#REF!,#REF!,#REF!,#REF!,#REF!,#REF!,#REF!,#REF!,#REF!,#REF!,#REF!,#REF!</definedName>
    <definedName name="L_ALL_KEYWORDS_TYPE_Vector_ISSR_208000468">#REF!,#REF!,#REF!,#REF!,#REF!,#REF!,#REF!,#REF!,#REF!,#REF!,#REF!,#REF!,#REF!,#REF!</definedName>
    <definedName name="L_ALL_KEYWORDS_TYPE_Vector_ISSR_208000603">#REF!,#REF!,#REF!,#REF!,#REF!,#REF!,#REF!,#REF!,#REF!,#REF!</definedName>
    <definedName name="L_ALL_KEYWORDS_TYPE_Vector_ISSR_208000826">#REF!,#REF!,#REF!,#REF!,#REF!,#REF!,#REF!,#REF!,#REF!,#REF!,#REF!,#REF!,#REF!,#REF!,#REF!,#REF!</definedName>
    <definedName name="L_ALL_KEYWORDS_TYPE_Vector_ISSR_208000827">#REF!,#REF!,#REF!,#REF!,#REF!,#REF!,#REF!,#REF!,#REF!,#REF!,#REF!,#REF!,#REF!,#REF!,#REF!,#REF!</definedName>
    <definedName name="L_ALL_KEYWORDS_TYPE_Vector_ISSR_208000836">#REF!,#REF!,#REF!,#REF!,#REF!,#REF!,#REF!,#REF!,#REF!,#REF!,#REF!,#REF!,#REF!</definedName>
    <definedName name="L_ALL_KEYWORDS_TYPE_Vector_ISSR_208000976">#REF!,#REF!,#REF!,#REF!,#REF!,#REF!,#REF!,#REF!,#REF!,#REF!,#REF!,#REF!,#REF!</definedName>
    <definedName name="L_ALL_KEYWORDS_TYPE_Vector_ISSR_208000977">#REF!,#REF!,#REF!,#REF!,#REF!,#REF!,#REF!,#REF!,#REF!,#REF!,#REF!,#REF!,#REF!,#REF!,#REF!</definedName>
    <definedName name="L_ALL_KEYWORDS_TYPE_Vector_ISSR_208001018" localSheetId="3">#REF!,#REF!,#REF!,#REF!,#REF!,#REF!,#REF!,#REF!,#REF!,#REF!</definedName>
    <definedName name="L_ALL_KEYWORDS_TYPE_Vector_ISSR_208001018">#REF!,#REF!,#REF!,#REF!,#REF!,#REF!,#REF!,#REF!,#REF!,#REF!</definedName>
    <definedName name="L_ALL_KEYWORDS_TYPE_Vector_ISSR_208001048">#REF!,#REF!,#REF!,#REF!,#REF!,#REF!,#REF!,#REF!,#REF!,#REF!,#REF!,#REF!,#REF!</definedName>
    <definedName name="L_ALL_KEYWORDS_TYPE_Vector_ISSR_208001049">#REF!,#REF!,#REF!,#REF!,#REF!,#REF!,#REF!,#REF!,#REF!,#REF!,#REF!,#REF!,#REF!,#REF!,#REF!</definedName>
    <definedName name="L_ALL_KEYWORDS_TYPE_Vector_ISSR_208001137">#REF!,#REF!,#REF!,#REF!,#REF!,#REF!,#REF!,#REF!,#REF!,#REF!,#REF!,#REF!,#REF!,#REF!,#REF!</definedName>
    <definedName name="L_ALL_KEYWORDS_TYPE_Vector_ISSR_208001204">#REF!,#REF!,#REF!,#REF!,#REF!,#REF!,#REF!,#REF!,#REF!,#REF!,#REF!,#REF!,#REF!,#REF!</definedName>
    <definedName name="L_ALL_KEYWORDS_TYPE_Vector_ISSR_208001217">#REF!,#REF!,#REF!,#REF!,#REF!,#REF!,#REF!,#REF!,#REF!,#REF!,#REF!,#REF!,#REF!,#REF!,#REF!</definedName>
    <definedName name="L_ALL_KEYWORDS_TYPE_Vector_ISSR_208001258">#REF!,#REF!,#REF!,#REF!,#REF!,#REF!,#REF!,#REF!,#REF!,#REF!,#REF!,#REF!,#REF!,#REF!,#REF!</definedName>
    <definedName name="L_ALL_KEYWORDS_TYPE_Vector_ISSR_208001370">#REF!,#REF!,#REF!,#REF!,#REF!,#REF!,#REF!,#REF!,#REF!,#REF!,#REF!,#REF!,#REF!</definedName>
    <definedName name="L_ALL_KEYWORDS_TYPE_Vector_ISSR_208001515">#REF!,#REF!,#REF!,#REF!,#REF!,#REF!,#REF!,#REF!,#REF!,#REF!,#REF!,#REF!</definedName>
    <definedName name="L_ALL_KEYWORDS_TYPE_Vector_ISSR_208001562">#REF!,#REF!,#REF!,#REF!,#REF!,#REF!,#REF!,#REF!,#REF!,#REF!,#REF!,#REF!,#REF!</definedName>
    <definedName name="L_ALL_KEYWORDS_TYPE_Vector_ISSR_208001627">#REF!,#REF!,#REF!,#REF!,#REF!,#REF!,#REF!,#REF!,#REF!,#REF!,#REF!,#REF!,#REF!</definedName>
    <definedName name="L_ALL_KEYWORDS_TYPE_Vector_ISSR_208001640">#REF!,#REF!,#REF!,#REF!,#REF!,#REF!,#REF!,#REF!,#REF!,#REF!,#REF!,#REF!,#REF!</definedName>
    <definedName name="L_ALL_KEYWORDS_TYPE_Vector_ISSR_208001765">#REF!,#REF!,#REF!,#REF!,#REF!,#REF!,#REF!,#REF!,#REF!,#REF!,#REF!,#REF!,#REF!,#REF!,#REF!</definedName>
    <definedName name="L_ALL_KEYWORDS_TYPE_Vector_ISSR_208001785">#REF!,#REF!,#REF!,#REF!,#REF!,#REF!,#REF!,#REF!,#REF!,#REF!,#REF!,#REF!,#REF!</definedName>
    <definedName name="L_ALL_KEYWORDS_TYPE_Vector_ISSR_208002651">#REF!,#REF!,#REF!,#REF!,#REF!,#REF!,#REF!,#REF!,#REF!,#REF!,#REF!,#REF!,#REF!</definedName>
    <definedName name="L_ALL_KEYWORDS_TYPE_Vector_ISSR_208005795">#REF!,#REF!,#REF!,#REF!,#REF!,#REF!,#REF!,#REF!,#REF!,#REF!</definedName>
    <definedName name="L_ALL_KEYWORDS_TYPE_Vector_ISSR_208007359">#REF!,#REF!,#REF!,#REF!,#REF!,#REF!,#REF!,#REF!,#REF!</definedName>
    <definedName name="L_ALL_KEYWORDS_TYPE_Vector_ISSR_208007452">#REF!,#REF!,#REF!,#REF!,#REF!,#REF!,#REF!,#REF!,#REF!,#REF!,#REF!,#REF!,#REF!,#REF!,#REF!,#REF!,#REF!,#REF!,#REF!,#REF!,#REF!,#REF!,#REF!,#REF!,#REF!</definedName>
    <definedName name="L_ALL_KEYWORDS_TYPE_Vector_ISSR_208007986">#REF!,#REF!,#REF!,#REF!,#REF!,#REF!,#REF!,#REF!,#REF!,#REF!,#REF!,#REF!,#REF!,#REF!,#REF!</definedName>
    <definedName name="L_ALL_KEYWORDS_TYPE_Vector_ISSR_208008030">#REF!,#REF!,#REF!,#REF!,#REF!,#REF!,#REF!,#REF!,#REF!,#REF!,#REF!,#REF!,#REF!,#REF!,#REF!,#REF!,#REF!,#REF!,#REF!,#REF!</definedName>
    <definedName name="L_ALL_KEYWORDS_TYPE_Vector_ISSR_208008836">#REF!,#REF!,#REF!,#REF!,#REF!,#REF!,#REF!,#REF!,#REF!,#REF!</definedName>
    <definedName name="L_ALL_KEYWORDS_TYPE_Vector_ISSR_208009377">#REF!,#REF!,#REF!,#REF!,#REF!,#REF!,#REF!,#REF!,#REF!,#REF!,#REF!,#REF!,#REF!</definedName>
    <definedName name="L_ALL_KEYWORDS_TYPE_Vector_ISSR_208009722">#REF!,#REF!,#REF!,#REF!,#REF!,#REF!,#REF!,#REF!,#REF!</definedName>
    <definedName name="L_ALL_KEYWORDS_TYPE_Vector_ISSR_208010209">#REF!,#REF!,#REF!,#REF!,#REF!,#REF!,#REF!,#REF!,#REF!,#REF!,#REF!,#REF!,#REF!,#REF!,#REF!</definedName>
    <definedName name="L_ALL_KEYWORDS_TYPE_Vector_ISSR_208011028">#REF!,#REF!,#REF!,#REF!,#REF!,#REF!,#REF!,#REF!,#REF!,#REF!,#REF!,#REF!,#REF!</definedName>
    <definedName name="L_ALL_KEYWORDS_TYPE_Vector_ISSR_208011072">#REF!,#REF!,#REF!,#REF!,#REF!,#REF!,#REF!,#REF!,#REF!,#REF!,#REF!,#REF!,#REF!,#REF!</definedName>
    <definedName name="L_ALL_KEYWORDS_TYPE_Vector_ISSR_208011212">#REF!,#REF!,#REF!,#REF!,#REF!,#REF!,#REF!,#REF!,#REF!,#REF!,#REF!,#REF!,#REF!,#REF!</definedName>
    <definedName name="L_ALL_KEYWORDS_TYPE_Vector_ISSR_208011556">#REF!,#REF!,#REF!,#REF!,#REF!,#REF!,#REF!,#REF!,#REF!,#REF!</definedName>
    <definedName name="L_ALL_KEYWORDS_TYPE_Vector_ISSR_208011888">#REF!,#REF!,#REF!,#REF!,#REF!,#REF!,#REF!,#REF!,#REF!,#REF!,#REF!,#REF!,#REF!,#REF!,#REF!,#REF!,#REF!,#REF!,#REF!</definedName>
    <definedName name="L_ALL_KEYWORDS_TYPE_Vector_ISSR_208012959">#REF!,#REF!,#REF!,#REF!,#REF!,#REF!,#REF!,#REF!,#REF!,#REF!,#REF!,#REF!,#REF!,#REF!,#REF!,#REF!</definedName>
    <definedName name="L_ALL_KEYWORDS_TYPE_Vector_ISSR_208013278">#REF!,#REF!,#REF!,#REF!,#REF!,#REF!,#REF!,#REF!,#REF!,#REF!,#REF!,#REF!</definedName>
    <definedName name="L_ALL_KEYWORDS_TYPE_Vector_ISSR_208015351">#REF!,#REF!,#REF!,#REF!,#REF!,#REF!,#REF!,#REF!,#REF!,#REF!,#REF!,#REF!</definedName>
    <definedName name="L_ALL_KEYWORDS_TYPE_Vector_ISSR_208017249">#REF!,#REF!,#REF!,#REF!,#REF!,#REF!,#REF!,#REF!,#REF!,#REF!,#REF!,#REF!</definedName>
    <definedName name="L_ALL_KEYWORDS_TYPE_Vector_ISSR_208018132">#REF!,#REF!,#REF!,#REF!,#REF!,#REF!,#REF!,#REF!,#REF!,#REF!,#REF!,#REF!,#REF!</definedName>
    <definedName name="L_ALL_KEYWORDS_TYPE_Vector_ISSR_208018133">#REF!,#REF!,#REF!,#REF!,#REF!,#REF!,#REF!,#REF!,#REF!,#REF!,#REF!,#REF!,#REF!,#REF!,#REF!,#REF!,#REF!,#REF!,#REF!,#REF!,#REF!,#REF!,#REF!</definedName>
    <definedName name="L_ALL_KEYWORDS_TYPE_Vector_ISSR_208018253">#REF!,#REF!,#REF!,#REF!,#REF!,#REF!,#REF!,#REF!,#REF!,#REF!,#REF!,#REF!,#REF!</definedName>
    <definedName name="L_ALL_KEYWORDS_TYPE_Vector_ISSR_208020566">#REF!,#REF!,#REF!,#REF!,#REF!,#REF!,#REF!,#REF!,#REF!,#REF!,#REF!,#REF!,#REF!</definedName>
    <definedName name="L_ALL_KEYWORDS_TYPE_Vector_ISSR_208020919">#REF!,#REF!,#REF!,#REF!,#REF!,#REF!,#REF!,#REF!,#REF!,#REF!,#REF!,#REF!,#REF!</definedName>
    <definedName name="L_ALL_KEYWORDS_TYPE_Vector_ISSR_208021926">#REF!,#REF!,#REF!,#REF!,#REF!,#REF!,#REF!,#REF!,#REF!,#REF!,#REF!,#REF!,#REF!</definedName>
    <definedName name="L_ALL_Ticker0021">#REF!</definedName>
    <definedName name="L_ALL_Company1561">#REF!</definedName>
    <definedName name="L_ALL_Company1584">#REF!</definedName>
    <definedName name="L_ALL_Company1588">#REF!</definedName>
    <definedName name="L_ALL_MCFE">#REF!</definedName>
    <definedName name="L_ALL_Company1666">#REF!</definedName>
    <definedName name="L_ALL_Company1666_">#REF!</definedName>
    <definedName name="L_ALL_MDB">#REF!</definedName>
    <definedName name="L_ALL_Company1709">#REF!</definedName>
    <definedName name="L_ALL_Company1715">#REF!</definedName>
    <definedName name="L_ALL_Company1744">#REF!</definedName>
    <definedName name="L_ALL_Company1744_">#REF!</definedName>
    <definedName name="L_ALL_Ticker0024">#REF!</definedName>
    <definedName name="L_ALL_Company1760">#REF!</definedName>
    <definedName name="L_ALL_NOK1V.HE">#REF!</definedName>
    <definedName name="L_ALL_Ticker0027">#REF!</definedName>
    <definedName name="L_ALL_Ticker0027_">#REF!</definedName>
    <definedName name="L_ALL_Company1919">#REF!</definedName>
    <definedName name="L_ALL_Company1919_">#REF!</definedName>
    <definedName name="L_ALL_ON">#REF!</definedName>
    <definedName name="L_ALL_Company2035">#REF!</definedName>
    <definedName name="L_ALL_PERIODS_Company0141">#REF!</definedName>
    <definedName name="L_ALL_PERIODS_T">#REF!</definedName>
    <definedName name="L_ALL_Company2070">#REF!</definedName>
    <definedName name="L_ALL_Company2194">#REF!</definedName>
    <definedName name="L_ALL_Company2196">#REF!</definedName>
    <definedName name="L_ALL_Company2225">#REF!</definedName>
    <definedName name="L_ALL_Company2257">#REF!</definedName>
    <definedName name="L_ALL_S">#REF!</definedName>
    <definedName name="L_ALL_Company2327">#REF!</definedName>
    <definedName name="L_ALL_SECTION_KEYWORDS_EQTY_200001646_1314">#REF!</definedName>
    <definedName name="L_ALL_SECTION_KEYWORDS_EQTY_200001646_1319">#REF!</definedName>
    <definedName name="L_ALL_SECTION_KEYWORDS_EQTY_200001646_131E">#REF!</definedName>
    <definedName name="L_ALL_SECTION_KEYWORDS_EQTY_200001646_131O">#REF!</definedName>
    <definedName name="L_ALL_SECTION_KEYWORDS_EQTY_200001646_131P">#REF!</definedName>
    <definedName name="L_ALL_SECTION_KEYWORDS_EQTY_200001646_13A">#REF!</definedName>
    <definedName name="L_ALL_SECTION_KEYWORDS_EQTY_200001646_13K">#REF!</definedName>
    <definedName name="L_ALL_SECTION_KEYWORDS_EQTY_200001646_13U">#REF!</definedName>
    <definedName name="L_ALL_SECTION_KEYWORDS_EQTY_200001646_13V">#REF!</definedName>
    <definedName name="L_ALL_SECTION_KEYWORDS_EQTY_200001646_13W">#REF!</definedName>
    <definedName name="L_ALL_SECTION_KEYWORDS_EQTY_200001646_Reference_Data">#REF!</definedName>
    <definedName name="L_ALL_SECTION_KEYWORDS_EQTY_200002831_1314">#REF!</definedName>
    <definedName name="L_ALL_SECTION_KEYWORDS_EQTY_200002831_1319">#REF!</definedName>
    <definedName name="L_ALL_SECTION_KEYWORDS_EQTY_200002831_131E">#REF!</definedName>
    <definedName name="L_ALL_SECTION_KEYWORDS_EQTY_200002831_131O">#REF!</definedName>
    <definedName name="L_ALL_SECTION_KEYWORDS_EQTY_200002831_13A">#REF!</definedName>
    <definedName name="L_ALL_SECTION_KEYWORDS_EQTY_200002831_13K">#REF!</definedName>
    <definedName name="L_ALL_SECTION_KEYWORDS_EQTY_200002831_13U">#REF!</definedName>
    <definedName name="L_ALL_SECTION_KEYWORDS_EQTY_200002831_13V">#REF!</definedName>
    <definedName name="L_ALL_SECTION_KEYWORDS_EQTY_200002831_13W">#REF!</definedName>
    <definedName name="L_ALL_SECTION_KEYWORDS_EQTY_200002831_Reference_Data">#REF!</definedName>
    <definedName name="L_ALL_SECTION_KEYWORDS_EQTY_200004230_13A">#REF!</definedName>
    <definedName name="L_ALL_SECTION_KEYWORDS_EQTY_200004230_13K">#REF!</definedName>
    <definedName name="L_ALL_SECTION_KEYWORDS_EQTY_200004419_1314">#REF!</definedName>
    <definedName name="L_ALL_SECTION_KEYWORDS_EQTY_200004419_1319">#REF!</definedName>
    <definedName name="L_ALL_SECTION_KEYWORDS_EQTY_200004419_131E">#REF!</definedName>
    <definedName name="L_ALL_SECTION_KEYWORDS_EQTY_200004419_131O">#REF!</definedName>
    <definedName name="L_ALL_SECTION_KEYWORDS_EQTY_200004419_13A">#REF!</definedName>
    <definedName name="L_ALL_SECTION_KEYWORDS_EQTY_200004419_13K">#REF!</definedName>
    <definedName name="L_ALL_SECTION_KEYWORDS_EQTY_200004419_13U">#REF!</definedName>
    <definedName name="L_ALL_SECTION_KEYWORDS_EQTY_200004419_13V">#REF!</definedName>
    <definedName name="L_ALL_SECTION_KEYWORDS_EQTY_200004419_13W">#REF!</definedName>
    <definedName name="L_ALL_SECTION_KEYWORDS_EQTY_200004419_Reference_Data">#REF!</definedName>
    <definedName name="L_ALL_SECTION_KEYWORDS_EQTY_200005326_13A">#REF!</definedName>
    <definedName name="L_ALL_SECTION_KEYWORDS_EQTY_200005326_13K">#REF!</definedName>
    <definedName name="L_ALL_SECTION_KEYWORDS_EQTY_200005722_13A">#REF!</definedName>
    <definedName name="L_ALL_SECTION_KEYWORDS_EQTY_200005722_13K">#REF!</definedName>
    <definedName name="L_ALL_SECTION_KEYWORDS_EQTY_200006333_13A">#REF!</definedName>
    <definedName name="L_ALL_SECTION_KEYWORDS_EQTY_200006333_13K">#REF!</definedName>
    <definedName name="L_ALL_SECTION_KEYWORDS_EQTY_200012762_1314">#REF!</definedName>
    <definedName name="L_ALL_SECTION_KEYWORDS_EQTY_200012762_1319">#REF!</definedName>
    <definedName name="L_ALL_SECTION_KEYWORDS_EQTY_200012762_131E">#REF!</definedName>
    <definedName name="L_ALL_SECTION_KEYWORDS_EQTY_200012762_131O">#REF!</definedName>
    <definedName name="L_ALL_SECTION_KEYWORDS_EQTY_200012762_13A">#REF!</definedName>
    <definedName name="L_ALL_SECTION_KEYWORDS_EQTY_200012762_13K">#REF!</definedName>
    <definedName name="L_ALL_SECTION_KEYWORDS_EQTY_200012762_13U">#REF!</definedName>
    <definedName name="L_ALL_SECTION_KEYWORDS_EQTY_200012762_13V">#REF!</definedName>
    <definedName name="L_ALL_SECTION_KEYWORDS_EQTY_200012762_13W">#REF!</definedName>
    <definedName name="L_ALL_SECTION_KEYWORDS_EQTY_200012762_Reference_Data">#REF!</definedName>
    <definedName name="L_ALL_SECTION_KEYWORDS_EQTY_200014750_1314">#REF!</definedName>
    <definedName name="L_ALL_SECTION_KEYWORDS_EQTY_200014750_1319">#REF!</definedName>
    <definedName name="L_ALL_SECTION_KEYWORDS_EQTY_200014750_131E">#REF!</definedName>
    <definedName name="L_ALL_SECTION_KEYWORDS_EQTY_200014750_131O">#REF!</definedName>
    <definedName name="L_ALL_SECTION_KEYWORDS_EQTY_200014750_13A">#REF!</definedName>
    <definedName name="L_ALL_SECTION_KEYWORDS_EQTY_200014750_13K">#REF!</definedName>
    <definedName name="L_ALL_SECTION_KEYWORDS_EQTY_200014750_13U">#REF!</definedName>
    <definedName name="L_ALL_SECTION_KEYWORDS_EQTY_200014750_13V">#REF!</definedName>
    <definedName name="L_ALL_SECTION_KEYWORDS_EQTY_200014750_13W">#REF!</definedName>
    <definedName name="L_ALL_SECTION_KEYWORDS_EQTY_200014750_Reference_Data">#REF!</definedName>
    <definedName name="L_ALL_SECTION_KEYWORDS_EQTY_200019587_13A">#REF!</definedName>
    <definedName name="L_ALL_SECTION_KEYWORDS_EQTY_200019588_13A">#REF!</definedName>
    <definedName name="L_ALL_SECTION_KEYWORDS_EQTY_200019588_13K">#REF!</definedName>
    <definedName name="L_ALL_SECTION_KEYWORDS_EQTY_200021484_13A">#REF!</definedName>
    <definedName name="L_ALL_SECTION_KEYWORDS_EQTY_200021484_13K">#REF!</definedName>
    <definedName name="L_ALL_SECTION_KEYWORDS_ISSR_208000027_136E">#REF!,#REF!</definedName>
    <definedName name="L_ALL_SECTION_KEYWORDS_ISSR_208000402_136J">#REF!,#REF!</definedName>
    <definedName name="L_ALL_SECTION_KEYWORDS_ISSR_208000430_136E">#REF!,#REF!</definedName>
    <definedName name="L_ALL_SECTION_KEYWORDS_ISSR_208000435_136E">#REF!,#REF!</definedName>
    <definedName name="L_ALL_SECTION_KEYWORDS_ISSR_208000435_136J">#REF!,#REF!</definedName>
    <definedName name="L_ALL_SECTION_KEYWORDS_ISSR_208000468_13V">#REF!,#REF!</definedName>
    <definedName name="L_ALL_SECTION_KEYWORDS_ISSR_208000603_1314">#REF!</definedName>
    <definedName name="L_ALL_SECTION_KEYWORDS_ISSR_208000603_13168">#REF!</definedName>
    <definedName name="L_ALL_SECTION_KEYWORDS_ISSR_208000603_1319">#REF!</definedName>
    <definedName name="L_ALL_SECTION_KEYWORDS_ISSR_208000603_131E">#REF!</definedName>
    <definedName name="L_ALL_SECTION_KEYWORDS_ISSR_208000603_131J">#REF!</definedName>
    <definedName name="L_ALL_SECTION_KEYWORDS_ISSR_208000603_131O">#REF!</definedName>
    <definedName name="L_ALL_SECTION_KEYWORDS_ISSR_208000603_131P">#REF!</definedName>
    <definedName name="L_ALL_SECTION_KEYWORDS_ISSR_208000603_13A">#REF!</definedName>
    <definedName name="L_ALL_SECTION_KEYWORDS_ISSR_208000603_13U">#REF!</definedName>
    <definedName name="L_ALL_SECTION_KEYWORDS_ISSR_208000603_13V">#REF!</definedName>
    <definedName name="L_ALL_SECTION_KEYWORDS_ISSR_208000603_Reference_Data">#REF!</definedName>
    <definedName name="L_ALL_SECTION_KEYWORDS_ISSR_208000826_136J">#REF!,#REF!</definedName>
    <definedName name="L_ALL_SECTION_KEYWORDS_ISSR_208000826_13V">#REF!,#REF!</definedName>
    <definedName name="L_ALL_SECTION_KEYWORDS_ISSR_208000827_136J">#REF!,#REF!</definedName>
    <definedName name="L_ALL_SECTION_KEYWORDS_ISSR_208000836_131O">#REF!,#REF!</definedName>
    <definedName name="L_ALL_SECTION_KEYWORDS_ISSR_208000976_1314">#REF!</definedName>
    <definedName name="L_ALL_SECTION_KEYWORDS_ISSR_208000976_13168">#REF!</definedName>
    <definedName name="L_ALL_SECTION_KEYWORDS_ISSR_208000976_1316T">#REF!</definedName>
    <definedName name="L_ALL_SECTION_KEYWORDS_ISSR_208000976_1316U">#REF!</definedName>
    <definedName name="L_ALL_SECTION_KEYWORDS_ISSR_208000976_1319">#REF!</definedName>
    <definedName name="L_ALL_SECTION_KEYWORDS_ISSR_208000976_131E">#REF!</definedName>
    <definedName name="L_ALL_SECTION_KEYWORDS_ISSR_208000976_131J">#REF!</definedName>
    <definedName name="L_ALL_SECTION_KEYWORDS_ISSR_208000976_131O">#REF!</definedName>
    <definedName name="L_ALL_SECTION_KEYWORDS_ISSR_208000976_136E">#REF!,#REF!</definedName>
    <definedName name="L_ALL_SECTION_KEYWORDS_ISSR_208000976_13A">#REF!</definedName>
    <definedName name="L_ALL_SECTION_KEYWORDS_ISSR_208000976_13U">#REF!</definedName>
    <definedName name="L_ALL_SECTION_KEYWORDS_ISSR_208000976_13V">#REF!,#REF!</definedName>
    <definedName name="L_ALL_SECTION_KEYWORDS_ISSR_208000976_Reference_Data">#REF!</definedName>
    <definedName name="L_ALL_SECTION_KEYWORDS_ISSR_208000977_136E">#REF!,#REF!</definedName>
    <definedName name="L_ALL_SECTION_KEYWORDS_ISSR_208001018_13168" localSheetId="3">#REF!</definedName>
    <definedName name="L_ALL_SECTION_KEYWORDS_ISSR_208001018_13168">#REF!</definedName>
    <definedName name="L_ALL_SECTION_KEYWORDS_ISSR_208001018_136E" localSheetId="3">#REF!,#REF!</definedName>
    <definedName name="L_ALL_SECTION_KEYWORDS_ISSR_208001018_136E">#REF!,#REF!</definedName>
    <definedName name="L_ALL_SECTION_KEYWORDS_ISSR_208001018_13V" localSheetId="3">#REF!</definedName>
    <definedName name="L_ALL_SECTION_KEYWORDS_ISSR_208001018_13V">#REF!</definedName>
    <definedName name="L_ALL_SECTION_KEYWORDS_ISSR_208001048_13V">#REF!,#REF!</definedName>
    <definedName name="L_ALL_SECTION_KEYWORDS_ISSR_208001204_136J">#REF!,#REF!</definedName>
    <definedName name="L_ALL_SECTION_KEYWORDS_ISSR_208001217_13168">#REF!,#REF!</definedName>
    <definedName name="L_ALL_SECTION_KEYWORDS_ISSR_208001217_136E">#REF!,#REF!</definedName>
    <definedName name="L_ALL_SECTION_KEYWORDS_ISSR_208001258_1314">#REF!</definedName>
    <definedName name="L_ALL_SECTION_KEYWORDS_ISSR_208001258_13168">#REF!</definedName>
    <definedName name="L_ALL_SECTION_KEYWORDS_ISSR_208001258_1316T">#REF!</definedName>
    <definedName name="L_ALL_SECTION_KEYWORDS_ISSR_208001258_1316U">#REF!</definedName>
    <definedName name="L_ALL_SECTION_KEYWORDS_ISSR_208001258_1319">#REF!</definedName>
    <definedName name="L_ALL_SECTION_KEYWORDS_ISSR_208001258_131E">#REF!</definedName>
    <definedName name="L_ALL_SECTION_KEYWORDS_ISSR_208001258_131J">#REF!</definedName>
    <definedName name="L_ALL_SECTION_KEYWORDS_ISSR_208001258_131O">#REF!</definedName>
    <definedName name="L_ALL_SECTION_KEYWORDS_ISSR_208001258_13A">#REF!</definedName>
    <definedName name="L_ALL_SECTION_KEYWORDS_ISSR_208001258_13U">#REF!</definedName>
    <definedName name="L_ALL_SECTION_KEYWORDS_ISSR_208001258_13V">#REF!</definedName>
    <definedName name="L_ALL_SECTION_KEYWORDS_ISSR_208001258_Reference_Data">#REF!</definedName>
    <definedName name="L_ALL_SECTION_KEYWORDS_ISSR_208001370_13V">#REF!,#REF!</definedName>
    <definedName name="L_ALL_SECTION_KEYWORDS_ISSR_208001515_1314">#REF!</definedName>
    <definedName name="L_ALL_SECTION_KEYWORDS_ISSR_208001515_1319">#REF!</definedName>
    <definedName name="L_ALL_SECTION_KEYWORDS_ISSR_208001515_131E">#REF!</definedName>
    <definedName name="L_ALL_SECTION_KEYWORDS_ISSR_208001515_13V">#REF!</definedName>
    <definedName name="L_ALL_SECTION_KEYWORDS_ISSR_208001562_131O">#REF!,#REF!</definedName>
    <definedName name="L_ALL_SECTION_KEYWORDS_ISSR_208001627_131O">#REF!,#REF!</definedName>
    <definedName name="L_ALL_SECTION_KEYWORDS_ISSR_208001627_136J">#REF!</definedName>
    <definedName name="L_ALL_SECTION_KEYWORDS_ISSR_208001640_1314">#REF!</definedName>
    <definedName name="L_ALL_SECTION_KEYWORDS_ISSR_208001640_1319">#REF!</definedName>
    <definedName name="L_ALL_SECTION_KEYWORDS_ISSR_208001640_131E">#REF!</definedName>
    <definedName name="L_ALL_SECTION_KEYWORDS_ISSR_208001640_13V">#REF!</definedName>
    <definedName name="L_ALL_SECTION_KEYWORDS_ISSR_208001765_1314">#REF!</definedName>
    <definedName name="L_ALL_SECTION_KEYWORDS_ISSR_208001765_13168">#REF!,#REF!</definedName>
    <definedName name="L_ALL_SECTION_KEYWORDS_ISSR_208001765_1316T">#REF!</definedName>
    <definedName name="L_ALL_SECTION_KEYWORDS_ISSR_208001765_1319">#REF!</definedName>
    <definedName name="L_ALL_SECTION_KEYWORDS_ISSR_208001765_131E">#REF!</definedName>
    <definedName name="L_ALL_SECTION_KEYWORDS_ISSR_208001765_136E">#REF!,#REF!</definedName>
    <definedName name="L_ALL_SECTION_KEYWORDS_ISSR_208001765_13V">#REF!,#REF!</definedName>
    <definedName name="L_ALL_SECTION_KEYWORDS_ISSR_208001785_13V">#REF!,#REF!</definedName>
    <definedName name="L_ALL_SECTION_KEYWORDS_ISSR_208002651_13V">#REF!,#REF!</definedName>
    <definedName name="L_ALL_SECTION_KEYWORDS_ISSR_208005795_136E">#REF!,#REF!</definedName>
    <definedName name="L_ALL_SECTION_KEYWORDS_ISSR_208006029_13V">#REF!,#REF!</definedName>
    <definedName name="L_ALL_SECTION_KEYWORDS_ISSR_208007452_136J">#REF!,#REF!</definedName>
    <definedName name="L_ALL_SECTION_KEYWORDS_ISSR_208007452_13V">#REF!,#REF!</definedName>
    <definedName name="L_ALL_SECTION_KEYWORDS_ISSR_208007986_13168">#REF!,#REF!</definedName>
    <definedName name="L_ALL_SECTION_KEYWORDS_ISSR_208007986_136E">#REF!,#REF!</definedName>
    <definedName name="L_ALL_SECTION_KEYWORDS_ISSR_208007986_13V">#REF!,#REF!</definedName>
    <definedName name="L_ALL_SECTION_KEYWORDS_ISSR_208008030_1316P">#REF!,#REF!</definedName>
    <definedName name="L_ALL_SECTION_KEYWORDS_ISSR_208008030_131Y">#REF!,#REF!</definedName>
    <definedName name="L_ALL_SECTION_KEYWORDS_ISSR_208008030_134L">#REF!,#REF!</definedName>
    <definedName name="L_ALL_SECTION_KEYWORDS_ISSR_208008836_136E">#REF!,#REF!</definedName>
    <definedName name="L_ALL_SECTION_KEYWORDS_ISSR_208009722_1314">#REF!</definedName>
    <definedName name="L_ALL_SECTION_KEYWORDS_ISSR_208009722_13168">#REF!</definedName>
    <definedName name="L_ALL_SECTION_KEYWORDS_ISSR_208009722_1319">#REF!</definedName>
    <definedName name="L_ALL_SECTION_KEYWORDS_ISSR_208009722_131E">#REF!</definedName>
    <definedName name="L_ALL_SECTION_KEYWORDS_ISSR_208009722_131J">#REF!</definedName>
    <definedName name="L_ALL_SECTION_KEYWORDS_ISSR_208009722_131O">#REF!</definedName>
    <definedName name="L_ALL_SECTION_KEYWORDS_ISSR_208009722_13A">#REF!</definedName>
    <definedName name="L_ALL_SECTION_KEYWORDS_ISSR_208009722_13U">#REF!</definedName>
    <definedName name="L_ALL_SECTION_KEYWORDS_ISSR_208009722_13V">#REF!</definedName>
    <definedName name="L_ALL_SECTION_KEYWORDS_ISSR_208009722_Reference_Data">#REF!</definedName>
    <definedName name="L_ALL_SECTION_KEYWORDS_ISSR_208011028_131O">#REF!,#REF!</definedName>
    <definedName name="L_ALL_SECTION_KEYWORDS_ISSR_208011556_1314">#REF!</definedName>
    <definedName name="L_ALL_SECTION_KEYWORDS_ISSR_208011556_13168">#REF!</definedName>
    <definedName name="L_ALL_SECTION_KEYWORDS_ISSR_208011556_1316T">#REF!</definedName>
    <definedName name="L_ALL_SECTION_KEYWORDS_ISSR_208011556_1316U">#REF!</definedName>
    <definedName name="L_ALL_SECTION_KEYWORDS_ISSR_208011556_1319">#REF!</definedName>
    <definedName name="L_ALL_SECTION_KEYWORDS_ISSR_208011556_131E">#REF!</definedName>
    <definedName name="L_ALL_SECTION_KEYWORDS_ISSR_208011556_131J">#REF!</definedName>
    <definedName name="L_ALL_SECTION_KEYWORDS_ISSR_208011556_131O">#REF!</definedName>
    <definedName name="L_ALL_SECTION_KEYWORDS_ISSR_208011556_136E">#REF!,#REF!</definedName>
    <definedName name="L_ALL_SECTION_KEYWORDS_ISSR_208011556_13A">#REF!</definedName>
    <definedName name="L_ALL_SECTION_KEYWORDS_ISSR_208011556_13U">#REF!</definedName>
    <definedName name="L_ALL_SECTION_KEYWORDS_ISSR_208011556_13V">#REF!</definedName>
    <definedName name="L_ALL_SECTION_KEYWORDS_ISSR_208011556_Reference_Data">#REF!</definedName>
    <definedName name="L_ALL_SECTION_KEYWORDS_ISSR_208011888_136E">#REF!,#REF!</definedName>
    <definedName name="L_ALL_SECTION_KEYWORDS_ISSR_208012959_13V">#REF!,#REF!</definedName>
    <definedName name="L_ALL_SECTION_KEYWORDS_ISSR_208013278_136E">#REF!,#REF!</definedName>
    <definedName name="L_ALL_SECTION_KEYWORDS_ISSR_208015351_13168">#REF!,#REF!</definedName>
    <definedName name="L_ALL_SECTION_KEYWORDS_ISSR_208015351_136E">#REF!,#REF!</definedName>
    <definedName name="L_ALL_SECTION_KEYWORDS_ISSR_208017249_13168">#REF!</definedName>
    <definedName name="L_ALL_SECTION_KEYWORDS_ISSR_208017249_1319">#REF!</definedName>
    <definedName name="L_ALL_SECTION_KEYWORDS_ISSR_208018132_131O">#REF!,#REF!</definedName>
    <definedName name="L_ALL_SECTION_KEYWORDS_ISSR_208018133_1314">#REF!</definedName>
    <definedName name="L_ALL_SECTION_KEYWORDS_ISSR_208018133_1319">#REF!</definedName>
    <definedName name="L_ALL_SECTION_KEYWORDS_ISSR_208018133_131E">#REF!</definedName>
    <definedName name="L_ALL_SECTION_KEYWORDS_ISSR_208018133_13V">#REF!,#REF!</definedName>
    <definedName name="L_ALL_SECTION_KEYWORDS_ISSR_208018253_131O">#REF!,#REF!</definedName>
    <definedName name="L_ALL_SECTION_KEYWORDS_ISSR_208020566_131O">#REF!,#REF!</definedName>
    <definedName name="L_ALL_SECTION_KEYWORDS_ISSR_208020919_131O">#REF!,#REF!</definedName>
    <definedName name="L_ALL_SECTION_KEYWORDS_ISSR_208020919_136J">#REF!,#REF!</definedName>
    <definedName name="L_ALL_SECTIONS_EQTY_200000304">#REF!,#REF!,#REF!,#REF!,#REF!,#REF!,#REF!,#REF!,#REF!,#REF!</definedName>
    <definedName name="L_ALL_SECTIONS_EQTY_200001265">#REF!,#REF!,#REF!,#REF!,#REF!,#REF!,#REF!,#REF!,#REF!,#REF!</definedName>
    <definedName name="L_ALL_SECTIONS_EQTY_200001320">#REF!,#REF!,#REF!,#REF!,#REF!,#REF!,#REF!,#REF!,#REF!,#REF!</definedName>
    <definedName name="L_ALL_SECTIONS_EQTY_200001330">#REF!,#REF!,#REF!,#REF!,#REF!,#REF!,#REF!,#REF!,#REF!,#REF!</definedName>
    <definedName name="L_ALL_SECTIONS_EQTY_200001353">#REF!,#REF!,#REF!,#REF!,#REF!,#REF!,#REF!,#REF!</definedName>
    <definedName name="L_ALL_SECTIONS_EQTY_200001371">#REF!,#REF!,#REF!,#REF!,#REF!,#REF!,#REF!,#REF!</definedName>
    <definedName name="L_ALL_SECTIONS_EQTY_200001381">#REF!,#REF!,#REF!,#REF!,#REF!,#REF!,#REF!,#REF!,#REF!,#REF!</definedName>
    <definedName name="L_ALL_SECTIONS_EQTY_200001646">#REF!,#REF!,#REF!,#REF!,#REF!,#REF!,#REF!,#REF!,#REF!,#REF!,#REF!</definedName>
    <definedName name="L_ALL_SECTIONS_EQTY_200002831">#REF!,#REF!,#REF!,#REF!,#REF!,#REF!,#REF!,#REF!,#REF!,#REF!</definedName>
    <definedName name="L_ALL_SECTIONS_EQTY_200002833">#REF!,#REF!,#REF!,#REF!,#REF!,#REF!,#REF!,#REF!,#REF!,#REF!</definedName>
    <definedName name="L_ALL_SECTIONS_EQTY_200003037">#REF!,#REF!,#REF!,#REF!,#REF!,#REF!,#REF!,#REF!,#REF!,#REF!</definedName>
    <definedName name="L_ALL_SECTIONS_EQTY_200003892">#REF!,#REF!,#REF!,#REF!,#REF!,#REF!,#REF!,#REF!,#REF!,#REF!</definedName>
    <definedName name="L_ALL_SECTIONS_EQTY_200004419">#REF!,#REF!,#REF!,#REF!,#REF!,#REF!,#REF!,#REF!,#REF!,#REF!</definedName>
    <definedName name="L_ALL_SECTIONS_EQTY_200005326">#REF!,#REF!,#REF!,#REF!,#REF!,#REF!,#REF!,#REF!,#REF!,#REF!</definedName>
    <definedName name="L_ALL_SECTIONS_EQTY_200006232">#REF!,#REF!,#REF!,#REF!,#REF!,#REF!,#REF!,#REF!,#REF!,#REF!</definedName>
    <definedName name="L_ALL_SECTIONS_EQTY_200009556">#REF!,#REF!,#REF!,#REF!,#REF!,#REF!,#REF!,#REF!,#REF!,#REF!</definedName>
    <definedName name="L_ALL_SECTIONS_EQTY_200011598">#REF!,#REF!,#REF!,#REF!,#REF!,#REF!,#REF!,#REF!,#REF!,#REF!</definedName>
    <definedName name="L_ALL_SECTIONS_EQTY_200012762">#REF!,#REF!,#REF!,#REF!,#REF!,#REF!,#REF!,#REF!,#REF!,#REF!</definedName>
    <definedName name="L_ALL_SECTIONS_EQTY_200014300">#REF!,#REF!,#REF!,#REF!,#REF!,#REF!,#REF!,#REF!,#REF!,#REF!</definedName>
    <definedName name="L_ALL_SECTIONS_EQTY_200014493">#REF!,#REF!,#REF!,#REF!,#REF!,#REF!,#REF!,#REF!,#REF!,#REF!</definedName>
    <definedName name="L_ALL_SECTIONS_EQTY_200014750">#REF!,#REF!,#REF!,#REF!,#REF!,#REF!,#REF!,#REF!,#REF!,#REF!</definedName>
    <definedName name="L_ALL_SECTIONS_EQTY_200015107">#REF!,#REF!,#REF!,#REF!,#REF!,#REF!,#REF!,#REF!,#REF!,#REF!</definedName>
    <definedName name="L_ALL_SECTIONS_EQTY_200015716">#REF!,#REF!,#REF!,#REF!,#REF!,#REF!,#REF!,#REF!,#REF!,#REF!</definedName>
    <definedName name="L_ALL_SECTIONS_EQTY_200015757">#REF!,#REF!,#REF!,#REF!,#REF!,#REF!,#REF!,#REF!,#REF!,#REF!,#REF!</definedName>
    <definedName name="L_ALL_SECTIONS_EQTY_200016026">#REF!,#REF!,#REF!,#REF!,#REF!,#REF!,#REF!,#REF!,#REF!,#REF!,#REF!</definedName>
    <definedName name="L_ALL_SECTIONS_EQTY_200017745">#REF!,#REF!,#REF!,#REF!,#REF!,#REF!,#REF!,#REF!,#REF!,#REF!</definedName>
    <definedName name="L_ALL_SECTIONS_ISSR_208000430">#REF!,#REF!,#REF!,#REF!,#REF!,#REF!,#REF!,#REF!,#REF!,#REF!,#REF!</definedName>
    <definedName name="L_ALL_SECTIONS_ISSR_208000451">#REF!,#REF!,#REF!,#REF!,#REF!,#REF!,#REF!,#REF!,#REF!,#REF!</definedName>
    <definedName name="L_ALL_SECTIONS_ISSR_208000603">#REF!,#REF!,#REF!,#REF!,#REF!,#REF!,#REF!,#REF!,#REF!,#REF!,#REF!</definedName>
    <definedName name="L_ALL_SECTIONS_ISSR_208000977">#REF!,#REF!,#REF!,#REF!,#REF!,#REF!,#REF!,#REF!,#REF!,#REF!,#REF!</definedName>
    <definedName name="L_ALL_SECTIONS_ISSR_208001049">#REF!,#REF!,#REF!,#REF!,#REF!,#REF!,#REF!,#REF!,#REF!,#REF!,#REF!</definedName>
    <definedName name="L_ALL_SECTIONS_ISSR_208001137">#REF!,#REF!,#REF!,#REF!,#REF!,#REF!,#REF!,#REF!,#REF!,#REF!,#REF!</definedName>
    <definedName name="L_ALL_SECTIONS_ISSR_208001258">#REF!,#REF!,#REF!,#REF!,#REF!,#REF!,#REF!,#REF!,#REF!,#REF!,#REF!</definedName>
    <definedName name="L_ALL_SECTIONS_ISSR_208001515">#REF!,#REF!,#REF!,#REF!,#REF!,#REF!,#REF!,#REF!,#REF!,#REF!</definedName>
    <definedName name="L_ALL_SECTIONS_ISSR_208005795">#REF!,#REF!,#REF!,#REF!,#REF!,#REF!,#REF!,#REF!,#REF!,#REF!,#REF!</definedName>
    <definedName name="L_ALL_SECTIONS_ISSR_208007359">#REF!,#REF!,#REF!,#REF!,#REF!,#REF!,#REF!,#REF!,#REF!,#REF!</definedName>
    <definedName name="L_ALL_SECTIONS_ISSR_208009722">#REF!,#REF!,#REF!,#REF!,#REF!,#REF!,#REF!,#REF!,#REF!,#REF!</definedName>
    <definedName name="L_ALL_SECTIONS_ISSR_208010209">#REF!,#REF!,#REF!,#REF!,#REF!,#REF!,#REF!,#REF!,#REF!,#REF!,#REF!</definedName>
    <definedName name="L_ALL_SECTIONS_ISSR_208011072">#REF!,#REF!,#REF!,#REF!,#REF!,#REF!,#REF!,#REF!,#REF!,#REF!,#REF!</definedName>
    <definedName name="L_ALL_SECTIONS_ISSR_208011212">#REF!,#REF!,#REF!,#REF!,#REF!,#REF!,#REF!,#REF!,#REF!,#REF!,#REF!</definedName>
    <definedName name="L_ALL_SECTIONS_ISSR_208012959">#REF!,#REF!,#REF!,#REF!,#REF!,#REF!,#REF!,#REF!,#REF!,#REF!,#REF!,#REF!,#REF!</definedName>
    <definedName name="L_ALL_SECTIONS_ISSR_208015351">#REF!,#REF!,#REF!,#REF!,#REF!,#REF!,#REF!,#REF!,#REF!,#REF!,#REF!</definedName>
    <definedName name="L_ALL_SEMI">#REF!</definedName>
    <definedName name="L_ALL_Company2410">#REF!</definedName>
    <definedName name="L_ALL_Company2514">#REF!</definedName>
    <definedName name="L_ALL_T">#REF!</definedName>
    <definedName name="L_ALL_TEL">#REF!</definedName>
    <definedName name="L_ALL_Company2637">#REF!</definedName>
    <definedName name="L_ALL_TER">#REF!</definedName>
    <definedName name="L_ALL_Ticker0031">#REF!</definedName>
    <definedName name="L_ALL_Company2662">#REF!</definedName>
    <definedName name="L_ALL_Company2714">#REF!</definedName>
    <definedName name="L_ALL_Company2718">#REF!</definedName>
    <definedName name="L_ALL_Company2724">#REF!</definedName>
    <definedName name="L_ALL_Company2865">#REF!</definedName>
    <definedName name="L_ALL_Company2865_">#REF!</definedName>
    <definedName name="L_ALL_Company2881">#REF!</definedName>
    <definedName name="L_ALL_VZ">#REF!</definedName>
    <definedName name="L_ALL_Company2932">#REF!</definedName>
    <definedName name="L_ALL_WIN">#REF!</definedName>
    <definedName name="L_ALL_WIN_">#REF!</definedName>
    <definedName name="L_ALL_Company3047">#REF!</definedName>
    <definedName name="L_ALL_ZS">#REF!</definedName>
    <definedName name="L_ALL_ZS_OLD">#REF!</definedName>
    <definedName name="L_CURRENCY_EQTY_200000304_PRI">#REF!</definedName>
    <definedName name="L_CURRENCY_EQTY_200000304_PUB">#REF!</definedName>
    <definedName name="L_CURRENCY_EQTY_200000304_REP">#REF!</definedName>
    <definedName name="L_CURRENCY_EQTY_200001265_PRI">#REF!</definedName>
    <definedName name="L_CURRENCY_EQTY_200001265_PUB">#REF!</definedName>
    <definedName name="L_CURRENCY_EQTY_200001265_REP">#REF!</definedName>
    <definedName name="L_CURRENCY_EQTY_200001320_PRI">#REF!</definedName>
    <definedName name="L_CURRENCY_EQTY_200001320_PUB">#REF!</definedName>
    <definedName name="L_CURRENCY_EQTY_200001320_REP">#REF!</definedName>
    <definedName name="L_CURRENCY_EQTY_200001330_PRI">#REF!</definedName>
    <definedName name="L_CURRENCY_EQTY_200001330_PUB">#REF!</definedName>
    <definedName name="L_CURRENCY_EQTY_200001330_REP">#REF!</definedName>
    <definedName name="L_CURRENCY_EQTY_200001353_PRI">#REF!</definedName>
    <definedName name="L_CURRENCY_EQTY_200001353_PUB">#REF!</definedName>
    <definedName name="L_CURRENCY_EQTY_200001353_REP">#REF!</definedName>
    <definedName name="L_CURRENCY_EQTY_200001371_PRI">#REF!</definedName>
    <definedName name="L_CURRENCY_EQTY_200001371_PUB">#REF!</definedName>
    <definedName name="L_CURRENCY_EQTY_200001371_REP">#REF!</definedName>
    <definedName name="L_CURRENCY_EQTY_200001381_PRI">#REF!</definedName>
    <definedName name="L_CURRENCY_EQTY_200001381_PUB">#REF!</definedName>
    <definedName name="L_CURRENCY_EQTY_200001381_REP">#REF!</definedName>
    <definedName name="L_CURRENCY_EQTY_200001646_PRI">#REF!</definedName>
    <definedName name="L_CURRENCY_EQTY_200001646_PUB">#REF!</definedName>
    <definedName name="L_CURRENCY_EQTY_200001646_REP">#REF!</definedName>
    <definedName name="L_CURRENCY_EQTY_200002831_PRI">#REF!</definedName>
    <definedName name="L_CURRENCY_EQTY_200002831_PUB">#REF!</definedName>
    <definedName name="L_CURRENCY_EQTY_200002831_REP">#REF!</definedName>
    <definedName name="L_CURRENCY_EQTY_200002833_PRI">#REF!</definedName>
    <definedName name="L_CURRENCY_EQTY_200002833_PUB">#REF!</definedName>
    <definedName name="L_CURRENCY_EQTY_200002833_REP">#REF!</definedName>
    <definedName name="L_CURRENCY_EQTY_200003037_PRI">#REF!</definedName>
    <definedName name="L_CURRENCY_EQTY_200003037_PUB">#REF!</definedName>
    <definedName name="L_CURRENCY_EQTY_200003037_REP">#REF!</definedName>
    <definedName name="L_CURRENCY_EQTY_200003892_PRI">#REF!</definedName>
    <definedName name="L_CURRENCY_EQTY_200003892_PUB">#REF!</definedName>
    <definedName name="L_CURRENCY_EQTY_200003892_REP">#REF!</definedName>
    <definedName name="L_CURRENCY_EQTY_200004419_PRI">#REF!</definedName>
    <definedName name="L_CURRENCY_EQTY_200004419_PUB">#REF!</definedName>
    <definedName name="L_CURRENCY_EQTY_200004419_REP">#REF!</definedName>
    <definedName name="L_CURRENCY_EQTY_200005326_PRI">#REF!</definedName>
    <definedName name="L_CURRENCY_EQTY_200005326_PUB">#REF!</definedName>
    <definedName name="L_CURRENCY_EQTY_200005326_REP">#REF!</definedName>
    <definedName name="L_CURRENCY_EQTY_200006232_PRI">#REF!</definedName>
    <definedName name="L_CURRENCY_EQTY_200006232_PUB">#REF!</definedName>
    <definedName name="L_CURRENCY_EQTY_200006232_REP">#REF!</definedName>
    <definedName name="L_CURRENCY_EQTY_200009556_PRI">#REF!</definedName>
    <definedName name="L_CURRENCY_EQTY_200009556_PUB">#REF!</definedName>
    <definedName name="L_CURRENCY_EQTY_200009556_REP">#REF!</definedName>
    <definedName name="L_CURRENCY_EQTY_200011598_PRI">#REF!</definedName>
    <definedName name="L_CURRENCY_EQTY_200011598_PUB">#REF!</definedName>
    <definedName name="L_CURRENCY_EQTY_200011598_REP">#REF!</definedName>
    <definedName name="L_CURRENCY_EQTY_200012762_PRI">#REF!</definedName>
    <definedName name="L_CURRENCY_EQTY_200012762_PUB">#REF!</definedName>
    <definedName name="L_CURRENCY_EQTY_200012762_REP">#REF!</definedName>
    <definedName name="L_CURRENCY_EQTY_200014300_PRI">#REF!</definedName>
    <definedName name="L_CURRENCY_EQTY_200014300_PUB">#REF!</definedName>
    <definedName name="L_CURRENCY_EQTY_200014300_REP">#REF!</definedName>
    <definedName name="L_CURRENCY_EQTY_200014493_PRI">#REF!</definedName>
    <definedName name="L_CURRENCY_EQTY_200014493_PUB">#REF!</definedName>
    <definedName name="L_CURRENCY_EQTY_200014493_REP">#REF!</definedName>
    <definedName name="L_CURRENCY_EQTY_200014750_PRI">#REF!</definedName>
    <definedName name="L_CURRENCY_EQTY_200014750_PUB">#REF!</definedName>
    <definedName name="L_CURRENCY_EQTY_200014750_REP">#REF!</definedName>
    <definedName name="L_CURRENCY_EQTY_200015107_PRI">#REF!</definedName>
    <definedName name="L_CURRENCY_EQTY_200015107_PUB">#REF!</definedName>
    <definedName name="L_CURRENCY_EQTY_200015107_REP">#REF!</definedName>
    <definedName name="L_CURRENCY_EQTY_200015716_PRI">#REF!</definedName>
    <definedName name="L_CURRENCY_EQTY_200015716_PUB">#REF!</definedName>
    <definedName name="L_CURRENCY_EQTY_200015716_REP">#REF!</definedName>
    <definedName name="L_CURRENCY_EQTY_200015757_PRI">#REF!</definedName>
    <definedName name="L_CURRENCY_EQTY_200015757_PUB">#REF!</definedName>
    <definedName name="L_CURRENCY_EQTY_200015757_REP">#REF!</definedName>
    <definedName name="L_CURRENCY_EQTY_200016026_PRI">#REF!</definedName>
    <definedName name="L_CURRENCY_EQTY_200016026_PUB">#REF!</definedName>
    <definedName name="L_CURRENCY_EQTY_200016026_REP">#REF!</definedName>
    <definedName name="L_CURRENCY_EQTY_200017745_PRI">#REF!</definedName>
    <definedName name="L_CURRENCY_EQTY_200017745_PUB">#REF!</definedName>
    <definedName name="L_CURRENCY_EQTY_200017745_REP">#REF!</definedName>
    <definedName name="L_CURRENCY_ISSR_208000027_REP">#REF!</definedName>
    <definedName name="L_CURRENCY_ISSR_208000402_REP">#REF!</definedName>
    <definedName name="L_CURRENCY_ISSR_208000430_REP">#REF!</definedName>
    <definedName name="L_CURRENCY_ISSR_208000435_REP">#REF!</definedName>
    <definedName name="L_CURRENCY_ISSR_208000451_REP">#REF!</definedName>
    <definedName name="L_CURRENCY_ISSR_208000468_REP">#REF!</definedName>
    <definedName name="L_CURRENCY_ISSR_208000603_REP">#REF!</definedName>
    <definedName name="L_CURRENCY_ISSR_208000976_REP">#REF!</definedName>
    <definedName name="L_CURRENCY_ISSR_208000977_REP">#REF!</definedName>
    <definedName name="L_CURRENCY_ISSR_208001049_REP">#REF!</definedName>
    <definedName name="L_CURRENCY_ISSR_208001137_REP">#REF!</definedName>
    <definedName name="L_CURRENCY_ISSR_208001258_REP">#REF!</definedName>
    <definedName name="L_CURRENCY_ISSR_208001515_REP">#REF!</definedName>
    <definedName name="L_CURRENCY_ISSR_208005795_REP">#REF!</definedName>
    <definedName name="L_CURRENCY_ISSR_208007359_REP">#REF!</definedName>
    <definedName name="L_CURRENCY_ISSR_208008030_REP">#REF!</definedName>
    <definedName name="L_CURRENCY_ISSR_208008836_REP">#REF!</definedName>
    <definedName name="L_CURRENCY_ISSR_208009722_REP">#REF!</definedName>
    <definedName name="L_CURRENCY_ISSR_208010209_REP">#REF!</definedName>
    <definedName name="L_CURRENCY_ISSR_208011072_REP">#REF!</definedName>
    <definedName name="L_CURRENCY_ISSR_208011212_REP">#REF!</definedName>
    <definedName name="L_CURRENCY_ISSR_208011556_REP">#REF!</definedName>
    <definedName name="L_CURRENCY_ISSR_208011888_REP">#REF!</definedName>
    <definedName name="L_CURRENCY_ISSR_208012959_REP">#REF!</definedName>
    <definedName name="L_CURRENCY_ISSR_208015351_REP">#REF!</definedName>
    <definedName name="L_ENTITY_DATA_EQTY_200001646">#REF!</definedName>
    <definedName name="L_ENTITY_DATA_EQTY_200012762">#REF!</definedName>
    <definedName name="L_ENTITY_DATA_ISSR_208000603">#REF!</definedName>
    <definedName name="L_ENTITY_DATA_ISSR_208009722">#REF!</definedName>
    <definedName name="L_KEYWORD_EQTY_200001646_ACT1">#REF!</definedName>
    <definedName name="L_KEYWORD_EQTY_200001646_AMER_CONVICTION">#REF!</definedName>
    <definedName name="L_KEYWORD_EQTY_200001646_AMER_LIST">#REF!</definedName>
    <definedName name="L_KEYWORD_EQTY_200001646_BETA_ANALYST">#REF!</definedName>
    <definedName name="L_KEYWORD_EQTY_200001646_BVPS">#REF!</definedName>
    <definedName name="L_KEYWORD_EQTY_200001646_BVPS_PUB">#REF!</definedName>
    <definedName name="L_KEYWORD_EQTY_200001646_CF_NI_PRE_PREF">#REF!</definedName>
    <definedName name="L_KEYWORD_EQTY_200001646_COMMON_DIV_PAID">#REF!</definedName>
    <definedName name="L_KEYWORD_EQTY_200001646_CURRENCY_ISO">#REF!</definedName>
    <definedName name="L_KEYWORD_EQTY_200001646_DILUTE_SHARES">#REF!</definedName>
    <definedName name="L_KEYWORD_EQTY_200001646_DPS">#REF!</definedName>
    <definedName name="L_KEYWORD_EQTY_200001646_DPS_PUB">#REF!</definedName>
    <definedName name="L_KEYWORD_EQTY_200001646_EBIT_PUB">#REF!</definedName>
    <definedName name="L_KEYWORD_EQTY_200001646_EBITDA_PUB">#REF!</definedName>
    <definedName name="L_KEYWORD_EQTY_200001646_EPS">#REF!</definedName>
    <definedName name="L_KEYWORD_EQTY_200001646_EPS_EX_ESO_B">#REF!</definedName>
    <definedName name="L_KEYWORD_EQTY_200001646_EPS_EX_ESO_D">#REF!</definedName>
    <definedName name="L_KEYWORD_EQTY_200001646_EPS_FUL_DIL">#REF!</definedName>
    <definedName name="L_KEYWORD_EQTY_200001646_EPS_POST_BASIC">#REF!</definedName>
    <definedName name="L_KEYWORD_EQTY_200001646_EPS_PUB">#REF!</definedName>
    <definedName name="L_KEYWORD_EQTY_200001646_EPS_PUB_EX_ESO">#REF!</definedName>
    <definedName name="L_KEYWORD_EQTY_200001646_EQ_PUB">#REF!</definedName>
    <definedName name="L_KEYWORD_EQTY_200001646_ESO_POST_TAX">#REF!</definedName>
    <definedName name="L_KEYWORD_EQTY_200001646_ESO_YEAR">#REF!</definedName>
    <definedName name="L_KEYWORD_EQTY_200001646_EV_ADJ_PUB">#REF!</definedName>
    <definedName name="L_KEYWORD_EQTY_200001646_FREE_FLOAT">#REF!</definedName>
    <definedName name="L_KEYWORD_EQTY_200001646_FULLY_DIL_EPS">#REF!</definedName>
    <definedName name="L_KEYWORD_EQTY_200001646_FV_GRANT">#REF!</definedName>
    <definedName name="L_KEYWORD_EQTY_200001646_GT_BETA">#REF!</definedName>
    <definedName name="L_KEYWORD_EQTY_200001646_INC_MINORITY">#REF!</definedName>
    <definedName name="L_KEYWORD_EQTY_200001646_Interim_Type">#REF!</definedName>
    <definedName name="L_KEYWORD_EQTY_200001646_LEGAL_RATING">#REF!</definedName>
    <definedName name="L_KEYWORD_EQTY_200001646_MARGIN_TAX_RATE">#REF!</definedName>
    <definedName name="L_KEYWORD_EQTY_200001646_MKT_EQ_RISK_PREM">#REF!</definedName>
    <definedName name="L_KEYWORD_EQTY_200001646_NET_DEBT_PUB">#REF!</definedName>
    <definedName name="L_KEYWORD_EQTY_200001646_NET_EARNING">#REF!</definedName>
    <definedName name="L_KEYWORD_EQTY_200001646_NET_INC">#REF!</definedName>
    <definedName name="L_KEYWORD_EQTY_200001646_NI_PRE_PREF">#REF!</definedName>
    <definedName name="L_KEYWORD_EQTY_200001646_NI_PUB">#REF!</definedName>
    <definedName name="L_KEYWORD_EQTY_200001646_NON_OP_ADD">#REF!</definedName>
    <definedName name="L_KEYWORD_EQTY_200001646_NUM_SH">#REF!</definedName>
    <definedName name="L_KEYWORD_EQTY_200001646_PREF_DIV">#REF!</definedName>
    <definedName name="L_KEYWORD_EQTY_200001646_PRICE_CURRENCY_ISO">#REF!</definedName>
    <definedName name="L_KEYWORD_EQTY_200001646_PROV_INC_TAX">#REF!</definedName>
    <definedName name="L_KEYWORD_EQTY_200001646_PTP_PUB">#REF!</definedName>
    <definedName name="L_KEYWORD_EQTY_200001646_PUB_CURRENCY_ISO">#REF!</definedName>
    <definedName name="L_KEYWORD_EQTY_200001646_REPUR_ACTUAL">#REF!</definedName>
    <definedName name="L_KEYWORD_EQTY_200001646_REPUR_REMAINING">#REF!</definedName>
    <definedName name="L_KEYWORD_EQTY_200001646_REPUR_SUSPENDED">#REF!</definedName>
    <definedName name="L_KEYWORD_EQTY_200001646_REPUR_TOT_AUTH">#REF!</definedName>
    <definedName name="L_KEYWORD_EQTY_200001646_REVS_PUB">#REF!</definedName>
    <definedName name="L_KEYWORD_EQTY_200001646_RISK_FR_RATE">#REF!</definedName>
    <definedName name="L_KEYWORD_EQTY_200001646_Security_Name">#REF!</definedName>
    <definedName name="L_KEYWORD_EQTY_200001646_SH">#REF!</definedName>
    <definedName name="L_KEYWORD_EQTY_200001646_TARGET_PRICE">#REF!</definedName>
    <definedName name="L_KEYWORD_EQTY_200001646_TAX_EXC">#REF!</definedName>
    <definedName name="L_KEYWORD_EQTY_200001646_Ticker">#REF!</definedName>
    <definedName name="L_KEYWORD_EQTY_200001646_TP_PERIOD">#REF!</definedName>
    <definedName name="L_KEYWORD_EQTY_200002831_ACT1">#REF!</definedName>
    <definedName name="L_KEYWORD_EQTY_200002831_ACT2">#REF!</definedName>
    <definedName name="L_KEYWORD_EQTY_200002831_ACT3">#REF!</definedName>
    <definedName name="L_KEYWORD_EQTY_200002831_ACT4">#REF!</definedName>
    <definedName name="L_KEYWORD_EQTY_200002831_ACT5">#REF!</definedName>
    <definedName name="L_KEYWORD_EQTY_200002831_ACT6">#REF!</definedName>
    <definedName name="L_KEYWORD_EQTY_200002831_ACT7">#REF!</definedName>
    <definedName name="L_KEYWORD_EQTY_200002831_ACT8">#REF!</definedName>
    <definedName name="L_KEYWORD_EQTY_200002831_ACT9">#REF!</definedName>
    <definedName name="L_KEYWORD_EQTY_200002831_AMER_CONVICTION">#REF!</definedName>
    <definedName name="L_KEYWORD_EQTY_200002831_AMER_LIST">#REF!</definedName>
    <definedName name="L_KEYWORD_EQTY_200002831_BETA_ANALYST">#REF!</definedName>
    <definedName name="L_KEYWORD_EQTY_200002831_BVPS">#REF!</definedName>
    <definedName name="L_KEYWORD_EQTY_200002831_BVPS_PUB">#REF!</definedName>
    <definedName name="L_KEYWORD_EQTY_200002831_CF_NI_PRE_PREF">#REF!</definedName>
    <definedName name="L_KEYWORD_EQTY_200002831_COMMON_DIV_PAID">#REF!</definedName>
    <definedName name="L_KEYWORD_EQTY_200002831_CURRENCY_ISO">#REF!</definedName>
    <definedName name="L_KEYWORD_EQTY_200002831_DILUTE_SHARES">#REF!</definedName>
    <definedName name="L_KEYWORD_EQTY_200002831_DPS">#REF!</definedName>
    <definedName name="L_KEYWORD_EQTY_200002831_DPS_PUB">#REF!</definedName>
    <definedName name="L_KEYWORD_EQTY_200002831_EBIT_PUB">#REF!</definedName>
    <definedName name="L_KEYWORD_EQTY_200002831_EBITDA_PUB">#REF!</definedName>
    <definedName name="L_KEYWORD_EQTY_200002831_EPS">#REF!</definedName>
    <definedName name="L_KEYWORD_EQTY_200002831_EPS_EX_ESO_B">#REF!</definedName>
    <definedName name="L_KEYWORD_EQTY_200002831_EPS_EX_ESO_D">#REF!</definedName>
    <definedName name="L_KEYWORD_EQTY_200002831_EPS_FUL_DIL">#REF!</definedName>
    <definedName name="L_KEYWORD_EQTY_200002831_EPS_POST_BASIC">#REF!</definedName>
    <definedName name="L_KEYWORD_EQTY_200002831_EPS_PUB">#REF!</definedName>
    <definedName name="L_KEYWORD_EQTY_200002831_EPS_PUB_EX_ESO">#REF!</definedName>
    <definedName name="L_KEYWORD_EQTY_200002831_EQ_PUB">#REF!</definedName>
    <definedName name="L_KEYWORD_EQTY_200002831_ESO_POST_TAX">#REF!</definedName>
    <definedName name="L_KEYWORD_EQTY_200002831_ESO_YEAR">#REF!</definedName>
    <definedName name="L_KEYWORD_EQTY_200002831_EV_ADJ_PUB">#REF!</definedName>
    <definedName name="L_KEYWORD_EQTY_200002831_FREE_FLOAT">#REF!</definedName>
    <definedName name="L_KEYWORD_EQTY_200002831_FULLY_DIL_EPS">#REF!</definedName>
    <definedName name="L_KEYWORD_EQTY_200002831_FV_GRANT">#REF!</definedName>
    <definedName name="L_KEYWORD_EQTY_200002831_INC_MINORITY">#REF!</definedName>
    <definedName name="L_KEYWORD_EQTY_200002831_Interim_Type">#REF!</definedName>
    <definedName name="L_KEYWORD_EQTY_200002831_LEGAL_RATING">#REF!</definedName>
    <definedName name="L_KEYWORD_EQTY_200002831_MARGIN_TAX_RATE">#REF!</definedName>
    <definedName name="L_KEYWORD_EQTY_200002831_MKT_EQ_RISK_PREM">#REF!</definedName>
    <definedName name="L_KEYWORD_EQTY_200002831_NET_DEBT_PUB">#REF!</definedName>
    <definedName name="L_KEYWORD_EQTY_200002831_NET_EARNING">#REF!</definedName>
    <definedName name="L_KEYWORD_EQTY_200002831_NET_INC">#REF!</definedName>
    <definedName name="L_KEYWORD_EQTY_200002831_NI_PRE_PREF">#REF!</definedName>
    <definedName name="L_KEYWORD_EQTY_200002831_NI_PUB">#REF!</definedName>
    <definedName name="L_KEYWORD_EQTY_200002831_NON_OP_ADD">#REF!</definedName>
    <definedName name="L_KEYWORD_EQTY_200002831_NUM_SH">#REF!</definedName>
    <definedName name="L_KEYWORD_EQTY_200002831_PREF_DIV">#REF!</definedName>
    <definedName name="L_KEYWORD_EQTY_200002831_PRICE_CURRENCY_ISO">#REF!</definedName>
    <definedName name="L_KEYWORD_EQTY_200002831_PROV_INC_TAX">#REF!</definedName>
    <definedName name="L_KEYWORD_EQTY_200002831_PTP_PUB">#REF!</definedName>
    <definedName name="L_KEYWORD_EQTY_200002831_PUB_CURRENCY_ISO">#REF!</definedName>
    <definedName name="L_KEYWORD_EQTY_200002831_REPUR_ACTUAL">#REF!</definedName>
    <definedName name="L_KEYWORD_EQTY_200002831_REPUR_REMAINING">#REF!</definedName>
    <definedName name="L_KEYWORD_EQTY_200002831_REPUR_SUSPENDED">#REF!</definedName>
    <definedName name="L_KEYWORD_EQTY_200002831_REPUR_TOT_AUTH">#REF!</definedName>
    <definedName name="L_KEYWORD_EQTY_200002831_REVS_PUB">#REF!</definedName>
    <definedName name="L_KEYWORD_EQTY_200002831_RISK_FR_RATE">#REF!</definedName>
    <definedName name="L_KEYWORD_EQTY_200002831_Security_Name">#REF!</definedName>
    <definedName name="L_KEYWORD_EQTY_200002831_SH">#REF!</definedName>
    <definedName name="L_KEYWORD_EQTY_200002831_TARGET_PRICE">#REF!</definedName>
    <definedName name="L_KEYWORD_EQTY_200002831_TAX_EXC">#REF!</definedName>
    <definedName name="L_KEYWORD_EQTY_200002831_Ticker">#REF!</definedName>
    <definedName name="L_KEYWORD_EQTY_200002831_TP_PERIOD">#REF!</definedName>
    <definedName name="L_KEYWORD_EQTY_200004419_ACT1">#REF!</definedName>
    <definedName name="L_KEYWORD_EQTY_200004419_ACT2">#REF!</definedName>
    <definedName name="L_KEYWORD_EQTY_200004419_ACT3">#REF!</definedName>
    <definedName name="L_KEYWORD_EQTY_200004419_ACT4">#REF!</definedName>
    <definedName name="L_KEYWORD_EQTY_200004419_ACT5">#REF!</definedName>
    <definedName name="L_KEYWORD_EQTY_200004419_ACT6">#REF!</definedName>
    <definedName name="L_KEYWORD_EQTY_200004419_ACT7">#REF!</definedName>
    <definedName name="L_KEYWORD_EQTY_200004419_ACT8">#REF!</definedName>
    <definedName name="L_KEYWORD_EQTY_200004419_ACT9">#REF!</definedName>
    <definedName name="L_KEYWORD_EQTY_200004419_AMER_CONVICTION">#REF!</definedName>
    <definedName name="L_KEYWORD_EQTY_200004419_AMER_LIST">#REF!</definedName>
    <definedName name="L_KEYWORD_EQTY_200004419_BETA_ANALYST">#REF!</definedName>
    <definedName name="L_KEYWORD_EQTY_200004419_BVPS">#REF!</definedName>
    <definedName name="L_KEYWORD_EQTY_200004419_BVPS_PUB">#REF!</definedName>
    <definedName name="L_KEYWORD_EQTY_200004419_CEEE_EPS">#REF!</definedName>
    <definedName name="L_KEYWORD_EQTY_200004419_CF_NI_PRE_PREF">#REF!</definedName>
    <definedName name="L_KEYWORD_EQTY_200004419_COMMON_DIV_PAID">#REF!</definedName>
    <definedName name="L_KEYWORD_EQTY_200004419_CURRENCY_ISO">#REF!</definedName>
    <definedName name="L_KEYWORD_EQTY_200004419_DILUTE_SHARES">#REF!</definedName>
    <definedName name="L_KEYWORD_EQTY_200004419_DPS">#REF!</definedName>
    <definedName name="L_KEYWORD_EQTY_200004419_DPS_PUB">#REF!</definedName>
    <definedName name="L_KEYWORD_EQTY_200004419_EBIT_PUB">#REF!</definedName>
    <definedName name="L_KEYWORD_EQTY_200004419_EBITDA_PUB">#REF!</definedName>
    <definedName name="L_KEYWORD_EQTY_200004419_EPS">#REF!</definedName>
    <definedName name="L_KEYWORD_EQTY_200004419_EPS_EX_ESO_B">#REF!</definedName>
    <definedName name="L_KEYWORD_EQTY_200004419_EPS_EX_ESO_D">#REF!</definedName>
    <definedName name="L_KEYWORD_EQTY_200004419_EPS_FUL_DIL">#REF!</definedName>
    <definedName name="L_KEYWORD_EQTY_200004419_EPS_POST_BASIC">#REF!</definedName>
    <definedName name="L_KEYWORD_EQTY_200004419_EPS_PUB">#REF!</definedName>
    <definedName name="L_KEYWORD_EQTY_200004419_EPS_PUB_EX_ESO">#REF!</definedName>
    <definedName name="L_KEYWORD_EQTY_200004419_EQ_PUB">#REF!</definedName>
    <definedName name="L_KEYWORD_EQTY_200004419_ESO_POST_TAX">#REF!</definedName>
    <definedName name="L_KEYWORD_EQTY_200004419_ESO_YEAR">#REF!</definedName>
    <definedName name="L_KEYWORD_EQTY_200004419_EV_ADJ_PUB">#REF!</definedName>
    <definedName name="L_KEYWORD_EQTY_200004419_FREE_FLOAT">#REF!</definedName>
    <definedName name="L_KEYWORD_EQTY_200004419_FULLY_DIL_EPS">#REF!</definedName>
    <definedName name="L_KEYWORD_EQTY_200004419_FV_GRANT">#REF!</definedName>
    <definedName name="L_KEYWORD_EQTY_200004419_INC_MINORITY">#REF!</definedName>
    <definedName name="L_KEYWORD_EQTY_200004419_Interim_Type">#REF!</definedName>
    <definedName name="L_KEYWORD_EQTY_200004419_LEGAL_RATING">#REF!</definedName>
    <definedName name="L_KEYWORD_EQTY_200004419_MARGIN_TAX_RATE">#REF!</definedName>
    <definedName name="L_KEYWORD_EQTY_200004419_MKT_EQ_RISK_PREM">#REF!</definedName>
    <definedName name="L_KEYWORD_EQTY_200004419_NET_DEBT_PUB">#REF!</definedName>
    <definedName name="L_KEYWORD_EQTY_200004419_NET_EARNING">#REF!</definedName>
    <definedName name="L_KEYWORD_EQTY_200004419_NET_INC">#REF!</definedName>
    <definedName name="L_KEYWORD_EQTY_200004419_NI_PRE_PREF">#REF!</definedName>
    <definedName name="L_KEYWORD_EQTY_200004419_NI_PUB">#REF!</definedName>
    <definedName name="L_KEYWORD_EQTY_200004419_NON_OP_ADD">#REF!</definedName>
    <definedName name="L_KEYWORD_EQTY_200004419_NUM_SH">#REF!</definedName>
    <definedName name="L_KEYWORD_EQTY_200004419_PREF_DIV">#REF!</definedName>
    <definedName name="L_KEYWORD_EQTY_200004419_PRICE_CURRENCY_ISO">#REF!</definedName>
    <definedName name="L_KEYWORD_EQTY_200004419_PROV_INC_TAX">#REF!</definedName>
    <definedName name="L_KEYWORD_EQTY_200004419_PTP_PUB">#REF!</definedName>
    <definedName name="L_KEYWORD_EQTY_200004419_PUB_CURRENCY_ISO">#REF!</definedName>
    <definedName name="L_KEYWORD_EQTY_200004419_REPUR_ACTUAL">#REF!</definedName>
    <definedName name="L_KEYWORD_EQTY_200004419_REPUR_REMAINING">#REF!</definedName>
    <definedName name="L_KEYWORD_EQTY_200004419_REPUR_SUSPENDED">#REF!</definedName>
    <definedName name="L_KEYWORD_EQTY_200004419_REPUR_TOT_AUTH">#REF!</definedName>
    <definedName name="L_KEYWORD_EQTY_200004419_REVS_PUB">#REF!</definedName>
    <definedName name="L_KEYWORD_EQTY_200004419_RISK_FR_RATE">#REF!</definedName>
    <definedName name="L_KEYWORD_EQTY_200004419_Security_Name">#REF!</definedName>
    <definedName name="L_KEYWORD_EQTY_200004419_SH">#REF!</definedName>
    <definedName name="L_KEYWORD_EQTY_200004419_TARGET_PRICE">#REF!</definedName>
    <definedName name="L_KEYWORD_EQTY_200004419_TAX_EXC">#REF!</definedName>
    <definedName name="L_KEYWORD_EQTY_200004419_Ticker">#REF!</definedName>
    <definedName name="L_KEYWORD_EQTY_200004419_TP_PERIOD">#REF!</definedName>
    <definedName name="L_KEYWORD_EQTY_200012762_AMER_CONVICTION">#REF!</definedName>
    <definedName name="L_KEYWORD_EQTY_200012762_AMER_LIST">#REF!</definedName>
    <definedName name="L_KEYWORD_EQTY_200012762_BETA_ANALYST">#REF!</definedName>
    <definedName name="L_KEYWORD_EQTY_200012762_BVPS">#REF!</definedName>
    <definedName name="L_KEYWORD_EQTY_200012762_BVPS_PUB">#REF!</definedName>
    <definedName name="L_KEYWORD_EQTY_200012762_CEEE_EPS">#REF!</definedName>
    <definedName name="L_KEYWORD_EQTY_200012762_CF_NI_PRE_PREF">#REF!</definedName>
    <definedName name="L_KEYWORD_EQTY_200012762_COMMON_DIV_PAID">#REF!</definedName>
    <definedName name="L_KEYWORD_EQTY_200012762_CURRENCY_ISO">#REF!</definedName>
    <definedName name="L_KEYWORD_EQTY_200012762_DILUTE_SHARES">#REF!</definedName>
    <definedName name="L_KEYWORD_EQTY_200012762_DPS">#REF!</definedName>
    <definedName name="L_KEYWORD_EQTY_200012762_DPS_PUB">#REF!</definedName>
    <definedName name="L_KEYWORD_EQTY_200012762_EBIT_PUB">#REF!</definedName>
    <definedName name="L_KEYWORD_EQTY_200012762_EBITDA_PUB">#REF!</definedName>
    <definedName name="L_KEYWORD_EQTY_200012762_EPS">#REF!</definedName>
    <definedName name="L_KEYWORD_EQTY_200012762_EPS_EX_ESO_B">#REF!</definedName>
    <definedName name="L_KEYWORD_EQTY_200012762_EPS_EX_ESO_D">#REF!</definedName>
    <definedName name="L_KEYWORD_EQTY_200012762_EPS_FUL_DIL">#REF!</definedName>
    <definedName name="L_KEYWORD_EQTY_200012762_EPS_POST_BASIC">#REF!</definedName>
    <definedName name="L_KEYWORD_EQTY_200012762_EPS_PUB">#REF!</definedName>
    <definedName name="L_KEYWORD_EQTY_200012762_EPS_PUB_EX_ESO">#REF!</definedName>
    <definedName name="L_KEYWORD_EQTY_200012762_EQ_PUB">#REF!</definedName>
    <definedName name="L_KEYWORD_EQTY_200012762_ESO_POST_TAX">#REF!</definedName>
    <definedName name="L_KEYWORD_EQTY_200012762_ESO_YEAR">#REF!</definedName>
    <definedName name="L_KEYWORD_EQTY_200012762_EV_ADJ_PUB">#REF!</definedName>
    <definedName name="L_KEYWORD_EQTY_200012762_FREE_FLOAT">#REF!</definedName>
    <definedName name="L_KEYWORD_EQTY_200012762_FULLY_DIL_EPS">#REF!</definedName>
    <definedName name="L_KEYWORD_EQTY_200012762_FV_GRANT">#REF!</definedName>
    <definedName name="L_KEYWORD_EQTY_200012762_INC_MINORITY">#REF!</definedName>
    <definedName name="L_KEYWORD_EQTY_200012762_Interim_Type">#REF!</definedName>
    <definedName name="L_KEYWORD_EQTY_200012762_LEGAL_RATING">#REF!</definedName>
    <definedName name="L_KEYWORD_EQTY_200012762_MARGIN_TAX_RATE">#REF!</definedName>
    <definedName name="L_KEYWORD_EQTY_200012762_MKT_EQ_RISK_PREM">#REF!</definedName>
    <definedName name="L_KEYWORD_EQTY_200012762_NET_DEBT_PUB">#REF!</definedName>
    <definedName name="L_KEYWORD_EQTY_200012762_NET_EARNING">#REF!</definedName>
    <definedName name="L_KEYWORD_EQTY_200012762_NET_INC">#REF!</definedName>
    <definedName name="L_KEYWORD_EQTY_200012762_NI_PRE_PREF">#REF!</definedName>
    <definedName name="L_KEYWORD_EQTY_200012762_NI_PUB">#REF!</definedName>
    <definedName name="L_KEYWORD_EQTY_200012762_NON_OP_ADD">#REF!</definedName>
    <definedName name="L_KEYWORD_EQTY_200012762_NUM_SH">#REF!</definedName>
    <definedName name="L_KEYWORD_EQTY_200012762_PREF_DIV">#REF!</definedName>
    <definedName name="L_KEYWORD_EQTY_200012762_PRICE_CURRENCY_ISO">#REF!</definedName>
    <definedName name="L_KEYWORD_EQTY_200012762_PROV_INC_TAX">#REF!</definedName>
    <definedName name="L_KEYWORD_EQTY_200012762_PTP_PUB">#REF!</definedName>
    <definedName name="L_KEYWORD_EQTY_200012762_PUB_CURRENCY_ISO">#REF!</definedName>
    <definedName name="L_KEYWORD_EQTY_200012762_REPUR_ACTUAL">#REF!</definedName>
    <definedName name="L_KEYWORD_EQTY_200012762_REPUR_REMAINING">#REF!</definedName>
    <definedName name="L_KEYWORD_EQTY_200012762_REPUR_SUSPENDED">#REF!</definedName>
    <definedName name="L_KEYWORD_EQTY_200012762_REPUR_TOT_AUTH">#REF!</definedName>
    <definedName name="L_KEYWORD_EQTY_200012762_REVS_PUB">#REF!</definedName>
    <definedName name="L_KEYWORD_EQTY_200012762_RISK_FR_RATE">#REF!</definedName>
    <definedName name="L_KEYWORD_EQTY_200012762_Security_Name">#REF!</definedName>
    <definedName name="L_KEYWORD_EQTY_200012762_SH">#REF!</definedName>
    <definedName name="L_KEYWORD_EQTY_200012762_TARGET_PRICE">#REF!</definedName>
    <definedName name="L_KEYWORD_EQTY_200012762_TAX_EXC">#REF!</definedName>
    <definedName name="L_KEYWORD_EQTY_200012762_Ticker">#REF!</definedName>
    <definedName name="L_KEYWORD_EQTY_200012762_TP_PERIOD">#REF!</definedName>
    <definedName name="L_KEYWORD_EQTY_200014750_AMER_CONVICTION">#REF!</definedName>
    <definedName name="L_KEYWORD_EQTY_200014750_AMER_LIST">#REF!</definedName>
    <definedName name="L_KEYWORD_EQTY_200014750_BETA_ANALYST">#REF!</definedName>
    <definedName name="L_KEYWORD_EQTY_200014750_BVPS">#REF!</definedName>
    <definedName name="L_KEYWORD_EQTY_200014750_BVPS_PUB">#REF!</definedName>
    <definedName name="L_KEYWORD_EQTY_200014750_CEEE_EPS">#REF!</definedName>
    <definedName name="L_KEYWORD_EQTY_200014750_CF_NI_PRE_PREF">#REF!</definedName>
    <definedName name="L_KEYWORD_EQTY_200014750_COMMON_DIV_PAID">#REF!</definedName>
    <definedName name="L_KEYWORD_EQTY_200014750_CURRENCY_ISO">#REF!</definedName>
    <definedName name="L_KEYWORD_EQTY_200014750_DILUTE_SHARES">#REF!</definedName>
    <definedName name="L_KEYWORD_EQTY_200014750_DPS">#REF!</definedName>
    <definedName name="L_KEYWORD_EQTY_200014750_DPS_PUB">#REF!</definedName>
    <definedName name="L_KEYWORD_EQTY_200014750_EBIT_PUB">#REF!</definedName>
    <definedName name="L_KEYWORD_EQTY_200014750_EBITDA_PUB">#REF!</definedName>
    <definedName name="L_KEYWORD_EQTY_200014750_EPS">#REF!</definedName>
    <definedName name="L_KEYWORD_EQTY_200014750_EPS_CONS_PUB">#REF!</definedName>
    <definedName name="L_KEYWORD_EQTY_200014750_EPS_EX_ESO_B">#REF!</definedName>
    <definedName name="L_KEYWORD_EQTY_200014750_EPS_EX_ESO_D">#REF!</definedName>
    <definedName name="L_KEYWORD_EQTY_200014750_EPS_FUL_DIL">#REF!</definedName>
    <definedName name="L_KEYWORD_EQTY_200014750_EPS_POST_BASIC">#REF!</definedName>
    <definedName name="L_KEYWORD_EQTY_200014750_EPS_PUB">#REF!</definedName>
    <definedName name="L_KEYWORD_EQTY_200014750_EPS_PUB_EX_ESO">#REF!</definedName>
    <definedName name="L_KEYWORD_EQTY_200014750_EQ_PUB">#REF!</definedName>
    <definedName name="L_KEYWORD_EQTY_200014750_ESO_POST_TAX">#REF!</definedName>
    <definedName name="L_KEYWORD_EQTY_200014750_ESO_YEAR">#REF!</definedName>
    <definedName name="L_KEYWORD_EQTY_200014750_EV_ADJ_PUB">#REF!</definedName>
    <definedName name="L_KEYWORD_EQTY_200014750_FOREIGN_HOLDNG">#REF!</definedName>
    <definedName name="L_KEYWORD_EQTY_200014750_FREE_FLOAT">#REF!</definedName>
    <definedName name="L_KEYWORD_EQTY_200014750_FULLY_DIL_EPS">#REF!</definedName>
    <definedName name="L_KEYWORD_EQTY_200014750_FV_GRANT">#REF!</definedName>
    <definedName name="L_KEYWORD_EQTY_200014750_INC_MINORITY">#REF!</definedName>
    <definedName name="L_KEYWORD_EQTY_200014750_Interim_Type">#REF!</definedName>
    <definedName name="L_KEYWORD_EQTY_200014750_LEGAL_RATING">#REF!</definedName>
    <definedName name="L_KEYWORD_EQTY_200014750_MARGIN_TAX_RATE">#REF!</definedName>
    <definedName name="L_KEYWORD_EQTY_200014750_MKT_EQ_RISK_PREM">#REF!</definedName>
    <definedName name="L_KEYWORD_EQTY_200014750_NET_DEBT_PUB">#REF!</definedName>
    <definedName name="L_KEYWORD_EQTY_200014750_NET_EARNING">#REF!</definedName>
    <definedName name="L_KEYWORD_EQTY_200014750_NET_INC">#REF!</definedName>
    <definedName name="L_KEYWORD_EQTY_200014750_NI_CONS">#REF!</definedName>
    <definedName name="L_KEYWORD_EQTY_200014750_NI_PRE_PREF">#REF!</definedName>
    <definedName name="L_KEYWORD_EQTY_200014750_NI_PUB">#REF!</definedName>
    <definedName name="L_KEYWORD_EQTY_200014750_NON_OP_ADD">#REF!</definedName>
    <definedName name="L_KEYWORD_EQTY_200014750_NUM_SH">#REF!</definedName>
    <definedName name="L_KEYWORD_EQTY_200014750_PREF_DIV">#REF!</definedName>
    <definedName name="L_KEYWORD_EQTY_200014750_PRI_TARG_METH">#REF!</definedName>
    <definedName name="L_KEYWORD_EQTY_200014750_PRI_TARG_MULT">#REF!</definedName>
    <definedName name="L_KEYWORD_EQTY_200014750_PRICE_CURRENCY_ISO">#REF!</definedName>
    <definedName name="L_KEYWORD_EQTY_200014750_PROV_INC_TAX">#REF!</definedName>
    <definedName name="L_KEYWORD_EQTY_200014750_PTP_PUB">#REF!</definedName>
    <definedName name="L_KEYWORD_EQTY_200014750_PUB_CURRENCY_ISO">#REF!</definedName>
    <definedName name="L_KEYWORD_EQTY_200014750_REPUR_ACTUAL">#REF!</definedName>
    <definedName name="L_KEYWORD_EQTY_200014750_REPUR_REMAINING">#REF!</definedName>
    <definedName name="L_KEYWORD_EQTY_200014750_REPUR_SUSPENDED">#REF!</definedName>
    <definedName name="L_KEYWORD_EQTY_200014750_REPUR_TOT_AUTH">#REF!</definedName>
    <definedName name="L_KEYWORD_EQTY_200014750_REVS_PUB">#REF!</definedName>
    <definedName name="L_KEYWORD_EQTY_200014750_RISK_FR_RATE">#REF!</definedName>
    <definedName name="L_KEYWORD_EQTY_200014750_Security_Name">#REF!</definedName>
    <definedName name="L_KEYWORD_EQTY_200014750_SH">#REF!</definedName>
    <definedName name="L_KEYWORD_EQTY_200014750_TARGET_PRICE">#REF!</definedName>
    <definedName name="L_KEYWORD_EQTY_200014750_TAX_EXC">#REF!</definedName>
    <definedName name="L_KEYWORD_EQTY_200014750_Ticker">#REF!</definedName>
    <definedName name="L_KEYWORD_EQTY_200014750_TP_PERIOD">#REF!</definedName>
    <definedName name="L_KEYWORD_ISSR_208000603_ACC_AMORT">#REF!</definedName>
    <definedName name="L_KEYWORD_ISSR_208000603_ACC_DDA">#REF!</definedName>
    <definedName name="L_KEYWORD_ISSR_208000603_ACC_END_DATE">#REF!</definedName>
    <definedName name="L_KEYWORD_ISSR_208000603_ACC_GW_AM">#REF!</definedName>
    <definedName name="L_KEYWORD_ISSR_208000603_ACC_PAY_GQ">#REF!</definedName>
    <definedName name="L_KEYWORD_ISSR_208000603_ACCUM_AMORT">#REF!</definedName>
    <definedName name="L_KEYWORD_ISSR_208000603_ACQ">#REF!</definedName>
    <definedName name="L_KEYWORD_ISSR_208000603_ADJ_UNF_PENS_GOOD">#REF!</definedName>
    <definedName name="L_KEYWORD_ISSR_208000603_ASSOC_JV_ADDBK">#REF!</definedName>
    <definedName name="L_KEYWORD_ISSR_208000603_ASSOCIATE">#REF!</definedName>
    <definedName name="L_KEYWORD_ISSR_208000603_ASSOCIATE_OP">#REF!</definedName>
    <definedName name="L_KEYWORD_ISSR_208000603_BAL_MINO_INT">#REF!</definedName>
    <definedName name="L_KEYWORD_ISSR_208000603_CAP_LEASES">#REF!</definedName>
    <definedName name="L_KEYWORD_ISSR_208000603_CAPEX">#REF!</definedName>
    <definedName name="L_KEYWORD_ISSR_208000603_CAPEX_EXPANSION">#REF!</definedName>
    <definedName name="L_KEYWORD_ISSR_208000603_CAPEX_MAINTENANCE">#REF!</definedName>
    <definedName name="L_KEYWORD_ISSR_208000603_CASH_EQ">#REF!</definedName>
    <definedName name="L_KEYWORD_ISSR_208000603_CASH_INT_EXP">#REF!</definedName>
    <definedName name="L_KEYWORD_ISSR_208000603_CASH_TAX_EXP">#REF!</definedName>
    <definedName name="L_KEYWORD_ISSR_208000603_CF_FIN">#REF!</definedName>
    <definedName name="L_KEYWORD_ISSR_208000603_CF_INC_MINORITY">#REF!</definedName>
    <definedName name="L_KEYWORD_ISSR_208000603_CF_INV">#REF!</definedName>
    <definedName name="L_KEYWORD_ISSR_208000603_CF_OPS">#REF!</definedName>
    <definedName name="L_KEYWORD_ISSR_208000603_CHG_LT_DEBT">#REF!</definedName>
    <definedName name="L_KEYWORD_ISSR_208000603_CO_BOR_MARGIN">#REF!</definedName>
    <definedName name="L_KEYWORD_ISSR_208000603_COST_GD_SD">#REF!</definedName>
    <definedName name="L_KEYWORD_ISSR_208000603_CUR_ASS">#REF!</definedName>
    <definedName name="L_KEYWORD_ISSR_208000603_CURRENCY_ISO">#REF!</definedName>
    <definedName name="L_KEYWORD_ISSR_208000603_DEBTORS">#REF!</definedName>
    <definedName name="L_KEYWORD_ISSR_208000603_DEF_INC_TAX">#REF!</definedName>
    <definedName name="L_KEYWORD_ISSR_208000603_DEPR_AMORT">#REF!</definedName>
    <definedName name="L_KEYWORD_ISSR_208000603_DEPREC">#REF!</definedName>
    <definedName name="L_KEYWORD_ISSR_208000603_DIV_PAID">#REF!</definedName>
    <definedName name="L_KEYWORD_ISSR_208000603_DIVDS_ASSOC_JV">#REF!</definedName>
    <definedName name="L_KEYWORD_ISSR_208000603_DIVDS_PD_MINORITIES">#REF!</definedName>
    <definedName name="L_KEYWORD_ISSR_208000603_DIVEST">#REF!</definedName>
    <definedName name="L_KEYWORD_ISSR_208000603_EBIT">#REF!</definedName>
    <definedName name="L_KEYWORD_ISSR_208000603_EBIT_FIN_SEGMENT">#REF!</definedName>
    <definedName name="L_KEYWORD_ISSR_208000603_EBITDA_CALC">#REF!</definedName>
    <definedName name="L_KEYWORD_ISSR_208000603_EMPLOYEES">#REF!</definedName>
    <definedName name="L_KEYWORD_ISSR_208000603_EQ">#REF!</definedName>
    <definedName name="L_KEYWORD_ISSR_208000603_ESO_PRE_TAX">#REF!</definedName>
    <definedName name="L_KEYWORD_ISSR_208000603_FIX_ASS_INV">#REF!</definedName>
    <definedName name="L_KEYWORD_ISSR_208000603_GCI_INFL">#REF!</definedName>
    <definedName name="L_KEYWORD_ISSR_208000603_GOODWILL_AMORT">#REF!</definedName>
    <definedName name="L_KEYWORD_ISSR_208000603_GR_FIX_ASS">#REF!</definedName>
    <definedName name="L_KEYWORD_ISSR_208000603_GR_INTANG">#REF!</definedName>
    <definedName name="L_KEYWORD_ISSR_208000603_GROSS_GW">#REF!</definedName>
    <definedName name="L_KEYWORD_ISSR_208000603_GROSS_OTH_INTANG">#REF!</definedName>
    <definedName name="L_KEYWORD_ISSR_208000603_GT_BLEND_ARPU_PC">#REF!</definedName>
    <definedName name="L_KEYWORD_ISSR_208000603_GT_BLEND_MOU">#REF!</definedName>
    <definedName name="L_KEYWORD_ISSR_208000603_GT_CAPEX_MOU">#REF!</definedName>
    <definedName name="L_KEYWORD_ISSR_208000603_GT_DSL_SUB">#REF!</definedName>
    <definedName name="L_KEYWORD_ISSR_208000603_GT_FIX_DATA_REV">#REF!</definedName>
    <definedName name="L_KEYWORD_ISSR_208000603_GT_FIX_VOICE_REV">#REF!</definedName>
    <definedName name="L_KEYWORD_ISSR_208000603_GT_LD_SUB">#REF!</definedName>
    <definedName name="L_KEYWORD_ISSR_208000603_GT_MOB_DATA_REV">#REF!</definedName>
    <definedName name="L_KEYWORD_ISSR_208000603_GT_MOB_VOICE_REV">#REF!</definedName>
    <definedName name="L_KEYWORD_ISSR_208000603_GT_OTH_CAPEX">#REF!</definedName>
    <definedName name="L_KEYWORD_ISSR_208000603_GT_OTH_REV">#REF!</definedName>
    <definedName name="L_KEYWORD_ISSR_208000603_GT_OTHER_REV">#REF!</definedName>
    <definedName name="L_KEYWORD_ISSR_208000603_GT_PAY_TV_REV">#REF!</definedName>
    <definedName name="L_KEYWORD_ISSR_208000603_GT_SERVC_REV">#REF!</definedName>
    <definedName name="L_KEYWORD_ISSR_208000603_GT_TOT_ACC_LINE">#REF!</definedName>
    <definedName name="L_KEYWORD_ISSR_208000603_GT_TOT_BUS_LINE">#REF!</definedName>
    <definedName name="L_KEYWORD_ISSR_208000603_GT_TOT_MINS">#REF!</definedName>
    <definedName name="L_KEYWORD_ISSR_208000603_GT_TOT_PPD_SUB_PC">#REF!</definedName>
    <definedName name="L_KEYWORD_ISSR_208000603_GT_TOT_RES_LINE">#REF!</definedName>
    <definedName name="L_KEYWORD_ISSR_208000603_GT_TOT_RET_LINE">#REF!</definedName>
    <definedName name="L_KEYWORD_ISSR_208000603_GT_Company2963_CAPEX">#REF!</definedName>
    <definedName name="L_KEYWORD_ISSR_208000603_GT_Company2963_REV">#REF!</definedName>
    <definedName name="L_KEYWORD_ISSR_208000603_GT_WRLS_ARPU">#REF!</definedName>
    <definedName name="L_KEYWORD_ISSR_208000603_GT_WRLS_CAPEX">#REF!</definedName>
    <definedName name="L_KEYWORD_ISSR_208000603_GT_WRLS_CHURN">#REF!</definedName>
    <definedName name="L_KEYWORD_ISSR_208000603_GT_WRLS_REV">#REF!</definedName>
    <definedName name="L_KEYWORD_ISSR_208000603_GT_WRLS_SUB">#REF!</definedName>
    <definedName name="L_KEYWORD_ISSR_208000603_INT_EXP_IND">#REF!</definedName>
    <definedName name="L_KEYWORD_ISSR_208000603_INT_INC_IND">#REF!</definedName>
    <definedName name="L_KEYWORD_ISSR_208000603_INT_PAID_CF">#REF!</definedName>
    <definedName name="L_KEYWORD_ISSR_208000603_INTANG_CAPEX">#REF!</definedName>
    <definedName name="L_KEYWORD_ISSR_208000603_INV_SECUR">#REF!</definedName>
    <definedName name="L_KEYWORD_ISSR_208000603_Issuer_Name">#REF!</definedName>
    <definedName name="L_KEYWORD_ISSR_208000603_LEASE_DEEM_DEPR">#REF!</definedName>
    <definedName name="L_KEYWORD_ISSR_208000603_LEASE_DEEM_INT">#REF!</definedName>
    <definedName name="L_KEYWORD_ISSR_208000603_LEASE_PAY">#REF!</definedName>
    <definedName name="L_KEYWORD_ISSR_208000603_LT_DEBT">#REF!</definedName>
    <definedName name="L_KEYWORD_ISSR_208000603_MA_PROB">#REF!</definedName>
    <definedName name="L_KEYWORD_ISSR_208000603_MINORITIES">#REF!</definedName>
    <definedName name="L_KEYWORD_ISSR_208000603_MV_ASSOCIATES">#REF!</definedName>
    <definedName name="L_KEYWORD_ISSR_208000603_NET_DEBT">#REF!</definedName>
    <definedName name="L_KEYWORD_ISSR_208000603_NET_DEBT_ADJ">#REF!</definedName>
    <definedName name="L_KEYWORD_ISSR_208000603_NET_FIX_ASS">#REF!</definedName>
    <definedName name="L_KEYWORD_ISSR_208000603_NET_GW">#REF!</definedName>
    <definedName name="L_KEYWORD_ISSR_208000603_NET_INT_CH">#REF!</definedName>
    <definedName name="L_KEYWORD_ISSR_208000603_NET_INT_EXP">#REF!</definedName>
    <definedName name="L_KEYWORD_ISSR_208000603_NET_INTANG">#REF!</definedName>
    <definedName name="L_KEYWORD_ISSR_208000603_NET_OTH_INTANG">#REF!</definedName>
    <definedName name="L_KEYWORD_ISSR_208000603_NONPPE_CAPEX">#REF!</definedName>
    <definedName name="L_KEYWORD_ISSR_208000603_OP_AUSTRA">#REF!</definedName>
    <definedName name="L_KEYWORD_ISSR_208000603_OP_AUSTRIA">#REF!</definedName>
    <definedName name="L_KEYWORD_ISSR_208000603_OP_COMPANY0377">#REF!</definedName>
    <definedName name="L_KEYWORD_ISSR_208000603_OP_BRAZIL">#REF!</definedName>
    <definedName name="L_KEYWORD_ISSR_208000603_OP_CANADA">#REF!</definedName>
    <definedName name="L_KEYWORD_ISSR_208000603_OP_CEE">#REF!</definedName>
    <definedName name="L_KEYWORD_ISSR_208000603_OP_CHINA">#REF!</definedName>
    <definedName name="L_KEYWORD_ISSR_208000603_OP_CONS">#REF!</definedName>
    <definedName name="L_KEYWORD_ISSR_208000603_OP_COST">#REF!</definedName>
    <definedName name="L_KEYWORD_ISSR_208000603_OP_DEN">#REF!</definedName>
    <definedName name="L_KEYWORD_ISSR_208000603_OP_EU_EX_UK">#REF!</definedName>
    <definedName name="L_KEYWORD_ISSR_208000603_OP_FIN">#REF!</definedName>
    <definedName name="L_KEYWORD_ISSR_208000603_OP_FRA">#REF!</definedName>
    <definedName name="L_KEYWORD_ISSR_208000603_OP_GER">#REF!</definedName>
    <definedName name="L_KEYWORD_ISSR_208000603_OP_GOV">#REF!</definedName>
    <definedName name="L_KEYWORD_ISSR_208000603_OP_GRE">#REF!</definedName>
    <definedName name="L_KEYWORD_ISSR_208000603_OP_ICE">#REF!</definedName>
    <definedName name="L_KEYWORD_ISSR_208000603_OP_IND">#REF!</definedName>
    <definedName name="L_KEYWORD_ISSR_208000603_OP_INDIA">#REF!</definedName>
    <definedName name="L_KEYWORD_ISSR_208000603_OP_IRE">#REF!</definedName>
    <definedName name="L_KEYWORD_ISSR_208000603_OP_ITA">#REF!</definedName>
    <definedName name="L_KEYWORD_ISSR_208000603_OP_JAPAN">#REF!</definedName>
    <definedName name="L_KEYWORD_ISSR_208000603_OP_ME">#REF!</definedName>
    <definedName name="L_KEYWORD_ISSR_208000603_OP_NETH">#REF!</definedName>
    <definedName name="L_KEYWORD_ISSR_208000603_OP_NOR">#REF!</definedName>
    <definedName name="L_KEYWORD_ISSR_208000603_OP_NZ">#REF!</definedName>
    <definedName name="L_KEYWORD_ISSR_208000603_OP_OTH_AEJ">#REF!</definedName>
    <definedName name="L_KEYWORD_ISSR_208000603_OP_OTH_AM">#REF!</definedName>
    <definedName name="L_KEYWORD_ISSR_208000603_OP_OTH_EMEA">#REF!</definedName>
    <definedName name="L_KEYWORD_ISSR_208000603_OP_OTHER">#REF!</definedName>
    <definedName name="L_KEYWORD_ISSR_208000603_OP_POR">#REF!</definedName>
    <definedName name="L_KEYWORD_ISSR_208000603_OP_RUSSIA">#REF!</definedName>
    <definedName name="L_KEYWORD_ISSR_208000603_OP_SK">#REF!</definedName>
    <definedName name="L_KEYWORD_ISSR_208000603_OP_SPA">#REF!</definedName>
    <definedName name="L_KEYWORD_ISSR_208000603_OP_SWE">#REF!</definedName>
    <definedName name="L_KEYWORD_ISSR_208000603_OP_SWIT">#REF!</definedName>
    <definedName name="L_KEYWORD_ISSR_208000603_OP_TOT_AM">#REF!</definedName>
    <definedName name="L_KEYWORD_ISSR_208000603_OP_TOT_ASIA">#REF!</definedName>
    <definedName name="L_KEYWORD_ISSR_208000603_OP_TOT_EMEA">#REF!</definedName>
    <definedName name="L_KEYWORD_ISSR_208000603_OP_UK">#REF!</definedName>
    <definedName name="L_KEYWORD_ISSR_208000603_OP_US">#REF!</definedName>
    <definedName name="L_KEYWORD_ISSR_208000603_ORD_SH_FUND">#REF!</definedName>
    <definedName name="L_KEYWORD_ISSR_208000603_OTH_COST_INC">#REF!</definedName>
    <definedName name="L_KEYWORD_ISSR_208000603_OTH_CUR_ASS">#REF!</definedName>
    <definedName name="L_KEYWORD_ISSR_208000603_OTH_CUR_LIABS">#REF!</definedName>
    <definedName name="L_KEYWORD_ISSR_208000603_OTH_DACF_ADJ">#REF!</definedName>
    <definedName name="L_KEYWORD_ISSR_208000603_OTH_FIN_CF">#REF!</definedName>
    <definedName name="L_KEYWORD_ISSR_208000603_OTH_GCI_ADJ">#REF!</definedName>
    <definedName name="L_KEYWORD_ISSR_208000603_OTH_INV_CF">#REF!</definedName>
    <definedName name="L_KEYWORD_ISSR_208000603_OTH_LT_ASS">#REF!</definedName>
    <definedName name="L_KEYWORD_ISSR_208000603_OTH_LT_CRED_GQ">#REF!</definedName>
    <definedName name="L_KEYWORD_ISSR_208000603_OTH_NONCASH_ADJ">#REF!</definedName>
    <definedName name="L_KEYWORD_ISSR_208000603_OTH_OP_CF">#REF!</definedName>
    <definedName name="L_KEYWORD_ISSR_208000603_OTH_OP_INC_EXP">#REF!</definedName>
    <definedName name="L_KEYWORD_ISSR_208000603_PERIOD_MILESTONE">#REF!</definedName>
    <definedName name="L_KEYWORD_ISSR_208000603_PL_SALE_ASSETS">#REF!</definedName>
    <definedName name="L_KEYWORD_ISSR_208000603_PPNT_FCF">#REF!</definedName>
    <definedName name="L_KEYWORD_ISSR_208000603_PREF_SH">#REF!</definedName>
    <definedName name="L_KEYWORD_ISSR_208000603_PROFIT_ON_DISP">#REF!</definedName>
    <definedName name="L_KEYWORD_ISSR_208000603_PT_PROF">#REF!</definedName>
    <definedName name="L_KEYWORD_ISSR_208000603_RD_EXP">#REF!</definedName>
    <definedName name="L_KEYWORD_ISSR_208000603_REV_FIN_SEGMENT">#REF!</definedName>
    <definedName name="L_KEYWORD_ISSR_208000603_SALES">#REF!</definedName>
    <definedName name="L_KEYWORD_ISSR_208000603_SALES_AUSTRA">#REF!</definedName>
    <definedName name="L_KEYWORD_ISSR_208000603_SALES_AUSTRIA">#REF!</definedName>
    <definedName name="L_KEYWORD_ISSR_208000603_SALES_COMPANY0377">#REF!</definedName>
    <definedName name="L_KEYWORD_ISSR_208000603_SALES_BRAZIL">#REF!</definedName>
    <definedName name="L_KEYWORD_ISSR_208000603_SALES_CANADA">#REF!</definedName>
    <definedName name="L_KEYWORD_ISSR_208000603_SALES_CEE">#REF!</definedName>
    <definedName name="L_KEYWORD_ISSR_208000603_SALES_CHINA">#REF!</definedName>
    <definedName name="L_KEYWORD_ISSR_208000603_SALES_CONS">#REF!</definedName>
    <definedName name="L_KEYWORD_ISSR_208000603_SALES_DEN">#REF!</definedName>
    <definedName name="L_KEYWORD_ISSR_208000603_SALES_EU_EX_UK">#REF!</definedName>
    <definedName name="L_KEYWORD_ISSR_208000603_SALES_FIN">#REF!</definedName>
    <definedName name="L_KEYWORD_ISSR_208000603_SALES_FINAN">#REF!</definedName>
    <definedName name="L_KEYWORD_ISSR_208000603_SALES_FRA">#REF!</definedName>
    <definedName name="L_KEYWORD_ISSR_208000603_SALES_GER">#REF!</definedName>
    <definedName name="L_KEYWORD_ISSR_208000603_SALES_GOV">#REF!</definedName>
    <definedName name="L_KEYWORD_ISSR_208000603_SALES_GRE">#REF!</definedName>
    <definedName name="L_KEYWORD_ISSR_208000603_SALES_ICE">#REF!</definedName>
    <definedName name="L_KEYWORD_ISSR_208000603_SALES_IND">#REF!</definedName>
    <definedName name="L_KEYWORD_ISSR_208000603_SALES_INDIA">#REF!</definedName>
    <definedName name="L_KEYWORD_ISSR_208000603_SALES_IRE">#REF!</definedName>
    <definedName name="L_KEYWORD_ISSR_208000603_SALES_ITA">#REF!</definedName>
    <definedName name="L_KEYWORD_ISSR_208000603_SALES_JAPAN">#REF!</definedName>
    <definedName name="L_KEYWORD_ISSR_208000603_SALES_ME">#REF!</definedName>
    <definedName name="L_KEYWORD_ISSR_208000603_SALES_NETH">#REF!</definedName>
    <definedName name="L_KEYWORD_ISSR_208000603_SALES_NOR">#REF!</definedName>
    <definedName name="L_KEYWORD_ISSR_208000603_SALES_NZ">#REF!</definedName>
    <definedName name="L_KEYWORD_ISSR_208000603_SALES_OTH_AEJ">#REF!</definedName>
    <definedName name="L_KEYWORD_ISSR_208000603_SALES_OTH_AM">#REF!</definedName>
    <definedName name="L_KEYWORD_ISSR_208000603_SALES_OTH_EMEA">#REF!</definedName>
    <definedName name="L_KEYWORD_ISSR_208000603_SALES_OTHER">#REF!</definedName>
    <definedName name="L_KEYWORD_ISSR_208000603_SALES_POR">#REF!</definedName>
    <definedName name="L_KEYWORD_ISSR_208000603_SALES_RUSSIA">#REF!</definedName>
    <definedName name="L_KEYWORD_ISSR_208000603_SALES_SK">#REF!</definedName>
    <definedName name="L_KEYWORD_ISSR_208000603_SALES_SMB">#REF!</definedName>
    <definedName name="L_KEYWORD_ISSR_208000603_SALES_SPA">#REF!</definedName>
    <definedName name="L_KEYWORD_ISSR_208000603_SALES_SWE">#REF!</definedName>
    <definedName name="L_KEYWORD_ISSR_208000603_SALES_SWIT">#REF!</definedName>
    <definedName name="L_KEYWORD_ISSR_208000603_SALES_TOT_AM">#REF!</definedName>
    <definedName name="L_KEYWORD_ISSR_208000603_SALES_TOT_ASIA">#REF!</definedName>
    <definedName name="L_KEYWORD_ISSR_208000603_SALES_TOT_EMEA">#REF!</definedName>
    <definedName name="L_KEYWORD_ISSR_208000603_SALES_UK">#REF!</definedName>
    <definedName name="L_KEYWORD_ISSR_208000603_SALES_US">#REF!</definedName>
    <definedName name="L_KEYWORD_ISSR_208000603_SEL_GL_AD">#REF!</definedName>
    <definedName name="L_KEYWORD_ISSR_208000603_SH_REPUR">#REF!</definedName>
    <definedName name="L_KEYWORD_ISSR_208000603_SHORT_T_DEBT">#REF!</definedName>
    <definedName name="L_KEYWORD_ISSR_208000603_SHORT_TERM_LIABS">#REF!</definedName>
    <definedName name="L_KEYWORD_ISSR_208000603_STOCKS">#REF!</definedName>
    <definedName name="L_KEYWORD_ISSR_208000603_TANG_CAPEX">#REF!</definedName>
    <definedName name="L_KEYWORD_ISSR_208000603_TAX_PAID_CF">#REF!</definedName>
    <definedName name="L_KEYWORD_ISSR_208000603_TOT_ASSET">#REF!</definedName>
    <definedName name="L_KEYWORD_ISSR_208000603_TOT_CF">#REF!</definedName>
    <definedName name="L_KEYWORD_ISSR_208000603_TOT_LIAB">#REF!</definedName>
    <definedName name="L_KEYWORD_ISSR_208000603_TOT_LIAB_EQ">#REF!</definedName>
    <definedName name="L_KEYWORD_ISSR_208000603_TOT_LT_LIAB">#REF!</definedName>
    <definedName name="L_KEYWORD_ISSR_208000603_TOT_OPS_EXP">#REF!</definedName>
    <definedName name="L_KEYWORD_ISSR_208000603_TOT_OPS_EXP_DDA">#REF!</definedName>
    <definedName name="L_KEYWORD_ISSR_208000603_UNF_PENS">#REF!</definedName>
    <definedName name="L_KEYWORD_ISSR_208000603_UNF_PENS_LIAB_OTH">#REF!</definedName>
    <definedName name="L_KEYWORD_ISSR_208000603_UNF_PENS_OFF">#REF!</definedName>
    <definedName name="L_KEYWORD_ISSR_208000603_WORK_CAP">#REF!</definedName>
    <definedName name="L_KEYWORD_ISSR_208000976_ACC_AMORT">#REF!</definedName>
    <definedName name="L_KEYWORD_ISSR_208000976_ACC_DDA">#REF!</definedName>
    <definedName name="L_KEYWORD_ISSR_208000976_ACC_END_DATE">#REF!</definedName>
    <definedName name="L_KEYWORD_ISSR_208000976_ACC_PAY_GQ">#REF!</definedName>
    <definedName name="L_KEYWORD_ISSR_208000976_ACQ">#REF!</definedName>
    <definedName name="L_KEYWORD_ISSR_208000976_ADJ_UNF_PENS_GOOD">#REF!</definedName>
    <definedName name="L_KEYWORD_ISSR_208000976_ASSOC_JV_ADDBK">#REF!</definedName>
    <definedName name="L_KEYWORD_ISSR_208000976_ASSOCIATE">#REF!</definedName>
    <definedName name="L_KEYWORD_ISSR_208000976_ASSOCIATE_OP">#REF!</definedName>
    <definedName name="L_KEYWORD_ISSR_208000976_BAL_MINO_INT">#REF!</definedName>
    <definedName name="L_KEYWORD_ISSR_208000976_CAP_LEASES">#REF!</definedName>
    <definedName name="L_KEYWORD_ISSR_208000976_CAPEX">#REF!</definedName>
    <definedName name="L_KEYWORD_ISSR_208000976_CAPEX_EXPANSION">#REF!</definedName>
    <definedName name="L_KEYWORD_ISSR_208000976_CAPEX_MAINTENANCE">#REF!</definedName>
    <definedName name="L_KEYWORD_ISSR_208000976_CASH_EQ">#REF!</definedName>
    <definedName name="L_KEYWORD_ISSR_208000976_CASH_INT_EXP">#REF!</definedName>
    <definedName name="L_KEYWORD_ISSR_208000976_CASH_PCT_OS_US">#REF!</definedName>
    <definedName name="L_KEYWORD_ISSR_208000976_CASH_TAX_EXP">#REF!</definedName>
    <definedName name="L_KEYWORD_ISSR_208000976_CF_FIN">#REF!</definedName>
    <definedName name="L_KEYWORD_ISSR_208000976_CF_INC_MINORITY">#REF!</definedName>
    <definedName name="L_KEYWORD_ISSR_208000976_CF_INV">#REF!</definedName>
    <definedName name="L_KEYWORD_ISSR_208000976_CF_OPS">#REF!</definedName>
    <definedName name="L_KEYWORD_ISSR_208000976_CHG_LT_DEBT">#REF!</definedName>
    <definedName name="L_KEYWORD_ISSR_208000976_CO_BOR_MARGIN">#REF!</definedName>
    <definedName name="L_KEYWORD_ISSR_208000976_COST_GD_SD">#REF!</definedName>
    <definedName name="L_KEYWORD_ISSR_208000976_CUR_ASS">#REF!</definedName>
    <definedName name="L_KEYWORD_ISSR_208000976_CURRENCY_ISO">#REF!</definedName>
    <definedName name="L_KEYWORD_ISSR_208000976_DEBTORS">#REF!</definedName>
    <definedName name="L_KEYWORD_ISSR_208000976_DEF_INC_TAX">#REF!</definedName>
    <definedName name="L_KEYWORD_ISSR_208000976_DEPR_AMORT">#REF!</definedName>
    <definedName name="L_KEYWORD_ISSR_208000976_DEPREC">#REF!</definedName>
    <definedName name="L_KEYWORD_ISSR_208000976_DIV_PAID">#REF!</definedName>
    <definedName name="L_KEYWORD_ISSR_208000976_DIVDS_ASSOC_JV">#REF!</definedName>
    <definedName name="L_KEYWORD_ISSR_208000976_DIVDS_PD_MINORITIES">#REF!</definedName>
    <definedName name="L_KEYWORD_ISSR_208000976_DIVEST">#REF!</definedName>
    <definedName name="L_KEYWORD_ISSR_208000976_EBIT">#REF!</definedName>
    <definedName name="L_KEYWORD_ISSR_208000976_EBIT_FIN_SEGMENT">#REF!</definedName>
    <definedName name="L_KEYWORD_ISSR_208000976_EBITDA_CALC">#REF!</definedName>
    <definedName name="L_KEYWORD_ISSR_208000976_EMPLOYEES">#REF!</definedName>
    <definedName name="L_KEYWORD_ISSR_208000976_EQ">#REF!</definedName>
    <definedName name="L_KEYWORD_ISSR_208000976_ESO_PRE_TAX">#REF!</definedName>
    <definedName name="L_KEYWORD_ISSR_208000976_EXP_ALUMINIUM">#REF!</definedName>
    <definedName name="L_KEYWORD_ISSR_208000976_EXP_COPPER">#REF!</definedName>
    <definedName name="L_KEYWORD_ISSR_208000976_EXP_GLASS">#REF!</definedName>
    <definedName name="L_KEYWORD_ISSR_208000976_EXP_GOLD">#REF!</definedName>
    <definedName name="L_KEYWORD_ISSR_208000976_EXP_NICKEL">#REF!</definedName>
    <definedName name="L_KEYWORD_ISSR_208000976_EXP_OIL_DERIV_NGLS_PLASTICS">#REF!</definedName>
    <definedName name="L_KEYWORD_ISSR_208000976_EXP_OIL_PETRO_FUEL">#REF!</definedName>
    <definedName name="L_KEYWORD_ISSR_208000976_EXP_OTH_COMMODITY">#REF!</definedName>
    <definedName name="L_KEYWORD_ISSR_208000976_EXP_OTH_COST">#REF!</definedName>
    <definedName name="L_KEYWORD_ISSR_208000976_EXP_PALLADIUM">#REF!</definedName>
    <definedName name="L_KEYWORD_ISSR_208000976_EXP_PAPER_PULP">#REF!</definedName>
    <definedName name="L_KEYWORD_ISSR_208000976_EXP_PLATINUM">#REF!</definedName>
    <definedName name="L_KEYWORD_ISSR_208000976_EXP_SILVER">#REF!</definedName>
    <definedName name="L_KEYWORD_ISSR_208000976_EXP_WATER">#REF!</definedName>
    <definedName name="L_KEYWORD_ISSR_208000976_EXP_Company3050">#REF!</definedName>
    <definedName name="L_KEYWORD_ISSR_208000976_FIX_ASS_INV">#REF!</definedName>
    <definedName name="L_KEYWORD_ISSR_208000976_GCI_INFL">#REF!</definedName>
    <definedName name="L_KEYWORD_ISSR_208000976_GOODWILL_AMORT">#REF!</definedName>
    <definedName name="L_KEYWORD_ISSR_208000976_GR_FIX_ASS">#REF!</definedName>
    <definedName name="L_KEYWORD_ISSR_208000976_GR_INTANG">#REF!</definedName>
    <definedName name="L_KEYWORD_ISSR_208000976_INT_EXP_IND">#REF!</definedName>
    <definedName name="L_KEYWORD_ISSR_208000976_INT_INC_IND">#REF!</definedName>
    <definedName name="L_KEYWORD_ISSR_208000976_INV_SECUR">#REF!</definedName>
    <definedName name="L_KEYWORD_ISSR_208000976_Issuer_Name">#REF!</definedName>
    <definedName name="L_KEYWORD_ISSR_208000976_LEASE_DEEM_DEPR">#REF!</definedName>
    <definedName name="L_KEYWORD_ISSR_208000976_LEASE_DEEM_INT">#REF!</definedName>
    <definedName name="L_KEYWORD_ISSR_208000976_LEASE_PAY">#REF!</definedName>
    <definedName name="L_KEYWORD_ISSR_208000976_LT_DEBT">#REF!</definedName>
    <definedName name="L_KEYWORD_ISSR_208000976_MA_PROB">#REF!</definedName>
    <definedName name="L_KEYWORD_ISSR_208000976_MINORITIES">#REF!</definedName>
    <definedName name="L_KEYWORD_ISSR_208000976_MV_ASSOCIATES">#REF!</definedName>
    <definedName name="L_KEYWORD_ISSR_208000976_NET_DEBT">#REF!</definedName>
    <definedName name="L_KEYWORD_ISSR_208000976_NET_DEBT_ADJ">#REF!</definedName>
    <definedName name="L_KEYWORD_ISSR_208000976_NET_FIX_ASS">#REF!</definedName>
    <definedName name="L_KEYWORD_ISSR_208000976_NET_INT_CH">#REF!</definedName>
    <definedName name="L_KEYWORD_ISSR_208000976_NET_INT_EXP">#REF!</definedName>
    <definedName name="L_KEYWORD_ISSR_208000976_NET_INTANG">#REF!</definedName>
    <definedName name="L_KEYWORD_ISSR_208000976_NONPPE_CAPEX">#REF!</definedName>
    <definedName name="L_KEYWORD_ISSR_208000976_OP_COST">#REF!</definedName>
    <definedName name="L_KEYWORD_ISSR_208000976_ORD_SH_FUND">#REF!</definedName>
    <definedName name="L_KEYWORD_ISSR_208000976_ORG_REV_GRTH">#REF!</definedName>
    <definedName name="L_KEYWORD_ISSR_208000976_OTH_COST_INC">#REF!</definedName>
    <definedName name="L_KEYWORD_ISSR_208000976_OTH_CUR_ASS">#REF!</definedName>
    <definedName name="L_KEYWORD_ISSR_208000976_OTH_CUR_LIABS">#REF!</definedName>
    <definedName name="L_KEYWORD_ISSR_208000976_OTH_DACF_ADJ">#REF!</definedName>
    <definedName name="L_KEYWORD_ISSR_208000976_OTH_FIN_CF">#REF!</definedName>
    <definedName name="L_KEYWORD_ISSR_208000976_OTH_GCI_ADJ">#REF!</definedName>
    <definedName name="L_KEYWORD_ISSR_208000976_OTH_INV_CF">#REF!</definedName>
    <definedName name="L_KEYWORD_ISSR_208000976_OTH_LT_ASS">#REF!</definedName>
    <definedName name="L_KEYWORD_ISSR_208000976_OTH_LT_CRED_GQ">#REF!</definedName>
    <definedName name="L_KEYWORD_ISSR_208000976_OTH_NONCASH_ADJ">#REF!</definedName>
    <definedName name="L_KEYWORD_ISSR_208000976_OTH_OP_CF">#REF!</definedName>
    <definedName name="L_KEYWORD_ISSR_208000976_OTH_OP_INC_EXP">#REF!</definedName>
    <definedName name="L_KEYWORD_ISSR_208000976_PERIOD_MILESTONE">#REF!</definedName>
    <definedName name="L_KEYWORD_ISSR_208000976_PL_SALE_ASSETS">#REF!</definedName>
    <definedName name="L_KEYWORD_ISSR_208000976_PREF_SH">#REF!</definedName>
    <definedName name="L_KEYWORD_ISSR_208000976_PROFIT_ON_DISP">#REF!</definedName>
    <definedName name="L_KEYWORD_ISSR_208000976_PT_PROF">#REF!</definedName>
    <definedName name="L_KEYWORD_ISSR_208000976_RD_EXP">#REF!</definedName>
    <definedName name="L_KEYWORD_ISSR_208000976_REV_FIN_SEGMENT">#REF!</definedName>
    <definedName name="L_KEYWORD_ISSR_208000976_SALES">#REF!</definedName>
    <definedName name="L_KEYWORD_ISSR_208000976_SALES_ARGENTINA">#REF!</definedName>
    <definedName name="L_KEYWORD_ISSR_208000976_SALES_BRAZIL">#REF!</definedName>
    <definedName name="L_KEYWORD_ISSR_208000976_SALES_CANADA">#REF!</definedName>
    <definedName name="L_KEYWORD_ISSR_208000976_SALES_CEE">#REF!</definedName>
    <definedName name="L_KEYWORD_ISSR_208000976_SALES_CHILE">#REF!</definedName>
    <definedName name="L_KEYWORD_ISSR_208000976_SALES_CHINA">#REF!</definedName>
    <definedName name="L_KEYWORD_ISSR_208000976_SALES_COLOMBIA">#REF!</definedName>
    <definedName name="L_KEYWORD_ISSR_208000976_SALES_CONS">#REF!</definedName>
    <definedName name="L_KEYWORD_ISSR_208000976_SALES_EU_EX_UK">#REF!</definedName>
    <definedName name="L_KEYWORD_ISSR_208000976_SALES_FINAN">#REF!</definedName>
    <definedName name="L_KEYWORD_ISSR_208000976_SALES_FX_ARS">#REF!</definedName>
    <definedName name="L_KEYWORD_ISSR_208000976_SALES_FX_BRL">#REF!</definedName>
    <definedName name="L_KEYWORD_ISSR_208000976_SALES_FX_CAD">#REF!</definedName>
    <definedName name="L_KEYWORD_ISSR_208000976_SALES_FX_CLP">#REF!</definedName>
    <definedName name="L_KEYWORD_ISSR_208000976_SALES_FX_CNY">#REF!</definedName>
    <definedName name="L_KEYWORD_ISSR_208000976_SALES_FX_COP">#REF!</definedName>
    <definedName name="L_KEYWORD_ISSR_208000976_SALES_FX_EUR">#REF!</definedName>
    <definedName name="L_KEYWORD_ISSR_208000976_SALES_FX_GPB">#REF!</definedName>
    <definedName name="L_KEYWORD_ISSR_208000976_SALES_FX_INR">#REF!</definedName>
    <definedName name="L_KEYWORD_ISSR_208000976_SALES_FX_MXN">#REF!</definedName>
    <definedName name="L_KEYWORD_ISSR_208000976_SALES_FX_OTH">#REF!</definedName>
    <definedName name="L_KEYWORD_ISSR_208000976_SALES_FX_RUB">#REF!</definedName>
    <definedName name="L_KEYWORD_ISSR_208000976_SALES_FX_USD">#REF!</definedName>
    <definedName name="L_KEYWORD_ISSR_208000976_SALES_FX_VEF">#REF!</definedName>
    <definedName name="L_KEYWORD_ISSR_208000976_SALES_FX_YEN">#REF!</definedName>
    <definedName name="L_KEYWORD_ISSR_208000976_SALES_GOV">#REF!</definedName>
    <definedName name="L_KEYWORD_ISSR_208000976_SALES_IND">#REF!</definedName>
    <definedName name="L_KEYWORD_ISSR_208000976_SALES_INDIA">#REF!</definedName>
    <definedName name="L_KEYWORD_ISSR_208000976_SALES_JAPAN">#REF!</definedName>
    <definedName name="L_KEYWORD_ISSR_208000976_SALES_ME">#REF!</definedName>
    <definedName name="L_KEYWORD_ISSR_208000976_SALES_MEXICO">#REF!</definedName>
    <definedName name="L_KEYWORD_ISSR_208000976_SALES_OTH_AEJ">#REF!</definedName>
    <definedName name="L_KEYWORD_ISSR_208000976_SALES_OTH_AM">#REF!</definedName>
    <definedName name="L_KEYWORD_ISSR_208000976_SALES_OTH_EMEA">#REF!</definedName>
    <definedName name="L_KEYWORD_ISSR_208000976_SALES_OTHER">#REF!</definedName>
    <definedName name="L_KEYWORD_ISSR_208000976_SALES_RUSSIA">#REF!</definedName>
    <definedName name="L_KEYWORD_ISSR_208000976_SALES_SMB">#REF!</definedName>
    <definedName name="L_KEYWORD_ISSR_208000976_SALES_TOT_AFRICA">#REF!</definedName>
    <definedName name="L_KEYWORD_ISSR_208000976_SALES_TOT_AM">#REF!</definedName>
    <definedName name="L_KEYWORD_ISSR_208000976_SALES_TOT_ASIA">#REF!</definedName>
    <definedName name="L_KEYWORD_ISSR_208000976_SALES_TOT_EMEA">#REF!</definedName>
    <definedName name="L_KEYWORD_ISSR_208000976_SALES_UK">#REF!</definedName>
    <definedName name="L_KEYWORD_ISSR_208000976_SALES_US">#REF!</definedName>
    <definedName name="L_KEYWORD_ISSR_208000976_SALES_VENEZUELA">#REF!</definedName>
    <definedName name="L_KEYWORD_ISSR_208000976_SEL_GL_AD">#REF!</definedName>
    <definedName name="L_KEYWORD_ISSR_208000976_SH_REPUR">#REF!</definedName>
    <definedName name="L_KEYWORD_ISSR_208000976_SHORT_T_DEBT">#REF!</definedName>
    <definedName name="L_KEYWORD_ISSR_208000976_SHORT_TERM_LIABS">#REF!</definedName>
    <definedName name="L_KEYWORD_ISSR_208000976_STOCKS">#REF!</definedName>
    <definedName name="L_KEYWORD_ISSR_208000976_TOT_ASSET">#REF!</definedName>
    <definedName name="L_KEYWORD_ISSR_208000976_TOT_CF">#REF!</definedName>
    <definedName name="L_KEYWORD_ISSR_208000976_TOT_LIAB">#REF!</definedName>
    <definedName name="L_KEYWORD_ISSR_208000976_TOT_LIAB_EQ">#REF!</definedName>
    <definedName name="L_KEYWORD_ISSR_208000976_TOT_LT_LIAB">#REF!</definedName>
    <definedName name="L_KEYWORD_ISSR_208000976_TOT_OPS_EXP">#REF!</definedName>
    <definedName name="L_KEYWORD_ISSR_208000976_TOT_OPS_EXP_DDA">#REF!</definedName>
    <definedName name="L_KEYWORD_ISSR_208000976_UNF_PENS">#REF!</definedName>
    <definedName name="L_KEYWORD_ISSR_208000976_UNF_PENS_LIAB_OTH">#REF!</definedName>
    <definedName name="L_KEYWORD_ISSR_208000976_UNF_PENS_OFF">#REF!</definedName>
    <definedName name="L_KEYWORD_ISSR_208000976_WORK_CAP">#REF!</definedName>
    <definedName name="L_KEYWORD_ISSR_208001048_ORG_REV_GRTH">#REF!</definedName>
    <definedName name="L_KEYWORD_ISSR_208001258_ACC_AMORT">#REF!</definedName>
    <definedName name="L_KEYWORD_ISSR_208001258_ACC_DDA">#REF!</definedName>
    <definedName name="L_KEYWORD_ISSR_208001258_ACC_END_DATE">#REF!</definedName>
    <definedName name="L_KEYWORD_ISSR_208001258_ACC_PAY_GQ">#REF!</definedName>
    <definedName name="L_KEYWORD_ISSR_208001258_ACQ">#REF!</definedName>
    <definedName name="L_KEYWORD_ISSR_208001258_ADJ_UNF_PENS_GOOD">#REF!</definedName>
    <definedName name="L_KEYWORD_ISSR_208001258_ASSOC_JV_ADDBK">#REF!</definedName>
    <definedName name="L_KEYWORD_ISSR_208001258_ASSOCIATE">#REF!</definedName>
    <definedName name="L_KEYWORD_ISSR_208001258_ASSOCIATE_OP">#REF!</definedName>
    <definedName name="L_KEYWORD_ISSR_208001258_BAL_MINO_INT">#REF!</definedName>
    <definedName name="L_KEYWORD_ISSR_208001258_CAP_LEASES">#REF!</definedName>
    <definedName name="L_KEYWORD_ISSR_208001258_CAPEX">#REF!</definedName>
    <definedName name="L_KEYWORD_ISSR_208001258_CAPEX_EXPANSION">#REF!</definedName>
    <definedName name="L_KEYWORD_ISSR_208001258_CAPEX_MAINTENANCE">#REF!</definedName>
    <definedName name="L_KEYWORD_ISSR_208001258_CASH_EQ">#REF!</definedName>
    <definedName name="L_KEYWORD_ISSR_208001258_CASH_INT_EXP">#REF!</definedName>
    <definedName name="L_KEYWORD_ISSR_208001258_CASH_PCT_OS_US">#REF!</definedName>
    <definedName name="L_KEYWORD_ISSR_208001258_CASH_TAX_EXP">#REF!</definedName>
    <definedName name="L_KEYWORD_ISSR_208001258_CF_FIN">#REF!</definedName>
    <definedName name="L_KEYWORD_ISSR_208001258_CF_INC_MINORITY">#REF!</definedName>
    <definedName name="L_KEYWORD_ISSR_208001258_CF_INV">#REF!</definedName>
    <definedName name="L_KEYWORD_ISSR_208001258_CF_OPS">#REF!</definedName>
    <definedName name="L_KEYWORD_ISSR_208001258_CHG_LT_DEBT">#REF!</definedName>
    <definedName name="L_KEYWORD_ISSR_208001258_CO_BOR_MARGIN">#REF!</definedName>
    <definedName name="L_KEYWORD_ISSR_208001258_COST_GD_SD">#REF!</definedName>
    <definedName name="L_KEYWORD_ISSR_208001258_CUR_ASS">#REF!</definedName>
    <definedName name="L_KEYWORD_ISSR_208001258_CURRENCY_ISO">#REF!</definedName>
    <definedName name="L_KEYWORD_ISSR_208001258_DEBTORS">#REF!</definedName>
    <definedName name="L_KEYWORD_ISSR_208001258_DEF_INC_TAX">#REF!</definedName>
    <definedName name="L_KEYWORD_ISSR_208001258_DEPR_AMORT">#REF!</definedName>
    <definedName name="L_KEYWORD_ISSR_208001258_DEPREC">#REF!</definedName>
    <definedName name="L_KEYWORD_ISSR_208001258_DIV_PAID">#REF!</definedName>
    <definedName name="L_KEYWORD_ISSR_208001258_DIVDS_ASSOC_JV">#REF!</definedName>
    <definedName name="L_KEYWORD_ISSR_208001258_DIVDS_PD_MINORITIES">#REF!</definedName>
    <definedName name="L_KEYWORD_ISSR_208001258_DIVEST">#REF!</definedName>
    <definedName name="L_KEYWORD_ISSR_208001258_EBIT">#REF!</definedName>
    <definedName name="L_KEYWORD_ISSR_208001258_EBIT_FIN_SEGMENT">#REF!</definedName>
    <definedName name="L_KEYWORD_ISSR_208001258_EBITDA_CALC">#REF!</definedName>
    <definedName name="L_KEYWORD_ISSR_208001258_EMPLOYEES">#REF!</definedName>
    <definedName name="L_KEYWORD_ISSR_208001258_EQ">#REF!</definedName>
    <definedName name="L_KEYWORD_ISSR_208001258_ESO_PRE_TAX">#REF!</definedName>
    <definedName name="L_KEYWORD_ISSR_208001258_EXP_ALUMINIUM">#REF!</definedName>
    <definedName name="L_KEYWORD_ISSR_208001258_EXP_COPPER">#REF!</definedName>
    <definedName name="L_KEYWORD_ISSR_208001258_EXP_GLASS">#REF!</definedName>
    <definedName name="L_KEYWORD_ISSR_208001258_EXP_GOLD">#REF!</definedName>
    <definedName name="L_KEYWORD_ISSR_208001258_EXP_NICKEL">#REF!</definedName>
    <definedName name="L_KEYWORD_ISSR_208001258_EXP_OIL_DERIV_NGLS_PLASTICS">#REF!</definedName>
    <definedName name="L_KEYWORD_ISSR_208001258_EXP_OIL_PETRO_FUEL">#REF!</definedName>
    <definedName name="L_KEYWORD_ISSR_208001258_EXP_OTH_COMMODITY">#REF!</definedName>
    <definedName name="L_KEYWORD_ISSR_208001258_EXP_OTH_COST">#REF!</definedName>
    <definedName name="L_KEYWORD_ISSR_208001258_EXP_PALLADIUM">#REF!</definedName>
    <definedName name="L_KEYWORD_ISSR_208001258_EXP_PAPER_PULP">#REF!</definedName>
    <definedName name="L_KEYWORD_ISSR_208001258_EXP_PLATINUM">#REF!</definedName>
    <definedName name="L_KEYWORD_ISSR_208001258_EXP_SILVER">#REF!</definedName>
    <definedName name="L_KEYWORD_ISSR_208001258_EXP_WATER">#REF!</definedName>
    <definedName name="L_KEYWORD_ISSR_208001258_EXP_Company3050">#REF!</definedName>
    <definedName name="L_KEYWORD_ISSR_208001258_FIX_ASS_INV">#REF!</definedName>
    <definedName name="L_KEYWORD_ISSR_208001258_GCI_INFL">#REF!</definedName>
    <definedName name="L_KEYWORD_ISSR_208001258_GOODWILL_AMORT">#REF!</definedName>
    <definedName name="L_KEYWORD_ISSR_208001258_GR_FIX_ASS">#REF!</definedName>
    <definedName name="L_KEYWORD_ISSR_208001258_GR_INTANG">#REF!</definedName>
    <definedName name="L_KEYWORD_ISSR_208001258_INT_EXP_IND">#REF!</definedName>
    <definedName name="L_KEYWORD_ISSR_208001258_INT_INC_IND">#REF!</definedName>
    <definedName name="L_KEYWORD_ISSR_208001258_INV_SECUR">#REF!</definedName>
    <definedName name="L_KEYWORD_ISSR_208001258_Issuer_Name">#REF!</definedName>
    <definedName name="L_KEYWORD_ISSR_208001258_LEASE_DEEM_DEPR">#REF!</definedName>
    <definedName name="L_KEYWORD_ISSR_208001258_LEASE_DEEM_INT">#REF!</definedName>
    <definedName name="L_KEYWORD_ISSR_208001258_LEASE_PAY">#REF!</definedName>
    <definedName name="L_KEYWORD_ISSR_208001258_LT_DEBT">#REF!</definedName>
    <definedName name="L_KEYWORD_ISSR_208001258_MA_PROB">#REF!</definedName>
    <definedName name="L_KEYWORD_ISSR_208001258_MINORITIES">#REF!</definedName>
    <definedName name="L_KEYWORD_ISSR_208001258_MV_ASSOCIATES">#REF!</definedName>
    <definedName name="L_KEYWORD_ISSR_208001258_NET_DEBT">#REF!</definedName>
    <definedName name="L_KEYWORD_ISSR_208001258_NET_DEBT_ADJ">#REF!</definedName>
    <definedName name="L_KEYWORD_ISSR_208001258_NET_FIX_ASS">#REF!</definedName>
    <definedName name="L_KEYWORD_ISSR_208001258_NET_INT_CH">#REF!</definedName>
    <definedName name="L_KEYWORD_ISSR_208001258_NET_INT_EXP">#REF!</definedName>
    <definedName name="L_KEYWORD_ISSR_208001258_NET_INTANG">#REF!</definedName>
    <definedName name="L_KEYWORD_ISSR_208001258_NONPPE_CAPEX">#REF!</definedName>
    <definedName name="L_KEYWORD_ISSR_208001258_OP_COST">#REF!</definedName>
    <definedName name="L_KEYWORD_ISSR_208001258_ORD_SH_FUND">#REF!</definedName>
    <definedName name="L_KEYWORD_ISSR_208001258_ORG_REV_GRTH">#REF!</definedName>
    <definedName name="L_KEYWORD_ISSR_208001258_OTH_COST_INC">#REF!</definedName>
    <definedName name="L_KEYWORD_ISSR_208001258_OTH_CUR_ASS">#REF!</definedName>
    <definedName name="L_KEYWORD_ISSR_208001258_OTH_CUR_LIABS">#REF!</definedName>
    <definedName name="L_KEYWORD_ISSR_208001258_OTH_DACF_ADJ">#REF!</definedName>
    <definedName name="L_KEYWORD_ISSR_208001258_OTH_FIN_CF">#REF!</definedName>
    <definedName name="L_KEYWORD_ISSR_208001258_OTH_GCI_ADJ">#REF!</definedName>
    <definedName name="L_KEYWORD_ISSR_208001258_OTH_INV_CF">#REF!</definedName>
    <definedName name="L_KEYWORD_ISSR_208001258_OTH_LT_ASS">#REF!</definedName>
    <definedName name="L_KEYWORD_ISSR_208001258_OTH_LT_CRED_GQ">#REF!</definedName>
    <definedName name="L_KEYWORD_ISSR_208001258_OTH_NONCASH_ADJ">#REF!</definedName>
    <definedName name="L_KEYWORD_ISSR_208001258_OTH_OP_CF">#REF!</definedName>
    <definedName name="L_KEYWORD_ISSR_208001258_OTH_OP_INC_EXP">#REF!</definedName>
    <definedName name="L_KEYWORD_ISSR_208001258_PERIOD_MILESTONE">#REF!</definedName>
    <definedName name="L_KEYWORD_ISSR_208001258_PL_SALE_ASSETS">#REF!</definedName>
    <definedName name="L_KEYWORD_ISSR_208001258_PREF_SH">#REF!</definedName>
    <definedName name="L_KEYWORD_ISSR_208001258_PROFIT_ON_DISP">#REF!</definedName>
    <definedName name="L_KEYWORD_ISSR_208001258_PT_PROF">#REF!</definedName>
    <definedName name="L_KEYWORD_ISSR_208001258_RD_EXP">#REF!</definedName>
    <definedName name="L_KEYWORD_ISSR_208001258_REV_FIN_SEGMENT">#REF!</definedName>
    <definedName name="L_KEYWORD_ISSR_208001258_SALES">#REF!</definedName>
    <definedName name="L_KEYWORD_ISSR_208001258_SALES_ARGENTINA">#REF!</definedName>
    <definedName name="L_KEYWORD_ISSR_208001258_SALES_BRAZIL">#REF!</definedName>
    <definedName name="L_KEYWORD_ISSR_208001258_SALES_CANADA">#REF!</definedName>
    <definedName name="L_KEYWORD_ISSR_208001258_SALES_CEE">#REF!</definedName>
    <definedName name="L_KEYWORD_ISSR_208001258_SALES_CHILE">#REF!</definedName>
    <definedName name="L_KEYWORD_ISSR_208001258_SALES_CHINA">#REF!</definedName>
    <definedName name="L_KEYWORD_ISSR_208001258_SALES_COLOMBIA">#REF!</definedName>
    <definedName name="L_KEYWORD_ISSR_208001258_SALES_CONS">#REF!</definedName>
    <definedName name="L_KEYWORD_ISSR_208001258_SALES_EU_EX_UK">#REF!</definedName>
    <definedName name="L_KEYWORD_ISSR_208001258_SALES_FINAN">#REF!</definedName>
    <definedName name="L_KEYWORD_ISSR_208001258_SALES_FX_ARS">#REF!</definedName>
    <definedName name="L_KEYWORD_ISSR_208001258_SALES_FX_BRL">#REF!</definedName>
    <definedName name="L_KEYWORD_ISSR_208001258_SALES_FX_CAD">#REF!</definedName>
    <definedName name="L_KEYWORD_ISSR_208001258_SALES_FX_CLP">#REF!</definedName>
    <definedName name="L_KEYWORD_ISSR_208001258_SALES_FX_CNY">#REF!</definedName>
    <definedName name="L_KEYWORD_ISSR_208001258_SALES_FX_COP">#REF!</definedName>
    <definedName name="L_KEYWORD_ISSR_208001258_SALES_FX_EUR">#REF!</definedName>
    <definedName name="L_KEYWORD_ISSR_208001258_SALES_FX_GPB">#REF!</definedName>
    <definedName name="L_KEYWORD_ISSR_208001258_SALES_FX_INR">#REF!</definedName>
    <definedName name="L_KEYWORD_ISSR_208001258_SALES_FX_MXN">#REF!</definedName>
    <definedName name="L_KEYWORD_ISSR_208001258_SALES_FX_OTH">#REF!</definedName>
    <definedName name="L_KEYWORD_ISSR_208001258_SALES_FX_RUB">#REF!</definedName>
    <definedName name="L_KEYWORD_ISSR_208001258_SALES_FX_USD">#REF!</definedName>
    <definedName name="L_KEYWORD_ISSR_208001258_SALES_FX_VEF">#REF!</definedName>
    <definedName name="L_KEYWORD_ISSR_208001258_SALES_FX_YEN">#REF!</definedName>
    <definedName name="L_KEYWORD_ISSR_208001258_SALES_GOV">#REF!</definedName>
    <definedName name="L_KEYWORD_ISSR_208001258_SALES_IND">#REF!</definedName>
    <definedName name="L_KEYWORD_ISSR_208001258_SALES_INDIA">#REF!</definedName>
    <definedName name="L_KEYWORD_ISSR_208001258_SALES_JAPAN">#REF!</definedName>
    <definedName name="L_KEYWORD_ISSR_208001258_SALES_ME">#REF!</definedName>
    <definedName name="L_KEYWORD_ISSR_208001258_SALES_MEXICO">#REF!</definedName>
    <definedName name="L_KEYWORD_ISSR_208001258_SALES_OTH_AEJ">#REF!</definedName>
    <definedName name="L_KEYWORD_ISSR_208001258_SALES_OTH_AM">#REF!</definedName>
    <definedName name="L_KEYWORD_ISSR_208001258_SALES_OTH_EMEA">#REF!</definedName>
    <definedName name="L_KEYWORD_ISSR_208001258_SALES_OTHER">#REF!</definedName>
    <definedName name="L_KEYWORD_ISSR_208001258_SALES_RUSSIA">#REF!</definedName>
    <definedName name="L_KEYWORD_ISSR_208001258_SALES_SMB">#REF!</definedName>
    <definedName name="L_KEYWORD_ISSR_208001258_SALES_TOT_AFRICA">#REF!</definedName>
    <definedName name="L_KEYWORD_ISSR_208001258_SALES_TOT_AM">#REF!</definedName>
    <definedName name="L_KEYWORD_ISSR_208001258_SALES_TOT_ASIA">#REF!</definedName>
    <definedName name="L_KEYWORD_ISSR_208001258_SALES_TOT_EMEA">#REF!</definedName>
    <definedName name="L_KEYWORD_ISSR_208001258_SALES_UK">#REF!</definedName>
    <definedName name="L_KEYWORD_ISSR_208001258_SALES_US">#REF!</definedName>
    <definedName name="L_KEYWORD_ISSR_208001258_SALES_VENEZUELA">#REF!</definedName>
    <definedName name="L_KEYWORD_ISSR_208001258_SEL_GL_AD">#REF!</definedName>
    <definedName name="L_KEYWORD_ISSR_208001258_SH_REPUR">#REF!</definedName>
    <definedName name="L_KEYWORD_ISSR_208001258_SHORT_T_DEBT">#REF!</definedName>
    <definedName name="L_KEYWORD_ISSR_208001258_SHORT_TERM_LIABS">#REF!</definedName>
    <definedName name="L_KEYWORD_ISSR_208001258_STOCKS">#REF!</definedName>
    <definedName name="L_KEYWORD_ISSR_208001258_TOT_ASSET">#REF!</definedName>
    <definedName name="L_KEYWORD_ISSR_208001258_TOT_CF">#REF!</definedName>
    <definedName name="L_KEYWORD_ISSR_208001258_TOT_LIAB">#REF!</definedName>
    <definedName name="L_KEYWORD_ISSR_208001258_TOT_LIAB_EQ">#REF!</definedName>
    <definedName name="L_KEYWORD_ISSR_208001258_TOT_LT_LIAB">#REF!</definedName>
    <definedName name="L_KEYWORD_ISSR_208001258_TOT_OPS_EXP">#REF!</definedName>
    <definedName name="L_KEYWORD_ISSR_208001258_TOT_OPS_EXP_DDA">#REF!</definedName>
    <definedName name="L_KEYWORD_ISSR_208001258_UNF_PENS">#REF!</definedName>
    <definedName name="L_KEYWORD_ISSR_208001258_UNF_PENS_LIAB_OTH">#REF!</definedName>
    <definedName name="L_KEYWORD_ISSR_208001258_UNF_PENS_OFF">#REF!</definedName>
    <definedName name="L_KEYWORD_ISSR_208001258_WORK_CAP">#REF!</definedName>
    <definedName name="L_KEYWORD_ISSR_208009722_ACC_AMORT">#REF!</definedName>
    <definedName name="L_KEYWORD_ISSR_208009722_ACC_DDA">#REF!</definedName>
    <definedName name="L_KEYWORD_ISSR_208009722_ACC_END_DATE">#REF!</definedName>
    <definedName name="L_KEYWORD_ISSR_208009722_ACC_PAY_GQ">#REF!</definedName>
    <definedName name="L_KEYWORD_ISSR_208009722_ACQ">#REF!</definedName>
    <definedName name="L_KEYWORD_ISSR_208009722_ADJ_UNF_PENS_GOOD">#REF!</definedName>
    <definedName name="L_KEYWORD_ISSR_208009722_ASSOC_JV_ADDBK">#REF!</definedName>
    <definedName name="L_KEYWORD_ISSR_208009722_ASSOCIATE">#REF!</definedName>
    <definedName name="L_KEYWORD_ISSR_208009722_ASSOCIATE_OP">#REF!</definedName>
    <definedName name="L_KEYWORD_ISSR_208009722_BAL_MINO_INT">#REF!</definedName>
    <definedName name="L_KEYWORD_ISSR_208009722_CAP_LEASES">#REF!</definedName>
    <definedName name="L_KEYWORD_ISSR_208009722_CAPEX">#REF!</definedName>
    <definedName name="L_KEYWORD_ISSR_208009722_CAPEX_EXPANSION">#REF!</definedName>
    <definedName name="L_KEYWORD_ISSR_208009722_CAPEX_MAINTENANCE">#REF!</definedName>
    <definedName name="L_KEYWORD_ISSR_208009722_CASH_EQ">#REF!</definedName>
    <definedName name="L_KEYWORD_ISSR_208009722_CASH_INT_EXP">#REF!</definedName>
    <definedName name="L_KEYWORD_ISSR_208009722_CASH_TAX_EXP">#REF!</definedName>
    <definedName name="L_KEYWORD_ISSR_208009722_CF_FIN">#REF!</definedName>
    <definedName name="L_KEYWORD_ISSR_208009722_CF_INC_MINORITY">#REF!</definedName>
    <definedName name="L_KEYWORD_ISSR_208009722_CF_INV">#REF!</definedName>
    <definedName name="L_KEYWORD_ISSR_208009722_CF_OPS">#REF!</definedName>
    <definedName name="L_KEYWORD_ISSR_208009722_CHG_LT_DEBT">#REF!</definedName>
    <definedName name="L_KEYWORD_ISSR_208009722_CO_BOR_MARGIN">#REF!</definedName>
    <definedName name="L_KEYWORD_ISSR_208009722_COST_GD_SD">#REF!</definedName>
    <definedName name="L_KEYWORD_ISSR_208009722_CUR_ASS">#REF!</definedName>
    <definedName name="L_KEYWORD_ISSR_208009722_CURRENCY_ISO">#REF!</definedName>
    <definedName name="L_KEYWORD_ISSR_208009722_DEBTORS">#REF!</definedName>
    <definedName name="L_KEYWORD_ISSR_208009722_DEF_INC_TAX">#REF!</definedName>
    <definedName name="L_KEYWORD_ISSR_208009722_DEPR_AMORT">#REF!</definedName>
    <definedName name="L_KEYWORD_ISSR_208009722_DEPREC">#REF!</definedName>
    <definedName name="L_KEYWORD_ISSR_208009722_DIV_PAID">#REF!</definedName>
    <definedName name="L_KEYWORD_ISSR_208009722_DIVDS_ASSOC_JV">#REF!</definedName>
    <definedName name="L_KEYWORD_ISSR_208009722_DIVDS_PD_MINORITIES">#REF!</definedName>
    <definedName name="L_KEYWORD_ISSR_208009722_DIVEST">#REF!</definedName>
    <definedName name="L_KEYWORD_ISSR_208009722_EBIT">#REF!</definedName>
    <definedName name="L_KEYWORD_ISSR_208009722_EBIT_FIN_SEGMENT">#REF!</definedName>
    <definedName name="L_KEYWORD_ISSR_208009722_EBITDA_CALC">#REF!</definedName>
    <definedName name="L_KEYWORD_ISSR_208009722_EMPLOYEES">#REF!</definedName>
    <definedName name="L_KEYWORD_ISSR_208009722_EQ">#REF!</definedName>
    <definedName name="L_KEYWORD_ISSR_208009722_ESO_PRE_TAX">#REF!</definedName>
    <definedName name="L_KEYWORD_ISSR_208009722_FIX_ASS_INV">#REF!</definedName>
    <definedName name="L_KEYWORD_ISSR_208009722_GCI_INFL">#REF!</definedName>
    <definedName name="L_KEYWORD_ISSR_208009722_GOODWILL_AMORT">#REF!</definedName>
    <definedName name="L_KEYWORD_ISSR_208009722_GR_FIX_ASS">#REF!</definedName>
    <definedName name="L_KEYWORD_ISSR_208009722_GR_INTANG">#REF!</definedName>
    <definedName name="L_KEYWORD_ISSR_208009722_INT_EXP_IND">#REF!</definedName>
    <definedName name="L_KEYWORD_ISSR_208009722_INT_INC_IND">#REF!</definedName>
    <definedName name="L_KEYWORD_ISSR_208009722_INV_SECUR">#REF!</definedName>
    <definedName name="L_KEYWORD_ISSR_208009722_Issuer_Name">#REF!</definedName>
    <definedName name="L_KEYWORD_ISSR_208009722_LEASE_DEEM_DEPR">#REF!</definedName>
    <definedName name="L_KEYWORD_ISSR_208009722_LEASE_DEEM_INT">#REF!</definedName>
    <definedName name="L_KEYWORD_ISSR_208009722_LEASE_PAY">#REF!</definedName>
    <definedName name="L_KEYWORD_ISSR_208009722_LT_DEBT">#REF!</definedName>
    <definedName name="L_KEYWORD_ISSR_208009722_MA_PROB">#REF!</definedName>
    <definedName name="L_KEYWORD_ISSR_208009722_MINORITIES">#REF!</definedName>
    <definedName name="L_KEYWORD_ISSR_208009722_MV_ASSOCIATES">#REF!</definedName>
    <definedName name="L_KEYWORD_ISSR_208009722_NET_DEBT">#REF!</definedName>
    <definedName name="L_KEYWORD_ISSR_208009722_NET_DEBT_ADJ">#REF!</definedName>
    <definedName name="L_KEYWORD_ISSR_208009722_NET_FIX_ASS">#REF!</definedName>
    <definedName name="L_KEYWORD_ISSR_208009722_NET_INT_CH">#REF!</definedName>
    <definedName name="L_KEYWORD_ISSR_208009722_NET_INT_EXP">#REF!</definedName>
    <definedName name="L_KEYWORD_ISSR_208009722_NET_INTANG">#REF!</definedName>
    <definedName name="L_KEYWORD_ISSR_208009722_NONPPE_CAPEX">#REF!</definedName>
    <definedName name="L_KEYWORD_ISSR_208009722_OP_AUSTRA">#REF!</definedName>
    <definedName name="L_KEYWORD_ISSR_208009722_OP_AUSTRIA">#REF!</definedName>
    <definedName name="L_KEYWORD_ISSR_208009722_OP_COMPANY0377">#REF!</definedName>
    <definedName name="L_KEYWORD_ISSR_208009722_OP_BRAZIL">#REF!</definedName>
    <definedName name="L_KEYWORD_ISSR_208009722_OP_CANADA">#REF!</definedName>
    <definedName name="L_KEYWORD_ISSR_208009722_OP_CEE">#REF!</definedName>
    <definedName name="L_KEYWORD_ISSR_208009722_OP_CHINA">#REF!</definedName>
    <definedName name="L_KEYWORD_ISSR_208009722_OP_CONS">#REF!</definedName>
    <definedName name="L_KEYWORD_ISSR_208009722_OP_COST">#REF!</definedName>
    <definedName name="L_KEYWORD_ISSR_208009722_OP_DEN">#REF!</definedName>
    <definedName name="L_KEYWORD_ISSR_208009722_OP_EU_EX_UK">#REF!</definedName>
    <definedName name="L_KEYWORD_ISSR_208009722_OP_FIN">#REF!</definedName>
    <definedName name="L_KEYWORD_ISSR_208009722_OP_FRA">#REF!</definedName>
    <definedName name="L_KEYWORD_ISSR_208009722_OP_GER">#REF!</definedName>
    <definedName name="L_KEYWORD_ISSR_208009722_OP_GOV">#REF!</definedName>
    <definedName name="L_KEYWORD_ISSR_208009722_OP_GRE">#REF!</definedName>
    <definedName name="L_KEYWORD_ISSR_208009722_OP_ICE">#REF!</definedName>
    <definedName name="L_KEYWORD_ISSR_208009722_OP_IND">#REF!</definedName>
    <definedName name="L_KEYWORD_ISSR_208009722_OP_INDIA">#REF!</definedName>
    <definedName name="L_KEYWORD_ISSR_208009722_OP_IRE">#REF!</definedName>
    <definedName name="L_KEYWORD_ISSR_208009722_OP_ITA">#REF!</definedName>
    <definedName name="L_KEYWORD_ISSR_208009722_OP_JAPAN">#REF!</definedName>
    <definedName name="L_KEYWORD_ISSR_208009722_OP_ME">#REF!</definedName>
    <definedName name="L_KEYWORD_ISSR_208009722_OP_NETH">#REF!</definedName>
    <definedName name="L_KEYWORD_ISSR_208009722_OP_NOR">#REF!</definedName>
    <definedName name="L_KEYWORD_ISSR_208009722_OP_NZ">#REF!</definedName>
    <definedName name="L_KEYWORD_ISSR_208009722_OP_OTH_AEJ">#REF!</definedName>
    <definedName name="L_KEYWORD_ISSR_208009722_OP_OTH_AM">#REF!</definedName>
    <definedName name="L_KEYWORD_ISSR_208009722_OP_OTH_EMEA">#REF!</definedName>
    <definedName name="L_KEYWORD_ISSR_208009722_OP_OTHER">#REF!</definedName>
    <definedName name="L_KEYWORD_ISSR_208009722_OP_POR">#REF!</definedName>
    <definedName name="L_KEYWORD_ISSR_208009722_OP_RUSSIA">#REF!</definedName>
    <definedName name="L_KEYWORD_ISSR_208009722_OP_SK">#REF!</definedName>
    <definedName name="L_KEYWORD_ISSR_208009722_OP_SPA">#REF!</definedName>
    <definedName name="L_KEYWORD_ISSR_208009722_OP_SWE">#REF!</definedName>
    <definedName name="L_KEYWORD_ISSR_208009722_OP_SWIT">#REF!</definedName>
    <definedName name="L_KEYWORD_ISSR_208009722_OP_TOT_AM">#REF!</definedName>
    <definedName name="L_KEYWORD_ISSR_208009722_OP_TOT_ASIA">#REF!</definedName>
    <definedName name="L_KEYWORD_ISSR_208009722_OP_TOT_EMEA">#REF!</definedName>
    <definedName name="L_KEYWORD_ISSR_208009722_OP_UK">#REF!</definedName>
    <definedName name="L_KEYWORD_ISSR_208009722_OP_US">#REF!</definedName>
    <definedName name="L_KEYWORD_ISSR_208009722_ORD_SH_FUND">#REF!</definedName>
    <definedName name="L_KEYWORD_ISSR_208009722_ORG_REV_GRTH">#REF!</definedName>
    <definedName name="L_KEYWORD_ISSR_208009722_OTH_COST_INC">#REF!</definedName>
    <definedName name="L_KEYWORD_ISSR_208009722_OTH_CUR_ASS">#REF!</definedName>
    <definedName name="L_KEYWORD_ISSR_208009722_OTH_CUR_LIABS">#REF!</definedName>
    <definedName name="L_KEYWORD_ISSR_208009722_OTH_DACF_ADJ">#REF!</definedName>
    <definedName name="L_KEYWORD_ISSR_208009722_OTH_FIN_CF">#REF!</definedName>
    <definedName name="L_KEYWORD_ISSR_208009722_OTH_GCI_ADJ">#REF!</definedName>
    <definedName name="L_KEYWORD_ISSR_208009722_OTH_INV_CF">#REF!</definedName>
    <definedName name="L_KEYWORD_ISSR_208009722_OTH_LT_ASS">#REF!</definedName>
    <definedName name="L_KEYWORD_ISSR_208009722_OTH_LT_CRED_GQ">#REF!</definedName>
    <definedName name="L_KEYWORD_ISSR_208009722_OTH_NONCASH_ADJ">#REF!</definedName>
    <definedName name="L_KEYWORD_ISSR_208009722_OTH_OP_CF">#REF!</definedName>
    <definedName name="L_KEYWORD_ISSR_208009722_OTH_OP_INC_EXP">#REF!</definedName>
    <definedName name="L_KEYWORD_ISSR_208009722_PERIOD_MILESTONE">#REF!</definedName>
    <definedName name="L_KEYWORD_ISSR_208009722_PL_SALE_ASSETS">#REF!</definedName>
    <definedName name="L_KEYWORD_ISSR_208009722_PREF_SH">#REF!</definedName>
    <definedName name="L_KEYWORD_ISSR_208009722_PROFIT_ON_DISP">#REF!</definedName>
    <definedName name="L_KEYWORD_ISSR_208009722_PT_PROF">#REF!</definedName>
    <definedName name="L_KEYWORD_ISSR_208009722_RD_EXP">#REF!</definedName>
    <definedName name="L_KEYWORD_ISSR_208009722_REV_FIN_SEGMENT">#REF!</definedName>
    <definedName name="L_KEYWORD_ISSR_208009722_SALES">#REF!</definedName>
    <definedName name="L_KEYWORD_ISSR_208009722_SALES_AUSTRA">#REF!</definedName>
    <definedName name="L_KEYWORD_ISSR_208009722_SALES_AUSTRIA">#REF!</definedName>
    <definedName name="L_KEYWORD_ISSR_208009722_SALES_COMPANY0377">#REF!</definedName>
    <definedName name="L_KEYWORD_ISSR_208009722_SALES_BRAZIL">#REF!</definedName>
    <definedName name="L_KEYWORD_ISSR_208009722_SALES_CANADA">#REF!</definedName>
    <definedName name="L_KEYWORD_ISSR_208009722_SALES_CEE">#REF!</definedName>
    <definedName name="L_KEYWORD_ISSR_208009722_SALES_CHINA">#REF!</definedName>
    <definedName name="L_KEYWORD_ISSR_208009722_SALES_CONS">#REF!</definedName>
    <definedName name="L_KEYWORD_ISSR_208009722_SALES_DEN">#REF!</definedName>
    <definedName name="L_KEYWORD_ISSR_208009722_SALES_EU_EX_UK">#REF!</definedName>
    <definedName name="L_KEYWORD_ISSR_208009722_SALES_FIN">#REF!</definedName>
    <definedName name="L_KEYWORD_ISSR_208009722_SALES_FINAN">#REF!</definedName>
    <definedName name="L_KEYWORD_ISSR_208009722_SALES_FRA">#REF!</definedName>
    <definedName name="L_KEYWORD_ISSR_208009722_SALES_GER">#REF!</definedName>
    <definedName name="L_KEYWORD_ISSR_208009722_SALES_GOV">#REF!</definedName>
    <definedName name="L_KEYWORD_ISSR_208009722_SALES_GRE">#REF!</definedName>
    <definedName name="L_KEYWORD_ISSR_208009722_SALES_ICE">#REF!</definedName>
    <definedName name="L_KEYWORD_ISSR_208009722_SALES_IND">#REF!</definedName>
    <definedName name="L_KEYWORD_ISSR_208009722_SALES_INDIA">#REF!</definedName>
    <definedName name="L_KEYWORD_ISSR_208009722_SALES_IRE">#REF!</definedName>
    <definedName name="L_KEYWORD_ISSR_208009722_SALES_ITA">#REF!</definedName>
    <definedName name="L_KEYWORD_ISSR_208009722_SALES_JAPAN">#REF!</definedName>
    <definedName name="L_KEYWORD_ISSR_208009722_SALES_ME">#REF!</definedName>
    <definedName name="L_KEYWORD_ISSR_208009722_SALES_NETH">#REF!</definedName>
    <definedName name="L_KEYWORD_ISSR_208009722_SALES_NOR">#REF!</definedName>
    <definedName name="L_KEYWORD_ISSR_208009722_SALES_NZ">#REF!</definedName>
    <definedName name="L_KEYWORD_ISSR_208009722_SALES_OTH_AEJ">#REF!</definedName>
    <definedName name="L_KEYWORD_ISSR_208009722_SALES_OTH_AM">#REF!</definedName>
    <definedName name="L_KEYWORD_ISSR_208009722_SALES_OTH_EMEA">#REF!</definedName>
    <definedName name="L_KEYWORD_ISSR_208009722_SALES_OTHER">#REF!</definedName>
    <definedName name="L_KEYWORD_ISSR_208009722_SALES_POR">#REF!</definedName>
    <definedName name="L_KEYWORD_ISSR_208009722_SALES_RUSSIA">#REF!</definedName>
    <definedName name="L_KEYWORD_ISSR_208009722_SALES_SK">#REF!</definedName>
    <definedName name="L_KEYWORD_ISSR_208009722_SALES_SMB">#REF!</definedName>
    <definedName name="L_KEYWORD_ISSR_208009722_SALES_SPA">#REF!</definedName>
    <definedName name="L_KEYWORD_ISSR_208009722_SALES_SWE">#REF!</definedName>
    <definedName name="L_KEYWORD_ISSR_208009722_SALES_SWIT">#REF!</definedName>
    <definedName name="L_KEYWORD_ISSR_208009722_SALES_TOT_AM">#REF!</definedName>
    <definedName name="L_KEYWORD_ISSR_208009722_SALES_TOT_ASIA">#REF!</definedName>
    <definedName name="L_KEYWORD_ISSR_208009722_SALES_TOT_EMEA">#REF!</definedName>
    <definedName name="L_KEYWORD_ISSR_208009722_SALES_UK">#REF!</definedName>
    <definedName name="L_KEYWORD_ISSR_208009722_SALES_US">#REF!</definedName>
    <definedName name="L_KEYWORD_ISSR_208009722_SEL_GL_AD">#REF!</definedName>
    <definedName name="L_KEYWORD_ISSR_208009722_SH_REPUR">#REF!</definedName>
    <definedName name="L_KEYWORD_ISSR_208009722_SHORT_T_DEBT">#REF!</definedName>
    <definedName name="L_KEYWORD_ISSR_208009722_SHORT_TERM_LIABS">#REF!</definedName>
    <definedName name="L_KEYWORD_ISSR_208009722_STOCKS">#REF!</definedName>
    <definedName name="L_KEYWORD_ISSR_208009722_TOT_ASSET">#REF!</definedName>
    <definedName name="L_KEYWORD_ISSR_208009722_TOT_CF">#REF!</definedName>
    <definedName name="L_KEYWORD_ISSR_208009722_TOT_LIAB">#REF!</definedName>
    <definedName name="L_KEYWORD_ISSR_208009722_TOT_LIAB_EQ">#REF!</definedName>
    <definedName name="L_KEYWORD_ISSR_208009722_TOT_LT_LIAB">#REF!</definedName>
    <definedName name="L_KEYWORD_ISSR_208009722_TOT_OPS_EXP">#REF!</definedName>
    <definedName name="L_KEYWORD_ISSR_208009722_TOT_OPS_EXP_DDA">#REF!</definedName>
    <definedName name="L_KEYWORD_ISSR_208009722_UNF_PENS">#REF!</definedName>
    <definedName name="L_KEYWORD_ISSR_208009722_UNF_PENS_LIAB_OTH">#REF!</definedName>
    <definedName name="L_KEYWORD_ISSR_208009722_UNF_PENS_OFF">#REF!</definedName>
    <definedName name="L_KEYWORD_ISSR_208009722_WORK_CAP">#REF!</definedName>
    <definedName name="L_KEYWORD_ISSR_208011556_ACC_AMORT">#REF!</definedName>
    <definedName name="L_KEYWORD_ISSR_208011556_ACC_DDA">#REF!</definedName>
    <definedName name="L_KEYWORD_ISSR_208011556_ACC_END_DATE">#REF!</definedName>
    <definedName name="L_KEYWORD_ISSR_208011556_ACC_PAY_GQ">#REF!</definedName>
    <definedName name="L_KEYWORD_ISSR_208011556_ACQ">#REF!</definedName>
    <definedName name="L_KEYWORD_ISSR_208011556_ADJ_UNF_PENS_GOOD">#REF!</definedName>
    <definedName name="L_KEYWORD_ISSR_208011556_ASSOC_JV_ADDBK">#REF!</definedName>
    <definedName name="L_KEYWORD_ISSR_208011556_ASSOCIATE">#REF!</definedName>
    <definedName name="L_KEYWORD_ISSR_208011556_ASSOCIATE_OP">#REF!</definedName>
    <definedName name="L_KEYWORD_ISSR_208011556_BAL_MINO_INT">#REF!</definedName>
    <definedName name="L_KEYWORD_ISSR_208011556_CAP_LEASES">#REF!</definedName>
    <definedName name="L_KEYWORD_ISSR_208011556_CAPEX">#REF!</definedName>
    <definedName name="L_KEYWORD_ISSR_208011556_CAPEX_EXPANSION">#REF!</definedName>
    <definedName name="L_KEYWORD_ISSR_208011556_CAPEX_MAINTENANCE">#REF!</definedName>
    <definedName name="L_KEYWORD_ISSR_208011556_CASH_EQ">#REF!</definedName>
    <definedName name="L_KEYWORD_ISSR_208011556_CASH_INT_EXP">#REF!</definedName>
    <definedName name="L_KEYWORD_ISSR_208011556_CASH_PCT_OS_US">#REF!</definedName>
    <definedName name="L_KEYWORD_ISSR_208011556_CASH_TAX_EXP">#REF!</definedName>
    <definedName name="L_KEYWORD_ISSR_208011556_CF_FIN">#REF!</definedName>
    <definedName name="L_KEYWORD_ISSR_208011556_CF_INC_MINORITY">#REF!</definedName>
    <definedName name="L_KEYWORD_ISSR_208011556_CF_INV">#REF!</definedName>
    <definedName name="L_KEYWORD_ISSR_208011556_CF_OPS">#REF!</definedName>
    <definedName name="L_KEYWORD_ISSR_208011556_CHG_LT_DEBT">#REF!</definedName>
    <definedName name="L_KEYWORD_ISSR_208011556_CO_BOR_MARGIN">#REF!</definedName>
    <definedName name="L_KEYWORD_ISSR_208011556_CONTRIB_MARGIN_RATIO">#REF!</definedName>
    <definedName name="L_KEYWORD_ISSR_208011556_COST_GD_SD">#REF!</definedName>
    <definedName name="L_KEYWORD_ISSR_208011556_CUR_ASS">#REF!</definedName>
    <definedName name="L_KEYWORD_ISSR_208011556_CURRENCY_ISO">#REF!</definedName>
    <definedName name="L_KEYWORD_ISSR_208011556_DEBTORS">#REF!</definedName>
    <definedName name="L_KEYWORD_ISSR_208011556_DEF_INC_TAX">#REF!</definedName>
    <definedName name="L_KEYWORD_ISSR_208011556_DEPR_AMORT">#REF!</definedName>
    <definedName name="L_KEYWORD_ISSR_208011556_DEPREC">#REF!</definedName>
    <definedName name="L_KEYWORD_ISSR_208011556_DIV_PAID">#REF!</definedName>
    <definedName name="L_KEYWORD_ISSR_208011556_DIVDS_ASSOC_JV">#REF!</definedName>
    <definedName name="L_KEYWORD_ISSR_208011556_DIVDS_PD_MINORITIES">#REF!</definedName>
    <definedName name="L_KEYWORD_ISSR_208011556_DIVEST">#REF!</definedName>
    <definedName name="L_KEYWORD_ISSR_208011556_EBIT">#REF!</definedName>
    <definedName name="L_KEYWORD_ISSR_208011556_EBIT_FIN_SEGMENT">#REF!</definedName>
    <definedName name="L_KEYWORD_ISSR_208011556_EBITDA_CALC">#REF!</definedName>
    <definedName name="L_KEYWORD_ISSR_208011556_EMPLOYEES">#REF!</definedName>
    <definedName name="L_KEYWORD_ISSR_208011556_EQ">#REF!</definedName>
    <definedName name="L_KEYWORD_ISSR_208011556_ESO_PRE_TAX">#REF!</definedName>
    <definedName name="L_KEYWORD_ISSR_208011556_EXP_ALUMINIUM">#REF!</definedName>
    <definedName name="L_KEYWORD_ISSR_208011556_EXP_COPPER">#REF!</definedName>
    <definedName name="L_KEYWORD_ISSR_208011556_EXP_GLASS">#REF!</definedName>
    <definedName name="L_KEYWORD_ISSR_208011556_EXP_GOLD">#REF!</definedName>
    <definedName name="L_KEYWORD_ISSR_208011556_EXP_NICKEL">#REF!</definedName>
    <definedName name="L_KEYWORD_ISSR_208011556_EXP_OIL_DERIV_NGLS_PLASTICS">#REF!</definedName>
    <definedName name="L_KEYWORD_ISSR_208011556_EXP_OIL_PETRO_FUEL">#REF!</definedName>
    <definedName name="L_KEYWORD_ISSR_208011556_EXP_OTH_COMMODITY">#REF!</definedName>
    <definedName name="L_KEYWORD_ISSR_208011556_EXP_OTH_COST">#REF!</definedName>
    <definedName name="L_KEYWORD_ISSR_208011556_EXP_PALLADIUM">#REF!</definedName>
    <definedName name="L_KEYWORD_ISSR_208011556_EXP_PAPER_PULP">#REF!</definedName>
    <definedName name="L_KEYWORD_ISSR_208011556_EXP_PLATINUM">#REF!</definedName>
    <definedName name="L_KEYWORD_ISSR_208011556_EXP_SILVER">#REF!</definedName>
    <definedName name="L_KEYWORD_ISSR_208011556_EXP_WATER">#REF!</definedName>
    <definedName name="L_KEYWORD_ISSR_208011556_EXP_Company3050">#REF!</definedName>
    <definedName name="L_KEYWORD_ISSR_208011556_FIX_ASS_INV">#REF!</definedName>
    <definedName name="L_KEYWORD_ISSR_208011556_GCI_INFL">#REF!</definedName>
    <definedName name="L_KEYWORD_ISSR_208011556_GOODWILL_AMORT">#REF!</definedName>
    <definedName name="L_KEYWORD_ISSR_208011556_GR_FIX_ASS">#REF!</definedName>
    <definedName name="L_KEYWORD_ISSR_208011556_GR_INTANG">#REF!</definedName>
    <definedName name="L_KEYWORD_ISSR_208011556_INT_EXP_IND">#REF!</definedName>
    <definedName name="L_KEYWORD_ISSR_208011556_INT_INC_IND">#REF!</definedName>
    <definedName name="L_KEYWORD_ISSR_208011556_INV_SECUR">#REF!</definedName>
    <definedName name="L_KEYWORD_ISSR_208011556_Issuer_Name">#REF!</definedName>
    <definedName name="L_KEYWORD_ISSR_208011556_LEASE_DEEM_DEPR">#REF!</definedName>
    <definedName name="L_KEYWORD_ISSR_208011556_LEASE_DEEM_INT">#REF!</definedName>
    <definedName name="L_KEYWORD_ISSR_208011556_LEASE_PAY">#REF!</definedName>
    <definedName name="L_KEYWORD_ISSR_208011556_LT_DEBT">#REF!</definedName>
    <definedName name="L_KEYWORD_ISSR_208011556_MA_PROB">#REF!</definedName>
    <definedName name="L_KEYWORD_ISSR_208011556_MINORITIES">#REF!</definedName>
    <definedName name="L_KEYWORD_ISSR_208011556_MV_ASSOCIATES">#REF!</definedName>
    <definedName name="L_KEYWORD_ISSR_208011556_NET_DEBT">#REF!</definedName>
    <definedName name="L_KEYWORD_ISSR_208011556_NET_DEBT_ADJ">#REF!</definedName>
    <definedName name="L_KEYWORD_ISSR_208011556_NET_FIX_ASS">#REF!</definedName>
    <definedName name="L_KEYWORD_ISSR_208011556_NET_INT_CH">#REF!</definedName>
    <definedName name="L_KEYWORD_ISSR_208011556_NET_INT_EXP">#REF!</definedName>
    <definedName name="L_KEYWORD_ISSR_208011556_NET_INTANG">#REF!</definedName>
    <definedName name="L_KEYWORD_ISSR_208011556_NONPPE_CAPEX">#REF!</definedName>
    <definedName name="L_KEYWORD_ISSR_208011556_OP_COST">#REF!</definedName>
    <definedName name="L_KEYWORD_ISSR_208011556_ORD_SH_FUND">#REF!</definedName>
    <definedName name="L_KEYWORD_ISSR_208011556_OTH_COST_INC">#REF!</definedName>
    <definedName name="L_KEYWORD_ISSR_208011556_OTH_CUR_ASS">#REF!</definedName>
    <definedName name="L_KEYWORD_ISSR_208011556_OTH_CUR_LIABS">#REF!</definedName>
    <definedName name="L_KEYWORD_ISSR_208011556_OTH_DACF_ADJ">#REF!</definedName>
    <definedName name="L_KEYWORD_ISSR_208011556_OTH_FIN_CF">#REF!</definedName>
    <definedName name="L_KEYWORD_ISSR_208011556_OTH_GCI_ADJ">#REF!</definedName>
    <definedName name="L_KEYWORD_ISSR_208011556_OTH_INV_CF">#REF!</definedName>
    <definedName name="L_KEYWORD_ISSR_208011556_OTH_LT_ASS">#REF!</definedName>
    <definedName name="L_KEYWORD_ISSR_208011556_OTH_LT_CRED_GQ">#REF!</definedName>
    <definedName name="L_KEYWORD_ISSR_208011556_OTH_NONCASH_ADJ">#REF!</definedName>
    <definedName name="L_KEYWORD_ISSR_208011556_OTH_OP_CF">#REF!</definedName>
    <definedName name="L_KEYWORD_ISSR_208011556_OTH_OP_INC_EXP">#REF!</definedName>
    <definedName name="L_KEYWORD_ISSR_208011556_PERIOD_MILESTONE">#REF!</definedName>
    <definedName name="L_KEYWORD_ISSR_208011556_PL_SALE_ASSETS">#REF!</definedName>
    <definedName name="L_KEYWORD_ISSR_208011556_PREF_SH">#REF!</definedName>
    <definedName name="L_KEYWORD_ISSR_208011556_PROFIT_ON_DISP">#REF!</definedName>
    <definedName name="L_KEYWORD_ISSR_208011556_PT_PROF">#REF!</definedName>
    <definedName name="L_KEYWORD_ISSR_208011556_RD_EXP">#REF!</definedName>
    <definedName name="L_KEYWORD_ISSR_208011556_REV_FIN_SEGMENT">#REF!</definedName>
    <definedName name="L_KEYWORD_ISSR_208011556_SALES">#REF!</definedName>
    <definedName name="L_KEYWORD_ISSR_208011556_SALES_ARGENTINA">#REF!</definedName>
    <definedName name="L_KEYWORD_ISSR_208011556_SALES_BRAZIL">#REF!</definedName>
    <definedName name="L_KEYWORD_ISSR_208011556_SALES_CANADA">#REF!</definedName>
    <definedName name="L_KEYWORD_ISSR_208011556_SALES_CEE">#REF!</definedName>
    <definedName name="L_KEYWORD_ISSR_208011556_SALES_CHILE">#REF!</definedName>
    <definedName name="L_KEYWORD_ISSR_208011556_SALES_CHINA">#REF!</definedName>
    <definedName name="L_KEYWORD_ISSR_208011556_SALES_COLOMBIA">#REF!</definedName>
    <definedName name="L_KEYWORD_ISSR_208011556_SALES_CONS">#REF!</definedName>
    <definedName name="L_KEYWORD_ISSR_208011556_SALES_EU_EX_UK">#REF!</definedName>
    <definedName name="L_KEYWORD_ISSR_208011556_SALES_FINAN">#REF!</definedName>
    <definedName name="L_KEYWORD_ISSR_208011556_SALES_FX_ARS">#REF!</definedName>
    <definedName name="L_KEYWORD_ISSR_208011556_SALES_FX_BRL">#REF!</definedName>
    <definedName name="L_KEYWORD_ISSR_208011556_SALES_FX_CAD">#REF!</definedName>
    <definedName name="L_KEYWORD_ISSR_208011556_SALES_FX_CLP">#REF!</definedName>
    <definedName name="L_KEYWORD_ISSR_208011556_SALES_FX_CNY">#REF!</definedName>
    <definedName name="L_KEYWORD_ISSR_208011556_SALES_FX_COP">#REF!</definedName>
    <definedName name="L_KEYWORD_ISSR_208011556_SALES_FX_EUR">#REF!</definedName>
    <definedName name="L_KEYWORD_ISSR_208011556_SALES_FX_GPB">#REF!</definedName>
    <definedName name="L_KEYWORD_ISSR_208011556_SALES_FX_INR">#REF!</definedName>
    <definedName name="L_KEYWORD_ISSR_208011556_SALES_FX_MXN">#REF!</definedName>
    <definedName name="L_KEYWORD_ISSR_208011556_SALES_FX_OTH">#REF!</definedName>
    <definedName name="L_KEYWORD_ISSR_208011556_SALES_FX_RUB">#REF!</definedName>
    <definedName name="L_KEYWORD_ISSR_208011556_SALES_FX_USD">#REF!</definedName>
    <definedName name="L_KEYWORD_ISSR_208011556_SALES_FX_VEF">#REF!</definedName>
    <definedName name="L_KEYWORD_ISSR_208011556_SALES_FX_YEN">#REF!</definedName>
    <definedName name="L_KEYWORD_ISSR_208011556_SALES_GOV">#REF!</definedName>
    <definedName name="L_KEYWORD_ISSR_208011556_SALES_IND">#REF!</definedName>
    <definedName name="L_KEYWORD_ISSR_208011556_SALES_INDIA">#REF!</definedName>
    <definedName name="L_KEYWORD_ISSR_208011556_SALES_JAPAN">#REF!</definedName>
    <definedName name="L_KEYWORD_ISSR_208011556_SALES_ME">#REF!</definedName>
    <definedName name="L_KEYWORD_ISSR_208011556_SALES_MEXICO">#REF!</definedName>
    <definedName name="L_KEYWORD_ISSR_208011556_SALES_OTH_AEJ">#REF!</definedName>
    <definedName name="L_KEYWORD_ISSR_208011556_SALES_OTH_AM">#REF!</definedName>
    <definedName name="L_KEYWORD_ISSR_208011556_SALES_OTH_EMEA">#REF!</definedName>
    <definedName name="L_KEYWORD_ISSR_208011556_SALES_OTHER">#REF!</definedName>
    <definedName name="L_KEYWORD_ISSR_208011556_SALES_RUSSIA">#REF!</definedName>
    <definedName name="L_KEYWORD_ISSR_208011556_SALES_SMB">#REF!</definedName>
    <definedName name="L_KEYWORD_ISSR_208011556_SALES_TOT_AFRICA">#REF!</definedName>
    <definedName name="L_KEYWORD_ISSR_208011556_SALES_TOT_AM">#REF!</definedName>
    <definedName name="L_KEYWORD_ISSR_208011556_SALES_TOT_ASIA">#REF!</definedName>
    <definedName name="L_KEYWORD_ISSR_208011556_SALES_TOT_EMEA">#REF!</definedName>
    <definedName name="L_KEYWORD_ISSR_208011556_SALES_UK">#REF!</definedName>
    <definedName name="L_KEYWORD_ISSR_208011556_SALES_US">#REF!</definedName>
    <definedName name="L_KEYWORD_ISSR_208011556_SALES_VENEZUELA">#REF!</definedName>
    <definedName name="L_KEYWORD_ISSR_208011556_SEL_GL_AD">#REF!</definedName>
    <definedName name="L_KEYWORD_ISSR_208011556_SH_REPUR">#REF!</definedName>
    <definedName name="L_KEYWORD_ISSR_208011556_SHORT_T_DEBT">#REF!</definedName>
    <definedName name="L_KEYWORD_ISSR_208011556_SHORT_TERM_LIABS">#REF!</definedName>
    <definedName name="L_KEYWORD_ISSR_208011556_STOCKS">#REF!</definedName>
    <definedName name="L_KEYWORD_ISSR_208011556_TOT_ASSET">#REF!</definedName>
    <definedName name="L_KEYWORD_ISSR_208011556_TOT_CF">#REF!</definedName>
    <definedName name="L_KEYWORD_ISSR_208011556_TOT_LIAB">#REF!</definedName>
    <definedName name="L_KEYWORD_ISSR_208011556_TOT_LIAB_EQ">#REF!</definedName>
    <definedName name="L_KEYWORD_ISSR_208011556_TOT_LT_LIAB">#REF!</definedName>
    <definedName name="L_KEYWORD_ISSR_208011556_TOT_OPS_EXP">#REF!</definedName>
    <definedName name="L_KEYWORD_ISSR_208011556_TOT_OPS_EXP_DDA">#REF!</definedName>
    <definedName name="L_KEYWORD_ISSR_208011556_UNF_PENS">#REF!</definedName>
    <definedName name="L_KEYWORD_ISSR_208011556_UNF_PENS_LIAB_OTH">#REF!</definedName>
    <definedName name="L_KEYWORD_ISSR_208011556_UNF_PENS_OFF">#REF!</definedName>
    <definedName name="L_KEYWORD_ISSR_208011556_WORK_CAP">#REF!</definedName>
    <definedName name="L_LIVEDATA_EQTY_200001646">#REF!</definedName>
    <definedName name="L_LIVEDATA_EQTY_200002831">#REF!</definedName>
    <definedName name="L_LIVEDATA_EQTY_200004419">#REF!</definedName>
    <definedName name="L_LIVEDATA_EQTY_200012762">#REF!</definedName>
    <definedName name="L_LIVEDATA_EQTY_200014750">#REF!</definedName>
    <definedName name="L_LIVEDATA_ISSR_208000603">#REF!</definedName>
    <definedName name="L_LIVEDATA_ISSR_208000976">#REF!</definedName>
    <definedName name="L_LIVEDATA_ISSR_208001258">#REF!</definedName>
    <definedName name="L_LIVEDATA_ISSR_208009722">#REF!</definedName>
    <definedName name="L_LIVEDATA_ISSR_208011556">#REF!</definedName>
    <definedName name="L_PERIOD_2002">#REF!</definedName>
    <definedName name="L_PERIOD_2003">#REF!</definedName>
    <definedName name="L_PERIOD_2003_Q1">#REF!</definedName>
    <definedName name="L_PERIOD_2003_Q2">#REF!</definedName>
    <definedName name="L_PERIOD_2003_Q3">#REF!</definedName>
    <definedName name="L_PERIOD_2003_Q4">#REF!</definedName>
    <definedName name="L_PERIOD_2004">#REF!</definedName>
    <definedName name="L_PERIOD_2004_Q1">#REF!</definedName>
    <definedName name="L_PERIOD_2004_Q2">#REF!</definedName>
    <definedName name="L_PERIOD_2004_Q3">#REF!</definedName>
    <definedName name="L_PERIOD_2004_Q4">#REF!</definedName>
    <definedName name="L_PERIOD_2005">#REF!</definedName>
    <definedName name="L_PERIOD_2005_Q1">#REF!</definedName>
    <definedName name="L_PERIOD_2005_Q2">#REF!</definedName>
    <definedName name="L_PERIOD_2005_Q3">#REF!</definedName>
    <definedName name="L_PERIOD_2005_Q4">#REF!</definedName>
    <definedName name="L_PERIOD_2006_Q1">#REF!</definedName>
    <definedName name="L_PERIOD_2006_Q2">#REF!</definedName>
    <definedName name="L_PERIOD_2006_Q3">#REF!</definedName>
    <definedName name="L_PERIOD_2006_Q4">#REF!</definedName>
    <definedName name="L_SECTION_EQTY_200001646_1314">#REF!</definedName>
    <definedName name="L_SECTION_EQTY_200001646_1319">#REF!</definedName>
    <definedName name="L_SECTION_EQTY_200001646_131E">#REF!</definedName>
    <definedName name="L_SECTION_EQTY_200001646_131O">#REF!</definedName>
    <definedName name="L_SECTION_EQTY_200001646_131P">#REF!</definedName>
    <definedName name="L_SECTION_EQTY_200001646_13A">#REF!</definedName>
    <definedName name="L_SECTION_EQTY_200001646_13K">#REF!</definedName>
    <definedName name="L_SECTION_EQTY_200001646_13U">#REF!</definedName>
    <definedName name="L_SECTION_EQTY_200001646_13V">#REF!</definedName>
    <definedName name="L_SECTION_EQTY_200001646_13W">#REF!</definedName>
    <definedName name="L_SECTION_EQTY_200001646_Reference_Data">#REF!</definedName>
    <definedName name="L_SECTION_EQTY_200002831_1314">#REF!</definedName>
    <definedName name="L_SECTION_EQTY_200002831_1319">#REF!</definedName>
    <definedName name="L_SECTION_EQTY_200002831_131E">#REF!</definedName>
    <definedName name="L_SECTION_EQTY_200002831_131O">#REF!</definedName>
    <definedName name="L_SECTION_EQTY_200002831_13A">#REF!</definedName>
    <definedName name="L_SECTION_EQTY_200002831_13K">#REF!</definedName>
    <definedName name="L_SECTION_EQTY_200002831_13U">#REF!</definedName>
    <definedName name="L_SECTION_EQTY_200002831_13V">#REF!</definedName>
    <definedName name="L_SECTION_EQTY_200002831_13W">#REF!</definedName>
    <definedName name="L_SECTION_EQTY_200002831_Reference_Data">#REF!</definedName>
    <definedName name="L_SECTION_EQTY_200004419_1314">#REF!</definedName>
    <definedName name="L_SECTION_EQTY_200004419_1319">#REF!</definedName>
    <definedName name="L_SECTION_EQTY_200004419_131E">#REF!</definedName>
    <definedName name="L_SECTION_EQTY_200004419_131O">#REF!</definedName>
    <definedName name="L_SECTION_EQTY_200004419_13A">#REF!</definedName>
    <definedName name="L_SECTION_EQTY_200004419_13K">#REF!</definedName>
    <definedName name="L_SECTION_EQTY_200004419_13U">#REF!</definedName>
    <definedName name="L_SECTION_EQTY_200004419_13V">#REF!</definedName>
    <definedName name="L_SECTION_EQTY_200004419_13W">#REF!</definedName>
    <definedName name="L_SECTION_EQTY_200004419_Reference_Data">#REF!</definedName>
    <definedName name="L_SECTION_EQTY_200012762_1314">#REF!</definedName>
    <definedName name="L_SECTION_EQTY_200012762_1319">#REF!</definedName>
    <definedName name="L_SECTION_EQTY_200012762_131E">#REF!</definedName>
    <definedName name="L_SECTION_EQTY_200012762_131O">#REF!</definedName>
    <definedName name="L_SECTION_EQTY_200012762_13A">#REF!</definedName>
    <definedName name="L_SECTION_EQTY_200012762_13K">#REF!</definedName>
    <definedName name="L_SECTION_EQTY_200012762_13U">#REF!</definedName>
    <definedName name="L_SECTION_EQTY_200012762_13V">#REF!</definedName>
    <definedName name="L_SECTION_EQTY_200012762_13W">#REF!</definedName>
    <definedName name="L_SECTION_EQTY_200012762_Reference_Data">#REF!</definedName>
    <definedName name="L_SECTION_EQTY_200014750_1314">#REF!</definedName>
    <definedName name="L_SECTION_EQTY_200014750_1319">#REF!</definedName>
    <definedName name="L_SECTION_EQTY_200014750_131E">#REF!</definedName>
    <definedName name="L_SECTION_EQTY_200014750_131O">#REF!</definedName>
    <definedName name="L_SECTION_EQTY_200014750_13A">#REF!</definedName>
    <definedName name="L_SECTION_EQTY_200014750_13K">#REF!</definedName>
    <definedName name="L_SECTION_EQTY_200014750_13U">#REF!</definedName>
    <definedName name="L_SECTION_EQTY_200014750_13V">#REF!</definedName>
    <definedName name="L_SECTION_EQTY_200014750_13W">#REF!</definedName>
    <definedName name="L_SECTION_EQTY_200014750_Reference_Data">#REF!</definedName>
    <definedName name="L_SECTION_ISSR_208000603_1314">#REF!</definedName>
    <definedName name="L_SECTION_ISSR_208000603_13168">#REF!</definedName>
    <definedName name="L_SECTION_ISSR_208000603_1319">#REF!</definedName>
    <definedName name="L_SECTION_ISSR_208000603_131E">#REF!</definedName>
    <definedName name="L_SECTION_ISSR_208000603_131J">#REF!</definedName>
    <definedName name="L_SECTION_ISSR_208000603_131O">#REF!</definedName>
    <definedName name="L_SECTION_ISSR_208000603_131P">#REF!</definedName>
    <definedName name="L_SECTION_ISSR_208000603_13A">#REF!</definedName>
    <definedName name="L_SECTION_ISSR_208000603_13U">#REF!</definedName>
    <definedName name="L_SECTION_ISSR_208000603_13V">#REF!</definedName>
    <definedName name="L_SECTION_ISSR_208000603_Reference_Data">#REF!</definedName>
    <definedName name="L_SECTION_ISSR_208000976_1314">#REF!</definedName>
    <definedName name="L_SECTION_ISSR_208000976_13168">#REF!</definedName>
    <definedName name="L_SECTION_ISSR_208000976_1316T">#REF!</definedName>
    <definedName name="L_SECTION_ISSR_208000976_1316U">#REF!</definedName>
    <definedName name="L_SECTION_ISSR_208000976_1319">#REF!</definedName>
    <definedName name="L_SECTION_ISSR_208000976_131E">#REF!</definedName>
    <definedName name="L_SECTION_ISSR_208000976_131J">#REF!</definedName>
    <definedName name="L_SECTION_ISSR_208000976_131O">#REF!</definedName>
    <definedName name="L_SECTION_ISSR_208000976_13A">#REF!</definedName>
    <definedName name="L_SECTION_ISSR_208000976_13U">#REF!</definedName>
    <definedName name="L_SECTION_ISSR_208000976_13V">#REF!</definedName>
    <definedName name="L_SECTION_ISSR_208000976_Reference_Data">#REF!</definedName>
    <definedName name="L_SECTION_ISSR_208001258_1314">#REF!</definedName>
    <definedName name="L_SECTION_ISSR_208001258_13168">#REF!</definedName>
    <definedName name="L_SECTION_ISSR_208001258_1316T">#REF!</definedName>
    <definedName name="L_SECTION_ISSR_208001258_1316U">#REF!</definedName>
    <definedName name="L_SECTION_ISSR_208001258_1319">#REF!</definedName>
    <definedName name="L_SECTION_ISSR_208001258_131E">#REF!</definedName>
    <definedName name="L_SECTION_ISSR_208001258_131J">#REF!</definedName>
    <definedName name="L_SECTION_ISSR_208001258_131O">#REF!</definedName>
    <definedName name="L_SECTION_ISSR_208001258_13A">#REF!</definedName>
    <definedName name="L_SECTION_ISSR_208001258_13U">#REF!</definedName>
    <definedName name="L_SECTION_ISSR_208001258_13V">#REF!</definedName>
    <definedName name="L_SECTION_ISSR_208001258_Reference_Data">#REF!</definedName>
    <definedName name="L_SECTION_ISSR_208009722_1314">#REF!</definedName>
    <definedName name="L_SECTION_ISSR_208009722_13168">#REF!</definedName>
    <definedName name="L_SECTION_ISSR_208009722_1319">#REF!</definedName>
    <definedName name="L_SECTION_ISSR_208009722_131E">#REF!</definedName>
    <definedName name="L_SECTION_ISSR_208009722_131J">#REF!</definedName>
    <definedName name="L_SECTION_ISSR_208009722_131O">#REF!</definedName>
    <definedName name="L_SECTION_ISSR_208009722_13A">#REF!</definedName>
    <definedName name="L_SECTION_ISSR_208009722_13U">#REF!</definedName>
    <definedName name="L_SECTION_ISSR_208009722_13V">#REF!</definedName>
    <definedName name="L_SECTION_ISSR_208009722_Reference_Data">#REF!</definedName>
    <definedName name="L_SECTION_ISSR_208011556_1314">#REF!</definedName>
    <definedName name="L_SECTION_ISSR_208011556_13168">#REF!</definedName>
    <definedName name="L_SECTION_ISSR_208011556_1316T">#REF!</definedName>
    <definedName name="L_SECTION_ISSR_208011556_1316U">#REF!</definedName>
    <definedName name="L_SECTION_ISSR_208011556_1319">#REF!</definedName>
    <definedName name="L_SECTION_ISSR_208011556_131E">#REF!</definedName>
    <definedName name="L_SECTION_ISSR_208011556_131J">#REF!</definedName>
    <definedName name="L_SECTION_ISSR_208011556_131O">#REF!</definedName>
    <definedName name="L_SECTION_ISSR_208011556_13A">#REF!</definedName>
    <definedName name="L_SECTION_ISSR_208011556_13U">#REF!</definedName>
    <definedName name="L_SECTION_ISSR_208011556_13V">#REF!</definedName>
    <definedName name="L_SECTION_ISSR_208011556_Reference_Data">#REF!</definedName>
    <definedName name="L_T_obligations_under_cap_leases">#REF!</definedName>
    <definedName name="LA_Add">#REF!</definedName>
    <definedName name="LA_Bank">#REF!</definedName>
    <definedName name="LA_Date">#REF!</definedName>
    <definedName name="LA_Sell">#REF!</definedName>
    <definedName name="Labor">#REF!</definedName>
    <definedName name="last">#REF!</definedName>
    <definedName name="last_earnings_release_date">#REF!</definedName>
    <definedName name="last_reported_qtr">#REF!</definedName>
    <definedName name="last_reported_year">#REF!</definedName>
    <definedName name="Last_Results">#REF!</definedName>
    <definedName name="Last_Results_Quarter">#REF!</definedName>
    <definedName name="Last_Results_Year">#REF!</definedName>
    <definedName name="LastListUpdate">0</definedName>
    <definedName name="lastq">#REF!</definedName>
    <definedName name="lastqy">#REF!</definedName>
    <definedName name="LastRefreshed">#REF!</definedName>
    <definedName name="LastSummaryQuarter">#REF!</definedName>
    <definedName name="Latin_American_Domestic_Revenues">#REF!</definedName>
    <definedName name="Latin_American_Non_Domestic_Revenues">#REF!</definedName>
    <definedName name="Latin_American_Total_Revenues">#REF!</definedName>
    <definedName name="LCCY_Find">#REF!</definedName>
    <definedName name="LCI_5YRGROWTH">#REF!</definedName>
    <definedName name="lease_disc">#REF!</definedName>
    <definedName name="lease_disc05">#REF!</definedName>
    <definedName name="lease_perc">#REF!</definedName>
    <definedName name="Lease_thereafter">#REF!</definedName>
    <definedName name="Lease_years">#REF!</definedName>
    <definedName name="Lease_yr_1">#REF!</definedName>
    <definedName name="Lease_yr_2">#REF!</definedName>
    <definedName name="Lease_yr_3">#REF!</definedName>
    <definedName name="Lease_yr_4">#REF!</definedName>
    <definedName name="Lease_yr_5">#REF!</definedName>
    <definedName name="leftcol">#REF!</definedName>
    <definedName name="Lehigh_Add">#REF!</definedName>
    <definedName name="Lehigh_Bank">#REF!</definedName>
    <definedName name="Lehigh_Date">#REF!</definedName>
    <definedName name="Lehigh_Sell">#REF!</definedName>
    <definedName name="Company1550">#REF!</definedName>
    <definedName name="Libor_2002">#REF!</definedName>
    <definedName name="Libor_2003">#REF!</definedName>
    <definedName name="License_Rev">#REF!</definedName>
    <definedName name="License_Revenue">#REF!</definedName>
    <definedName name="License_Revenue_Existing_Customers">#REF!</definedName>
    <definedName name="License_Revenue_New_Customers">#REF!</definedName>
    <definedName name="LicenseGrowth">#REF!</definedName>
    <definedName name="life">#REF!</definedName>
    <definedName name="life2">#REF!</definedName>
    <definedName name="LIFO_Reserve">#REF!</definedName>
    <definedName name="linetable">#REF!</definedName>
    <definedName name="Linking_1">#REF!</definedName>
    <definedName name="Linking_2">#REF!</definedName>
    <definedName name="list">#REF!</definedName>
    <definedName name="LIST1">#REF!</definedName>
    <definedName name="listone">#REF!</definedName>
    <definedName name="Loan_Loss_Provision_fore">#REF!</definedName>
    <definedName name="Local_Sector">#REF!</definedName>
    <definedName name="Logic">#REF!</definedName>
    <definedName name="Long_Term_Debt">#REF!</definedName>
    <definedName name="Long_Term_Growth">#REF!</definedName>
    <definedName name="LongTerm">#REF!</definedName>
    <definedName name="Longterm_Deferred_Revenue">#REF!</definedName>
    <definedName name="Company1615">#REF!</definedName>
    <definedName name="LosDatos">#REF!</definedName>
    <definedName name="Loss_On_Fixed_Asset_Sales">#REF!</definedName>
    <definedName name="LowestAllowedPE">#REF!</definedName>
    <definedName name="LT_debt">#REF!</definedName>
    <definedName name="LT_debt_growth_fore">#REF!</definedName>
    <definedName name="LT_Deferred_Rev">#REF!</definedName>
    <definedName name="LT_EPS">#REF!</definedName>
    <definedName name="ltdebt">#REF!</definedName>
    <definedName name="Company1580_AdjustedEV">#REF!</definedName>
    <definedName name="Company1580_AssociatesMinorities">#REF!</definedName>
    <definedName name="Company1580_UnleveredFCF">#REF!</definedName>
    <definedName name="ltmax">#REF!</definedName>
    <definedName name="ltmcapexdepr">#REF!</definedName>
    <definedName name="ltmcapexopcf">#REF!</definedName>
    <definedName name="ltmcapexpct">#REF!</definedName>
    <definedName name="ltmebitda">#REF!</definedName>
    <definedName name="ltmebitdagr">#REF!</definedName>
    <definedName name="ltmebitdam">#REF!</definedName>
    <definedName name="ltmebitdaps">#REF!</definedName>
    <definedName name="ltmeps">#REF!</definedName>
    <definedName name="ltmepsgr">#REF!</definedName>
    <definedName name="ltmfax">#REF!</definedName>
    <definedName name="ltmfrcf">#REF!</definedName>
    <definedName name="ltmfrcfgr">#REF!</definedName>
    <definedName name="ltmfrcfps">#REF!</definedName>
    <definedName name="ltmgm">#REF!</definedName>
    <definedName name="ltminvx">#REF!</definedName>
    <definedName name="ltmom">#REF!</definedName>
    <definedName name="ltmomch">#REF!</definedName>
    <definedName name="ltmrev">#REF!</definedName>
    <definedName name="ltmrevgr">#REF!</definedName>
    <definedName name="ltmrndpct">#REF!</definedName>
    <definedName name="ltmroa">#REF!</definedName>
    <definedName name="ltmroe">#REF!</definedName>
    <definedName name="ltmspe">#REF!</definedName>
    <definedName name="ltmspegr">#REF!</definedName>
    <definedName name="ltmspsqft">#REF!</definedName>
    <definedName name="ltmspsqftgr">#REF!</definedName>
    <definedName name="ltmwcx">#REF!</definedName>
    <definedName name="lucurr">#REF!</definedName>
    <definedName name="lucurrffq">#REF!</definedName>
    <definedName name="luhi">#REF!</definedName>
    <definedName name="lulow">#REF!</definedName>
    <definedName name="lupegrelavg">#REF!</definedName>
    <definedName name="lupegrelcurr">#REF!</definedName>
    <definedName name="lupegrowthavg">#REF!</definedName>
    <definedName name="lupegrowthcurr">#REF!</definedName>
    <definedName name="lupegrowthhi">#REF!</definedName>
    <definedName name="lupegrowthlow">#REF!</definedName>
    <definedName name="lushares">#REF!</definedName>
    <definedName name="luttmavg">#REF!</definedName>
    <definedName name="luttmcurr">#REF!</definedName>
    <definedName name="luttmhi">#REF!</definedName>
    <definedName name="luttmlow">#REF!</definedName>
    <definedName name="luttmrelavg">#REF!</definedName>
    <definedName name="luttmrelcurr">#REF!</definedName>
    <definedName name="luttmrelhi">#REF!</definedName>
    <definedName name="luttmrellow">#REF!</definedName>
    <definedName name="luvprice">#REF!</definedName>
    <definedName name="luvshares">#REF!</definedName>
    <definedName name="Company1589">#REF!</definedName>
    <definedName name="Company1593">#REF!</definedName>
    <definedName name="m">1000</definedName>
    <definedName name="M1_Seasonality">0.3</definedName>
    <definedName name="M2_Seasonality">0.3</definedName>
    <definedName name="M3_Seasonality">0.4</definedName>
    <definedName name="ma">#REF!</definedName>
    <definedName name="Macro1">#REF!</definedName>
    <definedName name="Main_ConvR_FileMode">#REF!</definedName>
    <definedName name="Main_Toolbar">#REF!</definedName>
    <definedName name="maincust.">#REF!</definedName>
    <definedName name="MainDialog.Auto_Open">#N/A</definedName>
    <definedName name="Maint_Rev">#REF!</definedName>
    <definedName name="Maintenance_Capital_Expenditure">#REF!</definedName>
    <definedName name="Maintenance_Revenue">#REF!</definedName>
    <definedName name="Maintenance_Writedown_Acquisitions">#REF!</definedName>
    <definedName name="Management">#REF!</definedName>
    <definedName name="Manhattan_Add">#REF!</definedName>
    <definedName name="MANUAL" hidden="1">#REF!</definedName>
    <definedName name="margin">#REF!</definedName>
    <definedName name="margin_adjustment02">#REF!</definedName>
    <definedName name="Market">#REF!</definedName>
    <definedName name="Market_Capital">#REF!</definedName>
    <definedName name="Market_capitalization">#REF!</definedName>
    <definedName name="Market_Index">#REF!</definedName>
    <definedName name="marketcap">#REF!</definedName>
    <definedName name="MATRIX">#REF!</definedName>
    <definedName name="MB">#REF!</definedName>
    <definedName name="MCCRKEVA">#REF!</definedName>
    <definedName name="mci_growth">#REF!</definedName>
    <definedName name="mci_tab">#REF!</definedName>
    <definedName name="mci_tracker">#REF!</definedName>
    <definedName name="Company1671">#REF!</definedName>
    <definedName name="med_value">#REF!</definedName>
    <definedName name="MediaList">#REF!</definedName>
    <definedName name="Mega_Bank">#REF!</definedName>
    <definedName name="Mega_Date">#REF!</definedName>
    <definedName name="Mega_Sell">#REF!</definedName>
    <definedName name="MegMode">#REF!</definedName>
    <definedName name="MerrillPrintIt" hidden="1">#REF!</definedName>
    <definedName name="methacurr">#REF!</definedName>
    <definedName name="methadate">#REF!</definedName>
    <definedName name="methadown">#REF!</definedName>
    <definedName name="methadownsup">#REF!</definedName>
    <definedName name="methaeps98">#REF!</definedName>
    <definedName name="methaeps99">#REF!</definedName>
    <definedName name="methafy1cons">#REF!</definedName>
    <definedName name="methafy2cons">#REF!</definedName>
    <definedName name="methahi">#REF!</definedName>
    <definedName name="methahilo">#REF!</definedName>
    <definedName name="methalow">#REF!</definedName>
    <definedName name="methamktcap">#REF!</definedName>
    <definedName name="methapegrowthavg">#REF!</definedName>
    <definedName name="methapegrowthcurr">#REF!</definedName>
    <definedName name="methapegrowthhi">#REF!</definedName>
    <definedName name="methapegrowthlow">#REF!</definedName>
    <definedName name="methaprice">#REF!</definedName>
    <definedName name="metharpe">#REF!</definedName>
    <definedName name="methashares">#REF!</definedName>
    <definedName name="methatprice">#REF!</definedName>
    <definedName name="methattmavg">#REF!</definedName>
    <definedName name="methattmcurr">#REF!</definedName>
    <definedName name="methattmhi">#REF!</definedName>
    <definedName name="methattmlow">#REF!</definedName>
    <definedName name="methattmrelavg">#REF!</definedName>
    <definedName name="methattmrelcurr">#REF!</definedName>
    <definedName name="methattmrelhi">#REF!</definedName>
    <definedName name="methattmrellow">#REF!</definedName>
    <definedName name="methaup">#REF!</definedName>
    <definedName name="methaupsup">#REF!</definedName>
    <definedName name="methavol">#REF!</definedName>
    <definedName name="methayield">#REF!</definedName>
    <definedName name="Metric_Type">OFFSET(#REF!,0,0,COUNTA(#REF!)-1)</definedName>
    <definedName name="metric1">#REF!</definedName>
    <definedName name="Metric2">#REF!</definedName>
    <definedName name="Metric3">#REF!</definedName>
    <definedName name="Metric4">#REF!</definedName>
    <definedName name="Metric5">#REF!</definedName>
    <definedName name="Metric6">#REF!</definedName>
    <definedName name="Metric7">#REF!</definedName>
    <definedName name="Metric8">#REF!</definedName>
    <definedName name="metrics1">#REF!</definedName>
    <definedName name="metrics2">#REF!</definedName>
    <definedName name="metrics3">#REF!</definedName>
    <definedName name="Mexico1">#REF!</definedName>
    <definedName name="Mexico2">#REF!</definedName>
    <definedName name="mfnx">#REF!</definedName>
    <definedName name="mfnx_g">#REF!</definedName>
    <definedName name="mfnx_is">#REF!</definedName>
    <definedName name="mgmtown">#REF!</definedName>
    <definedName name="MGN">#REF!</definedName>
    <definedName name="miavg">#REF!</definedName>
    <definedName name="michg">#REF!</definedName>
    <definedName name="Microperipherals">#REF!</definedName>
    <definedName name="Microprocessors">#REF!</definedName>
    <definedName name="Microsoft_FY_June">#REF!</definedName>
    <definedName name="micrpe">#REF!</definedName>
    <definedName name="micurr">#REF!</definedName>
    <definedName name="midate">#REF!</definedName>
    <definedName name="midown">#REF!</definedName>
    <definedName name="midownsup">#REF!</definedName>
    <definedName name="MidPoint">#REF!</definedName>
    <definedName name="mieps99">#REF!</definedName>
    <definedName name="mify1cons">#REF!</definedName>
    <definedName name="mify2cons">#REF!</definedName>
    <definedName name="mihi">#REF!</definedName>
    <definedName name="mihilo">#REF!</definedName>
    <definedName name="Millions_Or_Billions">#REF!</definedName>
    <definedName name="milow">#REF!</definedName>
    <definedName name="mimktcap">#REF!</definedName>
    <definedName name="Minority_Interests">#REF!</definedName>
    <definedName name="Minority_Interests_Balance_Sheet">#REF!</definedName>
    <definedName name="mipegrowthavg">#REF!</definedName>
    <definedName name="mipegrowthcurr">#REF!</definedName>
    <definedName name="mipegrowthhi">#REF!</definedName>
    <definedName name="mipegrowthlow">#REF!</definedName>
    <definedName name="miprice">#REF!</definedName>
    <definedName name="mirpe">#REF!</definedName>
    <definedName name="misc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mishares">#REF!</definedName>
    <definedName name="mitprice">#REF!</definedName>
    <definedName name="mittmavg">#REF!</definedName>
    <definedName name="mittmcurr">#REF!</definedName>
    <definedName name="mittmhi">#REF!</definedName>
    <definedName name="mittmlow">#REF!</definedName>
    <definedName name="mittmrelavg">#REF!</definedName>
    <definedName name="mittmrelcurr">#REF!</definedName>
    <definedName name="mittmrelhi">#REF!</definedName>
    <definedName name="mittmrellow">#REF!</definedName>
    <definedName name="miup">#REF!</definedName>
    <definedName name="miupsup">#REF!</definedName>
    <definedName name="mivol">#REF!</definedName>
    <definedName name="miyield">#REF!</definedName>
    <definedName name="mkt_cap">#REF!</definedName>
    <definedName name="MKT_PREM">#REF!</definedName>
    <definedName name="mktsh_1Q0">#REF!</definedName>
    <definedName name="mktsh_1Q00">#REF!</definedName>
    <definedName name="mktsh_1Q01">#REF!</definedName>
    <definedName name="mktsh_1Q02">#REF!</definedName>
    <definedName name="mktsh_1Q03">#REF!</definedName>
    <definedName name="mktsh_1Q04">#REF!</definedName>
    <definedName name="mktsh_1Q05">#REF!</definedName>
    <definedName name="mktsh_1Q06">#REF!</definedName>
    <definedName name="mktsh_1Q07">#REF!</definedName>
    <definedName name="mktsh_1Q98">#REF!</definedName>
    <definedName name="mktsh_1Q99">#REF!</definedName>
    <definedName name="mktsh_2Q00">#REF!</definedName>
    <definedName name="mktsh_2Q01">#REF!</definedName>
    <definedName name="mktsh_2Q02">#REF!</definedName>
    <definedName name="mktsh_2Q03">#REF!</definedName>
    <definedName name="mktsh_2Q04">#REF!</definedName>
    <definedName name="mktsh_2Q05">#REF!</definedName>
    <definedName name="mktsh_2Q06">#REF!</definedName>
    <definedName name="mktsh_2Q07">#REF!</definedName>
    <definedName name="mktsh_2Q98">#REF!</definedName>
    <definedName name="mktsh_2Q99">#REF!</definedName>
    <definedName name="mktsh_3Q00">#REF!</definedName>
    <definedName name="mktsh_3Q01">#REF!</definedName>
    <definedName name="mktsh_3Q02">#REF!</definedName>
    <definedName name="mktsh_3Q03">#REF!</definedName>
    <definedName name="mktsh_3Q04">#REF!</definedName>
    <definedName name="mktsh_3Q05">#REF!</definedName>
    <definedName name="mktsh_3Q06">#REF!</definedName>
    <definedName name="mktsh_3Q07">#REF!</definedName>
    <definedName name="mktsh_3Q98">#REF!</definedName>
    <definedName name="mktsh_3Q99">#REF!</definedName>
    <definedName name="mktsh_4Q00">#REF!</definedName>
    <definedName name="mktsh_4Q01">#REF!</definedName>
    <definedName name="mktsh_4Q02">#REF!</definedName>
    <definedName name="mktsh_4Q03">#REF!</definedName>
    <definedName name="mktsh_4Q04">#REF!</definedName>
    <definedName name="mktsh_4Q05">#REF!</definedName>
    <definedName name="mktsh_4Q06">#REF!</definedName>
    <definedName name="mktsh_4Q07">#REF!</definedName>
    <definedName name="mktsh_4Q98">#REF!</definedName>
    <definedName name="MktSum.">#REF!</definedName>
    <definedName name="mktvalue">#REF!</definedName>
    <definedName name="mktvalueuro">#REF!</definedName>
    <definedName name="mm" hidden="1">{#N/A,#N/A,FALSE,"Output";#N/A,#N/A,FALSE,"Cover Sheet";#N/A,#N/A,FALSE,"Current Mkt. Projections"}</definedName>
    <definedName name="MOBILEASP">#REF!</definedName>
    <definedName name="MOBILEREV">#REF!</definedName>
    <definedName name="MOBILESHIP.">#REF!</definedName>
    <definedName name="Model">#REF!</definedName>
    <definedName name="molxamktcap">#REF!</definedName>
    <definedName name="molxape1">#REF!</definedName>
    <definedName name="molxape2">#REF!</definedName>
    <definedName name="molxarating">#REF!</definedName>
    <definedName name="molxashares">#REF!</definedName>
    <definedName name="molxatprice">#REF!</definedName>
    <definedName name="molxavg">#REF!</definedName>
    <definedName name="molxchg">#REF!</definedName>
    <definedName name="molxcrpe">#REF!</definedName>
    <definedName name="molxcurr">#REF!</definedName>
    <definedName name="molxdate">#REF!</definedName>
    <definedName name="molxdown">#REF!</definedName>
    <definedName name="molxdownsup">#REF!</definedName>
    <definedName name="molxevebitda">#REF!</definedName>
    <definedName name="molxffqpeavg">#REF!</definedName>
    <definedName name="molxffqpecurr">#REF!</definedName>
    <definedName name="molxfy1cons">#REF!</definedName>
    <definedName name="molxfy2cons">#REF!</definedName>
    <definedName name="molxhi">#REF!</definedName>
    <definedName name="molxlo">#REF!</definedName>
    <definedName name="molxpegrowthavg">#REF!</definedName>
    <definedName name="molxpegrowthcurr">#REF!</definedName>
    <definedName name="molxpegrowthmax">#REF!</definedName>
    <definedName name="molxpegrowthmin">#REF!</definedName>
    <definedName name="molxperelavg">#REF!</definedName>
    <definedName name="molxperelcurr">#REF!</definedName>
    <definedName name="molxprice">#REF!</definedName>
    <definedName name="molxqv">#REF!</definedName>
    <definedName name="molxrpe">#REF!</definedName>
    <definedName name="molxtech">#REF!</definedName>
    <definedName name="molxttmavg">#REF!</definedName>
    <definedName name="molxttmcurr">#REF!</definedName>
    <definedName name="molxttmhi">#REF!</definedName>
    <definedName name="molxttmlo">#REF!</definedName>
    <definedName name="molxttmrelavg">#REF!</definedName>
    <definedName name="molxttmrelcurr">#REF!</definedName>
    <definedName name="molxttmrelhi">#REF!</definedName>
    <definedName name="molxttmrello">#REF!</definedName>
    <definedName name="molxup">#REF!</definedName>
    <definedName name="molxupsup">#REF!</definedName>
    <definedName name="molxvol">#REF!</definedName>
    <definedName name="molxyield">#REF!</definedName>
    <definedName name="Monetary_Gains">#REF!</definedName>
    <definedName name="month">#REF!</definedName>
    <definedName name="motchg">#REF!</definedName>
    <definedName name="motcurr">#REF!</definedName>
    <definedName name="motcurrffq">#REF!</definedName>
    <definedName name="motpegrelavg">#REF!</definedName>
    <definedName name="motpegrelcurr">#REF!</definedName>
    <definedName name="motpegrowthavg">#REF!</definedName>
    <definedName name="motpegrowthcurr">#REF!</definedName>
    <definedName name="motshares">#REF!</definedName>
    <definedName name="MRDisk">#REF!</definedName>
    <definedName name="Ticker0024">#REF!</definedName>
    <definedName name="Company1749_AssociatesMinorities">#REF!</definedName>
    <definedName name="MusicMarket">#REF!</definedName>
    <definedName name="MYTDVOL">14</definedName>
    <definedName name="n" hidden="1">{"IS",#N/A,FALSE,"IS";"RPTIS",#N/A,FALSE,"RPTIS";"STATS",#N/A,FALSE,"STATS";"BS",#N/A,FALSE,"BS"}</definedName>
    <definedName name="N_A">#REF!</definedName>
    <definedName name="N601_">#N/A</definedName>
    <definedName name="NA">#REF!</definedName>
    <definedName name="NAEVA">#REF!</definedName>
    <definedName name="name">#REF!</definedName>
    <definedName name="NarrowedDataRange">#N/A</definedName>
    <definedName name="NarrowedDataRangeDates">#N/A</definedName>
    <definedName name="NAS">#REF!</definedName>
    <definedName name="nck" localSheetId="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c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cn" localSheetId="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cn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D00">#REF!</definedName>
    <definedName name="NDLit03">#REF!</definedName>
    <definedName name="NDLit04">#REF!</definedName>
    <definedName name="Company1862">#REF!</definedName>
    <definedName name="net">#REF!</definedName>
    <definedName name="Net_Acquisitions">#REF!</definedName>
    <definedName name="Net_Adj_capitalized_expenses">#REF!</definedName>
    <definedName name="Net_adj_for_capitalized_expenses">#REF!</definedName>
    <definedName name="net_cash">#REF!</definedName>
    <definedName name="Net_Cash_From_Financing">#REF!</definedName>
    <definedName name="Net_Cash_From_Operations">#REF!</definedName>
    <definedName name="Net_Cash_Used_For_Investment">#REF!</definedName>
    <definedName name="Net_Change_In_Working_Capital">#REF!</definedName>
    <definedName name="net_debt">#REF!</definedName>
    <definedName name="Net_Income">#REF!</definedName>
    <definedName name="Net_income_adj_cap_expenses">#REF!</definedName>
    <definedName name="Net_Income_Adj_Earnings_PreAbnormal_Goodwill_Amort">#REF!</definedName>
    <definedName name="Net_Income_Common_Shareholders">#REF!</definedName>
    <definedName name="Net_income_fore">#REF!</definedName>
    <definedName name="Net_income_growth">#REF!</definedName>
    <definedName name="Net_income_growth_avg">#REF!</definedName>
    <definedName name="Net_Intangible_Fixed_Assets">#REF!</definedName>
    <definedName name="Net_Interest">#REF!</definedName>
    <definedName name="Net_Lit03">#REF!</definedName>
    <definedName name="Net_margin">#REF!</definedName>
    <definedName name="Net_margin_fore">#REF!</definedName>
    <definedName name="Net_PPE">#REF!</definedName>
    <definedName name="Net_PPE_DCF">#REF!</definedName>
    <definedName name="Net_PPE_growth_fore">#REF!</definedName>
    <definedName name="net_profit_postabs_pretelstra">#REF!</definedName>
    <definedName name="net_profit_pretelstra">#REF!</definedName>
    <definedName name="Net_property_under_capital_leases">#REF!</definedName>
    <definedName name="net_revenue_00">#REF!</definedName>
    <definedName name="net_revenue_06">#REF!</definedName>
    <definedName name="net_revenue_07">#REF!</definedName>
    <definedName name="net_revenue_08">#REF!</definedName>
    <definedName name="net_revenue_94">#REF!</definedName>
    <definedName name="Net_Revenues">#REF!</definedName>
    <definedName name="Net_sales">#REF!</definedName>
    <definedName name="Net_sales_DCF">#REF!</definedName>
    <definedName name="Net_sales_fore">#REF!</definedName>
    <definedName name="Net_sales_growth_fore">#REF!</definedName>
    <definedName name="Net_Tangible_Fixed_Assets">#REF!</definedName>
    <definedName name="Net_Tax_Benefit_of_Non_Op_Charges_Gains">#REF!</definedName>
    <definedName name="Net_Unrealized_Gains_Losses">#REF!</definedName>
    <definedName name="Net_working_capital">#REF!</definedName>
    <definedName name="Net_working_capital_DCF">#REF!</definedName>
    <definedName name="Net_Working_Capital_Inflation">#REF!</definedName>
    <definedName name="Net_working_capital_turns">#REF!</definedName>
    <definedName name="Net_working_capital_turns_DCF">#REF!</definedName>
    <definedName name="Net00">#REF!</definedName>
    <definedName name="netcash99">#REF!</definedName>
    <definedName name="netdebt">#REF!</definedName>
    <definedName name="NetDebt00">#REF!</definedName>
    <definedName name="NetDebt01">#REF!</definedName>
    <definedName name="NetDebt02">#REF!</definedName>
    <definedName name="NetDebt03">#REF!</definedName>
    <definedName name="NetDebt04">#REF!</definedName>
    <definedName name="NetDebt98">#REF!</definedName>
    <definedName name="NetDebt99">#REF!</definedName>
    <definedName name="NetDebtPerShare">#REF!</definedName>
    <definedName name="NetExEqtyCons1997">#REF!</definedName>
    <definedName name="NetExEqtyCons1998">#REF!</definedName>
    <definedName name="NetExEqtyCons1999">#REF!</definedName>
    <definedName name="NetExEqtyCons2000">#REF!</definedName>
    <definedName name="NetExEqtyCons2001">#REF!</definedName>
    <definedName name="NetIncome_Lit03">#REF!</definedName>
    <definedName name="NetIncome01">#REF!</definedName>
    <definedName name="NetIncome02">#REF!</definedName>
    <definedName name="NetIncome1997">#REF!</definedName>
    <definedName name="NetIncome1998">#REF!</definedName>
    <definedName name="NetIncome1999">#REF!</definedName>
    <definedName name="NetIncome2000">#REF!</definedName>
    <definedName name="NetIncome2001">#REF!</definedName>
    <definedName name="NetIncome96">#REF!</definedName>
    <definedName name="NetIncomeExEqtyAssets1997">#REF!</definedName>
    <definedName name="NetIncomeExEqtyAssets1998">#REF!</definedName>
    <definedName name="NetIncomeExEqtyAssets1999">#REF!</definedName>
    <definedName name="NetIncomeExEqtyAssets2000">#REF!</definedName>
    <definedName name="NetIncomeExEqtyAssets2001">#REF!</definedName>
    <definedName name="netint">#REF!</definedName>
    <definedName name="NetLit03">#REF!</definedName>
    <definedName name="NetLit04">#REF!</definedName>
    <definedName name="NetWC_turns_fore">#REF!</definedName>
    <definedName name="NETWORKING">#REF!</definedName>
    <definedName name="New_Customers">#REF!</definedName>
    <definedName name="NEW_GROWTH">#REF!</definedName>
    <definedName name="New_Options_Granted">#REF!</definedName>
    <definedName name="newbel" hidden="1">{"IS",#N/A,FALSE,"IS";"RPTIS",#N/A,FALSE,"RPTIS";"STATS",#N/A,FALSE,"STATS";"CELL",#N/A,FALSE,"CELL";"BS",#N/A,FALSE,"BS"}</definedName>
    <definedName name="Newmaterial">#REF!</definedName>
    <definedName name="NewRange" hidden="1">#REF!</definedName>
    <definedName name="NEWSPAPERS">#REF!</definedName>
    <definedName name="next">#REF!</definedName>
    <definedName name="next_earnings_release_date">#REF!</definedName>
    <definedName name="Next_Event">#REF!</definedName>
    <definedName name="Next_Event_Type">#REF!</definedName>
    <definedName name="next_qtr_eps">#REF!</definedName>
    <definedName name="next_qtr_rev">#REF!</definedName>
    <definedName name="next_results_type">#REF!</definedName>
    <definedName name="NextButton">"Button 18"</definedName>
    <definedName name="nextq">#REF!</definedName>
    <definedName name="nextqy">#REF!</definedName>
    <definedName name="NIBCLs">#REF!</definedName>
    <definedName name="nio_96">#REF!</definedName>
    <definedName name="nio_97">#REF!</definedName>
    <definedName name="nio_98">#REF!</definedName>
    <definedName name="NIS">#REF!</definedName>
    <definedName name="No_Options_Exercised">#REF!</definedName>
    <definedName name="no_shares">#REF!</definedName>
    <definedName name="No_Shares_Repurchased">#REF!</definedName>
    <definedName name="nokavg">#REF!</definedName>
    <definedName name="nokavgffq">#REF!</definedName>
    <definedName name="nokchg">#REF!</definedName>
    <definedName name="nokcurr">#REF!</definedName>
    <definedName name="nokcurrffq">#REF!</definedName>
    <definedName name="nokpegrelavg">#REF!</definedName>
    <definedName name="nokpegrelcurr">#REF!</definedName>
    <definedName name="nokpegrowthavg">#REF!</definedName>
    <definedName name="nokpegrowthcurr">#REF!</definedName>
    <definedName name="nokshares">#REF!</definedName>
    <definedName name="NOL">#REF!</definedName>
    <definedName name="Non_Recurring_loss_gain">#REF!</definedName>
    <definedName name="NonTVRev96">#REF!</definedName>
    <definedName name="NonTVRev97">#REF!</definedName>
    <definedName name="NonTVRev98">#REF!</definedName>
    <definedName name="NOPAT">#REF!</definedName>
    <definedName name="NOPAT_DCF">#REF!</definedName>
    <definedName name="NOPAT_fore">#REF!</definedName>
    <definedName name="NOPAT_growth">#REF!</definedName>
    <definedName name="NOPAT_growth_avg">#REF!</definedName>
    <definedName name="NOPAT_margin">#REF!</definedName>
    <definedName name="NOPAT_margin_fore">#REF!</definedName>
    <definedName name="NOPAT_Share">#REF!</definedName>
    <definedName name="NOPBT">#REF!</definedName>
    <definedName name="NOPBT_fore">#REF!</definedName>
    <definedName name="Norm_forecast_11_15">#REF!</definedName>
    <definedName name="Norm_forecast_16_25">#REF!</definedName>
    <definedName name="Norm_forecast_4_5">#REF!</definedName>
    <definedName name="Norm_forecast_6_10">#REF!</definedName>
    <definedName name="Normal" hidden="1">{"Annual_Income",#N/A,FALSE,"Report Page";"Balance_Cash_Flow",#N/A,FALSE,"Report Page";"Quarterly_Income",#N/A,FALSE,"Report Page"}</definedName>
    <definedName name="North_American_Revenues">#REF!</definedName>
    <definedName name="Notes">#REF!</definedName>
    <definedName name="Notes1">#REF!</definedName>
    <definedName name="NPT_1">#REF!</definedName>
    <definedName name="NPT_10">#REF!</definedName>
    <definedName name="NPT_11">#REF!</definedName>
    <definedName name="NPT_12">#REF!</definedName>
    <definedName name="NPT_13">#REF!</definedName>
    <definedName name="NPT_14">#REF!</definedName>
    <definedName name="NPT_2">#REF!</definedName>
    <definedName name="NPT_3">#REF!</definedName>
    <definedName name="NPT_4">#REF!</definedName>
    <definedName name="NPT_5">#REF!</definedName>
    <definedName name="NPT_6">#REF!</definedName>
    <definedName name="NPT_7">#REF!</definedName>
    <definedName name="NPT_8">#REF!</definedName>
    <definedName name="NPT_9">#REF!</definedName>
    <definedName name="NPT_EY1">#REF!</definedName>
    <definedName name="NPT_EY2">#REF!</definedName>
    <definedName name="NPT_EY3">#REF!</definedName>
    <definedName name="NPT_P">#REF!</definedName>
    <definedName name="NPV_calc">#REF!</definedName>
    <definedName name="ntavg">#REF!</definedName>
    <definedName name="ntavgffq">#REF!</definedName>
    <definedName name="ntchg">#REF!</definedName>
    <definedName name="ntcurr">#REF!</definedName>
    <definedName name="ntcurrffq">#REF!</definedName>
    <definedName name="ntpegrelavg">#REF!</definedName>
    <definedName name="ntpegrelcurr">#REF!</definedName>
    <definedName name="ntpegrowthavg">#REF!</definedName>
    <definedName name="ntpegrowthcurr">#REF!</definedName>
    <definedName name="ntroavg">#REF!</definedName>
    <definedName name="ntroavgffq">#REF!</definedName>
    <definedName name="ntrochg">#REF!</definedName>
    <definedName name="ntrocurr">#REF!</definedName>
    <definedName name="ntrocurrffq">#REF!</definedName>
    <definedName name="ntropegrelavg">#REF!</definedName>
    <definedName name="ntropegrelcurr">#REF!</definedName>
    <definedName name="ntropegrowthavg">#REF!</definedName>
    <definedName name="ntropegrowthcurr">#REF!</definedName>
    <definedName name="ntshares">#REF!</definedName>
    <definedName name="Company1909_1Pager">#REF!</definedName>
    <definedName name="Number_of_Shares">#REF!</definedName>
    <definedName name="NumberArea">#REF!</definedName>
    <definedName name="NvsASD">"V2000-06-30"</definedName>
    <definedName name="NvsAutoDrillOk">"VN"</definedName>
    <definedName name="NvsElapsedTime">0.0000983796271611936</definedName>
    <definedName name="NvsEndTime">36761.3950292824</definedName>
    <definedName name="NvsInstSpec">"%,FBUSINESS_UNIT,TBUSUNIT_ROLLUP,NINTRALINKS,FCURRENCY_CD,VUSD"</definedName>
    <definedName name="NvsLayoutType">"M3"</definedName>
    <definedName name="NvsNplSpec">"%,X,RZF..,CZF.."</definedName>
    <definedName name="NvsPanelEffdt">"V1900-01-01"</definedName>
    <definedName name="NvsPanelSetid">"VCORP1"</definedName>
    <definedName name="NvsReqBU">"VCORP1"</definedName>
    <definedName name="NvsReqBUOnly">"VN"</definedName>
    <definedName name="NvsSheetType">"M"</definedName>
    <definedName name="NvsTransLed">"VN"</definedName>
    <definedName name="NvsTreeASD">"V2000-06-30"</definedName>
    <definedName name="NvsValTbl.ACCOUNT">"GL_ACCOUNT_TBL"</definedName>
    <definedName name="nwacprice">#REF!</definedName>
    <definedName name="nwacshares">#REF!</definedName>
    <definedName name="nxtvavg">#REF!</definedName>
    <definedName name="nxtvavgffq">#REF!</definedName>
    <definedName name="nxtvchg">#REF!</definedName>
    <definedName name="nxtvcurr">#REF!</definedName>
    <definedName name="nxtvcurrffq">#REF!</definedName>
    <definedName name="nxtvpegrelavg">#REF!</definedName>
    <definedName name="nxtvpegrelcurr">#REF!</definedName>
    <definedName name="nxtvpegrowthavg">#REF!</definedName>
    <definedName name="nxtvpegrowthcurr">#REF!</definedName>
    <definedName name="oakavg">#REF!</definedName>
    <definedName name="oakchg">#REF!</definedName>
    <definedName name="oakcrpe">#REF!</definedName>
    <definedName name="oakcurr">#REF!</definedName>
    <definedName name="oakdate">#REF!</definedName>
    <definedName name="oakdown">#REF!</definedName>
    <definedName name="oakdownsup">#REF!</definedName>
    <definedName name="oakevebitda">#REF!</definedName>
    <definedName name="oakffqpeavg">#REF!</definedName>
    <definedName name="oakffqpecurr">#REF!</definedName>
    <definedName name="oakfy1cons">#REF!</definedName>
    <definedName name="oakfy2cons">#REF!</definedName>
    <definedName name="oakhi">#REF!</definedName>
    <definedName name="oakhilo">#REF!</definedName>
    <definedName name="oaklow">#REF!</definedName>
    <definedName name="oakmktcap">#REF!</definedName>
    <definedName name="oakpe1">#REF!</definedName>
    <definedName name="oakpe2">#REF!</definedName>
    <definedName name="oakpegrowthavg">#REF!</definedName>
    <definedName name="oakpegrowthcurr">#REF!</definedName>
    <definedName name="oakpegrowthhi">#REF!</definedName>
    <definedName name="oakpegrowthlow">#REF!</definedName>
    <definedName name="oakperelavg">#REF!</definedName>
    <definedName name="oakperelcurr">#REF!</definedName>
    <definedName name="oakprice">#REF!</definedName>
    <definedName name="oakrating">#REF!</definedName>
    <definedName name="oakrpe">#REF!</definedName>
    <definedName name="oakshares">#REF!</definedName>
    <definedName name="oaktprice">#REF!</definedName>
    <definedName name="oakttmavg">#REF!</definedName>
    <definedName name="oakttmcurr">#REF!</definedName>
    <definedName name="oakttmhi">#REF!</definedName>
    <definedName name="oakttmlow">#REF!</definedName>
    <definedName name="oakttmrelavg">#REF!</definedName>
    <definedName name="oakttmrelcurr">#REF!</definedName>
    <definedName name="oakttmrelhi">#REF!</definedName>
    <definedName name="oakttmrellow">#REF!</definedName>
    <definedName name="oakup">#REF!</definedName>
    <definedName name="oakupsup">#REF!</definedName>
    <definedName name="oakvol">#REF!</definedName>
    <definedName name="oakyield">#REF!</definedName>
    <definedName name="OEMDist">#REF!</definedName>
    <definedName name="OEMrev">#REF!</definedName>
    <definedName name="Off_B_S_Income">#REF!</definedName>
    <definedName name="Off_B_S_Income_DCF">#REF!</definedName>
    <definedName name="Off_B_S_Income_fore">#REF!</definedName>
    <definedName name="Off_B_S_Income_growth_fore">#REF!</definedName>
    <definedName name="Off_High_Cov">#REF!</definedName>
    <definedName name="offpr">#REF!</definedName>
    <definedName name="OFFSETREF">#REF!</definedName>
    <definedName name="OIM">#REF!</definedName>
    <definedName name="OL_1">#REF!</definedName>
    <definedName name="OL_10">#REF!</definedName>
    <definedName name="OL_11">#REF!</definedName>
    <definedName name="OL_12">#REF!</definedName>
    <definedName name="OL_13">#REF!</definedName>
    <definedName name="OL_14">#REF!</definedName>
    <definedName name="OL_2">#REF!</definedName>
    <definedName name="OL_3">#REF!</definedName>
    <definedName name="OL_4">#REF!</definedName>
    <definedName name="OL_5">#REF!</definedName>
    <definedName name="OL_6">#REF!</definedName>
    <definedName name="OL_7">#REF!</definedName>
    <definedName name="OL_8">#REF!</definedName>
    <definedName name="OL_9">#REF!</definedName>
    <definedName name="OL_P">#REF!</definedName>
    <definedName name="Company1973_BS">#REF!</definedName>
    <definedName name="Company1973_CF">#REF!</definedName>
    <definedName name="Company1973_IS">#REF!</definedName>
    <definedName name="OP_CF_GROWTH_RATE">#REF!</definedName>
    <definedName name="OP_CF_YIELD">#REF!</definedName>
    <definedName name="opcagr">#REF!</definedName>
    <definedName name="opcfnetinc">#REF!</definedName>
    <definedName name="Oper_Inc">#REF!</definedName>
    <definedName name="Operating_Expenses">#REF!</definedName>
    <definedName name="Operating_Free_Cash_Flow">#REF!</definedName>
    <definedName name="Operating_income">#REF!</definedName>
    <definedName name="Operating_Income_Division_1">#REF!</definedName>
    <definedName name="Operating_Income_Division_2">#REF!</definedName>
    <definedName name="Operating_Income_Division_3">#REF!</definedName>
    <definedName name="Operating_Income_Division_4">#REF!</definedName>
    <definedName name="Operating_Income_Division_5">#REF!</definedName>
    <definedName name="Operating_Income_Division_6">#REF!</definedName>
    <definedName name="Operating_income_fore">#REF!</definedName>
    <definedName name="Operating_Lease_Expense">#REF!</definedName>
    <definedName name="Operating_Lease_Expense_fore">#REF!</definedName>
    <definedName name="OperatingMargin">#REF!</definedName>
    <definedName name="Opex">#REF!</definedName>
    <definedName name="opexp">#REF!</definedName>
    <definedName name="opinc">#REF!</definedName>
    <definedName name="OPM">#REF!</definedName>
    <definedName name="opm00">#REF!</definedName>
    <definedName name="opmargin">#REF!</definedName>
    <definedName name="Option_Expiry_Period">#REF!</definedName>
    <definedName name="Options">#REF!</definedName>
    <definedName name="Options_Forfeited_Employee_Termination">#REF!</definedName>
    <definedName name="Options_Outstanding">#REF!</definedName>
    <definedName name="ORA_AdjustedEV">#REF!</definedName>
    <definedName name="ORA_AssociatesMinorities">#REF!</definedName>
    <definedName name="ORA_UnleveredFCF">#REF!</definedName>
    <definedName name="Company2018">#REF!</definedName>
    <definedName name="Company2018_geography">#REF!</definedName>
    <definedName name="Company2018_License_Chart">#REF!</definedName>
    <definedName name="Company1985">#REF!</definedName>
    <definedName name="Company1985_LargeDealSize">#REF!</definedName>
    <definedName name="Company1985_ProductPricing">#REF!</definedName>
    <definedName name="orctfy1cons">#REF!</definedName>
    <definedName name="orctfy2cons">#REF!</definedName>
    <definedName name="orcthi">#REF!</definedName>
    <definedName name="orctlow">#REF!</definedName>
    <definedName name="orctpegrowthavg">#REF!</definedName>
    <definedName name="orctpegrowthcurr">#REF!</definedName>
    <definedName name="orctpegrowthhi">#REF!</definedName>
    <definedName name="orctpegrowthlow">#REF!</definedName>
    <definedName name="orctprice">#REF!</definedName>
    <definedName name="orctshares">#REF!</definedName>
    <definedName name="orctttmavg">#REF!</definedName>
    <definedName name="orctttmcurr">#REF!</definedName>
    <definedName name="orctttmhi">#REF!</definedName>
    <definedName name="orctttmlow">#REF!</definedName>
    <definedName name="orctttmrelavg">#REF!</definedName>
    <definedName name="orctttmrelcurr">#REF!</definedName>
    <definedName name="orctttmrelhi">#REF!</definedName>
    <definedName name="orctttmrellow">#REF!</definedName>
    <definedName name="ord_price">#REF!</definedName>
    <definedName name="ord_shares">#REF!</definedName>
    <definedName name="ord_shares99">#REF!</definedName>
    <definedName name="ord_target99">#REF!</definedName>
    <definedName name="orddiv_99">#REF!</definedName>
    <definedName name="ordersBacklog">#REF!</definedName>
    <definedName name="ortlavg">#REF!</definedName>
    <definedName name="ortlchg">#REF!</definedName>
    <definedName name="ortlcrpe">#REF!</definedName>
    <definedName name="ortlcurr">#REF!</definedName>
    <definedName name="ortldown">#REF!</definedName>
    <definedName name="ortldownsup">#REF!</definedName>
    <definedName name="ortleps98">#REF!</definedName>
    <definedName name="ortleps99">#REF!</definedName>
    <definedName name="ortlfy1cons">#REF!</definedName>
    <definedName name="ortlfy2cons">#REF!</definedName>
    <definedName name="ortlhi">#REF!</definedName>
    <definedName name="ortlhilo">#REF!</definedName>
    <definedName name="ortllow">#REF!</definedName>
    <definedName name="ortlmktcap">#REF!</definedName>
    <definedName name="ortlpegrowthavg">#REF!</definedName>
    <definedName name="ortlpegrowthcurr">#REF!</definedName>
    <definedName name="ortlpegrowthhi">#REF!</definedName>
    <definedName name="ortlpegrowthlow">#REF!</definedName>
    <definedName name="ortlprice">#REF!</definedName>
    <definedName name="ortlrpe">#REF!</definedName>
    <definedName name="ortlshares">#REF!</definedName>
    <definedName name="ortltprice">#REF!</definedName>
    <definedName name="ortlttmavg">#REF!</definedName>
    <definedName name="ortlttmcurr">#REF!</definedName>
    <definedName name="ortlttmhi">#REF!</definedName>
    <definedName name="ortlttmlow">#REF!</definedName>
    <definedName name="ortlttmrelavg">#REF!</definedName>
    <definedName name="ortlttmrelcurr">#REF!</definedName>
    <definedName name="ortlttmrelhi">#REF!</definedName>
    <definedName name="ortlttmrellow">#REF!</definedName>
    <definedName name="ortlup">#REF!</definedName>
    <definedName name="ortlupsup">#REF!</definedName>
    <definedName name="ortlvol">#REF!</definedName>
    <definedName name="ortlyield">#REF!</definedName>
    <definedName name="oth_inv">#REF!</definedName>
    <definedName name="OTHER">#REF!</definedName>
    <definedName name="Other_asset_turns">#REF!</definedName>
    <definedName name="Other_asset_turns_DCF">#REF!</definedName>
    <definedName name="Other_asset_turns_fore">#REF!</definedName>
    <definedName name="Other_assets">#REF!</definedName>
    <definedName name="Other_assets_DCF">#REF!</definedName>
    <definedName name="Other_Assets2">#REF!</definedName>
    <definedName name="Other_Cash_Flow">#REF!</definedName>
    <definedName name="Other_Cash_From_Financing">#REF!</definedName>
    <definedName name="Other_current_assets">#REF!</definedName>
    <definedName name="Other_current_assets_growth_fore">#REF!</definedName>
    <definedName name="Other_Current_Assets2">#REF!</definedName>
    <definedName name="Other_current_liabilities">#REF!</definedName>
    <definedName name="Other_current_liabilities_growth_fore">#REF!</definedName>
    <definedName name="Other_Current_Liabilities2">#REF!</definedName>
    <definedName name="Other_DCF">#REF!</definedName>
    <definedName name="Other_dividends">#REF!</definedName>
    <definedName name="Other_Expenses">#REF!</definedName>
    <definedName name="Other_Expenses_fore">#REF!</definedName>
    <definedName name="Other_expenses_gains">#REF!</definedName>
    <definedName name="Other_expenses_gains_fore">#REF!</definedName>
    <definedName name="Other_expenses_growth_fore">#REF!</definedName>
    <definedName name="Other_fixed_asset_turns">#REF!</definedName>
    <definedName name="Other_fixed_asset_turns_fore">#REF!</definedName>
    <definedName name="Other_fixed_assets">#REF!</definedName>
    <definedName name="Other_fixed_assets_growth_fore">#REF!</definedName>
    <definedName name="Other_fixed_assets2">#REF!</definedName>
    <definedName name="Other_growth_fore">#REF!</definedName>
    <definedName name="Other_inc_exp_fore">#REF!</definedName>
    <definedName name="Other_Income">#REF!</definedName>
    <definedName name="Other_income_growth_fore">#REF!</definedName>
    <definedName name="Other_Intangible_Assets">#REF!</definedName>
    <definedName name="Other_Investment">#REF!</definedName>
    <definedName name="Other_Item_1">#REF!</definedName>
    <definedName name="Other_Item_10">#REF!</definedName>
    <definedName name="Other_Item_11">#REF!</definedName>
    <definedName name="Other_Item_12">#REF!</definedName>
    <definedName name="Other_Item_13">#REF!</definedName>
    <definedName name="Other_Item_14">#REF!</definedName>
    <definedName name="Other_Item_15">#REF!</definedName>
    <definedName name="Other_Item_16">#REF!</definedName>
    <definedName name="Other_Item_2">#REF!</definedName>
    <definedName name="Other_Item_3">#REF!</definedName>
    <definedName name="Other_Item_4">#REF!</definedName>
    <definedName name="Other_Item_5">#REF!</definedName>
    <definedName name="Other_Item_6">#REF!</definedName>
    <definedName name="Other_Item_7">#REF!</definedName>
    <definedName name="Other_Item_8">#REF!</definedName>
    <definedName name="Other_Item_9">#REF!</definedName>
    <definedName name="Other_liabilities">#REF!</definedName>
    <definedName name="Other_liabilities_growth_fore">#REF!</definedName>
    <definedName name="Other_liabilities2">#REF!</definedName>
    <definedName name="Other_Long_Term_Liabilities">#REF!</definedName>
    <definedName name="Other_LT_Debt">#REF!</definedName>
    <definedName name="Other_ncome_expenses">#REF!</definedName>
    <definedName name="other_Progcost_96">#REF!</definedName>
    <definedName name="Other_progcost_97">#REF!</definedName>
    <definedName name="Other_progcost_98">#REF!</definedName>
    <definedName name="Other_reserves">#REF!</definedName>
    <definedName name="Other_Segment_Revenues">#REF!</definedName>
    <definedName name="Other_ST_Debt">#REF!</definedName>
    <definedName name="Other1">#REF!</definedName>
    <definedName name="othernet">#REF!</definedName>
    <definedName name="OtherPCShipRank">#REF!</definedName>
    <definedName name="OtherPhoneShipRank">#REF!</definedName>
    <definedName name="otherrev">#REF!</definedName>
    <definedName name="Otherrev_96">#REF!</definedName>
    <definedName name="Otherrev97">#REF!</definedName>
    <definedName name="Otherrev98">#REF!</definedName>
    <definedName name="OtherUMTShipRank">#REF!</definedName>
    <definedName name="otto_ord">#REF!</definedName>
    <definedName name="otto_sav">#REF!</definedName>
    <definedName name="p" hidden="1">{"External_Annual_Income",#N/A,FALSE,"External";"External_Quarterly_Income",#N/A,FALSE,"External"}</definedName>
    <definedName name="p_am_good">#REF!</definedName>
    <definedName name="p_cost_of_sales">#REF!</definedName>
    <definedName name="p_ebit">#REF!</definedName>
    <definedName name="p_exep_items">#REF!</definedName>
    <definedName name="p_extr_items">#REF!</definedName>
    <definedName name="p_gross_profit">#REF!</definedName>
    <definedName name="P_Income1">#REF!</definedName>
    <definedName name="P_Income2">#REF!</definedName>
    <definedName name="p_interest">#REF!</definedName>
    <definedName name="p_min_intr">#REF!</definedName>
    <definedName name="p_n_op_prof">#REF!</definedName>
    <definedName name="p_net_prof">#REF!</definedName>
    <definedName name="p_net_sales">#REF!</definedName>
    <definedName name="p_op_prof">#REF!</definedName>
    <definedName name="p_oth_op_inc">#REF!</definedName>
    <definedName name="P_PL_BS">#REF!,#REF!</definedName>
    <definedName name="p_pre_tax_prof">#REF!</definedName>
    <definedName name="P_Product">#REF!</definedName>
    <definedName name="p_tax">#REF!</definedName>
    <definedName name="p_tax_percent">#REF!</definedName>
    <definedName name="P_Tear">#REF!</definedName>
    <definedName name="PACIFIC_NET">#REF!,#REF!,#REF!</definedName>
    <definedName name="Page1">#REF!</definedName>
    <definedName name="Page12">#REF!</definedName>
    <definedName name="Page2">#REF!</definedName>
    <definedName name="pairavg">#REF!</definedName>
    <definedName name="pairchg">#REF!</definedName>
    <definedName name="paircurr">#REF!</definedName>
    <definedName name="pairfy1cons">#REF!</definedName>
    <definedName name="pairfy2cons">#REF!</definedName>
    <definedName name="pairhi">#REF!</definedName>
    <definedName name="pairlow">#REF!</definedName>
    <definedName name="pairpegrowthavg">#REF!</definedName>
    <definedName name="pairpegrowthcurr">#REF!</definedName>
    <definedName name="pairpegrowthhi">#REF!</definedName>
    <definedName name="pairpegrowthlow">#REF!</definedName>
    <definedName name="pairprice">#REF!</definedName>
    <definedName name="pairshares">#REF!</definedName>
    <definedName name="pairttmavg">#REF!</definedName>
    <definedName name="pairttmcurr">#REF!</definedName>
    <definedName name="pairttmhi">#REF!</definedName>
    <definedName name="pairttmlow">#REF!</definedName>
    <definedName name="pairttmrelavg">#REF!</definedName>
    <definedName name="pairttmrelcurr">#REF!</definedName>
    <definedName name="pairttmrelhi">#REF!</definedName>
    <definedName name="pairttmrellow">#REF!</definedName>
    <definedName name="panamprice">#REF!</definedName>
    <definedName name="panamshares">#REF!</definedName>
    <definedName name="PANr_AdjustedEV">#REF!</definedName>
    <definedName name="PANr_AssociatesMinorities">#REF!</definedName>
    <definedName name="PANr_UnleveredFCF">#REF!</definedName>
    <definedName name="Partial_year">#REF!</definedName>
    <definedName name="passrev">#REF!</definedName>
    <definedName name="Paste1">#REF!</definedName>
    <definedName name="Paste2">#REF!</definedName>
    <definedName name="Paste3">#REF!</definedName>
    <definedName name="Paste4">#REF!</definedName>
    <definedName name="Paste5">#REF!</definedName>
    <definedName name="Paste6">#REF!</definedName>
    <definedName name="Paste7">#REF!</definedName>
    <definedName name="Paste8">#REF!</definedName>
    <definedName name="PERSON0882_1Q98">#REF!</definedName>
    <definedName name="Payout_ratio_on_underlying">#REF!</definedName>
    <definedName name="pb_fee_comm">#REF!</definedName>
    <definedName name="pb_loan_loss_prov">#REF!</definedName>
    <definedName name="pb_tot_inc_banks">#REF!</definedName>
    <definedName name="pb_trad_inc">#REF!</definedName>
    <definedName name="pb_wd_sec">#REF!</definedName>
    <definedName name="PCS_share_price">#REF!</definedName>
    <definedName name="PCShipmentsPivot">#REF!</definedName>
    <definedName name="PCShipPosToRank">#REF!</definedName>
    <definedName name="PCVendorShipmentsList">#REF!</definedName>
    <definedName name="pdyncurr">#REF!</definedName>
    <definedName name="pdyncurrffq">#REF!</definedName>
    <definedName name="pdynpegrelavg">#REF!</definedName>
    <definedName name="pdynpegrelcurr">#REF!</definedName>
    <definedName name="pdynpegrowthavg">#REF!</definedName>
    <definedName name="pdynpegrowthcurr">#REF!</definedName>
    <definedName name="PE_2004">#REF!</definedName>
    <definedName name="PE_2005">#REF!</definedName>
    <definedName name="PE_2006">#REF!</definedName>
    <definedName name="peganic">#REF!</definedName>
    <definedName name="pegapcc">#REF!</definedName>
    <definedName name="pegaph">#REF!</definedName>
    <definedName name="pegarw">#REF!</definedName>
    <definedName name="pegatsn">#REF!</definedName>
    <definedName name="pegavt">#REF!</definedName>
    <definedName name="pegavx">#REF!</definedName>
    <definedName name="pegaxe">#REF!</definedName>
    <definedName name="pegbwc">#REF!</definedName>
    <definedName name="pegcdt">#REF!</definedName>
    <definedName name="pegcls">#REF!</definedName>
    <definedName name="pegctv">#REF!</definedName>
    <definedName name="pegetek">#REF!</definedName>
    <definedName name="pegflex">#REF!</definedName>
    <definedName name="peggcn">#REF!</definedName>
    <definedName name="pegglw">#REF!</definedName>
    <definedName name="pegjbl">#REF!</definedName>
    <definedName name="pegjds">#REF!</definedName>
    <definedName name="pegjdsu">#REF!</definedName>
    <definedName name="pegkmet">#REF!</definedName>
    <definedName name="pegknt">#REF!</definedName>
    <definedName name="pegmetha">#REF!</definedName>
    <definedName name="pegmi">#REF!</definedName>
    <definedName name="pegmolx">#REF!</definedName>
    <definedName name="pegoak">#REF!</definedName>
    <definedName name="pegortl">#REF!</definedName>
    <definedName name="pegryc">#REF!</definedName>
    <definedName name="pegsanm">#REF!</definedName>
    <definedName name="pegsci">#REF!</definedName>
    <definedName name="pegsdli">#REF!</definedName>
    <definedName name="pegslr">#REF!</definedName>
    <definedName name="pegsmod">#REF!</definedName>
    <definedName name="pegsut">#REF!</definedName>
    <definedName name="pegtnb">#REF!</definedName>
    <definedName name="pegunph">#REF!</definedName>
    <definedName name="pegvsh">#REF!</definedName>
    <definedName name="Penetration">#REF!</definedName>
    <definedName name="Pension_Provisions_Etc">#REF!</definedName>
    <definedName name="Company2157__Inc.">#REF!</definedName>
    <definedName name="percent_change">#REF!</definedName>
    <definedName name="Percent_Employees_Eligible_For_Options">#REF!</definedName>
    <definedName name="Percent_Impact_FX_On_Earnings">#REF!</definedName>
    <definedName name="Percent_Impact_FX_On_Revenues">#REF!</definedName>
    <definedName name="percent_of_revenue">IF(ISBLANK(#REF!),"          NM",#REF!/#REF!)</definedName>
    <definedName name="PERCENT90_91">#REF!</definedName>
    <definedName name="Perf_97">#REF!</definedName>
    <definedName name="Perf_98">#REF!</definedName>
    <definedName name="Perf_99">#REF!</definedName>
    <definedName name="Performance">#REF!</definedName>
    <definedName name="Peripheral_Assets">#REF!</definedName>
    <definedName name="perpetmax">#REF!</definedName>
    <definedName name="perpetmed">#REF!</definedName>
    <definedName name="perpetmin">#REF!</definedName>
    <definedName name="Personnel96">#REF!</definedName>
    <definedName name="Personnel97">#REF!</definedName>
    <definedName name="pertax98">#REF!</definedName>
    <definedName name="PETicker">#REF!</definedName>
    <definedName name="PFPRICE">#REF!</definedName>
    <definedName name="PFPRICE2">#REF!</definedName>
    <definedName name="PG1_D">#REF!</definedName>
    <definedName name="PG1_S">#REF!</definedName>
    <definedName name="PG10_D">#REF!</definedName>
    <definedName name="PG10_S">#REF!</definedName>
    <definedName name="PG11A_S">#REF!</definedName>
    <definedName name="PG11B_S">#REF!</definedName>
    <definedName name="PG12_S">#REF!</definedName>
    <definedName name="PG13_S">#REF!</definedName>
    <definedName name="PG14_D">#REF!</definedName>
    <definedName name="PG14_O">#REF!</definedName>
    <definedName name="PG14_S">#REF!</definedName>
    <definedName name="PG15A_S">#REF!</definedName>
    <definedName name="PG15B_S">#REF!</definedName>
    <definedName name="PG16A_S">#REF!</definedName>
    <definedName name="PG16B_S">#REF!</definedName>
    <definedName name="PG17A_S">#REF!</definedName>
    <definedName name="PG17B_S">#REF!</definedName>
    <definedName name="PG18_S">#REF!</definedName>
    <definedName name="PG19_D">#REF!</definedName>
    <definedName name="PG19_O">#REF!</definedName>
    <definedName name="PG19_S">#REF!</definedName>
    <definedName name="PG2_D">#REF!</definedName>
    <definedName name="PG2_S">#REF!</definedName>
    <definedName name="PG20_D">#REF!</definedName>
    <definedName name="PG20_S">#REF!</definedName>
    <definedName name="PG21_D">#REF!</definedName>
    <definedName name="PG21_S">#REF!</definedName>
    <definedName name="PG22_D">#REF!</definedName>
    <definedName name="PG22_S">#REF!</definedName>
    <definedName name="PG23_D">#REF!</definedName>
    <definedName name="PG23_O">#REF!</definedName>
    <definedName name="PG23_S">#REF!</definedName>
    <definedName name="PG24_D">#REF!</definedName>
    <definedName name="PG24_O">#REF!</definedName>
    <definedName name="PG24_S">#REF!</definedName>
    <definedName name="PG25_D">#REF!</definedName>
    <definedName name="PG25_O">#REF!</definedName>
    <definedName name="PG25_S">#REF!</definedName>
    <definedName name="PG26_D">#REF!</definedName>
    <definedName name="PG26_O">#REF!</definedName>
    <definedName name="PG26_S">#REF!</definedName>
    <definedName name="PG27_O">#REF!</definedName>
    <definedName name="PG27_S">#REF!</definedName>
    <definedName name="PG28_D">#REF!</definedName>
    <definedName name="PG28_S">#REF!</definedName>
    <definedName name="PG29_D">#REF!</definedName>
    <definedName name="PG29_S">#REF!</definedName>
    <definedName name="PG3_D">#REF!</definedName>
    <definedName name="PG3_S">#REF!</definedName>
    <definedName name="PG30_D">#REF!</definedName>
    <definedName name="PG30_S">#REF!</definedName>
    <definedName name="PG31_D">#REF!</definedName>
    <definedName name="PG31_S">#REF!</definedName>
    <definedName name="PG32_S">#REF!</definedName>
    <definedName name="PG33_D">#REF!</definedName>
    <definedName name="PG33_O">#REF!</definedName>
    <definedName name="PG33_S">#REF!</definedName>
    <definedName name="PG34_O">#REF!</definedName>
    <definedName name="PG34_S">#REF!</definedName>
    <definedName name="PG35_0">#REF!</definedName>
    <definedName name="PG35_O">#REF!</definedName>
    <definedName name="PG35_S">#REF!</definedName>
    <definedName name="PG4_D">#REF!</definedName>
    <definedName name="PG4_S">#REF!</definedName>
    <definedName name="PG5_D">#REF!</definedName>
    <definedName name="PG5_S">#REF!</definedName>
    <definedName name="PG6_D">#REF!</definedName>
    <definedName name="PG6_S">#REF!</definedName>
    <definedName name="PG7_D">#REF!</definedName>
    <definedName name="PG7_S">#REF!</definedName>
    <definedName name="PG8_O">#REF!</definedName>
    <definedName name="PG8_S">#REF!</definedName>
    <definedName name="PG9A_S">#REF!</definedName>
    <definedName name="PG9B_S">#REF!</definedName>
    <definedName name="Company2072_5YRGROWTH">#REF!</definedName>
    <definedName name="PH_email">"person@example.com"</definedName>
    <definedName name="PH_phone">"(212) 446-9467"</definedName>
    <definedName name="Philadelphia_Add">#REF!</definedName>
    <definedName name="PhoneShipmentsPivot">#REF!</definedName>
    <definedName name="PhoneShipPosToRank">#REF!</definedName>
    <definedName name="PhoneVendorShipmentList">#REF!</definedName>
    <definedName name="pi_inv_inc">#REF!</definedName>
    <definedName name="pi_life_prof">#REF!</definedName>
    <definedName name="pi_nl_claims">#REF!</definedName>
    <definedName name="pi_nl_prem_inc">#REF!</definedName>
    <definedName name="pi_nl_prof">#REF!</definedName>
    <definedName name="pi_nl_uw_res">#REF!</definedName>
    <definedName name="Pictur9">"Picture 9"</definedName>
    <definedName name="Picture1">"Picture 1"</definedName>
    <definedName name="Picture10">"Picture 10"</definedName>
    <definedName name="Picture11">"Picture 11"</definedName>
    <definedName name="Picture2">"Picture 2"</definedName>
    <definedName name="Picture4">"Picture 4"</definedName>
    <definedName name="Picture5">"Picture 5"</definedName>
    <definedName name="Picture6">"Picture 6"</definedName>
    <definedName name="piedmontprice">#REF!</definedName>
    <definedName name="piedmontshares">#REF!</definedName>
    <definedName name="PL">#REF!</definedName>
    <definedName name="PL_93_95">#REF!</definedName>
    <definedName name="PL_AM">#REF!</definedName>
    <definedName name="PL_BS">#REF!,#REF!</definedName>
    <definedName name="PL_CG">#REF!</definedName>
    <definedName name="PL_CG_CT">#REF!</definedName>
    <definedName name="PL_CG_DS">#REF!</definedName>
    <definedName name="PL_CP">#REF!</definedName>
    <definedName name="PL_DAB">#REF!</definedName>
    <definedName name="PL_DE">#REF!</definedName>
    <definedName name="PL_DE_M">#REF!</definedName>
    <definedName name="PL_EBIT">#REF!</definedName>
    <definedName name="PL_EBIT_DS">#REF!</definedName>
    <definedName name="PL_EBIT_HS">#REF!</definedName>
    <definedName name="PL_EBIT_M">#REF!</definedName>
    <definedName name="PL_EBITDA">#REF!</definedName>
    <definedName name="PL_EBITDA_HS">#REF!</definedName>
    <definedName name="PL_EI_DS">#REF!</definedName>
    <definedName name="PL_EI_DS_M">#REF!</definedName>
    <definedName name="PL_EM_M">#REF!</definedName>
    <definedName name="PL_EN_AV">#REF!</definedName>
    <definedName name="PL_H1NP">#REF!</definedName>
    <definedName name="PL_H1P">#REF!</definedName>
    <definedName name="PL_H1R">#REF!</definedName>
    <definedName name="PL_IC_AS">#REF!</definedName>
    <definedName name="PL_IC_OT">#REF!</definedName>
    <definedName name="PL_IN">#REF!</definedName>
    <definedName name="PL_IN_HS">#REF!</definedName>
    <definedName name="PL_IN_PY">#REF!</definedName>
    <definedName name="PL_IN_RC">#REF!</definedName>
    <definedName name="PL_Metric">OFFSET(#REF!,0,0,COUNTA(#REF!)-1)</definedName>
    <definedName name="PL_NE">#REF!</definedName>
    <definedName name="PL_NE_OD">#REF!</definedName>
    <definedName name="PL_NE_SD">#REF!</definedName>
    <definedName name="PL_NP">#REF!</definedName>
    <definedName name="PL_NP_DI">#REF!</definedName>
    <definedName name="PL_NP_HS">#REF!</definedName>
    <definedName name="PL_NP_MI">#REF!</definedName>
    <definedName name="PL_NP_OD">#REF!</definedName>
    <definedName name="PL_PERSON0882">#REF!</definedName>
    <definedName name="PL_PERSON0882_HS">#REF!</definedName>
    <definedName name="PL_PBT">#REF!</definedName>
    <definedName name="PL_PBT_HS">#REF!</definedName>
    <definedName name="PL_Q1NP">#REF!</definedName>
    <definedName name="PL_Q1P">#REF!</definedName>
    <definedName name="PL_Q1R">#REF!</definedName>
    <definedName name="PL_Q2NP">#REF!</definedName>
    <definedName name="PL_Q2P">#REF!</definedName>
    <definedName name="PL_Q2R">#REF!</definedName>
    <definedName name="PL_Q3NP">#REF!</definedName>
    <definedName name="PL_Q3P">#REF!</definedName>
    <definedName name="PL_Q3R">#REF!</definedName>
    <definedName name="PL_Q4NP">#REF!</definedName>
    <definedName name="PL_Q4P">#REF!</definedName>
    <definedName name="PL_Q4R">#REF!</definedName>
    <definedName name="PL_RP">#REF!</definedName>
    <definedName name="PL_RV">#REF!</definedName>
    <definedName name="PL_RV_CT">#REF!</definedName>
    <definedName name="PL_RV_DS">#REF!</definedName>
    <definedName name="PL_TE">#REF!</definedName>
    <definedName name="PL_TE_AE">#REF!</definedName>
    <definedName name="PL_TE_EI">#REF!</definedName>
    <definedName name="PL_TE_EI_M">#REF!</definedName>
    <definedName name="PL_TE_OL">#REF!</definedName>
    <definedName name="PL_TE_OP">#REF!</definedName>
    <definedName name="PL_TE_OT">#REF!</definedName>
    <definedName name="PL_TE_PD">#REF!</definedName>
    <definedName name="PL_TE_PE">#REF!</definedName>
    <definedName name="PL_TE_PF">#REF!</definedName>
    <definedName name="PL_TE_RC">#REF!</definedName>
    <definedName name="PL_TE_RD">#REF!</definedName>
    <definedName name="PL_TE_RM">#REF!</definedName>
    <definedName name="PL_TE_SC">#REF!</definedName>
    <definedName name="PL_TE_VC">#REF!</definedName>
    <definedName name="PL_TN">#REF!</definedName>
    <definedName name="PL_TN_HS">#REF!</definedName>
    <definedName name="PL_TX">#REF!</definedName>
    <definedName name="PL_TX_HS">#REF!</definedName>
    <definedName name="plant_table">#REF!</definedName>
    <definedName name="PNL_corp_ohead">#REF!</definedName>
    <definedName name="pops">#REF!</definedName>
    <definedName name="pops02">#REF!</definedName>
    <definedName name="Portable">#REF!</definedName>
    <definedName name="Post_Employment_Benefits">#REF!</definedName>
    <definedName name="Post_tax_stock_gains_losses">#REF!</definedName>
    <definedName name="PPnE_turns_fore">#REF!</definedName>
    <definedName name="PRDATA">#REF!</definedName>
    <definedName name="pre_or_net_profits">#REF!</definedName>
    <definedName name="Pre_Tax_Income">#REF!</definedName>
    <definedName name="Preference_Dividend">#REF!</definedName>
    <definedName name="Preferred_book_value">#REF!</definedName>
    <definedName name="Preferred_Dividends">#REF!</definedName>
    <definedName name="Preferred_stock">#REF!</definedName>
    <definedName name="Preferred_stock_growth_fore">#REF!</definedName>
    <definedName name="Prefix1">OFFSET(#REF!,0,0,COUNTA(#REF!)-1,1)</definedName>
    <definedName name="Prefix10">OFFSET(#REF!,0,0,COUNTA(#REF!)-1,1)</definedName>
    <definedName name="Prefix2">OFFSET(#REF!,0,0,COUNTA(#REF!)-1,1)</definedName>
    <definedName name="Prefix3">OFFSET(#REF!,0,0,COUNTA(#REF!)-1,1)</definedName>
    <definedName name="Prefix4">OFFSET(#REF!,0,0,COUNTA(#REF!)-1,1)</definedName>
    <definedName name="Prefix5">OFFSET(#REF!,0,0,COUNTA(#REF!)-1,1)</definedName>
    <definedName name="Prefix6">OFFSET(#REF!,0,0,COUNTA(#REF!)-1,1)</definedName>
    <definedName name="Prefix7">OFFSET(#REF!,0,0,COUNTA(#REF!)-1,1)</definedName>
    <definedName name="Prefix8">OFFSET(#REF!,0,0,COUNTA(#REF!)-1,1)</definedName>
    <definedName name="Prefix9">OFFSET(#REF!,0,0,COUNTA(#REF!)-1,1)</definedName>
    <definedName name="PrefixAnalyses">OFFSET(#REF!,0,0,COUNTA(#REF!)-1,1)</definedName>
    <definedName name="prefstock">#REF!</definedName>
    <definedName name="Prelim_10">#REF!</definedName>
    <definedName name="Prelim_102">#REF!</definedName>
    <definedName name="Present_Value_Oper_lease">#REF!</definedName>
    <definedName name="PresentationNormalA4">#REF!</definedName>
    <definedName name="pretax">#REF!</definedName>
    <definedName name="Pretax_income">#REF!</definedName>
    <definedName name="pretax_income_06">#REF!</definedName>
    <definedName name="PreTax_Income_Adj">#REF!</definedName>
    <definedName name="Pretax_income_fore">#REF!</definedName>
    <definedName name="pretax00">#REF!</definedName>
    <definedName name="pretax01">#REF!</definedName>
    <definedName name="pretax02">#REF!</definedName>
    <definedName name="pretax2000">#REF!</definedName>
    <definedName name="pretax2001">#REF!</definedName>
    <definedName name="pretax2002">#REF!</definedName>
    <definedName name="pretax2003">#REF!</definedName>
    <definedName name="pretax2004">#REF!</definedName>
    <definedName name="pretax98">#REF!</definedName>
    <definedName name="pretax99">#REF!</definedName>
    <definedName name="PreTaxIncome">#REF!</definedName>
    <definedName name="pretaxLit03">#REF!</definedName>
    <definedName name="pretaxLit04">#REF!</definedName>
    <definedName name="PreviousButton">"Button 19"</definedName>
    <definedName name="Pri_EPSGrowth">#REF!</definedName>
    <definedName name="pric">#REF!</definedName>
    <definedName name="price">#REF!</definedName>
    <definedName name="Price_AsAt">#REF!</definedName>
    <definedName name="price_euro">#REF!</definedName>
    <definedName name="price_history_table">#REF!</definedName>
    <definedName name="Price_Prim">#REF!</definedName>
    <definedName name="Price_Sec">#REF!</definedName>
    <definedName name="price_target_12m">#REF!</definedName>
    <definedName name="price_target_date">#REF!</definedName>
    <definedName name="Price_Tert">#REF!</definedName>
    <definedName name="pricebook">OFFSET(#REF!,0,0,COUNTA(#REF!),1)</definedName>
    <definedName name="PriceDate">#REF!</definedName>
    <definedName name="PriceRef">#REF!</definedName>
    <definedName name="PricesUsed">#REF!</definedName>
    <definedName name="priceuro">#REF!</definedName>
    <definedName name="pricext5">#REF!</definedName>
    <definedName name="PricingData">#REF!</definedName>
    <definedName name="PricingHomeCell1">#REF!</definedName>
    <definedName name="primary_source_id">#REF!</definedName>
    <definedName name="PRIMEVIEW">#REF!</definedName>
    <definedName name="PRIMTH">2</definedName>
    <definedName name="Print">#REF!</definedName>
    <definedName name="print_all_stat">#REF!,#REF!,#REF!</definedName>
    <definedName name="_xlnm.Print_Area" localSheetId="5">Automotive!$A$2:$BK$24</definedName>
    <definedName name="_xlnm.Print_Area" localSheetId="2">Ticker0027!$A$2:$DV$58</definedName>
    <definedName name="_xlnm.Print_Area" localSheetId="1">Worksheet!$A$3:$EC$114</definedName>
    <definedName name="_xlnm.Print_Area">#REF!</definedName>
    <definedName name="Print_Area_MI">#REF!</definedName>
    <definedName name="print_pl">#REF!</definedName>
    <definedName name="_xlnm.Print_Titles" localSheetId="2">Ticker0027!$A:$A,Ticker0027!$1:$4</definedName>
    <definedName name="_xlnm.Print_Titles">#REF!</definedName>
    <definedName name="PrintBS">#REF!</definedName>
    <definedName name="PrintConclusion">#REF!</definedName>
    <definedName name="PrintDCF">#REF!</definedName>
    <definedName name="PrintDCFAssumptions">#REF!</definedName>
    <definedName name="PrintDCFWorkingCap">#REF!</definedName>
    <definedName name="PrintGuideCoBS">#REF!</definedName>
    <definedName name="PrintGuideCoHistoryPage1">#REF!</definedName>
    <definedName name="PrintGuideCoHistoryPage2">#REF!</definedName>
    <definedName name="PrintGuideCoIS">#REF!</definedName>
    <definedName name="PrintGuideCoMultiples">#REF!</definedName>
    <definedName name="PrintGuideCoRatios">#REF!</definedName>
    <definedName name="PrintGuideCoValueSummary">#REF!</definedName>
    <definedName name="PrintGuideSummaryRange">#REF!</definedName>
    <definedName name="PRINTING">#REF!</definedName>
    <definedName name="PrintIS">#REF!</definedName>
    <definedName name="PrintMenu">#REF!</definedName>
    <definedName name="printrange">#REF!</definedName>
    <definedName name="PrintTab">#REF!</definedName>
    <definedName name="PrintTav">#REF!</definedName>
    <definedName name="PRIVOL">4</definedName>
    <definedName name="PRIWEEK">2</definedName>
    <definedName name="Prod.rev">#REF!</definedName>
    <definedName name="ProdPurposeSummaryPivot">#REF!</definedName>
    <definedName name="ProdTypeSummaryPivot">#REF!</definedName>
    <definedName name="ProductPricingORCL">#REF!</definedName>
    <definedName name="prof">#REF!</definedName>
    <definedName name="profitability">#REF!</definedName>
    <definedName name="ProgCosts">#REF!</definedName>
    <definedName name="progright_96">#REF!</definedName>
    <definedName name="progright_97">#REF!</definedName>
    <definedName name="progright_98">#REF!</definedName>
    <definedName name="PROINC1292">#REF!</definedName>
    <definedName name="Proj_Fin">#REF!</definedName>
    <definedName name="Promos_97">#REF!</definedName>
    <definedName name="Promos_98">#REF!</definedName>
    <definedName name="Promos_Euro97">#REF!</definedName>
    <definedName name="Promos_Euro98">#REF!</definedName>
    <definedName name="Promos_rev96">#REF!</definedName>
    <definedName name="Provisions">#REF!</definedName>
    <definedName name="Company2119_5YRGROWTH">#REF!</definedName>
    <definedName name="PSD_Period_End_Shares_In_Issue">#REF!</definedName>
    <definedName name="Company2122">#REF!</definedName>
    <definedName name="PTA_X">#REF!</definedName>
    <definedName name="PTABLN_X">#REF!</definedName>
    <definedName name="pubtitle">#REF!</definedName>
    <definedName name="pubtitle3">#REF!</definedName>
    <definedName name="PV_of_Economic_Profit">#REF!</definedName>
    <definedName name="PV_of_FCF">#REF!</definedName>
    <definedName name="PV_of_Residual_Value">#REF!</definedName>
    <definedName name="PV_Oper_lease">#REF!</definedName>
    <definedName name="q">#REF!</definedName>
    <definedName name="Q.Q" hidden="1">{"Annual_Income",#N/A,FALSE,"Report Page";"Balance_Cash_Flow",#N/A,FALSE,"Report Page";"Quarterly_Income",#N/A,FALSE,"Report Page"}</definedName>
    <definedName name="Q_1GrossMargin">#REF!</definedName>
    <definedName name="Q_1NetIncome">#REF!</definedName>
    <definedName name="Q_1OpsIncome">#REF!</definedName>
    <definedName name="Q_1OpsMargin">#REF!</definedName>
    <definedName name="Q_1Rev">#REF!</definedName>
    <definedName name="Q_2GrossMargin">#REF!</definedName>
    <definedName name="Q_2NetIncome">#REF!</definedName>
    <definedName name="Q_2OpsIncome">#REF!</definedName>
    <definedName name="Q_2OpsMargin">#REF!</definedName>
    <definedName name="Q_2Rev">#REF!</definedName>
    <definedName name="Q_3GrossMargin">#REF!</definedName>
    <definedName name="Q_3NetIncome">#REF!</definedName>
    <definedName name="Q_3OpsIncome">#REF!</definedName>
    <definedName name="Q_3OpsMargin">#REF!</definedName>
    <definedName name="Q_3Rev">#REF!</definedName>
    <definedName name="Q_4GrossMargin">#REF!</definedName>
    <definedName name="Q_4NetIncome">#REF!</definedName>
    <definedName name="Q_4OpsIncome">#REF!</definedName>
    <definedName name="Q_4OpsMargin">#REF!</definedName>
    <definedName name="Q_4Rev">#REF!</definedName>
    <definedName name="q_access_lines">#REF!</definedName>
    <definedName name="Q_CON">#REF!,#REF!,#REF!,#REF!,#REF!,#REF!</definedName>
    <definedName name="Q_CON_CUM">#REF!,#REF!,#REF!,#REF!,#REF!,#REF!</definedName>
    <definedName name="Q_detail">#REF!,#REF!,#REF!,#REF!,#REF!,#REF!,#REF!</definedName>
    <definedName name="Q_NOM">#REF!,#REF!,#REF!,#REF!,#REF!,#REF!,#REF!,#REF!</definedName>
    <definedName name="Q_NOM_CUM">#REF!,#REF!,#REF!,#REF!,#REF!,#REF!</definedName>
    <definedName name="q_vge">#REF!</definedName>
    <definedName name="q_wireless_subs">#REF!</definedName>
    <definedName name="Q0GrossMargin">#REF!</definedName>
    <definedName name="Q0NetIncome">#REF!</definedName>
    <definedName name="Q0OpsIncome">#REF!</definedName>
    <definedName name="Q0OpsMargin">#REF!</definedName>
    <definedName name="Q0Rev">#REF!</definedName>
    <definedName name="q1.00">#REF!</definedName>
    <definedName name="q1.01">#REF!</definedName>
    <definedName name="Q1.1997.04">#REF!</definedName>
    <definedName name="Q1.1998.04">#REF!</definedName>
    <definedName name="Q1.1999.04">#REF!</definedName>
    <definedName name="Q1.2000.04">#REF!</definedName>
    <definedName name="Q1.2001.04">#REF!</definedName>
    <definedName name="Q1.2002.04">#REF!</definedName>
    <definedName name="Q1.2003.04">#REF!</definedName>
    <definedName name="Q1.2004.04">#REF!</definedName>
    <definedName name="Q1.2005.04">#REF!</definedName>
    <definedName name="Q1.2006.04">#REF!</definedName>
    <definedName name="Q1.2007.03">#REF!</definedName>
    <definedName name="Q1.2007.04">#REF!</definedName>
    <definedName name="Q1.2008.02">#REF!</definedName>
    <definedName name="Q1.2008.03">#REF!</definedName>
    <definedName name="Q1.2008.10">#REF!</definedName>
    <definedName name="Q1.2009.02">#REF!</definedName>
    <definedName name="Q1.2009.03">#REF!</definedName>
    <definedName name="Q1.2010.01">#REF!</definedName>
    <definedName name="Q1.2010.02">#REF!</definedName>
    <definedName name="Q1.2010.03">#REF!</definedName>
    <definedName name="Q1.2011.01">#REF!</definedName>
    <definedName name="Q1.2011.02">#REF!</definedName>
    <definedName name="Q1.2011.03">#REF!</definedName>
    <definedName name="Q1.2012.01">#REF!</definedName>
    <definedName name="Q1.2012.02">#REF!</definedName>
    <definedName name="Q1.2012.03">#REF!</definedName>
    <definedName name="Q1.2013.01">#REF!</definedName>
    <definedName name="Q1.2013.02">#REF!</definedName>
    <definedName name="Q1.2013.03">#REF!</definedName>
    <definedName name="Q1.2014.01">#REF!</definedName>
    <definedName name="Q1.2014.02">#REF!</definedName>
    <definedName name="q1.95">#REF!</definedName>
    <definedName name="q1.99">#REF!</definedName>
    <definedName name="Q1_86">#REF!</definedName>
    <definedName name="Q1_87">#REF!</definedName>
    <definedName name="Q1_88">#REF!</definedName>
    <definedName name="Q1_89">#REF!</definedName>
    <definedName name="Q1_90">#REF!</definedName>
    <definedName name="Q1_91">#REF!</definedName>
    <definedName name="Q1_92">#REF!</definedName>
    <definedName name="Q1_93">#REF!</definedName>
    <definedName name="Q1_94">#REF!</definedName>
    <definedName name="Q1_95">#REF!</definedName>
    <definedName name="Q1_96">#REF!</definedName>
    <definedName name="q1_97">#REF!</definedName>
    <definedName name="q1_98">#REF!</definedName>
    <definedName name="q1_99">#REF!</definedName>
    <definedName name="q1_row1">#REF!</definedName>
    <definedName name="q1_row2">#REF!</definedName>
    <definedName name="q1_row3">#REF!</definedName>
    <definedName name="q100_rev">#REF!</definedName>
    <definedName name="q197_rev">#REF!</definedName>
    <definedName name="q198_ni">#REF!</definedName>
    <definedName name="q198_rev">#REF!</definedName>
    <definedName name="q198_shares">#REF!</definedName>
    <definedName name="q199_ni">#REF!</definedName>
    <definedName name="q199_rev">#REF!</definedName>
    <definedName name="q199_shares">#REF!</definedName>
    <definedName name="Q1GrossMargin">#REF!</definedName>
    <definedName name="Q1NetIncome">#REF!</definedName>
    <definedName name="Q1OpsIncome">#REF!</definedName>
    <definedName name="Q1OpsMargin">#REF!</definedName>
    <definedName name="Q1Rev">#REF!</definedName>
    <definedName name="q2.00">#REF!</definedName>
    <definedName name="q2.01">#REF!</definedName>
    <definedName name="Q2.1997.07">#REF!</definedName>
    <definedName name="Q2.1998.07">#REF!</definedName>
    <definedName name="Q2.1999.07">#REF!</definedName>
    <definedName name="Q2.2000.07">#REF!</definedName>
    <definedName name="Q2.2001.07">#REF!</definedName>
    <definedName name="Q2.2002.07">#REF!</definedName>
    <definedName name="Q2.2003.07">#REF!</definedName>
    <definedName name="Q2.2004.07">#REF!</definedName>
    <definedName name="Q2.2005.07">#REF!</definedName>
    <definedName name="Q2.2006.07">#REF!</definedName>
    <definedName name="Q2.2007.06">#REF!</definedName>
    <definedName name="Q2.2007.07">#REF!</definedName>
    <definedName name="Q2.2008.01">#REF!</definedName>
    <definedName name="Q2.2008.03">#REF!</definedName>
    <definedName name="Q2.2008.05">#REF!</definedName>
    <definedName name="Q2.2008.06">#REF!</definedName>
    <definedName name="Q2.2009.01">#REF!</definedName>
    <definedName name="Q2.2009.03">#REF!</definedName>
    <definedName name="Q2.2009.05">#REF!</definedName>
    <definedName name="Q2.2009.06">#REF!</definedName>
    <definedName name="Q2.2010.03">#REF!</definedName>
    <definedName name="Q2.2010.04">#REF!</definedName>
    <definedName name="Q2.2010.05">#REF!</definedName>
    <definedName name="Q2.2010.06">#REF!</definedName>
    <definedName name="Q2.2011.04">#REF!</definedName>
    <definedName name="Q2.2011.05">#REF!</definedName>
    <definedName name="Q2.2011.06">#REF!</definedName>
    <definedName name="Q2.2012.04">#REF!</definedName>
    <definedName name="Q2.2012.05">#REF!</definedName>
    <definedName name="Q2.2012.06">#REF!</definedName>
    <definedName name="Q2.2013.04">#REF!</definedName>
    <definedName name="Q2.2013.05">#REF!</definedName>
    <definedName name="Q2.2013.06">#REF!</definedName>
    <definedName name="Q2.2014.04">#REF!</definedName>
    <definedName name="Q2.2014.05">#REF!</definedName>
    <definedName name="q2.95">#REF!</definedName>
    <definedName name="q2.98">#REF!</definedName>
    <definedName name="q2.99">#REF!</definedName>
    <definedName name="Q2_86">#REF!</definedName>
    <definedName name="Q2_87">#REF!</definedName>
    <definedName name="Q2_88">#REF!</definedName>
    <definedName name="Q2_89">#REF!</definedName>
    <definedName name="Q2_90">#REF!</definedName>
    <definedName name="Q2_91">#REF!</definedName>
    <definedName name="Q2_92">#REF!</definedName>
    <definedName name="Q2_93">#REF!</definedName>
    <definedName name="Q2_94">#REF!</definedName>
    <definedName name="Q2_95">#REF!</definedName>
    <definedName name="Q2_96">#REF!</definedName>
    <definedName name="q2_97">#REF!</definedName>
    <definedName name="q2_98">#REF!</definedName>
    <definedName name="q2_99">#REF!</definedName>
    <definedName name="q2_row1">#REF!</definedName>
    <definedName name="q2_row2">#REF!</definedName>
    <definedName name="q2_row3">#REF!</definedName>
    <definedName name="q200_rev">#REF!</definedName>
    <definedName name="q297_rev">#REF!</definedName>
    <definedName name="q298_ni">#REF!</definedName>
    <definedName name="q298_rev">#REF!</definedName>
    <definedName name="q298_shares">#REF!</definedName>
    <definedName name="q299_ni">#REF!</definedName>
    <definedName name="q299_rev">#REF!</definedName>
    <definedName name="q299_shares">#REF!</definedName>
    <definedName name="Q2GrossMargin">#REF!</definedName>
    <definedName name="Q2NetIncome">#REF!</definedName>
    <definedName name="Q2OpsIncome">#REF!</definedName>
    <definedName name="Q2OpsMargin">#REF!</definedName>
    <definedName name="Q2Rev">#REF!</definedName>
    <definedName name="q3.00">#REF!</definedName>
    <definedName name="q3.01">#REF!</definedName>
    <definedName name="Q3.1997.10">#REF!</definedName>
    <definedName name="Q3.1998.10">#REF!</definedName>
    <definedName name="Q3.1999.10">#REF!</definedName>
    <definedName name="Q3.2000.10">#REF!</definedName>
    <definedName name="Q3.2001.10">#REF!</definedName>
    <definedName name="Q3.2002.10">#REF!</definedName>
    <definedName name="Q3.2003.10">#REF!</definedName>
    <definedName name="Q3.2004.10">#REF!</definedName>
    <definedName name="Q3.2005.10">#REF!</definedName>
    <definedName name="Q3.2006.10">#REF!</definedName>
    <definedName name="Q3.2007.09">#REF!</definedName>
    <definedName name="Q3.2007.10">#REF!</definedName>
    <definedName name="Q3.2008.04">#REF!</definedName>
    <definedName name="Q3.2008.06">#REF!</definedName>
    <definedName name="Q3.2008.08">#REF!</definedName>
    <definedName name="Q3.2008.09">#REF!</definedName>
    <definedName name="Q3.2009.02">#REF!</definedName>
    <definedName name="Q3.2009.03">#REF!</definedName>
    <definedName name="Q3.2009.04">#REF!</definedName>
    <definedName name="Q3.2009.06">#REF!</definedName>
    <definedName name="Q3.2009.08">#REF!</definedName>
    <definedName name="Q3.2009.09">#REF!</definedName>
    <definedName name="Q3.2010.02">#REF!</definedName>
    <definedName name="Q3.2010.03">#REF!</definedName>
    <definedName name="Q3.2010.06">#REF!</definedName>
    <definedName name="Q3.2010.07">#REF!</definedName>
    <definedName name="Q3.2010.08">#REF!</definedName>
    <definedName name="Q3.2010.09">#REF!</definedName>
    <definedName name="Q3.2011.02">#REF!</definedName>
    <definedName name="Q3.2011.03">#REF!</definedName>
    <definedName name="Q3.2011.07">#REF!</definedName>
    <definedName name="Q3.2011.08">#REF!</definedName>
    <definedName name="Q3.2011.09">#REF!</definedName>
    <definedName name="Q3.2012.02">#REF!</definedName>
    <definedName name="Q3.2012.03">#REF!</definedName>
    <definedName name="Q3.2012.07">#REF!</definedName>
    <definedName name="Q3.2012.08">#REF!</definedName>
    <definedName name="Q3.2012.09">#REF!</definedName>
    <definedName name="Q3.2013.02">#REF!</definedName>
    <definedName name="Q3.2013.03">#REF!</definedName>
    <definedName name="Q3.2013.07">#REF!</definedName>
    <definedName name="Q3.2013.08">#REF!</definedName>
    <definedName name="Q3.2013.09">#REF!</definedName>
    <definedName name="Q3.2014.02">#REF!</definedName>
    <definedName name="Q3.2014.03">#REF!</definedName>
    <definedName name="Q3.2014.07">#REF!</definedName>
    <definedName name="Q3.2014.08">#REF!</definedName>
    <definedName name="q3.95">#REF!</definedName>
    <definedName name="q3.97">#REF!</definedName>
    <definedName name="q3.98">#REF!</definedName>
    <definedName name="q3.99">#REF!</definedName>
    <definedName name="Q3_86">#REF!</definedName>
    <definedName name="Q3_87">#REF!</definedName>
    <definedName name="Q3_88">#REF!</definedName>
    <definedName name="Q3_89">#REF!</definedName>
    <definedName name="Q3_90">#REF!</definedName>
    <definedName name="Q3_91">#REF!</definedName>
    <definedName name="Q3_92">#REF!</definedName>
    <definedName name="Q3_93">#REF!</definedName>
    <definedName name="Q3_94">#REF!</definedName>
    <definedName name="Q3_95">#REF!</definedName>
    <definedName name="Q3_96">#REF!</definedName>
    <definedName name="q3_97">#REF!</definedName>
    <definedName name="q3_98">#REF!</definedName>
    <definedName name="q3_98.">#REF!</definedName>
    <definedName name="q3_99">#REF!</definedName>
    <definedName name="q3_row1">#REF!</definedName>
    <definedName name="q3_row2">#REF!</definedName>
    <definedName name="q3_row3">#REF!</definedName>
    <definedName name="q300_rev">#REF!</definedName>
    <definedName name="q397_rev">#REF!</definedName>
    <definedName name="q398_ni">#REF!</definedName>
    <definedName name="q398_rev">#REF!</definedName>
    <definedName name="q398_shares">#REF!</definedName>
    <definedName name="q399_ni">#REF!</definedName>
    <definedName name="q399_rev">#REF!</definedName>
    <definedName name="q399_shares">#REF!</definedName>
    <definedName name="Q3GrossMargin">#REF!</definedName>
    <definedName name="Q3NetIncome">#REF!</definedName>
    <definedName name="Q3OpsIncome">#REF!</definedName>
    <definedName name="Q3OpsMargin">#REF!</definedName>
    <definedName name="Q3Rev">#REF!</definedName>
    <definedName name="q4.00">#REF!</definedName>
    <definedName name="Q4.1997.01">#REF!</definedName>
    <definedName name="Q4.1998.01">#REF!</definedName>
    <definedName name="Q4.1999.01">#REF!</definedName>
    <definedName name="Q4.2000.01">#REF!</definedName>
    <definedName name="Q4.2001.01">#REF!</definedName>
    <definedName name="Q4.2002.01">#REF!</definedName>
    <definedName name="Q4.2003.01">#REF!</definedName>
    <definedName name="Q4.2004.01">#REF!</definedName>
    <definedName name="Q4.2005.01">#REF!</definedName>
    <definedName name="Q4.2006.01">#REF!</definedName>
    <definedName name="Q4.2007.01">#REF!</definedName>
    <definedName name="Q4.2007.12">#REF!</definedName>
    <definedName name="Q4.2008.07">#REF!</definedName>
    <definedName name="Q4.2008.09">#REF!</definedName>
    <definedName name="Q4.2008.11">#REF!</definedName>
    <definedName name="Q4.2008.12">#REF!</definedName>
    <definedName name="Q4.2009.01">#REF!</definedName>
    <definedName name="Q4.2009.03">#REF!</definedName>
    <definedName name="Q4.2009.05">#REF!</definedName>
    <definedName name="Q4.2009.06">#REF!</definedName>
    <definedName name="Q4.2009.07">#REF!</definedName>
    <definedName name="Q4.2009.09">#REF!</definedName>
    <definedName name="Q4.2009.11">#REF!</definedName>
    <definedName name="Q4.2009.12">#REF!</definedName>
    <definedName name="Q4.2010.01">#REF!</definedName>
    <definedName name="Q4.2010.05">#REF!</definedName>
    <definedName name="Q4.2010.06">#REF!</definedName>
    <definedName name="Q4.2010.09">#REF!</definedName>
    <definedName name="Q4.2010.10">#REF!</definedName>
    <definedName name="Q4.2010.11">#REF!</definedName>
    <definedName name="Q4.2010.12">#REF!</definedName>
    <definedName name="Q4.2011.01">#REF!</definedName>
    <definedName name="Q4.2011.05">#REF!</definedName>
    <definedName name="Q4.2011.06">#REF!</definedName>
    <definedName name="Q4.2011.10">#REF!</definedName>
    <definedName name="Q4.2011.11">#REF!</definedName>
    <definedName name="Q4.2011.12">#REF!</definedName>
    <definedName name="Q4.2012.01">#REF!</definedName>
    <definedName name="Q4.2012.05">#REF!</definedName>
    <definedName name="Q4.2012.06">#REF!</definedName>
    <definedName name="Q4.2012.10">#REF!</definedName>
    <definedName name="Q4.2012.11">#REF!</definedName>
    <definedName name="Q4.2012.12">#REF!</definedName>
    <definedName name="Q4.2013.01">#REF!</definedName>
    <definedName name="Q4.2013.05">#REF!</definedName>
    <definedName name="Q4.2013.06">#REF!</definedName>
    <definedName name="Q4.2013.10">#REF!</definedName>
    <definedName name="Q4.2013.11">#REF!</definedName>
    <definedName name="Q4.2013.12">#REF!</definedName>
    <definedName name="Q4.2014.01">#REF!</definedName>
    <definedName name="Q4.2014.05">#REF!</definedName>
    <definedName name="Q4.2014.06">#REF!</definedName>
    <definedName name="Q4.2014.10">#REF!</definedName>
    <definedName name="Q4.2014.11">#REF!</definedName>
    <definedName name="q4.95">#REF!</definedName>
    <definedName name="q4.97">#REF!</definedName>
    <definedName name="q4.98">#REF!</definedName>
    <definedName name="q4.99">#REF!</definedName>
    <definedName name="Q4_86">#REF!</definedName>
    <definedName name="Q4_87">#REF!</definedName>
    <definedName name="Q4_88">#REF!</definedName>
    <definedName name="Q4_89">#REF!</definedName>
    <definedName name="Q4_90">#REF!</definedName>
    <definedName name="Q4_91">#REF!</definedName>
    <definedName name="Q4_92">#REF!</definedName>
    <definedName name="Q4_93">#REF!</definedName>
    <definedName name="Q4_94">#REF!</definedName>
    <definedName name="Q4_95">#REF!</definedName>
    <definedName name="Q4_96">#REF!</definedName>
    <definedName name="q4_97">#REF!</definedName>
    <definedName name="q4_98">#REF!</definedName>
    <definedName name="q4_99">#REF!</definedName>
    <definedName name="q4_row1">#REF!</definedName>
    <definedName name="q4_row2">#REF!</definedName>
    <definedName name="q4_row3">#REF!</definedName>
    <definedName name="q400_rev">#REF!</definedName>
    <definedName name="q497_rev">#REF!</definedName>
    <definedName name="q498_ni">#REF!</definedName>
    <definedName name="q498_rev">#REF!</definedName>
    <definedName name="q498_shares">#REF!</definedName>
    <definedName name="q499_ni">#REF!</definedName>
    <definedName name="q499_rev">#REF!</definedName>
    <definedName name="q499_shares">#REF!</definedName>
    <definedName name="Q4E2004">#REF!</definedName>
    <definedName name="Q4E2005">#REF!</definedName>
    <definedName name="Q4GrossMargin">#REF!</definedName>
    <definedName name="Q4NetIncome">#REF!</definedName>
    <definedName name="Q4OpsIncome">#REF!</definedName>
    <definedName name="Q4OpsMargin">#REF!</definedName>
    <definedName name="Q4Rev">#REF!</definedName>
    <definedName name="QADI">#REF!</definedName>
    <definedName name="qcomavg">#REF!</definedName>
    <definedName name="qcomavgffq">#REF!</definedName>
    <definedName name="qcomchg">#REF!</definedName>
    <definedName name="qcomcurr">#REF!</definedName>
    <definedName name="qcomcurrffq">#REF!</definedName>
    <definedName name="qcompegrelavg">#REF!</definedName>
    <definedName name="qcompegrelcurr">#REF!</definedName>
    <definedName name="qcompegrowthavg">#REF!</definedName>
    <definedName name="qcompegrowthcurr">#REF!</definedName>
    <definedName name="qcomshares">#REF!</definedName>
    <definedName name="Qdays">#REF!</definedName>
    <definedName name="qem_comment">#REF!</definedName>
    <definedName name="QoQ">#REF!</definedName>
    <definedName name="QOQM">IF(ISBLANK(#REF!),IF(#REF!=0,"NM",(#REF!/#REF!)-1),IF(#REF!=0,"NM",(#REF!/#REF!)-1))</definedName>
    <definedName name="qpl">#REF!</definedName>
    <definedName name="qpl_pg1">#REF!</definedName>
    <definedName name="qpl_pg2">#REF!</definedName>
    <definedName name="qryFINALTListing">#REF!</definedName>
    <definedName name="QTR_CHG">#REF!</definedName>
    <definedName name="qtr_rev">#REF!</definedName>
    <definedName name="qtrmth">#REF!</definedName>
    <definedName name="Company2206">#REF!</definedName>
    <definedName name="quarter">#REF!</definedName>
    <definedName name="quarter_change">#REF!</definedName>
    <definedName name="Quarterly">#REF!</definedName>
    <definedName name="QUARTERS">#REF!</definedName>
    <definedName name="Quarters1994">#REF!</definedName>
    <definedName name="Quarters1995">#REF!</definedName>
    <definedName name="Quarters1996">#REF!</definedName>
    <definedName name="Quarters1997">#REF!</definedName>
    <definedName name="Quarters1998">#REF!</definedName>
    <definedName name="Quarters1999">#REF!</definedName>
    <definedName name="Quarters2000">#REF!</definedName>
    <definedName name="Quarters2001">#REF!</definedName>
    <definedName name="Quarters2002">#REF!</definedName>
    <definedName name="Quarters2004" hidden="1">#REF!</definedName>
    <definedName name="Quarters2005" hidden="1">#REF!</definedName>
    <definedName name="Queens_Add">#REF!</definedName>
    <definedName name="r_bvps">#REF!</definedName>
    <definedName name="r_calendar_is_actual">#REF!</definedName>
    <definedName name="r_ceps">#REF!</definedName>
    <definedName name="R_D_amort_years">#REF!</definedName>
    <definedName name="R_D_Amortization">#REF!</definedName>
    <definedName name="R_D_Capzed">#REF!</definedName>
    <definedName name="R_D_expense">#REF!</definedName>
    <definedName name="R_D_expense_IS">#REF!</definedName>
    <definedName name="r_eps_calendar">#REF!</definedName>
    <definedName name="r_eps_fiscal">#REF!</definedName>
    <definedName name="r_eps_us_gaap">#REF!</definedName>
    <definedName name="R_F">#REF!</definedName>
    <definedName name="r_fiscal_is_actual">#REF!</definedName>
    <definedName name="r_roe">#REF!</definedName>
    <definedName name="r_sales_per_share">#REF!</definedName>
    <definedName name="Range_Names">#REF!</definedName>
    <definedName name="rating">#REF!</definedName>
    <definedName name="rbakavgffq">#REF!</definedName>
    <definedName name="rbakchg">#REF!</definedName>
    <definedName name="rbakcurr">#REF!</definedName>
    <definedName name="rbakcurrffq">#REF!</definedName>
    <definedName name="rbakpegrelavg">#REF!</definedName>
    <definedName name="rbakpegrelcurr">#REF!</definedName>
    <definedName name="rbakpegrowthavg">#REF!</definedName>
    <definedName name="rbakpegrowthcurr">#REF!</definedName>
    <definedName name="rbakshares">#REF!</definedName>
    <definedName name="rec">#REF!</definedName>
    <definedName name="rec_id">#REF!</definedName>
    <definedName name="rec_start_date">#REF!</definedName>
    <definedName name="_xlnm.Recorder">#REF!</definedName>
    <definedName name="RedefinePrintTableRange" hidden="1">#REF!</definedName>
    <definedName name="RegionsList">#REF!</definedName>
    <definedName name="Relative">OFFSET(#REF!,0,0,COUNTA(#REF!),1)</definedName>
    <definedName name="relprice">OFFSET(#REF!,0,0,COUNTA(#REF!),1)</definedName>
    <definedName name="Repo">#REF!</definedName>
    <definedName name="Report" localSheetId="2" hidden="1">{#N/A,#N/A,FALSE,"Report Print"}</definedName>
    <definedName name="Report" hidden="1">{#N/A,#N/A,FALSE,"Report Print"}</definedName>
    <definedName name="Reported_net_income">#REF!</definedName>
    <definedName name="ReportPage1" localSheetId="2" hidden="1">{"Annual_Income",#N/A,FALSE,"Report Page";"Balance_Cash_Flow",#N/A,FALSE,"Report Page";"Quarterly_Income",#N/A,FALSE,"Report Page"}</definedName>
    <definedName name="ReportPage1" hidden="1">{"Annual_Income",#N/A,FALSE,"Report Page";"Balance_Cash_Flow",#N/A,FALSE,"Report Page";"Quarterly_Income",#N/A,FALSE,"Report Page"}</definedName>
    <definedName name="republicprice">#REF!</definedName>
    <definedName name="republicshares">#REF!</definedName>
    <definedName name="Required_cash">#REF!</definedName>
    <definedName name="Required_cash_percent">#REF!</definedName>
    <definedName name="Research_Development_Expense">#REF!</definedName>
    <definedName name="Residual_Value">#REF!</definedName>
    <definedName name="Restricted_Stock_Grant">#REF!</definedName>
    <definedName name="Restructuring_charges">#REF!</definedName>
    <definedName name="Restructuring_charges_growth_fore">#REF!</definedName>
    <definedName name="RETURN">#REF!</definedName>
    <definedName name="REV">#REF!</definedName>
    <definedName name="Rev.">#REF!</definedName>
    <definedName name="rev_92">#REF!</definedName>
    <definedName name="rev_93">#REF!</definedName>
    <definedName name="rev_94">#REF!</definedName>
    <definedName name="rev_95">#REF!</definedName>
    <definedName name="rev_g">#REF!</definedName>
    <definedName name="rev_mix">#REF!</definedName>
    <definedName name="Rev_Seq">#REF!</definedName>
    <definedName name="Rev_YoY">#REF!</definedName>
    <definedName name="rev00">#REF!</definedName>
    <definedName name="revchg00">#REF!</definedName>
    <definedName name="revchg97">#REF!</definedName>
    <definedName name="revchg98">#REF!</definedName>
    <definedName name="revchg99">#REF!</definedName>
    <definedName name="Revenue">#REF!</definedName>
    <definedName name="Revenue_Breakdown">#REF!</definedName>
    <definedName name="Revenue_Breakout">#REF!</definedName>
    <definedName name="revenue98">#REF!</definedName>
    <definedName name="Revenuebrkdwn">#REF!</definedName>
    <definedName name="RevenueConsumerEnterprise">#REF!</definedName>
    <definedName name="RevenueDetail">#REF!</definedName>
    <definedName name="REVENUES">#REF!</definedName>
    <definedName name="Revenues_Division_1">#REF!</definedName>
    <definedName name="Revenues_Division_2">#REF!</definedName>
    <definedName name="Revenues_Division_3">#REF!</definedName>
    <definedName name="Revenues_Division_4">#REF!</definedName>
    <definedName name="Revenues_Division_5">#REF!</definedName>
    <definedName name="Revenues_Division_6">#REF!</definedName>
    <definedName name="Revenues_Euro">#REF!</definedName>
    <definedName name="Revenues1997">#REF!</definedName>
    <definedName name="Revenues1998">#REF!</definedName>
    <definedName name="Revenues1999">#REF!</definedName>
    <definedName name="Revenues2000">#REF!</definedName>
    <definedName name="Revenues2001">#REF!</definedName>
    <definedName name="revenues2002">#REF!</definedName>
    <definedName name="revenues2003">#REF!</definedName>
    <definedName name="revenues2004">#REF!</definedName>
    <definedName name="revenues99">#REF!</definedName>
    <definedName name="RevenuesTotal">#REF!</definedName>
    <definedName name="revfy97">#REF!</definedName>
    <definedName name="revfy98">#REF!</definedName>
    <definedName name="revfy99">#REF!</definedName>
    <definedName name="REVQ191">#REF!</definedName>
    <definedName name="REVQ192">#REF!</definedName>
    <definedName name="REVQ193">#REF!</definedName>
    <definedName name="REVQ194">#REF!</definedName>
    <definedName name="REVQ195">#REF!</definedName>
    <definedName name="REVQ196">#REF!</definedName>
    <definedName name="REVQ197">#REF!</definedName>
    <definedName name="REVQ291">#REF!</definedName>
    <definedName name="REVQ292">#REF!</definedName>
    <definedName name="REVQ293">#REF!</definedName>
    <definedName name="REVQ294">#REF!</definedName>
    <definedName name="REVQ295">#REF!</definedName>
    <definedName name="REVQ296">#REF!</definedName>
    <definedName name="REVQ297">#REF!</definedName>
    <definedName name="REVQ391">#REF!</definedName>
    <definedName name="REVQ392">#REF!</definedName>
    <definedName name="REVQ393">#REF!</definedName>
    <definedName name="REVQ394">#REF!</definedName>
    <definedName name="REVQ395">#REF!</definedName>
    <definedName name="REVQ396">#REF!</definedName>
    <definedName name="REVQ397">#REF!</definedName>
    <definedName name="REVQ490">#REF!</definedName>
    <definedName name="REVQ491">#REF!</definedName>
    <definedName name="REVQ492">#REF!</definedName>
    <definedName name="REVQ493">#REF!</definedName>
    <definedName name="REVQ494">#REF!</definedName>
    <definedName name="REVQ495">#REF!</definedName>
    <definedName name="REVQ496">#REF!</definedName>
    <definedName name="REVQ497">#REF!</definedName>
    <definedName name="revs97_fy">#REF!</definedName>
    <definedName name="RIC">#REF!</definedName>
    <definedName name="RID">#REF!</definedName>
    <definedName name="right_border">#REF!</definedName>
    <definedName name="RIsk_free_30yr_Treas">#REF!</definedName>
    <definedName name="Risk_Free_Rate">#REF!</definedName>
    <definedName name="RnD_expense">#REF!</definedName>
    <definedName name="RnD_expense_fore">#REF!</definedName>
    <definedName name="RnD_expense_growth_fore">#REF!</definedName>
    <definedName name="RnD_expenses_fore">#REF!</definedName>
    <definedName name="ROE">#REF!</definedName>
    <definedName name="roe_five_year_est_average">#REF!</definedName>
    <definedName name="roe_normalised">#REF!</definedName>
    <definedName name="Company2301">#REF!</definedName>
    <definedName name="ROIC">#REF!</definedName>
    <definedName name="ROIC_DCF">#REF!</definedName>
    <definedName name="RORIC__3_yr_rolling">#REF!</definedName>
    <definedName name="RowRef">#REF!</definedName>
    <definedName name="Royalty">#REF!</definedName>
    <definedName name="rpms">#REF!</definedName>
    <definedName name="RtgRef">#REF!</definedName>
    <definedName name="RTT">#REF!</definedName>
    <definedName name="rw" hidden="1">{"'Standalone List Price Trends'!$A$1:$X$56"}</definedName>
    <definedName name="rwrwr" hidden="1">{"'Standalone List Price Trends'!$A$1:$X$56"}</definedName>
    <definedName name="rwrwrwrwr" hidden="1">{"'Standalone List Price Trends'!$A$1:$X$56"}</definedName>
    <definedName name="rwwr" hidden="1">{"'Standalone List Price Trends'!$A$1:$X$56"}</definedName>
    <definedName name="rycavg">#REF!</definedName>
    <definedName name="rycchg">#REF!</definedName>
    <definedName name="ryccrpe">#REF!</definedName>
    <definedName name="ryccurr">#REF!</definedName>
    <definedName name="rycdate">#REF!</definedName>
    <definedName name="rycdown">#REF!</definedName>
    <definedName name="rycdownsup">#REF!</definedName>
    <definedName name="ryceps98">#REF!</definedName>
    <definedName name="ryceps99">#REF!</definedName>
    <definedName name="rycfy1cons">#REF!</definedName>
    <definedName name="rycfy2cons">#REF!</definedName>
    <definedName name="rycfy2cons\">#REF!</definedName>
    <definedName name="rychi">#REF!</definedName>
    <definedName name="rychilo">#REF!</definedName>
    <definedName name="rychiu">#REF!</definedName>
    <definedName name="ryclow">#REF!</definedName>
    <definedName name="rycmktcap">#REF!</definedName>
    <definedName name="rycpegrowthavg">#REF!</definedName>
    <definedName name="rycpegrowthcurr">#REF!</definedName>
    <definedName name="rycpegrowthhi">#REF!</definedName>
    <definedName name="rycpegrowthlow">#REF!</definedName>
    <definedName name="rycprice">#REF!</definedName>
    <definedName name="rycrpe">#REF!</definedName>
    <definedName name="rycshares">#REF!</definedName>
    <definedName name="ryctprice">#REF!</definedName>
    <definedName name="rycttmavg">#REF!</definedName>
    <definedName name="rycttmcurr">#REF!</definedName>
    <definedName name="rycttmhi">#REF!</definedName>
    <definedName name="rycttmlow">#REF!</definedName>
    <definedName name="rycttmrelavg">#REF!</definedName>
    <definedName name="rycttmrelcurr">#REF!</definedName>
    <definedName name="rycttmrelhi">#REF!</definedName>
    <definedName name="rycttmrellow">#REF!</definedName>
    <definedName name="rycup">#REF!</definedName>
    <definedName name="rycupsup">#REF!</definedName>
    <definedName name="rycvol">#REF!</definedName>
    <definedName name="rycyield">#REF!</definedName>
    <definedName name="s" hidden="1">{"IS",#N/A,FALSE,"IS";"RPTIS",#N/A,FALSE,"RPTIS";"STATS",#N/A,FALSE,"STATS";"CELL",#N/A,FALSE,"CELL";"BS",#N/A,FALSE,"BS"}</definedName>
    <definedName name="S_T_obligations_under_cap_leases">#REF!</definedName>
    <definedName name="Company2311">#REF!</definedName>
    <definedName name="Sales_growth">#REF!</definedName>
    <definedName name="Sales_growth_avg">#REF!</definedName>
    <definedName name="Sales_Lit03">#REF!</definedName>
    <definedName name="Sales_Lit04">#REF!</definedName>
    <definedName name="Sales_Marketing_Expense">#REF!</definedName>
    <definedName name="Sales00">#REF!</definedName>
    <definedName name="Sales01">#REF!</definedName>
    <definedName name="Sales02">#REF!</definedName>
    <definedName name="SALES1999">#REF!</definedName>
    <definedName name="SALES2000">#REF!</definedName>
    <definedName name="SALES2001">#REF!</definedName>
    <definedName name="SALES2002">#REF!</definedName>
    <definedName name="sales96">#REF!</definedName>
    <definedName name="Sales97">#REF!</definedName>
    <definedName name="Sales98">#REF!</definedName>
    <definedName name="Sales99">#REF!</definedName>
    <definedName name="salesg">#REF!</definedName>
    <definedName name="salesg00">#REF!</definedName>
    <definedName name="salesg98">#REF!</definedName>
    <definedName name="salesg99">#REF!</definedName>
    <definedName name="Company2530">#REF!</definedName>
    <definedName name="sanmavg">#REF!</definedName>
    <definedName name="sanmchg">#REF!</definedName>
    <definedName name="sanmcrpe">#REF!</definedName>
    <definedName name="sanmcurr">#REF!</definedName>
    <definedName name="sanmdate">#REF!</definedName>
    <definedName name="sanmdown">#REF!</definedName>
    <definedName name="sanmdownsup">#REF!</definedName>
    <definedName name="sanmeps99">#REF!</definedName>
    <definedName name="sanmevebitda">#REF!</definedName>
    <definedName name="sanmffqpeavg">#REF!</definedName>
    <definedName name="sanmffqpecurr">#REF!</definedName>
    <definedName name="sanmfy1cons">#REF!</definedName>
    <definedName name="sanmfy2cons">#REF!</definedName>
    <definedName name="sanmhi">#REF!</definedName>
    <definedName name="sanmhilo">#REF!</definedName>
    <definedName name="sanmlow">#REF!</definedName>
    <definedName name="sanmmktcap">#REF!</definedName>
    <definedName name="sanmpe1">#REF!</definedName>
    <definedName name="sanmpe2">#REF!</definedName>
    <definedName name="sanmpegrowthavg">#REF!</definedName>
    <definedName name="sanmpegrowthcurr">#REF!</definedName>
    <definedName name="sanmpegrowthhi">#REF!</definedName>
    <definedName name="sanmpegrowthlow">#REF!</definedName>
    <definedName name="sanmperelavg">#REF!</definedName>
    <definedName name="sanmperelcurr">#REF!</definedName>
    <definedName name="sanmprice">#REF!</definedName>
    <definedName name="sanmrpe">#REF!</definedName>
    <definedName name="sanmshares">#REF!</definedName>
    <definedName name="sanmtprice">#REF!</definedName>
    <definedName name="sanmttmavg">#REF!</definedName>
    <definedName name="sanmttmcurr">#REF!</definedName>
    <definedName name="sanmttmhi">#REF!</definedName>
    <definedName name="sanmttmlow">#REF!</definedName>
    <definedName name="sanmttmrelavg">#REF!</definedName>
    <definedName name="sanmttmrelcurr">#REF!</definedName>
    <definedName name="sanmttmrelhi">#REF!</definedName>
    <definedName name="sanmttmrellow">#REF!</definedName>
    <definedName name="sanmup">#REF!</definedName>
    <definedName name="sanmupsup">#REF!</definedName>
    <definedName name="sanmvol">#REF!</definedName>
    <definedName name="sanmyield">#REF!</definedName>
    <definedName name="Company2320">#REF!</definedName>
    <definedName name="sav_div99">#REF!</definedName>
    <definedName name="sav_price">#REF!</definedName>
    <definedName name="sav_shares">#REF!</definedName>
    <definedName name="sav_shares99">#REF!</definedName>
    <definedName name="sav_target99">#REF!</definedName>
    <definedName name="SBC_5YRGROWTH">#REF!</definedName>
    <definedName name="sbcsngait_IS">#REF!</definedName>
    <definedName name="SCEN">#REF!</definedName>
    <definedName name="scen_change" hidden="1">#REF!</definedName>
    <definedName name="scen_date1" hidden="1">34337.506400463</definedName>
    <definedName name="scen_name1" hidden="1">"/tar"</definedName>
    <definedName name="scen_num" hidden="1">1</definedName>
    <definedName name="scen_user1" hidden="1">"Person1183 Person0343"</definedName>
    <definedName name="scen_value1" hidden="1">"NM"</definedName>
    <definedName name="Scenario">#REF!</definedName>
    <definedName name="scenario_two">#REF!</definedName>
    <definedName name="Company2551_exceptionals">#REF!</definedName>
    <definedName name="scicurr">#REF!</definedName>
    <definedName name="scidate">#REF!</definedName>
    <definedName name="scidown">#REF!</definedName>
    <definedName name="scidownsup">#REF!</definedName>
    <definedName name="scieps99">#REF!</definedName>
    <definedName name="scify1cons">#REF!</definedName>
    <definedName name="scify2cons">#REF!</definedName>
    <definedName name="scihi">#REF!</definedName>
    <definedName name="scihilo">#REF!</definedName>
    <definedName name="scilow">#REF!</definedName>
    <definedName name="scimktcap">#REF!</definedName>
    <definedName name="scipegrowthavg">#REF!</definedName>
    <definedName name="scipegrowthcurr">#REF!</definedName>
    <definedName name="scipegrowthhi">#REF!</definedName>
    <definedName name="scipegrowthlow">#REF!</definedName>
    <definedName name="sciprice">#REF!</definedName>
    <definedName name="scirpe">#REF!</definedName>
    <definedName name="scishares">#REF!</definedName>
    <definedName name="scitprice">#REF!</definedName>
    <definedName name="scittmavg">#REF!</definedName>
    <definedName name="scittmcurr">#REF!</definedName>
    <definedName name="scittmhi">#REF!</definedName>
    <definedName name="scittmlow">#REF!</definedName>
    <definedName name="scittmrelavg">#REF!</definedName>
    <definedName name="scittmrelcurr">#REF!</definedName>
    <definedName name="scittmrelhi">#REF!</definedName>
    <definedName name="scittmrellow">#REF!</definedName>
    <definedName name="sciup">#REF!</definedName>
    <definedName name="sciupsup">#REF!</definedName>
    <definedName name="scivol">#REF!</definedName>
    <definedName name="sciyield">#REF!</definedName>
    <definedName name="Company2347">#REF!</definedName>
    <definedName name="scmravg">#REF!</definedName>
    <definedName name="scmravgffq">#REF!</definedName>
    <definedName name="scmrchg">#REF!</definedName>
    <definedName name="scmrcurr">#REF!</definedName>
    <definedName name="scmrcurrffq">#REF!</definedName>
    <definedName name="scmrpegrelavg">#REF!</definedName>
    <definedName name="scmrpegrelcurr">#REF!</definedName>
    <definedName name="scmrpegrowthavg">#REF!</definedName>
    <definedName name="scmrpegrowthcurr">#REF!</definedName>
    <definedName name="scmrshares">#REF!</definedName>
    <definedName name="SDFG">#REF!</definedName>
    <definedName name="sdlicurr">#REF!</definedName>
    <definedName name="sdlidown">#REF!</definedName>
    <definedName name="sdlidownsup">#REF!</definedName>
    <definedName name="sdlieps98">#REF!</definedName>
    <definedName name="sdlieps99">#REF!</definedName>
    <definedName name="sdlify1cons">#REF!</definedName>
    <definedName name="sdlify2cons">#REF!</definedName>
    <definedName name="sdlihi">#REF!</definedName>
    <definedName name="sdlihilo">#REF!</definedName>
    <definedName name="sdlilow">#REF!</definedName>
    <definedName name="sdlimktcap">#REF!</definedName>
    <definedName name="sdlipegrowthavg">#REF!</definedName>
    <definedName name="sdlipegrowthcurr">#REF!</definedName>
    <definedName name="sdlipegrowthhi">#REF!</definedName>
    <definedName name="sdlipegrowthlow">#REF!</definedName>
    <definedName name="sdliprice">#REF!</definedName>
    <definedName name="sdlirpe">#REF!</definedName>
    <definedName name="sdlishares">#REF!</definedName>
    <definedName name="sdlitprice">#REF!</definedName>
    <definedName name="sdlittmavg">#REF!</definedName>
    <definedName name="sdlittmcurr">#REF!</definedName>
    <definedName name="sdlittmhi">#REF!</definedName>
    <definedName name="sdlittmlow">#REF!</definedName>
    <definedName name="sdlittmrelavg">#REF!</definedName>
    <definedName name="sdlittmrelcurr">#REF!</definedName>
    <definedName name="sdlittmrelhi">#REF!</definedName>
    <definedName name="sdlittmrellow">#REF!</definedName>
    <definedName name="sdliup">#REF!</definedName>
    <definedName name="sdliupsup">#REF!</definedName>
    <definedName name="sdlivol">#REF!</definedName>
    <definedName name="sdliyield">#REF!</definedName>
    <definedName name="SE">#REF!</definedName>
    <definedName name="Company2366_DEAL">#REF!</definedName>
    <definedName name="Company2367">#REF!</definedName>
    <definedName name="sec_mkt_cap">#REF!</definedName>
    <definedName name="Second">#REF!</definedName>
    <definedName name="SECTOR">#REF!</definedName>
    <definedName name="SectorNames">#REF!</definedName>
    <definedName name="security_id">#REF!</definedName>
    <definedName name="SEDOL">#REF!</definedName>
    <definedName name="Segment1_income">#REF!</definedName>
    <definedName name="Segment1_income_DCF">#REF!</definedName>
    <definedName name="Segment1_income_fore">#REF!</definedName>
    <definedName name="Segment1_income_growth_fore">#REF!</definedName>
    <definedName name="Segment2_income">#REF!</definedName>
    <definedName name="Segment2_income_DCF">#REF!</definedName>
    <definedName name="Segment2_income_fore">#REF!</definedName>
    <definedName name="Segment2_income_growth_fore">#REF!</definedName>
    <definedName name="select_dps_to_use">#REF!</definedName>
    <definedName name="select_mkt_cap_to_use">#REF!</definedName>
    <definedName name="select_tot_fd_shares_to_use">#REF!</definedName>
    <definedName name="select_tot_ud_shares_to_use">#REF!</definedName>
    <definedName name="SelectedRegionName">#REF!</definedName>
    <definedName name="sencount" hidden="1">1</definedName>
    <definedName name="SENS">#REF!</definedName>
    <definedName name="server">#REF!</definedName>
    <definedName name="service">#REF!</definedName>
    <definedName name="Service_Rev">#REF!</definedName>
    <definedName name="Services">#REF!</definedName>
    <definedName name="Services_Revenue">#REF!</definedName>
    <definedName name="SF_Add">#REF!</definedName>
    <definedName name="SF_Bank">#REF!</definedName>
    <definedName name="SF_Date">#REF!</definedName>
    <definedName name="SF_Sell">#REF!</definedName>
    <definedName name="sfacurr">#REF!</definedName>
    <definedName name="sfacurrffq">#REF!</definedName>
    <definedName name="sfapegrelavg">#REF!</definedName>
    <definedName name="sfapegrelcurr">#REF!</definedName>
    <definedName name="sfapegrowthavg">#REF!</definedName>
    <definedName name="sfapegrowthcurr">#REF!</definedName>
    <definedName name="sfashares">#REF!</definedName>
    <definedName name="Company2382_QDEPTID">#REF!</definedName>
    <definedName name="SGA">#REF!</definedName>
    <definedName name="SGA_fore">#REF!</definedName>
    <definedName name="SGA_growth">#REF!</definedName>
    <definedName name="SGA_growth_avg">#REF!</definedName>
    <definedName name="SGA_growth_fore">#REF!</definedName>
    <definedName name="SGA_margin">#REF!</definedName>
    <definedName name="SGA_margin_fore">#REF!</definedName>
    <definedName name="Share_Data">#REF!</definedName>
    <definedName name="share_price">#REF!</definedName>
    <definedName name="Shareholder_value">#REF!</definedName>
    <definedName name="Shareholder_Value_EVA">#REF!</definedName>
    <definedName name="Shareholders_equity">#REF!</definedName>
    <definedName name="shares">#REF!</definedName>
    <definedName name="shares_avg">#REF!</definedName>
    <definedName name="Shares_DCF">#REF!</definedName>
    <definedName name="shares_fd_actual">#REF!</definedName>
    <definedName name="shares_fd_mkt">#REF!</definedName>
    <definedName name="shares_fd_over">#REF!</definedName>
    <definedName name="shares_fd_use_over">#REF!</definedName>
    <definedName name="Shares_fore">#REF!</definedName>
    <definedName name="Shares_growth">#REF!</definedName>
    <definedName name="Shares_growth_fore">#REF!</definedName>
    <definedName name="shares_not_floating">#REF!</definedName>
    <definedName name="shares_qtr">#REF!</definedName>
    <definedName name="Shares_repurchase_liability">#REF!</definedName>
    <definedName name="shares_ud_actual">#REF!</definedName>
    <definedName name="shares_ud_mkt">#REF!</definedName>
    <definedName name="shares_ud_over">#REF!</definedName>
    <definedName name="shares_ud_use_over">#REF!</definedName>
    <definedName name="Shares96">#REF!</definedName>
    <definedName name="Shares97">#REF!</definedName>
    <definedName name="sharesfd">#REF!</definedName>
    <definedName name="SharesSelected">#REF!</definedName>
    <definedName name="Company2553">#REF!</definedName>
    <definedName name="SHIPMENTS">#REF!</definedName>
    <definedName name="Shipmentw">#REF!</definedName>
    <definedName name="Short_Flow_Data">#REF!</definedName>
    <definedName name="Short_Term_Debt">#REF!</definedName>
    <definedName name="Shortterm_Deferred_Revenue">#REF!</definedName>
    <definedName name="Show_Dialog_Box">#REF!</definedName>
    <definedName name="SizingColumn">#REF!</definedName>
    <definedName name="SL_Interest">#REF!</definedName>
    <definedName name="SLCash">#REF!</definedName>
    <definedName name="slrcurr">#REF!</definedName>
    <definedName name="slrdate">#REF!</definedName>
    <definedName name="slrdown">#REF!</definedName>
    <definedName name="slrdownsup">#REF!</definedName>
    <definedName name="slreps99">#REF!</definedName>
    <definedName name="slrfy1cons">#REF!</definedName>
    <definedName name="slrfy2cons">#REF!</definedName>
    <definedName name="slrhi">#REF!</definedName>
    <definedName name="slrhilo">#REF!</definedName>
    <definedName name="slrlow">#REF!</definedName>
    <definedName name="slrpegrowthavg">#REF!</definedName>
    <definedName name="slrpegrowthcurr">#REF!</definedName>
    <definedName name="slrpegrowthhi">#REF!</definedName>
    <definedName name="slrpegrowthlow">#REF!</definedName>
    <definedName name="slrprice">#REF!</definedName>
    <definedName name="slrrpe">#REF!</definedName>
    <definedName name="slrshares">#REF!</definedName>
    <definedName name="slrtprice">#REF!</definedName>
    <definedName name="slrttmavg">#REF!</definedName>
    <definedName name="slrttmcurr">#REF!</definedName>
    <definedName name="slrttmhi">#REF!</definedName>
    <definedName name="slrttmlow">#REF!</definedName>
    <definedName name="slrttmrelavg">#REF!</definedName>
    <definedName name="slrttmrelcurr">#REF!</definedName>
    <definedName name="slrttmrelhi">#REF!</definedName>
    <definedName name="slrttmrellow">#REF!</definedName>
    <definedName name="slrup">#REF!</definedName>
    <definedName name="slrupsup">#REF!</definedName>
    <definedName name="slrvol">#REF!</definedName>
    <definedName name="slryield">#REF!</definedName>
    <definedName name="sme">#REF!</definedName>
    <definedName name="smodavg">#REF!</definedName>
    <definedName name="smodchg">#REF!</definedName>
    <definedName name="smodcrpe">#REF!</definedName>
    <definedName name="smodcurr">#REF!</definedName>
    <definedName name="smoddate">#REF!</definedName>
    <definedName name="smoddown">#REF!</definedName>
    <definedName name="smoddownsup">#REF!</definedName>
    <definedName name="smodeps98">#REF!</definedName>
    <definedName name="smodeps99">#REF!</definedName>
    <definedName name="smodfy1cons">#REF!</definedName>
    <definedName name="smodfy2cons">#REF!</definedName>
    <definedName name="smodhi">#REF!</definedName>
    <definedName name="smodhilo">#REF!</definedName>
    <definedName name="smodlow">#REF!</definedName>
    <definedName name="smodmktcap">#REF!</definedName>
    <definedName name="smodpegrowthavg">#REF!</definedName>
    <definedName name="smodpegrowthcurr">#REF!</definedName>
    <definedName name="smodpegrowthhi">#REF!</definedName>
    <definedName name="smodpegrowthlow">#REF!</definedName>
    <definedName name="smodprice">#REF!</definedName>
    <definedName name="smodrpe">#REF!</definedName>
    <definedName name="smodshares">#REF!</definedName>
    <definedName name="smodtprice">#REF!</definedName>
    <definedName name="smodttmavg">#REF!</definedName>
    <definedName name="smodttmcurr">#REF!</definedName>
    <definedName name="smodttmhi">#REF!</definedName>
    <definedName name="smodttmlow">#REF!</definedName>
    <definedName name="smodttmrelavg">#REF!</definedName>
    <definedName name="smodttmrelcurr">#REF!</definedName>
    <definedName name="smodttmrelhi">#REF!</definedName>
    <definedName name="smodttmrellow">#REF!</definedName>
    <definedName name="smodup">#REF!</definedName>
    <definedName name="smodupsup">#REF!</definedName>
    <definedName name="smodvol">#REF!</definedName>
    <definedName name="smodyield">#REF!</definedName>
    <definedName name="snapshot">#REF!</definedName>
    <definedName name="Software">#REF!</definedName>
    <definedName name="Product0382_Per_Month">#REF!</definedName>
    <definedName name="solv">#REF!</definedName>
    <definedName name="solvency">#REF!</definedName>
    <definedName name="solver_lin" hidden="1">0</definedName>
    <definedName name="solver_num" hidden="1">0</definedName>
    <definedName name="solver_typ" hidden="1">3</definedName>
    <definedName name="solver_val" hidden="1">0.1076</definedName>
    <definedName name="Company2577_ARPU">#REF!</definedName>
    <definedName name="Company2577_Cash">#REF!</definedName>
    <definedName name="Company2577_Country_Penetration">#REF!</definedName>
    <definedName name="Company2577_Current_Debtors">#REF!</definedName>
    <definedName name="Company2577_Equity">#REF!</definedName>
    <definedName name="Company2577_Inventories">#REF!</definedName>
    <definedName name="Company2577_Net_Debt">#REF!</definedName>
    <definedName name="Company2577_Net_Interest">#REF!</definedName>
    <definedName name="Company2577_Nominal_Tax_Rate">#REF!</definedName>
    <definedName name="Company2577_Total_Fixed_Assets">#REF!</definedName>
    <definedName name="Company2577_Year00">#REF!</definedName>
    <definedName name="Company2577_Year01">#REF!</definedName>
    <definedName name="Company2577_Year02">#REF!</definedName>
    <definedName name="Company2577_Year03">#REF!</definedName>
    <definedName name="Company2577_Year04">#REF!</definedName>
    <definedName name="Company2577_Year98">#REF!</definedName>
    <definedName name="Company2577_Year99">#REF!</definedName>
    <definedName name="sop">#REF!</definedName>
    <definedName name="SOP_print">#REF!</definedName>
    <definedName name="Sorted_by_Month">#REF!</definedName>
    <definedName name="Sorts">#REF!</definedName>
    <definedName name="SOXPriceRange">#REF!</definedName>
    <definedName name="spec_div">#REF!</definedName>
    <definedName name="special">#REF!</definedName>
    <definedName name="spiichg">#REF!</definedName>
    <definedName name="spiilastq">#REF!</definedName>
    <definedName name="spiilastqy">#REF!</definedName>
    <definedName name="spiinextq">#REF!</definedName>
    <definedName name="spiinextqy">#REF!</definedName>
    <definedName name="Spot_AUD">#REF!</definedName>
    <definedName name="Spot_EUR">#REF!</definedName>
    <definedName name="spot_gbp">#REF!</definedName>
    <definedName name="Spot_JPY">#REF!</definedName>
    <definedName name="Spot_PKR">#REF!</definedName>
    <definedName name="Spot_Rate">#REF!</definedName>
    <definedName name="Spot_USD">#REF!</definedName>
    <definedName name="Spread_on_debt">#REF!</definedName>
    <definedName name="SRA1V_AdjustedEV">#REF!</definedName>
    <definedName name="SRA1V_AssociatesMinorities">#REF!</definedName>
    <definedName name="SRA1V_UnleveredFCF">#REF!</definedName>
    <definedName name="SS">#REF!</definedName>
    <definedName name="Company2487">#REF!</definedName>
    <definedName name="ST_debt">#REF!</definedName>
    <definedName name="ST_debt_growth_fore">#REF!</definedName>
    <definedName name="ST_Deferred_Rev">#REF!</definedName>
    <definedName name="Staightline_charge">#REF!</definedName>
    <definedName name="Starpower_Add">#REF!</definedName>
    <definedName name="Start">#REF!</definedName>
    <definedName name="StartPosition">#REF!</definedName>
    <definedName name="StartYear">#REF!</definedName>
    <definedName name="Company2491_AdjustedEV">#REF!</definedName>
    <definedName name="Company2491_AssociatesMinorities">#REF!</definedName>
    <definedName name="Company2491_UnleveredFCF">#REF!</definedName>
    <definedName name="Stock_Option_Expense_Against_Earnings_PostTax">#REF!</definedName>
    <definedName name="stock_price">#REF!</definedName>
    <definedName name="Stock_price_high">#REF!</definedName>
    <definedName name="Stock_price_low">#REF!</definedName>
    <definedName name="StockData">#REF!</definedName>
    <definedName name="StockPrice">#REF!</definedName>
    <definedName name="Storage">#REF!</definedName>
    <definedName name="Company2496_5YRGROWTH">#REF!</definedName>
    <definedName name="stub_price">#REF!</definedName>
    <definedName name="subs02">#REF!</definedName>
    <definedName name="Subscription_Revenue">#REF!</definedName>
    <definedName name="SUM_OF_THE_PART_VALUATION">#REF!</definedName>
    <definedName name="SUMM">#REF!</definedName>
    <definedName name="summary">#REF!</definedName>
    <definedName name="SUMMARY_BALANCE_SHEET">#REF!</definedName>
    <definedName name="SUMMARY_CASH_FLOW_STATEMENT">#REF!</definedName>
    <definedName name="Summary_Date">#REF!</definedName>
    <definedName name="Summary_print">#REF!</definedName>
    <definedName name="SUMMARY_PROFIT___LOSS">#REF!</definedName>
    <definedName name="SummaryArea">#REF!</definedName>
    <definedName name="SummaryIssuers">#REF!</definedName>
    <definedName name="SummaryTypes">#REF!</definedName>
    <definedName name="SUNWQTR">#REF!</definedName>
    <definedName name="sutcurr">#REF!</definedName>
    <definedName name="sutdate">#REF!</definedName>
    <definedName name="sutdown">#REF!</definedName>
    <definedName name="sutdownsup">#REF!</definedName>
    <definedName name="suteps99">#REF!</definedName>
    <definedName name="sutfy1cons">#REF!</definedName>
    <definedName name="sutfy2cons">#REF!</definedName>
    <definedName name="suthi">#REF!</definedName>
    <definedName name="suthilo">#REF!</definedName>
    <definedName name="sutlow">#REF!</definedName>
    <definedName name="sutmktcap">#REF!</definedName>
    <definedName name="sutpegrowthavg">#REF!</definedName>
    <definedName name="sutpegrowthcurr">#REF!</definedName>
    <definedName name="sutpegrowthhi">#REF!</definedName>
    <definedName name="sutpegrowthlow">#REF!</definedName>
    <definedName name="sutprice">#REF!</definedName>
    <definedName name="sutrpe">#REF!</definedName>
    <definedName name="sutshares">#REF!</definedName>
    <definedName name="suttprice">#REF!</definedName>
    <definedName name="sutttmavg">#REF!</definedName>
    <definedName name="sutttmcurr">#REF!</definedName>
    <definedName name="sutttmhi">#REF!</definedName>
    <definedName name="sutttmlow">#REF!</definedName>
    <definedName name="sutttmrelavg">#REF!</definedName>
    <definedName name="sutttmrelcurr">#REF!</definedName>
    <definedName name="sutttmrelhi">#REF!</definedName>
    <definedName name="sutttmrellow">#REF!</definedName>
    <definedName name="sutup">#REF!</definedName>
    <definedName name="sutupsup">#REF!</definedName>
    <definedName name="sutvol">#REF!</definedName>
    <definedName name="sutyield">#REF!</definedName>
    <definedName name="Company2504">#REF!</definedName>
    <definedName name="sxcavg">#REF!</definedName>
    <definedName name="sxcchg">#REF!</definedName>
    <definedName name="sxccrpe">#REF!</definedName>
    <definedName name="sxccurr">#REF!</definedName>
    <definedName name="sxcdate">#REF!</definedName>
    <definedName name="sxcdown">#REF!</definedName>
    <definedName name="sxcdownsup">#REF!</definedName>
    <definedName name="sxceps98">#REF!</definedName>
    <definedName name="sxceps99">#REF!</definedName>
    <definedName name="sxcfy1cons">#REF!</definedName>
    <definedName name="sxcfy2cons">#REF!</definedName>
    <definedName name="sxchi">#REF!</definedName>
    <definedName name="sxchilo">#REF!</definedName>
    <definedName name="sxclow">#REF!</definedName>
    <definedName name="sxcpegrowthavg">#REF!</definedName>
    <definedName name="sxcpegrowthcurr">#REF!</definedName>
    <definedName name="sxcpegrowthhi">#REF!</definedName>
    <definedName name="sxcpegrowthlow">#REF!</definedName>
    <definedName name="sxcprice">#REF!</definedName>
    <definedName name="sxcrpe">#REF!</definedName>
    <definedName name="sxcshares">#REF!</definedName>
    <definedName name="sxctprice">#REF!</definedName>
    <definedName name="sxcttmavg">#REF!</definedName>
    <definedName name="sxcttmcurr">#REF!</definedName>
    <definedName name="sxcttmhi">#REF!</definedName>
    <definedName name="sxcttmlow">#REF!</definedName>
    <definedName name="sxcttmrelavg">#REF!</definedName>
    <definedName name="sxcttmrelcurr">#REF!</definedName>
    <definedName name="sxcttmrelhi">#REF!</definedName>
    <definedName name="sxcup">#REF!</definedName>
    <definedName name="sxcupsup">#REF!</definedName>
    <definedName name="sxcvol">#REF!</definedName>
    <definedName name="sxcyield">#REF!</definedName>
    <definedName name="SysCap_Pricing">#REF!</definedName>
    <definedName name="SystemsBreakdown">#REF!</definedName>
    <definedName name="t">#REF!</definedName>
    <definedName name="T_5YRGROWTH">#REF!</definedName>
    <definedName name="t_ebdit">#REF!</definedName>
    <definedName name="t_ebitda">#REF!</definedName>
    <definedName name="t_free_cash_flow">#REF!</definedName>
    <definedName name="t_tot_cash_earns">#REF!</definedName>
    <definedName name="t_tot_interest_payments">#REF!</definedName>
    <definedName name="t_tot_net_debt">#REF!</definedName>
    <definedName name="TABLE">#REF!</definedName>
    <definedName name="TABLE_1">#REF!</definedName>
    <definedName name="Table_1_1">#REF!</definedName>
    <definedName name="Table_1_2">#REF!</definedName>
    <definedName name="Table_1_3">#REF!</definedName>
    <definedName name="Table_1_4">#REF!</definedName>
    <definedName name="Table_1_5">#REF!</definedName>
    <definedName name="Table_1_6">#REF!</definedName>
    <definedName name="Table_1_7">#REF!</definedName>
    <definedName name="TABLE_2">#REF!</definedName>
    <definedName name="Table_2_1">#REF!</definedName>
    <definedName name="table_2001">#REF!</definedName>
    <definedName name="table_2002">#REF!</definedName>
    <definedName name="table_2003">#REF!</definedName>
    <definedName name="table_2004">#REF!</definedName>
    <definedName name="TABLE_3">#REF!</definedName>
    <definedName name="table_name">#REF!</definedName>
    <definedName name="TableName">"Dummy"</definedName>
    <definedName name="TabsForDeletion">#REF!</definedName>
    <definedName name="TALK_95EBIT">#REF!</definedName>
    <definedName name="TALK_95EBITDA">#REF!</definedName>
    <definedName name="TALK_96EPS">#REF!</definedName>
    <definedName name="TALK_97EPS">#REF!</definedName>
    <definedName name="TALK_98EPS">#REF!</definedName>
    <definedName name="TALK_ASSET">#REF!</definedName>
    <definedName name="TALK_DEBT">#REF!</definedName>
    <definedName name="TALK_DIV">#REF!</definedName>
    <definedName name="TALK_INTANGIBLE">#REF!</definedName>
    <definedName name="TALK_LTMCAPEX">#REF!</definedName>
    <definedName name="TALK_LTMEBIT">#REF!</definedName>
    <definedName name="TALK_LTMEBITDA">#REF!</definedName>
    <definedName name="TALK_LTMINT">#REF!</definedName>
    <definedName name="TALK_LTMNI">#REF!</definedName>
    <definedName name="TALK_LTMREV">#REF!</definedName>
    <definedName name="TALK_LTMSGA">#REF!</definedName>
    <definedName name="talk_min">#REF!</definedName>
    <definedName name="TALK_name">#REF!</definedName>
    <definedName name="TALK_netdebt">#REF!</definedName>
    <definedName name="TALK_price">#REF!</definedName>
    <definedName name="TALK_SE">#REF!</definedName>
    <definedName name="TALK_share">#REF!</definedName>
    <definedName name="TALK_ticker">#REF!</definedName>
    <definedName name="Tape">#REF!</definedName>
    <definedName name="TAPEStorage">#REF!</definedName>
    <definedName name="target">#REF!</definedName>
    <definedName name="Target_debt_to_capital">#REF!</definedName>
    <definedName name="targmult">#REF!</definedName>
    <definedName name="tariff_discount">#REF!</definedName>
    <definedName name="tax">#REF!</definedName>
    <definedName name="Tax_benefit_from_interest">#REF!</definedName>
    <definedName name="Tax_benefit_from_oper_leases">#REF!</definedName>
    <definedName name="Tax_benefit_from_ops_leases">#REF!</definedName>
    <definedName name="Tax_Benefit_Option_Exercise">#REF!</definedName>
    <definedName name="Tax_Paid">#REF!</definedName>
    <definedName name="Tax_Rate">#REF!</definedName>
    <definedName name="Tax_rate_for_WACC">#REF!</definedName>
    <definedName name="Tax_Shield_Tax_Rate">#REF!</definedName>
    <definedName name="Tax00">#REF!</definedName>
    <definedName name="Taxes">#REF!</definedName>
    <definedName name="taxrate">#REF!</definedName>
    <definedName name="taxrate00">#REF!</definedName>
    <definedName name="taxrate01">#REF!</definedName>
    <definedName name="taxrate02">#REF!</definedName>
    <definedName name="taxrate03">#REF!</definedName>
    <definedName name="taxrate04">#REF!</definedName>
    <definedName name="taxrate98">#REF!</definedName>
    <definedName name="taxrate99">#REF!</definedName>
    <definedName name="TBShare">#REF!</definedName>
    <definedName name="tcgh">#REF!</definedName>
    <definedName name="Company2629_1yrEPS">#REF!</definedName>
    <definedName name="Company2629_2yrEPS">#REF!</definedName>
    <definedName name="Company2629_52HIGH">#REF!</definedName>
    <definedName name="Company2629_5YRGROWTH">#REF!</definedName>
    <definedName name="Company2629_96EPS">#REF!</definedName>
    <definedName name="Company2629_97EPS">#REF!</definedName>
    <definedName name="Company2629_98EPS">#REF!</definedName>
    <definedName name="Company2629_LTMSGA">#REF!</definedName>
    <definedName name="Company2629_PRICE">#REF!</definedName>
    <definedName name="tele5">#REF!</definedName>
    <definedName name="tele5_div">#REF!</definedName>
    <definedName name="Tele5Dec96">#REF!</definedName>
    <definedName name="Tele5Dec97">#REF!</definedName>
    <definedName name="Tele5Dec98">#REF!</definedName>
    <definedName name="Tele5Dec99">#REF!</definedName>
    <definedName name="telecinco">#REF!</definedName>
    <definedName name="Company2636_AssociatesMinorities">#REF!</definedName>
    <definedName name="TEM_AssociatesMinorities">#REF!</definedName>
    <definedName name="TEMP">#REF!</definedName>
    <definedName name="Template.WIRE">"DBACCESS"</definedName>
    <definedName name="Tempme" hidden="1">{#N/A,#N/A,FALSE,"Output";#N/A,#N/A,FALSE,"Cover Sheet";#N/A,#N/A,FALSE,"Current Mkt. Projections"}</definedName>
    <definedName name="Tempme3" hidden="1">{#N/A,#N/A,FALSE,"Output";#N/A,#N/A,FALSE,"Cover Sheet";#N/A,#N/A,FALSE,"Current Mkt. Projections"}</definedName>
    <definedName name="Tempme4" hidden="1">{#N/A,#N/A,FALSE,"Output";#N/A,#N/A,FALSE,"Cover Sheet";#N/A,#N/A,FALSE,"Current Mkt. Projections"}</definedName>
    <definedName name="Tempo5" hidden="1">{#N/A,#N/A,FALSE,"Output";#N/A,#N/A,FALSE,"Cover Sheet";#N/A,#N/A,FALSE,"Current Mkt. Projections"}</definedName>
    <definedName name="Tempo5a" hidden="1">{#N/A,#N/A,FALSE,"Output";#N/A,#N/A,FALSE,"Cover Sheet";#N/A,#N/A,FALSE,"Current Mkt. Projections"}</definedName>
    <definedName name="ternfy1cons">#REF!</definedName>
    <definedName name="ternfy2cons">#REF!</definedName>
    <definedName name="ternhi">#REF!</definedName>
    <definedName name="ternlow">#REF!</definedName>
    <definedName name="ternpegrowthavg">#REF!</definedName>
    <definedName name="ternpegrowthcurr">#REF!</definedName>
    <definedName name="ternpegrowthhi">#REF!</definedName>
    <definedName name="ternpegrowthlow">#REF!</definedName>
    <definedName name="ternprice">#REF!</definedName>
    <definedName name="ternshares">#REF!</definedName>
    <definedName name="ternttmavg">#REF!</definedName>
    <definedName name="ternttmcurr">#REF!</definedName>
    <definedName name="ternttmhi">#REF!</definedName>
    <definedName name="ternttmlow">#REF!</definedName>
    <definedName name="ternttmrelavg">#REF!</definedName>
    <definedName name="ternttmrelcurr">#REF!</definedName>
    <definedName name="ternttmrelhi">#REF!</definedName>
    <definedName name="ternttmrellow">#REF!</definedName>
    <definedName name="TEST" hidden="1">{#N/A,#N/A,FALSE,"Report Print"}</definedName>
    <definedName name="TEST_52high">#REF!</definedName>
    <definedName name="TEST_LTMSGA">#REF!</definedName>
    <definedName name="TEST_price">#REF!</definedName>
    <definedName name="test1">{#N/A,#N/A,FALSE,"Report Print"}</definedName>
    <definedName name="TestAdd">"Test RefersTo1"</definedName>
    <definedName name="testrev2">#REF!</definedName>
    <definedName name="textToday">#REF!</definedName>
    <definedName name="TG">#REF!</definedName>
    <definedName name="TGO_1yrEPS">#REF!</definedName>
    <definedName name="TGO_2yrEPS">#REF!</definedName>
    <definedName name="TGO_52high">#REF!</definedName>
    <definedName name="TGO_5YRGROWTH">#REF!</definedName>
    <definedName name="TGO_95EBIT">#REF!</definedName>
    <definedName name="TGO_95EBITDA">#REF!</definedName>
    <definedName name="TGO_96EPS">#REF!</definedName>
    <definedName name="TGO_97EPS">#REF!</definedName>
    <definedName name="TGO_98EPS">#REF!</definedName>
    <definedName name="TGO_ASSET">#REF!</definedName>
    <definedName name="TGO_DEBT">#REF!</definedName>
    <definedName name="TGO_DIV">#REF!</definedName>
    <definedName name="TGO_INTANGIBLE">#REF!</definedName>
    <definedName name="TGO_LTMCAPEX">#REF!</definedName>
    <definedName name="TGO_LTMEBIT">#REF!</definedName>
    <definedName name="TGO_LTMEBITDA">#REF!</definedName>
    <definedName name="TGO_LTMINT">#REF!</definedName>
    <definedName name="TGO_LTMNI">#REF!</definedName>
    <definedName name="TGO_LTMREV">#REF!</definedName>
    <definedName name="TGO_LTMSGA">#REF!</definedName>
    <definedName name="tgo_min">#REF!</definedName>
    <definedName name="TGO_name">#REF!</definedName>
    <definedName name="TGO_netdebt">#REF!</definedName>
    <definedName name="TGO_price">#REF!</definedName>
    <definedName name="TGO_SE">#REF!</definedName>
    <definedName name="TGO_share">#REF!</definedName>
    <definedName name="TGO_ticker">#REF!</definedName>
    <definedName name="Company2645_1yrEPS">#REF!</definedName>
    <definedName name="Company2645_2yrEPS">#REF!</definedName>
    <definedName name="Company2645_52HIGH">#REF!</definedName>
    <definedName name="Company2645_5YRGROWTH">#REF!</definedName>
    <definedName name="Company2645_PRICE">#REF!</definedName>
    <definedName name="TheDate">#REF!</definedName>
    <definedName name="thou">#REF!</definedName>
    <definedName name="threeg">#REF!</definedName>
    <definedName name="tic">#REF!</definedName>
    <definedName name="tica">#REF!</definedName>
    <definedName name="ticb">#REF!</definedName>
    <definedName name="Company2650">#REF!</definedName>
    <definedName name="ticd">#REF!</definedName>
    <definedName name="tice">#REF!</definedName>
    <definedName name="TICERK">#REF!</definedName>
    <definedName name="ticf">#REF!</definedName>
    <definedName name="ticg">#REF!</definedName>
    <definedName name="tich">#REF!</definedName>
    <definedName name="tichi">#REF!</definedName>
    <definedName name="tici">#REF!</definedName>
    <definedName name="ticj">#REF!</definedName>
    <definedName name="Tick">#REF!</definedName>
    <definedName name="ticker">#REF!</definedName>
    <definedName name="TickerColumn">#REF!</definedName>
    <definedName name="TickerRef">#REF!</definedName>
    <definedName name="Tickers">#REF!</definedName>
    <definedName name="Tigr_Exhibit0028131d_85f4_4ddc_b8e9_66f9b86553cf" hidden="1">#REF!</definedName>
    <definedName name="Tigr_Exhibit002aaa4e_27c3_4cc5_8911_f21ba88e0f25" hidden="1">#REF!</definedName>
    <definedName name="Tigr_Exhibit009b01a3_5c15_45d1_bbb9_97acf25522cc" hidden="1">#REF!</definedName>
    <definedName name="Tigr_Exhibit0154ac78_47ff_47e0_acb6_cfcb5424d4de" hidden="1">#REF!</definedName>
    <definedName name="Tigr_Exhibit0192c662_2b0a_4de1_9902_d198cf7e09c4" hidden="1">#REF!</definedName>
    <definedName name="Tigr_Exhibit0202b33e_2ca1_48a7_b3c9_96548951432e" hidden="1">#REF!</definedName>
    <definedName name="Tigr_Exhibit021727e2_f581_427e_9fa5_c8bb5be92b8a" hidden="1">#REF!</definedName>
    <definedName name="Tigr_Exhibit021fca9d_98c2_448f_b3b4_9b894abf7a84" hidden="1">#REF!</definedName>
    <definedName name="Tigr_Exhibit023cae1b_9958_4003_86b5_220cfadab7b2" hidden="1">#REF!</definedName>
    <definedName name="Tigr_Exhibit028dca3e_35a7_4b14_9e4f_adeb0a1a0b2b" hidden="1">#REF!</definedName>
    <definedName name="Tigr_Exhibit02cf26bf_9402_43d8_bab6_433dcd4719fe" hidden="1">#REF!</definedName>
    <definedName name="Tigr_Exhibit02ed22d6_19fe_4dbd_84c0_150a484e6f3f" hidden="1">#REF!</definedName>
    <definedName name="Tigr_Exhibit03034a1a_82ab_4278_999a_140d34949ec3" hidden="1">#REF!</definedName>
    <definedName name="Tigr_Exhibit0322ee91_5c47_4420_9ee3_079017e4625f" hidden="1">#REF!</definedName>
    <definedName name="Tigr_Exhibit033f5ec1_181b_413f_8ddb_01da9d1e78ca" hidden="1">#REF!</definedName>
    <definedName name="Tigr_Exhibit035cd9a9_78bd_4598_9433_3a5f70065958" hidden="1">#REF!</definedName>
    <definedName name="Tigr_Exhibit038956b4_738f_4119_8521_b1149d891bc2" hidden="1">#REF!</definedName>
    <definedName name="Tigr_Exhibit038b500e_8fbf_40cd_b7ee_aab710018a1e" hidden="1">#REF!</definedName>
    <definedName name="Tigr_Exhibit03ddabe9_fd18_4760_bc74_3f7b2f692641" hidden="1">#REF!</definedName>
    <definedName name="Tigr_Exhibit043b0c77_b62a_4b60_9c35_90ab4b3a2ccf" hidden="1">#REF!</definedName>
    <definedName name="Tigr_Exhibit0464084c_093d_4466_b65f_74b1b7837c59" hidden="1">#REF!</definedName>
    <definedName name="Tigr_Exhibit0478a843_fbb4_4ef0_811c_5bfbe94f0ed6" hidden="1">#REF!</definedName>
    <definedName name="Tigr_Exhibit047ed2ec_11ad_4371_9f15_9452aae0b95b" hidden="1">#REF!</definedName>
    <definedName name="Tigr_Exhibit04864281_5ee5_4582_9e63_2a9884be0db3" hidden="1">#REF!</definedName>
    <definedName name="Tigr_Exhibit04a61252_a20a_4778_a0e8_b3426ff2ef90" hidden="1">#REF!</definedName>
    <definedName name="Tigr_Exhibit04bd162b_6ad0_4c9a_aa36_90d8dbe7229c" hidden="1">#REF!</definedName>
    <definedName name="Tigr_Exhibit056cbce6_1f86_4180_b875_fcc88235ab21" hidden="1">#REF!</definedName>
    <definedName name="Tigr_Exhibit057906a0_69d2_4833_a485_a264ba9f201c" hidden="1">#REF!</definedName>
    <definedName name="Tigr_Exhibit057e0beb_1091_4dcf_b790_a1714570a7bd" hidden="1">#REF!</definedName>
    <definedName name="Tigr_Exhibit05b1afe1_9051_46a8_92a6_d7c885137802" hidden="1">#REF!</definedName>
    <definedName name="Tigr_Exhibit05c2ad8f_62d8_4503_a05a_4c607c803372" hidden="1">#REF!</definedName>
    <definedName name="Tigr_Exhibit06170088_c3cb_4cf5_be59_709f15c1c386" hidden="1">#REF!</definedName>
    <definedName name="Tigr_Exhibit0633ff38_5dfd_4ed5_95e6_1cf76fdaa44e" hidden="1">#REF!</definedName>
    <definedName name="Tigr_Exhibit06c5b8de_5951_4120_b6a3_eaec8b0036a3" hidden="1">#REF!</definedName>
    <definedName name="Tigr_Exhibit06cad047_df8a_47a2_af79_88db44537407" hidden="1">#REF!</definedName>
    <definedName name="Tigr_Exhibit06d5e61a_fe5c_45da_9ce6_e8ed6638cf62" hidden="1">#REF!</definedName>
    <definedName name="Tigr_Exhibit06d8a50f_5fa0_4d24_b622_b862e3b68788" hidden="1">#REF!</definedName>
    <definedName name="Tigr_Exhibit0703ba34_5664_45a5_a604_f9132a52abad" hidden="1">#REF!</definedName>
    <definedName name="Tigr_Exhibit07772278_d983_4d84_ae83_379a54a64b09" hidden="1">#REF!</definedName>
    <definedName name="Tigr_Exhibit07b976a4_bd45_491b_a088_ef20cd61c171" hidden="1">#REF!</definedName>
    <definedName name="Tigr_Exhibit07f9ff23_2a3b_4a77_9847_1ccef0775326" hidden="1">#REF!</definedName>
    <definedName name="Tigr_Exhibit0819d0e1_31dd_4caf_b83b_cf2b646ade81" hidden="1">#REF!</definedName>
    <definedName name="Tigr_Exhibit082f5894_6b15_43b3_8338_552d8127d7f0" hidden="1">#REF!</definedName>
    <definedName name="Tigr_Exhibit08339d61_1cb5_4066_afc7_193b4d16e851" hidden="1">#REF!</definedName>
    <definedName name="Tigr_Exhibit08478fa4_1a88_418f_b189_49f888afb403" hidden="1">#REF!</definedName>
    <definedName name="Tigr_Exhibit08acb72e_307c_43e5_8754_fe47784bac74" hidden="1">#REF!</definedName>
    <definedName name="Tigr_Exhibit08c69507_2c6f_4518_864e_34b0c8813ac9" hidden="1">#REF!</definedName>
    <definedName name="Tigr_Exhibit094735bb_7196_467a_876c_8104b1e2d9eb" hidden="1">#REF!</definedName>
    <definedName name="Tigr_Exhibit09695ee2_8f5b_4475_916e_33a02cdaecbb" hidden="1">#REF!</definedName>
    <definedName name="Tigr_Exhibit09cfd81b_49b2_4fbf_a394_1668f36aa644" hidden="1">#REF!</definedName>
    <definedName name="Tigr_Exhibit09f6c805_e1ee_4047_8a87_5c3d08efdc0b" hidden="1">#REF!</definedName>
    <definedName name="Tigr_Exhibit0a88bf87_60e0_4c99_8a12_787e073478c4" hidden="1">#REF!</definedName>
    <definedName name="Tigr_Exhibit0ab466ec_e4ce_4bf9_84a6_833d4f6066ce" hidden="1">#REF!</definedName>
    <definedName name="Tigr_Exhibit0b3beb00_03f2_407e_b694_7445c15d279b" hidden="1">#REF!</definedName>
    <definedName name="Tigr_Exhibit0b7de8ec_c8b0_4238_ac43_6bf8efba934a" hidden="1">#REF!</definedName>
    <definedName name="Tigr_Exhibit0b9c49be_6afe_41a5_ac41_183a77719e1e" hidden="1">#REF!</definedName>
    <definedName name="Tigr_Exhibit0bbc04b9_7198_411e_98d5_f42ac2cd55e0" hidden="1">#REF!</definedName>
    <definedName name="Tigr_Exhibit0c2effb7_26e2_4e72_a984_4951523f37fc" hidden="1">#REF!</definedName>
    <definedName name="Tigr_Exhibit0c5ed077_cc46_47dd_a707_f8d716bc8cac" hidden="1">#REF!</definedName>
    <definedName name="Tigr_Exhibit0cc02d34_661b_40f6_9a31_030ad67fc73f" hidden="1">#REF!</definedName>
    <definedName name="Tigr_Exhibit0cff046b_6bf1_4e19_a42f_6fe9d0cb09e1" hidden="1">#REF!</definedName>
    <definedName name="Tigr_Exhibit0d1aea7d_57a8_4a74_a143_2f3d7b95ed37" hidden="1">#REF!</definedName>
    <definedName name="Tigr_Exhibit0d25e9e8_baa7_4949_a24b_091baa11eb4d" hidden="1">#REF!</definedName>
    <definedName name="Tigr_Exhibit0d6fddf1_0793_49a5_881e_395272604d2d" hidden="1">#REF!</definedName>
    <definedName name="Tigr_Exhibit0dc5e786_daef_4de9_9914_04cb40a9af5e" hidden="1">#REF!</definedName>
    <definedName name="Tigr_Exhibit0ec91fc2_12c2_443a_bca1_2296e6716fb0" hidden="1">#REF!</definedName>
    <definedName name="Tigr_Exhibit0fdf1515_4124_4833_a09f_7f2af690977c" hidden="1">#REF!</definedName>
    <definedName name="Tigr_Exhibit104aa2bc_0b61_4398_9ed0_2aed6ba9f61f" hidden="1">#REF!</definedName>
    <definedName name="Tigr_Exhibit105f73ff_9c44_4f1b_b70e_a5d4e0707a97" hidden="1">#REF!</definedName>
    <definedName name="Tigr_Exhibit10646214_7ac6_42c8_9720_a51b8048e285" hidden="1">#REF!</definedName>
    <definedName name="Tigr_Exhibit10ae37f2_2ef0_487d_bc2a_647e04985b67" hidden="1">#REF!</definedName>
    <definedName name="Tigr_Exhibit10c2cd9f_7538_4651_a1b8_551c24733bca" hidden="1">#REF!</definedName>
    <definedName name="Tigr_Exhibit110d99fc_496d_42a4_989c_0b187f7b2f90" hidden="1">#REF!</definedName>
    <definedName name="Tigr_Exhibit117b5d9b_3016_4d3a_807a_53f8fb163f4f" hidden="1">#REF!</definedName>
    <definedName name="Tigr_Exhibit118caf2e_74ad_497f_bbd0_667128373808" hidden="1">#REF!</definedName>
    <definedName name="Tigr_Exhibit11bf2237_8a0f_4c30_862b_9354f160d1fd" hidden="1">#REF!</definedName>
    <definedName name="Tigr_Exhibit11d0d789_649e_4d10_8fda_1a941408aac8" hidden="1">#REF!</definedName>
    <definedName name="Tigr_Exhibit11e82e6a_76b3_4d45_a255_3e18838855f2" hidden="1">#REF!</definedName>
    <definedName name="Tigr_Exhibit12054004_cd37_4cc0_86b5_b5574fb1dae4" hidden="1">#REF!</definedName>
    <definedName name="Tigr_Exhibit122b0949_e25b_40bc_a7bb_3bf8b1f9b3f8" hidden="1">#REF!</definedName>
    <definedName name="Tigr_Exhibit126ec1d6_7c38_4601_b74d_c630fd409730" hidden="1">#REF!</definedName>
    <definedName name="Tigr_Exhibit130213c9_734a_4cdf_af88_6d7b6a7aadf1" hidden="1">#REF!</definedName>
    <definedName name="Tigr_Exhibit1315fd7d_6466_4db9_bbc3_6c4dad1a4f16" hidden="1">#REF!</definedName>
    <definedName name="Tigr_Exhibit13b3cb56_0056_4bee_aba9_a2e0815a989b" hidden="1">#REF!</definedName>
    <definedName name="Tigr_Exhibit14368c69_b4e5_4ee9_8352_525285b21728" hidden="1">#REF!</definedName>
    <definedName name="Tigr_Exhibit146e1545_30d5_4ea3_8741_81b8485a9a83" hidden="1">#REF!</definedName>
    <definedName name="Tigr_Exhibit14af41bc_de60_4391_89cf_f9dc00839340" hidden="1">#REF!</definedName>
    <definedName name="Tigr_Exhibit14d21df8_eefe_40c6_a8df_b5239db38933" hidden="1">#REF!</definedName>
    <definedName name="Tigr_Exhibit1542b4b4_a090_4999_ae1d_f1713598eed9" hidden="1">#REF!</definedName>
    <definedName name="Tigr_Exhibit15cc0782_070c_49a8_ad93_2d0e3c96a474" hidden="1">#REF!</definedName>
    <definedName name="Tigr_Exhibit15f9e24f_2b3f_410d_be62_04561c7687fb" hidden="1">#REF!</definedName>
    <definedName name="Tigr_Exhibit164a841e_3438_41a7_85d6_6df377b9f154" hidden="1">#REF!</definedName>
    <definedName name="Tigr_Exhibit17c523c7_d845_404b_9633_6d0b83daf952" hidden="1">#REF!</definedName>
    <definedName name="Tigr_Exhibit17c879fd_c8c5_4954_a3f6_1cd6191586bc" hidden="1">#REF!</definedName>
    <definedName name="Tigr_Exhibit184f804b_5a20_43e4_ac14_6b0c530e061e" hidden="1">#REF!</definedName>
    <definedName name="Tigr_Exhibit1888c61d_137d_4d1d_afe1_f21674677dc4" hidden="1">#REF!</definedName>
    <definedName name="Tigr_Exhibit18bb1737_fb08_40f0_8cc5_ae69de8ab545" hidden="1">#REF!</definedName>
    <definedName name="Tigr_Exhibit194dc460_88d7_46bf_996c_5760e3694130" hidden="1">#REF!</definedName>
    <definedName name="Tigr_Exhibit19cc41f5_d2e6_4d90_930a_8934c4739751" hidden="1">#REF!</definedName>
    <definedName name="Tigr_Exhibit19d9a4a5_7ee4_4955_8ce0_a657e034e7f9" hidden="1">#REF!</definedName>
    <definedName name="Tigr_Exhibit1a3a178b_cc78_4f81_8995_2dbe81387070" hidden="1">#REF!</definedName>
    <definedName name="Tigr_Exhibit1a8d9ec2_031f_43bd_aee8_49f1a31d8109" hidden="1">#REF!</definedName>
    <definedName name="Tigr_Exhibit1a8eaa51_7b69_4a41_ad9f_2ca34f3d2b17" hidden="1">#REF!</definedName>
    <definedName name="Tigr_Exhibit1ac725f5_c31a_47ad_a0ee_0c21844d5be4" hidden="1">#REF!</definedName>
    <definedName name="Tigr_Exhibit1b16b04a_b407_43c1_a4c7_869e3f8c78ed" hidden="1">#REF!</definedName>
    <definedName name="Tigr_Exhibit1b575437_f0d5_4b86_8b4b_57aa3295be68" hidden="1">#REF!</definedName>
    <definedName name="Tigr_Exhibit1b84f5d5_7ef6_4376_90f6_a5d76cb868cf" hidden="1">#REF!</definedName>
    <definedName name="Tigr_Exhibit1bb75cda_bad5_4a3b_bb9d_a5218abc402e" hidden="1">#REF!</definedName>
    <definedName name="Tigr_Exhibit1bbf4ba5_1824_4d91_88b7_2556ac077cae" hidden="1">#REF!</definedName>
    <definedName name="Tigr_Exhibit1bf2f6c0_5384_4239_8799_0fc5796e338f" hidden="1">#REF!</definedName>
    <definedName name="Tigr_Exhibit1bf4d0d8_7897_45b8_9f05_dbadce1e1681" hidden="1">#REF!</definedName>
    <definedName name="Tigr_Exhibit1c0963b8_7a49_4c64_aa43_b3581dac5f5d" hidden="1">#REF!</definedName>
    <definedName name="Tigr_Exhibit1c18a0c8_acbe_40cf_9dc3_1d5f96d82834" hidden="1">#REF!</definedName>
    <definedName name="Tigr_Exhibit1c1fb617_41b3_4547_990b_cd2e36be5818" hidden="1">#REF!</definedName>
    <definedName name="Tigr_Exhibit1c5f6995_8a20_4a8f_895c_b81a0ef4405b" hidden="1">#REF!</definedName>
    <definedName name="Tigr_Exhibit1ca31f27_f95a_4313_a47a_05ac6de2d14c" hidden="1">#REF!</definedName>
    <definedName name="Tigr_Exhibit1cbbeff6_39e1_41df_9bc4_46811621f3e3" hidden="1">#REF!</definedName>
    <definedName name="Tigr_Exhibit1cc54d1f_bc93_4524_9ec6_4bc0c70471b7" hidden="1">#REF!</definedName>
    <definedName name="Tigr_Exhibit1cd5651d_895b_4740_a3ee_a0fdc1689ed7" hidden="1">#REF!</definedName>
    <definedName name="Tigr_Exhibit1cde7e5a_b91f_40c2_89fa_728d62ddae88" hidden="1">#REF!</definedName>
    <definedName name="Tigr_Exhibit1ceb4507_f710_4f0c_97da_d81dc0b4acf0" hidden="1">#REF!</definedName>
    <definedName name="Tigr_Exhibit1d3a302e_6b82_4c25_a236_03eaf7e3117f" hidden="1">#REF!</definedName>
    <definedName name="Tigr_Exhibit1d5dd59d_ef15_4abf_9835_45d308d6f7f0" hidden="1">#REF!</definedName>
    <definedName name="Tigr_Exhibit1da221c1_9350_4cfb_8bd3_694c92a20732" hidden="1">#REF!</definedName>
    <definedName name="Tigr_Exhibit1db37b01_2b54_4ac7_9b20_73a4cf039e5f" hidden="1">#REF!</definedName>
    <definedName name="Tigr_Exhibit1dcda83c_b3f9_40db_9978_9e77a2c6eea8" hidden="1">#REF!</definedName>
    <definedName name="Tigr_Exhibit1df88969_7aec_4524_b56d_17499601f175" hidden="1">#REF!</definedName>
    <definedName name="Tigr_Exhibit1ea8e89c_708b_40b3_8690_75d641407aa3" hidden="1">#REF!</definedName>
    <definedName name="Tigr_Exhibit1ec7de98_53ea_4c34_9c48_127093b5edcc" hidden="1">#REF!</definedName>
    <definedName name="Tigr_Exhibit1ecaaca1_5a64_4308_96d8_82be041a8ff4" hidden="1">#REF!</definedName>
    <definedName name="Tigr_Exhibit1ed6c2d1_941a_4352_bb95_9fef75efdde8" hidden="1">#REF!</definedName>
    <definedName name="Tigr_Exhibit1f18dfdf_8741_45f9_b1a6_d6cd661c5826" hidden="1">#REF!</definedName>
    <definedName name="Tigr_Exhibit1f202c7f_9261_48cc_8e33_da16d205c8fd" hidden="1">#REF!</definedName>
    <definedName name="Tigr_Exhibit1f575b50_a66f_4306_95de_147ab7216b16" hidden="1">#REF!</definedName>
    <definedName name="Tigr_Exhibit1f599d52_049e_485a_920f_394168188f50" hidden="1">#REF!</definedName>
    <definedName name="Tigr_Exhibit1f7568e2_1ced_4f22_acf1_03dbdabb6e7c" hidden="1">#REF!</definedName>
    <definedName name="Tigr_Exhibit1fb5b329_eac3_4489_9b54_0b8826f7997b" hidden="1">#REF!</definedName>
    <definedName name="Tigr_Exhibit2011c2c7_41d1_429e_9ffe_eef6e1f33725" hidden="1">#REF!</definedName>
    <definedName name="Tigr_Exhibit201a0b2d_b203_4aa9_9736_88c42bb48cf7" hidden="1">#REF!</definedName>
    <definedName name="Tigr_Exhibit204c749c_b1de_4d0d_ad68_7128c304ba22" hidden="1">#REF!</definedName>
    <definedName name="Tigr_Exhibit205e2a70_4c83_4b1d_abbb_4141b0329017" hidden="1">#REF!</definedName>
    <definedName name="Tigr_Exhibit208d519a_9d37_4442_b6b1_6f0a3f89a6f6" hidden="1">#REF!</definedName>
    <definedName name="Tigr_Exhibit20e9858e_c6ec_4f10_a5f2_0fcbef0eb24a" hidden="1">#REF!</definedName>
    <definedName name="Tigr_Exhibit20f9e1f7_54f3_482d_8ec3_039285dde94a" hidden="1">#REF!</definedName>
    <definedName name="Tigr_Exhibit21e680a0_21d6_4d77_b870_b0ffadc70b68" hidden="1">#REF!</definedName>
    <definedName name="Tigr_Exhibit22073013_7e61_4102_9073_470feceddec8" hidden="1">#REF!</definedName>
    <definedName name="Tigr_Exhibit2213a5de_d87a_4fb1_bd80_4ab693c83a3f" hidden="1">#REF!</definedName>
    <definedName name="Tigr_Exhibit227f5da8_8100_4035_9575_4f1e3beb8cab" hidden="1">#REF!</definedName>
    <definedName name="Tigr_Exhibit22911947_3996_4dcb_b36d_b5526e34204b" hidden="1">#REF!</definedName>
    <definedName name="Tigr_Exhibit22dd4fab_be5a_44c6_9ebc_954ea39fc415" hidden="1">#REF!</definedName>
    <definedName name="Tigr_Exhibit23213b1d_423c_44d5_913b_5b858b14ca45" hidden="1">#REF!</definedName>
    <definedName name="Tigr_Exhibit23d2962e_8397_42b2_9dc8_fc1bcbbd68d7" hidden="1">#REF!</definedName>
    <definedName name="Tigr_Exhibit23f37ddf_d550_4d6f_bc6c_127782e2a669" hidden="1">#REF!</definedName>
    <definedName name="Tigr_Exhibit2407efb0_eb74_4ad7_8224_63393ee54b18" hidden="1">#REF!</definedName>
    <definedName name="Tigr_Exhibit243d45b1_0d4f_4056_a4bc_35d85f4fa71b" hidden="1">#REF!</definedName>
    <definedName name="Tigr_Exhibit2467cab6_affb_499c_80b9_14d8382ddc70" hidden="1">#REF!</definedName>
    <definedName name="Tigr_Exhibit247d9f69_b393_4206_bc42_09e126e7910d" hidden="1">#REF!</definedName>
    <definedName name="Tigr_Exhibit248ebe65_35d9_4d4a_b582_3d002077ce6d" hidden="1">#REF!</definedName>
    <definedName name="Tigr_Exhibit24c59570_212d_47c6_a5da_f3ba02084c61" hidden="1">#REF!</definedName>
    <definedName name="Tigr_Exhibit2548d1d8_1aa1_4ea3_a9bf_65886805c652" hidden="1">#REF!</definedName>
    <definedName name="Tigr_Exhibit2569b0ff_c0c0_4ce7_8e31_972041e85236" hidden="1">#REF!</definedName>
    <definedName name="Tigr_Exhibit257d6289_1a3c_40b4_8ed2_1e7e6e67a3ab" hidden="1">#REF!</definedName>
    <definedName name="Tigr_Exhibit25a94057_2b22_4074_ba60_7eb50fd1ef0c" hidden="1">#REF!</definedName>
    <definedName name="Tigr_Exhibit26387df9_2ef3_406f_8a75_6945a88f908d" hidden="1">#REF!</definedName>
    <definedName name="Tigr_Exhibit263da391_b0b2_4bd0_9aa9_524ecb9306e4" hidden="1">#REF!</definedName>
    <definedName name="Tigr_Exhibit267310ce_a640_43e0_8701_fa95b0f24293" hidden="1">#REF!</definedName>
    <definedName name="Tigr_Exhibit26a4f857_5777_4154_9e5f_593abec88f4f" hidden="1">#REF!</definedName>
    <definedName name="Tigr_Exhibit26ccfb55_d137_4e62_856f_3f5424b1914a" hidden="1">#REF!</definedName>
    <definedName name="Tigr_Exhibit27406a32_d3c6_413d_97d3_e8c0a775da0c" hidden="1">#REF!</definedName>
    <definedName name="Tigr_Exhibit277202f3_f774_4e72_9008_911b46c1219e" hidden="1">#REF!</definedName>
    <definedName name="Tigr_Exhibit27a53e53_f04f_40b8_bec0_d3dbd283ee17" hidden="1">#REF!</definedName>
    <definedName name="Tigr_Exhibit27a70baf_e067_42bc_b310_b18e3b4e8383" hidden="1">#REF!</definedName>
    <definedName name="Tigr_Exhibit27a7bc9c_f289_489c_96d5_4587d8132a50" hidden="1">#REF!</definedName>
    <definedName name="Tigr_Exhibit27bfed31_ada9_49cf_999d_db9788a8acfe" hidden="1">#REF!</definedName>
    <definedName name="Tigr_Exhibit27c2e18a_5b4f_4de5_af32_9c9bcde935e3" hidden="1">#REF!</definedName>
    <definedName name="Tigr_Exhibit27ec6690_8908_4a93_b5b4_49b293a5e67f" hidden="1">#REF!</definedName>
    <definedName name="Tigr_Exhibit2864dec5_f7c6_4eb7_8ee8_6276af1df811" hidden="1">#REF!</definedName>
    <definedName name="Tigr_Exhibit2951d39d_d2b0_495b_b05b_c29329b84920" hidden="1">#REF!</definedName>
    <definedName name="Tigr_Exhibit2960be25_f4d3_428c_ba31_6e1a1d68df17" hidden="1">#REF!</definedName>
    <definedName name="Tigr_Exhibit296d2422_a28e_476f_be5c_c02a7c90db63" hidden="1">#REF!</definedName>
    <definedName name="Tigr_Exhibit296edea2_7bea_4e53_a6ee_b33902e5e587" hidden="1">#REF!</definedName>
    <definedName name="Tigr_Exhibit29844eee_2e7d_415e_9c10_af4d976ce5ae" hidden="1">#REF!</definedName>
    <definedName name="Tigr_Exhibit29854daa_7222_4c3f_b72c_ec237c1e29a4" hidden="1">#REF!</definedName>
    <definedName name="Tigr_Exhibit29926b7c_847f_4b0f_8b38_df56935cac46" hidden="1">#REF!</definedName>
    <definedName name="Tigr_Exhibit29ccf0b4_14cd_4dbf_b3e4_84b765f16e00" hidden="1">#REF!</definedName>
    <definedName name="Tigr_Exhibit29db5f97_a0c3_47c6_9f22_cdd72800e701" hidden="1">#REF!</definedName>
    <definedName name="Tigr_Exhibit29f5bea6_64ce_411c_949b_ab34142fe903" hidden="1">#REF!</definedName>
    <definedName name="Tigr_Exhibit2a043c29_6463_4404_bfac_5b489f2b3691" hidden="1">#REF!</definedName>
    <definedName name="Tigr_Exhibit2a435385_6ffa_4589_8876_102205fc89e8" hidden="1">#REF!</definedName>
    <definedName name="Tigr_Exhibit2a8deb5b_306c_4377_af0d_91a9d2047b6a" hidden="1">#REF!</definedName>
    <definedName name="Tigr_Exhibit2af4230b_5408_48ac_8fff_9a2837ef63cd" hidden="1">#REF!</definedName>
    <definedName name="Tigr_Exhibit2afe9327_152a_46a2_a5f4_e16bceca92ca" hidden="1">#REF!</definedName>
    <definedName name="Tigr_Exhibit2b29a701_cd94_4895_951b_7bff820a5eef" hidden="1">#REF!</definedName>
    <definedName name="Tigr_Exhibit2ba9ea2a_e7dc_4648_95fa_a1a1b46d4ecb" hidden="1">#REF!</definedName>
    <definedName name="Tigr_Exhibit2bab0db6_bae6_4c41_9ea2_b1a3fcf9d804" hidden="1">#REF!</definedName>
    <definedName name="Tigr_Exhibit2be4c863_4c09_4021_a148_e98213be1d2a" hidden="1">#REF!</definedName>
    <definedName name="Tigr_Exhibit2c91664e_d3ed_4b0c_aa59_7b20e1f28d1b" hidden="1">#REF!</definedName>
    <definedName name="Tigr_Exhibit2cc90c5b_7dbb_41a1_8ed2_c6e54b166dea" hidden="1">#REF!</definedName>
    <definedName name="Tigr_Exhibit2ce1beeb_3144_4d71_90d3_c8adaed1550b" hidden="1">#REF!</definedName>
    <definedName name="Tigr_Exhibit2d403daf_ad3c_48e8_b967_685b5f32eeba" hidden="1">#REF!</definedName>
    <definedName name="Tigr_Exhibit2d7a67fb_ce3f_4a01_9cef_074ef19f2b28" hidden="1">#REF!</definedName>
    <definedName name="Tigr_Exhibit2da4a680_5cdb_419f_b5c1_a0b78df42e22" hidden="1">#REF!</definedName>
    <definedName name="Tigr_Exhibit2e09b100_7060_4167_b981_e9a748444111" hidden="1">#REF!</definedName>
    <definedName name="Tigr_Exhibit2e4b35a5_878f_4fa7_aca3_5c7808b39c63" hidden="1">#REF!</definedName>
    <definedName name="Tigr_Exhibit2e8f9586_7a9a_4000_a069_c65ca0a3f535" hidden="1">#REF!</definedName>
    <definedName name="Tigr_Exhibit2eacc7f2_942c_49a1_a900_8535061060ea" hidden="1">#REF!</definedName>
    <definedName name="Tigr_Exhibit2ed17424_7e64_476f_93b2_783a6b1017a0" hidden="1">#REF!</definedName>
    <definedName name="Tigr_Exhibit2f28f7d4_dacc_40d7_9e3f_124247451280" hidden="1">#REF!</definedName>
    <definedName name="Tigr_Exhibit2f440295_caca_4213_8be1_e693081bbd97" hidden="1">#REF!</definedName>
    <definedName name="Tigr_Exhibit2f546f96_5669_4465_b897_9e921991f858" hidden="1">#REF!</definedName>
    <definedName name="Tigr_Exhibit2f671699_d0d7_4f75_b35c_1b744e289acd" hidden="1">#REF!</definedName>
    <definedName name="Tigr_Exhibit2f67801f_6952_4da6_ba18_5eb377d7021c" hidden="1">#REF!</definedName>
    <definedName name="Tigr_Exhibit2fb2615b_fa5d_4d8c_ad9e_10800f0ee171" hidden="1">#REF!</definedName>
    <definedName name="Tigr_Exhibit2ffb1d8f_9d3b_45c1_a6f6_741e89e84d6e" hidden="1">#REF!</definedName>
    <definedName name="Tigr_Exhibit304de183_0586_4f12_98d1_a3bfec9bde5f" hidden="1">#REF!</definedName>
    <definedName name="Tigr_Exhibit305b2507_271e_4c21_bf86_4325ca9d48de" hidden="1">#REF!</definedName>
    <definedName name="Tigr_Exhibit3077d6f6_65c4_420b_a26b_000f40fdcbc4" hidden="1">#REF!</definedName>
    <definedName name="Tigr_Exhibit30822756_ae77_49c4_8e1c_d5ec495465f6" hidden="1">#REF!</definedName>
    <definedName name="Tigr_Exhibit308bc02f_df6f_4a4e_b6a1_1c73f2c642fe" hidden="1">#REF!</definedName>
    <definedName name="Tigr_Exhibit309b0957_0365_411d_9a8a_08c1186e2c9d" hidden="1">#REF!</definedName>
    <definedName name="Tigr_Exhibit30a0245d_5350_4026_be44_0dccd0359b2c" hidden="1">#REF!</definedName>
    <definedName name="Tigr_Exhibit30f94009_1895_4a63_a4ef_9767a06cdddb" hidden="1">#REF!</definedName>
    <definedName name="Tigr_Exhibit3120e0a7_4d35_44d7_83fb_16feaebed194" hidden="1">#REF!</definedName>
    <definedName name="Tigr_Exhibit315e4e9a_2e49_4bf3_a93e_cdd67e3b2511" hidden="1">#REF!</definedName>
    <definedName name="Tigr_Exhibit31958201_2f93_422b_8925_62c5067a5f30" hidden="1">#REF!</definedName>
    <definedName name="Tigr_Exhibit31c766af_f71e_40b7_90e8_8083f5d5c8f6" hidden="1">#REF!</definedName>
    <definedName name="Tigr_Exhibit31ff87a5_149e_4df0_8a98_4985bc620c19" hidden="1">#REF!</definedName>
    <definedName name="Tigr_Exhibit323d8820_725c_40f2_8ee8_a1d55b77085e" hidden="1">#REF!</definedName>
    <definedName name="Tigr_Exhibit324c6208_5ea2_4dd4_8545_fcd807c4a462" hidden="1">#REF!</definedName>
    <definedName name="Tigr_Exhibit3273b960_3fe9_45a4_9119_8a1a014fe0e6" hidden="1">#REF!</definedName>
    <definedName name="Tigr_Exhibit327686ac_e017_4e59_9b30_b9a4c882d8bc" hidden="1">#REF!</definedName>
    <definedName name="Tigr_Exhibit327dbbef_82b0_4261_bc25_9d7225c64506" hidden="1">#REF!</definedName>
    <definedName name="Tigr_Exhibit32892b9d_61ea_4bf1_8f64_b854b03b3a69" hidden="1">#REF!</definedName>
    <definedName name="Tigr_Exhibit328ff8db_9594_4084_8ab9_361df0637185" hidden="1">#REF!</definedName>
    <definedName name="Tigr_Exhibit335d3318_71fb_422d_9311_d609da7881f5" hidden="1">#REF!</definedName>
    <definedName name="Tigr_Exhibit33725e7f_12d9_4650_bc6a_5b0702cb75a6" hidden="1">#REF!</definedName>
    <definedName name="Tigr_Exhibit33abef17_5278_4b0e_be42_bdfdecee7d85" hidden="1">#REF!</definedName>
    <definedName name="Tigr_Exhibit33c45e4b_38e6_4e65_9e82_cc5e9c564d67" hidden="1">#REF!</definedName>
    <definedName name="Tigr_Exhibit33f9bc3e_ff79_4673_977c_4909d7d56251" hidden="1">#REF!</definedName>
    <definedName name="Tigr_Exhibit348a5af6_694a_414f_8b34_9455aa335f7e" hidden="1">#REF!</definedName>
    <definedName name="Tigr_Exhibit34bc4dbb_a830_4804_b875_5789a4f6bda1" hidden="1">#REF!</definedName>
    <definedName name="Tigr_Exhibit34c9379d_4a08_4dd2_8c36_35873b6e6fdd" hidden="1">#REF!</definedName>
    <definedName name="Tigr_Exhibit34d8fb4c_f79a_4989_b10c_3c28e7951a82" hidden="1">#REF!</definedName>
    <definedName name="Tigr_Exhibit34f7f470_a3fd_4d05_99a3_2e83c584866a" hidden="1">#REF!</definedName>
    <definedName name="Tigr_Exhibit351f1269_66cc_4411_b17d_d02f967a8b53" hidden="1">#REF!</definedName>
    <definedName name="Tigr_Exhibit355f2fca_0821_4d63_9c35_852dcd3cee78" hidden="1">#REF!</definedName>
    <definedName name="Tigr_Exhibit35852c5a_c914_4353_8654_edae90d414b5" hidden="1">#REF!</definedName>
    <definedName name="Tigr_Exhibit35ac7484_8799_46fd_a348_ab3961f543c0" hidden="1">#REF!</definedName>
    <definedName name="Tigr_Exhibit368ce0bc_7fc3_43e8_a1f6_49932066d6fe" hidden="1">#REF!</definedName>
    <definedName name="Tigr_Exhibit36e0b23f_25de_4b46_8aa0_dc219785483e" hidden="1">#REF!</definedName>
    <definedName name="Tigr_Exhibit36e58545_f1ba_420c_8945_00d252e8a17c" hidden="1">#REF!</definedName>
    <definedName name="Tigr_Exhibit370d47fe_ca3d_4abc_a4f0_0b2145684e6b" hidden="1">#REF!</definedName>
    <definedName name="Tigr_Exhibit3721e43d_bf59_42f0_ac55_52c25e965d7c" hidden="1">#REF!</definedName>
    <definedName name="Tigr_Exhibit3756eb12_88d4_4e4b_828a_091942b84abf" hidden="1">#REF!</definedName>
    <definedName name="Tigr_Exhibit37911e43_fc6e_4bd6_89cf_b935c5d9fdb1" hidden="1">#REF!</definedName>
    <definedName name="Tigr_Exhibit37b5c2b1_0652_429c_8dd1_96b50fec850e" hidden="1">#REF!</definedName>
    <definedName name="Tigr_Exhibit37c35c95_5487_4245_a08e_27daeaa3a49e" localSheetId="3" hidden="1">#REF!</definedName>
    <definedName name="Tigr_Exhibit37c35c95_5487_4245_a08e_27daeaa3a49e" hidden="1">#REF!</definedName>
    <definedName name="Tigr_Exhibit3893d560_fd53_4d4e_8729_6b7490e459b1" hidden="1">#REF!</definedName>
    <definedName name="Tigr_Exhibit38d5aa63_5fe9_471c_bf5a_341ae720bcd6" hidden="1">#REF!</definedName>
    <definedName name="Tigr_Exhibit38e5a01a_5580_4c4f_9b6e_a111e2aaf496" hidden="1">#REF!</definedName>
    <definedName name="Tigr_Exhibit391702f2_ad7c_4320_9835_8bf348360f11" hidden="1">#REF!</definedName>
    <definedName name="Tigr_Exhibit394467ac_1b66_4f13_8ee2_544bb825a729" hidden="1">#REF!</definedName>
    <definedName name="Tigr_Exhibit39b09d5f_9e15_47d0_b515_9b8e5f4db734" hidden="1">#REF!</definedName>
    <definedName name="Tigr_Exhibit39d3c40d_0d6f_494e_be7e_52cbcd00fc21" hidden="1">#REF!</definedName>
    <definedName name="Tigr_Exhibit39f47ba0_11ab_44dc_90ae_0aee81be6fa4" hidden="1">#REF!</definedName>
    <definedName name="Tigr_Exhibit3a180900_bf0b_4560_be01_940f6db1d64f" hidden="1">#REF!</definedName>
    <definedName name="Tigr_Exhibit3a1dd22e_7d1e_4d8c_82aa_56ff30bdd23e" hidden="1">#REF!</definedName>
    <definedName name="Tigr_Exhibit3a217f90_c9e3_49c3_826b_20f7950d1303" hidden="1">#REF!</definedName>
    <definedName name="Tigr_Exhibit3a3249ce_8d97_49e5_8c16_2a001d779631" hidden="1">#REF!</definedName>
    <definedName name="Tigr_Exhibit3aafb989_542c_440a_80c2_32b2244b6022" hidden="1">#REF!</definedName>
    <definedName name="Tigr_Exhibit3acf3a46_e5ac_4f37_99f3_ae1b7831c3d6" hidden="1">#REF!</definedName>
    <definedName name="Tigr_Exhibit3ad6815a_ab3f_4945_8a42_1bb46ef2101a" hidden="1">#REF!</definedName>
    <definedName name="Tigr_Exhibit3b19b2c0_fe91_4281_8b17_0bfca91fe0d9" hidden="1">#REF!</definedName>
    <definedName name="Tigr_Exhibit3b2096bc_2c9a_459d_a020_890af34c859e" hidden="1">#REF!</definedName>
    <definedName name="Tigr_Exhibit3b2cb490_c979_4c3c_82e6_1af642a979dc" hidden="1">#REF!</definedName>
    <definedName name="Tigr_Exhibit3bc57539_902d_4046_8040_e0478740737f" hidden="1">#REF!</definedName>
    <definedName name="Tigr_Exhibit3bd306d4_5469_49a2_9e23_4179b22d9228" hidden="1">#REF!</definedName>
    <definedName name="Tigr_Exhibit3c757992_d8b0_4e6e_b1a7_fa1439e15388" hidden="1">#REF!</definedName>
    <definedName name="Tigr_Exhibit3c9b0c7e_bbdd_436d_8990_9ac5e7bdb338" hidden="1">#REF!</definedName>
    <definedName name="Tigr_Exhibit3cb220a6_2c14_411c_bcb3_05ad0f1fee12" hidden="1">#REF!</definedName>
    <definedName name="Tigr_Exhibit3cd58de8_5924_426e_93fb_e626c8ac3d6a" hidden="1">#REF!</definedName>
    <definedName name="Tigr_Exhibit3d3f59fd_b3d1_45bd_bdba_912cd35691cf" hidden="1">#REF!</definedName>
    <definedName name="Tigr_Exhibit3d596fec_fabe_42e4_8773_32e2007dcbd0" hidden="1">#REF!</definedName>
    <definedName name="Tigr_Exhibit3de04384_909a_45c9_8ec4_66c395a76111" hidden="1">#REF!</definedName>
    <definedName name="Tigr_Exhibit3e5608be_93ab_4a17_b3fb_f82ce8b84375" hidden="1">#REF!</definedName>
    <definedName name="Tigr_Exhibit401e8dfe_2e22_45b2_ae48_c72c69066d7a" hidden="1">#REF!</definedName>
    <definedName name="Tigr_Exhibit402f4ff5_3c70_4ede_9005_4daaf962595d" hidden="1">#REF!</definedName>
    <definedName name="Tigr_Exhibit404ba40a_6247_4848_a93a_ff8fd0f62995" hidden="1">#REF!</definedName>
    <definedName name="Tigr_Exhibit4052e055_0e1a_49cf_9808_ae86ce6adbd6" hidden="1">#REF!</definedName>
    <definedName name="Tigr_Exhibit40b29ff9_91cf_4b0e_a852_981728a8f030" hidden="1">#REF!</definedName>
    <definedName name="Tigr_Exhibit40c20100_a1d0_4d42_8cbd_061a5066d77a" hidden="1">#REF!</definedName>
    <definedName name="Tigr_Exhibit40cca184_e492_4740_9731_fc9584fd5cd9" hidden="1">#REF!</definedName>
    <definedName name="Tigr_Exhibit40d88dd5_a328_4bca_b70f_3504b7a98867" hidden="1">#REF!</definedName>
    <definedName name="Tigr_Exhibit40f83a02_de26_492e_856c_93e9476f7d59" hidden="1">#REF!</definedName>
    <definedName name="Tigr_Exhibit414d1a5d_056b_45eb_88cf_0e48bc6dfe98" hidden="1">#REF!</definedName>
    <definedName name="Tigr_Exhibit41639b7d_4baa_43ad_9e58_625871d80a6e" hidden="1">#REF!</definedName>
    <definedName name="Tigr_Exhibit417d4f6a_272e_4be6_8cf3_fa300aeb757b" hidden="1">#REF!</definedName>
    <definedName name="Tigr_Exhibit41cd0215_d911_4587_92d7_1ceb21f3ed52" hidden="1">#REF!</definedName>
    <definedName name="Tigr_Exhibit41d49a25_9140_47f4_af0a_2bfe01abfdae" hidden="1">#REF!</definedName>
    <definedName name="Tigr_Exhibit4203bff1_bccc_4f97_8e6d_ada8bc112a86" hidden="1">#REF!</definedName>
    <definedName name="Tigr_Exhibit42298c3d_83d3_42fe_8df1_e1a2f85269db" hidden="1">#REF!</definedName>
    <definedName name="Tigr_Exhibit4263b9c4_29d6_467f_a868_3a695549e7c2" hidden="1">#REF!</definedName>
    <definedName name="Tigr_Exhibit4284492a_f849_4abb_ba5f_75b8bbcf77e8" hidden="1">#REF!</definedName>
    <definedName name="Tigr_Exhibit4289c90e_f5ab_482c_a4dd_5b8acd90f828" hidden="1">#REF!</definedName>
    <definedName name="Tigr_Exhibit42d70080_2d94_4110_b42c_964dccd2af05" hidden="1">#REF!</definedName>
    <definedName name="Tigr_Exhibit4316d907_c422_428d_bd93_8d3931294569" hidden="1">#REF!</definedName>
    <definedName name="Tigr_Exhibit432ae056_505f_4a92_929b_f80a0e783be2" hidden="1">#REF!</definedName>
    <definedName name="Tigr_Exhibit4395ff1d_c47d_479d_9e10_65f9d6e0c62c" hidden="1">#REF!</definedName>
    <definedName name="Tigr_Exhibit43a993ac_c440_4a17_a54b_a48884aad7e7" hidden="1">#REF!</definedName>
    <definedName name="Tigr_Exhibit43e80cb1_3c68_49b1_bd27_a8d9655bbe32" hidden="1">#REF!</definedName>
    <definedName name="Tigr_Exhibit43eb60d9_0cb9_4403_9045_708399651815" hidden="1">#REF!</definedName>
    <definedName name="Tigr_Exhibit4448d130_f690_49c1_b5a0_60a57b7193bd" hidden="1">#REF!</definedName>
    <definedName name="Tigr_Exhibit4449c92a_de9e_4b46_83d2_bd29c3823104" hidden="1">#REF!</definedName>
    <definedName name="Tigr_Exhibit44505ba9_eda4_4bbc_994e_3524c7d78742" hidden="1">#REF!</definedName>
    <definedName name="Tigr_Exhibit445c4a2e_f7f3_49cc_985e_482037b161ba" hidden="1">#REF!</definedName>
    <definedName name="Tigr_Exhibit4476aefc_08be_4cc2_b272_e04d64dcee32" hidden="1">#REF!</definedName>
    <definedName name="Tigr_Exhibit453d75dc_31a2_4c4b_bd97_95e7de4c410a" hidden="1">#REF!</definedName>
    <definedName name="Tigr_Exhibit454d55da_7a8d_481f_9372_fe6428dc1506" hidden="1">#REF!</definedName>
    <definedName name="Tigr_Exhibit457d6b5c_8069_490a_a388_1217e60e57ae" hidden="1">#REF!</definedName>
    <definedName name="Tigr_Exhibit45d24816_694d_4958_ab1c_28737da616d5" hidden="1">#REF!</definedName>
    <definedName name="Tigr_Exhibit45d25788_2a3b_418a_916c_9c8f66297291" hidden="1">#REF!</definedName>
    <definedName name="Tigr_Exhibit45db26c1_2667_4c68_9080_88f959018c73" hidden="1">#REF!</definedName>
    <definedName name="Tigr_Exhibit45e82aa4_30d7_4d53_afce_de461f394655" hidden="1">#REF!</definedName>
    <definedName name="Tigr_Exhibit45f65f09_8587_4edc_a68c_6107b1bd0dfb" hidden="1">#REF!</definedName>
    <definedName name="Tigr_Exhibit4613bbb1_584b_4619_8c0a_0863dcb99915" hidden="1">#REF!</definedName>
    <definedName name="Tigr_Exhibit464412ac_963c_4054_959d_0d60eb4018c2" hidden="1">#REF!</definedName>
    <definedName name="Tigr_Exhibit46f2ca48_4329_497b_b9e3_284ab2d1cced" hidden="1">#REF!</definedName>
    <definedName name="Tigr_Exhibit472ad65f_6ba9_4785_986b_39f8a258ea16" hidden="1">#REF!</definedName>
    <definedName name="Tigr_Exhibit4761143c_bce5_4d22_b7a9_b1011788ed8e" hidden="1">#REF!</definedName>
    <definedName name="Tigr_Exhibit476b4752_a8e8_4ccd_9d9d_fd5ece96def9" hidden="1">#REF!</definedName>
    <definedName name="Tigr_Exhibit47889003_8c00_4f7e_823e_5fbbe6c2078b" hidden="1">#REF!</definedName>
    <definedName name="Tigr_Exhibit4795408e_4c78_45bb_bc38_59ab187ffb99" hidden="1">#REF!</definedName>
    <definedName name="Tigr_Exhibit47ae09d8_8aaa_439b_a341_dfb9ac86a9e4" hidden="1">#REF!</definedName>
    <definedName name="Tigr_Exhibit47ec7228_29a3_49ed_88ed_8695ddaacfed" hidden="1">#REF!</definedName>
    <definedName name="Tigr_Exhibit4806f36c_8195_46ed_b92e_8a727a192d35" hidden="1">#REF!</definedName>
    <definedName name="Tigr_Exhibit48394f4c_1188_46f1_ac17_6237cfcecd99" hidden="1">#REF!</definedName>
    <definedName name="Tigr_Exhibit48862c65_87a2_4157_918f_b11c1062e868" hidden="1">#REF!</definedName>
    <definedName name="Tigr_Exhibit48b727c4_6313_4028_b5f7_1e917066e419" hidden="1">#REF!</definedName>
    <definedName name="Tigr_Exhibit48bcd7c3_8e10_4d9e_8480_24e6079e30e5" hidden="1">#REF!</definedName>
    <definedName name="Tigr_Exhibit48e2b39d_f291_4ea1_9245_1a9623f6c8bf" hidden="1">#REF!</definedName>
    <definedName name="Tigr_Exhibit48f2c4fb_d540_4cce_a5ed_1b147f4a29a8" hidden="1">#REF!</definedName>
    <definedName name="Tigr_Exhibit4915ddb9_853a_4e4c_96f4_28a500a27c1c" hidden="1">#REF!</definedName>
    <definedName name="Tigr_Exhibit49191345_f809_4d09_afda_aa7743ef0584" hidden="1">#REF!</definedName>
    <definedName name="Tigr_Exhibit492e08d7_1abe_4461_ba6e_690ae1af618b" hidden="1">#REF!</definedName>
    <definedName name="Tigr_Exhibit49474a98_04db_468c_8ef9_6917874f9a7b" hidden="1">#REF!</definedName>
    <definedName name="Tigr_Exhibit4979eea5_0c26_4fe0_a7ab_fb546997bd82" hidden="1">#REF!</definedName>
    <definedName name="Tigr_Exhibit498d9413_a15a_4962_9b8a_73a1db632e1a" hidden="1">#REF!</definedName>
    <definedName name="Tigr_Exhibit4a22e3a2_ca69_4dcf_93d8_a2ae64dc46b0" hidden="1">#REF!</definedName>
    <definedName name="Tigr_Exhibit4aa2f88e_25f2_44a0_aa43_06d4ff8cdab7" hidden="1">#REF!</definedName>
    <definedName name="Tigr_Exhibit4ad93220_bb76_4411_8267_d78986389b3a" hidden="1">#REF!</definedName>
    <definedName name="Tigr_Exhibit4b326fed_2903_49da_9bc3_710197115385" hidden="1">#REF!</definedName>
    <definedName name="Tigr_Exhibit4bb9f09f_787f_445d_a3d0_25812562dab2" hidden="1">#REF!</definedName>
    <definedName name="Tigr_Exhibit4bef9817_886c_4690_9180_7a822acd4b14" hidden="1">#REF!</definedName>
    <definedName name="Tigr_Exhibit4c02bd07_be7b_4e40_9459_6cbfa967810f" hidden="1">#REF!</definedName>
    <definedName name="Tigr_Exhibit4c263615_a439_4a20_acc8_6f9e8296d228" hidden="1">#REF!</definedName>
    <definedName name="Tigr_Exhibit4c47847c_8663_4ba1_9427_d517aa67d90d" hidden="1">#REF!</definedName>
    <definedName name="Tigr_Exhibit4c790b49_0c9f_4799_baa9_dbb297d53ec3" hidden="1">#REF!</definedName>
    <definedName name="Tigr_Exhibit4c7e1f07_4d47_4cc1_87b2_8eae64868531" hidden="1">#REF!</definedName>
    <definedName name="Tigr_Exhibit4ca1b2a3_ce82_4089_9458_b7e43ff4fe5d" hidden="1">#REF!</definedName>
    <definedName name="Tigr_Exhibit4ccdc28d_32b6_497e_8c51_cd2b30d481b8" hidden="1">#REF!</definedName>
    <definedName name="Tigr_Exhibit4cf321c6_faf0_4fc6_8a9f_e42ee3702beb" hidden="1">#REF!</definedName>
    <definedName name="Tigr_Exhibit4d752b85_14d5_4a2e_873b_1b3b385d8413" hidden="1">#REF!</definedName>
    <definedName name="Tigr_Exhibit4dac9114_21be_4e89_9147_35831060a7d8" hidden="1">#REF!</definedName>
    <definedName name="Tigr_Exhibit4dbacc32_2240_40fd_a351_d7642db9b1e5" hidden="1">#REF!</definedName>
    <definedName name="Tigr_Exhibit4e1c4750_2ab6_4801_9279_e5e4b9ec1a64" hidden="1">#REF!</definedName>
    <definedName name="Tigr_Exhibit4e82d1f6_dcf3_4f4d_8991_c4ba3a1e362e" hidden="1">#REF!</definedName>
    <definedName name="Tigr_Exhibit4e837384_b028_44bd_81f8_a7f95faefa9a" hidden="1">#REF!</definedName>
    <definedName name="Tigr_Exhibit4ebf7a65_048e_478c_b0de_47bc1509fbde" hidden="1">#REF!</definedName>
    <definedName name="Tigr_Exhibit4f2957b9_de21_4a86_a690_f22314b89726" hidden="1">#REF!</definedName>
    <definedName name="Tigr_Exhibit4f43c6de_669a_41f2_8dd0_52039b3263ac" hidden="1">#REF!</definedName>
    <definedName name="Tigr_Exhibit4f808fb9_7874_44b3_a5a9_2ac21b87ea93" hidden="1">#REF!</definedName>
    <definedName name="Tigr_Exhibit4f8566cc_fe74_479c_af5b_ff48ca433b66" hidden="1">#REF!</definedName>
    <definedName name="Tigr_Exhibit4f969faf_602f_4a84_bd0d_4c0f28893402" hidden="1">#REF!</definedName>
    <definedName name="Tigr_Exhibit4fcc519e_2088_46b1_8979_efedd754ce08" hidden="1">#REF!</definedName>
    <definedName name="Tigr_Exhibit50263c53_b973_4653_9b76_f620fd92ef42" hidden="1">Automotive!$BW$3:$CC$8</definedName>
    <definedName name="Tigr_Exhibit50349353_5968_4830_a286_24a74d2a9965" hidden="1">#REF!</definedName>
    <definedName name="Tigr_Exhibit50781060_e198_451c_96ee_b3f4bd549258" hidden="1">#REF!</definedName>
    <definedName name="Tigr_Exhibit50a693cf_9e63_4b55_a763_b57332dd73bc" hidden="1">#REF!</definedName>
    <definedName name="Tigr_Exhibit50de972a_5ecf_4268_bb01_e3f8fb84e01d" hidden="1">#REF!</definedName>
    <definedName name="Tigr_Exhibit51271397_1a9b_4852_aaed_0f8d683839bf" hidden="1">#REF!</definedName>
    <definedName name="Tigr_Exhibit5151d36b_0e60_413c_95a5_625ee13f3845" hidden="1">#REF!</definedName>
    <definedName name="Tigr_Exhibit5153ad0f_b295_425f_a607_87d25626143b" hidden="1">#REF!</definedName>
    <definedName name="Tigr_Exhibit517297b2_fb9e_4b9d_8af2_9d96859e310d" hidden="1">#REF!</definedName>
    <definedName name="Tigr_Exhibit517347df_49bd_4d9b_980e_47ad1e206fd8" hidden="1">#REF!</definedName>
    <definedName name="Tigr_Exhibit522f6de0_017b_4cb2_973c_68bc067415b6" hidden="1">#REF!</definedName>
    <definedName name="Tigr_Exhibit5260373f_ee62_4bdd_9f6e_ec7f236dfa9f" hidden="1">#REF!</definedName>
    <definedName name="Tigr_Exhibit5262ec60_d335_4cfb_943e_7aa9fe8c5275" hidden="1">#REF!</definedName>
    <definedName name="Tigr_Exhibit5295d00c_16cf_4a54_99b8_49b0877e1cd4" hidden="1">#REF!</definedName>
    <definedName name="Tigr_Exhibit5299bbfb_e1ff_464a_a658_73f011860e40" hidden="1">#REF!</definedName>
    <definedName name="Tigr_Exhibit52ac7f4a_4efd_4853_904d_61f8c554d0f7" hidden="1">#REF!</definedName>
    <definedName name="Tigr_Exhibit52c976bb_4202_4358_b060_7982761abf35" hidden="1">#REF!</definedName>
    <definedName name="Tigr_Exhibit52f5bb5f_83d3_4f6b_aa7a_e4eda3b65639" hidden="1">#REF!</definedName>
    <definedName name="Tigr_Exhibit530470df_28a6_439d_942f_0610ef075424" hidden="1">#REF!</definedName>
    <definedName name="Tigr_Exhibit53d940e2_8e04_4c85_856d_367f89434749" hidden="1">#REF!</definedName>
    <definedName name="Tigr_Exhibit53e7a06b_e7fa_44b9_8776_0ad713e8bd62" hidden="1">#REF!</definedName>
    <definedName name="Tigr_Exhibit544783b8_8feb_4378_9821_f663778c2ffc" hidden="1">#REF!</definedName>
    <definedName name="Tigr_Exhibit544f13b2_98b2_4d46_ba53_9d13ad0b886e" hidden="1">#REF!</definedName>
    <definedName name="Tigr_Exhibit544f36f1_ee6a_4f98_a78a_4541897681c5" hidden="1">#REF!</definedName>
    <definedName name="Tigr_Exhibit5509f29b_944d_4d7e_820f_ffafca58fdf8" hidden="1">#REF!</definedName>
    <definedName name="Tigr_Exhibit551e8560_2707_46a7_884c_bc4a6537d62d" hidden="1">#REF!</definedName>
    <definedName name="Tigr_Exhibit555bb802_4a5b_488d_98ef_74193080db0a" hidden="1">#REF!</definedName>
    <definedName name="Tigr_Exhibit557a4d9b_d876_4e61_9461_21d32f373b2f" hidden="1">#REF!</definedName>
    <definedName name="Tigr_Exhibit558e7120_03c5_4d88_8940_4e1314a541a1" hidden="1">#REF!</definedName>
    <definedName name="Tigr_Exhibit559cfa11_3e6a_49d1_858b_1459ac4367e8" hidden="1">#REF!</definedName>
    <definedName name="Tigr_Exhibit55c0d442_fd87_425c_bd99_f9f3cbf4104c" hidden="1">#REF!</definedName>
    <definedName name="Tigr_Exhibit55d0c068_3054_432a_a0d4_01d793b44fa8" hidden="1">#REF!</definedName>
    <definedName name="Tigr_Exhibit55fb4605_c5b8_4ca6_9f46_e08f3dc0ff92" hidden="1">#REF!</definedName>
    <definedName name="Tigr_Exhibit5636c8a2_6c27_4379_a21c_24bc277406a4" hidden="1">#REF!</definedName>
    <definedName name="Tigr_Exhibit5650de27_d0d7_46d2_8981_b8fe96da5f07" hidden="1">#REF!</definedName>
    <definedName name="Tigr_Exhibit56be3c3c_9e7b_47cf_b0da_43b74818da35" hidden="1">#REF!</definedName>
    <definedName name="Tigr_Exhibit56c18547_5e6d_4ebe_9eef_5d6bddb858bf" hidden="1">#REF!</definedName>
    <definedName name="Tigr_Exhibit56f152a8_9e5a_4581_af6e_0abd20649787" hidden="1">#REF!</definedName>
    <definedName name="Tigr_Exhibit57b717c2_b7ba_4908_8a61_310533fd95a3" hidden="1">#REF!</definedName>
    <definedName name="Tigr_Exhibit57f0bca6_3896_4a7f_8a36_e87f73ff9384" hidden="1">#REF!</definedName>
    <definedName name="Tigr_Exhibit57fc34cf_ddd6_44d7_9a3e_98088d144522" hidden="1">#REF!</definedName>
    <definedName name="Tigr_Exhibit58143e94_f3da_4665_a552_cb9f050024f1" hidden="1">#REF!</definedName>
    <definedName name="Tigr_Exhibit5854b565_b972_4ebb_84e2_cc3fe77440ad" hidden="1">#REF!</definedName>
    <definedName name="Tigr_Exhibit587b332b_a057_4ca3_a271_beaf997cf5a9" hidden="1">#REF!</definedName>
    <definedName name="Tigr_Exhibit589a5927_4d59_4307_87da_5fdc9df29c41" hidden="1">#REF!</definedName>
    <definedName name="Tigr_Exhibit58bf8afe_27e4_4f85_bd62_49ae84bacc72" hidden="1">#REF!</definedName>
    <definedName name="Tigr_Exhibit58cf6e5a_95d5_490b_bb5f_241915b05608" hidden="1">#REF!</definedName>
    <definedName name="Tigr_Exhibit58db2e65_7f26_4a8e_a1ea_fa4be63778a9" hidden="1">#REF!</definedName>
    <definedName name="Tigr_Exhibit58ff6d6c_bd35_4640_9486_09530f8c22e4" hidden="1">#REF!</definedName>
    <definedName name="Tigr_Exhibit5910a589_e89e_4f00_9546_e5b4db4c1000" hidden="1">#REF!</definedName>
    <definedName name="Tigr_Exhibit5912af3c_b083_4443_a7a3_8c18d6e61d40" hidden="1">#REF!</definedName>
    <definedName name="Tigr_Exhibit591daa57_5a41_43da_81f7_9b397d42727d" hidden="1">#REF!</definedName>
    <definedName name="Tigr_Exhibit597802eb_6448_498c_bf9d_7ede376881bd" hidden="1">#REF!</definedName>
    <definedName name="Tigr_Exhibit59b4a7b2_20d6_4151_9743_efc1620f1a93" hidden="1">#REF!</definedName>
    <definedName name="Tigr_Exhibit59eda48d_12f1_44c3_ac07_2989143c0c13" hidden="1">#REF!</definedName>
    <definedName name="Tigr_Exhibit5a7247f0_c85d_4b4a_bd19_b029092a00cb" hidden="1">#REF!</definedName>
    <definedName name="Tigr_Exhibit5a925495_cf59_43c5_9e99_d7742b3afb07" hidden="1">#REF!</definedName>
    <definedName name="Tigr_Exhibit5aee3878_e8ee_4abd_b251_0791e73a3300" hidden="1">#REF!</definedName>
    <definedName name="Tigr_Exhibit5b5fe57d_c05b_4095_ab51_a1a850fcb545" hidden="1">#REF!</definedName>
    <definedName name="Tigr_Exhibit5b60ad74_a1d5_4c64_a221_49ded88f31fb" hidden="1">#REF!</definedName>
    <definedName name="Tigr_Exhibit5b6e2f8f_df08_4ba9_8996_c4449a590ddb" hidden="1">#REF!</definedName>
    <definedName name="Tigr_Exhibit5bc70c3f_e92d_4970_a551_a0884db7f2ca" hidden="1">#REF!</definedName>
    <definedName name="Tigr_Exhibit5bd57e28_6c2a_41b6_a65f_f7cee34de1c7" hidden="1">#REF!</definedName>
    <definedName name="Tigr_Exhibit5bf83b92_57ea_4b8f_9984_e51c62612684" hidden="1">#REF!</definedName>
    <definedName name="Tigr_Exhibit5c60ce8e_40da_40e1_b763_88c59433b916" hidden="1">#REF!</definedName>
    <definedName name="Tigr_Exhibit5c6bfa4f_375f_4f00_9137_c023eff8265b" hidden="1">#REF!</definedName>
    <definedName name="Tigr_Exhibit5c79c8e4_a930_4cc9_a054_923ed7a0a3a8" hidden="1">#REF!</definedName>
    <definedName name="Tigr_Exhibit5cd074dc_7300_41c3_bfc3_4c99daf53ade" hidden="1">#REF!</definedName>
    <definedName name="Tigr_Exhibit5cd5a07e_1f28_4a3d_b966_98d59b842082" hidden="1">#REF!</definedName>
    <definedName name="Tigr_Exhibit5d3567d9_d96d_4abd_bc29_921d57aeeec7" hidden="1">#REF!</definedName>
    <definedName name="Tigr_Exhibit5d7f19e7_6e2d_4cc2_91d6_d1d75e900f6b" hidden="1">#REF!</definedName>
    <definedName name="Tigr_Exhibit5d801630_bf00_4606_af2f_28df96ea287b" hidden="1">#REF!</definedName>
    <definedName name="Tigr_Exhibit5d8e466f_0f64_489c_a4ad_ef91cb35e427" hidden="1">#REF!</definedName>
    <definedName name="Tigr_Exhibit5db744fd_5811_4d13_84e7_1061e67ab6b0" hidden="1">#REF!</definedName>
    <definedName name="Tigr_Exhibit5ec4c04f_cfe3_4c3e_a9e7_ec35c66069d8" hidden="1">#REF!</definedName>
    <definedName name="Tigr_Exhibit5f24a48b_6480_4b15_b1a4_f12dcb470e7f" hidden="1">#REF!</definedName>
    <definedName name="Tigr_Exhibit5f299b2a_cf0f_476d_a07d_00a60a022f77" hidden="1">#REF!</definedName>
    <definedName name="Tigr_Exhibit5f4d7b88_8fb5_49cb_b28b_36bf7d70fc0c" hidden="1">#REF!</definedName>
    <definedName name="Tigr_Exhibit5f81b514_3038_4687_b7ea_df6ba331c12c" hidden="1">#REF!</definedName>
    <definedName name="Tigr_Exhibit5fdd2a7b_a636_4df4_8b3a_ab45acb157ec" hidden="1">#REF!</definedName>
    <definedName name="Tigr_Exhibit60314b31_9df7_4ead_b25b_94aa27d2bda3" hidden="1">#REF!</definedName>
    <definedName name="Tigr_Exhibit6047873d_3b0b_41d5_87a2_9d1b69d48c04" hidden="1">#REF!</definedName>
    <definedName name="Tigr_Exhibit6086d6f4_b278_4b8f_9d3e_4c5974996c7a" hidden="1">#REF!</definedName>
    <definedName name="Tigr_Exhibit6097f67b_4032_4a86_82e2_a9e3bd32fb9d" hidden="1">#REF!</definedName>
    <definedName name="Tigr_Exhibit60f15f9e_cf6f_4c31_b257_2254abe315da" hidden="1">#REF!</definedName>
    <definedName name="Tigr_Exhibit6104f2e0_1648_4060_81be_43d0526850fe" hidden="1">#REF!</definedName>
    <definedName name="Tigr_Exhibit61255879_43da_4679_a6cc_a3b084c3ce7c" hidden="1">#REF!</definedName>
    <definedName name="Tigr_Exhibit61296381_da76_44db_aae3_dba295d1d220" hidden="1">#REF!</definedName>
    <definedName name="Tigr_Exhibit61330892_7056_4952_a02e_b13e6de630a9" hidden="1">#REF!</definedName>
    <definedName name="Tigr_Exhibit61adffd1_fd36_465b_899f_12f9fa90709e" hidden="1">#REF!</definedName>
    <definedName name="Tigr_Exhibit61afc8c3_6c22_448c_a668_4a86f8389157" hidden="1">#REF!</definedName>
    <definedName name="Tigr_Exhibit61eaf6be_60dc_47e8_8570_219bbaa26592" hidden="1">#REF!</definedName>
    <definedName name="Tigr_Exhibit62088610_69a5_47fa_8a4f_3caf5b1eef5e" hidden="1">#REF!</definedName>
    <definedName name="Tigr_Exhibit622b2fbf_8854_4690_8285_129fc69f9bff" hidden="1">#REF!</definedName>
    <definedName name="Tigr_Exhibit62345af0_1e35_498e_816f_145bab70667f" hidden="1">#REF!</definedName>
    <definedName name="Tigr_Exhibit624d6749_38b8_4bc3_a44e_334f002a1520" hidden="1">#REF!</definedName>
    <definedName name="Tigr_Exhibit6266bd9f_346a_4f98_9a2a_3c3dc9ebaefa" hidden="1">#REF!</definedName>
    <definedName name="Tigr_Exhibit627c0d4a_1ec1_4a4e_a233_0c737008a681" hidden="1">#REF!</definedName>
    <definedName name="Tigr_Exhibit6318109f_737e_40ae_910d_ded438072a1c" hidden="1">#REF!</definedName>
    <definedName name="Tigr_Exhibit6344ed6d_0c47_4bbf_9bec_833208e3d746" hidden="1">#REF!</definedName>
    <definedName name="Tigr_Exhibit63d9caf2_518a_408c_9840_e1ca88edc185" hidden="1">#REF!</definedName>
    <definedName name="Tigr_Exhibit6410f323_5753_4d8c_ae3b_d1acbf0777e0" hidden="1">#REF!</definedName>
    <definedName name="Tigr_Exhibit642584c9_9ee1_4a8d_8fa2_32f05661b750" hidden="1">#REF!</definedName>
    <definedName name="Tigr_Exhibit64e4c67c_c3a9_4dc2_8311_88a04c6c49ae" hidden="1">#REF!</definedName>
    <definedName name="Tigr_Exhibit6503ccba_befd_4f74_9c22_1fd2c07f1b9b" hidden="1">#REF!</definedName>
    <definedName name="Tigr_Exhibit65045f3b_cdbe_472a_ae68_a8c3b1c989f4" hidden="1">#REF!</definedName>
    <definedName name="Tigr_Exhibit6507e5b2_d6e3_4883_b50d_ee577641ea04" hidden="1">#REF!</definedName>
    <definedName name="Tigr_Exhibit65a1deed_fa06_4855_90e5_178abb6a3c9d" hidden="1">#REF!</definedName>
    <definedName name="Tigr_Exhibit65d0faef_f17b_4b8b_887a_f1e8626864a8" hidden="1">#REF!</definedName>
    <definedName name="Tigr_Exhibit65d79f7a_b3d9_45fb_ac89_2f6b3f5371a7" hidden="1">#REF!</definedName>
    <definedName name="Tigr_Exhibit65e1191f_74f5_4074_9c1d_a5bd499b4b30" hidden="1">#REF!</definedName>
    <definedName name="Tigr_Exhibit669ccbe4_7cbd_44fe_b65a_e0c7b6dee12b" hidden="1">#REF!</definedName>
    <definedName name="Tigr_Exhibit66a76ecd_561b_4b4d_be8f_717a97b2c993" hidden="1">#REF!</definedName>
    <definedName name="Tigr_Exhibit66cc775b_cf6d_4ab2_a2b6_63a18a532ebc" hidden="1">#REF!</definedName>
    <definedName name="Tigr_Exhibit66dcc4b1_4813_4478_8900_917a267a0363" hidden="1">#REF!</definedName>
    <definedName name="Tigr_Exhibit67901a44_e4c8_4a01_97b7_e029bebdefea" hidden="1">#REF!</definedName>
    <definedName name="Tigr_Exhibit67b78c0d_64fc_41f2_bd9e_576f62d8209b" hidden="1">#REF!</definedName>
    <definedName name="Tigr_Exhibit680056e1_6a81_4dbb_bf5a_f3a6f3a39735" hidden="1">#REF!</definedName>
    <definedName name="Tigr_Exhibit681947b7_f4cf_444a_ba78_05f88d996c8c" hidden="1">#REF!</definedName>
    <definedName name="Tigr_Exhibit6973e993_a57e_40d8_8a02_c91c86ba82f5" hidden="1">#REF!</definedName>
    <definedName name="Tigr_Exhibit69916897_2bf8_47f0_b31a_4d020e24c7eb" hidden="1">#REF!</definedName>
    <definedName name="Tigr_Exhibit69be73a2_adef_4cf1_95a9_4bff58e76a14" hidden="1">#REF!</definedName>
    <definedName name="Tigr_Exhibit69f3be79_631d_4d59_a02a_c1beff263dc8" hidden="1">#REF!</definedName>
    <definedName name="Tigr_Exhibit69f9fe98_3078_4f5e_8a42_6de5c6013197" hidden="1">#REF!</definedName>
    <definedName name="Tigr_Exhibit6a35147b_d08c_4bef_b039_42904de91466" hidden="1">#REF!</definedName>
    <definedName name="Tigr_Exhibit6a61087c_0f47_49d1_bc8a_e577b9d32e2c" hidden="1">#REF!</definedName>
    <definedName name="Tigr_Exhibit6a871656_6930_440c_8e52_c1982b2a57f9" hidden="1">#REF!</definedName>
    <definedName name="Tigr_Exhibit6b91eff5_e199_4256_bf68_708a0035c91d" hidden="1">#REF!</definedName>
    <definedName name="Tigr_Exhibit6b9708c0_d5f0_4502_a293_0e68cc160949" hidden="1">#REF!</definedName>
    <definedName name="Tigr_Exhibit6b9f7c14_d0e7_4923_ae4e_adaee4fd43da" hidden="1">#REF!</definedName>
    <definedName name="Tigr_Exhibit6bd53147_499c_47b3_9621_ed773f269e54" hidden="1">#REF!</definedName>
    <definedName name="Tigr_Exhibit6be2f180_0a41_417c_afb3_d05fc6368d92" hidden="1">#REF!</definedName>
    <definedName name="Tigr_Exhibit6bf5222c_e6d0_4b18_810e_9ffc0398da86" hidden="1">#REF!</definedName>
    <definedName name="Tigr_Exhibit6c09e94a_5f32_4ace_83d1_565b0c188b9a" hidden="1">#REF!</definedName>
    <definedName name="Tigr_Exhibit6c42fa7e_eecb_42ea_b42e_6575db613dae" hidden="1">#REF!</definedName>
    <definedName name="Tigr_Exhibit6c5f1bcf_f3da_48a1_8d45_8211617f6a96" hidden="1">#REF!</definedName>
    <definedName name="Tigr_Exhibit6c8ace04_b378_48c8_b12a_9f8f1025209d" hidden="1">#REF!</definedName>
    <definedName name="Tigr_Exhibit6c977655_508a_4cca_b6f1_9a5849fa4750" hidden="1">#REF!</definedName>
    <definedName name="Tigr_Exhibit6c9b3f5f_b82f_4192_a4b8_38a192c39e3f" hidden="1">#REF!</definedName>
    <definedName name="Tigr_Exhibit6cd4aba9_e0ca_41c2_95e5_bfe92989e166" hidden="1">#REF!</definedName>
    <definedName name="Tigr_Exhibit6cfe3c99_e716_475a_8f4e_be78d59b8b21" hidden="1">#REF!</definedName>
    <definedName name="Tigr_Exhibit6d05353c_dd66_4aef_b147_4de951efad64" hidden="1">#REF!</definedName>
    <definedName name="Tigr_Exhibit6d23e38e_84de_45e7_953d_ac8a7ac2812e" hidden="1">#REF!</definedName>
    <definedName name="Tigr_Exhibit6d38c01a_252f_4669_894d_5861224700c9" hidden="1">#REF!</definedName>
    <definedName name="Tigr_Exhibit6d3a0667_7341_4b64_aad1_050929823513" hidden="1">#REF!</definedName>
    <definedName name="Tigr_Exhibit6d3f12ec_7577_4cf4_95d3_81b653621709" hidden="1">#REF!</definedName>
    <definedName name="Tigr_Exhibit6d71512d_ed10_4a05_9fee_7d59c6862b4a" hidden="1">#REF!</definedName>
    <definedName name="Tigr_Exhibit6d782d30_b3b0_4c4a_b29e_2392780077dd" hidden="1">#REF!</definedName>
    <definedName name="Tigr_Exhibit6d955f0c_330c_4ff7_b4fb_a60e8ea2e7d7" hidden="1">#REF!</definedName>
    <definedName name="Tigr_Exhibit6dfb9fa9_4b56_4e9b_a2e2_09574c4276c4" hidden="1">#REF!</definedName>
    <definedName name="Tigr_Exhibit6e3b48be_b924_479f_924c_ff9a5723e6b8" hidden="1">#REF!</definedName>
    <definedName name="Tigr_Exhibit6ea23561_01ce_4438_aa39_af3e90f8d600" hidden="1">#REF!</definedName>
    <definedName name="Tigr_Exhibit6ed87923_3b6d_442c_b59d_0e29d133221f" hidden="1">#REF!</definedName>
    <definedName name="Tigr_Exhibit6edc1725_110d_443f_98d1_be0716675257" hidden="1">#REF!</definedName>
    <definedName name="Tigr_Exhibit6eed4fdf_9f2d_4496_804a_8730e93eb4f5" hidden="1">#REF!</definedName>
    <definedName name="Tigr_Exhibit6ef3bb0e_1fd0_4d00_a1ee_d01d55206333" hidden="1">#REF!</definedName>
    <definedName name="Tigr_Exhibit6fbf4e01_83c4_4557_b198_cbcdd1e1714b" hidden="1">#REF!</definedName>
    <definedName name="Tigr_Exhibit6fe6b563_a022_4b01_9dbe_c6a0554d54e9" hidden="1">#REF!</definedName>
    <definedName name="Tigr_Exhibit70a8d96f_39ea_4352_9517_aced04526099" hidden="1">#REF!</definedName>
    <definedName name="Tigr_Exhibit70b44913_6d47_4f06_b89f_1b7af265bb7f" hidden="1">#REF!</definedName>
    <definedName name="Tigr_Exhibit70cb9f83_5a86_4279_a6f8_18678ea563f0" hidden="1">#REF!</definedName>
    <definedName name="Tigr_Exhibit70eacc5c_c869_40d8_92c2_8ac34df1c7ea" hidden="1">#REF!</definedName>
    <definedName name="Tigr_Exhibit71905264_c8f9_4f55_bcf9_ccd0aa4c3a18" hidden="1">#REF!</definedName>
    <definedName name="Tigr_Exhibit71adb6f4_340f_4cd0_8636_4c89db9fd2e3" hidden="1">#REF!</definedName>
    <definedName name="Tigr_Exhibit72340bc6_edfe_4126_9a87_d21691f24e48" hidden="1">#REF!</definedName>
    <definedName name="Tigr_Exhibit72401ea4_7dde_408c_ab0d_3aecfd66454b" hidden="1">#REF!</definedName>
    <definedName name="Tigr_Exhibit72ab6cee_86e9_4d4e_bcd9_43f50d880c3b" hidden="1">#REF!</definedName>
    <definedName name="Tigr_Exhibit72f157ae_1658_48e2_a317_b2a9d6425d18" hidden="1">#REF!</definedName>
    <definedName name="Tigr_Exhibit7315531e_dc17_403b_8bfa_f872f835be27" hidden="1">#REF!</definedName>
    <definedName name="Tigr_Exhibit731a3c4a_82c0_4ea5_8fba_6143ef43e9bb" hidden="1">#REF!</definedName>
    <definedName name="Tigr_Exhibit73209a38_9688_44c0_883e_c008948a5e6c" hidden="1">#REF!</definedName>
    <definedName name="Tigr_Exhibit7326e5ed_9e9a_411a_bf02_96eb7808a543" hidden="1">#REF!</definedName>
    <definedName name="Tigr_Exhibit74533984_7928_4133_9c98_0e2211eadaa7" hidden="1">#REF!</definedName>
    <definedName name="Tigr_Exhibit74bb6e23_277d_4cb0_a978_21fbee6439bd" hidden="1">#REF!</definedName>
    <definedName name="Tigr_Exhibit74e4c769_05c2_4553_a8c2_ea93b326e90d" hidden="1">#REF!</definedName>
    <definedName name="Tigr_Exhibit74fcce66_cc7b_4474_be5b_8178df2b4f13" hidden="1">#REF!</definedName>
    <definedName name="Tigr_Exhibit752151f5_889d_42c8_96b4_26b1fd1b097c" hidden="1">#REF!</definedName>
    <definedName name="Tigr_Exhibit7565ce4e_2d7f_49ce_bb7c_b0de2621f7f0" hidden="1">#REF!</definedName>
    <definedName name="Tigr_Exhibit758cb766_d0c8_4865_9c0c_75ffb8da38e6" hidden="1">#REF!</definedName>
    <definedName name="Tigr_Exhibit75cc0470_82ee_4283_a22d_ecc3814bd40b" hidden="1">#REF!</definedName>
    <definedName name="Tigr_Exhibit75d3a092_3b91_4ac4_8816_399cfd2e8a37" hidden="1">#REF!</definedName>
    <definedName name="Tigr_Exhibit75d6afaf_34fc_4923_9ba5_1d8f5d0cf2cc" hidden="1">#REF!</definedName>
    <definedName name="Tigr_Exhibit76167846_eadf_4a81_9258_527988a6f0b4" hidden="1">#REF!</definedName>
    <definedName name="Tigr_Exhibit76340099_f103_49d3_9a70_5bdb3f7cb00c" hidden="1">#REF!</definedName>
    <definedName name="Tigr_Exhibit76562f73_cab2_4865_9360_62d727ef5ad2" hidden="1">#REF!</definedName>
    <definedName name="Tigr_Exhibit76b261b4_9180_4ef0_9a7a_fb0a6ee9a8c1" hidden="1">#REF!</definedName>
    <definedName name="Tigr_Exhibit76c5c618_2550_4c6b_bd9d_18e2e0dfd309" hidden="1">#REF!</definedName>
    <definedName name="Tigr_Exhibit7724159d_1b96_465f_a596_6e5b46391b07" hidden="1">#REF!</definedName>
    <definedName name="Tigr_Exhibit7734d64b_8738_42fd_9f33_5b10c8e744ee" hidden="1">#REF!</definedName>
    <definedName name="Tigr_Exhibit77c52636_db59_4aad_ab7b_c8dfb6ea6d17" hidden="1">#REF!</definedName>
    <definedName name="Tigr_Exhibit7828a8bb_f8ed_476d_8f4c_e502d4f4cbbf" hidden="1">#REF!</definedName>
    <definedName name="Tigr_Exhibit782a1787_9a2d_40d5_9e77_d2f57def5419" hidden="1">#REF!</definedName>
    <definedName name="Tigr_Exhibit784c3362_b9c3_4e48_86a3_70f6a8552cab" hidden="1">#REF!</definedName>
    <definedName name="Tigr_Exhibit789b5888_175f_47f1_b806_7c9542ebb4b2" hidden="1">#REF!</definedName>
    <definedName name="Tigr_Exhibit78aa0ef8_d9bc_4c87_979a_35d0c32eb197" hidden="1">#REF!</definedName>
    <definedName name="Tigr_Exhibit7946c2a2_8e87_4179_9392_271254d129c4" hidden="1">#REF!</definedName>
    <definedName name="Tigr_Exhibit799c33f0_d99d_4da0_8c0d_fb056a2493af" hidden="1">#REF!</definedName>
    <definedName name="Tigr_Exhibit79a230db_8ca9_43d6_9b11_016692f9844a" hidden="1">#REF!</definedName>
    <definedName name="Tigr_Exhibit79a9afd3_7061_449c_9a65_8c128031365c" hidden="1">#REF!</definedName>
    <definedName name="Tigr_Exhibit79c32396_a557_4e90_b2d1_f2271390bcca" hidden="1">#REF!</definedName>
    <definedName name="Tigr_Exhibit7a3cf257_1941_49da_9624_7829e115e9e9" hidden="1">#REF!</definedName>
    <definedName name="Tigr_Exhibit7a460078_77db_42b0_a539_4598ee18ee28" hidden="1">#REF!</definedName>
    <definedName name="Tigr_Exhibit7a65acf4_bffc_42a7_9727_5e829b8c1bf6" hidden="1">#REF!</definedName>
    <definedName name="Tigr_Exhibit7a7ef408_5daa_4679_8e5f_ae9eee18bd91" hidden="1">#REF!</definedName>
    <definedName name="Tigr_Exhibit7adf5125_c694_4bad_bb72_5a8a9a55af00" hidden="1">#REF!</definedName>
    <definedName name="Tigr_Exhibit7b105588_7495_4059_a1de_eb20ebb6fe24" hidden="1">#REF!</definedName>
    <definedName name="Tigr_Exhibit7b2699dd_976e_4313_86cc_222d3d92989d" hidden="1">#REF!</definedName>
    <definedName name="Tigr_Exhibit7b74e5aa_ae9c_40f7_b2bc_85837b4b0c50" hidden="1">#REF!</definedName>
    <definedName name="Tigr_Exhibit7b9ec54c_b590_4615_ab7c_193825b0f61e" hidden="1">#REF!</definedName>
    <definedName name="Tigr_Exhibit7bf0d7e7_1265_4a72_9054_d8307d47bf62" hidden="1">#REF!</definedName>
    <definedName name="Tigr_Exhibit7c0173c6_9cdc_45b1_a9cd_daa0459c8026" hidden="1">#REF!</definedName>
    <definedName name="Tigr_Exhibit7c0be667_9cda_4dad_9ead_20ef922190e8" hidden="1">#REF!</definedName>
    <definedName name="Tigr_Exhibit7cba5149_db3d_4d61_b47c_53c99a9c5104" hidden="1">#REF!</definedName>
    <definedName name="Tigr_Exhibit7cefd167_5be6_43c2_9cd9_37a45390c82c" hidden="1">#REF!</definedName>
    <definedName name="Tigr_Exhibit7d55e9c4_74af_4b19_9913_a756caf12848" hidden="1">#REF!</definedName>
    <definedName name="Tigr_Exhibit7db0f2b1_0f33_4792_bdbb_d7e8c020e140" hidden="1">#REF!</definedName>
    <definedName name="Tigr_Exhibit7de2310c_04e2_4fe7_8587_99deef84f1b5" hidden="1">#REF!</definedName>
    <definedName name="Tigr_Exhibit7dfb1d76_37f2_4446_b643_466c5c50cad2" hidden="1">#REF!</definedName>
    <definedName name="Tigr_Exhibit7e0dfe1d_3109_46b7_9f50_91eb418932cd" hidden="1">#REF!</definedName>
    <definedName name="Tigr_Exhibit7e1877c4_6536_485b_9825_6988a458693d" hidden="1">#REF!</definedName>
    <definedName name="Tigr_Exhibit7e36e708_374b_47ff_a192_03b826a4a175" hidden="1">#REF!</definedName>
    <definedName name="Tigr_Exhibit7e5f21fc_474e_4ad7_a818_89790b3b34dc" hidden="1">#REF!</definedName>
    <definedName name="Tigr_Exhibit7e61b99c_da8f_4325_a58d_3922d0b8d913" hidden="1">#REF!</definedName>
    <definedName name="Tigr_Exhibit7e83dd13_702d_421b_9a3a_ef6d812cb67f" hidden="1">#REF!</definedName>
    <definedName name="Tigr_Exhibit7f1ca7df_bd20_428f_b0dc_304e35ca9aa0" hidden="1">#REF!</definedName>
    <definedName name="Tigr_Exhibit7f2d75a5_940c_4170_bb51_bab1cf8e4e19" hidden="1">#REF!</definedName>
    <definedName name="Tigr_Exhibit7f4527ce_65ae_451b_a59b_bd1675e1219e" hidden="1">#REF!</definedName>
    <definedName name="Tigr_Exhibit7f4ececa_64f0_4b86_9ca3_392933840dd4" hidden="1">#REF!</definedName>
    <definedName name="Tigr_Exhibit7f61b6e3_53f8_4ac8_9144_1f14ce07c209" hidden="1">#REF!</definedName>
    <definedName name="Tigr_Exhibit7fb84ab2_4b0a_4de6_a6b9_f0eb26b236b9" hidden="1">#REF!</definedName>
    <definedName name="Tigr_Exhibit7fbc5ea0_409b_41f4_bac4_17191138219e" hidden="1">#REF!</definedName>
    <definedName name="Tigr_Exhibit805e3d74_c2e2_4a1d_a9aa_7cbb50f3d215" hidden="1">#REF!</definedName>
    <definedName name="Tigr_Exhibit80edc437_b438_49c5_be85_788a475a9ab2" hidden="1">#REF!</definedName>
    <definedName name="Tigr_Exhibit80f2b248_0b5c_4781_bd49_1507286f18e2" hidden="1">#REF!</definedName>
    <definedName name="Tigr_Exhibit816d96ec_badf_443f_94c9_4896bd61597f" hidden="1">#REF!</definedName>
    <definedName name="Tigr_Exhibit81716c3d_81da_49c9_a0c3_9eaedd6eb178" hidden="1">#REF!</definedName>
    <definedName name="Tigr_Exhibit81f5b4eb_4fd0_48a9_a90a_3677ec192993" hidden="1">#REF!</definedName>
    <definedName name="Tigr_Exhibit826ce6f2_4c2f_4bf2_9be2_ce7c35b800ff" hidden="1">#REF!</definedName>
    <definedName name="Tigr_Exhibit829f7773_42e3_4ccc_a3fe_2415d8c767ed" hidden="1">#REF!</definedName>
    <definedName name="Tigr_Exhibit82d71bc7_6756_4fd8_8114_c0e9552b80dc" hidden="1">#REF!</definedName>
    <definedName name="Tigr_Exhibit83011bd0_500e_4726_b0c6_34f274a1e73a" hidden="1">#REF!</definedName>
    <definedName name="Tigr_Exhibit830385c6_c2cf_443b_a134_5d6cb53b6d27" hidden="1">#REF!</definedName>
    <definedName name="Tigr_Exhibit832f2336_c37c_4cc0_97c7_214527a5f5c7" hidden="1">#REF!</definedName>
    <definedName name="Tigr_Exhibit83337303_2684_45bd_a14c_0998964ba2d7" hidden="1">#REF!</definedName>
    <definedName name="Tigr_Exhibit835cb92f_74cb_4c10_b878_7f896862344d" hidden="1">#REF!</definedName>
    <definedName name="Tigr_Exhibit839c3341_5964_40d7_97b6_83f9c94c49d1" hidden="1">#REF!</definedName>
    <definedName name="Tigr_Exhibit83cd533c_e937_499d_8c4e_bf4f9aacd603" hidden="1">#REF!</definedName>
    <definedName name="Tigr_Exhibit83fe4f44_10ff_49aa_b450_636f243a9b64" hidden="1">#REF!</definedName>
    <definedName name="Tigr_Exhibit851b996c_e45d_4338_8a85_7d03f90d0fa8" hidden="1">#REF!</definedName>
    <definedName name="Tigr_Exhibit85328538_3b64_4714_b426_7a46d4a9a0ba" hidden="1">#REF!</definedName>
    <definedName name="Tigr_Exhibit8572498d_c6a2_4bee_ac2c_1305075ac5eb" hidden="1">#REF!</definedName>
    <definedName name="Tigr_Exhibit8580c2e4_d6f5_4aea_bdba_6eadb605a881" hidden="1">#REF!</definedName>
    <definedName name="Tigr_Exhibit86b5399e_21b0_4dfa_82fb_848ebea18d01" hidden="1">#REF!</definedName>
    <definedName name="Tigr_Exhibit86d9abd4_669d_4172_b40c_df507e01ab6f" hidden="1">#REF!</definedName>
    <definedName name="Tigr_Exhibit8713ebd4_f104_4593_9f76_dfae5a7b82c1" hidden="1">#REF!</definedName>
    <definedName name="Tigr_Exhibit87176a43_e7c3_4c0e_b099_382228d1a582" hidden="1">#REF!</definedName>
    <definedName name="Tigr_Exhibit877a3fc8_4f63_4324_b582_c1e6e2b2ad3d" hidden="1">#REF!</definedName>
    <definedName name="Tigr_Exhibit87d151b5_bfa9_4e62_8ca1_ebe854f9f2cd" hidden="1">#REF!</definedName>
    <definedName name="Tigr_Exhibit87d64671_7e57_444b_b238_fbbf7d6f4960" hidden="1">#REF!</definedName>
    <definedName name="Tigr_Exhibit8801af5a_2f82_4749_b044_2c9417370e96" hidden="1">#REF!</definedName>
    <definedName name="Tigr_Exhibit88abb19c_1c4c_4cae_9a98_f4e3554fddaa" hidden="1">#REF!</definedName>
    <definedName name="Tigr_Exhibit88b5718b_ca75_42f3_b16d_1a509d8c00a5" hidden="1">#REF!</definedName>
    <definedName name="Tigr_Exhibit88cbe1d6_654c_4fec_a461_7fc40d4a3bb6" hidden="1">#REF!</definedName>
    <definedName name="Tigr_Exhibit88dfb100_f17f_404c_8c38_b722ea798c0a" hidden="1">#REF!</definedName>
    <definedName name="Tigr_Exhibit88e0192a_0a29_4267_a187_52db802b5b8e" hidden="1">#REF!</definedName>
    <definedName name="Tigr_Exhibit891d8a9a_17b3_4ece_a2a1_a2ae319221a1" hidden="1">#REF!</definedName>
    <definedName name="Tigr_Exhibit895c4874_c68d_4f33_be2d_4ae922a2a87b" hidden="1">#REF!</definedName>
    <definedName name="Tigr_Exhibit89d835d1_72f9_4969_9f5e_5752dcb6029b" hidden="1">#REF!</definedName>
    <definedName name="Tigr_Exhibit89e798d4_2946_4bfc_ba4f_dfec3b9fe09c" hidden="1">#REF!</definedName>
    <definedName name="Tigr_Exhibit8a56b5ce_aa08_456a_8b34_4c332a5dc958" hidden="1">#REF!</definedName>
    <definedName name="Tigr_Exhibit8a73dfd9_c634_4e7f_a34a_68c45b862341" hidden="1">#REF!</definedName>
    <definedName name="Tigr_Exhibit8b2da34c_da9a_4b1d_91ff_1d7a0f24dedb" hidden="1">#REF!</definedName>
    <definedName name="Tigr_Exhibit8b3346eb_cc20_4f2c_9fa5_7bdf785126d0" hidden="1">#REF!</definedName>
    <definedName name="Tigr_Exhibit8b5f7fad_5fc2_4c7b_8e08_4040c883c71e" hidden="1">#REF!</definedName>
    <definedName name="Tigr_Exhibit8b7f3918_8ec6_41da_a805_2d305e607ba9" hidden="1">#REF!</definedName>
    <definedName name="Tigr_Exhibit8bc0c886_6387_4d32_a724_a1c9aa8003da" hidden="1">#REF!</definedName>
    <definedName name="Tigr_Exhibit8c0df874_4dbb_4bff_a4a6_57fd4216a1d6" hidden="1">#REF!</definedName>
    <definedName name="Tigr_Exhibit8c67c1aa_81f7_40a2_854d_1a5f9708a2c5" hidden="1">#REF!</definedName>
    <definedName name="Tigr_Exhibit8c9b44b4_d821_4980_8a11_6e0f3fcccfc6" hidden="1">#REF!</definedName>
    <definedName name="Tigr_Exhibit8ccb72a8_0deb_4253_9110_df5390fcf259" hidden="1">#REF!</definedName>
    <definedName name="Tigr_Exhibit8d030500_0dca_42e6_bb98_a0ece56aa298" hidden="1">#REF!</definedName>
    <definedName name="Tigr_Exhibit8d289025_5a7e_4697_b4be_1a2ea76e1924" hidden="1">#REF!</definedName>
    <definedName name="Tigr_Exhibit8d4636ec_1c4b_426a_ab68_211974dd730e" hidden="1">#REF!</definedName>
    <definedName name="Tigr_Exhibit8d757af1_b86b_4b08_92b8_a2990649a478" hidden="1">#REF!</definedName>
    <definedName name="Tigr_Exhibit8da464f3_7d1d_4740_83dc_de788422e6ba" hidden="1">#REF!</definedName>
    <definedName name="Tigr_Exhibit8db301f5_7c2b_4c10_b782_b949041ee053" hidden="1">#REF!</definedName>
    <definedName name="Tigr_Exhibit8e876b59_83d1_456e_abfb_0c7defff3448" hidden="1">#REF!</definedName>
    <definedName name="Tigr_Exhibit8f3a47b8_3e79_49f3_9ffc_6c3223fa4336" hidden="1">#REF!</definedName>
    <definedName name="Tigr_Exhibit8f59db76_c365_43da_97d6_25e50375a4ea" hidden="1">#REF!</definedName>
    <definedName name="Tigr_Exhibit8fce6690_667a_41d1_925a_d088e15d0f84" hidden="1">#REF!</definedName>
    <definedName name="Tigr_Exhibit900562bb_c657_4279_972d_48e53b2e5b64" hidden="1">#REF!</definedName>
    <definedName name="Tigr_Exhibit900c1a63_0b07_40e5_9a38_bcd8e0760a1d" hidden="1">#REF!</definedName>
    <definedName name="Tigr_Exhibit905091d5_a2fb_47c8_bb06_d378de8c0ea6" hidden="1">#REF!</definedName>
    <definedName name="Tigr_Exhibit908540a0_c3c2_4e12_967c_2963d86f165d" hidden="1">#REF!</definedName>
    <definedName name="Tigr_Exhibit9094d87b_ed39_449a_9c60_c63ddb4b4ba1" hidden="1">#REF!</definedName>
    <definedName name="Tigr_Exhibit91141d71_7f71_4007_a5b7_5d8ae77d864e" hidden="1">#REF!</definedName>
    <definedName name="Tigr_Exhibit918ce436_3b76_4b39_945b_b0cb9a979fed" hidden="1">#REF!</definedName>
    <definedName name="Tigr_Exhibit91c6c1c3_0074_43a8_850c_753820e171cd" hidden="1">#REF!</definedName>
    <definedName name="Tigr_Exhibit924e0e0e_d7b3_43a4_844f_cc74f526bd85" hidden="1">#REF!</definedName>
    <definedName name="Tigr_Exhibit92821a24_8055_456f_b60f_a860abd0dff2" hidden="1">#REF!</definedName>
    <definedName name="Tigr_Exhibit92a709f1_31bb_48bf_9a75_0f5fd85cca61" hidden="1">#REF!</definedName>
    <definedName name="Tigr_Exhibit92b6d72a_be80_4c1c_9b9a_6728871f255b" hidden="1">#REF!</definedName>
    <definedName name="Tigr_Exhibit92d3ce34_a780_4bca_bf29_3d0d2ad7a0a6" hidden="1">#REF!</definedName>
    <definedName name="Tigr_Exhibit92ecd681_32d4_4dba_93cd_0307a072d9bf" hidden="1">#REF!</definedName>
    <definedName name="Tigr_Exhibit9317cac9_1865_4608_a231_93c606e41d14" hidden="1">#REF!</definedName>
    <definedName name="Tigr_Exhibit931dcd13_c95d_46b1_9712_858b36d774c6" hidden="1">#REF!</definedName>
    <definedName name="Tigr_Exhibit9368a322_3cbc_430e_adda_a156fe4acb5a" hidden="1">#REF!</definedName>
    <definedName name="Tigr_Exhibit9393b87e_5e06_415c_a1f4_9ad9247bf24e" hidden="1">#REF!</definedName>
    <definedName name="Tigr_Exhibit93a16a61_46d8_472f_bd29_ef44f2515f87" hidden="1">#REF!</definedName>
    <definedName name="Tigr_Exhibit9416f07a_0f6b_43c5_9fd4_bfbb73081c38" hidden="1">#REF!</definedName>
    <definedName name="Tigr_Exhibit94361816_6fb5_4712_85d7_901069278f46" hidden="1">#REF!</definedName>
    <definedName name="Tigr_Exhibit944a889b_0ba5_443f_8e9d_9da31a8aefea" hidden="1">#REF!</definedName>
    <definedName name="Tigr_Exhibit94b295e4_ac8a_4199_acd2_0434c7292de5" hidden="1">#REF!</definedName>
    <definedName name="Tigr_Exhibit94bec1c8_2541_436c_918d_f56766a18d20" hidden="1">#REF!</definedName>
    <definedName name="Tigr_Exhibit950679b2_325c_4a00_a9b9_537a62730397" hidden="1">#REF!</definedName>
    <definedName name="Tigr_Exhibit9536c0ab_6b9f_460b_8890_60b47eef9b9e" hidden="1">#REF!</definedName>
    <definedName name="Tigr_Exhibit95671d85_3df6_4f9c_8a91_b7fd5a4f02a5" hidden="1">#REF!</definedName>
    <definedName name="Tigr_Exhibit956e386d_b969_404a_b572_7b5e91391606" hidden="1">#REF!</definedName>
    <definedName name="Tigr_Exhibit95b5bc41_78bc_4f01_9598_5cebc3f85191" hidden="1">#REF!</definedName>
    <definedName name="Tigr_Exhibit961d27c3_5af4_41fe_9573_f5363ef0cfc6" hidden="1">#REF!</definedName>
    <definedName name="Tigr_Exhibit964dd998_cab3_472d_8471_7008dac99dfb" hidden="1">#REF!</definedName>
    <definedName name="Tigr_Exhibit9653456a_3004_4ba5_aa03_4f2e8abc9776" hidden="1">#REF!</definedName>
    <definedName name="Tigr_Exhibit966da191_6767_4964_857b_a8191656480d" hidden="1">#REF!</definedName>
    <definedName name="Tigr_Exhibit975e0ca1_44bb_4512_b12a_ee2e7c223461" hidden="1">#REF!</definedName>
    <definedName name="Tigr_Exhibit97613715_a3e6_440b_9bec_42b79aeea353" hidden="1">#REF!</definedName>
    <definedName name="Tigr_Exhibit979785e6_fb21_4178_ab7c_0738aa09dcf4" hidden="1">#REF!</definedName>
    <definedName name="Tigr_Exhibit98020a07_6808_48c7_9a2f_f3fd856ac9c6" hidden="1">#REF!</definedName>
    <definedName name="Tigr_Exhibit982621a4_bafb_4e98_afa8_ea7e1e02285a" hidden="1">#REF!</definedName>
    <definedName name="Tigr_Exhibit9827bd0d_c9e6_4131_a840_7fba9fc50f70" hidden="1">#REF!</definedName>
    <definedName name="Tigr_Exhibit983869cb_a2f5_41aa_b168_d72918c69090" hidden="1">#REF!</definedName>
    <definedName name="Tigr_Exhibit985be045_c7a6_4f7a_9661_e1deacc33741" hidden="1">#REF!</definedName>
    <definedName name="Tigr_Exhibit986495c0_3417_4235_86c8_7b1310420ca6" hidden="1">#REF!</definedName>
    <definedName name="Tigr_Exhibit986fb24d_5838_4e4e_b359_64932c87e58c" hidden="1">#REF!</definedName>
    <definedName name="Tigr_Exhibit9876510f_28ef_4847_b480_1763759a6a3a" hidden="1">#REF!</definedName>
    <definedName name="Tigr_Exhibit98ab13d4_deb9_40e1_b5c5_3effb69a17b9" hidden="1">#REF!</definedName>
    <definedName name="Tigr_Exhibit98c7e70c_b826_4756_88cc_0993ef4fe117" hidden="1">#REF!</definedName>
    <definedName name="Tigr_Exhibit992dacb7_0ce9_42d1_843b_ad432e4c0af9" hidden="1">#REF!</definedName>
    <definedName name="Tigr_Exhibit9977fa57_b8c9_4cb8_a9d8_241576b68972" hidden="1">#REF!</definedName>
    <definedName name="Tigr_Exhibit998633f7_e45f_4675_a6fa_2207510e7709" hidden="1">#REF!</definedName>
    <definedName name="Tigr_Exhibit99c1949f_4b02_421c_84b2_59d3216c9228" hidden="1">#REF!</definedName>
    <definedName name="Tigr_Exhibit9a5eecf1_5eaf_4fd3_8caa_0c4be3b09fc7" hidden="1">#REF!</definedName>
    <definedName name="Tigr_Exhibit9ac5c2bb_f6ab_4afa_92cc_7179e4b0bbaf" hidden="1">#REF!</definedName>
    <definedName name="Tigr_Exhibit9acb869c_4975_4ba6_97e7_b5932ff09193" hidden="1">#REF!</definedName>
    <definedName name="Tigr_Exhibit9aedd808_14d4_4782_991e_a17ffd888239" hidden="1">#REF!</definedName>
    <definedName name="Tigr_Exhibit9b196462_0189_45e1_810c_af5397b81af3" hidden="1">#REF!</definedName>
    <definedName name="Tigr_Exhibit9b391d41_0b48_4b45_8df5_e4bc85236d50" hidden="1">#REF!</definedName>
    <definedName name="Tigr_Exhibit9b6e73dc_5a33_449e_9e26_9ff906d71d60" hidden="1">#REF!</definedName>
    <definedName name="Tigr_Exhibit9b8a67b6_a128_4ef9_9f04_71641b5ea151" hidden="1">#REF!</definedName>
    <definedName name="Tigr_Exhibit9bf37d38_b312_4f0a_a3ce_21ede09f4338" hidden="1">#REF!</definedName>
    <definedName name="Tigr_Exhibit9c933ac7_2bfe_4443_a07f_5f40b4c588d5" hidden="1">#REF!</definedName>
    <definedName name="Tigr_Exhibit9cbbbb20_75a3_45ca_a44a_5ccd3279687b" hidden="1">#REF!</definedName>
    <definedName name="Tigr_Exhibit9cbdfe79_6c4a_4a1a_9d36_1446127c819b" hidden="1">#REF!</definedName>
    <definedName name="Tigr_Exhibit9d3a0a4c_e073_4bb0_bd15_a2a17a0cc178" hidden="1">#REF!</definedName>
    <definedName name="Tigr_Exhibit9d3df716_a0eb_4e8e_b40a_6d8d660ac7bd" hidden="1">#REF!</definedName>
    <definedName name="Tigr_Exhibit9d53457d_73a6_4bde_b263_86fe080ee0dd" hidden="1">#REF!</definedName>
    <definedName name="Tigr_Exhibit9d9a7281_6d70_40a6_84bc_c5af0f751b5b" hidden="1">#REF!</definedName>
    <definedName name="Tigr_Exhibit9dab5da0_68c8_42a2_a637_e0700c37226f" hidden="1">#REF!</definedName>
    <definedName name="Tigr_Exhibit9dcbd6ae_9c2c_42be_9fc2_71f819a528d8" hidden="1">#REF!</definedName>
    <definedName name="Tigr_Exhibit9e127edb_c44a_466a_b405_16035fa161d9" hidden="1">#REF!</definedName>
    <definedName name="Tigr_Exhibit9e3b19b5_9d9a_452f_a080_1e8620964f10" hidden="1">#REF!</definedName>
    <definedName name="Tigr_Exhibit9e4b688f_800e_4bcc_b0e8_76da41ea1e75" hidden="1">#REF!</definedName>
    <definedName name="Tigr_Exhibit9e655982_4592_4d2d_955d_5a25225fe467" hidden="1">#REF!</definedName>
    <definedName name="Tigr_Exhibit9e74807d_9c29_4f0a_8346_89a08ee34827" hidden="1">#REF!</definedName>
    <definedName name="Tigr_Exhibit9e836c5b_8a23_458c_bbd5_7d17e41130cc" hidden="1">#REF!</definedName>
    <definedName name="Tigr_Exhibit9eb34ccb_360a_4a30_acdd_018e919d97ab" hidden="1">#REF!</definedName>
    <definedName name="Tigr_Exhibit9ec643ec_55e7_4319_8fa4_6ca125b947dc" hidden="1">#REF!</definedName>
    <definedName name="Tigr_Exhibit9eea4ef1_c247_440c_b0ac_12b96b48af73" hidden="1">#REF!</definedName>
    <definedName name="Tigr_Exhibit9f0a8905_1524_42f0_ade9_25dbdbe46a75" hidden="1">#REF!</definedName>
    <definedName name="Tigr_Exhibit9f99b3f9_4293_47d5_94c5_587fc0d7221a" hidden="1">#REF!</definedName>
    <definedName name="Tigr_Exhibit9fd42e18_330d_4d13_a020_d71332754d55" hidden="1">#REF!</definedName>
    <definedName name="Tigr_Exhibit9ffdaea4_4bf1_4a60_86a3_7d51e452c3ae" hidden="1">#REF!</definedName>
    <definedName name="Tigr_Exhibita0487f2d_a60f_468e_bec5_990b356c4855" hidden="1">#REF!</definedName>
    <definedName name="Tigr_Exhibita087c2f4_8266_4ae8_84f3_7d7d008f2c9a" hidden="1">#REF!</definedName>
    <definedName name="Tigr_Exhibita0a4688e_3135_4962_aa3a_5c03188360b7" hidden="1">#REF!</definedName>
    <definedName name="Tigr_Exhibita0dd1ec2_88f4_480f_9770_4156b08bb539" hidden="1">#REF!</definedName>
    <definedName name="Tigr_Exhibita12bfb3f_06f3_4e09_9a57_f4920bfe525b" hidden="1">#REF!</definedName>
    <definedName name="Tigr_Exhibita130d622_7b9e_489a_8d12_b828013bc2bb" hidden="1">#REF!</definedName>
    <definedName name="Tigr_Exhibita15573af_006a_4e39_8c28_3903d25d8aa2" hidden="1">#REF!</definedName>
    <definedName name="Tigr_Exhibita1c4878c_cf2e_4d44_b3e5_629ce828931a" hidden="1">#REF!</definedName>
    <definedName name="Tigr_Exhibita238d0ab_f876_42eb_9530_49ea16fba9f3" hidden="1">#REF!</definedName>
    <definedName name="Tigr_Exhibita2632fc7_3f14_4904_972c_472097a658d0" hidden="1">#REF!</definedName>
    <definedName name="Tigr_Exhibita28dde03_d27a_4ea4_a380_f9f70a23458a" hidden="1">#REF!</definedName>
    <definedName name="Tigr_Exhibita2a9fd2c_0f6a_4a67_8efb_0c34bed2d728" hidden="1">#REF!</definedName>
    <definedName name="Tigr_Exhibita2d1efd7_67f0_4efd_a254_a6e54a0f9397" localSheetId="3" hidden="1">#REF!</definedName>
    <definedName name="Tigr_Exhibita2d1efd7_67f0_4efd_a254_a6e54a0f9397" hidden="1">#REF!</definedName>
    <definedName name="Tigr_Exhibita2f281fb_1663_4d00_8780_35466b6a49d3" hidden="1">#REF!</definedName>
    <definedName name="Tigr_Exhibita3828bc7_073f_402b_bb53_6dd3245f2447" hidden="1">#REF!</definedName>
    <definedName name="Tigr_Exhibita3998839_406f_403e_baee_b074f7dbda51" hidden="1">#REF!</definedName>
    <definedName name="Tigr_Exhibita3d9e72d_5eb8_461b_8446_376df9b78ba3" hidden="1">#REF!</definedName>
    <definedName name="Tigr_Exhibita431effb_bfe2_4932_8053_f62dd2c277ef" hidden="1">#REF!</definedName>
    <definedName name="Tigr_Exhibita4a743da_14f9_4065_a9e5_c04b69a66dc5" hidden="1">#REF!</definedName>
    <definedName name="Tigr_Exhibita4c50790_9755_45ff_bf05_2cdf47d54f79" hidden="1">#REF!</definedName>
    <definedName name="Tigr_Exhibita4e1ef5c_7650_49e6_9d10_ba211be7c5a5" localSheetId="3" hidden="1">#REF!</definedName>
    <definedName name="Tigr_Exhibita4e1ef5c_7650_49e6_9d10_ba211be7c5a5" hidden="1">#REF!</definedName>
    <definedName name="Tigr_Exhibita58ecf7c_59cd_4baf_90f4_8697663abb62" hidden="1">#REF!</definedName>
    <definedName name="Tigr_Exhibita617536f_8e20_4b8a_9088_c53e95dc37cc" hidden="1">#REF!</definedName>
    <definedName name="Tigr_Exhibita651d1f7_20f3_4fec_abb8_c1349817732a" hidden="1">#REF!</definedName>
    <definedName name="Tigr_Exhibita65b988c_d6ed_48d7_b6ee_5daed42c4117" hidden="1">#REF!</definedName>
    <definedName name="Tigr_Exhibita685516e_35c7_48d6_b0bd_ef4dcaf9183e" hidden="1">#REF!</definedName>
    <definedName name="Tigr_Exhibita69b0e08_3e54_4de8_8818_ad6da7b18eda" hidden="1">#REF!</definedName>
    <definedName name="Tigr_Exhibita6cb43f5_7ea3_4edf_a19f_9be9912e4cb4" hidden="1">#REF!</definedName>
    <definedName name="Tigr_Exhibita72c0715_2a62_4bf7_9bd0_f322745a6828" hidden="1">#REF!</definedName>
    <definedName name="Tigr_Exhibita74f6fb2_0ccf_4ecb_8ac3_b9f0ab958805" hidden="1">#REF!</definedName>
    <definedName name="Tigr_Exhibita758b328_0638_4825_8747_d68644482a05" hidden="1">#REF!</definedName>
    <definedName name="Tigr_Exhibita77337f9_229f_46ec_bd1e_89ecc541684a" hidden="1">#REF!</definedName>
    <definedName name="Tigr_Exhibita78bb8b6_f9e7_4e16_9c23_3298ac8ae71c" hidden="1">#REF!</definedName>
    <definedName name="Tigr_Exhibita7cdbd26_3e09_45d2_a6ab_833947f7bd19" hidden="1">#REF!</definedName>
    <definedName name="Tigr_Exhibita8caaca7_ce5f_4aa6_a3bb_676c5cfb38f9" hidden="1">#REF!</definedName>
    <definedName name="Tigr_Exhibita9218ed6_333e_4482_bc73_05e050a03e00" hidden="1">#REF!</definedName>
    <definedName name="Tigr_Exhibita962132f_b607_4f2d_b6cb_976f6b18b24a" hidden="1">#REF!</definedName>
    <definedName name="Tigr_Exhibita96ac017_fa83_40d0_8071_983c9dd14efb" hidden="1">#REF!</definedName>
    <definedName name="Tigr_Exhibita9d6f1b4_4fec_4c24_be27_7a9175c9ffb3" hidden="1">#REF!</definedName>
    <definedName name="Tigr_Exhibitaa03ad5c_38a5_4687_8c55_74c5c4b3035e" hidden="1">#REF!</definedName>
    <definedName name="Tigr_Exhibitaa1e621e_56ed_438e_aa50_27eebc11b0cd" hidden="1">#REF!</definedName>
    <definedName name="Tigr_Exhibitaa2807b0_2944_41b2_a288_815a931f0590" hidden="1">#REF!</definedName>
    <definedName name="Tigr_Exhibitaa7eef51_ab5d_4980_9fe1_f5319783cb78" hidden="1">#REF!</definedName>
    <definedName name="Tigr_Exhibitaab620ad_3f35_498c_b2ef_bd973ad83605" hidden="1">#REF!</definedName>
    <definedName name="Tigr_Exhibitaabb7986_b2f7_49aa_867d_babad8112bfa" hidden="1">#REF!</definedName>
    <definedName name="Tigr_Exhibitaad0b8ad_467c_4b63_8b38_9113224ddafa" hidden="1">#REF!</definedName>
    <definedName name="Tigr_Exhibitaafbd3cd_09b4_47a1_8435_9a84146ec8fb" hidden="1">#REF!</definedName>
    <definedName name="Tigr_Exhibitab1cd67a_3339_4876_a31a_b416effbec3c" hidden="1">#REF!</definedName>
    <definedName name="Tigr_Exhibitab4ccfe3_cb16_4b4b_a509_9deeb464c253" hidden="1">#REF!</definedName>
    <definedName name="Tigr_Exhibitac0fa8f0_f66d_4594_9b95_49884814ad22" hidden="1">#REF!</definedName>
    <definedName name="Tigr_Exhibitac6b7dde_2987_4056_aac5_528573643f45" hidden="1">#REF!</definedName>
    <definedName name="Tigr_Exhibitaca1322f_be90_4d77_85d1_45416d993a6d" hidden="1">#REF!</definedName>
    <definedName name="Tigr_Exhibitace02f69_92ce_4b13_9dd0_e771a4682ac7" hidden="1">#REF!</definedName>
    <definedName name="Tigr_Exhibitad357980_b945_40f7_b520_a80f2e2dd2db" hidden="1">#REF!</definedName>
    <definedName name="Tigr_Exhibitadd0762b_eb26_4520_afe7_13deaf285f58" hidden="1">#REF!</definedName>
    <definedName name="Tigr_Exhibitadf04408_8fef_4c83_8a89_9fc8ec64c075" hidden="1">#REF!</definedName>
    <definedName name="Tigr_Exhibitae00d63e_4955_49fc_92bc_5df7b026ef50" hidden="1">#REF!</definedName>
    <definedName name="Tigr_Exhibitae3e1138_ae56_4a49_8f40_b5016761c1ed" hidden="1">#REF!</definedName>
    <definedName name="Tigr_Exhibitae4607f0_c048_4af4_91c3_f1ea6bd43ba0" hidden="1">#REF!</definedName>
    <definedName name="Tigr_Exhibitae7aa7bd_fbdf_45ca_9be7_082e0589a799" hidden="1">#REF!</definedName>
    <definedName name="Tigr_Exhibitaeb48be1_e248_44f8_8a53_b6e607db141c" hidden="1">#REF!</definedName>
    <definedName name="Tigr_Exhibitaed20054_3ee0_49e2_875d_1512e4e2f2d5" hidden="1">#REF!</definedName>
    <definedName name="Tigr_Exhibitaf1937f9_4f31_4b78_b460_00acc00eb286" hidden="1">#REF!</definedName>
    <definedName name="Tigr_Exhibitaf275f9a_a019_4f4b_b812_4279be9cad07" hidden="1">#REF!</definedName>
    <definedName name="Tigr_Exhibitaf700965_35df_47e5_883d_a93e3c459388" hidden="1">#REF!</definedName>
    <definedName name="Tigr_Exhibitafd00f9e_a200_4202_a4b1_da67e7cb9fa4" hidden="1">#REF!</definedName>
    <definedName name="Tigr_Exhibitafe31343_9c58_4b1b_a10f_bbe356fb4a00" hidden="1">#REF!</definedName>
    <definedName name="Tigr_Exhibitb019a731_b8f0_44b6_91fc_4e64ff51c1c7" hidden="1">#REF!</definedName>
    <definedName name="Tigr_Exhibitb04c93be_0644_4490_91df_a0f691d75ddf" hidden="1">#REF!</definedName>
    <definedName name="Tigr_Exhibitb057286a_bec4_4c27_9b97_e85e0d4f0b55" hidden="1">#REF!</definedName>
    <definedName name="Tigr_Exhibitb0688a2a_0710_4005_80f9_262a9365411a" hidden="1">#REF!</definedName>
    <definedName name="Tigr_Exhibitb0731e0d_d9f4_4eef_9af8_89cecaa0fbeb" hidden="1">#REF!</definedName>
    <definedName name="Tigr_Exhibitb0fcf948_3885_4782_8012_afc372f05407" hidden="1">#REF!</definedName>
    <definedName name="Tigr_Exhibitb13af1c2_b779_48fb_91ee_3ba62736f4e1" hidden="1">#REF!</definedName>
    <definedName name="Tigr_Exhibitb14ddeca_f5c5_442b_9239_e86bff24fffe" hidden="1">#REF!</definedName>
    <definedName name="Tigr_Exhibitb16dd1cf_5dad_45ce_b8c1_41365ec2b941" hidden="1">#REF!</definedName>
    <definedName name="Tigr_Exhibitb1ce9ae9_68b6_4c4d_ad5f_58cd8a4760ae" hidden="1">#REF!</definedName>
    <definedName name="Tigr_Exhibitb1f3df2e_4fa1_4256_926f_f38873a9823f" hidden="1">#REF!</definedName>
    <definedName name="Tigr_Exhibitb203a67b_a62b_4fee_b73a_debc5439caf4" hidden="1">#REF!</definedName>
    <definedName name="Tigr_Exhibitb20553c9_1554_49ab_82e0_f3904a996dd0" hidden="1">#REF!</definedName>
    <definedName name="Tigr_Exhibitb22198a6_cef3_4085_bcb1_6e45b21d6f76" hidden="1">#REF!</definedName>
    <definedName name="Tigr_Exhibitb2286cbb_7d04_4be5_bbaa_3bfd755cc21d" hidden="1">#REF!</definedName>
    <definedName name="Tigr_Exhibitb23e153f_59e1_40c6_bfc0_538f9be303e6" hidden="1">#REF!</definedName>
    <definedName name="Tigr_Exhibitb26546e6_5e3e_4cbd_8e80_321bfd8f61c0" hidden="1">#REF!</definedName>
    <definedName name="Tigr_Exhibitb292317d_e219_4a18_9737_65f0354a9e20" hidden="1">#REF!</definedName>
    <definedName name="Tigr_Exhibitb2bf74ab_0194_4182_9a10_d94d56714def" hidden="1">#REF!</definedName>
    <definedName name="Tigr_Exhibitb2c7983e_0b0d_42a8_94c8_c39d997585ff" hidden="1">#REF!</definedName>
    <definedName name="Tigr_Exhibitb2e58906_7955_40e9_89a4_2dbffabed8ae" hidden="1">#REF!</definedName>
    <definedName name="Tigr_Exhibitb32f5d3f_ffe9_4789_bbf5_ee3a1444ad70" hidden="1">#REF!</definedName>
    <definedName name="Tigr_Exhibitb33e6995_ee50_4036_99a3_7f988623d48c" hidden="1">#REF!</definedName>
    <definedName name="Tigr_Exhibitb3d6f449_4558_4863_b7e6_6e288109f0e6" hidden="1">#REF!</definedName>
    <definedName name="Tigr_Exhibitb40a39d3_8ae9_4569_97a0_82272a898dc5" hidden="1">#REF!</definedName>
    <definedName name="Tigr_Exhibitb40cb991_0860_41a7_9166_b81a17f8e768" hidden="1">#REF!</definedName>
    <definedName name="Tigr_Exhibitb43031cf_720d_4a2f_91f9_b59011b7151a" hidden="1">#REF!</definedName>
    <definedName name="Tigr_Exhibitb444596d_d039_4fec_a2fd_623be2819eef" hidden="1">#REF!</definedName>
    <definedName name="Tigr_Exhibitb45cbb0a_0fc0_44b6_a33e_fa94d9082aac" hidden="1">#REF!</definedName>
    <definedName name="Tigr_Exhibitb477dcf4_e53d_46d8_8401_837161f66c5f" hidden="1">#REF!</definedName>
    <definedName name="Tigr_Exhibitb4d1d10b_c5ff_434a_81d7_60af9e52b674" hidden="1">#REF!</definedName>
    <definedName name="Tigr_Exhibitb4de4ca5_9f6c_4260_9b54_d4be820f7ee4" hidden="1">#REF!</definedName>
    <definedName name="Tigr_Exhibitb4edf74d_281c_43c9_9eb3_fc9f3e654a00" hidden="1">#REF!</definedName>
    <definedName name="Tigr_Exhibitb5daa3cc_f247_45c0_8890_8b83b0d44dfe" hidden="1">#REF!</definedName>
    <definedName name="Tigr_Exhibitb5e59879_78b6_4fe9_a92b_283800285a53" hidden="1">#REF!</definedName>
    <definedName name="Tigr_Exhibitb6038851_358a_4246_885a_bd469133c5cf" hidden="1">#REF!</definedName>
    <definedName name="Tigr_Exhibitb699c5ed_b222_4d63_a92a_250986e2e44e" hidden="1">#REF!</definedName>
    <definedName name="Tigr_Exhibitb6efeab5_c04c_4f8a_80fc_610985e063a4" hidden="1">#REF!</definedName>
    <definedName name="Tigr_Exhibitb78c9c35_d903_4f72_90f1_a0fc94085c45" hidden="1">#REF!</definedName>
    <definedName name="Tigr_Exhibitb7a48dbb_75d2_4783_84a3_2c09127e4d2e" hidden="1">#REF!</definedName>
    <definedName name="Tigr_Exhibitb7fb184c_89e4_4b3f_af89_c3dc060d70bc" hidden="1">#REF!</definedName>
    <definedName name="Tigr_Exhibitb8003366_09e2_4c54_a53d_6a43e361e771" hidden="1">#REF!</definedName>
    <definedName name="Tigr_Exhibitb8169456_e3f2_4664_8d29_1c772fb9cd8e" hidden="1">#REF!</definedName>
    <definedName name="Tigr_Exhibitb83ff3d0_3466_4525_901c_4273cdae906c" hidden="1">#REF!</definedName>
    <definedName name="Tigr_Exhibitb8a25385_2293_4f81_865c_c6a5bed492f5" hidden="1">#REF!</definedName>
    <definedName name="Tigr_Exhibitb8f62396_8338_4d3e_b23a_5b6ff70f1e79" hidden="1">#REF!</definedName>
    <definedName name="Tigr_Exhibitb90e0c9e_db9f_42fb_b92f_465e47a089f6" hidden="1">#REF!</definedName>
    <definedName name="Tigr_Exhibitb92f29d9_cd2e_42cc_b065_e5a6a11d348c" hidden="1">#REF!</definedName>
    <definedName name="Tigr_Exhibitb9f1877e_d989_449a_a25d_8b64b282096f" hidden="1">#REF!</definedName>
    <definedName name="Tigr_Exhibitb9ff8c39_89d7_4d1f_890b_a08a035969ab" hidden="1">#REF!</definedName>
    <definedName name="Tigr_Exhibitba57f245_c3ab_464a_a029_3e9ac51384bb" hidden="1">#REF!</definedName>
    <definedName name="Tigr_Exhibitba73417a_4948_4a5a_beb8_c69dbb1da016" hidden="1">#REF!</definedName>
    <definedName name="Tigr_Exhibitbae586dd_99f2_49e9_91f6_91b62e838093" hidden="1">#REF!</definedName>
    <definedName name="Tigr_Exhibitbb65d61f_c35e_459c_a91b_f3b59eed7626" hidden="1">#REF!</definedName>
    <definedName name="Tigr_Exhibitbbad5e52_d7f1_418e_b301_8bc71525d939" hidden="1">#REF!</definedName>
    <definedName name="Tigr_Exhibitbbf341d4_5ed5_4e64_a4c3_6e4aa1baa861" hidden="1">#REF!</definedName>
    <definedName name="Tigr_Exhibitbc00d811_9d41_4157_9add_3035ff780917" hidden="1">#REF!</definedName>
    <definedName name="Tigr_Exhibitbc40d9b9_9b2d_4040_a659_72a985a5fd04" hidden="1">#REF!</definedName>
    <definedName name="Tigr_Exhibitbc4bc219_91fd_4aa5_aa36_aa50e8e9be25" hidden="1">#REF!</definedName>
    <definedName name="Tigr_Exhibitbc7b9453_56fc_4b74_8bcb_9215ad1652d6" hidden="1">#REF!</definedName>
    <definedName name="Tigr_Exhibitbcdfec3b_8ee7_4ef5_8c31_94d1042cc7c6" hidden="1">#REF!</definedName>
    <definedName name="Tigr_Exhibitbd1f19ac_9550_409e_9ca9_564b3aeb656c" hidden="1">#REF!</definedName>
    <definedName name="Tigr_Exhibitbd3596ee_3b89_431a_ac21_de8b0a984469" hidden="1">#REF!</definedName>
    <definedName name="Tigr_Exhibitbd3d09d3_76f0_4095_8ed4_dee560f3c0ac" hidden="1">#REF!</definedName>
    <definedName name="Tigr_Exhibitbdb62644_5ebc_4b85_b74b_ecd840ade0aa" hidden="1">#REF!</definedName>
    <definedName name="Tigr_Exhibitbddd9f35_f9f6_4a8f_a0ac_04c5eabca568" hidden="1">#REF!</definedName>
    <definedName name="Tigr_Exhibitbe3000d0_4275_4829_9e05_3251da57587d" hidden="1">#REF!</definedName>
    <definedName name="Tigr_Exhibitbe5d340a_e941_4c5f_a2c0_cd6ce1169568" hidden="1">#REF!</definedName>
    <definedName name="Tigr_Exhibitbe8a1185_bca7_4470_988e_f3d0fc14abc6" hidden="1">#REF!</definedName>
    <definedName name="Tigr_Exhibitbf0ab5eb_b86e_49d9_88ab_ceb52843638a" hidden="1">#REF!</definedName>
    <definedName name="Tigr_Exhibitbf101d28_5fa7_4eeb_be34_ded75b532533" hidden="1">#REF!</definedName>
    <definedName name="Tigr_Exhibitbf1780d5_c07a_4a7a_81bf_0285eea9561e" hidden="1">#REF!</definedName>
    <definedName name="Tigr_Exhibitbf52e71a_a1fc_4524_9f43_afeb18561f88" hidden="1">#REF!</definedName>
    <definedName name="Tigr_Exhibitbfac90d1_3407_4dee_991c_2643caf5b2b8" hidden="1">#REF!</definedName>
    <definedName name="Tigr_Exhibitc0297468_0f38_40be_8523_8bae926f1db7" hidden="1">#REF!</definedName>
    <definedName name="Tigr_Exhibitc0578117_3c4c_4b73_9147_db3499678d56" hidden="1">#REF!</definedName>
    <definedName name="Tigr_Exhibitc0b6b4cf_2731_4019_8ca6_328748d923f2" hidden="1">#REF!</definedName>
    <definedName name="Tigr_Exhibitc0fd692a_14d6_471c_96a3_baf63540c484" hidden="1">#REF!</definedName>
    <definedName name="Tigr_Exhibitc105e37e_0d62_4678_ad83_f904e588fa1c" hidden="1">#REF!</definedName>
    <definedName name="Tigr_Exhibitc1285ea8_65de_46de_a38a_d401bcbdd4e1" hidden="1">#REF!</definedName>
    <definedName name="Tigr_Exhibitc14ea195_60a3_4ecf_9103_99cc4799a82e" hidden="1">#REF!</definedName>
    <definedName name="Tigr_Exhibitc1797d20_041c_4051_b4c6_c017a21d8dc8" hidden="1">#REF!</definedName>
    <definedName name="Tigr_Exhibitc1a1942f_066e_43e5_9869_591fe49c9dff" hidden="1">#REF!</definedName>
    <definedName name="Tigr_Exhibitc1e343af_0f27_4c40_a522_2453d6404feb" hidden="1">#REF!</definedName>
    <definedName name="Tigr_Exhibitc20e42c1_3970_47a7_849a_ce7ebd1c8655" hidden="1">#REF!</definedName>
    <definedName name="Tigr_Exhibitc2466b94_1550_4fce_b61c_588eab5ecb79" hidden="1">#REF!</definedName>
    <definedName name="Tigr_Exhibitc34b49e6_3955_4b31_b0b0_a5b797c8a6e7" hidden="1">#REF!</definedName>
    <definedName name="Tigr_Exhibitc3627d2e_51b3_4426_b317_fd956744b37d" hidden="1">#REF!</definedName>
    <definedName name="Tigr_Exhibitc3a3f928_2938_4a29_9661_336e95ec4532" hidden="1">#REF!</definedName>
    <definedName name="Tigr_Exhibitc3ccf51e_bf12_49c0_9bde_eb02f9ff712b" hidden="1">#REF!</definedName>
    <definedName name="Tigr_Exhibitc41f2f70_9654_4001_abe7_4039a3115473" hidden="1">#REF!</definedName>
    <definedName name="Tigr_Exhibitc44bd91a_a416_47de_a8ab_2a1d1ac750f2" hidden="1">#REF!</definedName>
    <definedName name="Tigr_Exhibitc4678483_da16_498a_abb0_412f5622065e" hidden="1">#REF!</definedName>
    <definedName name="Tigr_Exhibitc4e8df15_73db_4d32_b7ee_4550ba4243ea" hidden="1">#REF!</definedName>
    <definedName name="Tigr_Exhibitc5b27f90_2ca5_491a_88ce_5969e2ffd70a" hidden="1">#REF!</definedName>
    <definedName name="Tigr_Exhibitc623887a_74b6_4c77_b222_2ded5c855746" hidden="1">#REF!</definedName>
    <definedName name="Tigr_Exhibitc66fa36f_95c8_42a1_8061_3b0d39129b6e" hidden="1">#REF!</definedName>
    <definedName name="Tigr_Exhibitc6789787_f6e2_4ca9_8f65_c5bd5111361c" hidden="1">#REF!</definedName>
    <definedName name="Tigr_Exhibitc6f75a00_fe58_4a0b_91ad_b9ea026bbd1a" hidden="1">#REF!</definedName>
    <definedName name="Tigr_Exhibitc781b86f_bd18_493f_ab3a_c7156c4dd565" hidden="1">#REF!</definedName>
    <definedName name="Tigr_Exhibitc7845dc7_66cc_4b2c_9d28_862f9be15601" hidden="1">#REF!</definedName>
    <definedName name="Tigr_Exhibitc7b76323_c53b_44b7_8cd3_9fa488f37285" hidden="1">#REF!</definedName>
    <definedName name="Tigr_Exhibitc7e47041_76bb_4781_9af2_804b6dad890b" hidden="1">#REF!</definedName>
    <definedName name="Tigr_Exhibitc85fc064_6885_46f3_989c_20161744a195" hidden="1">#REF!</definedName>
    <definedName name="Tigr_Exhibitc87cf2b5_a895_4c92_96aa_c6f65230a9c0" hidden="1">#REF!</definedName>
    <definedName name="Tigr_Exhibitc8898439_480d_46a0_930e_d2a1a76e18f5" hidden="1">#REF!</definedName>
    <definedName name="Tigr_Exhibitc8ec086e_482c_4026_92f0_c1fa2fc2d8bf" hidden="1">#REF!</definedName>
    <definedName name="Tigr_Exhibitc92dc48a_2646_49b9_bd10_f65539e841de" hidden="1">#REF!</definedName>
    <definedName name="Tigr_Exhibitc94814ae_d5d5_441b_bcab_2554f518e445" hidden="1">#REF!</definedName>
    <definedName name="Tigr_Exhibitc972539f_ff13_4976_99e0_6be69e0e1a0f" hidden="1">#REF!</definedName>
    <definedName name="Tigr_Exhibitc97c72e9_e1ff_4386_99f3_be4d7e0d56f0" hidden="1">#REF!</definedName>
    <definedName name="Tigr_Exhibitc994cc34_cafe_4770_ae2b_c615892a0989" hidden="1">#REF!</definedName>
    <definedName name="Tigr_Exhibitc9a0c716_bc70_4fa2_be5a_9432ac9588ec" hidden="1">#REF!</definedName>
    <definedName name="Tigr_Exhibitc9b5c7cc_f087_48fb_90a9_ea0361e5e29c" hidden="1">#REF!</definedName>
    <definedName name="Tigr_Exhibitca1aa228_ac8a_4109_8554_361a902af747" hidden="1">#REF!</definedName>
    <definedName name="Tigr_Exhibitca63a1ef_be7f_467e_bed4_66aac1378ea5" hidden="1">#REF!</definedName>
    <definedName name="Tigr_Exhibitca79e302_f2ba_4c8c_b744_120abadd121a" hidden="1">#REF!</definedName>
    <definedName name="Tigr_Exhibitcaa16882_28d9_411f_bb94_3c3a2a3a3d09" hidden="1">#REF!</definedName>
    <definedName name="Tigr_Exhibitcb2d79fa_8300_47c1_8319_e22fefe9c4d0" hidden="1">#REF!</definedName>
    <definedName name="Tigr_Exhibitcb338465_b6cd_47bf_80d9_f36c3fb772a0" hidden="1">#REF!</definedName>
    <definedName name="Tigr_Exhibitcb9036d8_10ba_4f8e_8e76_5444be8b9b42" hidden="1">#REF!</definedName>
    <definedName name="Tigr_Exhibitcd286ca4_61bf_4bdc_9721_768a93158b99" hidden="1">#REF!</definedName>
    <definedName name="Tigr_Exhibitcd425106_a81b_4464_9915_76ef7c88ceb3" hidden="1">#REF!</definedName>
    <definedName name="Tigr_Exhibitcd554042_e47e_434b_83d8_f4bfbf1c1dc7" hidden="1">#REF!</definedName>
    <definedName name="Tigr_Exhibitcd61dd57_fe70_4c82_a0fe_c8f728cbae44" hidden="1">#REF!</definedName>
    <definedName name="Tigr_Exhibitcd8925d2_09be_46ce_a77e_b5638466a4d6" hidden="1">#REF!</definedName>
    <definedName name="Tigr_Exhibitcda14391_f5e1_4972_b4ee_420c66c1b21c" hidden="1">#REF!</definedName>
    <definedName name="Tigr_Exhibitcdb22ae7_70e9_4d22_80cc_d11c4b542cd3" hidden="1">#REF!</definedName>
    <definedName name="Tigr_Exhibitcddd673e_4bfb_4735_a31a_a472ceccad5e" hidden="1">#REF!</definedName>
    <definedName name="Tigr_Exhibitce38840f_525b_46bd_a74e_af3f46003022" hidden="1">#REF!</definedName>
    <definedName name="Tigr_Exhibitce89d445_6bcb_429b_bf84_3e84bc87ab75" hidden="1">#REF!</definedName>
    <definedName name="Tigr_Exhibitceb65608_a72f_4130_b009_ef5fdb301854" hidden="1">#REF!</definedName>
    <definedName name="Tigr_Exhibitcf0db728_f9e7_4e8c_bc06_55925a8cc663" hidden="1">#REF!</definedName>
    <definedName name="Tigr_Exhibitcf18eef7_fc35_4806_aad6_54a4b42054fe" hidden="1">#REF!</definedName>
    <definedName name="Tigr_Exhibitcf30a10d_742d_4c3d_9a98_4ffa0bdf0f3f" hidden="1">#REF!</definedName>
    <definedName name="Tigr_Exhibitcf3ec3de_93b4_4479_94f6_fcc0a4b1ddbc" hidden="1">#REF!</definedName>
    <definedName name="Tigr_Exhibitcf719fe7_5666_49e0_8755_058e20d6ec3e" hidden="1">#REF!</definedName>
    <definedName name="Tigr_Exhibitcf8dc62b_0fbc_48e0_a8df_0838ff65c7bf" hidden="1">#REF!</definedName>
    <definedName name="Tigr_Exhibitcfaf37f3_5536_4cf0_a33d_f39b9085a4cf" hidden="1">#REF!</definedName>
    <definedName name="Tigr_Exhibitcfb83d66_7012_4703_931e_593ad4e1512a" hidden="1">#REF!</definedName>
    <definedName name="Tigr_Exhibitcfc2ed96_40a3_42b8_91f3_b3060c83bff6" hidden="1">#REF!</definedName>
    <definedName name="Tigr_Exhibitcffbbb7a_8446_45ad_8770_d38013df468d" hidden="1">#REF!</definedName>
    <definedName name="Tigr_Exhibitd19b8d14_6176_4034_9f6c_97f0c73ac987" hidden="1">#REF!</definedName>
    <definedName name="Tigr_Exhibitd1c236e0_3927_4965_a85c_58907ff8e450" hidden="1">#REF!</definedName>
    <definedName name="Tigr_Exhibitd22a952f_8978_4e29_886d_c217a7d1df84" hidden="1">#REF!</definedName>
    <definedName name="Tigr_Exhibitd26431e9_3ccf_4163_a57d_dd3b8682b1c9" hidden="1">#REF!</definedName>
    <definedName name="Tigr_Exhibitd280c2b9_ca87_4dfe_9fef_0e9630f7f7d7" hidden="1">#REF!</definedName>
    <definedName name="Tigr_Exhibitd2cd768b_2abb_4478_aa93_28a36e4a05da" hidden="1">#REF!</definedName>
    <definedName name="Tigr_Exhibitd2d75562_ece8_4845_8d17_6e49ecb6b762" hidden="1">#REF!</definedName>
    <definedName name="Tigr_Exhibitd30871ab_05b1_4830_a067_9ab894ae6eb1" hidden="1">#REF!</definedName>
    <definedName name="Tigr_Exhibitd30ebc60_af0c_4a4d_b3f3_f098d7c57bbf" hidden="1">#REF!</definedName>
    <definedName name="Tigr_Exhibitd33505ff_496f_4318_a33f_92a0924b5771" hidden="1">#REF!</definedName>
    <definedName name="Tigr_Exhibitd3356e2e_8e58_4912_89b9_1877401b557a" hidden="1">#REF!</definedName>
    <definedName name="Tigr_Exhibitd34dfba6_e463_4e33_910a_d4c4f17f4968" hidden="1">#REF!</definedName>
    <definedName name="Tigr_Exhibitd35d27d4_9b45_4e1b_acd3_fd580e68a20a" hidden="1">#REF!</definedName>
    <definedName name="Tigr_Exhibitd3c53e5a_626b_406f_9b43_eeb2c7b77f09" hidden="1">#REF!</definedName>
    <definedName name="Tigr_Exhibitd3d14a86_ca0a_4161_9062_8ccb220a83ac" hidden="1">#REF!</definedName>
    <definedName name="Tigr_Exhibitd3ef26eb_0645_4d2b_9326_c0f5a7a5c851" hidden="1">#REF!</definedName>
    <definedName name="Tigr_Exhibitd3fbca04_a40f_4a32_b577_07f6e4633a78" hidden="1">#REF!</definedName>
    <definedName name="Tigr_Exhibitd4187c3d_5eaf_4077_b39d_689fc354cba3" hidden="1">#REF!</definedName>
    <definedName name="Tigr_Exhibitd4d4f2af_b672_4b41_b8b5_305983a71acf" hidden="1">#REF!</definedName>
    <definedName name="Tigr_Exhibitd4e4b731_6ee2_48aa_9885_06a93480cb15" hidden="1">#REF!</definedName>
    <definedName name="Tigr_Exhibitd5325037_780f_42c0_9fb5_6576167a34e3" hidden="1">#REF!</definedName>
    <definedName name="Tigr_Exhibitd58b3389_f450_46f1_92a8_80cd47a62839" hidden="1">#REF!</definedName>
    <definedName name="Tigr_Exhibitd5b932af_d9e6_4835_86fb_94e765f1e2e6" hidden="1">#REF!</definedName>
    <definedName name="Tigr_Exhibitd5e8f04c_e64c_4aff_a543_01acbc15b35b" hidden="1">#REF!</definedName>
    <definedName name="Tigr_Exhibitd5f096d9_b101_4a57_b78c_9663ced9467c" hidden="1">#REF!</definedName>
    <definedName name="Tigr_Exhibitd60bf6a6_a1ce_41c5_b78f_f34b506c61ae" hidden="1">#REF!</definedName>
    <definedName name="Tigr_Exhibitd6d041c0_f89b_414c_9dd3_1ee58d0a6948" hidden="1">#REF!</definedName>
    <definedName name="Tigr_Exhibitd7085c9f_1191_4848_9ff7_e612ddac6147" hidden="1">#REF!</definedName>
    <definedName name="Tigr_Exhibitd72edaff_3952_4a66_983a_9a109f16af18" hidden="1">#REF!</definedName>
    <definedName name="Tigr_Exhibitd7720fee_5a6a_4aa4_bb28_10cf13e15419" hidden="1">#REF!</definedName>
    <definedName name="Tigr_Exhibitd78a7c06_8f4f_4ac5_b64c_a13017840f59" hidden="1">#REF!</definedName>
    <definedName name="Tigr_Exhibitd7e77b7b_fb07_4fe3_b293_f2d49362594f" hidden="1">#REF!</definedName>
    <definedName name="Tigr_Exhibitd801af5b_fd6b_4480_b757_9a504820f650" hidden="1">#REF!</definedName>
    <definedName name="Tigr_Exhibitd8a783e9_0a3b_4ab6_9dbb_1b6992580223" hidden="1">#REF!</definedName>
    <definedName name="Tigr_Exhibitd8b15071_2911_4d66_956e_d84fc0b4738a" hidden="1">#REF!</definedName>
    <definedName name="Tigr_Exhibitd9570a4b_5ec4_4504_b6c0_84b9a9e43f44" hidden="1">#REF!</definedName>
    <definedName name="Tigr_Exhibitda2a67bf_ae2c_457f_b0cf_e84150d1a918" hidden="1">#REF!</definedName>
    <definedName name="Tigr_Exhibitda583c0b_4dec_4820_a551_ca5f51c42081" hidden="1">#REF!</definedName>
    <definedName name="Tigr_Exhibitda88462e_ccf4_43d7_b0ce_ede0b5533c86" hidden="1">#REF!</definedName>
    <definedName name="Tigr_Exhibitda899833_9210_46ca_8a76_c4b06d51dea1" hidden="1">#REF!</definedName>
    <definedName name="Tigr_Exhibitda8f5e7b_0a11_47d9_9291_bb417bffdd3a" hidden="1">#REF!</definedName>
    <definedName name="Tigr_Exhibitdaaabe3a_d657_4baa_ba27_c682ba06ee7b" hidden="1">#REF!</definedName>
    <definedName name="Tigr_Exhibitdac62c64_5da6_4edc_ba8e_14e74403af94" hidden="1">#REF!</definedName>
    <definedName name="Tigr_Exhibitdadccd47_94dc_4f56_9ad5_7fd9375e0766" hidden="1">#REF!</definedName>
    <definedName name="Tigr_Exhibitdade7477_b358_4e3f_90b2_6a1f0ba927d0" hidden="1">#REF!</definedName>
    <definedName name="Tigr_Exhibitdaf6f7f4_d2e0_4af3_8a2d_1c68e18ee5e2" hidden="1">#REF!</definedName>
    <definedName name="Tigr_Exhibitdafb8cbb_1085_4f65_8619_27b7c14a67f3" hidden="1">#REF!</definedName>
    <definedName name="Tigr_Exhibitdb05c911_016c_452d_9374_98a94c54dd7c" hidden="1">#REF!</definedName>
    <definedName name="Tigr_Exhibitdb6baa80_6a4b_4988_b404_a1ce5cba6f0c" hidden="1">#REF!</definedName>
    <definedName name="Tigr_Exhibitdb91827c_8aa6_48e3_89c1_9c3a136ecc7b" hidden="1">#REF!</definedName>
    <definedName name="Tigr_Exhibitdba13809_e91b_4dda_bcf8_caf35be4388d" hidden="1">#REF!</definedName>
    <definedName name="Tigr_Exhibitdbca1504_985d_4462_b5e4_eda4eb73fac6" hidden="1">#REF!</definedName>
    <definedName name="Tigr_Exhibitdbef9c59_a659_4cd8_b3e6_17a77322f770" hidden="1">Automotive!#REF!</definedName>
    <definedName name="Tigr_Exhibitdc12b7f4_179f_4be0_b8bc_3bfc86349ac7" hidden="1">#REF!</definedName>
    <definedName name="Tigr_Exhibitdc303b36_b7e0_46ac_8608_c8343fc66550" hidden="1">#REF!</definedName>
    <definedName name="Tigr_Exhibitdc317c70_904e_4753_9d86_3a7148323a83" hidden="1">#REF!</definedName>
    <definedName name="Tigr_Exhibitdc58f681_3788_47bd_a72a_19e43ec583d1" hidden="1">#REF!</definedName>
    <definedName name="Tigr_Exhibitdc9be048_f126_41c6_b1b5_696f0712b779" hidden="1">#REF!</definedName>
    <definedName name="Tigr_Exhibitdce47a03_3a98_4137_b4c9_f85ef1f22e84" hidden="1">#REF!</definedName>
    <definedName name="Tigr_Exhibitdcfbf6e3_cc67_48f5_a382_749e28e5a777" hidden="1">#REF!</definedName>
    <definedName name="Tigr_Exhibitdda50483_ed3f_426c_925b_0b46af0777d5" hidden="1">#REF!</definedName>
    <definedName name="Tigr_Exhibitde1d67e6_8b30_411f_b259_4cdf78b98f27" hidden="1">#REF!</definedName>
    <definedName name="Tigr_Exhibitde761a7f_7c45_47b0_8f13_ecede0189a97" hidden="1">#REF!</definedName>
    <definedName name="Tigr_Exhibitde825008_bd91_4e56_b487_4d4e2068d106" hidden="1">#REF!</definedName>
    <definedName name="Tigr_Exhibitdeeebbf5_d346_45e3_b33d_3a56fe72f958" hidden="1">#REF!</definedName>
    <definedName name="Tigr_Exhibitdef4074f_afbe_4c09_8735_cdd946993557" hidden="1">#REF!</definedName>
    <definedName name="Tigr_Exhibitdf14bf7d_edf2_45d6_8583_e14e2d16d91b" hidden="1">#REF!</definedName>
    <definedName name="Tigr_Exhibitdf2f664f_8928_44e0_a453_e5dc00821384" hidden="1">#REF!</definedName>
    <definedName name="Tigr_Exhibitdf408d4e_eda9_4614_b8a0_08ba1390f05e" hidden="1">#REF!</definedName>
    <definedName name="Tigr_Exhibitdf50a480_3637_4bc0_b739_53ce1c636bbc" hidden="1">#REF!</definedName>
    <definedName name="Tigr_Exhibitdf79b2f5_c0fa_4e12_9876_eca4c474e0b1" hidden="1">#REF!</definedName>
    <definedName name="Tigr_Exhibitdfa3ca7f_51b5_436f_a1a4_b943f7f6aedb" hidden="1">#REF!</definedName>
    <definedName name="Tigr_Exhibitdfb6d735_3baf_491a_8477_8a78ed4ff4ef" hidden="1">#REF!</definedName>
    <definedName name="Tigr_Exhibitdfbac79c_c1a6_40be_b95c_fa4cad22a27c" hidden="1">#REF!</definedName>
    <definedName name="Tigr_Exhibitdfc7c18e_affa_4b6c_a42f_ccc687de55e2" hidden="1">#REF!</definedName>
    <definedName name="Tigr_Exhibitdfef2d64_578a_4bdc_b8a7_60443ea17b69" hidden="1">#REF!</definedName>
    <definedName name="Tigr_Exhibite0690cd6_20a3_476b_bb58_3f42def74d1d" hidden="1">#REF!</definedName>
    <definedName name="Tigr_Exhibite0743f65_dd4f_4f3b_8830_ee6ae2a9648f" hidden="1">#REF!</definedName>
    <definedName name="Tigr_Exhibite079df78_912d_4072_b07c_820d0229d699" hidden="1">#REF!</definedName>
    <definedName name="Tigr_Exhibite09af743_74fb_46f9_8fb6_a08e99f8aaa0" hidden="1">#REF!</definedName>
    <definedName name="Tigr_Exhibite0ca30bc_941b_4881_bc33_ee4260a7988a" hidden="1">#REF!</definedName>
    <definedName name="Tigr_Exhibite1749e61_512c_473f_832b_596df8d7350d" hidden="1">#REF!</definedName>
    <definedName name="Tigr_Exhibite1e11c75_c154_416a_be4f_727aa3fe90bd" hidden="1">#REF!</definedName>
    <definedName name="Tigr_Exhibite1e90bf7_fdde_432f_a8d4_9c3e4a1f404c" hidden="1">#REF!</definedName>
    <definedName name="Tigr_Exhibite20cd44b_ca69_4ec2_bc80_d5eb3a7404c1" hidden="1">#REF!</definedName>
    <definedName name="Tigr_Exhibite20fc7ae_b7a9_4953_8d71_41e50ab5ddc8" hidden="1">#REF!</definedName>
    <definedName name="Tigr_Exhibite2100bd0_d5ad_4f38_aa4e_81ee0e8aa750" hidden="1">#REF!</definedName>
    <definedName name="Tigr_Exhibite22ef638_d7c5_4480_ae9e_7363875e37cc" hidden="1">#REF!</definedName>
    <definedName name="Tigr_Exhibite25136c2_ec56_4732_9126_1ee8b7673694" hidden="1">#REF!</definedName>
    <definedName name="Tigr_Exhibite2d6e216_f7da_4171_9909_9f2fa41d0ea8" hidden="1">#REF!</definedName>
    <definedName name="Tigr_Exhibite3430fbd_1475_4da2_ba68_ab58520c7f8f" hidden="1">#REF!</definedName>
    <definedName name="Tigr_Exhibite34710fa_1a49_4d4e_86ba_ac32d1c2bebf" hidden="1">#REF!</definedName>
    <definedName name="Tigr_Exhibite35f0cce_420b_4695_aa5c_aa38a6dc1e86" hidden="1">#REF!</definedName>
    <definedName name="Tigr_Exhibite35fb9df_34b7_4b50_b8fb_3ea7097d35ef" hidden="1">#REF!</definedName>
    <definedName name="Tigr_Exhibite37c116b_3555_4cf3_9162_e72a25ccea01" hidden="1">#REF!</definedName>
    <definedName name="Tigr_Exhibite3930ab2_936c_42b4_8072_fb3104b48a10" hidden="1">#REF!</definedName>
    <definedName name="Tigr_Exhibite39de712_2001_4768_8128_fc3879eee49c" hidden="1">#REF!</definedName>
    <definedName name="Tigr_Exhibite3bc35c7_cb26_4fe3_b0e2_00b5871778f7" hidden="1">#REF!</definedName>
    <definedName name="Tigr_Exhibite3c1c97c_c086_41cc_a412_1259e548a896" hidden="1">#REF!</definedName>
    <definedName name="Tigr_Exhibite3cc1892_ad99_454c_88f2_174b65647b73" hidden="1">#REF!</definedName>
    <definedName name="Tigr_Exhibite3f8b8cd_97ab_4abc_9392_6295e8fac7d9" hidden="1">#REF!</definedName>
    <definedName name="Tigr_Exhibite43d5358_6366_4d88_9795_1f585d052298" hidden="1">#REF!</definedName>
    <definedName name="Tigr_Exhibite44e892b_6fa9_4280_bd72_767d0c1d8465" hidden="1">#REF!</definedName>
    <definedName name="Tigr_Exhibite4b34f01_4e86_47b8_aa15_73f2709e2c68" hidden="1">#REF!</definedName>
    <definedName name="Tigr_Exhibite4ba6416_41f1_4420_b1eb_3f76cbb36b70" hidden="1">#REF!</definedName>
    <definedName name="Tigr_Exhibite4beaec5_3bc4_42ff_9518_b1b34628112f" hidden="1">#REF!</definedName>
    <definedName name="Tigr_Exhibite4fc3731_4f02_4779_9941_a0002903ee87" hidden="1">#REF!</definedName>
    <definedName name="Tigr_Exhibite527e41b_11cc_4e8e_9bc3_5de87b36e714" hidden="1">#REF!</definedName>
    <definedName name="Tigr_Exhibite55f6042_6f96_4126_ae92_3382274190b5" hidden="1">#REF!</definedName>
    <definedName name="Tigr_Exhibite5cc4989_ab0f_4467_978a_a297b4cacb17" hidden="1">#REF!</definedName>
    <definedName name="Tigr_Exhibite5ccd3da_ecf7_4187_b601_04a4c1a4ea4f" hidden="1">#REF!</definedName>
    <definedName name="Tigr_Exhibite5fbb439_3b47_43fc_8ebf_b55176b64c93" hidden="1">#REF!</definedName>
    <definedName name="Tigr_Exhibite62c7b22_af92_42f9_9d66_8d6a980c2791" hidden="1">#REF!</definedName>
    <definedName name="Tigr_Exhibite6402540_8d25_4068_be16_781b879eceba" hidden="1">#REF!</definedName>
    <definedName name="Tigr_Exhibite65a6547_279b_451b_a20f_769ab530b05b" hidden="1">#REF!</definedName>
    <definedName name="Tigr_Exhibite6b18181_020f_4929_aba2_c88976a4e1bf" hidden="1">#REF!</definedName>
    <definedName name="Tigr_Exhibite6c6e1e2_cc93_4389_b2b0_3c43b73c48cb" hidden="1">#REF!</definedName>
    <definedName name="Tigr_Exhibite6cd45a3_d245_4392_9740_85aa3e756e6c" hidden="1">#REF!</definedName>
    <definedName name="Tigr_Exhibite6eff987_13e8_442e_bcbf_7ac80d3589a0" hidden="1">#REF!</definedName>
    <definedName name="Tigr_Exhibite6fc4fbd_8e46_4e8f_a87a_1ce45114bdcc" hidden="1">#REF!</definedName>
    <definedName name="Tigr_Exhibite7332461_25c7_4f3a_9623_890e0e615a27" hidden="1">#REF!</definedName>
    <definedName name="Tigr_Exhibite741d478_86d3_4e4f_9aa7_f63970d0b073" hidden="1">#REF!</definedName>
    <definedName name="Tigr_Exhibite7691348_e12e_4ce5_964f_a0e11e4c34a4" hidden="1">#REF!</definedName>
    <definedName name="Tigr_Exhibite770e962_e3e9_4825_88db_8b77ed4e97d2" hidden="1">#REF!</definedName>
    <definedName name="Tigr_Exhibite87e361e_6135_4f7f_9e2d_5b1df4d96471" hidden="1">#REF!</definedName>
    <definedName name="Tigr_Exhibite90f0b79_db4e_4bb2_861d_fc5aa71fc31d" hidden="1">#REF!</definedName>
    <definedName name="Tigr_Exhibite9607d18_b0f7_4d2e_928a_1d3b50c3334d" hidden="1">#REF!</definedName>
    <definedName name="Tigr_Exhibite9686083_59db_42ac_a895_0752d1ee1860" hidden="1">#REF!</definedName>
    <definedName name="Tigr_Exhibite9c71912_e7c1_490c_894e_c6c8c74e3d9f" hidden="1">#REF!</definedName>
    <definedName name="Tigr_Exhibite9ebb0d3_1a52_49c2_a034_24fbbf7cd5c0" hidden="1">#REF!</definedName>
    <definedName name="Tigr_Exhibitea1424ca_89b5_4f7c_aeab_d03180a92a6d" hidden="1">#REF!</definedName>
    <definedName name="Tigr_Exhibitea78e364_01ca_420a_9581_44d3bfa894d1" hidden="1">#REF!</definedName>
    <definedName name="Tigr_Exhibiteafcf6ad_afa6_489e_87e7_b29e17b24fde" hidden="1">#REF!</definedName>
    <definedName name="Tigr_Exhibiteb6e4427_a496_42f4_bc07_e887fc8c6389" hidden="1">#REF!</definedName>
    <definedName name="Tigr_Exhibiteb70fe85_4509_4c6c_80ee_ea3c1d7ff192" hidden="1">#REF!</definedName>
    <definedName name="Tigr_Exhibiteb91c770_d71c_4020_b751_f8b194576184" hidden="1">#REF!</definedName>
    <definedName name="Tigr_Exhibiteba657ef_5453_4a22_89a2_bcc4a069d3ed" hidden="1">#REF!</definedName>
    <definedName name="Tigr_Exhibitebc845bc_9ab3_435a_988a_6aeae5f47e95" hidden="1">#REF!</definedName>
    <definedName name="Tigr_Exhibitebe81fd5_f6c7_43c4_bf3e_8f4d34bf17cc" hidden="1">#REF!</definedName>
    <definedName name="Tigr_Exhibitec0e36f1_4ccc_4bea_adb8_cc790e738805" hidden="1">#REF!</definedName>
    <definedName name="Tigr_Exhibitec8604d4_2828_4f01_9bcd_1209fa75f8f5" hidden="1">#REF!</definedName>
    <definedName name="Tigr_Exhibitecab850f_ee15_4cf5_b1b3_8c0a041575e0" hidden="1">#REF!</definedName>
    <definedName name="Tigr_Exhibited00278a_9f21_4b72_b5b6_796222cad072" hidden="1">#REF!</definedName>
    <definedName name="Tigr_Exhibited300370_8f27_4fc0_8735_6836d0791ed1" hidden="1">#REF!</definedName>
    <definedName name="Tigr_Exhibited69b919_cf1d_4cf9_8a9c_35c401dab33e" hidden="1">#REF!</definedName>
    <definedName name="Tigr_Exhibited8c561c_2743_4762_80ef_93db5b1e4d24" hidden="1">#REF!</definedName>
    <definedName name="Tigr_Exhibitedd0dd26_fa79_4cef_9bdb_6348d430ff07" hidden="1">#REF!</definedName>
    <definedName name="Tigr_Exhibitedd2f42d_f090_46f3_9c38_faccc791a043" hidden="1">#REF!</definedName>
    <definedName name="Tigr_Exhibitede66d53_1e9f_4ea2_9b58_0975430ebcf6" hidden="1">#REF!</definedName>
    <definedName name="Tigr_Exhibitee9aa4c2_5790_4e44_81af_957213734efe" hidden="1">#REF!</definedName>
    <definedName name="Tigr_Exhibiteeda760f_e1da_4950_a6c6_f90c26e6dc8a" hidden="1">#REF!</definedName>
    <definedName name="Tigr_Exhibiteefc861d_c889_4828_96eb_e282203ebf5b" hidden="1">#REF!</definedName>
    <definedName name="Tigr_Exhibitef31cf2a_dd8b_4d49_9b65_0d57b76bda1e" hidden="1">#REF!</definedName>
    <definedName name="Tigr_Exhibitef409d5e_14c3_4260_a799_5e1ba9fa2ceb" hidden="1">#REF!</definedName>
    <definedName name="Tigr_Exhibitefc1a6c0_8b70_4ea6_92dd_8478f7c10da0" hidden="1">#REF!</definedName>
    <definedName name="Tigr_Exhibitf00f2ef8_78fe_4166_bee1_1da403ffeac4" hidden="1">#REF!</definedName>
    <definedName name="Tigr_Exhibitf058d27a_e863_4570_a662_d9231d9890cc" hidden="1">#REF!</definedName>
    <definedName name="Tigr_Exhibitf09cd042_fd96_47d2_93dc_794b1e68711d" hidden="1">#REF!</definedName>
    <definedName name="Tigr_Exhibitf0ac682d_3ceb_47b0_9c33_b5ef286c491a" hidden="1">#REF!</definedName>
    <definedName name="Tigr_Exhibitf0f78dd3_6709_423e_8d7f_424ee71e310f" hidden="1">#REF!</definedName>
    <definedName name="Tigr_Exhibitf116e141_bb57_480a_b687_af9b117ee8dc" hidden="1">#REF!</definedName>
    <definedName name="Tigr_Exhibitf1711d1d_f16d_494f_83dc_5a21d156a85d" hidden="1">#REF!</definedName>
    <definedName name="Tigr_Exhibitf17d2a01_cc12_4c6f_8f08_dd185375647d" hidden="1">#REF!</definedName>
    <definedName name="Tigr_Exhibitf28b3983_8027_4e9b_8adf_2d877f319e10" hidden="1">#REF!</definedName>
    <definedName name="Tigr_Exhibitf2af2ce7_db0e_445d_a52f_487599fa40a1" hidden="1">#REF!</definedName>
    <definedName name="Tigr_Exhibitf2bfdd68_24a5_4f2f_a528_9b590855fc92" hidden="1">#REF!</definedName>
    <definedName name="Tigr_Exhibitf2d36fdb_c08d_4448_b400_cd9d1a0d070d" hidden="1">#REF!</definedName>
    <definedName name="Tigr_Exhibitf33348ab_6439_48ae_b328_544a3c9a1e52" hidden="1">#REF!</definedName>
    <definedName name="Tigr_Exhibitf33f1f66_cb80_4d54_a1f4_9b50a2d298f0" hidden="1">#REF!</definedName>
    <definedName name="Tigr_Exhibitf3570ed1_e106_4bf4_8ffd_673c28c50a85" hidden="1">#REF!</definedName>
    <definedName name="Tigr_Exhibitf3ced83c_0ba0_4718_885c_56a03ffc08ca" hidden="1">#REF!</definedName>
    <definedName name="Tigr_Exhibitf3f01b5c_6091_4bc9_abfe_4248b131c3bf" hidden="1">#REF!</definedName>
    <definedName name="Tigr_Exhibitf4000fbf_90d9_4da9_80ce_eb42e588d96f" hidden="1">#REF!</definedName>
    <definedName name="Tigr_Exhibitf433fdb0_37a1_4909_a5f3_e2889c69d0bf" hidden="1">#REF!</definedName>
    <definedName name="Tigr_Exhibitf54064b9_fe15_4519_833c_9c2adbf37823" hidden="1">#REF!</definedName>
    <definedName name="Tigr_Exhibitf580f9cb_9f5a_4f54_8e3c_1f37932de9be" hidden="1">#REF!</definedName>
    <definedName name="Tigr_Exhibitf5993eec_8f1d_4fb7_8404_38c9bbdd0830" hidden="1">#REF!</definedName>
    <definedName name="Tigr_Exhibitf59ab019_2c7e_49c5_b946_008552c8c7a3" hidden="1">#REF!</definedName>
    <definedName name="Tigr_Exhibitf5a4a2fe_cb5e_417b_8f37_2004101d8d02" hidden="1">#REF!</definedName>
    <definedName name="Tigr_Exhibitf6119ba9_46b4_4203_87e9_5e851ac759d0" hidden="1">#REF!</definedName>
    <definedName name="Tigr_Exhibitf692b3ea_0a7e_4a03_a58d_78651fb1ffb1" hidden="1">#REF!</definedName>
    <definedName name="Tigr_Exhibitf6c32a0e_6c96_4649_a8ba_235ff5c6014f" hidden="1">#REF!</definedName>
    <definedName name="Tigr_Exhibitf6e82a16_5f97_45ed_a635_2711aa1781ba" hidden="1">#REF!</definedName>
    <definedName name="Tigr_Exhibitf6f2f26c_861d_499c_a32a_62c38148888e" hidden="1">#REF!</definedName>
    <definedName name="Tigr_Exhibitf6f7e5cc_89c8_4571_9c05_ea7ff0c144cf" hidden="1">#REF!</definedName>
    <definedName name="Tigr_Exhibitf728c5b8_fb4d_406a_8a06_303c51bac97a" hidden="1">#REF!</definedName>
    <definedName name="Tigr_Exhibitf7554988_b6e8_429c_99c3_26d7c68b36a9" hidden="1">#REF!</definedName>
    <definedName name="Tigr_Exhibitf7b4ecbc_7753_45a1_8bee_c119e89a6b72" hidden="1">#REF!</definedName>
    <definedName name="Tigr_Exhibitf7b618a1_7071_4e64_ab7d_f90515278632" hidden="1">#REF!</definedName>
    <definedName name="Tigr_Exhibitf7cc33d3_179b_4c40_a792_5d1299d02aca" hidden="1">#REF!</definedName>
    <definedName name="Tigr_Exhibitf7dc3c78_88a0_4ef6_b18b_4ecabaa29483" hidden="1">#REF!</definedName>
    <definedName name="Tigr_Exhibitf801ac2d_1475_42a1_9228_d7053e1d9443" hidden="1">#REF!</definedName>
    <definedName name="Tigr_Exhibitf85d3adb_b111_43db_a78b_21f4ecf13494" hidden="1">#REF!</definedName>
    <definedName name="Tigr_Exhibitf8aca3ea_4792_4691_800f_36765908fd08" hidden="1">#REF!</definedName>
    <definedName name="Tigr_Exhibitf8d48119_bf7a_436c_9495_644056dc9167" hidden="1">#REF!</definedName>
    <definedName name="Tigr_Exhibitf919d447_8abc_4423_b60e_2e7dc42e9620" hidden="1">#REF!</definedName>
    <definedName name="Tigr_Exhibitf943b908_98f7_4cce_8fa9_22989a59c585" hidden="1">#REF!</definedName>
    <definedName name="Tigr_Exhibitf968d109_4bf4_4b19_8520_7ba1b896686b" hidden="1">#REF!</definedName>
    <definedName name="Tigr_Exhibitf97a3948_3143_4a98_8698_b4fe0a6af83f" hidden="1">#REF!</definedName>
    <definedName name="Tigr_Exhibitfa4f1a05_3d62_4ac4_aa4e_4524592de66e" hidden="1">#REF!</definedName>
    <definedName name="Tigr_Exhibitfa6c2090_0a21_474d_9328_5a15fb06ca43" hidden="1">#REF!</definedName>
    <definedName name="Tigr_Exhibitfaa96148_981e_48c8_9a36_22fc8ff631ac" hidden="1">#REF!</definedName>
    <definedName name="Tigr_Exhibitface3230_f578_4e8a_bc2c_b4e40a88c178" hidden="1">#REF!</definedName>
    <definedName name="Tigr_Exhibitfb6bc94a_15fd_404e_89aa_8a3f60de47d4" hidden="1">#REF!</definedName>
    <definedName name="Tigr_Exhibitfbd48eef_a251_4cf1_a703_6844d3a2cc98" hidden="1">#REF!</definedName>
    <definedName name="Tigr_Exhibitfc3a5226_2c97_4d9f_9a1c_2363d15a9fb2" hidden="1">#REF!</definedName>
    <definedName name="Tigr_Exhibitfc3b0921_25aa_49a1_8af5_d8c8d05bb9d4" hidden="1">Automotive!$BW$3:$CC$7</definedName>
    <definedName name="Tigr_Exhibitfc771fd7_51fe_4f08_9737_6904fdf89e45" hidden="1">#REF!</definedName>
    <definedName name="Tigr_Exhibitfd1eaff5_6206_4af6_bc04_f95e96bdf266" hidden="1">#REF!</definedName>
    <definedName name="Tigr_Exhibitfd522d20_fb70_447f_a528_30b5cd04af22" hidden="1">#REF!</definedName>
    <definedName name="Tigr_Exhibitfd94c231_17a7_4a82_9975_0e2b4c240a9e" hidden="1">#REF!</definedName>
    <definedName name="Tigr_Exhibitfdbadd6a_8145_42c6_a9e3_6c249d17f184" hidden="1">#REF!</definedName>
    <definedName name="Tigr_Exhibitfdee6fa4_cb28_44e0_a126_3e505bbc83a7" hidden="1">#REF!</definedName>
    <definedName name="Tigr_Exhibitfdf8c879_67c2_4957_929e_03606d3fbac2" hidden="1">#REF!</definedName>
    <definedName name="Tigr_Exhibitfe5d8c82_0853_4576_b988_a38e0e945b85" hidden="1">#REF!</definedName>
    <definedName name="Tigr_Exhibitfeabaac0_2175_42f9_bafe_a188df703cda" hidden="1">#REF!</definedName>
    <definedName name="Tigr_Exhibitfebc9922_b21d_4571_8b33_ca54ddd0bc25" hidden="1">#REF!</definedName>
    <definedName name="Tigr_Exhibitfebd3d3d_215d_4660_bfc9_b5925f9ed082" hidden="1">#REF!</definedName>
    <definedName name="Tigr_Exhibitff5d53b6_ca04_42e6_bc7c_2814e92774bb" hidden="1">#REF!</definedName>
    <definedName name="Tigr_Exhibitff805fbe_7d8e_488f_ad05_c5187bd2e24f" hidden="1">#REF!</definedName>
    <definedName name="Tigr_Exhibitffa9d669_b87e_4957_a420_45e874d7b9a5" hidden="1">#REF!</definedName>
    <definedName name="TIM_AdjustedEV">#REF!</definedName>
    <definedName name="TIM_AssociatesMinorities">#REF!</definedName>
    <definedName name="TIM_UnleveredFCF">#REF!</definedName>
    <definedName name="timestamp">#REF!</definedName>
    <definedName name="Title">#REF!</definedName>
    <definedName name="Title1">#REF!</definedName>
    <definedName name="Company2658_AdjustedEV">#REF!</definedName>
    <definedName name="Company2658_AssociatesMinorities">#REF!</definedName>
    <definedName name="Company2658_UnleveredFCF">#REF!</definedName>
    <definedName name="tklccurr">#REF!</definedName>
    <definedName name="tklccurrffq">#REF!</definedName>
    <definedName name="tklcpegrelavg">#REF!</definedName>
    <definedName name="tklcpegrelcurr">#REF!</definedName>
    <definedName name="tklcpegrowthavg">#REF!</definedName>
    <definedName name="tklcpegrowthcurr">#REF!</definedName>
    <definedName name="tlab1998dsho">#REF!</definedName>
    <definedName name="tlab1998eps">#REF!</definedName>
    <definedName name="tlab1998rev">#REF!</definedName>
    <definedName name="tlab1998sho">#REF!</definedName>
    <definedName name="tlab1999dsho">#REF!</definedName>
    <definedName name="tlab1999eps">#REF!</definedName>
    <definedName name="tlab1999rev">#REF!</definedName>
    <definedName name="tlab1999sho">#REF!</definedName>
    <definedName name="tlab1q00dsho">#REF!</definedName>
    <definedName name="tlab1q00eps">#REF!</definedName>
    <definedName name="tlab1q00rev">#REF!</definedName>
    <definedName name="tlab1q00sho">#REF!</definedName>
    <definedName name="tlab1q01dsho">#REF!</definedName>
    <definedName name="tlab1q01eps">#REF!</definedName>
    <definedName name="tlab1q01rev">#REF!</definedName>
    <definedName name="tlab1q01sho">#REF!</definedName>
    <definedName name="tlab2000dsho">#REF!</definedName>
    <definedName name="tlab2000eps">#REF!</definedName>
    <definedName name="tlab2000rev">#REF!</definedName>
    <definedName name="tlab2000sho">#REF!</definedName>
    <definedName name="tlab2001dsho">#REF!</definedName>
    <definedName name="tlab2001eps">#REF!</definedName>
    <definedName name="tlab2001rev">#REF!</definedName>
    <definedName name="tlab2001sho">#REF!</definedName>
    <definedName name="tlab2002dsho">#REF!</definedName>
    <definedName name="tlab2002eps">#REF!</definedName>
    <definedName name="tlab2002rev">#REF!</definedName>
    <definedName name="tlab2002sho">#REF!</definedName>
    <definedName name="tlab2003dsho">#REF!</definedName>
    <definedName name="tlab2003eps">#REF!</definedName>
    <definedName name="tlab2003rev">#REF!</definedName>
    <definedName name="tlab2003sho">#REF!</definedName>
    <definedName name="tlab2q00dsho">#REF!</definedName>
    <definedName name="tlab2q00eps">#REF!</definedName>
    <definedName name="tlab2q00rev">#REF!</definedName>
    <definedName name="tlab2q00sho">#REF!</definedName>
    <definedName name="tlab2q01dsho">#REF!</definedName>
    <definedName name="tlab2q01eps">#REF!</definedName>
    <definedName name="tlab2q01rev">#REF!</definedName>
    <definedName name="tlab2q01sho">#REF!</definedName>
    <definedName name="tlab3q00dsho">#REF!</definedName>
    <definedName name="tlab3q00eps">#REF!</definedName>
    <definedName name="tlab3q00rev">#REF!</definedName>
    <definedName name="tlab3q00sho">#REF!</definedName>
    <definedName name="tlab3q01dsho">#REF!</definedName>
    <definedName name="tlab3q01eps">#REF!</definedName>
    <definedName name="tlab3q01rev">#REF!</definedName>
    <definedName name="tlab3q01sho">#REF!</definedName>
    <definedName name="tlab4q00dsho">#REF!</definedName>
    <definedName name="tlab4q00eps">#REF!</definedName>
    <definedName name="tlab4q00rev">#REF!</definedName>
    <definedName name="tlab4q00sho">#REF!</definedName>
    <definedName name="tlab4q01dsho">#REF!</definedName>
    <definedName name="tlab4q01eps">#REF!</definedName>
    <definedName name="tlab4q01rev">#REF!</definedName>
    <definedName name="tlab4q01sho">#REF!</definedName>
    <definedName name="tlabcurr">#REF!</definedName>
    <definedName name="tlabcurrffq">#REF!</definedName>
    <definedName name="tlabpegrelavg">#REF!</definedName>
    <definedName name="tlabpegrelcurr">#REF!</definedName>
    <definedName name="tlabpegrowthavg">#REF!</definedName>
    <definedName name="tlabpegrowthcurr">#REF!</definedName>
    <definedName name="tlabshares">#REF!</definedName>
    <definedName name="TMDisplay">#REF!</definedName>
    <definedName name="TMDisplay2">#REF!</definedName>
    <definedName name="tnbavg">#REF!</definedName>
    <definedName name="tnbchg">#REF!</definedName>
    <definedName name="tnbcrpe">#REF!</definedName>
    <definedName name="tnbcurr">#REF!</definedName>
    <definedName name="tnbdate">#REF!</definedName>
    <definedName name="tnbdown">#REF!</definedName>
    <definedName name="tnbdownsup">#REF!</definedName>
    <definedName name="tnbeps99">#REF!</definedName>
    <definedName name="tnbfy1cons">#REF!</definedName>
    <definedName name="tnbfy2cons">#REF!</definedName>
    <definedName name="tnbhi">#REF!</definedName>
    <definedName name="tnbhilo">#REF!</definedName>
    <definedName name="tnblow">#REF!</definedName>
    <definedName name="tnbmktcap">#REF!</definedName>
    <definedName name="tnbpegrowthavg">#REF!</definedName>
    <definedName name="tnbpegrowthcurr">#REF!</definedName>
    <definedName name="tnbpegrowthhi">#REF!</definedName>
    <definedName name="tnbpegrowthlow">#REF!</definedName>
    <definedName name="tnbprice">#REF!</definedName>
    <definedName name="tnbrpe">#REF!</definedName>
    <definedName name="tnbshares">#REF!</definedName>
    <definedName name="tnbtprice">#REF!</definedName>
    <definedName name="tnbttmavg">#REF!</definedName>
    <definedName name="tnbttmcurr">#REF!</definedName>
    <definedName name="tnbttmhi">#REF!</definedName>
    <definedName name="tnbttmlow">#REF!</definedName>
    <definedName name="tnbttmrelavg">#REF!</definedName>
    <definedName name="tnbttmrelcurr">#REF!</definedName>
    <definedName name="tnbttmrelhi">#REF!</definedName>
    <definedName name="tnbttmrellow">#REF!</definedName>
    <definedName name="tnbup">#REF!</definedName>
    <definedName name="tnbupsup">#REF!</definedName>
    <definedName name="tnbvol">#REF!</definedName>
    <definedName name="tnbyield">#REF!</definedName>
    <definedName name="TODAY">#REF!</definedName>
    <definedName name="Company2668">#REF!</definedName>
    <definedName name="Tom30YrBond">#REF!</definedName>
    <definedName name="Person1123">#REF!</definedName>
    <definedName name="Top_5_Access_File_3Q">#REF!</definedName>
    <definedName name="Top10db">#REF!</definedName>
    <definedName name="TOP10prelim">#REF!</definedName>
    <definedName name="TOP10prelim_2004q2">#REF!</definedName>
    <definedName name="TOP10prelim2003q3">#REF!</definedName>
    <definedName name="TOP10prelim2004q1">#REF!</definedName>
    <definedName name="TOP10prelimv2">#REF!</definedName>
    <definedName name="Company2776">#REF!</definedName>
    <definedName name="Company2777">#REF!</definedName>
    <definedName name="tot_debt">#REF!</definedName>
    <definedName name="tot_fd_shares_actual">#REF!</definedName>
    <definedName name="tot_fd_shares_over">#REF!</definedName>
    <definedName name="tot_fd_shares_sum_sec">#REF!</definedName>
    <definedName name="tot_mkt_cap_actual">#REF!</definedName>
    <definedName name="tot_mkt_cap_calc">#REF!</definedName>
    <definedName name="tot_mkt_cap_ext">#REF!</definedName>
    <definedName name="tot_ud_shares_actual">#REF!</definedName>
    <definedName name="tot_ud_shares_over">#REF!</definedName>
    <definedName name="tot_ud_shares_sum_sec">#REF!</definedName>
    <definedName name="TOTAD">#REF!</definedName>
    <definedName name="totad00">#REF!</definedName>
    <definedName name="totad01">#REF!</definedName>
    <definedName name="totad02">#REF!</definedName>
    <definedName name="totad03">#REF!</definedName>
    <definedName name="totad04">#REF!</definedName>
    <definedName name="totad05">#REF!</definedName>
    <definedName name="totad96">#REF!</definedName>
    <definedName name="totad97">#REF!</definedName>
    <definedName name="totad98">#REF!</definedName>
    <definedName name="totad99">#REF!</definedName>
    <definedName name="totadgr00">#REF!</definedName>
    <definedName name="totadgr01">#REF!</definedName>
    <definedName name="totadgr02">#REF!</definedName>
    <definedName name="totadgr03">#REF!</definedName>
    <definedName name="totadgr04">#REF!</definedName>
    <definedName name="totadgr05">#REF!</definedName>
    <definedName name="totadgr95">#REF!</definedName>
    <definedName name="totadgr96">#REF!</definedName>
    <definedName name="totadgr97">#REF!</definedName>
    <definedName name="totadgr98">#REF!</definedName>
    <definedName name="totadgr99">#REF!</definedName>
    <definedName name="total">#REF!</definedName>
    <definedName name="Total_amort_fore">#REF!</definedName>
    <definedName name="Total_Amortization">#REF!</definedName>
    <definedName name="Total_Amortization_fore">#REF!</definedName>
    <definedName name="Total_COS">#REF!</definedName>
    <definedName name="Total_COS_fore">#REF!</definedName>
    <definedName name="Total_COS_growth_fore">#REF!</definedName>
    <definedName name="Total_COS_net_DnA">#REF!</definedName>
    <definedName name="Total_COS_net_DnA_fore">#REF!</definedName>
    <definedName name="Total_Current_Assets">#REF!</definedName>
    <definedName name="Total_Current_Liabilities">#REF!</definedName>
    <definedName name="Total_Customers">#REF!</definedName>
    <definedName name="Total_debt">#REF!</definedName>
    <definedName name="Total_debt_DCF">#REF!</definedName>
    <definedName name="Total_debt_fore">#REF!</definedName>
    <definedName name="Total_debt_growth_fore">#REF!</definedName>
    <definedName name="Total_Equity">#REF!</definedName>
    <definedName name="Total_increase_in_EEs">#REF!</definedName>
    <definedName name="Total_Increase_in_EEs_fore">#REF!</definedName>
    <definedName name="Total_Operating_Capital">#REF!</definedName>
    <definedName name="Total_other_assets">#REF!</definedName>
    <definedName name="Total_Rev">#REF!</definedName>
    <definedName name="Total_Rev_oldRevDetail">#REF!</definedName>
    <definedName name="Total_Rev_preMACR">#REF!</definedName>
    <definedName name="Total_Rev_RevDetail">#REF!</definedName>
    <definedName name="Total_Revenue">#REF!</definedName>
    <definedName name="total_revenues_pretelstra">#REF!</definedName>
    <definedName name="Total1995">SUM(#REF!)</definedName>
    <definedName name="TOTAL2003">SUM([0]!Quarters2003)</definedName>
    <definedName name="TOTAL2004">SUM([0]!Quarters2004)</definedName>
    <definedName name="TOTAL2005">SUM([0]!Quarters2005)</definedName>
    <definedName name="totala">#REF!</definedName>
    <definedName name="TOTALASP">#REF!</definedName>
    <definedName name="totalEBITDA2000">#REF!</definedName>
    <definedName name="totalEBITDA2001">#REF!</definedName>
    <definedName name="totalEBITDA2002">#REF!</definedName>
    <definedName name="totalEBITDA2003">#REF!</definedName>
    <definedName name="totalEBITDA2004">#REF!</definedName>
    <definedName name="totalEBITDA98">#REF!</definedName>
    <definedName name="totalEBITDA99">#REF!</definedName>
    <definedName name="totall">#REF!</definedName>
    <definedName name="TOTALREV">#REF!</definedName>
    <definedName name="TotalRev.">#REF!</definedName>
    <definedName name="totalrev2000">#REF!</definedName>
    <definedName name="totalrev2001">#REF!</definedName>
    <definedName name="totalrev2002">#REF!</definedName>
    <definedName name="totalrev2003">#REF!</definedName>
    <definedName name="totalrev2004">#REF!</definedName>
    <definedName name="totalrev2005">#REF!</definedName>
    <definedName name="totalrev98">#REF!</definedName>
    <definedName name="totalrev99">#REF!</definedName>
    <definedName name="TotalRevenue">#REF!</definedName>
    <definedName name="TotalShare">#REF!</definedName>
    <definedName name="TOTALSHIP.">#REF!</definedName>
    <definedName name="TotalSupplyChain">#REF!</definedName>
    <definedName name="totdebt">#REF!</definedName>
    <definedName name="totshares">#REF!</definedName>
    <definedName name="TotWeeklyStoreSales">#REF!</definedName>
    <definedName name="trailing_revs">#REF!</definedName>
    <definedName name="transpo_tax">#REF!</definedName>
    <definedName name="trc_CFPSGROWTH5YR">#REF!</definedName>
    <definedName name="trc_CFPSGRWPRV5YR">#REF!</definedName>
    <definedName name="trc_CurFY">#REF!</definedName>
    <definedName name="trc_DIVGROWTH5YR">#REF!</definedName>
    <definedName name="trc_DIVGRWPRV5YR">#REF!</definedName>
    <definedName name="trc_DocID">#REF!</definedName>
    <definedName name="trc_EBITDAGROWTH5YR">#REF!</definedName>
    <definedName name="trc_EBITDAGRWPRV5YR">#REF!</definedName>
    <definedName name="trc_EBITNXT5">#REF!</definedName>
    <definedName name="trc_EBITPRV5">#REF!</definedName>
    <definedName name="trc_EPSGRWPRV5YR">#REF!</definedName>
    <definedName name="trc_Flavor">#REF!</definedName>
    <definedName name="trc_NETGROWTH5YR">#REF!</definedName>
    <definedName name="trc_NETGRWPRV5YR">#REF!</definedName>
    <definedName name="trc_QDType">#REF!</definedName>
    <definedName name="trc_RATING">#REF!</definedName>
    <definedName name="trc_ReleaseDate">#REF!</definedName>
    <definedName name="trc_REVGROWTH5YR">#REF!</definedName>
    <definedName name="trc_REVGRWPRV5YR">#REF!</definedName>
    <definedName name="trc_RISK">#REF!</definedName>
    <definedName name="trc_SHARESOUT">#REF!</definedName>
    <definedName name="trc_SHROUTGROWTH5YR">#REF!</definedName>
    <definedName name="trc_SHROUTGRWPRV5YR">#REF!</definedName>
    <definedName name="trc_submitter">#REF!</definedName>
    <definedName name="trc_submittername">#REF!</definedName>
    <definedName name="trc_TARGET">#REF!</definedName>
    <definedName name="trc_TemplateID">#REF!</definedName>
    <definedName name="trc_TEV">#REF!</definedName>
    <definedName name="trc_Ticker">#REF!</definedName>
    <definedName name="trc_Version">#REF!</definedName>
    <definedName name="trc_XLS_DATASHEET_ProtectDate">36895.4265625</definedName>
    <definedName name="trc_Y1">#REF!</definedName>
    <definedName name="trc_Y1COMMONEQ">#REF!</definedName>
    <definedName name="trc_Y1DILSHR">#REF!</definedName>
    <definedName name="trc_Y1DPS">#REF!</definedName>
    <definedName name="trc_Y1EBIT">#REF!</definedName>
    <definedName name="trc_Y1EBITDA">#REF!</definedName>
    <definedName name="trc_Y1FREE_CFPS">#REF!</definedName>
    <definedName name="trc_Y1LTDEBT">#REF!</definedName>
    <definedName name="trc_Y1NETINC">#REF!</definedName>
    <definedName name="trc_Y1Q1">#REF!</definedName>
    <definedName name="trc_Y1Q2">#REF!</definedName>
    <definedName name="trc_Y1Q3">#REF!</definedName>
    <definedName name="trc_Y1Q4">#REF!</definedName>
    <definedName name="trc_Y1REVENUE">#REF!</definedName>
    <definedName name="trc_Y1ROE">#REF!</definedName>
    <definedName name="trc_Y1TAXRATE">#REF!</definedName>
    <definedName name="trc_Y1Total">#REF!</definedName>
    <definedName name="trc_Y2">#REF!</definedName>
    <definedName name="trc_Y2COMMONEQ">#REF!</definedName>
    <definedName name="trc_Y2DILSHR">#REF!</definedName>
    <definedName name="trc_Y2DPS">#REF!</definedName>
    <definedName name="trc_Y2EBIT">#REF!</definedName>
    <definedName name="trc_Y2EBITDA">#REF!</definedName>
    <definedName name="trc_Y2FREE_CFPS">#REF!</definedName>
    <definedName name="trc_Y2LTDEBT">#REF!</definedName>
    <definedName name="trc_Y2NETINC">#REF!</definedName>
    <definedName name="trc_Y2Q1">#REF!</definedName>
    <definedName name="trc_Y2Q2">#REF!</definedName>
    <definedName name="trc_Y2Q3">#REF!</definedName>
    <definedName name="trc_Y2Q4">#REF!</definedName>
    <definedName name="trc_Y2REVENUE">#REF!</definedName>
    <definedName name="trc_Y2ROE">#REF!</definedName>
    <definedName name="trc_Y2TAXRATE">#REF!</definedName>
    <definedName name="trc_Y2Total">#REF!</definedName>
    <definedName name="trc_Y3">#REF!</definedName>
    <definedName name="trc_Y3COMMONEQ">#REF!</definedName>
    <definedName name="trc_Y3DILSHR">#REF!</definedName>
    <definedName name="trc_Y3DPS">#REF!</definedName>
    <definedName name="trc_Y3EBIT">#REF!</definedName>
    <definedName name="trc_Y3EBITDA">#REF!</definedName>
    <definedName name="trc_Y3FREE_CFPS">#REF!</definedName>
    <definedName name="trc_Y3LTDEBT">#REF!</definedName>
    <definedName name="trc_Y3NETINC">#REF!</definedName>
    <definedName name="trc_Y3Q1">#REF!</definedName>
    <definedName name="trc_Y3Q2">#REF!</definedName>
    <definedName name="trc_Y3Q3">#REF!</definedName>
    <definedName name="trc_Y3Q4">#REF!</definedName>
    <definedName name="trc_Y3REVENUE">#REF!</definedName>
    <definedName name="trc_Y3ROE">#REF!</definedName>
    <definedName name="trc_Y3TAXRATE">#REF!</definedName>
    <definedName name="trc_Y3Total">#REF!</definedName>
    <definedName name="trc_Y4">#REF!</definedName>
    <definedName name="trc_Y4COMMONEQ">#REF!</definedName>
    <definedName name="trc_Y4DILSHR">#REF!</definedName>
    <definedName name="trc_Y4DPS">#REF!</definedName>
    <definedName name="trc_Y4EBIT">#REF!</definedName>
    <definedName name="trc_Y4EBITDA">#REF!</definedName>
    <definedName name="trc_Y4FREE_CFPS">#REF!</definedName>
    <definedName name="trc_Y4LTDEBT">#REF!</definedName>
    <definedName name="trc_Y4NETINC">#REF!</definedName>
    <definedName name="trc_Y4Q1">#REF!</definedName>
    <definedName name="trc_Y4Q2">#REF!</definedName>
    <definedName name="trc_Y4Q3">#REF!</definedName>
    <definedName name="trc_Y4Q4">#REF!</definedName>
    <definedName name="trc_Y4REVENUE">#REF!</definedName>
    <definedName name="trc_Y4ROE">#REF!</definedName>
    <definedName name="trc_Y4TAXRATE">#REF!</definedName>
    <definedName name="trc_Y4Total">#REF!</definedName>
    <definedName name="Company2689_1yrEPS">#REF!</definedName>
    <definedName name="Company2689_2yrEPS">#REF!</definedName>
    <definedName name="Company2689_52HIGH">#REF!</definedName>
    <definedName name="Company2689_5YRGROWTH">#REF!</definedName>
    <definedName name="Company2689_ASSET">#REF!</definedName>
    <definedName name="Company2689_DEBT">#REF!</definedName>
    <definedName name="Company2689_DIV">#REF!</definedName>
    <definedName name="Company2689_INTANGIBLE">#REF!</definedName>
    <definedName name="Company2689_LTMCAPEX">#REF!</definedName>
    <definedName name="Company2689_LTMEBIT">#REF!</definedName>
    <definedName name="Company2689_LTMEBITDA">#REF!</definedName>
    <definedName name="Company2689_LTMINT">#REF!</definedName>
    <definedName name="Company2689_LTMNI">#REF!</definedName>
    <definedName name="Company2689_LTMREV">#REF!</definedName>
    <definedName name="Company2689_min">#REF!</definedName>
    <definedName name="Company2689_name">#REF!</definedName>
    <definedName name="Company2689_netdebt">#REF!</definedName>
    <definedName name="Company2689_PRICE">#REF!</definedName>
    <definedName name="Company2689_SE">#REF!</definedName>
    <definedName name="Company2689_share">#REF!</definedName>
    <definedName name="Company2689_ticker">#REF!</definedName>
    <definedName name="Company2784">#REF!</definedName>
    <definedName name="TRIVOL">8</definedName>
    <definedName name="Company2707">#REF!</definedName>
    <definedName name="Company2709_1Q98">#REF!</definedName>
    <definedName name="Company2710_1Q98">#REF!</definedName>
    <definedName name="Company2710_2Q98">#REF!</definedName>
    <definedName name="Turn">#REF!</definedName>
    <definedName name="TV_Ad_market_share_98">#REF!</definedName>
    <definedName name="TV_ad_mkt_share00">#REF!</definedName>
    <definedName name="TV_Ad_Mkt_share99">#REF!</definedName>
    <definedName name="TV4_EBIT1997">#REF!</definedName>
    <definedName name="TV4_EBIT1998">#REF!</definedName>
    <definedName name="TV4_EBIT1999">#REF!</definedName>
    <definedName name="TV4_EBIT2000">#REF!</definedName>
    <definedName name="TV4_EBIT2001">#REF!</definedName>
    <definedName name="TV4_EBITDAAAPR1997">#REF!</definedName>
    <definedName name="TV4_EBITDAAAPR1998">#REF!</definedName>
    <definedName name="TV4_EBITDAAAPR1999">#REF!</definedName>
    <definedName name="TV4_EBITDAAAPR2000">#REF!</definedName>
    <definedName name="TV4_EBITDAAAPR2001">#REF!</definedName>
    <definedName name="TV4_NetDebt">#REF!</definedName>
    <definedName name="TV4_NetIncome1997">#REF!</definedName>
    <definedName name="TV4_NetIncome1998">#REF!</definedName>
    <definedName name="TV4_NetIncome1999">#REF!</definedName>
    <definedName name="TV4_NetIncome2000">#REF!</definedName>
    <definedName name="TV4_NetIncome2001">#REF!</definedName>
    <definedName name="TV4_NoShares">#REF!</definedName>
    <definedName name="TV4_Rev1997">#REF!</definedName>
    <definedName name="TV4_Rev1998">#REF!</definedName>
    <definedName name="TV4_Rev1999">#REF!</definedName>
    <definedName name="TV4_Rev2000">#REF!</definedName>
    <definedName name="TV4_Rev2001">#REF!</definedName>
    <definedName name="tvad00">#REF!</definedName>
    <definedName name="tvad01">#REF!</definedName>
    <definedName name="tvad02">#REF!</definedName>
    <definedName name="tvad03">#REF!</definedName>
    <definedName name="tvad04">#REF!</definedName>
    <definedName name="tvad05">#REF!</definedName>
    <definedName name="tvad96">#REF!</definedName>
    <definedName name="tvad97">#REF!</definedName>
    <definedName name="tvad98">#REF!</definedName>
    <definedName name="tvad99">#REF!</definedName>
    <definedName name="tvadgr00">#REF!</definedName>
    <definedName name="tvadgr01">#REF!</definedName>
    <definedName name="tvadgr02">#REF!</definedName>
    <definedName name="tvadgr03">#REF!</definedName>
    <definedName name="tvadgr04">#REF!</definedName>
    <definedName name="tvadgr94">#REF!</definedName>
    <definedName name="tvadgr95">#REF!</definedName>
    <definedName name="tvadgr96">#REF!</definedName>
    <definedName name="tvadgr97">#REF!</definedName>
    <definedName name="tvadgr98">#REF!</definedName>
    <definedName name="tvadgr99">#REF!</definedName>
    <definedName name="twaprice">#REF!</definedName>
    <definedName name="twashares">#REF!</definedName>
    <definedName name="twrxrato">#REF!</definedName>
    <definedName name="ualprice">#REF!</definedName>
    <definedName name="ualshares">#REF!</definedName>
    <definedName name="UMTShipPosToRank">#REF!</definedName>
    <definedName name="UMTVendorShipmentList">#REF!</definedName>
    <definedName name="UNE_churn">#REF!</definedName>
    <definedName name="UniqueRange_0">#REF!</definedName>
    <definedName name="UniqueRange_1">#REF!</definedName>
    <definedName name="UniqueRange_10">#REF!</definedName>
    <definedName name="UniqueRange_11">#REF!</definedName>
    <definedName name="UniqueRange_12">#REF!</definedName>
    <definedName name="UniqueRange_13">#REF!</definedName>
    <definedName name="UniqueRange_14">#REF!</definedName>
    <definedName name="UniqueRange_15">#REF!</definedName>
    <definedName name="UniqueRange_153">#REF!</definedName>
    <definedName name="UniqueRange_154">#REF!</definedName>
    <definedName name="UniqueRange_159">#REF!</definedName>
    <definedName name="UniqueRange_16">#REF!</definedName>
    <definedName name="UniqueRange_160">#REF!</definedName>
    <definedName name="UniqueRange_165">#REF!</definedName>
    <definedName name="UniqueRange_166">#REF!</definedName>
    <definedName name="UniqueRange_17">#REF!</definedName>
    <definedName name="UniqueRange_18">#REF!</definedName>
    <definedName name="UniqueRange_19">#REF!</definedName>
    <definedName name="UniqueRange_2">#REF!</definedName>
    <definedName name="UniqueRange_20">#REF!</definedName>
    <definedName name="UniqueRange_21">#REF!</definedName>
    <definedName name="UniqueRange_22">#REF!</definedName>
    <definedName name="UniqueRange_2229">#REF!</definedName>
    <definedName name="UniqueRange_2230">#REF!</definedName>
    <definedName name="UniqueRange_2231">#REF!</definedName>
    <definedName name="UniqueRange_2232">#REF!</definedName>
    <definedName name="UniqueRange_2233">#REF!</definedName>
    <definedName name="UniqueRange_2234">#REF!</definedName>
    <definedName name="UniqueRange_2235">#REF!</definedName>
    <definedName name="UniqueRange_2236">#REF!</definedName>
    <definedName name="UniqueRange_2237">#REF!</definedName>
    <definedName name="UniqueRange_2238">#REF!</definedName>
    <definedName name="UniqueRange_2239">#REF!</definedName>
    <definedName name="UniqueRange_2240">#REF!</definedName>
    <definedName name="UniqueRange_2241">#REF!</definedName>
    <definedName name="UniqueRange_2242">#REF!</definedName>
    <definedName name="UniqueRange_2243">#REF!</definedName>
    <definedName name="UniqueRange_2244">#REF!</definedName>
    <definedName name="UniqueRange_2245">#REF!</definedName>
    <definedName name="UniqueRange_2246">#REF!</definedName>
    <definedName name="UniqueRange_2247">#REF!</definedName>
    <definedName name="UniqueRange_2248">#REF!</definedName>
    <definedName name="UniqueRange_2249">#REF!</definedName>
    <definedName name="UniqueRange_2250">#REF!</definedName>
    <definedName name="UniqueRange_2251">#REF!</definedName>
    <definedName name="UniqueRange_2252">#REF!</definedName>
    <definedName name="UniqueRange_2253">#REF!</definedName>
    <definedName name="UniqueRange_2254">#REF!</definedName>
    <definedName name="UniqueRange_2255">#REF!</definedName>
    <definedName name="UniqueRange_2256">#REF!</definedName>
    <definedName name="UniqueRange_2257">#REF!</definedName>
    <definedName name="UniqueRange_2258">#REF!</definedName>
    <definedName name="UniqueRange_2259">#REF!</definedName>
    <definedName name="UniqueRange_2260">#REF!</definedName>
    <definedName name="UniqueRange_2261">#REF!</definedName>
    <definedName name="UniqueRange_2262">#REF!</definedName>
    <definedName name="UniqueRange_2263">#REF!</definedName>
    <definedName name="UniqueRange_2264">#REF!</definedName>
    <definedName name="UniqueRange_2265">#REF!</definedName>
    <definedName name="UniqueRange_2266">#REF!</definedName>
    <definedName name="UniqueRange_2267">#REF!</definedName>
    <definedName name="UniqueRange_2268">#REF!</definedName>
    <definedName name="UniqueRange_2269">#REF!</definedName>
    <definedName name="UniqueRange_2270">#REF!</definedName>
    <definedName name="UniqueRange_2271">#REF!</definedName>
    <definedName name="UniqueRange_2272">#REF!</definedName>
    <definedName name="UniqueRange_2273">#REF!</definedName>
    <definedName name="UniqueRange_2274">#REF!</definedName>
    <definedName name="UniqueRange_2275">#REF!</definedName>
    <definedName name="UniqueRange_2276">#REF!</definedName>
    <definedName name="UniqueRange_2277">#REF!</definedName>
    <definedName name="UniqueRange_2278">#REF!</definedName>
    <definedName name="UniqueRange_2279">#REF!</definedName>
    <definedName name="UniqueRange_2280">#REF!</definedName>
    <definedName name="UniqueRange_2281">#REF!</definedName>
    <definedName name="UniqueRange_2282">#REF!</definedName>
    <definedName name="UniqueRange_2283">#REF!</definedName>
    <definedName name="UniqueRange_2284">#REF!</definedName>
    <definedName name="UniqueRange_2285">#REF!</definedName>
    <definedName name="UniqueRange_2286">#REF!</definedName>
    <definedName name="UniqueRange_2287">#REF!</definedName>
    <definedName name="UniqueRange_2288">#REF!</definedName>
    <definedName name="UniqueRange_2289">#REF!</definedName>
    <definedName name="UniqueRange_2290">#REF!</definedName>
    <definedName name="UniqueRange_2291">#REF!</definedName>
    <definedName name="UniqueRange_2292">#REF!</definedName>
    <definedName name="UniqueRange_2293">#REF!</definedName>
    <definedName name="UniqueRange_2294">#REF!</definedName>
    <definedName name="UniqueRange_2295">#REF!</definedName>
    <definedName name="UniqueRange_2296">#REF!</definedName>
    <definedName name="UniqueRange_2297">#REF!</definedName>
    <definedName name="UniqueRange_2298">#REF!</definedName>
    <definedName name="UniqueRange_2299">#REF!</definedName>
    <definedName name="UniqueRange_23">#REF!</definedName>
    <definedName name="UniqueRange_2300">#REF!</definedName>
    <definedName name="UniqueRange_2301">#REF!</definedName>
    <definedName name="UniqueRange_2302">#REF!</definedName>
    <definedName name="UniqueRange_2303">#REF!</definedName>
    <definedName name="UniqueRange_2304">#REF!</definedName>
    <definedName name="UniqueRange_2305">#REF!</definedName>
    <definedName name="UniqueRange_2306">#REF!</definedName>
    <definedName name="UniqueRange_2307">#REF!</definedName>
    <definedName name="UniqueRange_2308">#REF!</definedName>
    <definedName name="UniqueRange_2309">#REF!</definedName>
    <definedName name="UniqueRange_2310">#REF!</definedName>
    <definedName name="UniqueRange_2311">#REF!</definedName>
    <definedName name="UniqueRange_2312">#REF!</definedName>
    <definedName name="UniqueRange_2313">#REF!</definedName>
    <definedName name="UniqueRange_2314">#REF!</definedName>
    <definedName name="UniqueRange_2315">#REF!</definedName>
    <definedName name="UniqueRange_2316">#REF!</definedName>
    <definedName name="UniqueRange_2317">#REF!</definedName>
    <definedName name="UniqueRange_2318">#REF!</definedName>
    <definedName name="UniqueRange_2319">#REF!</definedName>
    <definedName name="UniqueRange_2320">#REF!</definedName>
    <definedName name="UniqueRange_2321">#REF!</definedName>
    <definedName name="UniqueRange_24">#REF!</definedName>
    <definedName name="UniqueRange_25">#REF!</definedName>
    <definedName name="UniqueRange_26">#REF!</definedName>
    <definedName name="UniqueRange_27">#REF!</definedName>
    <definedName name="UniqueRange_28">#REF!</definedName>
    <definedName name="UniqueRange_29">#REF!</definedName>
    <definedName name="UniqueRange_3">#REF!</definedName>
    <definedName name="UniqueRange_30">#REF!</definedName>
    <definedName name="UniqueRange_31">#REF!</definedName>
    <definedName name="UniqueRange_32">#REF!</definedName>
    <definedName name="UniqueRange_33">#REF!</definedName>
    <definedName name="UniqueRange_34">#REF!</definedName>
    <definedName name="UniqueRange_35">#REF!</definedName>
    <definedName name="UniqueRange_36">#REF!</definedName>
    <definedName name="UniqueRange_367">#REF!</definedName>
    <definedName name="UniqueRange_368">#REF!</definedName>
    <definedName name="UniqueRange_37">#REF!</definedName>
    <definedName name="UniqueRange_38">#REF!</definedName>
    <definedName name="UniqueRange_39">#REF!</definedName>
    <definedName name="UniqueRange_392">#REF!</definedName>
    <definedName name="UniqueRange_393">#REF!</definedName>
    <definedName name="UniqueRange_394">#REF!</definedName>
    <definedName name="UniqueRange_395">#REF!</definedName>
    <definedName name="UniqueRange_396">#REF!</definedName>
    <definedName name="UniqueRange_397">#REF!</definedName>
    <definedName name="UniqueRange_398">#REF!</definedName>
    <definedName name="UniqueRange_399">#REF!</definedName>
    <definedName name="UniqueRange_4">#REF!</definedName>
    <definedName name="UniqueRange_40">#REF!</definedName>
    <definedName name="UniqueRange_400">#REF!</definedName>
    <definedName name="UniqueRange_401">#REF!</definedName>
    <definedName name="UniqueRange_402">#REF!</definedName>
    <definedName name="UniqueRange_403">#REF!</definedName>
    <definedName name="UniqueRange_41">#REF!</definedName>
    <definedName name="UniqueRange_42">#REF!</definedName>
    <definedName name="UniqueRange_43">#REF!</definedName>
    <definedName name="UniqueRange_44">#REF!</definedName>
    <definedName name="UniqueRange_45">#REF!</definedName>
    <definedName name="UniqueRange_46">#REF!</definedName>
    <definedName name="UniqueRange_47">#REF!</definedName>
    <definedName name="UniqueRange_48">#REF!</definedName>
    <definedName name="UniqueRange_485">#REF!</definedName>
    <definedName name="UniqueRange_49">#REF!</definedName>
    <definedName name="UniqueRange_5">#REF!</definedName>
    <definedName name="UniqueRange_50">#REF!</definedName>
    <definedName name="UniqueRange_51">#REF!</definedName>
    <definedName name="UniqueRange_52">#REF!</definedName>
    <definedName name="UniqueRange_53">#REF!</definedName>
    <definedName name="UniqueRange_54">#REF!</definedName>
    <definedName name="UniqueRange_55">#REF!</definedName>
    <definedName name="UniqueRange_6">#REF!</definedName>
    <definedName name="UniqueRange_7">#REF!</definedName>
    <definedName name="UniqueRange_8">#REF!</definedName>
    <definedName name="UniqueRange_9">#REF!</definedName>
    <definedName name="unitcost">#REF!</definedName>
    <definedName name="UnitPricing">#REF!</definedName>
    <definedName name="unitrev">#REF!</definedName>
    <definedName name="Units">#REF!</definedName>
    <definedName name="UnitsASPs">#REF!</definedName>
    <definedName name="UNIVERSE2">#REF!</definedName>
    <definedName name="update_date">#REF!</definedName>
    <definedName name="update_id">#REF!</definedName>
    <definedName name="UpdatePeriod">#REF!</definedName>
    <definedName name="UpdatePeriodMOYR">#REF!</definedName>
    <definedName name="upper_left1">#REF!</definedName>
    <definedName name="upper_left2">#REF!</definedName>
    <definedName name="uprice">#REF!</definedName>
    <definedName name="us_gaap_eps_used_flag">#REF!</definedName>
    <definedName name="UseMidPoint">#REF!</definedName>
    <definedName name="usffr">#REF!</definedName>
    <definedName name="Company2829">#REF!</definedName>
    <definedName name="ushares">#REF!</definedName>
    <definedName name="usitl">#REF!</definedName>
    <definedName name="USLD_1yrEPS">#REF!</definedName>
    <definedName name="USLD_2yrEPS">#REF!</definedName>
    <definedName name="USLD_52high">#REF!</definedName>
    <definedName name="USLD_5YRGROWTH">#REF!</definedName>
    <definedName name="USLD_95EBIT">#REF!</definedName>
    <definedName name="USLD_95EBITDA">#REF!</definedName>
    <definedName name="USLD_96EPS">#REF!</definedName>
    <definedName name="USLD_97EPS">#REF!</definedName>
    <definedName name="USLD_98EPS">#REF!</definedName>
    <definedName name="USLD_ASSET">#REF!</definedName>
    <definedName name="USLD_DEBT">#REF!</definedName>
    <definedName name="USLD_DIV">#REF!</definedName>
    <definedName name="USLD_INTANGIBLE">#REF!</definedName>
    <definedName name="USLD_LTMCAPEX">#REF!</definedName>
    <definedName name="USLD_LTMEBIT">#REF!</definedName>
    <definedName name="USLD_LTMEBITDA">#REF!</definedName>
    <definedName name="USLD_LTMINT">#REF!</definedName>
    <definedName name="USLD_LTMNI">#REF!</definedName>
    <definedName name="USLD_LTMREV">#REF!</definedName>
    <definedName name="USLD_LTMSGA">#REF!</definedName>
    <definedName name="usld_min">#REF!</definedName>
    <definedName name="USLD_name">#REF!</definedName>
    <definedName name="USLD_netdebt">#REF!</definedName>
    <definedName name="USLD_price">#REF!</definedName>
    <definedName name="USLD_SE">#REF!</definedName>
    <definedName name="USLD_share">#REF!</definedName>
    <definedName name="USLD_ticker">#REF!</definedName>
    <definedName name="Company2833_1yrEPS">#REF!</definedName>
    <definedName name="Company2833_2yrEPS">#REF!</definedName>
    <definedName name="Company2833_52high">#REF!</definedName>
    <definedName name="Company2833_5YRGROWTH">#REF!</definedName>
    <definedName name="Company2833_96EPS">#REF!</definedName>
    <definedName name="Company2833_97EPS">#REF!</definedName>
    <definedName name="Company2833_98EPS">#REF!</definedName>
    <definedName name="Company2833_LTMSGA">#REF!</definedName>
    <definedName name="Company2833_price">#REF!</definedName>
    <definedName name="v" hidden="1">{"IS",#N/A,FALSE,"IS";"RPTIS",#N/A,FALSE,"RPTIS";"STATS",#N/A,FALSE,"STATS";"CELL",#N/A,FALSE,"CELL";"BS",#N/A,FALSE,"BS"}</definedName>
    <definedName name="V_ALL_Company0017">#REF!</definedName>
    <definedName name="V_ALL_Company0028">#REF!</definedName>
    <definedName name="V_ALL_Company0028_">#REF!</definedName>
    <definedName name="V_ALL_Company0083">#REF!</definedName>
    <definedName name="V_ALL_Company0087">#REF!</definedName>
    <definedName name="V_ALL_Company0087_">#REF!</definedName>
    <definedName name="V_ALL_Company0091">#REF!</definedName>
    <definedName name="V_ALL_Company0091_">#REF!</definedName>
    <definedName name="V_ALL_AMT">#REF!</definedName>
    <definedName name="V_ALL_Company0118">#REF!</definedName>
    <definedName name="V_ALL_Company0125">#REF!</definedName>
    <definedName name="V_ALL_ARM">#REF!</definedName>
    <definedName name="V_ALL_Company0140">#REF!</definedName>
    <definedName name="V_ALL_Company0140_">#REF!</definedName>
    <definedName name="V_ALL_Company0141">#REF!</definedName>
    <definedName name="V_ALL_Company0174">#REF!</definedName>
    <definedName name="V_ALL_Company0174_">#REF!</definedName>
    <definedName name="V_ALL_BCE">#REF!</definedName>
    <definedName name="V_ALL_Company0334">#REF!</definedName>
    <definedName name="V_ALL_Company0334_">#REF!</definedName>
    <definedName name="V_ALL_Company0348">#REF!</definedName>
    <definedName name="V_ALL_CCI">#REF!</definedName>
    <definedName name="V_ALL_Company0465">#REF!</definedName>
    <definedName name="V_ALL_CFG">#REF!</definedName>
    <definedName name="V_ALL_Company0495">#REF!</definedName>
    <definedName name="V_ALL_Company0520">#REF!</definedName>
    <definedName name="V_ALL_Company0606">#REF!</definedName>
    <definedName name="V_ALL_Company0624">#REF!</definedName>
    <definedName name="V_ALL_Company0624_">#REF!</definedName>
    <definedName name="V_ALL_Company0626">#REF!</definedName>
    <definedName name="V_ALL_Company0645">#REF!</definedName>
    <definedName name="V_ALL_DBX">#REF!</definedName>
    <definedName name="V_ALL_Company0734">#REF!</definedName>
    <definedName name="V_ALL_Company0760">#REF!</definedName>
    <definedName name="V_ALL_DWRE">#REF!</definedName>
    <definedName name="V_ALL_Company0863">#REF!</definedName>
    <definedName name="V_ALL_Company0865">#REF!</definedName>
    <definedName name="V_ALL_Company0871">#REF!</definedName>
    <definedName name="V_ALL_FSL">#REF!</definedName>
    <definedName name="V_ALL_Company1006">#REF!</definedName>
    <definedName name="V_ALL_Company1007">#REF!</definedName>
    <definedName name="V_ALL_Company1082">#REF!</definedName>
    <definedName name="V_ALL_IBM">#REF!</definedName>
    <definedName name="V_ALL_Company1335">#REF!</definedName>
    <definedName name="V_ALL_Company1335_">#REF!</definedName>
    <definedName name="V_ALL_Company1341" localSheetId="3">#REF!</definedName>
    <definedName name="V_ALL_Company1341">#REF!</definedName>
    <definedName name="V_ALL_Company1341_" localSheetId="3">#REF!</definedName>
    <definedName name="V_ALL_Company1341_">#REF!</definedName>
    <definedName name="V_ALL_Company1394">#REF!</definedName>
    <definedName name="V_ALL_KEYWORDS_TYPE_Breakdown_EQTY_200001646">#REF!</definedName>
    <definedName name="V_ALL_KEYWORDS_TYPE_Breakdown_EQTY_200004419">#REF!</definedName>
    <definedName name="V_ALL_KEYWORDS_TYPE_ScalarContributed_EQTY_200000304">#REF!,#REF!,#REF!,#REF!</definedName>
    <definedName name="V_ALL_KEYWORDS_TYPE_ScalarContributed_EQTY_200000813">#REF!,#REF!,#REF!,#REF!,#REF!</definedName>
    <definedName name="V_ALL_KEYWORDS_TYPE_ScalarContributed_EQTY_200001265">#REF!,#REF!,#REF!,#REF!</definedName>
    <definedName name="V_ALL_KEYWORDS_TYPE_ScalarContributed_EQTY_200001320">#REF!,#REF!,#REF!,#REF!</definedName>
    <definedName name="V_ALL_KEYWORDS_TYPE_ScalarContributed_EQTY_200001330">#REF!,#REF!,#REF!,#REF!</definedName>
    <definedName name="V_ALL_KEYWORDS_TYPE_ScalarContributed_EQTY_200001353">#REF!,#REF!</definedName>
    <definedName name="V_ALL_KEYWORDS_TYPE_ScalarContributed_EQTY_200001371">#REF!,#REF!</definedName>
    <definedName name="V_ALL_KEYWORDS_TYPE_ScalarContributed_EQTY_200001381">#REF!,#REF!,#REF!,#REF!,#REF!</definedName>
    <definedName name="V_ALL_KEYWORDS_TYPE_ScalarContributed_EQTY_200001646">#REF!,#REF!,#REF!,#REF!</definedName>
    <definedName name="V_ALL_KEYWORDS_TYPE_ScalarContributed_EQTY_200002283">#REF!,#REF!,#REF!,#REF!,#REF!</definedName>
    <definedName name="V_ALL_KEYWORDS_TYPE_ScalarContributed_EQTY_200002309">#REF!,#REF!,#REF!,#REF!,#REF!</definedName>
    <definedName name="V_ALL_KEYWORDS_TYPE_ScalarContributed_EQTY_200002831">#REF!,#REF!,#REF!,#REF!,#REF!</definedName>
    <definedName name="V_ALL_KEYWORDS_TYPE_ScalarContributed_EQTY_200002833">#REF!,#REF!,#REF!,#REF!</definedName>
    <definedName name="V_ALL_KEYWORDS_TYPE_ScalarContributed_EQTY_200003036">#REF!,#REF!,#REF!,#REF!,#REF!</definedName>
    <definedName name="V_ALL_KEYWORDS_TYPE_ScalarContributed_EQTY_200003037">#REF!,#REF!,#REF!,#REF!</definedName>
    <definedName name="V_ALL_KEYWORDS_TYPE_ScalarContributed_EQTY_200003892">#REF!,#REF!,#REF!,#REF!</definedName>
    <definedName name="V_ALL_KEYWORDS_TYPE_ScalarContributed_EQTY_200004230">#REF!,#REF!,#REF!,#REF!,#REF!</definedName>
    <definedName name="V_ALL_KEYWORDS_TYPE_ScalarContributed_EQTY_200004419">#REF!,#REF!,#REF!,#REF!</definedName>
    <definedName name="V_ALL_KEYWORDS_TYPE_ScalarContributed_EQTY_200004906">#REF!,#REF!,#REF!,#REF!,#REF!</definedName>
    <definedName name="V_ALL_KEYWORDS_TYPE_ScalarContributed_EQTY_200005326">#REF!,#REF!,#REF!,#REF!,#REF!</definedName>
    <definedName name="V_ALL_KEYWORDS_TYPE_ScalarContributed_EQTY_200005490">#REF!,#REF!,#REF!,#REF!,#REF!</definedName>
    <definedName name="V_ALL_KEYWORDS_TYPE_ScalarContributed_EQTY_200005674">#REF!,#REF!,#REF!,#REF!,#REF!</definedName>
    <definedName name="V_ALL_KEYWORDS_TYPE_ScalarContributed_EQTY_200005722">#REF!,#REF!,#REF!,#REF!,#REF!</definedName>
    <definedName name="V_ALL_KEYWORDS_TYPE_ScalarContributed_EQTY_200006232">#REF!,#REF!,#REF!,#REF!</definedName>
    <definedName name="V_ALL_KEYWORDS_TYPE_ScalarContributed_EQTY_200006333">#REF!,#REF!,#REF!,#REF!</definedName>
    <definedName name="V_ALL_KEYWORDS_TYPE_ScalarContributed_EQTY_200006384">#REF!,#REF!,#REF!,#REF!,#REF!</definedName>
    <definedName name="V_ALL_KEYWORDS_TYPE_ScalarContributed_EQTY_200007794">#REF!,#REF!,#REF!,#REF!,#REF!</definedName>
    <definedName name="V_ALL_KEYWORDS_TYPE_ScalarContributed_EQTY_200009556">#REF!,#REF!,#REF!,#REF!</definedName>
    <definedName name="V_ALL_KEYWORDS_TYPE_ScalarContributed_EQTY_200009677">#REF!,#REF!,#REF!,#REF!,#REF!</definedName>
    <definedName name="V_ALL_KEYWORDS_TYPE_ScalarContributed_EQTY_200010313">#REF!,#REF!,#REF!,#REF!</definedName>
    <definedName name="V_ALL_KEYWORDS_TYPE_ScalarContributed_EQTY_200011598">#REF!,#REF!,#REF!,#REF!,#REF!</definedName>
    <definedName name="V_ALL_KEYWORDS_TYPE_ScalarContributed_EQTY_200012393">#REF!,#REF!,#REF!,#REF!,#REF!</definedName>
    <definedName name="V_ALL_KEYWORDS_TYPE_ScalarContributed_EQTY_200012762">#REF!,#REF!,#REF!,#REF!</definedName>
    <definedName name="V_ALL_KEYWORDS_TYPE_ScalarContributed_EQTY_200014300">#REF!,#REF!,#REF!,#REF!</definedName>
    <definedName name="V_ALL_KEYWORDS_TYPE_ScalarContributed_EQTY_200014367">#REF!,#REF!,#REF!,#REF!,#REF!</definedName>
    <definedName name="V_ALL_KEYWORDS_TYPE_ScalarContributed_EQTY_200014493">#REF!,#REF!,#REF!,#REF!</definedName>
    <definedName name="V_ALL_KEYWORDS_TYPE_ScalarContributed_EQTY_200014750">#REF!,#REF!,#REF!,#REF!,#REF!</definedName>
    <definedName name="V_ALL_KEYWORDS_TYPE_ScalarContributed_EQTY_200015107">#REF!,#REF!,#REF!,#REF!</definedName>
    <definedName name="V_ALL_KEYWORDS_TYPE_ScalarContributed_EQTY_200015716">#REF!,#REF!,#REF!,#REF!</definedName>
    <definedName name="V_ALL_KEYWORDS_TYPE_ScalarContributed_EQTY_200015757">#REF!,#REF!,#REF!,#REF!</definedName>
    <definedName name="V_ALL_KEYWORDS_TYPE_ScalarContributed_EQTY_200016026">#REF!,#REF!,#REF!,#REF!</definedName>
    <definedName name="V_ALL_KEYWORDS_TYPE_ScalarContributed_EQTY_200017745">#REF!,#REF!,#REF!,#REF!,#REF!</definedName>
    <definedName name="V_ALL_KEYWORDS_TYPE_ScalarContributed_EQTY_200019587">#REF!,#REF!,#REF!,#REF!</definedName>
    <definedName name="V_ALL_KEYWORDS_TYPE_ScalarContributed_EQTY_200019588">#REF!,#REF!,#REF!,#REF!</definedName>
    <definedName name="V_ALL_KEYWORDS_TYPE_ScalarContributed_EQTY_200021484">#REF!,#REF!,#REF!,#REF!,#REF!</definedName>
    <definedName name="V_ALL_KEYWORDS_TYPE_ScalarContributed_ISSR_208000027">#REF!,#REF!</definedName>
    <definedName name="V_ALL_KEYWORDS_TYPE_ScalarContributed_ISSR_208000156">#REF!,#REF!</definedName>
    <definedName name="V_ALL_KEYWORDS_TYPE_ScalarContributed_ISSR_208000430">#REF!,#REF!,#REF!,#REF!,#REF!,#REF!,#REF!,#REF!,#REF!,#REF!,#REF!</definedName>
    <definedName name="V_ALL_KEYWORDS_TYPE_ScalarContributed_ISSR_208000435">#REF!,#REF!</definedName>
    <definedName name="V_ALL_KEYWORDS_TYPE_ScalarContributed_ISSR_208000468">#REF!,#REF!</definedName>
    <definedName name="V_ALL_KEYWORDS_TYPE_ScalarContributed_ISSR_208000603">#REF!</definedName>
    <definedName name="V_ALL_KEYWORDS_TYPE_ScalarContributed_ISSR_208000826">#REF!,#REF!,#REF!</definedName>
    <definedName name="V_ALL_KEYWORDS_TYPE_ScalarContributed_ISSR_208000827">#REF!,#REF!,#REF!</definedName>
    <definedName name="V_ALL_KEYWORDS_TYPE_ScalarContributed_ISSR_208000836">#REF!,#REF!,#REF!</definedName>
    <definedName name="V_ALL_KEYWORDS_TYPE_ScalarContributed_ISSR_208000976">#REF!,#REF!</definedName>
    <definedName name="V_ALL_KEYWORDS_TYPE_ScalarContributed_ISSR_208000977">#REF!,#REF!</definedName>
    <definedName name="V_ALL_KEYWORDS_TYPE_ScalarContributed_ISSR_208001048">#REF!,#REF!</definedName>
    <definedName name="V_ALL_KEYWORDS_TYPE_ScalarContributed_ISSR_208001204">#REF!,#REF!,#REF!</definedName>
    <definedName name="V_ALL_KEYWORDS_TYPE_ScalarContributed_ISSR_208001258">#REF!</definedName>
    <definedName name="V_ALL_KEYWORDS_TYPE_ScalarContributed_ISSR_208001370">#REF!,#REF!</definedName>
    <definedName name="V_ALL_KEYWORDS_TYPE_ScalarContributed_ISSR_208001515">#REF!,#REF!</definedName>
    <definedName name="V_ALL_KEYWORDS_TYPE_ScalarContributed_ISSR_208001562">#REF!,#REF!,#REF!</definedName>
    <definedName name="V_ALL_KEYWORDS_TYPE_ScalarContributed_ISSR_208001627">#REF!,#REF!,#REF!</definedName>
    <definedName name="V_ALL_KEYWORDS_TYPE_ScalarContributed_ISSR_208001640">#REF!,#REF!</definedName>
    <definedName name="V_ALL_KEYWORDS_TYPE_ScalarContributed_ISSR_208001765">#REF!,#REF!,#REF!</definedName>
    <definedName name="V_ALL_KEYWORDS_TYPE_ScalarContributed_ISSR_208001785">#REF!,#REF!</definedName>
    <definedName name="V_ALL_KEYWORDS_TYPE_ScalarContributed_ISSR_208002651">#REF!,#REF!</definedName>
    <definedName name="V_ALL_KEYWORDS_TYPE_ScalarContributed_ISSR_208005795">#REF!,#REF!</definedName>
    <definedName name="V_ALL_KEYWORDS_TYPE_ScalarContributed_ISSR_208007986">#REF!,#REF!,#REF!</definedName>
    <definedName name="V_ALL_KEYWORDS_TYPE_ScalarContributed_ISSR_208008030">#REF!,#REF!,#REF!</definedName>
    <definedName name="V_ALL_KEYWORDS_TYPE_ScalarContributed_ISSR_208008836">#REF!,#REF!</definedName>
    <definedName name="V_ALL_KEYWORDS_TYPE_ScalarContributed_ISSR_208009377">#REF!,#REF!</definedName>
    <definedName name="V_ALL_KEYWORDS_TYPE_ScalarContributed_ISSR_208009722">#REF!</definedName>
    <definedName name="V_ALL_KEYWORDS_TYPE_ScalarContributed_ISSR_208011028">#REF!,#REF!,#REF!</definedName>
    <definedName name="V_ALL_KEYWORDS_TYPE_ScalarContributed_ISSR_208011556">#REF!,#REF!</definedName>
    <definedName name="V_ALL_KEYWORDS_TYPE_ScalarContributed_ISSR_208011888">#REF!,#REF!,#REF!,#REF!,#REF!,#REF!,#REF!,#REF!,#REF!,#REF!,#REF!</definedName>
    <definedName name="V_ALL_KEYWORDS_TYPE_ScalarContributed_ISSR_208012959">#REF!,#REF!,#REF!</definedName>
    <definedName name="V_ALL_KEYWORDS_TYPE_ScalarContributed_ISSR_208015351">#REF!,#REF!</definedName>
    <definedName name="V_ALL_KEYWORDS_TYPE_ScalarContributed_ISSR_208018132">#REF!,#REF!,#REF!</definedName>
    <definedName name="V_ALL_KEYWORDS_TYPE_ScalarContributed_ISSR_208018133">#REF!,#REF!,#REF!,#REF!,#REF!,#REF!,#REF!,#REF!,#REF!,#REF!,#REF!,#REF!</definedName>
    <definedName name="V_ALL_KEYWORDS_TYPE_ScalarContributed_ISSR_208018253">#REF!,#REF!,#REF!</definedName>
    <definedName name="V_ALL_KEYWORDS_TYPE_ScalarContributed_ISSR_208020566">#REF!,#REF!,#REF!</definedName>
    <definedName name="V_ALL_KEYWORDS_TYPE_ScalarContributed_ISSR_208020919">#REF!,#REF!,#REF!</definedName>
    <definedName name="V_ALL_KEYWORDS_TYPE_ScalarReference_EQTY_200001646">#REF!</definedName>
    <definedName name="V_ALL_KEYWORDS_TYPE_ScalarReference_EQTY_200004419">#REF!</definedName>
    <definedName name="V_ALL_KEYWORDS_TYPE_ScalarReference_EQTY_200012762">#REF!</definedName>
    <definedName name="V_ALL_KEYWORDS_TYPE_ScalarReference_ISSR_208000603">#REF!</definedName>
    <definedName name="V_ALL_KEYWORDS_TYPE_ScalarReference_ISSR_208001258">#REF!</definedName>
    <definedName name="V_ALL_KEYWORDS_TYPE_ScalarReference_ISSR_208009722">#REF!</definedName>
    <definedName name="V_ALL_KEYWORDS_TYPE_Vector_EQTY_200000304">#REF!,#REF!,#REF!,#REF!,#REF!,#REF!,#REF!</definedName>
    <definedName name="V_ALL_KEYWORDS_TYPE_Vector_EQTY_200000813">#REF!,#REF!,#REF!,#REF!,#REF!,#REF!,#REF!</definedName>
    <definedName name="V_ALL_KEYWORDS_TYPE_Vector_EQTY_200001265">#REF!,#REF!,#REF!,#REF!,#REF!,#REF!,#REF!</definedName>
    <definedName name="V_ALL_KEYWORDS_TYPE_Vector_EQTY_200001320">#REF!,#REF!,#REF!,#REF!,#REF!,#REF!,#REF!</definedName>
    <definedName name="V_ALL_KEYWORDS_TYPE_Vector_EQTY_200001330">#REF!,#REF!,#REF!,#REF!,#REF!,#REF!,#REF!</definedName>
    <definedName name="V_ALL_KEYWORDS_TYPE_Vector_EQTY_200001353">#REF!,#REF!,#REF!,#REF!,#REF!</definedName>
    <definedName name="V_ALL_KEYWORDS_TYPE_Vector_EQTY_200001371">#REF!,#REF!,#REF!,#REF!,#REF!</definedName>
    <definedName name="V_ALL_KEYWORDS_TYPE_Vector_EQTY_200001381">#REF!,#REF!,#REF!,#REF!,#REF!,#REF!,#REF!</definedName>
    <definedName name="V_ALL_KEYWORDS_TYPE_Vector_EQTY_200001646">#REF!,#REF!,#REF!,#REF!,#REF!,#REF!,#REF!,#REF!</definedName>
    <definedName name="V_ALL_KEYWORDS_TYPE_Vector_EQTY_200002282">#REF!,#REF!,#REF!,#REF!,#REF!,#REF!,#REF!,#REF!</definedName>
    <definedName name="V_ALL_KEYWORDS_TYPE_Vector_EQTY_200002283">#REF!,#REF!,#REF!,#REF!,#REF!,#REF!,#REF!,#REF!</definedName>
    <definedName name="V_ALL_KEYWORDS_TYPE_Vector_EQTY_200002309">#REF!,#REF!,#REF!,#REF!,#REF!,#REF!,#REF!,#REF!</definedName>
    <definedName name="V_ALL_KEYWORDS_TYPE_Vector_EQTY_200002831">#REF!,#REF!,#REF!,#REF!,#REF!,#REF!,#REF!</definedName>
    <definedName name="V_ALL_KEYWORDS_TYPE_Vector_EQTY_200002833">#REF!,#REF!,#REF!,#REF!,#REF!,#REF!,#REF!</definedName>
    <definedName name="V_ALL_KEYWORDS_TYPE_Vector_EQTY_200003036">#REF!,#REF!,#REF!,#REF!,#REF!,#REF!,#REF!</definedName>
    <definedName name="V_ALL_KEYWORDS_TYPE_Vector_EQTY_200003037">#REF!,#REF!,#REF!,#REF!,#REF!,#REF!,#REF!</definedName>
    <definedName name="V_ALL_KEYWORDS_TYPE_Vector_EQTY_200003892">#REF!,#REF!,#REF!,#REF!,#REF!,#REF!,#REF!</definedName>
    <definedName name="V_ALL_KEYWORDS_TYPE_Vector_EQTY_200004230">#REF!,#REF!,#REF!,#REF!,#REF!,#REF!,#REF!,#REF!</definedName>
    <definedName name="V_ALL_KEYWORDS_TYPE_Vector_EQTY_200004419">#REF!,#REF!,#REF!,#REF!,#REF!,#REF!,#REF!</definedName>
    <definedName name="V_ALL_KEYWORDS_TYPE_Vector_EQTY_200004906">#REF!,#REF!,#REF!,#REF!,#REF!,#REF!,#REF!</definedName>
    <definedName name="V_ALL_KEYWORDS_TYPE_Vector_EQTY_200005184">#REF!,#REF!,#REF!,#REF!,#REF!,#REF!,#REF!</definedName>
    <definedName name="V_ALL_KEYWORDS_TYPE_Vector_EQTY_200005326">#REF!,#REF!,#REF!,#REF!,#REF!,#REF!,#REF!</definedName>
    <definedName name="V_ALL_KEYWORDS_TYPE_Vector_EQTY_200005490">#REF!,#REF!,#REF!,#REF!,#REF!,#REF!,#REF!,#REF!</definedName>
    <definedName name="V_ALL_KEYWORDS_TYPE_Vector_EQTY_200005722">#REF!,#REF!,#REF!,#REF!,#REF!,#REF!,#REF!</definedName>
    <definedName name="V_ALL_KEYWORDS_TYPE_Vector_EQTY_200006232">#REF!,#REF!,#REF!,#REF!,#REF!,#REF!,#REF!</definedName>
    <definedName name="V_ALL_KEYWORDS_TYPE_Vector_EQTY_200006333">#REF!,#REF!,#REF!,#REF!,#REF!,#REF!,#REF!,#REF!,#REF!</definedName>
    <definedName name="V_ALL_KEYWORDS_TYPE_Vector_EQTY_200006384">#REF!,#REF!,#REF!,#REF!,#REF!,#REF!,#REF!</definedName>
    <definedName name="V_ALL_KEYWORDS_TYPE_Vector_EQTY_200009556">#REF!,#REF!,#REF!,#REF!,#REF!,#REF!,#REF!</definedName>
    <definedName name="V_ALL_KEYWORDS_TYPE_Vector_EQTY_200010313">#REF!,#REF!,#REF!,#REF!,#REF!,#REF!,#REF!,#REF!</definedName>
    <definedName name="V_ALL_KEYWORDS_TYPE_Vector_EQTY_200011598">#REF!,#REF!,#REF!,#REF!,#REF!,#REF!,#REF!</definedName>
    <definedName name="V_ALL_KEYWORDS_TYPE_Vector_EQTY_200012393">#REF!,#REF!,#REF!,#REF!,#REF!,#REF!,#REF!</definedName>
    <definedName name="V_ALL_KEYWORDS_TYPE_Vector_EQTY_200012762">#REF!,#REF!,#REF!,#REF!,#REF!,#REF!,#REF!</definedName>
    <definedName name="V_ALL_KEYWORDS_TYPE_Vector_EQTY_200014300">#REF!,#REF!,#REF!,#REF!,#REF!,#REF!,#REF!</definedName>
    <definedName name="V_ALL_KEYWORDS_TYPE_Vector_EQTY_200014493">#REF!,#REF!,#REF!,#REF!,#REF!,#REF!,#REF!</definedName>
    <definedName name="V_ALL_KEYWORDS_TYPE_Vector_EQTY_200014750">#REF!,#REF!,#REF!,#REF!,#REF!,#REF!,#REF!</definedName>
    <definedName name="V_ALL_KEYWORDS_TYPE_Vector_EQTY_200015107">#REF!,#REF!,#REF!,#REF!,#REF!,#REF!,#REF!</definedName>
    <definedName name="V_ALL_KEYWORDS_TYPE_Vector_EQTY_200015716">#REF!,#REF!,#REF!,#REF!,#REF!,#REF!,#REF!</definedName>
    <definedName name="V_ALL_KEYWORDS_TYPE_Vector_EQTY_200015757">#REF!,#REF!,#REF!,#REF!,#REF!,#REF!,#REF!,#REF!</definedName>
    <definedName name="V_ALL_KEYWORDS_TYPE_Vector_EQTY_200016026">#REF!,#REF!,#REF!,#REF!,#REF!,#REF!,#REF!,#REF!</definedName>
    <definedName name="V_ALL_KEYWORDS_TYPE_Vector_EQTY_200017745">#REF!,#REF!,#REF!,#REF!,#REF!,#REF!,#REF!</definedName>
    <definedName name="V_ALL_KEYWORDS_TYPE_Vector_EQTY_200019588">#REF!,#REF!,#REF!,#REF!,#REF!,#REF!,#REF!</definedName>
    <definedName name="V_ALL_KEYWORDS_TYPE_Vector_EQTY_200021484">#REF!,#REF!,#REF!,#REF!,#REF!,#REF!,#REF!</definedName>
    <definedName name="V_ALL_KEYWORDS_TYPE_Vector_ISSR_208000027">#REF!,#REF!,#REF!,#REF!,#REF!,#REF!,#REF!,#REF!,#REF!,#REF!</definedName>
    <definedName name="V_ALL_KEYWORDS_TYPE_Vector_ISSR_208000156">#REF!,#REF!,#REF!,#REF!,#REF!,#REF!,#REF!,#REF!,#REF!,#REF!,#REF!,#REF!,#REF!</definedName>
    <definedName name="V_ALL_KEYWORDS_TYPE_Vector_ISSR_208000430">#REF!,#REF!,#REF!,#REF!,#REF!,#REF!,#REF!,#REF!,#REF!,#REF!,#REF!,#REF!,#REF!,#REF!</definedName>
    <definedName name="V_ALL_KEYWORDS_TYPE_Vector_ISSR_208000435">#REF!,#REF!,#REF!,#REF!,#REF!,#REF!,#REF!,#REF!,#REF!,#REF!</definedName>
    <definedName name="V_ALL_KEYWORDS_TYPE_Vector_ISSR_208000451">#REF!,#REF!,#REF!,#REF!,#REF!,#REF!,#REF!,#REF!,#REF!,#REF!,#REF!,#REF!,#REF!,#REF!,#REF!,#REF!,#REF!,#REF!,#REF!,#REF!,#REF!,#REF!,#REF!,#REF!,#REF!,#REF!</definedName>
    <definedName name="V_ALL_KEYWORDS_TYPE_Vector_ISSR_208000468">#REF!,#REF!,#REF!,#REF!,#REF!,#REF!,#REF!,#REF!,#REF!,#REF!,#REF!,#REF!,#REF!,#REF!</definedName>
    <definedName name="V_ALL_KEYWORDS_TYPE_Vector_ISSR_208000603">#REF!,#REF!,#REF!,#REF!,#REF!,#REF!,#REF!,#REF!,#REF!,#REF!</definedName>
    <definedName name="V_ALL_KEYWORDS_TYPE_Vector_ISSR_208000826">#REF!,#REF!,#REF!,#REF!,#REF!,#REF!,#REF!,#REF!,#REF!,#REF!,#REF!,#REF!,#REF!,#REF!,#REF!,#REF!</definedName>
    <definedName name="V_ALL_KEYWORDS_TYPE_Vector_ISSR_208000827">#REF!,#REF!,#REF!,#REF!,#REF!,#REF!,#REF!,#REF!,#REF!,#REF!,#REF!,#REF!,#REF!,#REF!,#REF!,#REF!</definedName>
    <definedName name="V_ALL_KEYWORDS_TYPE_Vector_ISSR_208000836">#REF!,#REF!,#REF!,#REF!,#REF!,#REF!,#REF!,#REF!,#REF!,#REF!,#REF!,#REF!,#REF!</definedName>
    <definedName name="V_ALL_KEYWORDS_TYPE_Vector_ISSR_208000976">#REF!,#REF!,#REF!,#REF!,#REF!,#REF!,#REF!,#REF!,#REF!,#REF!,#REF!,#REF!,#REF!</definedName>
    <definedName name="V_ALL_KEYWORDS_TYPE_Vector_ISSR_208000977">#REF!,#REF!,#REF!,#REF!,#REF!,#REF!,#REF!,#REF!,#REF!,#REF!,#REF!,#REF!,#REF!,#REF!,#REF!</definedName>
    <definedName name="V_ALL_KEYWORDS_TYPE_Vector_ISSR_208001018" localSheetId="3">#REF!,#REF!,#REF!,#REF!,#REF!,#REF!,#REF!,#REF!,#REF!,#REF!</definedName>
    <definedName name="V_ALL_KEYWORDS_TYPE_Vector_ISSR_208001018">#REF!,#REF!,#REF!,#REF!,#REF!,#REF!,#REF!,#REF!,#REF!,#REF!</definedName>
    <definedName name="V_ALL_KEYWORDS_TYPE_Vector_ISSR_208001048">#REF!,#REF!,#REF!,#REF!,#REF!,#REF!,#REF!,#REF!,#REF!,#REF!,#REF!,#REF!,#REF!,#REF!</definedName>
    <definedName name="V_ALL_KEYWORDS_TYPE_Vector_ISSR_208001049">#REF!,#REF!,#REF!,#REF!,#REF!,#REF!,#REF!,#REF!,#REF!,#REF!,#REF!,#REF!,#REF!,#REF!,#REF!</definedName>
    <definedName name="V_ALL_KEYWORDS_TYPE_Vector_ISSR_208001137">#REF!,#REF!,#REF!,#REF!,#REF!,#REF!,#REF!,#REF!,#REF!,#REF!,#REF!,#REF!,#REF!,#REF!,#REF!</definedName>
    <definedName name="V_ALL_KEYWORDS_TYPE_Vector_ISSR_208001204">#REF!,#REF!,#REF!,#REF!,#REF!,#REF!,#REF!,#REF!,#REF!,#REF!,#REF!,#REF!,#REF!,#REF!</definedName>
    <definedName name="V_ALL_KEYWORDS_TYPE_Vector_ISSR_208001217">#REF!,#REF!,#REF!,#REF!,#REF!,#REF!,#REF!,#REF!,#REF!,#REF!,#REF!,#REF!,#REF!,#REF!,#REF!</definedName>
    <definedName name="V_ALL_KEYWORDS_TYPE_Vector_ISSR_208001258">#REF!,#REF!,#REF!,#REF!,#REF!,#REF!,#REF!,#REF!,#REF!,#REF!,#REF!,#REF!,#REF!,#REF!,#REF!</definedName>
    <definedName name="V_ALL_KEYWORDS_TYPE_Vector_ISSR_208001370">#REF!,#REF!,#REF!,#REF!,#REF!,#REF!,#REF!,#REF!,#REF!,#REF!,#REF!,#REF!,#REF!</definedName>
    <definedName name="V_ALL_KEYWORDS_TYPE_Vector_ISSR_208001515">#REF!,#REF!,#REF!,#REF!,#REF!,#REF!,#REF!,#REF!,#REF!,#REF!,#REF!,#REF!</definedName>
    <definedName name="V_ALL_KEYWORDS_TYPE_Vector_ISSR_208001562">#REF!,#REF!,#REF!,#REF!,#REF!,#REF!,#REF!,#REF!,#REF!,#REF!,#REF!,#REF!,#REF!</definedName>
    <definedName name="V_ALL_KEYWORDS_TYPE_Vector_ISSR_208001627">#REF!,#REF!,#REF!,#REF!,#REF!,#REF!,#REF!,#REF!,#REF!,#REF!,#REF!,#REF!,#REF!</definedName>
    <definedName name="V_ALL_KEYWORDS_TYPE_Vector_ISSR_208001640">#REF!,#REF!,#REF!,#REF!,#REF!,#REF!,#REF!,#REF!,#REF!,#REF!,#REF!,#REF!,#REF!</definedName>
    <definedName name="V_ALL_KEYWORDS_TYPE_Vector_ISSR_208001765">#REF!,#REF!,#REF!,#REF!,#REF!,#REF!,#REF!,#REF!,#REF!,#REF!,#REF!,#REF!,#REF!,#REF!,#REF!</definedName>
    <definedName name="V_ALL_KEYWORDS_TYPE_Vector_ISSR_208001785">#REF!,#REF!,#REF!,#REF!,#REF!,#REF!,#REF!,#REF!,#REF!,#REF!,#REF!,#REF!,#REF!</definedName>
    <definedName name="V_ALL_KEYWORDS_TYPE_Vector_ISSR_208002651">#REF!,#REF!,#REF!,#REF!,#REF!,#REF!,#REF!,#REF!,#REF!,#REF!,#REF!,#REF!,#REF!</definedName>
    <definedName name="V_ALL_KEYWORDS_TYPE_Vector_ISSR_208005795">#REF!,#REF!,#REF!,#REF!,#REF!,#REF!,#REF!,#REF!,#REF!,#REF!</definedName>
    <definedName name="V_ALL_KEYWORDS_TYPE_Vector_ISSR_208007359">#REF!,#REF!,#REF!,#REF!,#REF!,#REF!,#REF!,#REF!,#REF!</definedName>
    <definedName name="V_ALL_KEYWORDS_TYPE_Vector_ISSR_208007452">#REF!,#REF!,#REF!,#REF!,#REF!,#REF!,#REF!,#REF!,#REF!,#REF!,#REF!,#REF!,#REF!,#REF!,#REF!,#REF!,#REF!,#REF!,#REF!,#REF!,#REF!,#REF!,#REF!,#REF!,#REF!</definedName>
    <definedName name="V_ALL_KEYWORDS_TYPE_Vector_ISSR_208007986">#REF!,#REF!,#REF!,#REF!,#REF!,#REF!,#REF!,#REF!,#REF!,#REF!,#REF!,#REF!,#REF!,#REF!,#REF!</definedName>
    <definedName name="V_ALL_KEYWORDS_TYPE_Vector_ISSR_208008030">#REF!,#REF!,#REF!,#REF!,#REF!,#REF!,#REF!,#REF!,#REF!,#REF!,#REF!,#REF!,#REF!,#REF!,#REF!,#REF!,#REF!,#REF!,#REF!,#REF!</definedName>
    <definedName name="V_ALL_KEYWORDS_TYPE_Vector_ISSR_208008836">#REF!,#REF!,#REF!,#REF!,#REF!,#REF!,#REF!,#REF!,#REF!,#REF!</definedName>
    <definedName name="V_ALL_KEYWORDS_TYPE_Vector_ISSR_208009377">#REF!,#REF!,#REF!,#REF!,#REF!,#REF!,#REF!,#REF!,#REF!,#REF!,#REF!,#REF!,#REF!</definedName>
    <definedName name="V_ALL_KEYWORDS_TYPE_Vector_ISSR_208009722">#REF!,#REF!,#REF!,#REF!,#REF!,#REF!,#REF!,#REF!,#REF!</definedName>
    <definedName name="V_ALL_KEYWORDS_TYPE_Vector_ISSR_208010209">#REF!,#REF!,#REF!,#REF!,#REF!,#REF!,#REF!,#REF!,#REF!,#REF!,#REF!,#REF!,#REF!,#REF!,#REF!</definedName>
    <definedName name="V_ALL_KEYWORDS_TYPE_Vector_ISSR_208011028">#REF!,#REF!,#REF!,#REF!,#REF!,#REF!,#REF!,#REF!,#REF!,#REF!,#REF!,#REF!,#REF!</definedName>
    <definedName name="V_ALL_KEYWORDS_TYPE_Vector_ISSR_208011072">#REF!,#REF!,#REF!,#REF!,#REF!,#REF!,#REF!,#REF!,#REF!,#REF!,#REF!,#REF!,#REF!,#REF!</definedName>
    <definedName name="V_ALL_KEYWORDS_TYPE_Vector_ISSR_208011212">#REF!,#REF!,#REF!,#REF!,#REF!,#REF!,#REF!,#REF!,#REF!,#REF!,#REF!,#REF!,#REF!,#REF!</definedName>
    <definedName name="V_ALL_KEYWORDS_TYPE_Vector_ISSR_208011556">#REF!,#REF!,#REF!,#REF!,#REF!,#REF!,#REF!,#REF!,#REF!,#REF!</definedName>
    <definedName name="V_ALL_KEYWORDS_TYPE_Vector_ISSR_208011888">#REF!,#REF!,#REF!,#REF!,#REF!,#REF!,#REF!,#REF!,#REF!,#REF!,#REF!,#REF!,#REF!,#REF!,#REF!,#REF!,#REF!,#REF!,#REF!</definedName>
    <definedName name="V_ALL_KEYWORDS_TYPE_Vector_ISSR_208012959">#REF!,#REF!,#REF!,#REF!,#REF!,#REF!,#REF!,#REF!,#REF!,#REF!,#REF!,#REF!,#REF!,#REF!,#REF!,#REF!</definedName>
    <definedName name="V_ALL_KEYWORDS_TYPE_Vector_ISSR_208013278">#REF!,#REF!,#REF!,#REF!,#REF!,#REF!,#REF!,#REF!,#REF!,#REF!,#REF!,#REF!</definedName>
    <definedName name="V_ALL_KEYWORDS_TYPE_Vector_ISSR_208015351">#REF!,#REF!,#REF!,#REF!,#REF!,#REF!,#REF!,#REF!,#REF!,#REF!,#REF!,#REF!</definedName>
    <definedName name="V_ALL_KEYWORDS_TYPE_Vector_ISSR_208017249">#REF!,#REF!,#REF!,#REF!,#REF!,#REF!,#REF!,#REF!,#REF!,#REF!,#REF!,#REF!</definedName>
    <definedName name="V_ALL_KEYWORDS_TYPE_Vector_ISSR_208018132">#REF!,#REF!,#REF!,#REF!,#REF!,#REF!,#REF!,#REF!,#REF!,#REF!,#REF!,#REF!,#REF!</definedName>
    <definedName name="V_ALL_KEYWORDS_TYPE_Vector_ISSR_208018133">#REF!,#REF!,#REF!,#REF!,#REF!,#REF!,#REF!,#REF!,#REF!,#REF!,#REF!,#REF!,#REF!,#REF!,#REF!,#REF!,#REF!,#REF!,#REF!,#REF!,#REF!,#REF!,#REF!</definedName>
    <definedName name="V_ALL_KEYWORDS_TYPE_Vector_ISSR_208018253">#REF!,#REF!,#REF!,#REF!,#REF!,#REF!,#REF!,#REF!,#REF!,#REF!,#REF!,#REF!,#REF!</definedName>
    <definedName name="V_ALL_KEYWORDS_TYPE_Vector_ISSR_208020566">#REF!,#REF!,#REF!,#REF!,#REF!,#REF!,#REF!,#REF!,#REF!,#REF!,#REF!,#REF!,#REF!</definedName>
    <definedName name="V_ALL_KEYWORDS_TYPE_Vector_ISSR_208020919">#REF!,#REF!,#REF!,#REF!,#REF!,#REF!,#REF!,#REF!,#REF!,#REF!,#REF!,#REF!,#REF!</definedName>
    <definedName name="V_ALL_KEYWORDS_TYPE_Vector_ISSR_208021926">#REF!,#REF!,#REF!,#REF!,#REF!,#REF!,#REF!,#REF!,#REF!,#REF!,#REF!,#REF!,#REF!</definedName>
    <definedName name="V_ALL_Ticker0021">#REF!</definedName>
    <definedName name="V_ALL_Company1561">#REF!</definedName>
    <definedName name="V_ALL_Company1584">#REF!</definedName>
    <definedName name="V_ALL_Company1588">#REF!</definedName>
    <definedName name="V_ALL_MCFE">#REF!</definedName>
    <definedName name="V_ALL_Company1666">#REF!</definedName>
    <definedName name="V_ALL_Company1666_">#REF!</definedName>
    <definedName name="V_ALL_MDB">#REF!</definedName>
    <definedName name="V_ALL_Company1709">#REF!</definedName>
    <definedName name="V_ALL_Company1715">#REF!</definedName>
    <definedName name="V_ALL_Company1744">#REF!</definedName>
    <definedName name="V_ALL_Company1744_">#REF!</definedName>
    <definedName name="V_ALL_Ticker0024">#REF!</definedName>
    <definedName name="V_ALL_MU">#REF!</definedName>
    <definedName name="V_ALL_Company1760">#REF!</definedName>
    <definedName name="V_ALL_NOK1V.HE">#REF!</definedName>
    <definedName name="V_ALL_Ticker0027">#REF!</definedName>
    <definedName name="V_ALL_Ticker0027_">#REF!</definedName>
    <definedName name="V_ALL_Company1919">#REF!</definedName>
    <definedName name="V_ALL_Company1919_">#REF!</definedName>
    <definedName name="V_ALL_ON">#REF!</definedName>
    <definedName name="V_ALL_Company2035">#REF!</definedName>
    <definedName name="V_ALL_PERIODS_Company0141">#REF!</definedName>
    <definedName name="V_ALL_PERIODS_T">#REF!</definedName>
    <definedName name="V_ALL_Company2070">#REF!</definedName>
    <definedName name="V_ALL_Company2194">#REF!</definedName>
    <definedName name="V_ALL_Company2196">#REF!</definedName>
    <definedName name="V_ALL_Company2225">#REF!</definedName>
    <definedName name="V_ALL_Company2257">#REF!</definedName>
    <definedName name="V_ALL_S">#REF!</definedName>
    <definedName name="V_ALL_Company2327">#REF!</definedName>
    <definedName name="V_ALL_SECTION_KEYWORDS_EQTY_200001646_1314">#REF!</definedName>
    <definedName name="V_ALL_SECTION_KEYWORDS_EQTY_200001646_1319">#REF!</definedName>
    <definedName name="V_ALL_SECTION_KEYWORDS_EQTY_200001646_131E">#REF!</definedName>
    <definedName name="V_ALL_SECTION_KEYWORDS_EQTY_200001646_131O">#REF!</definedName>
    <definedName name="V_ALL_SECTION_KEYWORDS_EQTY_200001646_131P">#REF!</definedName>
    <definedName name="V_ALL_SECTION_KEYWORDS_EQTY_200001646_13A">#REF!</definedName>
    <definedName name="V_ALL_SECTION_KEYWORDS_EQTY_200001646_13K">#REF!</definedName>
    <definedName name="V_ALL_SECTION_KEYWORDS_EQTY_200001646_13U">#REF!</definedName>
    <definedName name="V_ALL_SECTION_KEYWORDS_EQTY_200001646_13V">#REF!</definedName>
    <definedName name="V_ALL_SECTION_KEYWORDS_EQTY_200001646_13W">#REF!</definedName>
    <definedName name="V_ALL_SECTION_KEYWORDS_EQTY_200001646_Reference_Data">#REF!</definedName>
    <definedName name="V_ALL_SECTION_KEYWORDS_EQTY_200004230_13A">#REF!</definedName>
    <definedName name="V_ALL_SECTION_KEYWORDS_EQTY_200004230_13K">#REF!</definedName>
    <definedName name="V_ALL_SECTION_KEYWORDS_EQTY_200004419_1314">#REF!</definedName>
    <definedName name="V_ALL_SECTION_KEYWORDS_EQTY_200004419_1319">#REF!</definedName>
    <definedName name="V_ALL_SECTION_KEYWORDS_EQTY_200004419_131E">#REF!</definedName>
    <definedName name="V_ALL_SECTION_KEYWORDS_EQTY_200004419_131O">#REF!</definedName>
    <definedName name="V_ALL_SECTION_KEYWORDS_EQTY_200004419_13A">#REF!</definedName>
    <definedName name="V_ALL_SECTION_KEYWORDS_EQTY_200004419_13K">#REF!</definedName>
    <definedName name="V_ALL_SECTION_KEYWORDS_EQTY_200004419_13U">#REF!</definedName>
    <definedName name="V_ALL_SECTION_KEYWORDS_EQTY_200004419_13V">#REF!</definedName>
    <definedName name="V_ALL_SECTION_KEYWORDS_EQTY_200004419_13W">#REF!</definedName>
    <definedName name="V_ALL_SECTION_KEYWORDS_EQTY_200004419_Reference_Data">#REF!</definedName>
    <definedName name="V_ALL_SECTION_KEYWORDS_EQTY_200005326_13A">#REF!</definedName>
    <definedName name="V_ALL_SECTION_KEYWORDS_EQTY_200005326_13K">#REF!</definedName>
    <definedName name="V_ALL_SECTION_KEYWORDS_EQTY_200005722_13A">#REF!</definedName>
    <definedName name="V_ALL_SECTION_KEYWORDS_EQTY_200005722_13K">#REF!</definedName>
    <definedName name="V_ALL_SECTION_KEYWORDS_EQTY_200006333_13A">#REF!</definedName>
    <definedName name="V_ALL_SECTION_KEYWORDS_EQTY_200006333_13K">#REF!</definedName>
    <definedName name="V_ALL_SECTION_KEYWORDS_EQTY_200012762_1314">#REF!</definedName>
    <definedName name="V_ALL_SECTION_KEYWORDS_EQTY_200012762_1319">#REF!</definedName>
    <definedName name="V_ALL_SECTION_KEYWORDS_EQTY_200012762_131E">#REF!</definedName>
    <definedName name="V_ALL_SECTION_KEYWORDS_EQTY_200012762_131O">#REF!</definedName>
    <definedName name="V_ALL_SECTION_KEYWORDS_EQTY_200012762_13A">#REF!</definedName>
    <definedName name="V_ALL_SECTION_KEYWORDS_EQTY_200012762_13K">#REF!</definedName>
    <definedName name="V_ALL_SECTION_KEYWORDS_EQTY_200012762_13U">#REF!</definedName>
    <definedName name="V_ALL_SECTION_KEYWORDS_EQTY_200012762_13V">#REF!</definedName>
    <definedName name="V_ALL_SECTION_KEYWORDS_EQTY_200012762_13W">#REF!</definedName>
    <definedName name="V_ALL_SECTION_KEYWORDS_EQTY_200012762_Reference_Data">#REF!</definedName>
    <definedName name="V_ALL_SECTION_KEYWORDS_EQTY_200019587_13A">#REF!</definedName>
    <definedName name="V_ALL_SECTION_KEYWORDS_EQTY_200019588_13A">#REF!</definedName>
    <definedName name="V_ALL_SECTION_KEYWORDS_EQTY_200019588_13K">#REF!</definedName>
    <definedName name="V_ALL_SECTION_KEYWORDS_EQTY_200021484_13A">#REF!</definedName>
    <definedName name="V_ALL_SECTION_KEYWORDS_EQTY_200021484_13K">#REF!</definedName>
    <definedName name="V_ALL_SECTION_KEYWORDS_ISSR_208000027_136E">#REF!,#REF!</definedName>
    <definedName name="V_ALL_SECTION_KEYWORDS_ISSR_208000402_136J">#REF!,#REF!</definedName>
    <definedName name="V_ALL_SECTION_KEYWORDS_ISSR_208000430_136E">#REF!,#REF!</definedName>
    <definedName name="V_ALL_SECTION_KEYWORDS_ISSR_208000435_136E">#REF!,#REF!</definedName>
    <definedName name="V_ALL_SECTION_KEYWORDS_ISSR_208000435_136J">#REF!,#REF!</definedName>
    <definedName name="V_ALL_SECTION_KEYWORDS_ISSR_208000468_13V">#REF!,#REF!</definedName>
    <definedName name="V_ALL_SECTION_KEYWORDS_ISSR_208000603_1314">#REF!</definedName>
    <definedName name="V_ALL_SECTION_KEYWORDS_ISSR_208000603_13168">#REF!</definedName>
    <definedName name="V_ALL_SECTION_KEYWORDS_ISSR_208000603_1319">#REF!</definedName>
    <definedName name="V_ALL_SECTION_KEYWORDS_ISSR_208000603_131E">#REF!</definedName>
    <definedName name="V_ALL_SECTION_KEYWORDS_ISSR_208000603_131J">#REF!</definedName>
    <definedName name="V_ALL_SECTION_KEYWORDS_ISSR_208000603_131O">#REF!</definedName>
    <definedName name="V_ALL_SECTION_KEYWORDS_ISSR_208000603_131P">#REF!</definedName>
    <definedName name="V_ALL_SECTION_KEYWORDS_ISSR_208000603_13A">#REF!</definedName>
    <definedName name="V_ALL_SECTION_KEYWORDS_ISSR_208000603_13U">#REF!</definedName>
    <definedName name="V_ALL_SECTION_KEYWORDS_ISSR_208000603_13V">#REF!</definedName>
    <definedName name="V_ALL_SECTION_KEYWORDS_ISSR_208000603_Reference_Data">#REF!</definedName>
    <definedName name="V_ALL_SECTION_KEYWORDS_ISSR_208000826_13V">#REF!,#REF!</definedName>
    <definedName name="V_ALL_SECTION_KEYWORDS_ISSR_208000827_136J">#REF!,#REF!</definedName>
    <definedName name="V_ALL_SECTION_KEYWORDS_ISSR_208000836_131O">#REF!,#REF!</definedName>
    <definedName name="V_ALL_SECTION_KEYWORDS_ISSR_208000976_136E">#REF!,#REF!</definedName>
    <definedName name="V_ALL_SECTION_KEYWORDS_ISSR_208000976_13V">#REF!,#REF!</definedName>
    <definedName name="V_ALL_SECTION_KEYWORDS_ISSR_208000977_136E">#REF!,#REF!</definedName>
    <definedName name="V_ALL_SECTION_KEYWORDS_ISSR_208001018_13168" localSheetId="3">#REF!</definedName>
    <definedName name="V_ALL_SECTION_KEYWORDS_ISSR_208001018_13168">#REF!</definedName>
    <definedName name="V_ALL_SECTION_KEYWORDS_ISSR_208001018_136E" localSheetId="3">#REF!,#REF!</definedName>
    <definedName name="V_ALL_SECTION_KEYWORDS_ISSR_208001018_136E">#REF!,#REF!</definedName>
    <definedName name="V_ALL_SECTION_KEYWORDS_ISSR_208001018_13V" localSheetId="3">#REF!</definedName>
    <definedName name="V_ALL_SECTION_KEYWORDS_ISSR_208001018_13V">#REF!</definedName>
    <definedName name="V_ALL_SECTION_KEYWORDS_ISSR_208001048_13V">#REF!,#REF!</definedName>
    <definedName name="V_ALL_SECTION_KEYWORDS_ISSR_208001204_136J">#REF!,#REF!</definedName>
    <definedName name="V_ALL_SECTION_KEYWORDS_ISSR_208001217_13168">#REF!,#REF!</definedName>
    <definedName name="V_ALL_SECTION_KEYWORDS_ISSR_208001217_136E">#REF!,#REF!</definedName>
    <definedName name="V_ALL_SECTION_KEYWORDS_ISSR_208001258_1314">#REF!</definedName>
    <definedName name="V_ALL_SECTION_KEYWORDS_ISSR_208001258_13168">#REF!</definedName>
    <definedName name="V_ALL_SECTION_KEYWORDS_ISSR_208001258_1316T">#REF!</definedName>
    <definedName name="V_ALL_SECTION_KEYWORDS_ISSR_208001258_1316U">#REF!</definedName>
    <definedName name="V_ALL_SECTION_KEYWORDS_ISSR_208001258_1319">#REF!</definedName>
    <definedName name="V_ALL_SECTION_KEYWORDS_ISSR_208001258_131E">#REF!</definedName>
    <definedName name="V_ALL_SECTION_KEYWORDS_ISSR_208001258_131J">#REF!</definedName>
    <definedName name="V_ALL_SECTION_KEYWORDS_ISSR_208001258_131O">#REF!</definedName>
    <definedName name="V_ALL_SECTION_KEYWORDS_ISSR_208001258_13A">#REF!</definedName>
    <definedName name="V_ALL_SECTION_KEYWORDS_ISSR_208001258_13U">#REF!</definedName>
    <definedName name="V_ALL_SECTION_KEYWORDS_ISSR_208001258_13V">#REF!</definedName>
    <definedName name="V_ALL_SECTION_KEYWORDS_ISSR_208001258_Reference_Data">#REF!</definedName>
    <definedName name="V_ALL_SECTION_KEYWORDS_ISSR_208001370_13V">#REF!,#REF!</definedName>
    <definedName name="V_ALL_SECTION_KEYWORDS_ISSR_208001515_1314">#REF!</definedName>
    <definedName name="V_ALL_SECTION_KEYWORDS_ISSR_208001515_1319">#REF!</definedName>
    <definedName name="V_ALL_SECTION_KEYWORDS_ISSR_208001515_131E">#REF!</definedName>
    <definedName name="V_ALL_SECTION_KEYWORDS_ISSR_208001515_13V">#REF!</definedName>
    <definedName name="V_ALL_SECTION_KEYWORDS_ISSR_208001562_131O">#REF!,#REF!</definedName>
    <definedName name="V_ALL_SECTION_KEYWORDS_ISSR_208001627_131O">#REF!,#REF!</definedName>
    <definedName name="V_ALL_SECTION_KEYWORDS_ISSR_208001627_136J">#REF!</definedName>
    <definedName name="V_ALL_SECTION_KEYWORDS_ISSR_208001640_1314">#REF!</definedName>
    <definedName name="V_ALL_SECTION_KEYWORDS_ISSR_208001640_1319">#REF!</definedName>
    <definedName name="V_ALL_SECTION_KEYWORDS_ISSR_208001640_131E">#REF!</definedName>
    <definedName name="V_ALL_SECTION_KEYWORDS_ISSR_208001640_13V">#REF!</definedName>
    <definedName name="V_ALL_SECTION_KEYWORDS_ISSR_208001765_1314">#REF!</definedName>
    <definedName name="V_ALL_SECTION_KEYWORDS_ISSR_208001765_13168">#REF!,#REF!</definedName>
    <definedName name="V_ALL_SECTION_KEYWORDS_ISSR_208001765_1316T">#REF!</definedName>
    <definedName name="V_ALL_SECTION_KEYWORDS_ISSR_208001765_1319">#REF!</definedName>
    <definedName name="V_ALL_SECTION_KEYWORDS_ISSR_208001765_131E">#REF!</definedName>
    <definedName name="V_ALL_SECTION_KEYWORDS_ISSR_208001765_136E">#REF!,#REF!</definedName>
    <definedName name="V_ALL_SECTION_KEYWORDS_ISSR_208001765_13V">#REF!,#REF!</definedName>
    <definedName name="V_ALL_SECTION_KEYWORDS_ISSR_208001785_13V">#REF!,#REF!</definedName>
    <definedName name="V_ALL_SECTION_KEYWORDS_ISSR_208002651_13V">#REF!,#REF!</definedName>
    <definedName name="V_ALL_SECTION_KEYWORDS_ISSR_208005795_136E">#REF!,#REF!</definedName>
    <definedName name="V_ALL_SECTION_KEYWORDS_ISSR_208006029_13V">#REF!,#REF!</definedName>
    <definedName name="V_ALL_SECTION_KEYWORDS_ISSR_208007452_136J">#REF!,#REF!</definedName>
    <definedName name="V_ALL_SECTION_KEYWORDS_ISSR_208007452_13V">#REF!,#REF!</definedName>
    <definedName name="V_ALL_SECTION_KEYWORDS_ISSR_208007986_13168">#REF!,#REF!</definedName>
    <definedName name="V_ALL_SECTION_KEYWORDS_ISSR_208007986_136E">#REF!,#REF!</definedName>
    <definedName name="V_ALL_SECTION_KEYWORDS_ISSR_208007986_13V">#REF!,#REF!</definedName>
    <definedName name="V_ALL_SECTION_KEYWORDS_ISSR_208008030_1316P">#REF!,#REF!</definedName>
    <definedName name="V_ALL_SECTION_KEYWORDS_ISSR_208008030_131Y">#REF!,#REF!</definedName>
    <definedName name="V_ALL_SECTION_KEYWORDS_ISSR_208008030_134L">#REF!,#REF!</definedName>
    <definedName name="V_ALL_SECTION_KEYWORDS_ISSR_208008836_136E">#REF!,#REF!</definedName>
    <definedName name="V_ALL_SECTION_KEYWORDS_ISSR_208009722_1314">#REF!</definedName>
    <definedName name="V_ALL_SECTION_KEYWORDS_ISSR_208009722_13168">#REF!</definedName>
    <definedName name="V_ALL_SECTION_KEYWORDS_ISSR_208009722_1319">#REF!</definedName>
    <definedName name="V_ALL_SECTION_KEYWORDS_ISSR_208009722_131E">#REF!</definedName>
    <definedName name="V_ALL_SECTION_KEYWORDS_ISSR_208009722_131J">#REF!</definedName>
    <definedName name="V_ALL_SECTION_KEYWORDS_ISSR_208009722_131O">#REF!</definedName>
    <definedName name="V_ALL_SECTION_KEYWORDS_ISSR_208009722_13A">#REF!</definedName>
    <definedName name="V_ALL_SECTION_KEYWORDS_ISSR_208009722_13U">#REF!</definedName>
    <definedName name="V_ALL_SECTION_KEYWORDS_ISSR_208009722_13V">#REF!</definedName>
    <definedName name="V_ALL_SECTION_KEYWORDS_ISSR_208009722_Reference_Data">#REF!</definedName>
    <definedName name="V_ALL_SECTION_KEYWORDS_ISSR_208011028_131O">#REF!,#REF!</definedName>
    <definedName name="V_ALL_SECTION_KEYWORDS_ISSR_208011556_136E">#REF!,#REF!</definedName>
    <definedName name="V_ALL_SECTION_KEYWORDS_ISSR_208011888_136E">#REF!,#REF!</definedName>
    <definedName name="V_ALL_SECTION_KEYWORDS_ISSR_208012959_13V">#REF!,#REF!</definedName>
    <definedName name="V_ALL_SECTION_KEYWORDS_ISSR_208013278_136E">#REF!,#REF!</definedName>
    <definedName name="V_ALL_SECTION_KEYWORDS_ISSR_208015351_13168">#REF!,#REF!</definedName>
    <definedName name="V_ALL_SECTION_KEYWORDS_ISSR_208015351_136E">#REF!,#REF!</definedName>
    <definedName name="V_ALL_SECTION_KEYWORDS_ISSR_208017249_13168">#REF!</definedName>
    <definedName name="V_ALL_SECTION_KEYWORDS_ISSR_208017249_1319">#REF!</definedName>
    <definedName name="V_ALL_SECTION_KEYWORDS_ISSR_208018132_131O">#REF!,#REF!</definedName>
    <definedName name="V_ALL_SECTION_KEYWORDS_ISSR_208018133_1314">#REF!</definedName>
    <definedName name="V_ALL_SECTION_KEYWORDS_ISSR_208018133_1319">#REF!</definedName>
    <definedName name="V_ALL_SECTION_KEYWORDS_ISSR_208018133_131E">#REF!</definedName>
    <definedName name="V_ALL_SECTION_KEYWORDS_ISSR_208018133_13V">#REF!,#REF!</definedName>
    <definedName name="V_ALL_SECTION_KEYWORDS_ISSR_208018253_131O">#REF!,#REF!</definedName>
    <definedName name="V_ALL_SECTION_KEYWORDS_ISSR_208020566_131O">#REF!,#REF!</definedName>
    <definedName name="V_ALL_SECTION_KEYWORDS_ISSR_208020919_131O">#REF!,#REF!</definedName>
    <definedName name="V_ALL_SECTION_KEYWORDS_ISSR_208020919_136J">#REF!,#REF!</definedName>
    <definedName name="V_ALL_SECTIONS_EQTY_200000304">#REF!,#REF!,#REF!,#REF!,#REF!,#REF!,#REF!,#REF!,#REF!,#REF!</definedName>
    <definedName name="V_ALL_SECTIONS_EQTY_200001265">#REF!,#REF!,#REF!,#REF!,#REF!,#REF!,#REF!,#REF!,#REF!,#REF!</definedName>
    <definedName name="V_ALL_SECTIONS_EQTY_200001320">#REF!,#REF!,#REF!,#REF!,#REF!,#REF!,#REF!,#REF!,#REF!,#REF!</definedName>
    <definedName name="V_ALL_SECTIONS_EQTY_200001330">#REF!,#REF!,#REF!,#REF!,#REF!,#REF!,#REF!,#REF!,#REF!,#REF!</definedName>
    <definedName name="V_ALL_SECTIONS_EQTY_200001353">#REF!,#REF!,#REF!,#REF!,#REF!,#REF!,#REF!,#REF!</definedName>
    <definedName name="V_ALL_SECTIONS_EQTY_200001371">#REF!,#REF!,#REF!,#REF!,#REF!,#REF!,#REF!,#REF!</definedName>
    <definedName name="V_ALL_SECTIONS_EQTY_200001381">#REF!,#REF!,#REF!,#REF!,#REF!,#REF!,#REF!,#REF!,#REF!,#REF!</definedName>
    <definedName name="V_ALL_SECTIONS_EQTY_200001646">#REF!,#REF!,#REF!,#REF!,#REF!,#REF!,#REF!,#REF!,#REF!,#REF!,#REF!</definedName>
    <definedName name="V_ALL_SECTIONS_EQTY_200002831">#REF!,#REF!,#REF!,#REF!,#REF!,#REF!,#REF!,#REF!,#REF!,#REF!</definedName>
    <definedName name="V_ALL_SECTIONS_EQTY_200002833">#REF!,#REF!,#REF!,#REF!,#REF!,#REF!,#REF!,#REF!,#REF!,#REF!</definedName>
    <definedName name="V_ALL_SECTIONS_EQTY_200003037">#REF!,#REF!,#REF!,#REF!,#REF!,#REF!,#REF!,#REF!,#REF!,#REF!</definedName>
    <definedName name="V_ALL_SECTIONS_EQTY_200003892">#REF!,#REF!,#REF!,#REF!,#REF!,#REF!,#REF!,#REF!,#REF!,#REF!</definedName>
    <definedName name="V_ALL_SECTIONS_EQTY_200004419">#REF!,#REF!,#REF!,#REF!,#REF!,#REF!,#REF!,#REF!,#REF!,#REF!</definedName>
    <definedName name="V_ALL_SECTIONS_EQTY_200005326">#REF!,#REF!,#REF!,#REF!,#REF!,#REF!,#REF!,#REF!,#REF!,#REF!</definedName>
    <definedName name="V_ALL_SECTIONS_EQTY_200006232">#REF!,#REF!,#REF!,#REF!,#REF!,#REF!,#REF!,#REF!,#REF!,#REF!</definedName>
    <definedName name="V_ALL_SECTIONS_EQTY_200009556">#REF!,#REF!,#REF!,#REF!,#REF!,#REF!,#REF!,#REF!,#REF!,#REF!</definedName>
    <definedName name="V_ALL_SECTIONS_EQTY_200011598">#REF!,#REF!,#REF!,#REF!,#REF!,#REF!,#REF!,#REF!,#REF!,#REF!</definedName>
    <definedName name="V_ALL_SECTIONS_EQTY_200012762">#REF!,#REF!,#REF!,#REF!,#REF!,#REF!,#REF!,#REF!,#REF!,#REF!</definedName>
    <definedName name="V_ALL_SECTIONS_EQTY_200014300">#REF!,#REF!,#REF!,#REF!,#REF!,#REF!,#REF!,#REF!,#REF!,#REF!</definedName>
    <definedName name="V_ALL_SECTIONS_EQTY_200014493">#REF!,#REF!,#REF!,#REF!,#REF!,#REF!,#REF!,#REF!,#REF!,#REF!</definedName>
    <definedName name="V_ALL_SECTIONS_EQTY_200014750">#REF!,#REF!,#REF!,#REF!,#REF!,#REF!,#REF!,#REF!,#REF!,#REF!</definedName>
    <definedName name="V_ALL_SECTIONS_EQTY_200015107">#REF!,#REF!,#REF!,#REF!,#REF!,#REF!,#REF!,#REF!,#REF!,#REF!</definedName>
    <definedName name="V_ALL_SECTIONS_EQTY_200015716">#REF!,#REF!,#REF!,#REF!,#REF!,#REF!,#REF!,#REF!,#REF!,#REF!</definedName>
    <definedName name="V_ALL_SECTIONS_EQTY_200015757">#REF!,#REF!,#REF!,#REF!,#REF!,#REF!,#REF!,#REF!,#REF!,#REF!,#REF!</definedName>
    <definedName name="V_ALL_SECTIONS_EQTY_200016026">#REF!,#REF!,#REF!,#REF!,#REF!,#REF!,#REF!,#REF!,#REF!,#REF!,#REF!</definedName>
    <definedName name="V_ALL_SECTIONS_EQTY_200017745">#REF!,#REF!,#REF!,#REF!,#REF!,#REF!,#REF!,#REF!,#REF!,#REF!</definedName>
    <definedName name="V_ALL_SECTIONS_ISSR_208000430">#REF!,#REF!,#REF!,#REF!,#REF!,#REF!,#REF!,#REF!,#REF!,#REF!,#REF!</definedName>
    <definedName name="V_ALL_SECTIONS_ISSR_208000451">#REF!,#REF!,#REF!,#REF!,#REF!,#REF!,#REF!,#REF!,#REF!,#REF!</definedName>
    <definedName name="V_ALL_SECTIONS_ISSR_208000603">#REF!,#REF!,#REF!,#REF!,#REF!,#REF!,#REF!,#REF!,#REF!,#REF!,#REF!</definedName>
    <definedName name="V_ALL_SECTIONS_ISSR_208000977">#REF!,#REF!,#REF!,#REF!,#REF!,#REF!,#REF!,#REF!,#REF!,#REF!,#REF!</definedName>
    <definedName name="V_ALL_SECTIONS_ISSR_208001049">#REF!,#REF!,#REF!,#REF!,#REF!,#REF!,#REF!,#REF!,#REF!,#REF!,#REF!</definedName>
    <definedName name="V_ALL_SECTIONS_ISSR_208001137">#REF!,#REF!,#REF!,#REF!,#REF!,#REF!,#REF!,#REF!,#REF!,#REF!,#REF!</definedName>
    <definedName name="V_ALL_SECTIONS_ISSR_208001258">#REF!,#REF!,#REF!,#REF!,#REF!,#REF!,#REF!,#REF!,#REF!,#REF!,#REF!</definedName>
    <definedName name="V_ALL_SECTIONS_ISSR_208001515">#REF!,#REF!,#REF!,#REF!,#REF!,#REF!,#REF!,#REF!,#REF!,#REF!</definedName>
    <definedName name="V_ALL_SECTIONS_ISSR_208005795">#REF!,#REF!,#REF!,#REF!,#REF!,#REF!,#REF!,#REF!,#REF!,#REF!,#REF!</definedName>
    <definedName name="V_ALL_SECTIONS_ISSR_208007359">#REF!,#REF!,#REF!,#REF!,#REF!,#REF!,#REF!,#REF!,#REF!,#REF!</definedName>
    <definedName name="V_ALL_SECTIONS_ISSR_208009722">#REF!,#REF!,#REF!,#REF!,#REF!,#REF!,#REF!,#REF!,#REF!,#REF!</definedName>
    <definedName name="V_ALL_SECTIONS_ISSR_208010209">#REF!,#REF!,#REF!,#REF!,#REF!,#REF!,#REF!,#REF!,#REF!,#REF!,#REF!</definedName>
    <definedName name="V_ALL_SECTIONS_ISSR_208011072">#REF!,#REF!,#REF!,#REF!,#REF!,#REF!,#REF!,#REF!,#REF!,#REF!,#REF!</definedName>
    <definedName name="V_ALL_SECTIONS_ISSR_208011212">#REF!,#REF!,#REF!,#REF!,#REF!,#REF!,#REF!,#REF!,#REF!,#REF!,#REF!</definedName>
    <definedName name="V_ALL_SECTIONS_ISSR_208012959">#REF!,#REF!,#REF!,#REF!,#REF!,#REF!,#REF!,#REF!,#REF!,#REF!,#REF!,#REF!,#REF!</definedName>
    <definedName name="V_ALL_SECTIONS_ISSR_208015351">#REF!,#REF!,#REF!,#REF!,#REF!,#REF!,#REF!,#REF!,#REF!,#REF!,#REF!</definedName>
    <definedName name="V_ALL_SEMI">#REF!</definedName>
    <definedName name="V_ALL_Company2410">#REF!</definedName>
    <definedName name="V_ALL_Company2514">#REF!</definedName>
    <definedName name="V_ALL_T">#REF!</definedName>
    <definedName name="V_ALL_TEL">#REF!</definedName>
    <definedName name="V_ALL_Company2637">#REF!</definedName>
    <definedName name="V_ALL_TER">#REF!</definedName>
    <definedName name="V_ALL_Ticker0031">#REF!</definedName>
    <definedName name="V_ALL_Company2662">#REF!</definedName>
    <definedName name="V_ALL_Company2714">#REF!</definedName>
    <definedName name="V_ALL_Company2718">#REF!</definedName>
    <definedName name="V_ALL_Company2724">#REF!</definedName>
    <definedName name="V_ALL_Company2865">#REF!</definedName>
    <definedName name="V_ALL_Company2865_">#REF!</definedName>
    <definedName name="V_ALL_Company2881">#REF!</definedName>
    <definedName name="V_ALL_VZ">#REF!</definedName>
    <definedName name="V_ALL_Company2932">#REF!</definedName>
    <definedName name="V_ALL_WIN">#REF!</definedName>
    <definedName name="V_ALL_WIN_">#REF!</definedName>
    <definedName name="V_ALL_Company3047">#REF!</definedName>
    <definedName name="V_ALL_ZS">#REF!</definedName>
    <definedName name="V_ALL_ZS_OLD">#REF!</definedName>
    <definedName name="V_CURRENCY_EQTY_200001646_PRI">#REF!</definedName>
    <definedName name="V_CURRENCY_EQTY_200001646_PUB">#REF!</definedName>
    <definedName name="V_CURRENCY_EQTY_200001646_REP">#REF!</definedName>
    <definedName name="V_CURRENCY_EQTY_200004419_PRI">#REF!</definedName>
    <definedName name="V_CURRENCY_EQTY_200004419_PUB">#REF!</definedName>
    <definedName name="V_CURRENCY_EQTY_200004419_REP">#REF!</definedName>
    <definedName name="V_CURRENCY_EQTY_200012762_PRI">#REF!</definedName>
    <definedName name="V_CURRENCY_EQTY_200012762_PUB">#REF!</definedName>
    <definedName name="V_CURRENCY_EQTY_200012762_REP">#REF!</definedName>
    <definedName name="V_CURRENCY_ISSR_208000603_REP">#REF!</definedName>
    <definedName name="V_CURRENCY_ISSR_208001258_REP">#REF!</definedName>
    <definedName name="V_CURRENCY_ISSR_208009722_REP">#REF!</definedName>
    <definedName name="V_ENTITY_DATA_EQTY_200001646">#REF!</definedName>
    <definedName name="V_ENTITY_DATA_EQTY_200012762">#REF!</definedName>
    <definedName name="V_ENTITY_DATA_ISSR_208000603">#REF!</definedName>
    <definedName name="V_ENTITY_DATA_ISSR_208009722">#REF!</definedName>
    <definedName name="V_KEYWORD_EQTY_200001646_ACT1">#REF!</definedName>
    <definedName name="V_KEYWORD_EQTY_200001646_AMER_CONVICTION">#REF!</definedName>
    <definedName name="V_KEYWORD_EQTY_200001646_AMER_LIST">#REF!</definedName>
    <definedName name="V_KEYWORD_EQTY_200001646_BETA_ANALYST">#REF!</definedName>
    <definedName name="V_KEYWORD_EQTY_200001646_BVPS">#REF!</definedName>
    <definedName name="V_KEYWORD_EQTY_200001646_BVPS_PUB">#REF!</definedName>
    <definedName name="V_KEYWORD_EQTY_200001646_CF_NI_PRE_PREF">#REF!</definedName>
    <definedName name="V_KEYWORD_EQTY_200001646_COMMON_DIV_PAID">#REF!</definedName>
    <definedName name="V_KEYWORD_EQTY_200001646_CURRENCY_ISO">#REF!</definedName>
    <definedName name="V_KEYWORD_EQTY_200001646_DILUTE_SHARES">#REF!</definedName>
    <definedName name="V_KEYWORD_EQTY_200001646_DPS">#REF!</definedName>
    <definedName name="V_KEYWORD_EQTY_200001646_DPS_PUB">#REF!</definedName>
    <definedName name="V_KEYWORD_EQTY_200001646_EBIT_PUB">#REF!</definedName>
    <definedName name="V_KEYWORD_EQTY_200001646_EBITDA_PUB">#REF!</definedName>
    <definedName name="V_KEYWORD_EQTY_200001646_EPS">#REF!</definedName>
    <definedName name="V_KEYWORD_EQTY_200001646_EPS_EX_ESO_B">#REF!</definedName>
    <definedName name="V_KEYWORD_EQTY_200001646_EPS_EX_ESO_D">#REF!</definedName>
    <definedName name="V_KEYWORD_EQTY_200001646_EPS_FUL_DIL">#REF!</definedName>
    <definedName name="V_KEYWORD_EQTY_200001646_EPS_POST_BASIC">#REF!</definedName>
    <definedName name="V_KEYWORD_EQTY_200001646_EPS_PUB">#REF!</definedName>
    <definedName name="V_KEYWORD_EQTY_200001646_EPS_PUB_EX_ESO">#REF!</definedName>
    <definedName name="V_KEYWORD_EQTY_200001646_EQ_PUB">#REF!</definedName>
    <definedName name="V_KEYWORD_EQTY_200001646_ESO_POST_TAX">#REF!</definedName>
    <definedName name="V_KEYWORD_EQTY_200001646_ESO_YEAR">#REF!</definedName>
    <definedName name="V_KEYWORD_EQTY_200001646_EV_ADJ_PUB">#REF!</definedName>
    <definedName name="V_KEYWORD_EQTY_200001646_FREE_FLOAT">#REF!</definedName>
    <definedName name="V_KEYWORD_EQTY_200001646_FULLY_DIL_EPS">#REF!</definedName>
    <definedName name="V_KEYWORD_EQTY_200001646_FV_GRANT">#REF!</definedName>
    <definedName name="V_KEYWORD_EQTY_200001646_GT_BETA">#REF!</definedName>
    <definedName name="V_KEYWORD_EQTY_200001646_INC_MINORITY">#REF!</definedName>
    <definedName name="V_KEYWORD_EQTY_200001646_Interim_Type">#REF!</definedName>
    <definedName name="V_KEYWORD_EQTY_200001646_LEGAL_RATING">#REF!</definedName>
    <definedName name="V_KEYWORD_EQTY_200001646_MARGIN_TAX_RATE">#REF!</definedName>
    <definedName name="V_KEYWORD_EQTY_200001646_MKT_EQ_RISK_PREM">#REF!</definedName>
    <definedName name="V_KEYWORD_EQTY_200001646_NET_DEBT_PUB">#REF!</definedName>
    <definedName name="V_KEYWORD_EQTY_200001646_NET_EARNING">#REF!</definedName>
    <definedName name="V_KEYWORD_EQTY_200001646_NET_INC">#REF!</definedName>
    <definedName name="V_KEYWORD_EQTY_200001646_NI_PRE_PREF">#REF!</definedName>
    <definedName name="V_KEYWORD_EQTY_200001646_NI_PUB">#REF!</definedName>
    <definedName name="V_KEYWORD_EQTY_200001646_NON_OP_ADD">#REF!</definedName>
    <definedName name="V_KEYWORD_EQTY_200001646_NUM_SH">#REF!</definedName>
    <definedName name="V_KEYWORD_EQTY_200001646_PREF_DIV">#REF!</definedName>
    <definedName name="V_KEYWORD_EQTY_200001646_PRICE_CURRENCY_ISO">#REF!</definedName>
    <definedName name="V_KEYWORD_EQTY_200001646_PROV_INC_TAX">#REF!</definedName>
    <definedName name="V_KEYWORD_EQTY_200001646_PTP_PUB">#REF!</definedName>
    <definedName name="V_KEYWORD_EQTY_200001646_PUB_CURRENCY_ISO">#REF!</definedName>
    <definedName name="V_KEYWORD_EQTY_200001646_REPUR_ACTUAL">#REF!</definedName>
    <definedName name="V_KEYWORD_EQTY_200001646_REPUR_REMAINING">#REF!</definedName>
    <definedName name="V_KEYWORD_EQTY_200001646_REPUR_SUSPENDED">#REF!</definedName>
    <definedName name="V_KEYWORD_EQTY_200001646_REPUR_TOT_AUTH">#REF!</definedName>
    <definedName name="V_KEYWORD_EQTY_200001646_REVS_PUB">#REF!</definedName>
    <definedName name="V_KEYWORD_EQTY_200001646_RISK_FR_RATE">#REF!</definedName>
    <definedName name="V_KEYWORD_EQTY_200001646_Security_Name">#REF!</definedName>
    <definedName name="V_KEYWORD_EQTY_200001646_SH">#REF!</definedName>
    <definedName name="V_KEYWORD_EQTY_200001646_TARGET_PRICE">#REF!</definedName>
    <definedName name="V_KEYWORD_EQTY_200001646_TAX_EXC">#REF!</definedName>
    <definedName name="V_KEYWORD_EQTY_200001646_Ticker">#REF!</definedName>
    <definedName name="V_KEYWORD_EQTY_200001646_TP_PERIOD">#REF!</definedName>
    <definedName name="V_KEYWORD_EQTY_200004419_ACT1">#REF!</definedName>
    <definedName name="V_KEYWORD_EQTY_200004419_ACT2">#REF!</definedName>
    <definedName name="V_KEYWORD_EQTY_200004419_ACT3">#REF!</definedName>
    <definedName name="V_KEYWORD_EQTY_200004419_ACT4">#REF!</definedName>
    <definedName name="V_KEYWORD_EQTY_200004419_ACT5">#REF!</definedName>
    <definedName name="V_KEYWORD_EQTY_200004419_ACT6">#REF!</definedName>
    <definedName name="V_KEYWORD_EQTY_200004419_ACT7">#REF!</definedName>
    <definedName name="V_KEYWORD_EQTY_200004419_ACT8">#REF!</definedName>
    <definedName name="V_KEYWORD_EQTY_200004419_ACT9">#REF!</definedName>
    <definedName name="V_KEYWORD_EQTY_200004419_AMER_CONVICTION">#REF!</definedName>
    <definedName name="V_KEYWORD_EQTY_200004419_AMER_LIST">#REF!</definedName>
    <definedName name="V_KEYWORD_EQTY_200004419_BETA_ANALYST">#REF!</definedName>
    <definedName name="V_KEYWORD_EQTY_200004419_BVPS">#REF!</definedName>
    <definedName name="V_KEYWORD_EQTY_200004419_BVPS_PUB">#REF!</definedName>
    <definedName name="V_KEYWORD_EQTY_200004419_CEEE_EPS">#REF!</definedName>
    <definedName name="V_KEYWORD_EQTY_200004419_CF_NI_PRE_PREF">#REF!</definedName>
    <definedName name="V_KEYWORD_EQTY_200004419_COMMON_DIV_PAID">#REF!</definedName>
    <definedName name="V_KEYWORD_EQTY_200004419_CURRENCY_ISO">#REF!</definedName>
    <definedName name="V_KEYWORD_EQTY_200004419_DILUTE_SHARES">#REF!</definedName>
    <definedName name="V_KEYWORD_EQTY_200004419_DPS">#REF!</definedName>
    <definedName name="V_KEYWORD_EQTY_200004419_DPS_PUB">#REF!</definedName>
    <definedName name="V_KEYWORD_EQTY_200004419_EBIT_PUB">#REF!</definedName>
    <definedName name="V_KEYWORD_EQTY_200004419_EBITDA_PUB">#REF!</definedName>
    <definedName name="V_KEYWORD_EQTY_200004419_EPS">#REF!</definedName>
    <definedName name="V_KEYWORD_EQTY_200004419_EPS_EX_ESO_B">#REF!</definedName>
    <definedName name="V_KEYWORD_EQTY_200004419_EPS_EX_ESO_D">#REF!</definedName>
    <definedName name="V_KEYWORD_EQTY_200004419_EPS_FUL_DIL">#REF!</definedName>
    <definedName name="V_KEYWORD_EQTY_200004419_EPS_POST_BASIC">#REF!</definedName>
    <definedName name="V_KEYWORD_EQTY_200004419_EPS_PUB">#REF!</definedName>
    <definedName name="V_KEYWORD_EQTY_200004419_EPS_PUB_EX_ESO">#REF!</definedName>
    <definedName name="V_KEYWORD_EQTY_200004419_EQ_PUB">#REF!</definedName>
    <definedName name="V_KEYWORD_EQTY_200004419_ESO_POST_TAX">#REF!</definedName>
    <definedName name="V_KEYWORD_EQTY_200004419_ESO_YEAR">#REF!</definedName>
    <definedName name="V_KEYWORD_EQTY_200004419_EV_ADJ_PUB">#REF!</definedName>
    <definedName name="V_KEYWORD_EQTY_200004419_FREE_FLOAT">#REF!</definedName>
    <definedName name="V_KEYWORD_EQTY_200004419_FULLY_DIL_EPS">#REF!</definedName>
    <definedName name="V_KEYWORD_EQTY_200004419_FV_GRANT">#REF!</definedName>
    <definedName name="V_KEYWORD_EQTY_200004419_INC_MINORITY">#REF!</definedName>
    <definedName name="V_KEYWORD_EQTY_200004419_Interim_Type">#REF!</definedName>
    <definedName name="V_KEYWORD_EQTY_200004419_LEGAL_RATING">#REF!</definedName>
    <definedName name="V_KEYWORD_EQTY_200004419_MARGIN_TAX_RATE">#REF!</definedName>
    <definedName name="V_KEYWORD_EQTY_200004419_MKT_EQ_RISK_PREM">#REF!</definedName>
    <definedName name="V_KEYWORD_EQTY_200004419_NET_DEBT_PUB">#REF!</definedName>
    <definedName name="V_KEYWORD_EQTY_200004419_NET_EARNING">#REF!</definedName>
    <definedName name="V_KEYWORD_EQTY_200004419_NET_INC">#REF!</definedName>
    <definedName name="V_KEYWORD_EQTY_200004419_NI_PRE_PREF">#REF!</definedName>
    <definedName name="V_KEYWORD_EQTY_200004419_NI_PUB">#REF!</definedName>
    <definedName name="V_KEYWORD_EQTY_200004419_NON_OP_ADD">#REF!</definedName>
    <definedName name="V_KEYWORD_EQTY_200004419_NUM_SH">#REF!</definedName>
    <definedName name="V_KEYWORD_EQTY_200004419_PREF_DIV">#REF!</definedName>
    <definedName name="V_KEYWORD_EQTY_200004419_PRICE_CURRENCY_ISO">#REF!</definedName>
    <definedName name="V_KEYWORD_EQTY_200004419_PROV_INC_TAX">#REF!</definedName>
    <definedName name="V_KEYWORD_EQTY_200004419_PTP_PUB">#REF!</definedName>
    <definedName name="V_KEYWORD_EQTY_200004419_PUB_CURRENCY_ISO">#REF!</definedName>
    <definedName name="V_KEYWORD_EQTY_200004419_REPUR_ACTUAL">#REF!</definedName>
    <definedName name="V_KEYWORD_EQTY_200004419_REPUR_REMAINING">#REF!</definedName>
    <definedName name="V_KEYWORD_EQTY_200004419_REPUR_SUSPENDED">#REF!</definedName>
    <definedName name="V_KEYWORD_EQTY_200004419_REPUR_TOT_AUTH">#REF!</definedName>
    <definedName name="V_KEYWORD_EQTY_200004419_REVS_PUB">#REF!</definedName>
    <definedName name="V_KEYWORD_EQTY_200004419_RISK_FR_RATE">#REF!</definedName>
    <definedName name="V_KEYWORD_EQTY_200004419_Security_Name">#REF!</definedName>
    <definedName name="V_KEYWORD_EQTY_200004419_SH">#REF!</definedName>
    <definedName name="V_KEYWORD_EQTY_200004419_TARGET_PRICE">#REF!</definedName>
    <definedName name="V_KEYWORD_EQTY_200004419_TAX_EXC">#REF!</definedName>
    <definedName name="V_KEYWORD_EQTY_200004419_Ticker">#REF!</definedName>
    <definedName name="V_KEYWORD_EQTY_200004419_TP_PERIOD">#REF!</definedName>
    <definedName name="V_KEYWORD_EQTY_200012762_AMER_CONVICTION">#REF!</definedName>
    <definedName name="V_KEYWORD_EQTY_200012762_AMER_LIST">#REF!</definedName>
    <definedName name="V_KEYWORD_EQTY_200012762_BETA_ANALYST">#REF!</definedName>
    <definedName name="V_KEYWORD_EQTY_200012762_BVPS">#REF!</definedName>
    <definedName name="V_KEYWORD_EQTY_200012762_BVPS_PUB">#REF!</definedName>
    <definedName name="V_KEYWORD_EQTY_200012762_CEEE_EPS">#REF!</definedName>
    <definedName name="V_KEYWORD_EQTY_200012762_CF_NI_PRE_PREF">#REF!</definedName>
    <definedName name="V_KEYWORD_EQTY_200012762_COMMON_DIV_PAID">#REF!</definedName>
    <definedName name="V_KEYWORD_EQTY_200012762_CURRENCY_ISO">#REF!</definedName>
    <definedName name="V_KEYWORD_EQTY_200012762_DILUTE_SHARES">#REF!</definedName>
    <definedName name="V_KEYWORD_EQTY_200012762_DPS">#REF!</definedName>
    <definedName name="V_KEYWORD_EQTY_200012762_DPS_PUB">#REF!</definedName>
    <definedName name="V_KEYWORD_EQTY_200012762_EBIT_PUB">#REF!</definedName>
    <definedName name="V_KEYWORD_EQTY_200012762_EBITDA_PUB">#REF!</definedName>
    <definedName name="V_KEYWORD_EQTY_200012762_EPS">#REF!</definedName>
    <definedName name="V_KEYWORD_EQTY_200012762_EPS_EX_ESO_B">#REF!</definedName>
    <definedName name="V_KEYWORD_EQTY_200012762_EPS_EX_ESO_D">#REF!</definedName>
    <definedName name="V_KEYWORD_EQTY_200012762_EPS_FUL_DIL">#REF!</definedName>
    <definedName name="V_KEYWORD_EQTY_200012762_EPS_POST_BASIC">#REF!</definedName>
    <definedName name="V_KEYWORD_EQTY_200012762_EPS_PUB">#REF!</definedName>
    <definedName name="V_KEYWORD_EQTY_200012762_EPS_PUB_EX_ESO">#REF!</definedName>
    <definedName name="V_KEYWORD_EQTY_200012762_EQ_PUB">#REF!</definedName>
    <definedName name="V_KEYWORD_EQTY_200012762_ESO_POST_TAX">#REF!</definedName>
    <definedName name="V_KEYWORD_EQTY_200012762_ESO_YEAR">#REF!</definedName>
    <definedName name="V_KEYWORD_EQTY_200012762_EV_ADJ_PUB">#REF!</definedName>
    <definedName name="V_KEYWORD_EQTY_200012762_FREE_FLOAT">#REF!</definedName>
    <definedName name="V_KEYWORD_EQTY_200012762_FULLY_DIL_EPS">#REF!</definedName>
    <definedName name="V_KEYWORD_EQTY_200012762_FV_GRANT">#REF!</definedName>
    <definedName name="V_KEYWORD_EQTY_200012762_INC_MINORITY">#REF!</definedName>
    <definedName name="V_KEYWORD_EQTY_200012762_Interim_Type">#REF!</definedName>
    <definedName name="V_KEYWORD_EQTY_200012762_LEGAL_RATING">#REF!</definedName>
    <definedName name="V_KEYWORD_EQTY_200012762_MARGIN_TAX_RATE">#REF!</definedName>
    <definedName name="V_KEYWORD_EQTY_200012762_MKT_EQ_RISK_PREM">#REF!</definedName>
    <definedName name="V_KEYWORD_EQTY_200012762_NET_DEBT_PUB">#REF!</definedName>
    <definedName name="V_KEYWORD_EQTY_200012762_NET_EARNING">#REF!</definedName>
    <definedName name="V_KEYWORD_EQTY_200012762_NET_INC">#REF!</definedName>
    <definedName name="V_KEYWORD_EQTY_200012762_NI_PRE_PREF">#REF!</definedName>
    <definedName name="V_KEYWORD_EQTY_200012762_NI_PUB">#REF!</definedName>
    <definedName name="V_KEYWORD_EQTY_200012762_NON_OP_ADD">#REF!</definedName>
    <definedName name="V_KEYWORD_EQTY_200012762_NUM_SH">#REF!</definedName>
    <definedName name="V_KEYWORD_EQTY_200012762_PREF_DIV">#REF!</definedName>
    <definedName name="V_KEYWORD_EQTY_200012762_PRICE_CURRENCY_ISO">#REF!</definedName>
    <definedName name="V_KEYWORD_EQTY_200012762_PROV_INC_TAX">#REF!</definedName>
    <definedName name="V_KEYWORD_EQTY_200012762_PTP_PUB">#REF!</definedName>
    <definedName name="V_KEYWORD_EQTY_200012762_PUB_CURRENCY_ISO">#REF!</definedName>
    <definedName name="V_KEYWORD_EQTY_200012762_REPUR_ACTUAL">#REF!</definedName>
    <definedName name="V_KEYWORD_EQTY_200012762_REPUR_REMAINING">#REF!</definedName>
    <definedName name="V_KEYWORD_EQTY_200012762_REPUR_SUSPENDED">#REF!</definedName>
    <definedName name="V_KEYWORD_EQTY_200012762_REPUR_TOT_AUTH">#REF!</definedName>
    <definedName name="V_KEYWORD_EQTY_200012762_REVS_PUB">#REF!</definedName>
    <definedName name="V_KEYWORD_EQTY_200012762_RISK_FR_RATE">#REF!</definedName>
    <definedName name="V_KEYWORD_EQTY_200012762_Security_Name">#REF!</definedName>
    <definedName name="V_KEYWORD_EQTY_200012762_SH">#REF!</definedName>
    <definedName name="V_KEYWORD_EQTY_200012762_TARGET_PRICE">#REF!</definedName>
    <definedName name="V_KEYWORD_EQTY_200012762_TAX_EXC">#REF!</definedName>
    <definedName name="V_KEYWORD_EQTY_200012762_Ticker">#REF!</definedName>
    <definedName name="V_KEYWORD_EQTY_200012762_TP_PERIOD">#REF!</definedName>
    <definedName name="V_KEYWORD_ISSR_208000603_ACC_AMORT">#REF!</definedName>
    <definedName name="V_KEYWORD_ISSR_208000603_ACC_DDA">#REF!</definedName>
    <definedName name="V_KEYWORD_ISSR_208000603_ACC_END_DATE">#REF!</definedName>
    <definedName name="V_KEYWORD_ISSR_208000603_ACC_GW_AM">#REF!</definedName>
    <definedName name="V_KEYWORD_ISSR_208000603_ACC_PAY_GQ">#REF!</definedName>
    <definedName name="V_KEYWORD_ISSR_208000603_ACCUM_AMORT">#REF!</definedName>
    <definedName name="V_KEYWORD_ISSR_208000603_ACQ">#REF!</definedName>
    <definedName name="V_KEYWORD_ISSR_208000603_ADJ_UNF_PENS_GOOD">#REF!</definedName>
    <definedName name="V_KEYWORD_ISSR_208000603_ASSOC_JV_ADDBK">#REF!</definedName>
    <definedName name="V_KEYWORD_ISSR_208000603_ASSOCIATE">#REF!</definedName>
    <definedName name="V_KEYWORD_ISSR_208000603_ASSOCIATE_OP">#REF!</definedName>
    <definedName name="V_KEYWORD_ISSR_208000603_BAL_MINO_INT">#REF!</definedName>
    <definedName name="V_KEYWORD_ISSR_208000603_CAP_LEASES">#REF!</definedName>
    <definedName name="V_KEYWORD_ISSR_208000603_CAPEX">#REF!</definedName>
    <definedName name="V_KEYWORD_ISSR_208000603_CAPEX_EXPANSION">#REF!</definedName>
    <definedName name="V_KEYWORD_ISSR_208000603_CAPEX_MAINTENANCE">#REF!</definedName>
    <definedName name="V_KEYWORD_ISSR_208000603_CASH_EQ">#REF!</definedName>
    <definedName name="V_KEYWORD_ISSR_208000603_CASH_INT_EXP">#REF!</definedName>
    <definedName name="V_KEYWORD_ISSR_208000603_CASH_TAX_EXP">#REF!</definedName>
    <definedName name="V_KEYWORD_ISSR_208000603_CF_FIN">#REF!</definedName>
    <definedName name="V_KEYWORD_ISSR_208000603_CF_INC_MINORITY">#REF!</definedName>
    <definedName name="V_KEYWORD_ISSR_208000603_CF_INV">#REF!</definedName>
    <definedName name="V_KEYWORD_ISSR_208000603_CF_OPS">#REF!</definedName>
    <definedName name="V_KEYWORD_ISSR_208000603_CHG_LT_DEBT">#REF!</definedName>
    <definedName name="V_KEYWORD_ISSR_208000603_CO_BOR_MARGIN">#REF!</definedName>
    <definedName name="V_KEYWORD_ISSR_208000603_COST_GD_SD">#REF!</definedName>
    <definedName name="V_KEYWORD_ISSR_208000603_CUR_ASS">#REF!</definedName>
    <definedName name="V_KEYWORD_ISSR_208000603_CURRENCY_ISO">#REF!</definedName>
    <definedName name="V_KEYWORD_ISSR_208000603_DEBTORS">#REF!</definedName>
    <definedName name="V_KEYWORD_ISSR_208000603_DEF_INC_TAX">#REF!</definedName>
    <definedName name="V_KEYWORD_ISSR_208000603_DEPR_AMORT">#REF!</definedName>
    <definedName name="V_KEYWORD_ISSR_208000603_DEPREC">#REF!</definedName>
    <definedName name="V_KEYWORD_ISSR_208000603_DIV_PAID">#REF!</definedName>
    <definedName name="V_KEYWORD_ISSR_208000603_DIVDS_ASSOC_JV">#REF!</definedName>
    <definedName name="V_KEYWORD_ISSR_208000603_DIVDS_PD_MINORITIES">#REF!</definedName>
    <definedName name="V_KEYWORD_ISSR_208000603_DIVEST">#REF!</definedName>
    <definedName name="V_KEYWORD_ISSR_208000603_EBIT">#REF!</definedName>
    <definedName name="V_KEYWORD_ISSR_208000603_EBIT_FIN_SEGMENT">#REF!</definedName>
    <definedName name="V_KEYWORD_ISSR_208000603_EBITDA_CALC">#REF!</definedName>
    <definedName name="V_KEYWORD_ISSR_208000603_EMPLOYEES">#REF!</definedName>
    <definedName name="V_KEYWORD_ISSR_208000603_EQ">#REF!</definedName>
    <definedName name="V_KEYWORD_ISSR_208000603_ESO_PRE_TAX">#REF!</definedName>
    <definedName name="V_KEYWORD_ISSR_208000603_FIX_ASS_INV">#REF!</definedName>
    <definedName name="V_KEYWORD_ISSR_208000603_GCI_INFL">#REF!</definedName>
    <definedName name="V_KEYWORD_ISSR_208000603_GOODWILL_AMORT">#REF!</definedName>
    <definedName name="V_KEYWORD_ISSR_208000603_GR_FIX_ASS">#REF!</definedName>
    <definedName name="V_KEYWORD_ISSR_208000603_GR_INTANG">#REF!</definedName>
    <definedName name="V_KEYWORD_ISSR_208000603_GROSS_GW">#REF!</definedName>
    <definedName name="V_KEYWORD_ISSR_208000603_GROSS_OTH_INTANG">#REF!</definedName>
    <definedName name="V_KEYWORD_ISSR_208000603_GT_BLEND_ARPU_PC">#REF!</definedName>
    <definedName name="V_KEYWORD_ISSR_208000603_GT_BLEND_MOU">#REF!</definedName>
    <definedName name="V_KEYWORD_ISSR_208000603_GT_CAPEX_MOU">#REF!</definedName>
    <definedName name="V_KEYWORD_ISSR_208000603_GT_DSL_SUB">#REF!</definedName>
    <definedName name="V_KEYWORD_ISSR_208000603_GT_FIX_DATA_REV">#REF!</definedName>
    <definedName name="V_KEYWORD_ISSR_208000603_GT_FIX_VOICE_REV">#REF!</definedName>
    <definedName name="V_KEYWORD_ISSR_208000603_GT_LD_SUB">#REF!</definedName>
    <definedName name="V_KEYWORD_ISSR_208000603_GT_MOB_DATA_REV">#REF!</definedName>
    <definedName name="V_KEYWORD_ISSR_208000603_GT_MOB_VOICE_REV">#REF!</definedName>
    <definedName name="V_KEYWORD_ISSR_208000603_GT_OTH_CAPEX">#REF!</definedName>
    <definedName name="V_KEYWORD_ISSR_208000603_GT_OTH_REV">#REF!</definedName>
    <definedName name="V_KEYWORD_ISSR_208000603_GT_OTHER_REV">#REF!</definedName>
    <definedName name="V_KEYWORD_ISSR_208000603_GT_PAY_TV_REV">#REF!</definedName>
    <definedName name="V_KEYWORD_ISSR_208000603_GT_SERVC_REV">#REF!</definedName>
    <definedName name="V_KEYWORD_ISSR_208000603_GT_TOT_ACC_LINE">#REF!</definedName>
    <definedName name="V_KEYWORD_ISSR_208000603_GT_TOT_BUS_LINE">#REF!</definedName>
    <definedName name="V_KEYWORD_ISSR_208000603_GT_TOT_MINS">#REF!</definedName>
    <definedName name="V_KEYWORD_ISSR_208000603_GT_TOT_PPD_SUB_PC">#REF!</definedName>
    <definedName name="V_KEYWORD_ISSR_208000603_GT_TOT_RES_LINE">#REF!</definedName>
    <definedName name="V_KEYWORD_ISSR_208000603_GT_TOT_RET_LINE">#REF!</definedName>
    <definedName name="V_KEYWORD_ISSR_208000603_GT_Company2963_CAPEX">#REF!</definedName>
    <definedName name="V_KEYWORD_ISSR_208000603_GT_Company2963_REV">#REF!</definedName>
    <definedName name="V_KEYWORD_ISSR_208000603_GT_WRLS_ARPU">#REF!</definedName>
    <definedName name="V_KEYWORD_ISSR_208000603_GT_WRLS_CAPEX">#REF!</definedName>
    <definedName name="V_KEYWORD_ISSR_208000603_GT_WRLS_CHURN">#REF!</definedName>
    <definedName name="V_KEYWORD_ISSR_208000603_GT_WRLS_REV">#REF!</definedName>
    <definedName name="V_KEYWORD_ISSR_208000603_GT_WRLS_SUB">#REF!</definedName>
    <definedName name="V_KEYWORD_ISSR_208000603_INT_EXP_IND">#REF!</definedName>
    <definedName name="V_KEYWORD_ISSR_208000603_INT_INC_IND">#REF!</definedName>
    <definedName name="V_KEYWORD_ISSR_208000603_INT_PAID_CF">#REF!</definedName>
    <definedName name="V_KEYWORD_ISSR_208000603_INTANG_CAPEX">#REF!</definedName>
    <definedName name="V_KEYWORD_ISSR_208000603_INV_SECUR">#REF!</definedName>
    <definedName name="V_KEYWORD_ISSR_208000603_Issuer_Name">#REF!</definedName>
    <definedName name="V_KEYWORD_ISSR_208000603_LEASE_DEEM_DEPR">#REF!</definedName>
    <definedName name="V_KEYWORD_ISSR_208000603_LEASE_DEEM_INT">#REF!</definedName>
    <definedName name="V_KEYWORD_ISSR_208000603_LEASE_PAY">#REF!</definedName>
    <definedName name="V_KEYWORD_ISSR_208000603_LT_DEBT">#REF!</definedName>
    <definedName name="V_KEYWORD_ISSR_208000603_MA_PROB">#REF!</definedName>
    <definedName name="V_KEYWORD_ISSR_208000603_MINORITIES">#REF!</definedName>
    <definedName name="V_KEYWORD_ISSR_208000603_MV_ASSOCIATES">#REF!</definedName>
    <definedName name="V_KEYWORD_ISSR_208000603_NET_DEBT">#REF!</definedName>
    <definedName name="V_KEYWORD_ISSR_208000603_NET_DEBT_ADJ">#REF!</definedName>
    <definedName name="V_KEYWORD_ISSR_208000603_NET_FIX_ASS">#REF!</definedName>
    <definedName name="V_KEYWORD_ISSR_208000603_NET_GW">#REF!</definedName>
    <definedName name="V_KEYWORD_ISSR_208000603_NET_INT_CH">#REF!</definedName>
    <definedName name="V_KEYWORD_ISSR_208000603_NET_INT_EXP">#REF!</definedName>
    <definedName name="V_KEYWORD_ISSR_208000603_NET_INTANG">#REF!</definedName>
    <definedName name="V_KEYWORD_ISSR_208000603_NET_OTH_INTANG">#REF!</definedName>
    <definedName name="V_KEYWORD_ISSR_208000603_NONPPE_CAPEX">#REF!</definedName>
    <definedName name="V_KEYWORD_ISSR_208000603_OP_AUSTRA">#REF!</definedName>
    <definedName name="V_KEYWORD_ISSR_208000603_OP_AUSTRIA">#REF!</definedName>
    <definedName name="V_KEYWORD_ISSR_208000603_OP_COMPANY0377">#REF!</definedName>
    <definedName name="V_KEYWORD_ISSR_208000603_OP_BRAZIL">#REF!</definedName>
    <definedName name="V_KEYWORD_ISSR_208000603_OP_CANADA">#REF!</definedName>
    <definedName name="V_KEYWORD_ISSR_208000603_OP_CEE">#REF!</definedName>
    <definedName name="V_KEYWORD_ISSR_208000603_OP_CHINA">#REF!</definedName>
    <definedName name="V_KEYWORD_ISSR_208000603_OP_CONS">#REF!</definedName>
    <definedName name="V_KEYWORD_ISSR_208000603_OP_COST">#REF!</definedName>
    <definedName name="V_KEYWORD_ISSR_208000603_OP_DEN">#REF!</definedName>
    <definedName name="V_KEYWORD_ISSR_208000603_OP_EU_EX_UK">#REF!</definedName>
    <definedName name="V_KEYWORD_ISSR_208000603_OP_FIN">#REF!</definedName>
    <definedName name="V_KEYWORD_ISSR_208000603_OP_FRA">#REF!</definedName>
    <definedName name="V_KEYWORD_ISSR_208000603_OP_GER">#REF!</definedName>
    <definedName name="V_KEYWORD_ISSR_208000603_OP_GOV">#REF!</definedName>
    <definedName name="V_KEYWORD_ISSR_208000603_OP_GRE">#REF!</definedName>
    <definedName name="V_KEYWORD_ISSR_208000603_OP_ICE">#REF!</definedName>
    <definedName name="V_KEYWORD_ISSR_208000603_OP_IND">#REF!</definedName>
    <definedName name="V_KEYWORD_ISSR_208000603_OP_INDIA">#REF!</definedName>
    <definedName name="V_KEYWORD_ISSR_208000603_OP_IRE">#REF!</definedName>
    <definedName name="V_KEYWORD_ISSR_208000603_OP_ITA">#REF!</definedName>
    <definedName name="V_KEYWORD_ISSR_208000603_OP_JAPAN">#REF!</definedName>
    <definedName name="V_KEYWORD_ISSR_208000603_OP_ME">#REF!</definedName>
    <definedName name="V_KEYWORD_ISSR_208000603_OP_NETH">#REF!</definedName>
    <definedName name="V_KEYWORD_ISSR_208000603_OP_NOR">#REF!</definedName>
    <definedName name="V_KEYWORD_ISSR_208000603_OP_NZ">#REF!</definedName>
    <definedName name="V_KEYWORD_ISSR_208000603_OP_OTH_AEJ">#REF!</definedName>
    <definedName name="V_KEYWORD_ISSR_208000603_OP_OTH_AM">#REF!</definedName>
    <definedName name="V_KEYWORD_ISSR_208000603_OP_OTH_EMEA">#REF!</definedName>
    <definedName name="V_KEYWORD_ISSR_208000603_OP_OTHER">#REF!</definedName>
    <definedName name="V_KEYWORD_ISSR_208000603_OP_POR">#REF!</definedName>
    <definedName name="V_KEYWORD_ISSR_208000603_OP_RUSSIA">#REF!</definedName>
    <definedName name="V_KEYWORD_ISSR_208000603_OP_SK">#REF!</definedName>
    <definedName name="V_KEYWORD_ISSR_208000603_OP_SPA">#REF!</definedName>
    <definedName name="V_KEYWORD_ISSR_208000603_OP_SWE">#REF!</definedName>
    <definedName name="V_KEYWORD_ISSR_208000603_OP_SWIT">#REF!</definedName>
    <definedName name="V_KEYWORD_ISSR_208000603_OP_TOT_AM">#REF!</definedName>
    <definedName name="V_KEYWORD_ISSR_208000603_OP_TOT_ASIA">#REF!</definedName>
    <definedName name="V_KEYWORD_ISSR_208000603_OP_TOT_EMEA">#REF!</definedName>
    <definedName name="V_KEYWORD_ISSR_208000603_OP_UK">#REF!</definedName>
    <definedName name="V_KEYWORD_ISSR_208000603_OP_US">#REF!</definedName>
    <definedName name="V_KEYWORD_ISSR_208000603_ORD_SH_FUND">#REF!</definedName>
    <definedName name="V_KEYWORD_ISSR_208000603_OTH_COST_INC">#REF!</definedName>
    <definedName name="V_KEYWORD_ISSR_208000603_OTH_CUR_ASS">#REF!</definedName>
    <definedName name="V_KEYWORD_ISSR_208000603_OTH_CUR_LIABS">#REF!</definedName>
    <definedName name="V_KEYWORD_ISSR_208000603_OTH_DACF_ADJ">#REF!</definedName>
    <definedName name="V_KEYWORD_ISSR_208000603_OTH_FIN_CF">#REF!</definedName>
    <definedName name="V_KEYWORD_ISSR_208000603_OTH_GCI_ADJ">#REF!</definedName>
    <definedName name="V_KEYWORD_ISSR_208000603_OTH_INV_CF">#REF!</definedName>
    <definedName name="V_KEYWORD_ISSR_208000603_OTH_LT_ASS">#REF!</definedName>
    <definedName name="V_KEYWORD_ISSR_208000603_OTH_LT_CRED_GQ">#REF!</definedName>
    <definedName name="V_KEYWORD_ISSR_208000603_OTH_NONCASH_ADJ">#REF!</definedName>
    <definedName name="V_KEYWORD_ISSR_208000603_OTH_OP_CF">#REF!</definedName>
    <definedName name="V_KEYWORD_ISSR_208000603_OTH_OP_INC_EXP">#REF!</definedName>
    <definedName name="V_KEYWORD_ISSR_208000603_PERIOD_MILESTONE">#REF!</definedName>
    <definedName name="V_KEYWORD_ISSR_208000603_PL_SALE_ASSETS">#REF!</definedName>
    <definedName name="V_KEYWORD_ISSR_208000603_PPNT_FCF">#REF!</definedName>
    <definedName name="V_KEYWORD_ISSR_208000603_PREF_SH">#REF!</definedName>
    <definedName name="V_KEYWORD_ISSR_208000603_PROFIT_ON_DISP">#REF!</definedName>
    <definedName name="V_KEYWORD_ISSR_208000603_PT_PROF">#REF!</definedName>
    <definedName name="V_KEYWORD_ISSR_208000603_RD_EXP">#REF!</definedName>
    <definedName name="V_KEYWORD_ISSR_208000603_REV_FIN_SEGMENT">#REF!</definedName>
    <definedName name="V_KEYWORD_ISSR_208000603_SALES">#REF!</definedName>
    <definedName name="V_KEYWORD_ISSR_208000603_SALES_AUSTRA">#REF!</definedName>
    <definedName name="V_KEYWORD_ISSR_208000603_SALES_AUSTRIA">#REF!</definedName>
    <definedName name="V_KEYWORD_ISSR_208000603_SALES_COMPANY0377">#REF!</definedName>
    <definedName name="V_KEYWORD_ISSR_208000603_SALES_BRAZIL">#REF!</definedName>
    <definedName name="V_KEYWORD_ISSR_208000603_SALES_CANADA">#REF!</definedName>
    <definedName name="V_KEYWORD_ISSR_208000603_SALES_CEE">#REF!</definedName>
    <definedName name="V_KEYWORD_ISSR_208000603_SALES_CHINA">#REF!</definedName>
    <definedName name="V_KEYWORD_ISSR_208000603_SALES_CONS">#REF!</definedName>
    <definedName name="V_KEYWORD_ISSR_208000603_SALES_DEN">#REF!</definedName>
    <definedName name="V_KEYWORD_ISSR_208000603_SALES_EU_EX_UK">#REF!</definedName>
    <definedName name="V_KEYWORD_ISSR_208000603_SALES_FIN">#REF!</definedName>
    <definedName name="V_KEYWORD_ISSR_208000603_SALES_FINAN">#REF!</definedName>
    <definedName name="V_KEYWORD_ISSR_208000603_SALES_FRA">#REF!</definedName>
    <definedName name="V_KEYWORD_ISSR_208000603_SALES_GER">#REF!</definedName>
    <definedName name="V_KEYWORD_ISSR_208000603_SALES_GOV">#REF!</definedName>
    <definedName name="V_KEYWORD_ISSR_208000603_SALES_GRE">#REF!</definedName>
    <definedName name="V_KEYWORD_ISSR_208000603_SALES_ICE">#REF!</definedName>
    <definedName name="V_KEYWORD_ISSR_208000603_SALES_IND">#REF!</definedName>
    <definedName name="V_KEYWORD_ISSR_208000603_SALES_INDIA">#REF!</definedName>
    <definedName name="V_KEYWORD_ISSR_208000603_SALES_IRE">#REF!</definedName>
    <definedName name="V_KEYWORD_ISSR_208000603_SALES_ITA">#REF!</definedName>
    <definedName name="V_KEYWORD_ISSR_208000603_SALES_JAPAN">#REF!</definedName>
    <definedName name="V_KEYWORD_ISSR_208000603_SALES_ME">#REF!</definedName>
    <definedName name="V_KEYWORD_ISSR_208000603_SALES_NETH">#REF!</definedName>
    <definedName name="V_KEYWORD_ISSR_208000603_SALES_NOR">#REF!</definedName>
    <definedName name="V_KEYWORD_ISSR_208000603_SALES_NZ">#REF!</definedName>
    <definedName name="V_KEYWORD_ISSR_208000603_SALES_OTH_AEJ">#REF!</definedName>
    <definedName name="V_KEYWORD_ISSR_208000603_SALES_OTH_AM">#REF!</definedName>
    <definedName name="V_KEYWORD_ISSR_208000603_SALES_OTH_EMEA">#REF!</definedName>
    <definedName name="V_KEYWORD_ISSR_208000603_SALES_OTHER">#REF!</definedName>
    <definedName name="V_KEYWORD_ISSR_208000603_SALES_POR">#REF!</definedName>
    <definedName name="V_KEYWORD_ISSR_208000603_SALES_RUSSIA">#REF!</definedName>
    <definedName name="V_KEYWORD_ISSR_208000603_SALES_SK">#REF!</definedName>
    <definedName name="V_KEYWORD_ISSR_208000603_SALES_SMB">#REF!</definedName>
    <definedName name="V_KEYWORD_ISSR_208000603_SALES_SPA">#REF!</definedName>
    <definedName name="V_KEYWORD_ISSR_208000603_SALES_SWE">#REF!</definedName>
    <definedName name="V_KEYWORD_ISSR_208000603_SALES_SWIT">#REF!</definedName>
    <definedName name="V_KEYWORD_ISSR_208000603_SALES_TOT_AM">#REF!</definedName>
    <definedName name="V_KEYWORD_ISSR_208000603_SALES_TOT_ASIA">#REF!</definedName>
    <definedName name="V_KEYWORD_ISSR_208000603_SALES_TOT_EMEA">#REF!</definedName>
    <definedName name="V_KEYWORD_ISSR_208000603_SALES_UK">#REF!</definedName>
    <definedName name="V_KEYWORD_ISSR_208000603_SALES_US">#REF!</definedName>
    <definedName name="V_KEYWORD_ISSR_208000603_SEL_GL_AD">#REF!</definedName>
    <definedName name="V_KEYWORD_ISSR_208000603_SH_REPUR">#REF!</definedName>
    <definedName name="V_KEYWORD_ISSR_208000603_SHORT_T_DEBT">#REF!</definedName>
    <definedName name="V_KEYWORD_ISSR_208000603_SHORT_TERM_LIABS">#REF!</definedName>
    <definedName name="V_KEYWORD_ISSR_208000603_STOCKS">#REF!</definedName>
    <definedName name="V_KEYWORD_ISSR_208000603_TANG_CAPEX">#REF!</definedName>
    <definedName name="V_KEYWORD_ISSR_208000603_TAX_PAID_CF">#REF!</definedName>
    <definedName name="V_KEYWORD_ISSR_208000603_TOT_ASSET">#REF!</definedName>
    <definedName name="V_KEYWORD_ISSR_208000603_TOT_CF">#REF!</definedName>
    <definedName name="V_KEYWORD_ISSR_208000603_TOT_LIAB">#REF!</definedName>
    <definedName name="V_KEYWORD_ISSR_208000603_TOT_LIAB_EQ">#REF!</definedName>
    <definedName name="V_KEYWORD_ISSR_208000603_TOT_LT_LIAB">#REF!</definedName>
    <definedName name="V_KEYWORD_ISSR_208000603_TOT_OPS_EXP">#REF!</definedName>
    <definedName name="V_KEYWORD_ISSR_208000603_TOT_OPS_EXP_DDA">#REF!</definedName>
    <definedName name="V_KEYWORD_ISSR_208000603_UNF_PENS">#REF!</definedName>
    <definedName name="V_KEYWORD_ISSR_208000603_UNF_PENS_LIAB_OTH">#REF!</definedName>
    <definedName name="V_KEYWORD_ISSR_208000603_UNF_PENS_OFF">#REF!</definedName>
    <definedName name="V_KEYWORD_ISSR_208000603_WORK_CAP">#REF!</definedName>
    <definedName name="V_KEYWORD_ISSR_208001048_ORG_REV_GRTH">#REF!</definedName>
    <definedName name="V_KEYWORD_ISSR_208001258_ACC_AMORT">#REF!</definedName>
    <definedName name="V_KEYWORD_ISSR_208001258_ACC_DDA">#REF!</definedName>
    <definedName name="V_KEYWORD_ISSR_208001258_ACC_END_DATE">#REF!</definedName>
    <definedName name="V_KEYWORD_ISSR_208001258_ACC_PAY_GQ">#REF!</definedName>
    <definedName name="V_KEYWORD_ISSR_208001258_ACQ">#REF!</definedName>
    <definedName name="V_KEYWORD_ISSR_208001258_ADJ_UNF_PENS_GOOD">#REF!</definedName>
    <definedName name="V_KEYWORD_ISSR_208001258_ASSOC_JV_ADDBK">#REF!</definedName>
    <definedName name="V_KEYWORD_ISSR_208001258_ASSOCIATE">#REF!</definedName>
    <definedName name="V_KEYWORD_ISSR_208001258_ASSOCIATE_OP">#REF!</definedName>
    <definedName name="V_KEYWORD_ISSR_208001258_BAL_MINO_INT">#REF!</definedName>
    <definedName name="V_KEYWORD_ISSR_208001258_CAP_LEASES">#REF!</definedName>
    <definedName name="V_KEYWORD_ISSR_208001258_CAPEX">#REF!</definedName>
    <definedName name="V_KEYWORD_ISSR_208001258_CAPEX_EXPANSION">#REF!</definedName>
    <definedName name="V_KEYWORD_ISSR_208001258_CAPEX_MAINTENANCE">#REF!</definedName>
    <definedName name="V_KEYWORD_ISSR_208001258_CASH_EQ">#REF!</definedName>
    <definedName name="V_KEYWORD_ISSR_208001258_CASH_INT_EXP">#REF!</definedName>
    <definedName name="V_KEYWORD_ISSR_208001258_CASH_PCT_OS_US">#REF!</definedName>
    <definedName name="V_KEYWORD_ISSR_208001258_CASH_TAX_EXP">#REF!</definedName>
    <definedName name="V_KEYWORD_ISSR_208001258_CF_FIN">#REF!</definedName>
    <definedName name="V_KEYWORD_ISSR_208001258_CF_INC_MINORITY">#REF!</definedName>
    <definedName name="V_KEYWORD_ISSR_208001258_CF_INV">#REF!</definedName>
    <definedName name="V_KEYWORD_ISSR_208001258_CF_OPS">#REF!</definedName>
    <definedName name="V_KEYWORD_ISSR_208001258_CHG_LT_DEBT">#REF!</definedName>
    <definedName name="V_KEYWORD_ISSR_208001258_CO_BOR_MARGIN">#REF!</definedName>
    <definedName name="V_KEYWORD_ISSR_208001258_COST_GD_SD">#REF!</definedName>
    <definedName name="V_KEYWORD_ISSR_208001258_CUR_ASS">#REF!</definedName>
    <definedName name="V_KEYWORD_ISSR_208001258_CURRENCY_ISO">#REF!</definedName>
    <definedName name="V_KEYWORD_ISSR_208001258_DEBTORS">#REF!</definedName>
    <definedName name="V_KEYWORD_ISSR_208001258_DEF_INC_TAX">#REF!</definedName>
    <definedName name="V_KEYWORD_ISSR_208001258_DEPR_AMORT">#REF!</definedName>
    <definedName name="V_KEYWORD_ISSR_208001258_DEPREC">#REF!</definedName>
    <definedName name="V_KEYWORD_ISSR_208001258_DIV_PAID">#REF!</definedName>
    <definedName name="V_KEYWORD_ISSR_208001258_DIVDS_ASSOC_JV">#REF!</definedName>
    <definedName name="V_KEYWORD_ISSR_208001258_DIVDS_PD_MINORITIES">#REF!</definedName>
    <definedName name="V_KEYWORD_ISSR_208001258_DIVEST">#REF!</definedName>
    <definedName name="V_KEYWORD_ISSR_208001258_EBIT">#REF!</definedName>
    <definedName name="V_KEYWORD_ISSR_208001258_EBIT_FIN_SEGMENT">#REF!</definedName>
    <definedName name="V_KEYWORD_ISSR_208001258_EBITDA_CALC">#REF!</definedName>
    <definedName name="V_KEYWORD_ISSR_208001258_EMPLOYEES">#REF!</definedName>
    <definedName name="V_KEYWORD_ISSR_208001258_EQ">#REF!</definedName>
    <definedName name="V_KEYWORD_ISSR_208001258_ESO_PRE_TAX">#REF!</definedName>
    <definedName name="V_KEYWORD_ISSR_208001258_EXP_ALUMINIUM">#REF!</definedName>
    <definedName name="V_KEYWORD_ISSR_208001258_EXP_COPPER">#REF!</definedName>
    <definedName name="V_KEYWORD_ISSR_208001258_EXP_GLASS">#REF!</definedName>
    <definedName name="V_KEYWORD_ISSR_208001258_EXP_GOLD">#REF!</definedName>
    <definedName name="V_KEYWORD_ISSR_208001258_EXP_NICKEL">#REF!</definedName>
    <definedName name="V_KEYWORD_ISSR_208001258_EXP_OIL_DERIV_NGLS_PLASTICS">#REF!</definedName>
    <definedName name="V_KEYWORD_ISSR_208001258_EXP_OIL_PETRO_FUEL">#REF!</definedName>
    <definedName name="V_KEYWORD_ISSR_208001258_EXP_OTH_COMMODITY">#REF!</definedName>
    <definedName name="V_KEYWORD_ISSR_208001258_EXP_OTH_COST">#REF!</definedName>
    <definedName name="V_KEYWORD_ISSR_208001258_EXP_PALLADIUM">#REF!</definedName>
    <definedName name="V_KEYWORD_ISSR_208001258_EXP_PAPER_PULP">#REF!</definedName>
    <definedName name="V_KEYWORD_ISSR_208001258_EXP_PLATINUM">#REF!</definedName>
    <definedName name="V_KEYWORD_ISSR_208001258_EXP_SILVER">#REF!</definedName>
    <definedName name="V_KEYWORD_ISSR_208001258_EXP_WATER">#REF!</definedName>
    <definedName name="V_KEYWORD_ISSR_208001258_EXP_Company3050">#REF!</definedName>
    <definedName name="V_KEYWORD_ISSR_208001258_FIX_ASS_INV">#REF!</definedName>
    <definedName name="V_KEYWORD_ISSR_208001258_GCI_INFL">#REF!</definedName>
    <definedName name="V_KEYWORD_ISSR_208001258_GOODWILL_AMORT">#REF!</definedName>
    <definedName name="V_KEYWORD_ISSR_208001258_GR_FIX_ASS">#REF!</definedName>
    <definedName name="V_KEYWORD_ISSR_208001258_GR_INTANG">#REF!</definedName>
    <definedName name="V_KEYWORD_ISSR_208001258_INT_EXP_IND">#REF!</definedName>
    <definedName name="V_KEYWORD_ISSR_208001258_INT_INC_IND">#REF!</definedName>
    <definedName name="V_KEYWORD_ISSR_208001258_INV_SECUR">#REF!</definedName>
    <definedName name="V_KEYWORD_ISSR_208001258_Issuer_Name">#REF!</definedName>
    <definedName name="V_KEYWORD_ISSR_208001258_LEASE_DEEM_DEPR">#REF!</definedName>
    <definedName name="V_KEYWORD_ISSR_208001258_LEASE_DEEM_INT">#REF!</definedName>
    <definedName name="V_KEYWORD_ISSR_208001258_LEASE_PAY">#REF!</definedName>
    <definedName name="V_KEYWORD_ISSR_208001258_LT_DEBT">#REF!</definedName>
    <definedName name="V_KEYWORD_ISSR_208001258_MA_PROB">#REF!</definedName>
    <definedName name="V_KEYWORD_ISSR_208001258_MINORITIES">#REF!</definedName>
    <definedName name="V_KEYWORD_ISSR_208001258_MV_ASSOCIATES">#REF!</definedName>
    <definedName name="V_KEYWORD_ISSR_208001258_NET_DEBT">#REF!</definedName>
    <definedName name="V_KEYWORD_ISSR_208001258_NET_DEBT_ADJ">#REF!</definedName>
    <definedName name="V_KEYWORD_ISSR_208001258_NET_FIX_ASS">#REF!</definedName>
    <definedName name="V_KEYWORD_ISSR_208001258_NET_INT_CH">#REF!</definedName>
    <definedName name="V_KEYWORD_ISSR_208001258_NET_INT_EXP">#REF!</definedName>
    <definedName name="V_KEYWORD_ISSR_208001258_NET_INTANG">#REF!</definedName>
    <definedName name="V_KEYWORD_ISSR_208001258_NONPPE_CAPEX">#REF!</definedName>
    <definedName name="V_KEYWORD_ISSR_208001258_OP_COST">#REF!</definedName>
    <definedName name="V_KEYWORD_ISSR_208001258_ORD_SH_FUND">#REF!</definedName>
    <definedName name="V_KEYWORD_ISSR_208001258_ORG_REV_GRTH">#REF!</definedName>
    <definedName name="V_KEYWORD_ISSR_208001258_OTH_COST_INC">#REF!</definedName>
    <definedName name="V_KEYWORD_ISSR_208001258_OTH_CUR_ASS">#REF!</definedName>
    <definedName name="V_KEYWORD_ISSR_208001258_OTH_CUR_LIABS">#REF!</definedName>
    <definedName name="V_KEYWORD_ISSR_208001258_OTH_DACF_ADJ">#REF!</definedName>
    <definedName name="V_KEYWORD_ISSR_208001258_OTH_FIN_CF">#REF!</definedName>
    <definedName name="V_KEYWORD_ISSR_208001258_OTH_GCI_ADJ">#REF!</definedName>
    <definedName name="V_KEYWORD_ISSR_208001258_OTH_INV_CF">#REF!</definedName>
    <definedName name="V_KEYWORD_ISSR_208001258_OTH_LT_ASS">#REF!</definedName>
    <definedName name="V_KEYWORD_ISSR_208001258_OTH_LT_CRED_GQ">#REF!</definedName>
    <definedName name="V_KEYWORD_ISSR_208001258_OTH_NONCASH_ADJ">#REF!</definedName>
    <definedName name="V_KEYWORD_ISSR_208001258_OTH_OP_CF">#REF!</definedName>
    <definedName name="V_KEYWORD_ISSR_208001258_OTH_OP_INC_EXP">#REF!</definedName>
    <definedName name="V_KEYWORD_ISSR_208001258_PERIOD_MILESTONE">#REF!</definedName>
    <definedName name="V_KEYWORD_ISSR_208001258_PL_SALE_ASSETS">#REF!</definedName>
    <definedName name="V_KEYWORD_ISSR_208001258_PREF_SH">#REF!</definedName>
    <definedName name="V_KEYWORD_ISSR_208001258_PROFIT_ON_DISP">#REF!</definedName>
    <definedName name="V_KEYWORD_ISSR_208001258_PT_PROF">#REF!</definedName>
    <definedName name="V_KEYWORD_ISSR_208001258_RD_EXP">#REF!</definedName>
    <definedName name="V_KEYWORD_ISSR_208001258_REV_FIN_SEGMENT">#REF!</definedName>
    <definedName name="V_KEYWORD_ISSR_208001258_SALES">#REF!</definedName>
    <definedName name="V_KEYWORD_ISSR_208001258_SALES_ARGENTINA">#REF!</definedName>
    <definedName name="V_KEYWORD_ISSR_208001258_SALES_BRAZIL">#REF!</definedName>
    <definedName name="V_KEYWORD_ISSR_208001258_SALES_CANADA">#REF!</definedName>
    <definedName name="V_KEYWORD_ISSR_208001258_SALES_CEE">#REF!</definedName>
    <definedName name="V_KEYWORD_ISSR_208001258_SALES_CHILE">#REF!</definedName>
    <definedName name="V_KEYWORD_ISSR_208001258_SALES_CHINA">#REF!</definedName>
    <definedName name="V_KEYWORD_ISSR_208001258_SALES_COLOMBIA">#REF!</definedName>
    <definedName name="V_KEYWORD_ISSR_208001258_SALES_CONS">#REF!</definedName>
    <definedName name="V_KEYWORD_ISSR_208001258_SALES_EU_EX_UK">#REF!</definedName>
    <definedName name="V_KEYWORD_ISSR_208001258_SALES_FINAN">#REF!</definedName>
    <definedName name="V_KEYWORD_ISSR_208001258_SALES_FX_ARS">#REF!</definedName>
    <definedName name="V_KEYWORD_ISSR_208001258_SALES_FX_BRL">#REF!</definedName>
    <definedName name="V_KEYWORD_ISSR_208001258_SALES_FX_CAD">#REF!</definedName>
    <definedName name="V_KEYWORD_ISSR_208001258_SALES_FX_CLP">#REF!</definedName>
    <definedName name="V_KEYWORD_ISSR_208001258_SALES_FX_CNY">#REF!</definedName>
    <definedName name="V_KEYWORD_ISSR_208001258_SALES_FX_COP">#REF!</definedName>
    <definedName name="V_KEYWORD_ISSR_208001258_SALES_FX_EUR">#REF!</definedName>
    <definedName name="V_KEYWORD_ISSR_208001258_SALES_FX_GPB">#REF!</definedName>
    <definedName name="V_KEYWORD_ISSR_208001258_SALES_FX_INR">#REF!</definedName>
    <definedName name="V_KEYWORD_ISSR_208001258_SALES_FX_MXN">#REF!</definedName>
    <definedName name="V_KEYWORD_ISSR_208001258_SALES_FX_OTH">#REF!</definedName>
    <definedName name="V_KEYWORD_ISSR_208001258_SALES_FX_RUB">#REF!</definedName>
    <definedName name="V_KEYWORD_ISSR_208001258_SALES_FX_USD">#REF!</definedName>
    <definedName name="V_KEYWORD_ISSR_208001258_SALES_FX_VEF">#REF!</definedName>
    <definedName name="V_KEYWORD_ISSR_208001258_SALES_FX_YEN">#REF!</definedName>
    <definedName name="V_KEYWORD_ISSR_208001258_SALES_GOV">#REF!</definedName>
    <definedName name="V_KEYWORD_ISSR_208001258_SALES_IND">#REF!</definedName>
    <definedName name="V_KEYWORD_ISSR_208001258_SALES_INDIA">#REF!</definedName>
    <definedName name="V_KEYWORD_ISSR_208001258_SALES_JAPAN">#REF!</definedName>
    <definedName name="V_KEYWORD_ISSR_208001258_SALES_ME">#REF!</definedName>
    <definedName name="V_KEYWORD_ISSR_208001258_SALES_MEXICO">#REF!</definedName>
    <definedName name="V_KEYWORD_ISSR_208001258_SALES_OTH_AEJ">#REF!</definedName>
    <definedName name="V_KEYWORD_ISSR_208001258_SALES_OTH_AM">#REF!</definedName>
    <definedName name="V_KEYWORD_ISSR_208001258_SALES_OTH_EMEA">#REF!</definedName>
    <definedName name="V_KEYWORD_ISSR_208001258_SALES_OTHER">#REF!</definedName>
    <definedName name="V_KEYWORD_ISSR_208001258_SALES_RUSSIA">#REF!</definedName>
    <definedName name="V_KEYWORD_ISSR_208001258_SALES_SMB">#REF!</definedName>
    <definedName name="V_KEYWORD_ISSR_208001258_SALES_TOT_AFRICA">#REF!</definedName>
    <definedName name="V_KEYWORD_ISSR_208001258_SALES_TOT_AM">#REF!</definedName>
    <definedName name="V_KEYWORD_ISSR_208001258_SALES_TOT_ASIA">#REF!</definedName>
    <definedName name="V_KEYWORD_ISSR_208001258_SALES_TOT_EMEA">#REF!</definedName>
    <definedName name="V_KEYWORD_ISSR_208001258_SALES_UK">#REF!</definedName>
    <definedName name="V_KEYWORD_ISSR_208001258_SALES_US">#REF!</definedName>
    <definedName name="V_KEYWORD_ISSR_208001258_SALES_VENEZUELA">#REF!</definedName>
    <definedName name="V_KEYWORD_ISSR_208001258_SEL_GL_AD">#REF!</definedName>
    <definedName name="V_KEYWORD_ISSR_208001258_SH_REPUR">#REF!</definedName>
    <definedName name="V_KEYWORD_ISSR_208001258_SHORT_T_DEBT">#REF!</definedName>
    <definedName name="V_KEYWORD_ISSR_208001258_SHORT_TERM_LIABS">#REF!</definedName>
    <definedName name="V_KEYWORD_ISSR_208001258_STOCKS">#REF!</definedName>
    <definedName name="V_KEYWORD_ISSR_208001258_TOT_ASSET">#REF!</definedName>
    <definedName name="V_KEYWORD_ISSR_208001258_TOT_CF">#REF!</definedName>
    <definedName name="V_KEYWORD_ISSR_208001258_TOT_LIAB">#REF!</definedName>
    <definedName name="V_KEYWORD_ISSR_208001258_TOT_LIAB_EQ">#REF!</definedName>
    <definedName name="V_KEYWORD_ISSR_208001258_TOT_LT_LIAB">#REF!</definedName>
    <definedName name="V_KEYWORD_ISSR_208001258_TOT_OPS_EXP">#REF!</definedName>
    <definedName name="V_KEYWORD_ISSR_208001258_TOT_OPS_EXP_DDA">#REF!</definedName>
    <definedName name="V_KEYWORD_ISSR_208001258_UNF_PENS">#REF!</definedName>
    <definedName name="V_KEYWORD_ISSR_208001258_UNF_PENS_LIAB_OTH">#REF!</definedName>
    <definedName name="V_KEYWORD_ISSR_208001258_UNF_PENS_OFF">#REF!</definedName>
    <definedName name="V_KEYWORD_ISSR_208001258_WORK_CAP">#REF!</definedName>
    <definedName name="V_KEYWORD_ISSR_208009722_ACC_AMORT">#REF!</definedName>
    <definedName name="V_KEYWORD_ISSR_208009722_ACC_DDA">#REF!</definedName>
    <definedName name="V_KEYWORD_ISSR_208009722_ACC_END_DATE">#REF!</definedName>
    <definedName name="V_KEYWORD_ISSR_208009722_ACC_PAY_GQ">#REF!</definedName>
    <definedName name="V_KEYWORD_ISSR_208009722_ACQ">#REF!</definedName>
    <definedName name="V_KEYWORD_ISSR_208009722_ADJ_UNF_PENS_GOOD">#REF!</definedName>
    <definedName name="V_KEYWORD_ISSR_208009722_ASSOC_JV_ADDBK">#REF!</definedName>
    <definedName name="V_KEYWORD_ISSR_208009722_ASSOCIATE">#REF!</definedName>
    <definedName name="V_KEYWORD_ISSR_208009722_ASSOCIATE_OP">#REF!</definedName>
    <definedName name="V_KEYWORD_ISSR_208009722_BAL_MINO_INT">#REF!</definedName>
    <definedName name="V_KEYWORD_ISSR_208009722_CAP_LEASES">#REF!</definedName>
    <definedName name="V_KEYWORD_ISSR_208009722_CAPEX">#REF!</definedName>
    <definedName name="V_KEYWORD_ISSR_208009722_CAPEX_EXPANSION">#REF!</definedName>
    <definedName name="V_KEYWORD_ISSR_208009722_CAPEX_MAINTENANCE">#REF!</definedName>
    <definedName name="V_KEYWORD_ISSR_208009722_CASH_EQ">#REF!</definedName>
    <definedName name="V_KEYWORD_ISSR_208009722_CASH_INT_EXP">#REF!</definedName>
    <definedName name="V_KEYWORD_ISSR_208009722_CASH_TAX_EXP">#REF!</definedName>
    <definedName name="V_KEYWORD_ISSR_208009722_CF_FIN">#REF!</definedName>
    <definedName name="V_KEYWORD_ISSR_208009722_CF_INC_MINORITY">#REF!</definedName>
    <definedName name="V_KEYWORD_ISSR_208009722_CF_INV">#REF!</definedName>
    <definedName name="V_KEYWORD_ISSR_208009722_CF_OPS">#REF!</definedName>
    <definedName name="V_KEYWORD_ISSR_208009722_CHG_LT_DEBT">#REF!</definedName>
    <definedName name="V_KEYWORD_ISSR_208009722_CO_BOR_MARGIN">#REF!</definedName>
    <definedName name="V_KEYWORD_ISSR_208009722_COST_GD_SD">#REF!</definedName>
    <definedName name="V_KEYWORD_ISSR_208009722_CUR_ASS">#REF!</definedName>
    <definedName name="V_KEYWORD_ISSR_208009722_CURRENCY_ISO">#REF!</definedName>
    <definedName name="V_KEYWORD_ISSR_208009722_DEBTORS">#REF!</definedName>
    <definedName name="V_KEYWORD_ISSR_208009722_DEF_INC_TAX">#REF!</definedName>
    <definedName name="V_KEYWORD_ISSR_208009722_DEPR_AMORT">#REF!</definedName>
    <definedName name="V_KEYWORD_ISSR_208009722_DEPREC">#REF!</definedName>
    <definedName name="V_KEYWORD_ISSR_208009722_DIV_PAID">#REF!</definedName>
    <definedName name="V_KEYWORD_ISSR_208009722_DIVDS_ASSOC_JV">#REF!</definedName>
    <definedName name="V_KEYWORD_ISSR_208009722_DIVDS_PD_MINORITIES">#REF!</definedName>
    <definedName name="V_KEYWORD_ISSR_208009722_DIVEST">#REF!</definedName>
    <definedName name="V_KEYWORD_ISSR_208009722_EBIT">#REF!</definedName>
    <definedName name="V_KEYWORD_ISSR_208009722_EBIT_FIN_SEGMENT">#REF!</definedName>
    <definedName name="V_KEYWORD_ISSR_208009722_EBITDA_CALC">#REF!</definedName>
    <definedName name="V_KEYWORD_ISSR_208009722_EMPLOYEES">#REF!</definedName>
    <definedName name="V_KEYWORD_ISSR_208009722_EQ">#REF!</definedName>
    <definedName name="V_KEYWORD_ISSR_208009722_ESO_PRE_TAX">#REF!</definedName>
    <definedName name="V_KEYWORD_ISSR_208009722_FIX_ASS_INV">#REF!</definedName>
    <definedName name="V_KEYWORD_ISSR_208009722_GCI_INFL">#REF!</definedName>
    <definedName name="V_KEYWORD_ISSR_208009722_GOODWILL_AMORT">#REF!</definedName>
    <definedName name="V_KEYWORD_ISSR_208009722_GR_FIX_ASS">#REF!</definedName>
    <definedName name="V_KEYWORD_ISSR_208009722_GR_INTANG">#REF!</definedName>
    <definedName name="V_KEYWORD_ISSR_208009722_INT_EXP_IND">#REF!</definedName>
    <definedName name="V_KEYWORD_ISSR_208009722_INT_INC_IND">#REF!</definedName>
    <definedName name="V_KEYWORD_ISSR_208009722_INV_SECUR">#REF!</definedName>
    <definedName name="V_KEYWORD_ISSR_208009722_Issuer_Name">#REF!</definedName>
    <definedName name="V_KEYWORD_ISSR_208009722_LEASE_DEEM_DEPR">#REF!</definedName>
    <definedName name="V_KEYWORD_ISSR_208009722_LEASE_DEEM_INT">#REF!</definedName>
    <definedName name="V_KEYWORD_ISSR_208009722_LEASE_PAY">#REF!</definedName>
    <definedName name="V_KEYWORD_ISSR_208009722_LT_DEBT">#REF!</definedName>
    <definedName name="V_KEYWORD_ISSR_208009722_MA_PROB">#REF!</definedName>
    <definedName name="V_KEYWORD_ISSR_208009722_MINORITIES">#REF!</definedName>
    <definedName name="V_KEYWORD_ISSR_208009722_MV_ASSOCIATES">#REF!</definedName>
    <definedName name="V_KEYWORD_ISSR_208009722_NET_DEBT">#REF!</definedName>
    <definedName name="V_KEYWORD_ISSR_208009722_NET_DEBT_ADJ">#REF!</definedName>
    <definedName name="V_KEYWORD_ISSR_208009722_NET_FIX_ASS">#REF!</definedName>
    <definedName name="V_KEYWORD_ISSR_208009722_NET_INT_CH">#REF!</definedName>
    <definedName name="V_KEYWORD_ISSR_208009722_NET_INT_EXP">#REF!</definedName>
    <definedName name="V_KEYWORD_ISSR_208009722_NET_INTANG">#REF!</definedName>
    <definedName name="V_KEYWORD_ISSR_208009722_NONPPE_CAPEX">#REF!</definedName>
    <definedName name="V_KEYWORD_ISSR_208009722_OP_AUSTRA">#REF!</definedName>
    <definedName name="V_KEYWORD_ISSR_208009722_OP_AUSTRIA">#REF!</definedName>
    <definedName name="V_KEYWORD_ISSR_208009722_OP_COMPANY0377">#REF!</definedName>
    <definedName name="V_KEYWORD_ISSR_208009722_OP_BRAZIL">#REF!</definedName>
    <definedName name="V_KEYWORD_ISSR_208009722_OP_CANADA">#REF!</definedName>
    <definedName name="V_KEYWORD_ISSR_208009722_OP_CEE">#REF!</definedName>
    <definedName name="V_KEYWORD_ISSR_208009722_OP_CHINA">#REF!</definedName>
    <definedName name="V_KEYWORD_ISSR_208009722_OP_CONS">#REF!</definedName>
    <definedName name="V_KEYWORD_ISSR_208009722_OP_COST">#REF!</definedName>
    <definedName name="V_KEYWORD_ISSR_208009722_OP_DEN">#REF!</definedName>
    <definedName name="V_KEYWORD_ISSR_208009722_OP_EU_EX_UK">#REF!</definedName>
    <definedName name="V_KEYWORD_ISSR_208009722_OP_FIN">#REF!</definedName>
    <definedName name="V_KEYWORD_ISSR_208009722_OP_FRA">#REF!</definedName>
    <definedName name="V_KEYWORD_ISSR_208009722_OP_GER">#REF!</definedName>
    <definedName name="V_KEYWORD_ISSR_208009722_OP_GOV">#REF!</definedName>
    <definedName name="V_KEYWORD_ISSR_208009722_OP_GRE">#REF!</definedName>
    <definedName name="V_KEYWORD_ISSR_208009722_OP_ICE">#REF!</definedName>
    <definedName name="V_KEYWORD_ISSR_208009722_OP_IND">#REF!</definedName>
    <definedName name="V_KEYWORD_ISSR_208009722_OP_INDIA">#REF!</definedName>
    <definedName name="V_KEYWORD_ISSR_208009722_OP_IRE">#REF!</definedName>
    <definedName name="V_KEYWORD_ISSR_208009722_OP_ITA">#REF!</definedName>
    <definedName name="V_KEYWORD_ISSR_208009722_OP_JAPAN">#REF!</definedName>
    <definedName name="V_KEYWORD_ISSR_208009722_OP_ME">#REF!</definedName>
    <definedName name="V_KEYWORD_ISSR_208009722_OP_NETH">#REF!</definedName>
    <definedName name="V_KEYWORD_ISSR_208009722_OP_NOR">#REF!</definedName>
    <definedName name="V_KEYWORD_ISSR_208009722_OP_NZ">#REF!</definedName>
    <definedName name="V_KEYWORD_ISSR_208009722_OP_OTH_AEJ">#REF!</definedName>
    <definedName name="V_KEYWORD_ISSR_208009722_OP_OTH_AM">#REF!</definedName>
    <definedName name="V_KEYWORD_ISSR_208009722_OP_OTH_EMEA">#REF!</definedName>
    <definedName name="V_KEYWORD_ISSR_208009722_OP_OTHER">#REF!</definedName>
    <definedName name="V_KEYWORD_ISSR_208009722_OP_POR">#REF!</definedName>
    <definedName name="V_KEYWORD_ISSR_208009722_OP_RUSSIA">#REF!</definedName>
    <definedName name="V_KEYWORD_ISSR_208009722_OP_SK">#REF!</definedName>
    <definedName name="V_KEYWORD_ISSR_208009722_OP_SPA">#REF!</definedName>
    <definedName name="V_KEYWORD_ISSR_208009722_OP_SWE">#REF!</definedName>
    <definedName name="V_KEYWORD_ISSR_208009722_OP_SWIT">#REF!</definedName>
    <definedName name="V_KEYWORD_ISSR_208009722_OP_TOT_AM">#REF!</definedName>
    <definedName name="V_KEYWORD_ISSR_208009722_OP_TOT_ASIA">#REF!</definedName>
    <definedName name="V_KEYWORD_ISSR_208009722_OP_TOT_EMEA">#REF!</definedName>
    <definedName name="V_KEYWORD_ISSR_208009722_OP_UK">#REF!</definedName>
    <definedName name="V_KEYWORD_ISSR_208009722_OP_US">#REF!</definedName>
    <definedName name="V_KEYWORD_ISSR_208009722_ORD_SH_FUND">#REF!</definedName>
    <definedName name="V_KEYWORD_ISSR_208009722_ORG_REV_GRTH">#REF!</definedName>
    <definedName name="V_KEYWORD_ISSR_208009722_OTH_COST_INC">#REF!</definedName>
    <definedName name="V_KEYWORD_ISSR_208009722_OTH_CUR_ASS">#REF!</definedName>
    <definedName name="V_KEYWORD_ISSR_208009722_OTH_CUR_LIABS">#REF!</definedName>
    <definedName name="V_KEYWORD_ISSR_208009722_OTH_DACF_ADJ">#REF!</definedName>
    <definedName name="V_KEYWORD_ISSR_208009722_OTH_FIN_CF">#REF!</definedName>
    <definedName name="V_KEYWORD_ISSR_208009722_OTH_GCI_ADJ">#REF!</definedName>
    <definedName name="V_KEYWORD_ISSR_208009722_OTH_INV_CF">#REF!</definedName>
    <definedName name="V_KEYWORD_ISSR_208009722_OTH_LT_ASS">#REF!</definedName>
    <definedName name="V_KEYWORD_ISSR_208009722_OTH_LT_CRED_GQ">#REF!</definedName>
    <definedName name="V_KEYWORD_ISSR_208009722_OTH_NONCASH_ADJ">#REF!</definedName>
    <definedName name="V_KEYWORD_ISSR_208009722_OTH_OP_CF">#REF!</definedName>
    <definedName name="V_KEYWORD_ISSR_208009722_OTH_OP_INC_EXP">#REF!</definedName>
    <definedName name="V_KEYWORD_ISSR_208009722_PERIOD_MILESTONE">#REF!</definedName>
    <definedName name="V_KEYWORD_ISSR_208009722_PL_SALE_ASSETS">#REF!</definedName>
    <definedName name="V_KEYWORD_ISSR_208009722_PREF_SH">#REF!</definedName>
    <definedName name="V_KEYWORD_ISSR_208009722_PROFIT_ON_DISP">#REF!</definedName>
    <definedName name="V_KEYWORD_ISSR_208009722_PT_PROF">#REF!</definedName>
    <definedName name="V_KEYWORD_ISSR_208009722_RD_EXP">#REF!</definedName>
    <definedName name="V_KEYWORD_ISSR_208009722_REV_FIN_SEGMENT">#REF!</definedName>
    <definedName name="V_KEYWORD_ISSR_208009722_SALES">#REF!</definedName>
    <definedName name="V_KEYWORD_ISSR_208009722_SALES_AUSTRA">#REF!</definedName>
    <definedName name="V_KEYWORD_ISSR_208009722_SALES_AUSTRIA">#REF!</definedName>
    <definedName name="V_KEYWORD_ISSR_208009722_SALES_COMPANY0377">#REF!</definedName>
    <definedName name="V_KEYWORD_ISSR_208009722_SALES_BRAZIL">#REF!</definedName>
    <definedName name="V_KEYWORD_ISSR_208009722_SALES_CANADA">#REF!</definedName>
    <definedName name="V_KEYWORD_ISSR_208009722_SALES_CEE">#REF!</definedName>
    <definedName name="V_KEYWORD_ISSR_208009722_SALES_CHINA">#REF!</definedName>
    <definedName name="V_KEYWORD_ISSR_208009722_SALES_CONS">#REF!</definedName>
    <definedName name="V_KEYWORD_ISSR_208009722_SALES_DEN">#REF!</definedName>
    <definedName name="V_KEYWORD_ISSR_208009722_SALES_EU_EX_UK">#REF!</definedName>
    <definedName name="V_KEYWORD_ISSR_208009722_SALES_FIN">#REF!</definedName>
    <definedName name="V_KEYWORD_ISSR_208009722_SALES_FINAN">#REF!</definedName>
    <definedName name="V_KEYWORD_ISSR_208009722_SALES_FRA">#REF!</definedName>
    <definedName name="V_KEYWORD_ISSR_208009722_SALES_GER">#REF!</definedName>
    <definedName name="V_KEYWORD_ISSR_208009722_SALES_GOV">#REF!</definedName>
    <definedName name="V_KEYWORD_ISSR_208009722_SALES_GRE">#REF!</definedName>
    <definedName name="V_KEYWORD_ISSR_208009722_SALES_ICE">#REF!</definedName>
    <definedName name="V_KEYWORD_ISSR_208009722_SALES_IND">#REF!</definedName>
    <definedName name="V_KEYWORD_ISSR_208009722_SALES_INDIA">#REF!</definedName>
    <definedName name="V_KEYWORD_ISSR_208009722_SALES_IRE">#REF!</definedName>
    <definedName name="V_KEYWORD_ISSR_208009722_SALES_ITA">#REF!</definedName>
    <definedName name="V_KEYWORD_ISSR_208009722_SALES_JAPAN">#REF!</definedName>
    <definedName name="V_KEYWORD_ISSR_208009722_SALES_ME">#REF!</definedName>
    <definedName name="V_KEYWORD_ISSR_208009722_SALES_NETH">#REF!</definedName>
    <definedName name="V_KEYWORD_ISSR_208009722_SALES_NOR">#REF!</definedName>
    <definedName name="V_KEYWORD_ISSR_208009722_SALES_NZ">#REF!</definedName>
    <definedName name="V_KEYWORD_ISSR_208009722_SALES_OTH_AEJ">#REF!</definedName>
    <definedName name="V_KEYWORD_ISSR_208009722_SALES_OTH_AM">#REF!</definedName>
    <definedName name="V_KEYWORD_ISSR_208009722_SALES_OTH_EMEA">#REF!</definedName>
    <definedName name="V_KEYWORD_ISSR_208009722_SALES_OTHER">#REF!</definedName>
    <definedName name="V_KEYWORD_ISSR_208009722_SALES_POR">#REF!</definedName>
    <definedName name="V_KEYWORD_ISSR_208009722_SALES_RUSSIA">#REF!</definedName>
    <definedName name="V_KEYWORD_ISSR_208009722_SALES_SK">#REF!</definedName>
    <definedName name="V_KEYWORD_ISSR_208009722_SALES_SMB">#REF!</definedName>
    <definedName name="V_KEYWORD_ISSR_208009722_SALES_SPA">#REF!</definedName>
    <definedName name="V_KEYWORD_ISSR_208009722_SALES_SWE">#REF!</definedName>
    <definedName name="V_KEYWORD_ISSR_208009722_SALES_SWIT">#REF!</definedName>
    <definedName name="V_KEYWORD_ISSR_208009722_SALES_TOT_AM">#REF!</definedName>
    <definedName name="V_KEYWORD_ISSR_208009722_SALES_TOT_ASIA">#REF!</definedName>
    <definedName name="V_KEYWORD_ISSR_208009722_SALES_TOT_EMEA">#REF!</definedName>
    <definedName name="V_KEYWORD_ISSR_208009722_SALES_UK">#REF!</definedName>
    <definedName name="V_KEYWORD_ISSR_208009722_SALES_US">#REF!</definedName>
    <definedName name="V_KEYWORD_ISSR_208009722_SEL_GL_AD">#REF!</definedName>
    <definedName name="V_KEYWORD_ISSR_208009722_SH_REPUR">#REF!</definedName>
    <definedName name="V_KEYWORD_ISSR_208009722_SHORT_T_DEBT">#REF!</definedName>
    <definedName name="V_KEYWORD_ISSR_208009722_SHORT_TERM_LIABS">#REF!</definedName>
    <definedName name="V_KEYWORD_ISSR_208009722_STOCKS">#REF!</definedName>
    <definedName name="V_KEYWORD_ISSR_208009722_TOT_ASSET">#REF!</definedName>
    <definedName name="V_KEYWORD_ISSR_208009722_TOT_CF">#REF!</definedName>
    <definedName name="V_KEYWORD_ISSR_208009722_TOT_LIAB">#REF!</definedName>
    <definedName name="V_KEYWORD_ISSR_208009722_TOT_LIAB_EQ">#REF!</definedName>
    <definedName name="V_KEYWORD_ISSR_208009722_TOT_LT_LIAB">#REF!</definedName>
    <definedName name="V_KEYWORD_ISSR_208009722_TOT_OPS_EXP">#REF!</definedName>
    <definedName name="V_KEYWORD_ISSR_208009722_TOT_OPS_EXP_DDA">#REF!</definedName>
    <definedName name="V_KEYWORD_ISSR_208009722_UNF_PENS">#REF!</definedName>
    <definedName name="V_KEYWORD_ISSR_208009722_UNF_PENS_LIAB_OTH">#REF!</definedName>
    <definedName name="V_KEYWORD_ISSR_208009722_UNF_PENS_OFF">#REF!</definedName>
    <definedName name="V_KEYWORD_ISSR_208009722_WORK_CAP">#REF!</definedName>
    <definedName name="V_LIVEDATA_EQTY_200001646">#REF!</definedName>
    <definedName name="V_LIVEDATA_EQTY_200004419">#REF!</definedName>
    <definedName name="V_LIVEDATA_EQTY_200012762">#REF!</definedName>
    <definedName name="V_LIVEDATA_ISSR_208000603">#REF!</definedName>
    <definedName name="V_LIVEDATA_ISSR_208001258">#REF!</definedName>
    <definedName name="V_LIVEDATA_ISSR_208009722">#REF!</definedName>
    <definedName name="V_PERIOD_2002">#REF!</definedName>
    <definedName name="V_PERIOD_2003">#REF!</definedName>
    <definedName name="V_PERIOD_2003_Q1">#REF!</definedName>
    <definedName name="V_PERIOD_2003_Q2">#REF!</definedName>
    <definedName name="V_PERIOD_2003_Q3">#REF!</definedName>
    <definedName name="V_PERIOD_2003_Q4">#REF!</definedName>
    <definedName name="V_PERIOD_2004">#REF!</definedName>
    <definedName name="V_PERIOD_2004_Q1">#REF!</definedName>
    <definedName name="V_PERIOD_2004_Q2">#REF!</definedName>
    <definedName name="V_PERIOD_2004_Q3">#REF!</definedName>
    <definedName name="V_PERIOD_2004_Q4">#REF!</definedName>
    <definedName name="V_PERIOD_2005">#REF!</definedName>
    <definedName name="V_PERIOD_2005_Q1">#REF!</definedName>
    <definedName name="V_PERIOD_2005_Q2">#REF!</definedName>
    <definedName name="V_PERIOD_2005_Q3">#REF!</definedName>
    <definedName name="V_PERIOD_2005_Q4">#REF!</definedName>
    <definedName name="V_PERIOD_2006_Q1">#REF!</definedName>
    <definedName name="V_PERIOD_2006_Q2">#REF!</definedName>
    <definedName name="V_PERIOD_2006_Q3">#REF!</definedName>
    <definedName name="V_PERIOD_2006_Q4">#REF!</definedName>
    <definedName name="V_SECTION_EQTY_200001646_1314">#REF!</definedName>
    <definedName name="V_SECTION_EQTY_200001646_1319">#REF!</definedName>
    <definedName name="V_SECTION_EQTY_200001646_131E">#REF!</definedName>
    <definedName name="V_SECTION_EQTY_200001646_131O">#REF!</definedName>
    <definedName name="V_SECTION_EQTY_200001646_131P">#REF!</definedName>
    <definedName name="V_SECTION_EQTY_200001646_13A">#REF!</definedName>
    <definedName name="V_SECTION_EQTY_200001646_13K">#REF!</definedName>
    <definedName name="V_SECTION_EQTY_200001646_13U">#REF!</definedName>
    <definedName name="V_SECTION_EQTY_200001646_13V">#REF!</definedName>
    <definedName name="V_SECTION_EQTY_200001646_13W">#REF!</definedName>
    <definedName name="V_SECTION_EQTY_200001646_Reference_Data">#REF!</definedName>
    <definedName name="V_SECTION_EQTY_200004419_1314">#REF!</definedName>
    <definedName name="V_SECTION_EQTY_200004419_1319">#REF!</definedName>
    <definedName name="V_SECTION_EQTY_200004419_131E">#REF!</definedName>
    <definedName name="V_SECTION_EQTY_200004419_131O">#REF!</definedName>
    <definedName name="V_SECTION_EQTY_200004419_13A">#REF!</definedName>
    <definedName name="V_SECTION_EQTY_200004419_13K">#REF!</definedName>
    <definedName name="V_SECTION_EQTY_200004419_13U">#REF!</definedName>
    <definedName name="V_SECTION_EQTY_200004419_13V">#REF!</definedName>
    <definedName name="V_SECTION_EQTY_200004419_13W">#REF!</definedName>
    <definedName name="V_SECTION_EQTY_200004419_Reference_Data">#REF!</definedName>
    <definedName name="V_SECTION_EQTY_200012762_1314">#REF!</definedName>
    <definedName name="V_SECTION_EQTY_200012762_1319">#REF!</definedName>
    <definedName name="V_SECTION_EQTY_200012762_131E">#REF!</definedName>
    <definedName name="V_SECTION_EQTY_200012762_131O">#REF!</definedName>
    <definedName name="V_SECTION_EQTY_200012762_13A">#REF!</definedName>
    <definedName name="V_SECTION_EQTY_200012762_13K">#REF!</definedName>
    <definedName name="V_SECTION_EQTY_200012762_13U">#REF!</definedName>
    <definedName name="V_SECTION_EQTY_200012762_13V">#REF!</definedName>
    <definedName name="V_SECTION_EQTY_200012762_13W">#REF!</definedName>
    <definedName name="V_SECTION_EQTY_200012762_Reference_Data">#REF!</definedName>
    <definedName name="V_SECTION_ISSR_208000603_1314">#REF!</definedName>
    <definedName name="V_SECTION_ISSR_208000603_13168">#REF!</definedName>
    <definedName name="V_SECTION_ISSR_208000603_1319">#REF!</definedName>
    <definedName name="V_SECTION_ISSR_208000603_131E">#REF!</definedName>
    <definedName name="V_SECTION_ISSR_208000603_131J">#REF!</definedName>
    <definedName name="V_SECTION_ISSR_208000603_131O">#REF!</definedName>
    <definedName name="V_SECTION_ISSR_208000603_131P">#REF!</definedName>
    <definedName name="V_SECTION_ISSR_208000603_13A">#REF!</definedName>
    <definedName name="V_SECTION_ISSR_208000603_13U">#REF!</definedName>
    <definedName name="V_SECTION_ISSR_208000603_13V">#REF!</definedName>
    <definedName name="V_SECTION_ISSR_208000603_Reference_Data">#REF!</definedName>
    <definedName name="V_SECTION_ISSR_208001258_1314">#REF!</definedName>
    <definedName name="V_SECTION_ISSR_208001258_13168">#REF!</definedName>
    <definedName name="V_SECTION_ISSR_208001258_1316T">#REF!</definedName>
    <definedName name="V_SECTION_ISSR_208001258_1316U">#REF!</definedName>
    <definedName name="V_SECTION_ISSR_208001258_1319">#REF!</definedName>
    <definedName name="V_SECTION_ISSR_208001258_131E">#REF!</definedName>
    <definedName name="V_SECTION_ISSR_208001258_131J">#REF!</definedName>
    <definedName name="V_SECTION_ISSR_208001258_131O">#REF!</definedName>
    <definedName name="V_SECTION_ISSR_208001258_13A">#REF!</definedName>
    <definedName name="V_SECTION_ISSR_208001258_13U">#REF!</definedName>
    <definedName name="V_SECTION_ISSR_208001258_13V">#REF!</definedName>
    <definedName name="V_SECTION_ISSR_208001258_Reference_Data">#REF!</definedName>
    <definedName name="V_SECTION_ISSR_208009722_1314">#REF!</definedName>
    <definedName name="V_SECTION_ISSR_208009722_13168">#REF!</definedName>
    <definedName name="V_SECTION_ISSR_208009722_1319">#REF!</definedName>
    <definedName name="V_SECTION_ISSR_208009722_131E">#REF!</definedName>
    <definedName name="V_SECTION_ISSR_208009722_131J">#REF!</definedName>
    <definedName name="V_SECTION_ISSR_208009722_131O">#REF!</definedName>
    <definedName name="V_SECTION_ISSR_208009722_13A">#REF!</definedName>
    <definedName name="V_SECTION_ISSR_208009722_13U">#REF!</definedName>
    <definedName name="V_SECTION_ISSR_208009722_13V">#REF!</definedName>
    <definedName name="V_SECTION_ISSR_208009722_Reference_Data">#REF!</definedName>
    <definedName name="VA_Metric">OFFSET(#REF!,0,0,COUNTA(#REF!)-1)</definedName>
    <definedName name="VAConsenusWorkbook">#REF!</definedName>
    <definedName name="VALID_FORMATS">#REF!</definedName>
    <definedName name="Valuation">#REF!</definedName>
    <definedName name="ValuationDate">#REF!</definedName>
    <definedName name="Value_of_Equity">#REF!</definedName>
    <definedName name="Value_of_Firm">#REF!</definedName>
    <definedName name="Value_of_Unconsol._Subs">#REF!</definedName>
    <definedName name="Value_per_share">#REF!</definedName>
    <definedName name="values_are_primary">#REF!</definedName>
    <definedName name="VendorRankPCShipments">#REF!</definedName>
    <definedName name="VendorRankPhoneShipments">#REF!</definedName>
    <definedName name="VendorRankUMTShipments">#REF!</definedName>
    <definedName name="Version">#REF!</definedName>
    <definedName name="Version.WIRE">1</definedName>
    <definedName name="Vertical">#REF!</definedName>
    <definedName name="Vesting_Period">#REF!</definedName>
    <definedName name="VideoMarket">#REF!</definedName>
    <definedName name="Company2869_AdjustedEV">#REF!</definedName>
    <definedName name="Company2869_AssociatesMinorities">#REF!</definedName>
    <definedName name="Company2869_LTMSGA">#REF!</definedName>
    <definedName name="Company2869_UnleveredFCF">#REF!</definedName>
    <definedName name="VOLUME">#REF!</definedName>
    <definedName name="vshchg">#REF!</definedName>
    <definedName name="vshcrpe">#REF!</definedName>
    <definedName name="vshcurr">#REF!</definedName>
    <definedName name="vshdate">#REF!</definedName>
    <definedName name="vshdown">#REF!</definedName>
    <definedName name="vshdownsup">#REF!</definedName>
    <definedName name="vshevebitda">#REF!</definedName>
    <definedName name="vshffqpeavg">#REF!</definedName>
    <definedName name="vshffqpecurr">#REF!</definedName>
    <definedName name="vshfy1cons">#REF!</definedName>
    <definedName name="vshfy2cons">#REF!</definedName>
    <definedName name="vshhi">#REF!</definedName>
    <definedName name="vshhilo">#REF!</definedName>
    <definedName name="vshlow">#REF!</definedName>
    <definedName name="vshmktcap">#REF!</definedName>
    <definedName name="vshpe1">#REF!</definedName>
    <definedName name="vshpe2">#REF!</definedName>
    <definedName name="vshpegrowthavg">#REF!</definedName>
    <definedName name="vshpegrowthcurr">#REF!</definedName>
    <definedName name="vshpegrowthhi">#REF!</definedName>
    <definedName name="vshpegrowthlow">#REF!</definedName>
    <definedName name="vshperelavg">#REF!</definedName>
    <definedName name="vshperelcurr">#REF!</definedName>
    <definedName name="vshprice">#REF!</definedName>
    <definedName name="vshrpe">#REF!</definedName>
    <definedName name="vshshares">#REF!</definedName>
    <definedName name="vshtprice">#REF!</definedName>
    <definedName name="vshttmavg">#REF!</definedName>
    <definedName name="vshttmcurr">#REF!</definedName>
    <definedName name="vshttmhi">#REF!</definedName>
    <definedName name="vshttmlow">#REF!</definedName>
    <definedName name="vshttmrelavg">#REF!</definedName>
    <definedName name="vshttmrelcurr">#REF!</definedName>
    <definedName name="vshttmrelcurr\">#REF!</definedName>
    <definedName name="vshttmrelhi">#REF!</definedName>
    <definedName name="vshttmrellow">#REF!</definedName>
    <definedName name="vshup">#REF!</definedName>
    <definedName name="vshupsup">#REF!</definedName>
    <definedName name="vshvol">#REF!</definedName>
    <definedName name="vshyield">#REF!</definedName>
    <definedName name="Company2914_Convert">#REF!</definedName>
    <definedName name="Company2889_1yrEPS">#REF!</definedName>
    <definedName name="Company2889_2yrEPS">#REF!</definedName>
    <definedName name="Company2889_52HIGH">#REF!</definedName>
    <definedName name="Company2889_5YRGROWTH">#REF!</definedName>
    <definedName name="Company2889_PRICE">#REF!</definedName>
    <definedName name="w" hidden="1">{"IS",#N/A,FALSE,"IS";"RPTIS",#N/A,FALSE,"RPTIS";"STATS",#N/A,FALSE,"STATS";"CELL",#N/A,FALSE,"CELL";"BS",#N/A,FALSE,"BS"}</definedName>
    <definedName name="WACC">#REF!</definedName>
    <definedName name="WACC_1">#REF!</definedName>
    <definedName name="WACC_10">#REF!</definedName>
    <definedName name="WACC_11">#REF!</definedName>
    <definedName name="WACC_12">#REF!</definedName>
    <definedName name="WACC_13">#REF!</definedName>
    <definedName name="WACC_14">#REF!</definedName>
    <definedName name="WACC_2">#REF!</definedName>
    <definedName name="WACC_3">#REF!</definedName>
    <definedName name="WACC_4">#REF!</definedName>
    <definedName name="WACC_5">#REF!</definedName>
    <definedName name="WACC_6">#REF!</definedName>
    <definedName name="WACC_7">#REF!</definedName>
    <definedName name="WACC_8">#REF!</definedName>
    <definedName name="WACC_9">#REF!</definedName>
    <definedName name="wacc_bus">#REF!</definedName>
    <definedName name="wacc_cons">#REF!</definedName>
    <definedName name="WACC_fore">#REF!</definedName>
    <definedName name="WACC_P">#REF!</definedName>
    <definedName name="WACC_P_1">#REF!</definedName>
    <definedName name="WACC_P_10">#REF!</definedName>
    <definedName name="WACC_P_11">#REF!</definedName>
    <definedName name="WACC_P_12">#REF!</definedName>
    <definedName name="WACC_P_13">#REF!</definedName>
    <definedName name="WACC_P_14">#REF!</definedName>
    <definedName name="WACC_P_2">#REF!</definedName>
    <definedName name="WACC_P_3">#REF!</definedName>
    <definedName name="WACC_P_4">#REF!</definedName>
    <definedName name="WACC_P_5">#REF!</definedName>
    <definedName name="WACC_P_6">#REF!</definedName>
    <definedName name="WACC_P_7">#REF!</definedName>
    <definedName name="WACC_P_8">#REF!</definedName>
    <definedName name="WACC_P_9">#REF!</definedName>
    <definedName name="wcom" hidden="1">{"IS",#N/A,FALSE,"IS";"RPTIS",#N/A,FALSE,"RPTIS";"STATS",#N/A,FALSE,"STATS";"BS",#N/A,FALSE,"BS"}</definedName>
    <definedName name="WCOM_1yrEPS">#REF!</definedName>
    <definedName name="WCOM_2yrEPS">#REF!</definedName>
    <definedName name="WCOM_52high">#REF!</definedName>
    <definedName name="WCOM_5YRGROWTH">#REF!</definedName>
    <definedName name="WCOM_96EPS">#REF!</definedName>
    <definedName name="WCOM_97EPS">#REF!</definedName>
    <definedName name="WCOM_98EPS">#REF!</definedName>
    <definedName name="wcom_g">#REF!</definedName>
    <definedName name="wcom_is">#REF!</definedName>
    <definedName name="WCOM_LTMSGA">#REF!</definedName>
    <definedName name="WCOM_plant">#REF!</definedName>
    <definedName name="WCOM_price">#REF!</definedName>
    <definedName name="wcom_tracker">#REF!</definedName>
    <definedName name="Company2928_print">#REF!</definedName>
    <definedName name="Company2929_print">#REF!</definedName>
    <definedName name="Company2930_print">#REF!</definedName>
    <definedName name="Wdays">#REF!</definedName>
    <definedName name="weeks_in_qtr">#REF!</definedName>
    <definedName name="weeks_in_year">#REF!</definedName>
    <definedName name="westernrpice">#REF!</definedName>
    <definedName name="westernshares">#REF!</definedName>
    <definedName name="wgtd_shares">#REF!</definedName>
    <definedName name="What_Currency">#REF!</definedName>
    <definedName name="White_Box">#REF!</definedName>
    <definedName name="WholeTable">#REF!</definedName>
    <definedName name="WIZARD_DATEOFSUBMISSION">#REF!</definedName>
    <definedName name="WIZARD_EARNINGS">#REF!</definedName>
    <definedName name="WIZARD_MARKETCAP">#REF!</definedName>
    <definedName name="WIZARD_NETCASHPERSHARE">#REF!</definedName>
    <definedName name="WIZARD_REVENUES">#REF!</definedName>
    <definedName name="WIZARD_ROAE">#REF!</definedName>
    <definedName name="WIZARD_SECULARGROWTHRATE">#REF!</definedName>
    <definedName name="WIZARD_SHARESOUTSTANDING">#REF!</definedName>
    <definedName name="WIZARD_TICKER">#REF!</definedName>
    <definedName name="WIZARD_Y1CAPREVR">#REF!</definedName>
    <definedName name="WIZARD_Y1E">#REF!</definedName>
    <definedName name="WIZARD_Y1PEE">#REF!</definedName>
    <definedName name="WIZARD_Y1Q1E">#REF!</definedName>
    <definedName name="WIZARD_Y1Q1R">#REF!</definedName>
    <definedName name="WIZARD_Y1Q2E">#REF!</definedName>
    <definedName name="WIZARD_Y1Q2R">#REF!</definedName>
    <definedName name="WIZARD_Y1Q3E">#REF!</definedName>
    <definedName name="WIZARD_Y1Q3R">#REF!</definedName>
    <definedName name="WIZARD_Y1Q4E">#REF!</definedName>
    <definedName name="WIZARD_Y1Q4R">#REF!</definedName>
    <definedName name="WIZARD_Y1R">#REF!</definedName>
    <definedName name="WIZARD_Y1YEARE">#REF!</definedName>
    <definedName name="WIZARD_Y1YEARR">#REF!</definedName>
    <definedName name="WIZARD_Y2CAPREVR">#REF!</definedName>
    <definedName name="WIZARD_Y2E">#REF!</definedName>
    <definedName name="WIZARD_Y2PEE">#REF!</definedName>
    <definedName name="WIZARD_Y2Q1E">#REF!</definedName>
    <definedName name="WIZARD_Y2Q1R">#REF!</definedName>
    <definedName name="WIZARD_Y2Q2E">#REF!</definedName>
    <definedName name="WIZARD_Y2Q2R">#REF!</definedName>
    <definedName name="WIZARD_Y2Q3E">#REF!</definedName>
    <definedName name="WIZARD_Y2Q3R">#REF!</definedName>
    <definedName name="WIZARD_Y2Q4E">#REF!</definedName>
    <definedName name="WIZARD_Y2Q4R">#REF!</definedName>
    <definedName name="WIZARD_Y2R">#REF!</definedName>
    <definedName name="WIZARD_Y2YEARE">#REF!</definedName>
    <definedName name="WIZARD_Y2YEARR">#REF!</definedName>
    <definedName name="WIZARD_Y3CAPREVR">#REF!</definedName>
    <definedName name="WIZARD_Y3E">#REF!</definedName>
    <definedName name="WIZARD_Y3PEE">#REF!</definedName>
    <definedName name="WIZARD_Y3Q1E">#REF!</definedName>
    <definedName name="WIZARD_Y3Q1R">#REF!</definedName>
    <definedName name="WIZARD_Y3Q2E">#REF!</definedName>
    <definedName name="WIZARD_Y3Q2R">#REF!</definedName>
    <definedName name="WIZARD_Y3Q3E">#REF!</definedName>
    <definedName name="WIZARD_Y3Q3R">#REF!</definedName>
    <definedName name="WIZARD_Y3Q4E">#REF!</definedName>
    <definedName name="WIZARD_Y3Q4R">#REF!</definedName>
    <definedName name="WIZARD_Y3R">#REF!</definedName>
    <definedName name="WIZARD_Y3YEARE">#REF!</definedName>
    <definedName name="WIZARD_Y3YEARR">#REF!</definedName>
    <definedName name="WIZARD_Y4CAPREVR">#REF!</definedName>
    <definedName name="WIZARD_Y4E">#REF!</definedName>
    <definedName name="WIZARD_Y4PEE">#REF!</definedName>
    <definedName name="WIZARD_Y4Q1E">#REF!</definedName>
    <definedName name="WIZARD_Y4Q1R">#REF!</definedName>
    <definedName name="WIZARD_Y4Q2E">#REF!</definedName>
    <definedName name="WIZARD_Y4Q2R">#REF!</definedName>
    <definedName name="WIZARD_Y4Q3E">#REF!</definedName>
    <definedName name="WIZARD_Y4Q3R">#REF!</definedName>
    <definedName name="WIZARD_Y4Q4E">#REF!</definedName>
    <definedName name="WIZARD_Y4Q4R">#REF!</definedName>
    <definedName name="WIZARD_Y4R">#REF!</definedName>
    <definedName name="WIZARD_Y4YEARE">#REF!</definedName>
    <definedName name="WIZARD_Y4YEARR">#REF!</definedName>
    <definedName name="wk">#REF!</definedName>
    <definedName name="wls">#REF!</definedName>
    <definedName name="Workstation">#REF!</definedName>
    <definedName name="wrn.all." hidden="1">{#N/A,#N/A,FALSE,"Time Company2988";#N/A,#N/A,FALSE,"Entertainment Group";#N/A,#N/A,FALSE,"EBITDA";#N/A,#N/A,FALSE,"Notes"}</definedName>
    <definedName name="wrn.Asia." hidden="1">{"rawdata",#N/A,TRUE,"Company1196";"in",#N/A,TRUE,"Company1196";"rawdata",#N/A,TRUE,"Company2129";"in",#N/A,TRUE,"Company2129";"rawdata",#N/A,TRUE,"Company1906";"in",#N/A,TRUE,"Company1906";"rawdata",#N/A,TRUE,"PLD";"in",#N/A,TRUE,"PLD";"rawdata",#N/A,TRUE,"Company2130";"in",#N/A,TRUE,"Company2130";"rawdata",#N/A,TRUE,"ST ";"in",#N/A,TRUE,"ST ";"rawdata",#N/A,TRUE,"Company2623";"in",#N/A,TRUE,"Company2623";"rawdata",#N/A,TRUE,"Company2666";"in",#N/A,TRUE,"Company2666";"rawdata",#N/A,TRUE,"Company2663";"in",#N/A,TRUE,"Company2663";"rawdata",#N/A,TRUE,"TTT";"in",#N/A,TRUE,"TTT";"rawdata",#N/A,TRUE,"Company2753";"in",#N/A,TRUE,"Company2753"}</definedName>
    <definedName name="wrn.COMPANY0377." hidden="1">{"IS",#N/A,FALSE,"IS";"RPTIS",#N/A,FALSE,"RPTIS";"STATS",#N/A,FALSE,"STATS";"CELL",#N/A,FALSE,"CELL";"BS",#N/A,FALSE,"BS"}</definedName>
    <definedName name="wrn.both._.pages." hidden="1">{"page 1",#N/A,FALSE,"Comps";"page 2",#N/A,FALSE,"Comps"}</definedName>
    <definedName name="wrn.cases." hidden="1">{"summary",#N/A,TRUE,"pro forma";"avp",#N/A,TRUE,"AVP";"Pro Forma Financials","Low Debt",TRUE,"pro forma";"Credit Analysis","Low Debt",TRUE,"pro forma";"Pro Forma Financials","Base Case",TRUE,"pro forma";"Credit Analysis","Base Case",TRUE,"pro forma";"Pro Forma Financials","High Debt",TRUE,"pro forma";"Credit Analysis","High Debt",TRUE,"pro forma"}</definedName>
    <definedName name="wrn.cf." hidden="1">{"one",#N/A,FALSE,"cf";"two",#N/A,FALSE,"cf"}</definedName>
    <definedName name="wrn.client." hidden="1">{"multiple",#N/A,FALSE,"client";"margins",#N/A,FALSE,"client";"data",#N/A,FALSE,"client"}</definedName>
    <definedName name="wrn.Client3.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ONSOLIDATION.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SC." hidden="1">{"Output",#N/A,FALSE,"Output"}</definedName>
    <definedName name="wrn.database." hidden="1">{"subs",#N/A,FALSE,"database ";"proportional",#N/A,FALSE,"database 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Earnings._.Model." localSheetId="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ntire._.Model." hidden="1">{"Income Page",#N/A,FALSE,"Income";"Quarterly Page",#N/A,FALSE,"Quarterly";"EPS Page",#N/A,FALSE,"EPS";"Cashflow Page",#N/A,FALSE,"CashFlow"}</definedName>
    <definedName name="wrn.Europe." hidden="1">{"rawdata",#N/A,TRUE,"BT ";"in",#N/A,TRUE,"BT ";"rawdata",#N/A,TRUE,"CW ";"in",#N/A,TRUE,"CW ";"rawdata",#N/A,TRUE,"Company1485";"in",#N/A,TRUE,"Company1485";"rawdata",#N/A,TRUE,"OTE";"in",#N/A,TRUE,"OTE";"rawdata",#N/A,TRUE,"Port";"in",#N/A,TRUE,"Port";"rawdata",#N/A,TRUE,"SPT";"in",#N/A,TRUE,"SPT";"rawdata",#N/A,TRUE,"TD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Company2743";"in",#N/A,TRUE,"Company2743";"rawdata",#N/A,TRUE,"Belg";"in",#N/A,TRUE,"Belg";"rawdata",#N/A,TRUE,"Company0295";"in",#N/A,TRUE,"Company0295";"rawdata",#N/A,TRUE,"DT ";"in",#N/A,TRUE,"DT ";"rawdata",#N/A,TRUE,"FT ";"in",#N/A,TRUE,"FT ";"rawdata",#N/A,TRUE,"MAT";"in",#N/A,TRUE,"MAT";"rawdata",#N/A,TRUE,"Eire";"in",#N/A,TRUE,"Eire";"rawdata",#N/A,TRUE,"Company2643";"in",#N/A,TRUE,"Company2643";"rawdata",#N/A,TRUE,"Company2667";"in",#N/A,TRUE,"Company2667";"rawdata",#N/A,TRUE,"Company2752";"in",#N/A,TRUE,"Company2752";"rawdata",#N/A,TRUE,"Company2679";"in",#N/A,TRUE,"Company2679";"rawdata",#N/A,TRUE,"Company2695";"in",#N/A,TRUE,"Company2695";"rawdata",#N/A,TRUE,"Turk";"in",#N/A,TRUE,"Turk"}</definedName>
    <definedName name="wrn.External." localSheetId="2" hidden="1">{"External_Annual_Income",#N/A,FALSE,"External";"External_Quarterly_Income",#N/A,FALSE,"External"}</definedName>
    <definedName name="wrn.External." hidden="1">{"External_Annual_Income",#N/A,FALSE,"External";"External_Quarterly_Income",#N/A,FALSE,"External"}</definedName>
    <definedName name="wrn.external.2" localSheetId="2" hidden="1">{"External_Annual_Income",#N/A,FALSE,"External";"External_Quarterly_Income",#N/A,FALSE,"External"}</definedName>
    <definedName name="wrn.external.2" hidden="1">{"External_Annual_Income",#N/A,FALSE,"External";"External_Quarterly_Income",#N/A,FALSE,"External"}</definedName>
    <definedName name="wrn.Fax." hidden="1">{"fax (BS)",#N/A,FALSE,"BS";"fax (CF)",#N/A,FALSE,"CF";"fax (seg)",#N/A,FALSE,"Seg";"fax (telecomm)",#N/A,FALSE,"telecomm";"fax (infodisplay)",#N/A,FALSE,"infodisplay";"fax (am)",#N/A,FALSE,"AM";"fax (is)",#N/A,FALSE,"IS"}</definedName>
    <definedName name="wrn.Final._.Copy." hidden="1">{#N/A,#N/A,TRUE,"Assumptions";#N/A,#N/A,TRUE,"Financial  Statements";#N/A,#N/A,TRUE,"Unl. Free CF Valuation ";#N/A,#N/A,TRUE,"Funding Schedule";#N/A,#N/A,TRUE,"High Yield &amp; Equity Schedule"}</definedName>
    <definedName name="wrn.Full._.report." hidden="1">{"multiple",#N/A,FALSE,"client (2)";"margins",#N/A,FALSE,"client (2)";"data",#N/A,FALSE,"client (2)";"multiple",#N/A,FALSE,"client";"margins",#N/A,FALSE,"client";"data",#N/A,FALSE,"client"}</definedName>
    <definedName name="wrn.Handout." hidden="1">{#N/A,#N/A,FALSE,"Output";#N/A,#N/A,FALSE,"Cover Sheet";#N/A,#N/A,FALSE,"Current Mkt. Projections"}</definedName>
    <definedName name="wrn.Income._.Statement." localSheetId="2" hidden="1">{#N/A,#N/A,FALSE,"Report Print"}</definedName>
    <definedName name="wrn.Income._.Statement." hidden="1">{#N/A,#N/A,FALSE,"Report Print"}</definedName>
    <definedName name="wrn.international.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PIX." localSheetId="2" hidden="1">{#N/A,#N/A,FALSE,"Report Print"}</definedName>
    <definedName name="wrn.IPIX." hidden="1">{#N/A,#N/A,FALSE,"Report Print"}</definedName>
    <definedName name="wrn.Level._.4." hidden="1">{"Income (All hidden)",#N/A,FALSE,"Income";"EPS (All Hidden)",#N/A,FALSE,"EPS";"Cash Flow (All Hidden)",#N/A,FALSE,"CashFlow";"Quarterly (Last, Current and Next)",#N/A,FALSE,"Quarterly";"Inventory",#N/A,FALSE,"Inventory";"Other Section",#N/A,FALSE,"Detail Qtrly";"Dividend (All Hidden)",#N/A,FALSE,"Dividend";"ROE (All Hidden)",#N/A,FALSE,"Return On Equity";"FinRatio",#N/A,FALSE,"Financials &amp; Ratios"}</definedName>
    <definedName name="wrn.Main._.Report._.All._.Sections.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aster_Income." localSheetId="2" hidden="1">{"Annual_Income",#N/A,FALSE,"Master Model";"Quarterly_Income",#N/A,FALSE,"Master Model"}</definedName>
    <definedName name="wrn.Master_Income." hidden="1">{"Annual_Income",#N/A,FALSE,"Master Model";"Quarterly_Income",#N/A,FALSE,"Master Model"}</definedName>
    <definedName name="wrn.Company1689._.Print." hidden="1">{"Company1689 Model",#N/A,FALSE,"Company1689 Model";"Company1689 Revenue Detail",#N/A,FALSE,"Company1689 Model"}</definedName>
    <definedName name="wrn.Model._.Level._.3." hidden="1">{"Income (All hidden)",#N/A,FALSE,"Income";"EPS (All Hidden)",#N/A,FALSE,"EPS";"EPS (All Hidden)",#N/A,FALSE,"CashFlow";"Quarterly (Last, Current and Next)",#N/A,FALSE,"Quarterly"}</definedName>
    <definedName name="wrn.one._.case." hidden="1">{"pro forma financials",#N/A,FALSE,"pf parent";"pro forma credit",#N/A,FALSE,"pf parent";"pro forma financials",#N/A,FALSE,"pro forma";"pro forma credit",#N/A,FALSE,"pro forma";"avp",#N/A,FALSE,"AVP"}</definedName>
    <definedName name="wrn.Output.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Company2174." hidden="1">{"print 1",#N/A,FALSE,"Company2174 PCS";"print 2",#N/A,FALSE,"Company2174 PCS";"valuation",#N/A,FALSE,"Company2174 PCS"}</definedName>
    <definedName name="wrn.print._.graphs." hidden="1">{"cap_structure",#N/A,FALSE,"Graph-Mkt Cap";"price",#N/A,FALSE,"Graph-Price";"ebit",#N/A,FALSE,"Graph-EBITDA";"ebitda",#N/A,FALSE,"Graph-EBITDA"}</definedName>
    <definedName name="wrn.print._.pages." hidden="1">{#N/A,#N/A,FALSE,"Spain MKT";#N/A,#N/A,FALSE,"Assumptions";#N/A,#N/A,FALSE,"Adve";#N/A,#N/A,FALSE,"E-Commerce";#N/A,#N/A,FALSE,"Opex";#N/A,#N/A,FALSE,"P&amp;L";#N/A,#N/A,FALSE,"FCF &amp; DCF"}</definedName>
    <definedName name="wrn.print._.parent._.cases." hidden="1">{"scenario summary",#N/A,FALSE,"pf parent";"pro forma financials","low price low cash",FALSE,"pf parent";"pro forma credit","low price low cash",FALSE,"pf parent";"pro forma financials","low price med cash",FALSE,"pf parent";"pro forma credit","low price med cash",FALSE,"pf parent";"pro forma financials","low price high cash",FALSE,"pf parent";"pro forma credit","low price high cash",FALSE,"pf parent";"pro forma financials","high price low cash",FALSE,"pf parent";"pro forma credit","high price low cash",FALSE,"pf parent";"pro forma financials","high price med cash",FALSE,"pf parent";"pro forma credit","high price med cash",FALSE,"pf parent";"pro forma financials","high price high cash",FALSE,"pf parent";"pro forma credit","high price high cash",FALSE,"pf parent"}</definedName>
    <definedName name="wrn.print._.raw._.data._.entry." hidden="1">{"inputs raw data",#N/A,TRUE,"INPUT"}</definedName>
    <definedName name="wrn.print._.summary._.sheets." hidden="1">{"summary1",#N/A,TRUE,"Comps";"summary2",#N/A,TRUE,"Comps";"summary3",#N/A,TRUE,"Comps"}</definedName>
    <definedName name="wrn.print._.ulster._.cases." hidden="1">{"scenario summary",#N/A,FALSE,"pro forma";"pro forma financials","low price low cash",FALSE,"pro forma";"pro forma credit","low price low cash",FALSE,"pro forma";"pro forma financials","low price med cash",FALSE,"pro forma";"pro forma credit","low price med cash",FALSE,"pro forma";"pro forma financials","low price high cash",FALSE,"pro forma";"pro forma credit","low price high cash",FALSE,"pro forma";"pro forma financials","high price low cash",FALSE,"pro forma";"pro forma credit","high price low cash",FALSE,"pro forma";"pro forma financials","high price med cash",FALSE,"pro forma";"pro forma credit","high price med cash",FALSE,"pro forma";"pro forma financials","high price high cash",FALSE,"pro forma";"pro forma credit","high price high cash",FALSE,"pro forma"}</definedName>
    <definedName name="wrn.rep_page." localSheetId="2" hidden="1">{"Annual_Income",#N/A,FALSE,"Report Page";"Balance_Cash_Flow",#N/A,FALSE,"Report Page";"Quarterly_Income",#N/A,FALSE,"Report Page"}</definedName>
    <definedName name="wrn.rep_page." hidden="1">{"Annual_Income",#N/A,FALSE,"Report Page";"Balance_Cash_Flow",#N/A,FALSE,"Report Page";"Quarterly_Income",#N/A,FALSE,"Report Page"}</definedName>
    <definedName name="wrn.Report_Page." localSheetId="2" hidden="1">{"Annual_Income",#N/A,FALSE,"Report Page";"Balance_Cash_Flow",#N/A,FALSE,"Report Page";"Quarterly_Income",#N/A,FALSE,"Report Page"}</definedName>
    <definedName name="wrn.Report_Page." hidden="1">{"Annual_Income",#N/A,FALSE,"Report Page";"Balance_Cash_Flow",#N/A,FALSE,"Report Page";"Quarterly_Income",#N/A,FALSE,"Report Page"}</definedName>
    <definedName name="wrn.single._.case." hidden="1">{"Pro Forma Financials",#N/A,FALSE,"pro forma";"Credit Analysis",#N/A,FALSE,"pro forma";"avp",#N/A,FALSE,"avp jon"}</definedName>
    <definedName name="wrn.Summary." hidden="1">{"Print Summary",#N/A,FALSE,"Bal_Graphs";"Print Summary",#N/A,FALSE,"DCF";"Print Summary",#N/A,FALSE,"Graphs";"Print Summary",#N/A,FALSE,"Summary"}</definedName>
    <definedName name="wrn.test." hidden="1">{"test2",#N/A,TRUE,"Prices"}</definedName>
    <definedName name="wrn.Total._.Pack." hidden="1">{#N/A,#N/A,TRUE,"Assumptions";#N/A,#N/A,TRUE,"Financial  Statements";#N/A,#N/A,TRUE,"ISP_Scenarios";#N/A,#N/A,TRUE,"Interline_Scenario";#N/A,#N/A,TRUE,"Company2026_Scenarios";#N/A,#N/A,TRUE,"Domestic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Company2833." hidden="1">{"IS",#N/A,FALSE,"IS";"RPTIS",#N/A,FALSE,"RPTIS";"STATS",#N/A,FALSE,"STATS";"BS",#N/A,FALSE,"BS"}</definedName>
    <definedName name="wrn1.Fax." hidden="1">{"fax (BS)",#N/A,FALSE,"BS";"fax (CF)",#N/A,FALSE,"CF";"fax (seg)",#N/A,FALSE,"Seg";"fax (telecomm)",#N/A,FALSE,"telecomm";"fax (infodisplay)",#N/A,FALSE,"infodisplay";"fax (am)",#N/A,FALSE,"AM";"fax (is)",#N/A,FALSE,"IS"}</definedName>
    <definedName name="wrn2.Handout" hidden="1">{#N/A,#N/A,FALSE,"Output";#N/A,#N/A,FALSE,"Cover Sheet";#N/A,#N/A,FALSE,"Current Mkt. Projections"}</definedName>
    <definedName name="wstlfy1cons">#REF!</definedName>
    <definedName name="wstlfy2cons">#REF!</definedName>
    <definedName name="wstlhi">#REF!</definedName>
    <definedName name="wstllow">#REF!</definedName>
    <definedName name="wstlpegrowthavg">#REF!</definedName>
    <definedName name="wstlpegrowthcurr">#REF!</definedName>
    <definedName name="wstlpegrowthhi">#REF!</definedName>
    <definedName name="wstlpegrowthlow">#REF!</definedName>
    <definedName name="wstlprice">#REF!</definedName>
    <definedName name="wstlshares">#REF!</definedName>
    <definedName name="wstlttmavg">#REF!</definedName>
    <definedName name="wstlttmcurr">#REF!</definedName>
    <definedName name="wstlttmhi">#REF!</definedName>
    <definedName name="wstlttmlow">#REF!</definedName>
    <definedName name="wstlttmrelavg">#REF!</definedName>
    <definedName name="wstlttmrelcurr">#REF!</definedName>
    <definedName name="wstlttmrelhi">#REF!</definedName>
    <definedName name="wstlttmrellow">#REF!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x" hidden="1">#N/A</definedName>
    <definedName name="xCurrencies">#REF!</definedName>
    <definedName name="xls">#REF!</definedName>
    <definedName name="XR">#REF!</definedName>
    <definedName name="XX">#REF!</definedName>
    <definedName name="XXX">#REF!</definedName>
    <definedName name="Y2_C_Capex">#REF!</definedName>
    <definedName name="Y2_C_Depr">#REF!</definedName>
    <definedName name="Y2_C_EBITDA">#REF!</definedName>
    <definedName name="Y2_C_EPS">#REF!</definedName>
    <definedName name="Y2_C_ND">#REF!</definedName>
    <definedName name="Y2_C_NP">#REF!</definedName>
    <definedName name="Y2_C_OP">#REF!</definedName>
    <definedName name="Y2_C_PP">#REF!</definedName>
    <definedName name="Y2_C_RP">#REF!</definedName>
    <definedName name="Y2_C_S">#REF!</definedName>
    <definedName name="Y2_C_SE">#REF!</definedName>
    <definedName name="Y2_Div">#REF!</definedName>
    <definedName name="Y2_FY1">#REF!</definedName>
    <definedName name="Y2_P_Capex">#REF!</definedName>
    <definedName name="Y2_P_Depr">#REF!</definedName>
    <definedName name="Y2_P_EBITDA">#REF!</definedName>
    <definedName name="Y2_P_EPS">#REF!</definedName>
    <definedName name="Y2_P_EPS_D">#REF!</definedName>
    <definedName name="Y2_P_ND">#REF!</definedName>
    <definedName name="Y2_P_NP">#REF!</definedName>
    <definedName name="Y2_P_OP">#REF!</definedName>
    <definedName name="Y2_P_PP">#REF!</definedName>
    <definedName name="Y2_P_RP">#REF!</definedName>
    <definedName name="Y2_P_S">#REF!</definedName>
    <definedName name="Y2_P_SE">#REF!</definedName>
    <definedName name="Y6_C_EPS">#REF!</definedName>
    <definedName name="Y6_C_NP">#REF!</definedName>
    <definedName name="Y6_C_OP">#REF!</definedName>
    <definedName name="Y6_C_RP">#REF!</definedName>
    <definedName name="Y6_C_S">#REF!</definedName>
    <definedName name="Y6_FY">#REF!</definedName>
    <definedName name="Y6_FY1">#REF!</definedName>
    <definedName name="Y6_P_EPS">#REF!</definedName>
    <definedName name="Y6_P_NP">#REF!</definedName>
    <definedName name="Y6_P_OP">#REF!</definedName>
    <definedName name="Y6_P_RP">#REF!</definedName>
    <definedName name="Y6_P_S">#REF!</definedName>
    <definedName name="Y7_C_Capex">#REF!</definedName>
    <definedName name="Y7_C_CF">#REF!</definedName>
    <definedName name="Y7_C_Depr">#REF!</definedName>
    <definedName name="Y7_C_EBITDA">#REF!</definedName>
    <definedName name="Y7_C_EPS">#REF!</definedName>
    <definedName name="Y7_C_FCF">#REF!</definedName>
    <definedName name="Y7_C_ND">#REF!</definedName>
    <definedName name="Y7_C_NP">#REF!</definedName>
    <definedName name="Y7_C_OP">#REF!</definedName>
    <definedName name="Y7_C_RP">#REF!</definedName>
    <definedName name="Y7_C_S">#REF!</definedName>
    <definedName name="Y7_C_SE">#REF!</definedName>
    <definedName name="Y7_C_SHR">#REF!</definedName>
    <definedName name="Y7_Div">#REF!</definedName>
    <definedName name="Y7_FY">#REF!</definedName>
    <definedName name="Y7_FY1">#REF!</definedName>
    <definedName name="Y7_P_Capex">#REF!</definedName>
    <definedName name="Y7_P_CF">#REF!</definedName>
    <definedName name="Y7_P_Depr">#REF!</definedName>
    <definedName name="Y7_P_EBITDA">#REF!</definedName>
    <definedName name="Y7_P_EPS">#REF!</definedName>
    <definedName name="Y7_P_FCF">#REF!</definedName>
    <definedName name="Y7_P_ND">#REF!</definedName>
    <definedName name="Y7_P_NP">#REF!</definedName>
    <definedName name="Y7_P_OP">#REF!</definedName>
    <definedName name="Y7_P_RP">#REF!</definedName>
    <definedName name="Y7_P_S">#REF!</definedName>
    <definedName name="Y7_P_SE">#REF!</definedName>
    <definedName name="Y7_P_SHR">#REF!</definedName>
    <definedName name="Ydays">#REF!</definedName>
    <definedName name="year">#REF!</definedName>
    <definedName name="Year_End_Employees">#REF!</definedName>
    <definedName name="year_end_month">#REF!</definedName>
    <definedName name="Year_row">#REF!</definedName>
    <definedName name="year_row1">#REF!</definedName>
    <definedName name="year_row2">#REF!</definedName>
    <definedName name="year_row3">#REF!</definedName>
    <definedName name="yearago">#REF!</definedName>
    <definedName name="Years">OFFSET(#REF!,0,0,COUNTA(#REF!)-1)</definedName>
    <definedName name="Years_in_full_stream">#REF!</definedName>
    <definedName name="Years_into_future">#REF!</definedName>
    <definedName name="years_row">#REF!</definedName>
    <definedName name="YEARS_TO_VEST">#REF!</definedName>
    <definedName name="yield">#REF!</definedName>
    <definedName name="YoY">#REF!</definedName>
    <definedName name="YOYM">IF(#REF!=0,"NM",((#REF!/#REF!)-1))</definedName>
    <definedName name="yr_ago_eps">#REF!</definedName>
    <definedName name="yr_ago_rev">#REF!</definedName>
    <definedName name="yr_end_exch_rate_usd">#REF!</definedName>
    <definedName name="YRA3MTH">7</definedName>
    <definedName name="YRACYTD">10</definedName>
    <definedName name="YRAMTH">3</definedName>
    <definedName name="YRAMYTD">13</definedName>
    <definedName name="YRAVOL">5</definedName>
    <definedName name="YRAWEEK">3</definedName>
    <definedName name="YrCheck">#REF!</definedName>
    <definedName name="YSUM">SUM(#REF!)</definedName>
    <definedName name="yy">#REF!</definedName>
    <definedName name="Z_60FA13F0_C7AB_11D5_82BE_0060B0F04987_.wvu.Rows" hidden="1">#REF!</definedName>
    <definedName name="Z_870DA93B_C7EC_11D1_935A_00A0C95F1362_.wvu.PrintArea" hidden="1">#REF!</definedName>
    <definedName name="Z_FY">#REF!</definedName>
    <definedName name="Z_FY1">#REF!</definedName>
    <definedName name="Z1_P_Capex">#REF!</definedName>
    <definedName name="Z1_P_CF">#REF!</definedName>
    <definedName name="Z1_P_Depr">#REF!</definedName>
    <definedName name="Z1_P_Div">#REF!</definedName>
    <definedName name="Z1_P_EBITDA">#REF!</definedName>
    <definedName name="Z1_P_FCF">#REF!</definedName>
    <definedName name="Z1_P_ND">#REF!</definedName>
    <definedName name="Z2_FY">#REF!</definedName>
    <definedName name="Z2_FY1">#REF!</definedName>
    <definedName name="Z2_P_Capex">#REF!</definedName>
    <definedName name="Z2_P_CF">#REF!</definedName>
    <definedName name="Z2_P_Depr">#REF!</definedName>
    <definedName name="Z2_P_EBITDA">#REF!</definedName>
    <definedName name="Z2_P_EPS">#REF!</definedName>
    <definedName name="Z2_P_FCF">#REF!</definedName>
    <definedName name="Z2_P_RP">#REF!</definedName>
    <definedName name="Z2_P_SHR">#REF!</definedName>
    <definedName name="Z4_C_Capex">#REF!</definedName>
    <definedName name="Z4_C_CF">#REF!</definedName>
    <definedName name="Z4_C_Depr">#REF!</definedName>
    <definedName name="Z4_C_EBITDA">#REF!</definedName>
    <definedName name="Z4_C_EPS">#REF!</definedName>
    <definedName name="Z4_C_FCF">#REF!</definedName>
    <definedName name="Z4_C_ND">#REF!</definedName>
    <definedName name="Z4_C_NP">#REF!</definedName>
    <definedName name="Z4_C_OP">#REF!</definedName>
    <definedName name="Z4_C_RP">#REF!</definedName>
    <definedName name="Z4_C_S">#REF!</definedName>
    <definedName name="Z4_C_SE">#REF!</definedName>
    <definedName name="Z4_C_SHR">#REF!</definedName>
    <definedName name="Z4_FY">#REF!</definedName>
    <definedName name="Z4_FY1">#REF!</definedName>
    <definedName name="Z4_P_Capex">#REF!</definedName>
    <definedName name="Z4_P_CF">#REF!</definedName>
    <definedName name="Z4_P_Depr">#REF!</definedName>
    <definedName name="Z4_P_Div">#REF!</definedName>
    <definedName name="Z4_P_EBITDA">#REF!</definedName>
    <definedName name="Z4_P_EPS">#REF!</definedName>
    <definedName name="Z4_P_FCF">#REF!</definedName>
    <definedName name="Z4_P_ND">#REF!</definedName>
    <definedName name="Z4_P_NP">#REF!</definedName>
    <definedName name="Z4_P_OP">#REF!</definedName>
    <definedName name="Z4_P_RP">#REF!</definedName>
    <definedName name="Z4_P_S">#REF!</definedName>
    <definedName name="Z4_P_SE">#REF!</definedName>
    <definedName name="Z4_P_SHR">#REF!</definedName>
    <definedName name="Zero">#REF!</definedName>
    <definedName name="ZP_Div">#REF!</definedName>
    <definedName name="ZP_FCF">#REF!</definedName>
    <definedName name="ZP_ND">#REF!</definedName>
    <definedName name="ZP_RP">#REF!</definedName>
    <definedName name="zz">#REF!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11" i="4" l="1"/>
  <c r="BM110" i="4"/>
  <c r="BO111" i="4"/>
  <c r="BS110" i="4"/>
  <c r="BK110" i="4"/>
  <c r="BL110" i="4"/>
  <c r="BQ110" i="4"/>
  <c r="BR110" i="4"/>
  <c r="BN111" i="4"/>
  <c r="AU22" i="6"/>
  <c r="AT22" i="6"/>
  <c r="AS22" i="6"/>
  <c r="AR22" i="6"/>
  <c r="AQ22" i="6"/>
  <c r="AP22" i="6"/>
  <c r="AO22" i="6"/>
  <c r="AN22" i="6"/>
  <c r="AM22" i="6"/>
  <c r="AL22" i="6"/>
  <c r="AK22" i="6"/>
  <c r="AJ22" i="6"/>
  <c r="AI22" i="6"/>
  <c r="AH22" i="6"/>
  <c r="AG22" i="6"/>
  <c r="AF22" i="6"/>
  <c r="AE22" i="6"/>
  <c r="AD22" i="6"/>
  <c r="AC22" i="6"/>
  <c r="AB22" i="6"/>
  <c r="AA22" i="6"/>
  <c r="Z22" i="6"/>
  <c r="Y22" i="6"/>
  <c r="X22" i="6"/>
  <c r="W22" i="6"/>
  <c r="V22" i="6"/>
  <c r="U22" i="6"/>
  <c r="T22" i="6"/>
  <c r="S22" i="6"/>
  <c r="R22" i="6"/>
  <c r="Q22" i="6"/>
  <c r="P22" i="6"/>
  <c r="O22" i="6"/>
  <c r="N22" i="6"/>
  <c r="M22" i="6"/>
  <c r="L22" i="6"/>
  <c r="K22" i="6"/>
  <c r="J22" i="6"/>
  <c r="I22" i="6"/>
  <c r="H22" i="6"/>
  <c r="G22" i="6"/>
  <c r="F22" i="6"/>
  <c r="E22" i="6"/>
  <c r="D22" i="6"/>
  <c r="C22" i="6"/>
  <c r="B22" i="6"/>
  <c r="AF17" i="6"/>
  <c r="AF14" i="6" s="1"/>
  <c r="AE17" i="6"/>
  <c r="AE8" i="6" s="1"/>
  <c r="AD17" i="6"/>
  <c r="AD14" i="6" s="1"/>
  <c r="AC17" i="6"/>
  <c r="AC14" i="6" s="1"/>
  <c r="AB17" i="6"/>
  <c r="AB8" i="6" s="1"/>
  <c r="AA17" i="6"/>
  <c r="AA14" i="6" s="1"/>
  <c r="Z17" i="6"/>
  <c r="Z8" i="6" s="1"/>
  <c r="Y17" i="6"/>
  <c r="Y8" i="6" s="1"/>
  <c r="X17" i="6"/>
  <c r="X8" i="6" s="1"/>
  <c r="W17" i="6"/>
  <c r="W14" i="6" s="1"/>
  <c r="V17" i="6"/>
  <c r="V14" i="6" s="1"/>
  <c r="U17" i="6"/>
  <c r="T17" i="6"/>
  <c r="T14" i="6" s="1"/>
  <c r="S17" i="6"/>
  <c r="S8" i="6" s="1"/>
  <c r="R17" i="6"/>
  <c r="R8" i="6" s="1"/>
  <c r="Q17" i="6"/>
  <c r="Q8" i="6" s="1"/>
  <c r="P17" i="6"/>
  <c r="O17" i="6"/>
  <c r="O14" i="6" s="1"/>
  <c r="N17" i="6"/>
  <c r="N8" i="6" s="1"/>
  <c r="M17" i="6"/>
  <c r="M8" i="6" s="1"/>
  <c r="L17" i="6"/>
  <c r="K17" i="6"/>
  <c r="K8" i="6" s="1"/>
  <c r="J17" i="6"/>
  <c r="J8" i="6" s="1"/>
  <c r="I17" i="6"/>
  <c r="I8" i="6" s="1"/>
  <c r="H17" i="6"/>
  <c r="H8" i="6" s="1"/>
  <c r="G17" i="6"/>
  <c r="G8" i="6" s="1"/>
  <c r="F17" i="6"/>
  <c r="F8" i="6" s="1"/>
  <c r="E17" i="6"/>
  <c r="E8" i="6" s="1"/>
  <c r="D17" i="6"/>
  <c r="D8" i="6" s="1"/>
  <c r="C17" i="6"/>
  <c r="C8" i="6" s="1"/>
  <c r="B17" i="6"/>
  <c r="B8" i="6" s="1"/>
  <c r="L14" i="6"/>
  <c r="AF13" i="6"/>
  <c r="AE13" i="6"/>
  <c r="AD13" i="6"/>
  <c r="AC13" i="6"/>
  <c r="AB13" i="6"/>
  <c r="AA13" i="6"/>
  <c r="Z13" i="6"/>
  <c r="Y13" i="6"/>
  <c r="X13" i="6"/>
  <c r="W13" i="6"/>
  <c r="V13" i="6"/>
  <c r="U13" i="6"/>
  <c r="T13" i="6"/>
  <c r="S13" i="6"/>
  <c r="R13" i="6"/>
  <c r="Q13" i="6"/>
  <c r="P13" i="6"/>
  <c r="O13" i="6"/>
  <c r="N13" i="6"/>
  <c r="AF12" i="6"/>
  <c r="AE12" i="6"/>
  <c r="AD12" i="6"/>
  <c r="AC12" i="6"/>
  <c r="AB12" i="6"/>
  <c r="AA12" i="6"/>
  <c r="Z12" i="6"/>
  <c r="Y12" i="6"/>
  <c r="X12" i="6"/>
  <c r="W12" i="6"/>
  <c r="V12" i="6"/>
  <c r="U12" i="6"/>
  <c r="T12" i="6"/>
  <c r="S12" i="6"/>
  <c r="R12" i="6"/>
  <c r="Q12" i="6"/>
  <c r="P12" i="6"/>
  <c r="O12" i="6"/>
  <c r="N12" i="6"/>
  <c r="M12" i="6"/>
  <c r="L12" i="6"/>
  <c r="K12" i="6"/>
  <c r="BM11" i="6"/>
  <c r="BL11" i="6"/>
  <c r="BK11" i="6"/>
  <c r="BJ11" i="6"/>
  <c r="BI11" i="6"/>
  <c r="AG11" i="6"/>
  <c r="L8" i="6"/>
  <c r="AF7" i="6"/>
  <c r="AE7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H7" i="6"/>
  <c r="G7" i="6"/>
  <c r="F7" i="6"/>
  <c r="AF6" i="6"/>
  <c r="AE6" i="6"/>
  <c r="AD6" i="6"/>
  <c r="AC6" i="6"/>
  <c r="AB6" i="6"/>
  <c r="AA6" i="6"/>
  <c r="Z6" i="6"/>
  <c r="Y6" i="6"/>
  <c r="X6" i="6"/>
  <c r="W6" i="6"/>
  <c r="V6" i="6"/>
  <c r="U6" i="6"/>
  <c r="T6" i="6"/>
  <c r="S6" i="6"/>
  <c r="R6" i="6"/>
  <c r="Q6" i="6"/>
  <c r="P6" i="6"/>
  <c r="O6" i="6"/>
  <c r="N6" i="6"/>
  <c r="M6" i="6"/>
  <c r="L6" i="6"/>
  <c r="K6" i="6"/>
  <c r="J6" i="6"/>
  <c r="I6" i="6"/>
  <c r="H6" i="6"/>
  <c r="G6" i="6"/>
  <c r="F6" i="6"/>
  <c r="E6" i="6"/>
  <c r="D6" i="6"/>
  <c r="C6" i="6"/>
  <c r="BM5" i="6"/>
  <c r="BL5" i="6"/>
  <c r="BK5" i="6"/>
  <c r="BJ5" i="6"/>
  <c r="BI5" i="6"/>
  <c r="BH5" i="6"/>
  <c r="BG5" i="6"/>
  <c r="BG17" i="6" s="1"/>
  <c r="AG5" i="6"/>
  <c r="BT3" i="6"/>
  <c r="BS3" i="6"/>
  <c r="BR3" i="6"/>
  <c r="BQ3" i="6"/>
  <c r="BP3" i="6"/>
  <c r="BO3" i="6"/>
  <c r="BN3" i="6"/>
  <c r="BM3" i="6"/>
  <c r="BL3" i="6"/>
  <c r="BK3" i="6"/>
  <c r="BJ3" i="6"/>
  <c r="BI3" i="6"/>
  <c r="BG3" i="6"/>
  <c r="BH2" i="6"/>
  <c r="BH3" i="6" s="1"/>
  <c r="BE2" i="6"/>
  <c r="BD2" i="6"/>
  <c r="BC2" i="6"/>
  <c r="BB2" i="6"/>
  <c r="BA2" i="6"/>
  <c r="AZ2" i="6"/>
  <c r="AY2" i="6"/>
  <c r="AX2" i="6"/>
  <c r="AW2" i="6"/>
  <c r="AV2" i="6"/>
  <c r="AU2" i="6"/>
  <c r="AT2" i="6"/>
  <c r="AS2" i="6"/>
  <c r="AR2" i="6"/>
  <c r="AQ2" i="6"/>
  <c r="AP2" i="6"/>
  <c r="AO2" i="6"/>
  <c r="AN2" i="6"/>
  <c r="AM2" i="6"/>
  <c r="AL2" i="6"/>
  <c r="AK2" i="6"/>
  <c r="AJ2" i="6"/>
  <c r="AI2" i="6"/>
  <c r="AH2" i="6"/>
  <c r="AG2" i="6"/>
  <c r="AF2" i="6"/>
  <c r="AE2" i="6"/>
  <c r="AD2" i="6"/>
  <c r="AC2" i="6"/>
  <c r="AB2" i="6"/>
  <c r="AA2" i="6"/>
  <c r="Z2" i="6"/>
  <c r="Y2" i="6"/>
  <c r="X2" i="6"/>
  <c r="W2" i="6"/>
  <c r="V2" i="6"/>
  <c r="U2" i="6"/>
  <c r="T2" i="6"/>
  <c r="S2" i="6"/>
  <c r="R2" i="6"/>
  <c r="Q2" i="6"/>
  <c r="P2" i="6"/>
  <c r="O2" i="6"/>
  <c r="N2" i="6"/>
  <c r="M2" i="6"/>
  <c r="L2" i="6"/>
  <c r="K2" i="6"/>
  <c r="J2" i="6"/>
  <c r="I2" i="6"/>
  <c r="H2" i="6"/>
  <c r="G2" i="6"/>
  <c r="F2" i="6"/>
  <c r="E2" i="6"/>
  <c r="D2" i="6"/>
  <c r="C2" i="6"/>
  <c r="B2" i="6"/>
  <c r="AJ93" i="5"/>
  <c r="AK93" i="5" s="1"/>
  <c r="AL93" i="5" s="1"/>
  <c r="AL94" i="5" s="1"/>
  <c r="AI90" i="5"/>
  <c r="AQ85" i="5"/>
  <c r="BS87" i="2" s="1"/>
  <c r="AP85" i="5"/>
  <c r="BR87" i="2" s="1"/>
  <c r="AO85" i="5"/>
  <c r="AN85" i="5"/>
  <c r="AM85" i="5"/>
  <c r="BO87" i="2" s="1"/>
  <c r="AL85" i="5"/>
  <c r="BN87" i="2" s="1"/>
  <c r="AK85" i="5"/>
  <c r="AJ85" i="5"/>
  <c r="AI85" i="5"/>
  <c r="AH85" i="5"/>
  <c r="AG85" i="5"/>
  <c r="AF85" i="5"/>
  <c r="AE85" i="5"/>
  <c r="AD85" i="5"/>
  <c r="AC85" i="5"/>
  <c r="AB85" i="5"/>
  <c r="AA85" i="5"/>
  <c r="Z85" i="5"/>
  <c r="BA64" i="5"/>
  <c r="AK64" i="5"/>
  <c r="AJ64" i="5"/>
  <c r="AI64" i="5"/>
  <c r="AH64" i="5"/>
  <c r="AG64" i="5"/>
  <c r="AF64" i="5"/>
  <c r="AE64" i="5"/>
  <c r="AD64" i="5"/>
  <c r="AC64" i="5"/>
  <c r="AB64" i="5"/>
  <c r="AA64" i="5"/>
  <c r="Z64" i="5"/>
  <c r="BR56" i="5"/>
  <c r="BQ56" i="5"/>
  <c r="BP56" i="5"/>
  <c r="BO56" i="5"/>
  <c r="BN56" i="5"/>
  <c r="BM56" i="5"/>
  <c r="BL56" i="5"/>
  <c r="BK56" i="5"/>
  <c r="BJ56" i="5"/>
  <c r="BI56" i="5"/>
  <c r="BH56" i="5"/>
  <c r="BG56" i="5"/>
  <c r="BF56" i="5"/>
  <c r="BE56" i="5"/>
  <c r="BD56" i="5"/>
  <c r="BC56" i="5"/>
  <c r="BB56" i="5"/>
  <c r="BA56" i="5"/>
  <c r="AZ56" i="5"/>
  <c r="AY56" i="5"/>
  <c r="AX56" i="5"/>
  <c r="AW56" i="5"/>
  <c r="AV56" i="5"/>
  <c r="AU56" i="5"/>
  <c r="AT56" i="5"/>
  <c r="AS56" i="5"/>
  <c r="AR56" i="5"/>
  <c r="AQ56" i="5"/>
  <c r="AP56" i="5"/>
  <c r="AO56" i="5"/>
  <c r="AN56" i="5"/>
  <c r="AM56" i="5"/>
  <c r="AL56" i="5"/>
  <c r="AK56" i="5"/>
  <c r="AJ56" i="5"/>
  <c r="AI56" i="5"/>
  <c r="AH56" i="5"/>
  <c r="AG56" i="5"/>
  <c r="AF56" i="5"/>
  <c r="AE56" i="5"/>
  <c r="AD56" i="5"/>
  <c r="AC56" i="5"/>
  <c r="AB56" i="5"/>
  <c r="AA56" i="5"/>
  <c r="Z56" i="5"/>
  <c r="Y56" i="5"/>
  <c r="X56" i="5"/>
  <c r="W56" i="5"/>
  <c r="V56" i="5"/>
  <c r="U56" i="5"/>
  <c r="T56" i="5"/>
  <c r="S56" i="5"/>
  <c r="R56" i="5"/>
  <c r="Q56" i="5"/>
  <c r="P56" i="5"/>
  <c r="O56" i="5"/>
  <c r="N56" i="5"/>
  <c r="M56" i="5"/>
  <c r="L56" i="5"/>
  <c r="K56" i="5"/>
  <c r="J56" i="5"/>
  <c r="I56" i="5"/>
  <c r="H56" i="5"/>
  <c r="G56" i="5"/>
  <c r="F56" i="5"/>
  <c r="E56" i="5"/>
  <c r="D56" i="5"/>
  <c r="C56" i="5"/>
  <c r="B56" i="5"/>
  <c r="BA51" i="5"/>
  <c r="AZ51" i="5"/>
  <c r="AY51" i="5"/>
  <c r="AX51" i="5"/>
  <c r="AW51" i="5"/>
  <c r="AV51" i="5"/>
  <c r="AU51" i="5"/>
  <c r="AT51" i="5"/>
  <c r="AS51" i="5"/>
  <c r="AR51" i="5"/>
  <c r="AQ51" i="5"/>
  <c r="AP51" i="5"/>
  <c r="AO51" i="5"/>
  <c r="AN51" i="5"/>
  <c r="AM51" i="5"/>
  <c r="AL51" i="5"/>
  <c r="AK51" i="5"/>
  <c r="AJ51" i="5"/>
  <c r="AI51" i="5"/>
  <c r="AH51" i="5"/>
  <c r="AG51" i="5"/>
  <c r="AF51" i="5"/>
  <c r="AE51" i="5"/>
  <c r="AD51" i="5"/>
  <c r="AC51" i="5"/>
  <c r="AB51" i="5"/>
  <c r="AA51" i="5"/>
  <c r="Z51" i="5"/>
  <c r="BA50" i="5"/>
  <c r="AZ50" i="5"/>
  <c r="AY50" i="5"/>
  <c r="AX50" i="5"/>
  <c r="AW50" i="5"/>
  <c r="AV50" i="5"/>
  <c r="AU50" i="5"/>
  <c r="AT50" i="5"/>
  <c r="AS50" i="5"/>
  <c r="AR50" i="5"/>
  <c r="AQ50" i="5"/>
  <c r="AP50" i="5"/>
  <c r="AO50" i="5"/>
  <c r="AN50" i="5"/>
  <c r="AM50" i="5"/>
  <c r="AL50" i="5"/>
  <c r="AK50" i="5"/>
  <c r="AJ50" i="5"/>
  <c r="AI50" i="5"/>
  <c r="AH50" i="5"/>
  <c r="AG50" i="5"/>
  <c r="AF50" i="5"/>
  <c r="AE50" i="5"/>
  <c r="AD50" i="5"/>
  <c r="BA49" i="5"/>
  <c r="AZ49" i="5"/>
  <c r="AY49" i="5"/>
  <c r="AX49" i="5"/>
  <c r="AW49" i="5"/>
  <c r="AV49" i="5"/>
  <c r="AU49" i="5"/>
  <c r="AT49" i="5"/>
  <c r="AS49" i="5"/>
  <c r="AR49" i="5"/>
  <c r="AQ49" i="5"/>
  <c r="AP49" i="5"/>
  <c r="AO49" i="5"/>
  <c r="AN49" i="5"/>
  <c r="AM49" i="5"/>
  <c r="AL49" i="5"/>
  <c r="AK49" i="5"/>
  <c r="AJ49" i="5"/>
  <c r="AI49" i="5"/>
  <c r="AH49" i="5"/>
  <c r="AG49" i="5"/>
  <c r="AF49" i="5"/>
  <c r="AE49" i="5"/>
  <c r="AD49" i="5"/>
  <c r="AC49" i="5"/>
  <c r="AB49" i="5"/>
  <c r="AA49" i="5"/>
  <c r="BB48" i="5"/>
  <c r="BB51" i="5" s="1"/>
  <c r="AQ47" i="5"/>
  <c r="AN47" i="5"/>
  <c r="AM47" i="5"/>
  <c r="AL47" i="5"/>
  <c r="AK47" i="5"/>
  <c r="AJ47" i="5"/>
  <c r="AI47" i="5"/>
  <c r="AH47" i="5"/>
  <c r="AG47" i="5"/>
  <c r="AF47" i="5"/>
  <c r="AE47" i="5"/>
  <c r="AD47" i="5"/>
  <c r="AC47" i="5"/>
  <c r="AB47" i="5"/>
  <c r="AA47" i="5"/>
  <c r="Z47" i="5"/>
  <c r="Y47" i="5"/>
  <c r="X47" i="5"/>
  <c r="W47" i="5"/>
  <c r="V47" i="5"/>
  <c r="U47" i="5"/>
  <c r="T47" i="5"/>
  <c r="S47" i="5"/>
  <c r="R47" i="5"/>
  <c r="Q47" i="5"/>
  <c r="P47" i="5"/>
  <c r="O47" i="5"/>
  <c r="N47" i="5"/>
  <c r="M47" i="5"/>
  <c r="L47" i="5"/>
  <c r="K47" i="5"/>
  <c r="J47" i="5"/>
  <c r="I47" i="5"/>
  <c r="H47" i="5"/>
  <c r="G47" i="5"/>
  <c r="F47" i="5"/>
  <c r="AN46" i="5"/>
  <c r="AM46" i="5"/>
  <c r="AL46" i="5"/>
  <c r="AK46" i="5"/>
  <c r="AJ46" i="5"/>
  <c r="AI46" i="5"/>
  <c r="AH46" i="5"/>
  <c r="AG46" i="5"/>
  <c r="AF46" i="5"/>
  <c r="AE46" i="5"/>
  <c r="AD46" i="5"/>
  <c r="AC46" i="5"/>
  <c r="AB46" i="5"/>
  <c r="AA46" i="5"/>
  <c r="Z46" i="5"/>
  <c r="Y46" i="5"/>
  <c r="X46" i="5"/>
  <c r="W46" i="5"/>
  <c r="V46" i="5"/>
  <c r="U46" i="5"/>
  <c r="T46" i="5"/>
  <c r="S46" i="5"/>
  <c r="R46" i="5"/>
  <c r="Q46" i="5"/>
  <c r="P46" i="5"/>
  <c r="O46" i="5"/>
  <c r="N46" i="5"/>
  <c r="M46" i="5"/>
  <c r="L46" i="5"/>
  <c r="K46" i="5"/>
  <c r="J46" i="5"/>
  <c r="I46" i="5"/>
  <c r="H46" i="5"/>
  <c r="G46" i="5"/>
  <c r="F46" i="5"/>
  <c r="E46" i="5"/>
  <c r="D46" i="5"/>
  <c r="C46" i="5"/>
  <c r="CN45" i="5"/>
  <c r="CM45" i="5"/>
  <c r="CL45" i="5"/>
  <c r="CK45" i="5"/>
  <c r="CJ45" i="5"/>
  <c r="CI45" i="5"/>
  <c r="CH45" i="5"/>
  <c r="CG45" i="5"/>
  <c r="CF45" i="5"/>
  <c r="BR46" i="5"/>
  <c r="AZ46" i="5"/>
  <c r="AT46" i="5"/>
  <c r="AR47" i="5"/>
  <c r="BR44" i="5"/>
  <c r="BQ44" i="5"/>
  <c r="BP44" i="5"/>
  <c r="BO44" i="5"/>
  <c r="BN44" i="5"/>
  <c r="BM44" i="5"/>
  <c r="BL44" i="5"/>
  <c r="BK44" i="5"/>
  <c r="BJ44" i="5"/>
  <c r="BI44" i="5"/>
  <c r="BH44" i="5"/>
  <c r="BG44" i="5"/>
  <c r="BF44" i="5"/>
  <c r="BE44" i="5"/>
  <c r="BD44" i="5"/>
  <c r="BC44" i="5"/>
  <c r="BB44" i="5"/>
  <c r="BA44" i="5"/>
  <c r="AZ44" i="5"/>
  <c r="AY44" i="5"/>
  <c r="AX44" i="5"/>
  <c r="AW44" i="5"/>
  <c r="AV44" i="5"/>
  <c r="AU44" i="5"/>
  <c r="AT44" i="5"/>
  <c r="AS44" i="5"/>
  <c r="AR44" i="5"/>
  <c r="AQ44" i="5"/>
  <c r="AP44" i="5"/>
  <c r="AO44" i="5"/>
  <c r="AN44" i="5"/>
  <c r="AM44" i="5"/>
  <c r="AL44" i="5"/>
  <c r="AK44" i="5"/>
  <c r="AJ44" i="5"/>
  <c r="AI44" i="5"/>
  <c r="AH44" i="5"/>
  <c r="AG44" i="5"/>
  <c r="AF44" i="5"/>
  <c r="AE44" i="5"/>
  <c r="AD44" i="5"/>
  <c r="AC44" i="5"/>
  <c r="AB44" i="5"/>
  <c r="AA44" i="5"/>
  <c r="Z44" i="5"/>
  <c r="Y44" i="5"/>
  <c r="X44" i="5"/>
  <c r="W44" i="5"/>
  <c r="V44" i="5"/>
  <c r="U44" i="5"/>
  <c r="T44" i="5"/>
  <c r="S44" i="5"/>
  <c r="R44" i="5"/>
  <c r="Q44" i="5"/>
  <c r="P44" i="5"/>
  <c r="O44" i="5"/>
  <c r="N44" i="5"/>
  <c r="M44" i="5"/>
  <c r="L44" i="5"/>
  <c r="K44" i="5"/>
  <c r="J44" i="5"/>
  <c r="I44" i="5"/>
  <c r="H44" i="5"/>
  <c r="G44" i="5"/>
  <c r="F44" i="5"/>
  <c r="BR43" i="5"/>
  <c r="BQ43" i="5"/>
  <c r="BO43" i="5"/>
  <c r="BN43" i="5"/>
  <c r="BM43" i="5"/>
  <c r="BL43" i="5"/>
  <c r="BK43" i="5"/>
  <c r="BJ43" i="5"/>
  <c r="BI43" i="5"/>
  <c r="BH43" i="5"/>
  <c r="BG43" i="5"/>
  <c r="BF43" i="5"/>
  <c r="BE43" i="5"/>
  <c r="BD43" i="5"/>
  <c r="BC43" i="5"/>
  <c r="BB43" i="5"/>
  <c r="BA43" i="5"/>
  <c r="AZ43" i="5"/>
  <c r="AY43" i="5"/>
  <c r="AX43" i="5"/>
  <c r="AW43" i="5"/>
  <c r="AV43" i="5"/>
  <c r="AU43" i="5"/>
  <c r="AT43" i="5"/>
  <c r="AS43" i="5"/>
  <c r="AR43" i="5"/>
  <c r="AQ43" i="5"/>
  <c r="AP43" i="5"/>
  <c r="AO43" i="5"/>
  <c r="AN43" i="5"/>
  <c r="AM43" i="5"/>
  <c r="AL43" i="5"/>
  <c r="AK43" i="5"/>
  <c r="AJ43" i="5"/>
  <c r="AI43" i="5"/>
  <c r="AH43" i="5"/>
  <c r="AG43" i="5"/>
  <c r="AF43" i="5"/>
  <c r="AE43" i="5"/>
  <c r="AD43" i="5"/>
  <c r="AC43" i="5"/>
  <c r="AB43" i="5"/>
  <c r="AA43" i="5"/>
  <c r="Z43" i="5"/>
  <c r="Y43" i="5"/>
  <c r="X43" i="5"/>
  <c r="W43" i="5"/>
  <c r="V43" i="5"/>
  <c r="U43" i="5"/>
  <c r="T43" i="5"/>
  <c r="S43" i="5"/>
  <c r="R43" i="5"/>
  <c r="Q43" i="5"/>
  <c r="P43" i="5"/>
  <c r="O43" i="5"/>
  <c r="N43" i="5"/>
  <c r="M43" i="5"/>
  <c r="L43" i="5"/>
  <c r="K43" i="5"/>
  <c r="J43" i="5"/>
  <c r="I43" i="5"/>
  <c r="H43" i="5"/>
  <c r="G43" i="5"/>
  <c r="F43" i="5"/>
  <c r="E43" i="5"/>
  <c r="D43" i="5"/>
  <c r="C43" i="5"/>
  <c r="CV42" i="5"/>
  <c r="CU42" i="5"/>
  <c r="CT42" i="5"/>
  <c r="CS42" i="5"/>
  <c r="CR42" i="5"/>
  <c r="CQ42" i="5"/>
  <c r="CP42" i="5"/>
  <c r="CO42" i="5"/>
  <c r="CN42" i="5"/>
  <c r="CM42" i="5"/>
  <c r="CL42" i="5"/>
  <c r="CK42" i="5"/>
  <c r="CJ42" i="5"/>
  <c r="CI42" i="5"/>
  <c r="CH42" i="5"/>
  <c r="CG42" i="5"/>
  <c r="CF42" i="5"/>
  <c r="BS42" i="5"/>
  <c r="AQ38" i="5"/>
  <c r="AP38" i="5"/>
  <c r="AO38" i="5"/>
  <c r="CO37" i="5"/>
  <c r="CN37" i="5"/>
  <c r="CM37" i="5"/>
  <c r="CL37" i="5"/>
  <c r="BA37" i="5"/>
  <c r="BA85" i="5" s="1"/>
  <c r="CC87" i="2" s="1"/>
  <c r="AM28" i="5"/>
  <c r="AM29" i="5" s="1"/>
  <c r="BA27" i="5"/>
  <c r="AZ27" i="5"/>
  <c r="AY27" i="5"/>
  <c r="AX27" i="5"/>
  <c r="AW27" i="5"/>
  <c r="AV27" i="5"/>
  <c r="AU27" i="5"/>
  <c r="AT27" i="5"/>
  <c r="AS27" i="5"/>
  <c r="AR27" i="5"/>
  <c r="AQ27" i="5"/>
  <c r="AP27" i="5"/>
  <c r="AO27" i="5"/>
  <c r="AN27" i="5"/>
  <c r="AM27" i="5"/>
  <c r="AL27" i="5"/>
  <c r="AK27" i="5"/>
  <c r="AJ27" i="5"/>
  <c r="AI27" i="5"/>
  <c r="AH27" i="5"/>
  <c r="AG27" i="5"/>
  <c r="AF27" i="5"/>
  <c r="AE27" i="5"/>
  <c r="AD27" i="5"/>
  <c r="AC27" i="5"/>
  <c r="AB27" i="5"/>
  <c r="AA27" i="5"/>
  <c r="Z27" i="5"/>
  <c r="BG26" i="5"/>
  <c r="BE26" i="5"/>
  <c r="BD26" i="5"/>
  <c r="BC26" i="5"/>
  <c r="BA26" i="5"/>
  <c r="AZ26" i="5"/>
  <c r="AY26" i="5"/>
  <c r="AX26" i="5"/>
  <c r="AW26" i="5"/>
  <c r="AV26" i="5"/>
  <c r="AU26" i="5"/>
  <c r="AT26" i="5"/>
  <c r="AS26" i="5"/>
  <c r="AR26" i="5"/>
  <c r="AQ26" i="5"/>
  <c r="AP26" i="5"/>
  <c r="AO26" i="5"/>
  <c r="AN26" i="5"/>
  <c r="AM26" i="5"/>
  <c r="AL26" i="5"/>
  <c r="AK26" i="5"/>
  <c r="AJ26" i="5"/>
  <c r="AI26" i="5"/>
  <c r="AH26" i="5"/>
  <c r="AG26" i="5"/>
  <c r="AF26" i="5"/>
  <c r="AE26" i="5"/>
  <c r="AD26" i="5"/>
  <c r="BG25" i="5"/>
  <c r="BF25" i="5"/>
  <c r="BE25" i="5"/>
  <c r="BD25" i="5"/>
  <c r="BA25" i="5"/>
  <c r="AZ25" i="5"/>
  <c r="AY25" i="5"/>
  <c r="AX25" i="5"/>
  <c r="AW25" i="5"/>
  <c r="AV25" i="5"/>
  <c r="AU25" i="5"/>
  <c r="AT25" i="5"/>
  <c r="AS25" i="5"/>
  <c r="AR25" i="5"/>
  <c r="AQ25" i="5"/>
  <c r="AP25" i="5"/>
  <c r="AO25" i="5"/>
  <c r="AN25" i="5"/>
  <c r="AM25" i="5"/>
  <c r="AL25" i="5"/>
  <c r="AK25" i="5"/>
  <c r="AJ25" i="5"/>
  <c r="AI25" i="5"/>
  <c r="AH25" i="5"/>
  <c r="AG25" i="5"/>
  <c r="AF25" i="5"/>
  <c r="AE25" i="5"/>
  <c r="AD25" i="5"/>
  <c r="AC25" i="5"/>
  <c r="AB25" i="5"/>
  <c r="AA25" i="5"/>
  <c r="BH24" i="5"/>
  <c r="BI24" i="5" s="1"/>
  <c r="BB24" i="5"/>
  <c r="BF26" i="5" s="1"/>
  <c r="AN67" i="5"/>
  <c r="AM67" i="5"/>
  <c r="AL67" i="5"/>
  <c r="AK67" i="5"/>
  <c r="AI67" i="5"/>
  <c r="AH67" i="5"/>
  <c r="AG67" i="5"/>
  <c r="AF67" i="5"/>
  <c r="AE67" i="5"/>
  <c r="AC67" i="5"/>
  <c r="AB67" i="5"/>
  <c r="AA67" i="5"/>
  <c r="Z67" i="5"/>
  <c r="Y67" i="5"/>
  <c r="W67" i="5"/>
  <c r="V67" i="5"/>
  <c r="U67" i="5"/>
  <c r="T67" i="5"/>
  <c r="S67" i="5"/>
  <c r="Q67" i="5"/>
  <c r="P67" i="5"/>
  <c r="O67" i="5"/>
  <c r="N67" i="5"/>
  <c r="M67" i="5"/>
  <c r="K67" i="5"/>
  <c r="J67" i="5"/>
  <c r="I67" i="5"/>
  <c r="H67" i="5"/>
  <c r="G67" i="5"/>
  <c r="E67" i="5"/>
  <c r="D67" i="5"/>
  <c r="C67" i="5"/>
  <c r="B67" i="5"/>
  <c r="CC17" i="5"/>
  <c r="CB17" i="5"/>
  <c r="CA17" i="5"/>
  <c r="BZ17" i="5"/>
  <c r="BY17" i="5"/>
  <c r="BX17" i="5"/>
  <c r="BW17" i="5"/>
  <c r="BV17" i="5"/>
  <c r="BU17" i="5"/>
  <c r="BT17" i="5"/>
  <c r="BS17" i="5"/>
  <c r="BR17" i="5"/>
  <c r="BQ17" i="5"/>
  <c r="BP17" i="5"/>
  <c r="BO17" i="5"/>
  <c r="BN17" i="5"/>
  <c r="BM17" i="5"/>
  <c r="BL17" i="5"/>
  <c r="BK17" i="5"/>
  <c r="BJ17" i="5"/>
  <c r="BI17" i="5"/>
  <c r="BH17" i="5"/>
  <c r="BG17" i="5"/>
  <c r="BF17" i="5"/>
  <c r="BE17" i="5"/>
  <c r="BD17" i="5"/>
  <c r="BC17" i="5"/>
  <c r="BB17" i="5"/>
  <c r="BA17" i="5"/>
  <c r="AZ17" i="5"/>
  <c r="AY17" i="5"/>
  <c r="AX17" i="5"/>
  <c r="AW17" i="5"/>
  <c r="AV17" i="5"/>
  <c r="AU17" i="5"/>
  <c r="AT17" i="5"/>
  <c r="AS17" i="5"/>
  <c r="AR17" i="5"/>
  <c r="AQ17" i="5"/>
  <c r="AP17" i="5"/>
  <c r="AO17" i="5"/>
  <c r="AN17" i="5"/>
  <c r="AM17" i="5"/>
  <c r="AL17" i="5"/>
  <c r="AK17" i="5"/>
  <c r="AJ17" i="5"/>
  <c r="AI17" i="5"/>
  <c r="AH17" i="5"/>
  <c r="AG17" i="5"/>
  <c r="AF17" i="5"/>
  <c r="AE17" i="5"/>
  <c r="AD17" i="5"/>
  <c r="AC17" i="5"/>
  <c r="AB17" i="5"/>
  <c r="AA17" i="5"/>
  <c r="Z17" i="5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CC16" i="5"/>
  <c r="CB16" i="5"/>
  <c r="CA16" i="5"/>
  <c r="BZ16" i="5"/>
  <c r="BY16" i="5"/>
  <c r="BX16" i="5"/>
  <c r="BW16" i="5"/>
  <c r="BV16" i="5"/>
  <c r="BU16" i="5"/>
  <c r="BT16" i="5"/>
  <c r="BS16" i="5"/>
  <c r="BR16" i="5"/>
  <c r="BQ16" i="5"/>
  <c r="BP16" i="5"/>
  <c r="BO16" i="5"/>
  <c r="BN16" i="5"/>
  <c r="BM16" i="5"/>
  <c r="BL16" i="5"/>
  <c r="BK16" i="5"/>
  <c r="BJ16" i="5"/>
  <c r="BI16" i="5"/>
  <c r="BH16" i="5"/>
  <c r="BG16" i="5"/>
  <c r="BF16" i="5"/>
  <c r="BE16" i="5"/>
  <c r="BD16" i="5"/>
  <c r="BC16" i="5"/>
  <c r="BB16" i="5"/>
  <c r="BA16" i="5"/>
  <c r="AZ16" i="5"/>
  <c r="AY16" i="5"/>
  <c r="AX16" i="5"/>
  <c r="AW16" i="5"/>
  <c r="AV16" i="5"/>
  <c r="AU16" i="5"/>
  <c r="AT16" i="5"/>
  <c r="AS16" i="5"/>
  <c r="AR16" i="5"/>
  <c r="AQ16" i="5"/>
  <c r="AP16" i="5"/>
  <c r="AO16" i="5"/>
  <c r="AN16" i="5"/>
  <c r="AM16" i="5"/>
  <c r="AL16" i="5"/>
  <c r="AK16" i="5"/>
  <c r="AJ16" i="5"/>
  <c r="AI16" i="5"/>
  <c r="AH16" i="5"/>
  <c r="AG16" i="5"/>
  <c r="AF16" i="5"/>
  <c r="AE16" i="5"/>
  <c r="AD16" i="5"/>
  <c r="AC16" i="5"/>
  <c r="AB16" i="5"/>
  <c r="AA16" i="5"/>
  <c r="Z16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D16" i="5"/>
  <c r="C16" i="5"/>
  <c r="CY15" i="5"/>
  <c r="CX15" i="5"/>
  <c r="CW15" i="5"/>
  <c r="CV15" i="5"/>
  <c r="CU15" i="5"/>
  <c r="CT15" i="5"/>
  <c r="CS15" i="5"/>
  <c r="CR15" i="5"/>
  <c r="CQ15" i="5"/>
  <c r="CP15" i="5"/>
  <c r="CO15" i="5"/>
  <c r="CN15" i="5"/>
  <c r="CM15" i="5"/>
  <c r="CL15" i="5"/>
  <c r="CK15" i="5"/>
  <c r="CJ15" i="5"/>
  <c r="CI15" i="5"/>
  <c r="CH15" i="5"/>
  <c r="CG15" i="5"/>
  <c r="CF15" i="5"/>
  <c r="CN12" i="5"/>
  <c r="CM12" i="5"/>
  <c r="CL12" i="5"/>
  <c r="BB12" i="5"/>
  <c r="BC12" i="5" s="1"/>
  <c r="AL12" i="5"/>
  <c r="AL9" i="5" s="1"/>
  <c r="BA9" i="5"/>
  <c r="BA34" i="5" s="1"/>
  <c r="AK9" i="5"/>
  <c r="AK59" i="5" s="1"/>
  <c r="AJ9" i="5"/>
  <c r="AJ59" i="5" s="1"/>
  <c r="AI9" i="5"/>
  <c r="AH9" i="5"/>
  <c r="AG9" i="5"/>
  <c r="AG59" i="5" s="1"/>
  <c r="AF9" i="5"/>
  <c r="AE9" i="5"/>
  <c r="AE59" i="5" s="1"/>
  <c r="AD9" i="5"/>
  <c r="AD59" i="5" s="1"/>
  <c r="AC9" i="5"/>
  <c r="AB9" i="5"/>
  <c r="AA9" i="5"/>
  <c r="AA59" i="5" s="1"/>
  <c r="Z9" i="5"/>
  <c r="BR7" i="5"/>
  <c r="BQ7" i="5"/>
  <c r="BP7" i="5"/>
  <c r="BO7" i="5"/>
  <c r="BN7" i="5"/>
  <c r="BM7" i="5"/>
  <c r="BL7" i="5"/>
  <c r="BK7" i="5"/>
  <c r="BJ7" i="5"/>
  <c r="BI7" i="5"/>
  <c r="BH7" i="5"/>
  <c r="BG7" i="5"/>
  <c r="BF7" i="5"/>
  <c r="BE7" i="5"/>
  <c r="BD7" i="5"/>
  <c r="BC7" i="5"/>
  <c r="BB7" i="5"/>
  <c r="BA7" i="5"/>
  <c r="AZ7" i="5"/>
  <c r="AY7" i="5"/>
  <c r="AX7" i="5"/>
  <c r="AW7" i="5"/>
  <c r="AV7" i="5"/>
  <c r="AU7" i="5"/>
  <c r="AT7" i="5"/>
  <c r="AS7" i="5"/>
  <c r="AR7" i="5"/>
  <c r="AQ7" i="5"/>
  <c r="AP7" i="5"/>
  <c r="AO7" i="5"/>
  <c r="AN7" i="5"/>
  <c r="AM7" i="5"/>
  <c r="AL7" i="5"/>
  <c r="AK7" i="5"/>
  <c r="AJ7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BR6" i="5"/>
  <c r="BQ6" i="5"/>
  <c r="BP6" i="5"/>
  <c r="BO6" i="5"/>
  <c r="BN6" i="5"/>
  <c r="BM6" i="5"/>
  <c r="BL6" i="5"/>
  <c r="BK6" i="5"/>
  <c r="BJ6" i="5"/>
  <c r="BI6" i="5"/>
  <c r="BH6" i="5"/>
  <c r="BG6" i="5"/>
  <c r="BF6" i="5"/>
  <c r="BE6" i="5"/>
  <c r="BD6" i="5"/>
  <c r="BC6" i="5"/>
  <c r="BB6" i="5"/>
  <c r="BA6" i="5"/>
  <c r="AZ6" i="5"/>
  <c r="AY6" i="5"/>
  <c r="AX6" i="5"/>
  <c r="AW6" i="5"/>
  <c r="AV6" i="5"/>
  <c r="AU6" i="5"/>
  <c r="AT6" i="5"/>
  <c r="AS6" i="5"/>
  <c r="AR6" i="5"/>
  <c r="AQ6" i="5"/>
  <c r="AP6" i="5"/>
  <c r="AO6" i="5"/>
  <c r="AN6" i="5"/>
  <c r="AM6" i="5"/>
  <c r="AL6" i="5"/>
  <c r="AK6" i="5"/>
  <c r="AJ6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CV5" i="5"/>
  <c r="CU5" i="5"/>
  <c r="CT5" i="5"/>
  <c r="CS5" i="5"/>
  <c r="CR5" i="5"/>
  <c r="CQ5" i="5"/>
  <c r="CP5" i="5"/>
  <c r="CO5" i="5"/>
  <c r="CN5" i="5"/>
  <c r="CM5" i="5"/>
  <c r="CL5" i="5"/>
  <c r="CK5" i="5"/>
  <c r="CJ5" i="5"/>
  <c r="CI5" i="5"/>
  <c r="CH5" i="5"/>
  <c r="CG5" i="5"/>
  <c r="CF5" i="5"/>
  <c r="AX4" i="5"/>
  <c r="AW4" i="5"/>
  <c r="AV4" i="5"/>
  <c r="AU4" i="5"/>
  <c r="AT4" i="5"/>
  <c r="AS4" i="5"/>
  <c r="AR4" i="5"/>
  <c r="AQ4" i="5"/>
  <c r="AP4" i="5"/>
  <c r="AO4" i="5"/>
  <c r="AN4" i="5"/>
  <c r="AM4" i="5"/>
  <c r="AL4" i="5"/>
  <c r="CC3" i="5"/>
  <c r="CB3" i="5"/>
  <c r="CA3" i="5"/>
  <c r="BZ3" i="5"/>
  <c r="BY3" i="5"/>
  <c r="BX3" i="5"/>
  <c r="BW3" i="5"/>
  <c r="BV3" i="5"/>
  <c r="BU3" i="5"/>
  <c r="BT3" i="5"/>
  <c r="BS3" i="5"/>
  <c r="BR3" i="5"/>
  <c r="BQ3" i="5"/>
  <c r="BP3" i="5"/>
  <c r="BO3" i="5"/>
  <c r="BN3" i="5"/>
  <c r="BM3" i="5"/>
  <c r="BL3" i="5"/>
  <c r="BK3" i="5"/>
  <c r="BJ3" i="5"/>
  <c r="BI3" i="5"/>
  <c r="BH3" i="5"/>
  <c r="BG3" i="5"/>
  <c r="BF3" i="5"/>
  <c r="BE3" i="5"/>
  <c r="BD3" i="5"/>
  <c r="BC3" i="5"/>
  <c r="BB3" i="5"/>
  <c r="BA3" i="5"/>
  <c r="AZ3" i="5"/>
  <c r="AY3" i="5"/>
  <c r="AX3" i="5"/>
  <c r="AW3" i="5"/>
  <c r="AV3" i="5"/>
  <c r="AU3" i="5"/>
  <c r="AT3" i="5"/>
  <c r="AS3" i="5"/>
  <c r="AR3" i="5"/>
  <c r="AQ3" i="5"/>
  <c r="AP3" i="5"/>
  <c r="AO3" i="5"/>
  <c r="AN3" i="5"/>
  <c r="AM3" i="5"/>
  <c r="AL3" i="5"/>
  <c r="AK3" i="5"/>
  <c r="AJ3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B3" i="5"/>
  <c r="BJ101" i="4"/>
  <c r="BJ24" i="4" s="1"/>
  <c r="CW92" i="4"/>
  <c r="CV92" i="4"/>
  <c r="CU92" i="4"/>
  <c r="CW87" i="4"/>
  <c r="CV87" i="4"/>
  <c r="CU87" i="4"/>
  <c r="CC87" i="4"/>
  <c r="CX87" i="4" s="1"/>
  <c r="CV81" i="4"/>
  <c r="CU81" i="4"/>
  <c r="BX80" i="4"/>
  <c r="BX81" i="4" s="1"/>
  <c r="CV76" i="4"/>
  <c r="CU76" i="4"/>
  <c r="BY76" i="4"/>
  <c r="CW76" i="4" s="1"/>
  <c r="CU70" i="4"/>
  <c r="BU69" i="4"/>
  <c r="BV69" i="4" s="1"/>
  <c r="BW69" i="4" s="1"/>
  <c r="CU65" i="4"/>
  <c r="BT65" i="4"/>
  <c r="BU65" i="4" s="1"/>
  <c r="BP59" i="4"/>
  <c r="BQ58" i="4"/>
  <c r="BQ59" i="4" s="1"/>
  <c r="BQ55" i="4"/>
  <c r="CU54" i="4"/>
  <c r="BR54" i="4"/>
  <c r="BO48" i="4"/>
  <c r="BP47" i="4"/>
  <c r="BP48" i="4" s="1"/>
  <c r="BP44" i="4"/>
  <c r="BQ43" i="4"/>
  <c r="BL36" i="4"/>
  <c r="BM36" i="4" s="1"/>
  <c r="BJ36" i="4"/>
  <c r="BJ37" i="4" s="1"/>
  <c r="BK32" i="4"/>
  <c r="BL32" i="4" s="1"/>
  <c r="BL25" i="4"/>
  <c r="BJ25" i="4"/>
  <c r="BJ26" i="4" s="1"/>
  <c r="BK21" i="4"/>
  <c r="BK26" i="4" s="1"/>
  <c r="CJ15" i="4"/>
  <c r="CI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CC10" i="4"/>
  <c r="CB10" i="4"/>
  <c r="CA10" i="4"/>
  <c r="BZ10" i="4"/>
  <c r="BY10" i="4"/>
  <c r="BX10" i="4"/>
  <c r="BW10" i="4"/>
  <c r="BV10" i="4"/>
  <c r="BU10" i="4"/>
  <c r="BT10" i="4"/>
  <c r="BS10" i="4"/>
  <c r="BR10" i="4"/>
  <c r="BQ10" i="4"/>
  <c r="BP10" i="4"/>
  <c r="BO10" i="4"/>
  <c r="BN10" i="4"/>
  <c r="BM10" i="4"/>
  <c r="BL10" i="4"/>
  <c r="BK10" i="4"/>
  <c r="BJ10" i="4"/>
  <c r="BI10" i="4"/>
  <c r="BH10" i="4"/>
  <c r="BG10" i="4"/>
  <c r="BF10" i="4"/>
  <c r="BE10" i="4"/>
  <c r="BD10" i="4"/>
  <c r="BC10" i="4"/>
  <c r="BB10" i="4"/>
  <c r="BA10" i="4"/>
  <c r="AZ10" i="4"/>
  <c r="AY10" i="4"/>
  <c r="AX10" i="4"/>
  <c r="AW10" i="4"/>
  <c r="AV10" i="4"/>
  <c r="AU10" i="4"/>
  <c r="AT10" i="4"/>
  <c r="AS10" i="4"/>
  <c r="AR10" i="4"/>
  <c r="AQ10" i="4"/>
  <c r="AP10" i="4"/>
  <c r="AO10" i="4"/>
  <c r="AN10" i="4"/>
  <c r="AM10" i="4"/>
  <c r="AL10" i="4"/>
  <c r="AK10" i="4"/>
  <c r="AJ10" i="4"/>
  <c r="AI10" i="4"/>
  <c r="AH10" i="4"/>
  <c r="AG10" i="4"/>
  <c r="AF10" i="4"/>
  <c r="AE10" i="4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CX9" i="4"/>
  <c r="CW9" i="4"/>
  <c r="CV9" i="4"/>
  <c r="CU9" i="4"/>
  <c r="CT9" i="4"/>
  <c r="CS9" i="4"/>
  <c r="CR9" i="4"/>
  <c r="CQ9" i="4"/>
  <c r="CP9" i="4"/>
  <c r="CO9" i="4"/>
  <c r="CN9" i="4"/>
  <c r="CM9" i="4"/>
  <c r="CL9" i="4"/>
  <c r="CK9" i="4"/>
  <c r="CJ9" i="4"/>
  <c r="CI9" i="4"/>
  <c r="CH9" i="4"/>
  <c r="CG9" i="4"/>
  <c r="CF9" i="4"/>
  <c r="CE9" i="4"/>
  <c r="CX8" i="4"/>
  <c r="CW8" i="4"/>
  <c r="CV8" i="4"/>
  <c r="CU8" i="4"/>
  <c r="CT8" i="4"/>
  <c r="CS8" i="4"/>
  <c r="CR8" i="4"/>
  <c r="CQ8" i="4"/>
  <c r="CP8" i="4"/>
  <c r="CO8" i="4"/>
  <c r="CN8" i="4"/>
  <c r="CM8" i="4"/>
  <c r="CL8" i="4"/>
  <c r="CK8" i="4"/>
  <c r="CJ8" i="4"/>
  <c r="CI8" i="4"/>
  <c r="CH8" i="4"/>
  <c r="CG8" i="4"/>
  <c r="CF8" i="4"/>
  <c r="CE8" i="4"/>
  <c r="CX7" i="4"/>
  <c r="CW7" i="4"/>
  <c r="CV7" i="4"/>
  <c r="CU7" i="4"/>
  <c r="CT7" i="4"/>
  <c r="CS7" i="4"/>
  <c r="CR7" i="4"/>
  <c r="CQ7" i="4"/>
  <c r="CP7" i="4"/>
  <c r="CO7" i="4"/>
  <c r="CN7" i="4"/>
  <c r="CM7" i="4"/>
  <c r="CL7" i="4"/>
  <c r="CK7" i="4"/>
  <c r="CJ7" i="4"/>
  <c r="CI7" i="4"/>
  <c r="CH7" i="4"/>
  <c r="CG7" i="4"/>
  <c r="CF7" i="4"/>
  <c r="CE7" i="4"/>
  <c r="CX6" i="4"/>
  <c r="CW6" i="4"/>
  <c r="CV6" i="4"/>
  <c r="CU6" i="4"/>
  <c r="CT6" i="4"/>
  <c r="CS6" i="4"/>
  <c r="CR6" i="4"/>
  <c r="CQ6" i="4"/>
  <c r="CP6" i="4"/>
  <c r="CO6" i="4"/>
  <c r="CN6" i="4"/>
  <c r="CM6" i="4"/>
  <c r="CL6" i="4"/>
  <c r="CK6" i="4"/>
  <c r="CJ6" i="4"/>
  <c r="CI6" i="4"/>
  <c r="CH6" i="4"/>
  <c r="CG6" i="4"/>
  <c r="CF6" i="4"/>
  <c r="CE6" i="4"/>
  <c r="CX5" i="4"/>
  <c r="CW5" i="4"/>
  <c r="CV5" i="4"/>
  <c r="CU5" i="4"/>
  <c r="CT5" i="4"/>
  <c r="CS5" i="4"/>
  <c r="CR5" i="4"/>
  <c r="CQ5" i="4"/>
  <c r="CP5" i="4"/>
  <c r="CO5" i="4"/>
  <c r="CN5" i="4"/>
  <c r="CM5" i="4"/>
  <c r="CL5" i="4"/>
  <c r="CK5" i="4"/>
  <c r="CJ5" i="4"/>
  <c r="CI5" i="4"/>
  <c r="CH5" i="4"/>
  <c r="CG5" i="4"/>
  <c r="CF5" i="4"/>
  <c r="CE5" i="4"/>
  <c r="CX4" i="4"/>
  <c r="CW4" i="4"/>
  <c r="CV4" i="4"/>
  <c r="CU4" i="4"/>
  <c r="CT4" i="4"/>
  <c r="CS4" i="4"/>
  <c r="CR4" i="4"/>
  <c r="CQ4" i="4"/>
  <c r="CP4" i="4"/>
  <c r="CO4" i="4"/>
  <c r="CN4" i="4"/>
  <c r="CM4" i="4"/>
  <c r="CL4" i="4"/>
  <c r="CK4" i="4"/>
  <c r="CJ4" i="4"/>
  <c r="CI4" i="4"/>
  <c r="CH4" i="4"/>
  <c r="CG4" i="4"/>
  <c r="CF4" i="4"/>
  <c r="CE4" i="4"/>
  <c r="CX3" i="4"/>
  <c r="CW3" i="4"/>
  <c r="CV3" i="4"/>
  <c r="CU3" i="4"/>
  <c r="CT3" i="4"/>
  <c r="CS3" i="4"/>
  <c r="CR3" i="4"/>
  <c r="CQ3" i="4"/>
  <c r="CP3" i="4"/>
  <c r="CO3" i="4"/>
  <c r="CN3" i="4"/>
  <c r="CM3" i="4"/>
  <c r="CL3" i="4"/>
  <c r="CK3" i="4"/>
  <c r="CJ3" i="4"/>
  <c r="CI3" i="4"/>
  <c r="CH3" i="4"/>
  <c r="CG3" i="4"/>
  <c r="CF3" i="4"/>
  <c r="CE3" i="4"/>
  <c r="CS2" i="4"/>
  <c r="CR2" i="4"/>
  <c r="CQ2" i="4"/>
  <c r="CP2" i="4"/>
  <c r="CO2" i="4"/>
  <c r="CN2" i="4"/>
  <c r="CM2" i="4"/>
  <c r="CL2" i="4"/>
  <c r="CK2" i="4"/>
  <c r="CJ2" i="4"/>
  <c r="CI2" i="4"/>
  <c r="CH2" i="4"/>
  <c r="CG2" i="4"/>
  <c r="CF2" i="4"/>
  <c r="CE2" i="4"/>
  <c r="CC1" i="4"/>
  <c r="CB1" i="4"/>
  <c r="CA1" i="4"/>
  <c r="BZ1" i="4"/>
  <c r="BY1" i="4"/>
  <c r="BX1" i="4"/>
  <c r="BW1" i="4"/>
  <c r="BV1" i="4"/>
  <c r="BQ1" i="4"/>
  <c r="BP1" i="4"/>
  <c r="BO1" i="4"/>
  <c r="BN1" i="4"/>
  <c r="BM1" i="4"/>
  <c r="BL1" i="4"/>
  <c r="BK1" i="4"/>
  <c r="BJ1" i="4"/>
  <c r="BI1" i="4"/>
  <c r="BH1" i="4"/>
  <c r="BG1" i="4"/>
  <c r="BF1" i="4"/>
  <c r="BE1" i="4"/>
  <c r="BD1" i="4"/>
  <c r="BC1" i="4"/>
  <c r="BB1" i="4"/>
  <c r="BA1" i="4"/>
  <c r="AZ1" i="4"/>
  <c r="AY1" i="4"/>
  <c r="AX1" i="4"/>
  <c r="AW1" i="4"/>
  <c r="AV1" i="4"/>
  <c r="AU1" i="4"/>
  <c r="AT1" i="4"/>
  <c r="AS1" i="4"/>
  <c r="AR1" i="4"/>
  <c r="AQ1" i="4"/>
  <c r="AP1" i="4"/>
  <c r="AO1" i="4"/>
  <c r="AN1" i="4"/>
  <c r="AM1" i="4"/>
  <c r="AL1" i="4"/>
  <c r="AK1" i="4"/>
  <c r="AJ1" i="4"/>
  <c r="AI1" i="4"/>
  <c r="AH1" i="4"/>
  <c r="AG1" i="4"/>
  <c r="AF1" i="4"/>
  <c r="AE1" i="4"/>
  <c r="AD1" i="4"/>
  <c r="AC1" i="4"/>
  <c r="AB1" i="4"/>
  <c r="AA1" i="4"/>
  <c r="Z1" i="4"/>
  <c r="Y1" i="4"/>
  <c r="X1" i="4"/>
  <c r="W1" i="4"/>
  <c r="V1" i="4"/>
  <c r="U1" i="4"/>
  <c r="T1" i="4"/>
  <c r="S1" i="4"/>
  <c r="R1" i="4"/>
  <c r="Q1" i="4"/>
  <c r="P1" i="4"/>
  <c r="O1" i="4"/>
  <c r="N1" i="4"/>
  <c r="M1" i="4"/>
  <c r="L1" i="4"/>
  <c r="K1" i="4"/>
  <c r="J1" i="4"/>
  <c r="I1" i="4"/>
  <c r="H1" i="4"/>
  <c r="G1" i="4"/>
  <c r="F1" i="4"/>
  <c r="E1" i="4"/>
  <c r="D1" i="4"/>
  <c r="C1" i="4"/>
  <c r="B1" i="4"/>
  <c r="A257" i="3"/>
  <c r="A256" i="3"/>
  <c r="A255" i="3"/>
  <c r="A254" i="3"/>
  <c r="A253" i="3"/>
  <c r="AI243" i="3"/>
  <c r="AH243" i="3"/>
  <c r="AG243" i="3"/>
  <c r="AF243" i="3"/>
  <c r="AF255" i="3" s="1"/>
  <c r="AC243" i="3"/>
  <c r="AB243" i="3"/>
  <c r="AA243" i="3"/>
  <c r="Y243" i="3"/>
  <c r="X243" i="3"/>
  <c r="W243" i="3"/>
  <c r="W255" i="3" s="1"/>
  <c r="V243" i="3"/>
  <c r="BC238" i="3"/>
  <c r="AX238" i="3"/>
  <c r="AS238" i="3"/>
  <c r="AK238" i="3"/>
  <c r="AN238" i="3" s="1"/>
  <c r="BB237" i="3"/>
  <c r="BA237" i="3"/>
  <c r="AZ237" i="3"/>
  <c r="AW237" i="3"/>
  <c r="AV237" i="3"/>
  <c r="AU237" i="3"/>
  <c r="AR237" i="3"/>
  <c r="AQ237" i="3"/>
  <c r="AP237" i="3"/>
  <c r="AM237" i="3"/>
  <c r="AL237" i="3"/>
  <c r="BB236" i="3"/>
  <c r="BA236" i="3"/>
  <c r="AZ236" i="3"/>
  <c r="AW236" i="3"/>
  <c r="AV236" i="3"/>
  <c r="AU236" i="3"/>
  <c r="AR236" i="3"/>
  <c r="AQ236" i="3"/>
  <c r="AP236" i="3"/>
  <c r="AM236" i="3"/>
  <c r="AL236" i="3"/>
  <c r="BC234" i="3"/>
  <c r="AX234" i="3"/>
  <c r="AS234" i="3"/>
  <c r="AS236" i="3" s="1"/>
  <c r="AK234" i="3"/>
  <c r="AN234" i="3" s="1"/>
  <c r="AX231" i="3"/>
  <c r="AS231" i="3"/>
  <c r="AK231" i="3"/>
  <c r="AN231" i="3" s="1"/>
  <c r="AW230" i="3"/>
  <c r="AV230" i="3"/>
  <c r="AU230" i="3"/>
  <c r="AR230" i="3"/>
  <c r="AQ230" i="3"/>
  <c r="AP230" i="3"/>
  <c r="AM230" i="3"/>
  <c r="AL230" i="3"/>
  <c r="BC229" i="3"/>
  <c r="BB229" i="3"/>
  <c r="AW229" i="3"/>
  <c r="AV229" i="3"/>
  <c r="AU229" i="3"/>
  <c r="AR229" i="3"/>
  <c r="AQ229" i="3"/>
  <c r="AP229" i="3"/>
  <c r="AK228" i="3"/>
  <c r="BA227" i="3"/>
  <c r="BA218" i="3" s="1"/>
  <c r="AZ227" i="3"/>
  <c r="AX227" i="3"/>
  <c r="AX229" i="3" s="1"/>
  <c r="AS227" i="3"/>
  <c r="AS225" i="3" s="1"/>
  <c r="AK227" i="3"/>
  <c r="AK225" i="3" s="1"/>
  <c r="AI227" i="3"/>
  <c r="AI229" i="3" s="1"/>
  <c r="AH227" i="3"/>
  <c r="AH229" i="3" s="1"/>
  <c r="AW226" i="3"/>
  <c r="AW225" i="3" s="1"/>
  <c r="BC225" i="3"/>
  <c r="BB225" i="3"/>
  <c r="AV225" i="3"/>
  <c r="AU225" i="3"/>
  <c r="AR225" i="3"/>
  <c r="AQ225" i="3"/>
  <c r="AP225" i="3"/>
  <c r="AM225" i="3"/>
  <c r="AL225" i="3"/>
  <c r="AX222" i="3"/>
  <c r="AS222" i="3"/>
  <c r="AM222" i="3"/>
  <c r="AM212" i="3" s="1"/>
  <c r="AW221" i="3"/>
  <c r="AV221" i="3"/>
  <c r="AU221" i="3"/>
  <c r="AR221" i="3"/>
  <c r="AQ221" i="3"/>
  <c r="AP221" i="3"/>
  <c r="AL221" i="3"/>
  <c r="AK221" i="3"/>
  <c r="AW220" i="3"/>
  <c r="AV220" i="3"/>
  <c r="AU220" i="3"/>
  <c r="AR220" i="3"/>
  <c r="AQ220" i="3"/>
  <c r="AQ219" i="3" s="1"/>
  <c r="AM220" i="3"/>
  <c r="AL220" i="3"/>
  <c r="AK220" i="3"/>
  <c r="BA219" i="3"/>
  <c r="BB219" i="3" s="1"/>
  <c r="BB218" i="3"/>
  <c r="BB222" i="3" s="1"/>
  <c r="BB231" i="3" s="1"/>
  <c r="BB230" i="3" s="1"/>
  <c r="AX218" i="3"/>
  <c r="AX220" i="3" s="1"/>
  <c r="AS218" i="3"/>
  <c r="AS220" i="3" s="1"/>
  <c r="AN218" i="3"/>
  <c r="AH218" i="3"/>
  <c r="AG218" i="3"/>
  <c r="AG220" i="3" s="1"/>
  <c r="AF218" i="3"/>
  <c r="AD218" i="3"/>
  <c r="AD220" i="3" s="1"/>
  <c r="AC218" i="3"/>
  <c r="AB218" i="3"/>
  <c r="AB220" i="3" s="1"/>
  <c r="AA218" i="3"/>
  <c r="AA220" i="3" s="1"/>
  <c r="AW217" i="3"/>
  <c r="AW215" i="3" s="1"/>
  <c r="AV217" i="3"/>
  <c r="AU217" i="3"/>
  <c r="AR217" i="3"/>
  <c r="AP215" i="3"/>
  <c r="AP220" i="3" s="1"/>
  <c r="AP219" i="3" s="1"/>
  <c r="AM215" i="3"/>
  <c r="AL215" i="3"/>
  <c r="AK215" i="3"/>
  <c r="BC212" i="3"/>
  <c r="AX212" i="3"/>
  <c r="AS212" i="3"/>
  <c r="AL212" i="3"/>
  <c r="BB211" i="3"/>
  <c r="BA211" i="3"/>
  <c r="AZ211" i="3"/>
  <c r="AW211" i="3"/>
  <c r="AV211" i="3"/>
  <c r="AU211" i="3"/>
  <c r="AR211" i="3"/>
  <c r="AQ211" i="3"/>
  <c r="AP211" i="3"/>
  <c r="BB210" i="3"/>
  <c r="BA210" i="3"/>
  <c r="AZ210" i="3"/>
  <c r="AW210" i="3"/>
  <c r="AV210" i="3"/>
  <c r="AU210" i="3"/>
  <c r="AR210" i="3"/>
  <c r="AQ210" i="3"/>
  <c r="AP210" i="3"/>
  <c r="BC208" i="3"/>
  <c r="AX208" i="3"/>
  <c r="AS208" i="3"/>
  <c r="AS207" i="3" s="1"/>
  <c r="AM208" i="3"/>
  <c r="AM210" i="3" s="1"/>
  <c r="AL208" i="3"/>
  <c r="AI208" i="3"/>
  <c r="AI210" i="3" s="1"/>
  <c r="AG208" i="3"/>
  <c r="AG210" i="3" s="1"/>
  <c r="AC208" i="3"/>
  <c r="AC210" i="3" s="1"/>
  <c r="AB208" i="3"/>
  <c r="AB210" i="3" s="1"/>
  <c r="AA208" i="3"/>
  <c r="Y208" i="3"/>
  <c r="Y210" i="3" s="1"/>
  <c r="X208" i="3"/>
  <c r="X210" i="3" s="1"/>
  <c r="W208" i="3"/>
  <c r="W210" i="3" s="1"/>
  <c r="V208" i="3"/>
  <c r="V210" i="3" s="1"/>
  <c r="BA207" i="3"/>
  <c r="AZ207" i="3"/>
  <c r="AV207" i="3"/>
  <c r="AU207" i="3"/>
  <c r="AR207" i="3"/>
  <c r="AQ207" i="3"/>
  <c r="AP207" i="3"/>
  <c r="BB206" i="3"/>
  <c r="BB207" i="3" s="1"/>
  <c r="AL206" i="3"/>
  <c r="AL205" i="3" s="1"/>
  <c r="AK206" i="3"/>
  <c r="AK205" i="3" s="1"/>
  <c r="BC205" i="3"/>
  <c r="BA205" i="3"/>
  <c r="AZ205" i="3"/>
  <c r="AX205" i="3"/>
  <c r="AW205" i="3"/>
  <c r="AV205" i="3"/>
  <c r="AU205" i="3"/>
  <c r="AS205" i="3"/>
  <c r="AR205" i="3"/>
  <c r="AQ205" i="3"/>
  <c r="AP205" i="3"/>
  <c r="AN205" i="3"/>
  <c r="AM205" i="3"/>
  <c r="BC201" i="3"/>
  <c r="BB200" i="3"/>
  <c r="BA200" i="3"/>
  <c r="AZ200" i="3"/>
  <c r="BB199" i="3"/>
  <c r="BA199" i="3"/>
  <c r="AZ199" i="3"/>
  <c r="BC194" i="3"/>
  <c r="BA193" i="3"/>
  <c r="BB193" i="3" s="1"/>
  <c r="BB192" i="3" s="1"/>
  <c r="BB168" i="3" s="1"/>
  <c r="AZ192" i="3"/>
  <c r="AZ167" i="3" s="1"/>
  <c r="AW189" i="3"/>
  <c r="AW176" i="3" s="1"/>
  <c r="AW187" i="3"/>
  <c r="AV183" i="3"/>
  <c r="AU183" i="3" s="1"/>
  <c r="AR183" i="3"/>
  <c r="AR187" i="3" s="1"/>
  <c r="AQ183" i="3"/>
  <c r="AP183" i="3"/>
  <c r="AP187" i="3" s="1"/>
  <c r="AN183" i="3"/>
  <c r="AN189" i="3" s="1"/>
  <c r="AM183" i="3"/>
  <c r="AM189" i="3" s="1"/>
  <c r="AM176" i="3" s="1"/>
  <c r="AL183" i="3"/>
  <c r="AL187" i="3" s="1"/>
  <c r="AK183" i="3"/>
  <c r="AK189" i="3" s="1"/>
  <c r="AI183" i="3"/>
  <c r="AG183" i="3"/>
  <c r="AH183" i="3" s="1"/>
  <c r="AF183" i="3"/>
  <c r="AF187" i="3" s="1"/>
  <c r="AD183" i="3"/>
  <c r="AD187" i="3" s="1"/>
  <c r="AC183" i="3"/>
  <c r="AB183" i="3"/>
  <c r="AA183" i="3"/>
  <c r="AA187" i="3" s="1"/>
  <c r="AW182" i="3"/>
  <c r="AS182" i="3"/>
  <c r="AS183" i="3" s="1"/>
  <c r="AS187" i="3" s="1"/>
  <c r="BB181" i="3"/>
  <c r="BC180" i="3"/>
  <c r="BA180" i="3"/>
  <c r="AZ180" i="3"/>
  <c r="AX180" i="3"/>
  <c r="AW180" i="3"/>
  <c r="AV180" i="3"/>
  <c r="AU180" i="3"/>
  <c r="AS180" i="3"/>
  <c r="AR180" i="3"/>
  <c r="AQ180" i="3"/>
  <c r="AP180" i="3"/>
  <c r="AN180" i="3"/>
  <c r="AM180" i="3"/>
  <c r="AL180" i="3"/>
  <c r="AK180" i="3"/>
  <c r="AI180" i="3"/>
  <c r="AH180" i="3"/>
  <c r="AG180" i="3"/>
  <c r="AF180" i="3"/>
  <c r="AD180" i="3"/>
  <c r="AC180" i="3"/>
  <c r="AB180" i="3"/>
  <c r="AA180" i="3"/>
  <c r="Y180" i="3"/>
  <c r="X180" i="3"/>
  <c r="W180" i="3"/>
  <c r="V180" i="3"/>
  <c r="AW170" i="3"/>
  <c r="AW169" i="3" s="1"/>
  <c r="AX167" i="3"/>
  <c r="AW167" i="3"/>
  <c r="AV167" i="3"/>
  <c r="AU167" i="3"/>
  <c r="AS167" i="3"/>
  <c r="AR167" i="3"/>
  <c r="AQ167" i="3"/>
  <c r="AP167" i="3"/>
  <c r="AN167" i="3"/>
  <c r="AM167" i="3"/>
  <c r="AL167" i="3"/>
  <c r="AK167" i="3"/>
  <c r="AI167" i="3"/>
  <c r="AH167" i="3"/>
  <c r="AG167" i="3"/>
  <c r="AF167" i="3"/>
  <c r="AD167" i="3"/>
  <c r="AC167" i="3"/>
  <c r="AB167" i="3"/>
  <c r="AA167" i="3"/>
  <c r="Y167" i="3"/>
  <c r="X167" i="3"/>
  <c r="W167" i="3"/>
  <c r="V167" i="3"/>
  <c r="EL155" i="3"/>
  <c r="EI155" i="3"/>
  <c r="EE155" i="3"/>
  <c r="ED155" i="3"/>
  <c r="EC155" i="3"/>
  <c r="EB155" i="3"/>
  <c r="DZ155" i="3"/>
  <c r="DY155" i="3"/>
  <c r="DX155" i="3"/>
  <c r="DU155" i="3"/>
  <c r="DT155" i="3"/>
  <c r="DS155" i="3"/>
  <c r="DR155" i="3"/>
  <c r="DP155" i="3"/>
  <c r="DO155" i="3"/>
  <c r="DN155" i="3"/>
  <c r="DM155" i="3"/>
  <c r="DK155" i="3"/>
  <c r="CJ155" i="3"/>
  <c r="CI155" i="3"/>
  <c r="CG155" i="3"/>
  <c r="CF155" i="3"/>
  <c r="CE155" i="3"/>
  <c r="CD155" i="3"/>
  <c r="CB155" i="3"/>
  <c r="CA155" i="3"/>
  <c r="BZ155" i="3"/>
  <c r="BY155" i="3"/>
  <c r="BV155" i="3"/>
  <c r="BU155" i="3"/>
  <c r="BT155" i="3"/>
  <c r="BR155" i="3"/>
  <c r="BP155" i="3"/>
  <c r="BO155" i="3"/>
  <c r="BM155" i="3"/>
  <c r="BK155" i="3"/>
  <c r="BJ155" i="3"/>
  <c r="BH155" i="3"/>
  <c r="BG155" i="3"/>
  <c r="BE155" i="3"/>
  <c r="BB155" i="3"/>
  <c r="BA155" i="3"/>
  <c r="AZ155" i="3"/>
  <c r="AX155" i="3"/>
  <c r="AW155" i="3"/>
  <c r="AV155" i="3"/>
  <c r="AU155" i="3"/>
  <c r="AS155" i="3"/>
  <c r="AQ155" i="3"/>
  <c r="AP155" i="3"/>
  <c r="AN155" i="3"/>
  <c r="AM155" i="3"/>
  <c r="AL155" i="3"/>
  <c r="AK155" i="3"/>
  <c r="AI155" i="3"/>
  <c r="AH155" i="3"/>
  <c r="AG155" i="3"/>
  <c r="AF155" i="3"/>
  <c r="AD155" i="3"/>
  <c r="AC155" i="3"/>
  <c r="AB155" i="3"/>
  <c r="EM154" i="3"/>
  <c r="EL154" i="3"/>
  <c r="EP154" i="3" s="1"/>
  <c r="EJ154" i="3"/>
  <c r="EE154" i="3"/>
  <c r="ED154" i="3"/>
  <c r="EC154" i="3"/>
  <c r="EB154" i="3"/>
  <c r="EF154" i="3" s="1"/>
  <c r="DZ154" i="3"/>
  <c r="DY154" i="3"/>
  <c r="DW154" i="3"/>
  <c r="EA154" i="3" s="1"/>
  <c r="DU154" i="3"/>
  <c r="DT154" i="3"/>
  <c r="DS154" i="3"/>
  <c r="DR154" i="3"/>
  <c r="DV154" i="3" s="1"/>
  <c r="DP154" i="3"/>
  <c r="DO154" i="3"/>
  <c r="DN154" i="3"/>
  <c r="DM154" i="3"/>
  <c r="DQ154" i="3" s="1"/>
  <c r="CK154" i="3"/>
  <c r="CJ154" i="3"/>
  <c r="CI154" i="3"/>
  <c r="CM154" i="3" s="1"/>
  <c r="CG154" i="3"/>
  <c r="CF154" i="3"/>
  <c r="CE154" i="3"/>
  <c r="CD154" i="3"/>
  <c r="CH154" i="3" s="1"/>
  <c r="CB154" i="3"/>
  <c r="CA154" i="3"/>
  <c r="BZ154" i="3"/>
  <c r="BW154" i="3"/>
  <c r="BV154" i="3"/>
  <c r="BU154" i="3"/>
  <c r="BT154" i="3"/>
  <c r="BQ154" i="3"/>
  <c r="BP154" i="3"/>
  <c r="BO154" i="3"/>
  <c r="BL154" i="3"/>
  <c r="BK154" i="3"/>
  <c r="BJ154" i="3"/>
  <c r="BH154" i="3"/>
  <c r="BF154" i="3"/>
  <c r="BC154" i="3"/>
  <c r="BB154" i="3"/>
  <c r="BA154" i="3"/>
  <c r="AZ154" i="3"/>
  <c r="AX154" i="3"/>
  <c r="AW154" i="3"/>
  <c r="AV154" i="3"/>
  <c r="AU154" i="3"/>
  <c r="AR154" i="3"/>
  <c r="AQ154" i="3"/>
  <c r="AP154" i="3"/>
  <c r="AN154" i="3"/>
  <c r="AM154" i="3"/>
  <c r="AL154" i="3"/>
  <c r="AK154" i="3"/>
  <c r="AI154" i="3"/>
  <c r="AH154" i="3"/>
  <c r="AG154" i="3"/>
  <c r="AF154" i="3"/>
  <c r="AD154" i="3"/>
  <c r="AC154" i="3"/>
  <c r="AB154" i="3"/>
  <c r="AA155" i="3" s="1"/>
  <c r="AA154" i="3"/>
  <c r="Y155" i="3" s="1"/>
  <c r="Y154" i="3"/>
  <c r="X155" i="3" s="1"/>
  <c r="X154" i="3"/>
  <c r="W155" i="3" s="1"/>
  <c r="W154" i="3"/>
  <c r="V155" i="3" s="1"/>
  <c r="V154" i="3"/>
  <c r="T155" i="3" s="1"/>
  <c r="T154" i="3"/>
  <c r="S155" i="3" s="1"/>
  <c r="S154" i="3"/>
  <c r="R155" i="3" s="1"/>
  <c r="R154" i="3"/>
  <c r="Q155" i="3" s="1"/>
  <c r="Q154" i="3"/>
  <c r="O155" i="3" s="1"/>
  <c r="P154" i="3"/>
  <c r="U154" i="3" s="1"/>
  <c r="Z154" i="3" s="1"/>
  <c r="O154" i="3"/>
  <c r="N155" i="3" s="1"/>
  <c r="N154" i="3"/>
  <c r="M155" i="3" s="1"/>
  <c r="M154" i="3"/>
  <c r="L155" i="3" s="1"/>
  <c r="DH148" i="3"/>
  <c r="BE148" i="3"/>
  <c r="AZ148" i="3"/>
  <c r="AU148" i="3"/>
  <c r="AP148" i="3"/>
  <c r="AK148" i="3"/>
  <c r="AF148" i="3"/>
  <c r="AA148" i="3"/>
  <c r="Q148" i="3"/>
  <c r="EM146" i="3"/>
  <c r="EL146" i="3"/>
  <c r="EJ146" i="3"/>
  <c r="EJ148" i="3" s="1"/>
  <c r="EI146" i="3"/>
  <c r="EI148" i="3" s="1"/>
  <c r="EH146" i="3"/>
  <c r="EH148" i="3" s="1"/>
  <c r="EG146" i="3"/>
  <c r="EE146" i="3"/>
  <c r="EE148" i="3" s="1"/>
  <c r="ED146" i="3"/>
  <c r="ED148" i="3" s="1"/>
  <c r="EC146" i="3"/>
  <c r="EC148" i="3" s="1"/>
  <c r="EB146" i="3"/>
  <c r="DZ146" i="3"/>
  <c r="DZ148" i="3" s="1"/>
  <c r="DY146" i="3"/>
  <c r="DY148" i="3" s="1"/>
  <c r="DX146" i="3"/>
  <c r="DX148" i="3" s="1"/>
  <c r="DW146" i="3"/>
  <c r="DU146" i="3"/>
  <c r="DT146" i="3"/>
  <c r="DS146" i="3"/>
  <c r="DS148" i="3" s="1"/>
  <c r="DR146" i="3"/>
  <c r="DR148" i="3" s="1"/>
  <c r="DP146" i="3"/>
  <c r="DN146" i="3"/>
  <c r="DN148" i="3" s="1"/>
  <c r="DM146" i="3"/>
  <c r="DK146" i="3"/>
  <c r="DI146" i="3"/>
  <c r="DJ146" i="3" s="1"/>
  <c r="DC146" i="3"/>
  <c r="CX146" i="3"/>
  <c r="CY146" i="3" s="1"/>
  <c r="CZ146" i="3" s="1"/>
  <c r="DA146" i="3" s="1"/>
  <c r="CS146" i="3"/>
  <c r="CT146" i="3" s="1"/>
  <c r="CN146" i="3"/>
  <c r="CI146" i="3"/>
  <c r="CI148" i="3" s="1"/>
  <c r="CD146" i="3"/>
  <c r="CE146" i="3" s="1"/>
  <c r="BY146" i="3"/>
  <c r="BZ146" i="3" s="1"/>
  <c r="CA146" i="3" s="1"/>
  <c r="CB146" i="3" s="1"/>
  <c r="BT146" i="3"/>
  <c r="BU146" i="3" s="1"/>
  <c r="BV146" i="3" s="1"/>
  <c r="BP146" i="3"/>
  <c r="BJ146" i="3"/>
  <c r="BK146" i="3" s="1"/>
  <c r="BM146" i="3" s="1"/>
  <c r="BH146" i="3"/>
  <c r="BI146" i="3" s="1"/>
  <c r="BD146" i="3"/>
  <c r="AV146" i="3"/>
  <c r="AW146" i="3" s="1"/>
  <c r="AQ146" i="3"/>
  <c r="AR146" i="3" s="1"/>
  <c r="AO146" i="3"/>
  <c r="AJ146" i="3"/>
  <c r="AE146" i="3"/>
  <c r="Z146" i="3"/>
  <c r="U146" i="3"/>
  <c r="P146" i="3"/>
  <c r="EZ145" i="3"/>
  <c r="EU145" i="3"/>
  <c r="EP145" i="3"/>
  <c r="EK145" i="3"/>
  <c r="EF145" i="3"/>
  <c r="EA145" i="3"/>
  <c r="DV145" i="3"/>
  <c r="DQ145" i="3"/>
  <c r="DI145" i="3"/>
  <c r="DJ145" i="3" s="1"/>
  <c r="DD145" i="3"/>
  <c r="DE145" i="3" s="1"/>
  <c r="DF145" i="3" s="1"/>
  <c r="CY145" i="3"/>
  <c r="EY144" i="3"/>
  <c r="EW144" i="3"/>
  <c r="ET144" i="3"/>
  <c r="ER144" i="3"/>
  <c r="EO144" i="3"/>
  <c r="EP144" i="3" s="1"/>
  <c r="EK144" i="3"/>
  <c r="EF144" i="3"/>
  <c r="EA144" i="3"/>
  <c r="DT144" i="3"/>
  <c r="DU144" i="3" s="1"/>
  <c r="DU148" i="3" s="1"/>
  <c r="DO144" i="3"/>
  <c r="DP144" i="3" s="1"/>
  <c r="DK144" i="3"/>
  <c r="DL144" i="3" s="1"/>
  <c r="DD144" i="3"/>
  <c r="DE144" i="3" s="1"/>
  <c r="DF144" i="3" s="1"/>
  <c r="DG144" i="3" s="1"/>
  <c r="CY144" i="3"/>
  <c r="CT144" i="3"/>
  <c r="CO144" i="3"/>
  <c r="CP144" i="3" s="1"/>
  <c r="CQ144" i="3" s="1"/>
  <c r="CJ144" i="3"/>
  <c r="CD144" i="3"/>
  <c r="CE144" i="3" s="1"/>
  <c r="CF144" i="3" s="1"/>
  <c r="CG144" i="3" s="1"/>
  <c r="BF144" i="3"/>
  <c r="BA144" i="3"/>
  <c r="AV144" i="3"/>
  <c r="AQ144" i="3"/>
  <c r="AN144" i="3"/>
  <c r="AO144" i="3" s="1"/>
  <c r="AJ144" i="3"/>
  <c r="AE144" i="3"/>
  <c r="Z144" i="3"/>
  <c r="U144" i="3"/>
  <c r="P144" i="3"/>
  <c r="EL143" i="3"/>
  <c r="EK143" i="3"/>
  <c r="EM143" i="3" s="1"/>
  <c r="EF143" i="3"/>
  <c r="EA143" i="3"/>
  <c r="DV143" i="3"/>
  <c r="DQ143" i="3"/>
  <c r="DK143" i="3"/>
  <c r="DL143" i="3" s="1"/>
  <c r="DG143" i="3"/>
  <c r="CY143" i="3"/>
  <c r="CZ143" i="3" s="1"/>
  <c r="DA143" i="3" s="1"/>
  <c r="DB143" i="3" s="1"/>
  <c r="CT143" i="3"/>
  <c r="CO143" i="3"/>
  <c r="CJ143" i="3"/>
  <c r="CK143" i="3" s="1"/>
  <c r="CL143" i="3" s="1"/>
  <c r="CE143" i="3"/>
  <c r="BZ143" i="3"/>
  <c r="BU143" i="3"/>
  <c r="BV143" i="3" s="1"/>
  <c r="BW143" i="3" s="1"/>
  <c r="BP143" i="3"/>
  <c r="BK143" i="3"/>
  <c r="BF143" i="3"/>
  <c r="BA143" i="3"/>
  <c r="AV143" i="3"/>
  <c r="AQ143" i="3"/>
  <c r="AR143" i="3" s="1"/>
  <c r="AL143" i="3"/>
  <c r="AG143" i="3"/>
  <c r="AB143" i="3"/>
  <c r="AC143" i="3" s="1"/>
  <c r="AD143" i="3" s="1"/>
  <c r="AE143" i="3" s="1"/>
  <c r="V143" i="3"/>
  <c r="W143" i="3" s="1"/>
  <c r="X143" i="3" s="1"/>
  <c r="Y143" i="3" s="1"/>
  <c r="R143" i="3"/>
  <c r="L143" i="3"/>
  <c r="M143" i="3" s="1"/>
  <c r="N143" i="3" s="1"/>
  <c r="O143" i="3" s="1"/>
  <c r="EZ142" i="3"/>
  <c r="EU142" i="3"/>
  <c r="EP142" i="3"/>
  <c r="EK142" i="3"/>
  <c r="EF142" i="3"/>
  <c r="EA142" i="3"/>
  <c r="DV142" i="3"/>
  <c r="DQ142" i="3"/>
  <c r="DL142" i="3"/>
  <c r="DE142" i="3"/>
  <c r="DF142" i="3" s="1"/>
  <c r="CY142" i="3"/>
  <c r="CZ142" i="3" s="1"/>
  <c r="DA142" i="3" s="1"/>
  <c r="DB142" i="3" s="1"/>
  <c r="CT142" i="3"/>
  <c r="CO142" i="3"/>
  <c r="CJ142" i="3"/>
  <c r="CM142" i="3" s="1"/>
  <c r="CH142" i="3"/>
  <c r="CC142" i="3"/>
  <c r="BV142" i="3"/>
  <c r="BS142" i="3"/>
  <c r="BN142" i="3"/>
  <c r="BI142" i="3"/>
  <c r="BD142" i="3"/>
  <c r="AY142" i="3"/>
  <c r="AQ142" i="3"/>
  <c r="AL142" i="3"/>
  <c r="AM142" i="3" s="1"/>
  <c r="AG142" i="3"/>
  <c r="AH142" i="3" s="1"/>
  <c r="AB142" i="3"/>
  <c r="AC142" i="3" s="1"/>
  <c r="V142" i="3"/>
  <c r="R142" i="3"/>
  <c r="L142" i="3"/>
  <c r="M142" i="3" s="1"/>
  <c r="N142" i="3" s="1"/>
  <c r="O142" i="3" s="1"/>
  <c r="EZ141" i="3"/>
  <c r="EU141" i="3"/>
  <c r="EP141" i="3"/>
  <c r="EK141" i="3"/>
  <c r="EF141" i="3"/>
  <c r="EA141" i="3"/>
  <c r="DV141" i="3"/>
  <c r="DQ141" i="3"/>
  <c r="DL141" i="3"/>
  <c r="DG141" i="3"/>
  <c r="DB141" i="3"/>
  <c r="CU141" i="3"/>
  <c r="CV141" i="3" s="1"/>
  <c r="CR141" i="3"/>
  <c r="CJ141" i="3"/>
  <c r="CH141" i="3"/>
  <c r="CC141" i="3"/>
  <c r="BX141" i="3"/>
  <c r="BS141" i="3"/>
  <c r="BN141" i="3"/>
  <c r="BI141" i="3"/>
  <c r="BD141" i="3"/>
  <c r="AY141" i="3"/>
  <c r="AT141" i="3"/>
  <c r="AN141" i="3"/>
  <c r="AO141" i="3" s="1"/>
  <c r="AJ141" i="3"/>
  <c r="AB141" i="3"/>
  <c r="X141" i="3"/>
  <c r="Y141" i="3" s="1"/>
  <c r="Z141" i="3" s="1"/>
  <c r="T141" i="3"/>
  <c r="P141" i="3"/>
  <c r="EV136" i="3"/>
  <c r="EQ136" i="3"/>
  <c r="EN136" i="3"/>
  <c r="BL136" i="3"/>
  <c r="T136" i="3"/>
  <c r="S136" i="3"/>
  <c r="R136" i="3"/>
  <c r="Q136" i="3"/>
  <c r="O136" i="3"/>
  <c r="N136" i="3"/>
  <c r="M136" i="3"/>
  <c r="L136" i="3"/>
  <c r="EZ135" i="3"/>
  <c r="EU135" i="3"/>
  <c r="EM135" i="3"/>
  <c r="EM136" i="3" s="1"/>
  <c r="EL135" i="3"/>
  <c r="EJ135" i="3"/>
  <c r="EJ136" i="3" s="1"/>
  <c r="EI135" i="3"/>
  <c r="EI136" i="3" s="1"/>
  <c r="EH135" i="3"/>
  <c r="EH136" i="3" s="1"/>
  <c r="EG135" i="3"/>
  <c r="EE135" i="3"/>
  <c r="EE136" i="3" s="1"/>
  <c r="ED135" i="3"/>
  <c r="EC135" i="3"/>
  <c r="EC136" i="3" s="1"/>
  <c r="EB135" i="3"/>
  <c r="EB136" i="3" s="1"/>
  <c r="DZ135" i="3"/>
  <c r="DZ136" i="3" s="1"/>
  <c r="DY135" i="3"/>
  <c r="DY136" i="3" s="1"/>
  <c r="DX135" i="3"/>
  <c r="DX136" i="3" s="1"/>
  <c r="DW135" i="3"/>
  <c r="DW136" i="3" s="1"/>
  <c r="DU135" i="3"/>
  <c r="DU136" i="3" s="1"/>
  <c r="DT135" i="3"/>
  <c r="DT136" i="3" s="1"/>
  <c r="DS135" i="3"/>
  <c r="DS136" i="3" s="1"/>
  <c r="DR135" i="3"/>
  <c r="DR136" i="3" s="1"/>
  <c r="DP135" i="3"/>
  <c r="DO135" i="3"/>
  <c r="DO136" i="3" s="1"/>
  <c r="DN135" i="3"/>
  <c r="DN136" i="3" s="1"/>
  <c r="DM135" i="3"/>
  <c r="DM136" i="3" s="1"/>
  <c r="DK135" i="3"/>
  <c r="DK136" i="3" s="1"/>
  <c r="DH135" i="3"/>
  <c r="DH136" i="3" s="1"/>
  <c r="DC135" i="3"/>
  <c r="DD135" i="3" s="1"/>
  <c r="DE135" i="3" s="1"/>
  <c r="DF135" i="3" s="1"/>
  <c r="CX135" i="3"/>
  <c r="CS135" i="3"/>
  <c r="CT135" i="3" s="1"/>
  <c r="CU135" i="3" s="1"/>
  <c r="CV135" i="3" s="1"/>
  <c r="CW135" i="3" s="1"/>
  <c r="CN135" i="3"/>
  <c r="CO135" i="3" s="1"/>
  <c r="CP135" i="3" s="1"/>
  <c r="CQ135" i="3" s="1"/>
  <c r="CI135" i="3"/>
  <c r="CJ135" i="3" s="1"/>
  <c r="CK135" i="3" s="1"/>
  <c r="CL135" i="3" s="1"/>
  <c r="CF135" i="3"/>
  <c r="CE135" i="3"/>
  <c r="CD135" i="3"/>
  <c r="BY135" i="3"/>
  <c r="BZ135" i="3" s="1"/>
  <c r="CA135" i="3" s="1"/>
  <c r="CB135" i="3" s="1"/>
  <c r="BT135" i="3"/>
  <c r="BO135" i="3"/>
  <c r="BJ135" i="3"/>
  <c r="BJ136" i="3" s="1"/>
  <c r="BE135" i="3"/>
  <c r="AZ135" i="3"/>
  <c r="BA135" i="3" s="1"/>
  <c r="AU135" i="3"/>
  <c r="AP135" i="3"/>
  <c r="AP136" i="3" s="1"/>
  <c r="AK135" i="3"/>
  <c r="AL135" i="3" s="1"/>
  <c r="AF135" i="3"/>
  <c r="AG135" i="3" s="1"/>
  <c r="AA135" i="3"/>
  <c r="AB135" i="3" s="1"/>
  <c r="AC135" i="3" s="1"/>
  <c r="AD135" i="3" s="1"/>
  <c r="V135" i="3"/>
  <c r="W135" i="3" s="1"/>
  <c r="X135" i="3" s="1"/>
  <c r="U135" i="3"/>
  <c r="P135" i="3"/>
  <c r="EW134" i="3"/>
  <c r="EX134" i="3" s="1"/>
  <c r="ER134" i="3"/>
  <c r="ER136" i="3" s="1"/>
  <c r="EO134" i="3"/>
  <c r="EK134" i="3"/>
  <c r="EF134" i="3"/>
  <c r="EA134" i="3"/>
  <c r="DV134" i="3"/>
  <c r="DP134" i="3"/>
  <c r="DI134" i="3"/>
  <c r="DJ134" i="3" s="1"/>
  <c r="DD134" i="3"/>
  <c r="DE134" i="3" s="1"/>
  <c r="CY134" i="3"/>
  <c r="CZ134" i="3" s="1"/>
  <c r="DB134" i="3" s="1"/>
  <c r="CT134" i="3"/>
  <c r="CU134" i="3" s="1"/>
  <c r="CO134" i="3"/>
  <c r="CJ134" i="3"/>
  <c r="CE134" i="3"/>
  <c r="CF134" i="3" s="1"/>
  <c r="BZ134" i="3"/>
  <c r="BU134" i="3"/>
  <c r="BV134" i="3" s="1"/>
  <c r="BW134" i="3" s="1"/>
  <c r="BP134" i="3"/>
  <c r="BK134" i="3"/>
  <c r="BF134" i="3"/>
  <c r="BA134" i="3"/>
  <c r="BB134" i="3" s="1"/>
  <c r="AV134" i="3"/>
  <c r="AQ134" i="3"/>
  <c r="AR134" i="3" s="1"/>
  <c r="AL134" i="3"/>
  <c r="AM134" i="3" s="1"/>
  <c r="AG134" i="3"/>
  <c r="AB134" i="3"/>
  <c r="W134" i="3"/>
  <c r="U134" i="3"/>
  <c r="P134" i="3"/>
  <c r="EZ129" i="3"/>
  <c r="EU129" i="3"/>
  <c r="EP129" i="3"/>
  <c r="EK129" i="3"/>
  <c r="EF129" i="3"/>
  <c r="EA129" i="3"/>
  <c r="DV129" i="3"/>
  <c r="DQ129" i="3"/>
  <c r="DI129" i="3"/>
  <c r="DJ129" i="3" s="1"/>
  <c r="DL129" i="3" s="1"/>
  <c r="DF129" i="3"/>
  <c r="DG129" i="3" s="1"/>
  <c r="CY129" i="3"/>
  <c r="CZ129" i="3" s="1"/>
  <c r="DA129" i="3" s="1"/>
  <c r="CW129" i="3"/>
  <c r="CR129" i="3"/>
  <c r="CM129" i="3"/>
  <c r="CH129" i="3"/>
  <c r="CC129" i="3"/>
  <c r="BX129" i="3"/>
  <c r="BS129" i="3"/>
  <c r="BN129" i="3"/>
  <c r="BI129" i="3"/>
  <c r="BD129" i="3"/>
  <c r="AY129" i="3"/>
  <c r="AT129" i="3"/>
  <c r="AL129" i="3"/>
  <c r="AO129" i="3" s="1"/>
  <c r="AG129" i="3"/>
  <c r="AH129" i="3" s="1"/>
  <c r="AI129" i="3" s="1"/>
  <c r="AB129" i="3"/>
  <c r="AC129" i="3" s="1"/>
  <c r="AE129" i="3" s="1"/>
  <c r="X129" i="3"/>
  <c r="Y129" i="3" s="1"/>
  <c r="Z129" i="3" s="1"/>
  <c r="U129" i="3"/>
  <c r="P129" i="3"/>
  <c r="EZ128" i="3"/>
  <c r="EU128" i="3"/>
  <c r="EP128" i="3"/>
  <c r="EK128" i="3"/>
  <c r="EF128" i="3"/>
  <c r="EA128" i="3"/>
  <c r="DT128" i="3"/>
  <c r="DV128" i="3" s="1"/>
  <c r="DO128" i="3"/>
  <c r="DQ128" i="3" s="1"/>
  <c r="DI128" i="3"/>
  <c r="DJ128" i="3" s="1"/>
  <c r="DL128" i="3" s="1"/>
  <c r="DC128" i="3"/>
  <c r="DD128" i="3" s="1"/>
  <c r="DE128" i="3" s="1"/>
  <c r="DF128" i="3" s="1"/>
  <c r="CY128" i="3"/>
  <c r="CZ128" i="3" s="1"/>
  <c r="DA128" i="3" s="1"/>
  <c r="CT128" i="3"/>
  <c r="CO128" i="3"/>
  <c r="CJ128" i="3"/>
  <c r="CK128" i="3" s="1"/>
  <c r="CL128" i="3" s="1"/>
  <c r="CE128" i="3"/>
  <c r="CG128" i="3" s="1"/>
  <c r="CH128" i="3" s="1"/>
  <c r="BZ128" i="3"/>
  <c r="CA128" i="3" s="1"/>
  <c r="CB128" i="3" s="1"/>
  <c r="CC128" i="3" s="1"/>
  <c r="BU128" i="3"/>
  <c r="BV128" i="3" s="1"/>
  <c r="BP128" i="3"/>
  <c r="BQ128" i="3" s="1"/>
  <c r="BR128" i="3" s="1"/>
  <c r="BS128" i="3" s="1"/>
  <c r="BK128" i="3"/>
  <c r="BM128" i="3" s="1"/>
  <c r="BN128" i="3" s="1"/>
  <c r="BF128" i="3"/>
  <c r="BA128" i="3"/>
  <c r="AV128" i="3"/>
  <c r="AQ128" i="3"/>
  <c r="AL128" i="3"/>
  <c r="AG128" i="3"/>
  <c r="AH128" i="3" s="1"/>
  <c r="AI128" i="3" s="1"/>
  <c r="AB128" i="3"/>
  <c r="AC128" i="3" s="1"/>
  <c r="AE128" i="3" s="1"/>
  <c r="W128" i="3"/>
  <c r="X128" i="3" s="1"/>
  <c r="Y128" i="3" s="1"/>
  <c r="Z128" i="3" s="1"/>
  <c r="R128" i="3"/>
  <c r="S128" i="3" s="1"/>
  <c r="M128" i="3"/>
  <c r="N128" i="3" s="1"/>
  <c r="O128" i="3" s="1"/>
  <c r="P128" i="3" s="1"/>
  <c r="EK127" i="3"/>
  <c r="EF127" i="3"/>
  <c r="EA127" i="3"/>
  <c r="DV127" i="3"/>
  <c r="DQ127" i="3"/>
  <c r="DI127" i="3"/>
  <c r="DD127" i="3"/>
  <c r="CY127" i="3"/>
  <c r="CT127" i="3"/>
  <c r="CU127" i="3" s="1"/>
  <c r="CV127" i="3" s="1"/>
  <c r="CO127" i="3"/>
  <c r="CJ127" i="3"/>
  <c r="CF127" i="3"/>
  <c r="CE127" i="3"/>
  <c r="BZ127" i="3"/>
  <c r="BU127" i="3"/>
  <c r="BP127" i="3"/>
  <c r="BQ127" i="3" s="1"/>
  <c r="BR127" i="3" s="1"/>
  <c r="BL127" i="3"/>
  <c r="BJ127" i="3"/>
  <c r="BK127" i="3" s="1"/>
  <c r="BF127" i="3"/>
  <c r="BG127" i="3" s="1"/>
  <c r="BH127" i="3" s="1"/>
  <c r="BI127" i="3" s="1"/>
  <c r="BA127" i="3"/>
  <c r="BB127" i="3" s="1"/>
  <c r="AV127" i="3"/>
  <c r="AW127" i="3" s="1"/>
  <c r="AQ127" i="3"/>
  <c r="AR127" i="3" s="1"/>
  <c r="AS127" i="3" s="1"/>
  <c r="AT127" i="3" s="1"/>
  <c r="AL127" i="3"/>
  <c r="AG127" i="3"/>
  <c r="AH127" i="3" s="1"/>
  <c r="AB127" i="3"/>
  <c r="AC127" i="3" s="1"/>
  <c r="AE127" i="3" s="1"/>
  <c r="W127" i="3"/>
  <c r="X127" i="3" s="1"/>
  <c r="Y127" i="3" s="1"/>
  <c r="R127" i="3"/>
  <c r="M127" i="3"/>
  <c r="EZ126" i="3"/>
  <c r="EU126" i="3"/>
  <c r="EP126" i="3"/>
  <c r="EK126" i="3"/>
  <c r="EF126" i="3"/>
  <c r="EA126" i="3"/>
  <c r="DS126" i="3"/>
  <c r="DV126" i="3" s="1"/>
  <c r="DQ126" i="3"/>
  <c r="DL126" i="3"/>
  <c r="DG126" i="3"/>
  <c r="CY126" i="3"/>
  <c r="CZ126" i="3" s="1"/>
  <c r="CT126" i="3"/>
  <c r="CU126" i="3" s="1"/>
  <c r="CV126" i="3" s="1"/>
  <c r="CW126" i="3" s="1"/>
  <c r="CO126" i="3"/>
  <c r="CP126" i="3" s="1"/>
  <c r="CQ126" i="3" s="1"/>
  <c r="CR126" i="3" s="1"/>
  <c r="CJ126" i="3"/>
  <c r="CK126" i="3" s="1"/>
  <c r="CE126" i="3"/>
  <c r="CF126" i="3" s="1"/>
  <c r="CG126" i="3" s="1"/>
  <c r="CH126" i="3" s="1"/>
  <c r="BZ126" i="3"/>
  <c r="CA126" i="3" s="1"/>
  <c r="CB126" i="3" s="1"/>
  <c r="CC126" i="3" s="1"/>
  <c r="BU126" i="3"/>
  <c r="BV126" i="3" s="1"/>
  <c r="BP126" i="3"/>
  <c r="BQ126" i="3" s="1"/>
  <c r="BR126" i="3" s="1"/>
  <c r="BS126" i="3" s="1"/>
  <c r="BK126" i="3"/>
  <c r="BM126" i="3" s="1"/>
  <c r="BN126" i="3" s="1"/>
  <c r="BE126" i="3"/>
  <c r="BF126" i="3" s="1"/>
  <c r="BA126" i="3"/>
  <c r="BB126" i="3" s="1"/>
  <c r="BC126" i="3" s="1"/>
  <c r="BD126" i="3" s="1"/>
  <c r="AV126" i="3"/>
  <c r="AW126" i="3" s="1"/>
  <c r="AQ126" i="3"/>
  <c r="AR126" i="3" s="1"/>
  <c r="AL126" i="3"/>
  <c r="AM126" i="3" s="1"/>
  <c r="AN126" i="3" s="1"/>
  <c r="AO126" i="3" s="1"/>
  <c r="AG126" i="3"/>
  <c r="AB126" i="3"/>
  <c r="W126" i="3"/>
  <c r="R126" i="3"/>
  <c r="S126" i="3" s="1"/>
  <c r="T126" i="3" s="1"/>
  <c r="M126" i="3"/>
  <c r="EZ125" i="3"/>
  <c r="EU125" i="3"/>
  <c r="EP125" i="3"/>
  <c r="EK125" i="3"/>
  <c r="EF125" i="3"/>
  <c r="EA125" i="3"/>
  <c r="DU125" i="3"/>
  <c r="DV125" i="3" s="1"/>
  <c r="DP125" i="3"/>
  <c r="DQ125" i="3" s="1"/>
  <c r="DI125" i="3"/>
  <c r="DJ125" i="3" s="1"/>
  <c r="DL125" i="3" s="1"/>
  <c r="DD125" i="3"/>
  <c r="DE125" i="3" s="1"/>
  <c r="DF125" i="3" s="1"/>
  <c r="DG125" i="3" s="1"/>
  <c r="CY125" i="3"/>
  <c r="CZ125" i="3" s="1"/>
  <c r="DA125" i="3" s="1"/>
  <c r="DB125" i="3" s="1"/>
  <c r="CT125" i="3"/>
  <c r="CU125" i="3" s="1"/>
  <c r="CO125" i="3"/>
  <c r="CP125" i="3" s="1"/>
  <c r="CQ125" i="3" s="1"/>
  <c r="CR125" i="3" s="1"/>
  <c r="CJ125" i="3"/>
  <c r="CK125" i="3" s="1"/>
  <c r="CL125" i="3" s="1"/>
  <c r="CM125" i="3" s="1"/>
  <c r="CE125" i="3"/>
  <c r="CF125" i="3" s="1"/>
  <c r="BZ125" i="3"/>
  <c r="CA125" i="3" s="1"/>
  <c r="CB125" i="3" s="1"/>
  <c r="CC125" i="3" s="1"/>
  <c r="BU125" i="3"/>
  <c r="BV125" i="3" s="1"/>
  <c r="BW125" i="3" s="1"/>
  <c r="BX125" i="3" s="1"/>
  <c r="BP125" i="3"/>
  <c r="BQ125" i="3" s="1"/>
  <c r="BK125" i="3"/>
  <c r="BM125" i="3" s="1"/>
  <c r="BN125" i="3" s="1"/>
  <c r="BF125" i="3"/>
  <c r="BG125" i="3" s="1"/>
  <c r="BH125" i="3" s="1"/>
  <c r="BA125" i="3"/>
  <c r="AV125" i="3"/>
  <c r="AQ125" i="3"/>
  <c r="AR125" i="3" s="1"/>
  <c r="AS125" i="3" s="1"/>
  <c r="AL125" i="3"/>
  <c r="AG125" i="3"/>
  <c r="AB125" i="3"/>
  <c r="AC125" i="3" s="1"/>
  <c r="AE125" i="3" s="1"/>
  <c r="V125" i="3"/>
  <c r="R125" i="3"/>
  <c r="M125" i="3"/>
  <c r="N125" i="3" s="1"/>
  <c r="O125" i="3" s="1"/>
  <c r="EK124" i="3"/>
  <c r="EF124" i="3"/>
  <c r="EA124" i="3"/>
  <c r="DV124" i="3"/>
  <c r="DQ124" i="3"/>
  <c r="DI124" i="3"/>
  <c r="DJ124" i="3" s="1"/>
  <c r="DL124" i="3" s="1"/>
  <c r="DD124" i="3"/>
  <c r="DE124" i="3" s="1"/>
  <c r="DF124" i="3" s="1"/>
  <c r="DG124" i="3" s="1"/>
  <c r="CY124" i="3"/>
  <c r="CZ124" i="3" s="1"/>
  <c r="CT124" i="3"/>
  <c r="CU124" i="3" s="1"/>
  <c r="CV124" i="3" s="1"/>
  <c r="CW124" i="3" s="1"/>
  <c r="CO124" i="3"/>
  <c r="CP124" i="3" s="1"/>
  <c r="CQ124" i="3" s="1"/>
  <c r="CR124" i="3" s="1"/>
  <c r="CJ124" i="3"/>
  <c r="CK124" i="3" s="1"/>
  <c r="CE124" i="3"/>
  <c r="CF124" i="3" s="1"/>
  <c r="CG124" i="3" s="1"/>
  <c r="CH124" i="3" s="1"/>
  <c r="BZ124" i="3"/>
  <c r="CA124" i="3" s="1"/>
  <c r="CB124" i="3" s="1"/>
  <c r="CC124" i="3" s="1"/>
  <c r="BU124" i="3"/>
  <c r="BV124" i="3" s="1"/>
  <c r="BP124" i="3"/>
  <c r="BQ124" i="3" s="1"/>
  <c r="BR124" i="3" s="1"/>
  <c r="BS124" i="3" s="1"/>
  <c r="BL124" i="3"/>
  <c r="BK124" i="3"/>
  <c r="BF124" i="3"/>
  <c r="BG124" i="3" s="1"/>
  <c r="BA124" i="3"/>
  <c r="BB124" i="3" s="1"/>
  <c r="BC124" i="3" s="1"/>
  <c r="BD124" i="3" s="1"/>
  <c r="AV124" i="3"/>
  <c r="AQ124" i="3"/>
  <c r="AR124" i="3" s="1"/>
  <c r="AL124" i="3"/>
  <c r="AM124" i="3" s="1"/>
  <c r="AN124" i="3" s="1"/>
  <c r="AO124" i="3" s="1"/>
  <c r="AG124" i="3"/>
  <c r="AB124" i="3"/>
  <c r="W124" i="3"/>
  <c r="R124" i="3"/>
  <c r="S124" i="3" s="1"/>
  <c r="T124" i="3" s="1"/>
  <c r="M124" i="3"/>
  <c r="EK123" i="3"/>
  <c r="EF123" i="3"/>
  <c r="EA123" i="3"/>
  <c r="DU123" i="3"/>
  <c r="DV123" i="3" s="1"/>
  <c r="DP123" i="3"/>
  <c r="DQ123" i="3" s="1"/>
  <c r="DI123" i="3"/>
  <c r="DJ123" i="3" s="1"/>
  <c r="DL123" i="3" s="1"/>
  <c r="DD123" i="3"/>
  <c r="DE123" i="3" s="1"/>
  <c r="CY123" i="3"/>
  <c r="CZ123" i="3" s="1"/>
  <c r="CT123" i="3"/>
  <c r="CU123" i="3" s="1"/>
  <c r="CV123" i="3" s="1"/>
  <c r="CW123" i="3" s="1"/>
  <c r="CO123" i="3"/>
  <c r="CP123" i="3" s="1"/>
  <c r="CQ123" i="3" s="1"/>
  <c r="CR123" i="3" s="1"/>
  <c r="CJ123" i="3"/>
  <c r="CK123" i="3" s="1"/>
  <c r="CE123" i="3"/>
  <c r="CF123" i="3" s="1"/>
  <c r="CG123" i="3" s="1"/>
  <c r="CH123" i="3" s="1"/>
  <c r="BZ123" i="3"/>
  <c r="CA123" i="3" s="1"/>
  <c r="CB123" i="3" s="1"/>
  <c r="CC123" i="3" s="1"/>
  <c r="BU123" i="3"/>
  <c r="BV123" i="3" s="1"/>
  <c r="BP123" i="3"/>
  <c r="BQ123" i="3" s="1"/>
  <c r="BR123" i="3" s="1"/>
  <c r="BS123" i="3" s="1"/>
  <c r="BL123" i="3"/>
  <c r="BK123" i="3"/>
  <c r="BF123" i="3"/>
  <c r="BG123" i="3" s="1"/>
  <c r="BA123" i="3"/>
  <c r="BB123" i="3" s="1"/>
  <c r="BC123" i="3" s="1"/>
  <c r="BD123" i="3" s="1"/>
  <c r="AV123" i="3"/>
  <c r="AW123" i="3" s="1"/>
  <c r="AQ123" i="3"/>
  <c r="AR123" i="3" s="1"/>
  <c r="AL123" i="3"/>
  <c r="AM123" i="3" s="1"/>
  <c r="AN123" i="3" s="1"/>
  <c r="AO123" i="3" s="1"/>
  <c r="AG123" i="3"/>
  <c r="AH123" i="3" s="1"/>
  <c r="AB123" i="3"/>
  <c r="W123" i="3"/>
  <c r="R123" i="3"/>
  <c r="S123" i="3" s="1"/>
  <c r="T123" i="3" s="1"/>
  <c r="M123" i="3"/>
  <c r="EM120" i="3"/>
  <c r="EL120" i="3"/>
  <c r="EJ120" i="3"/>
  <c r="EI120" i="3"/>
  <c r="EH120" i="3"/>
  <c r="EG120" i="3"/>
  <c r="EE120" i="3"/>
  <c r="ED120" i="3"/>
  <c r="EC120" i="3"/>
  <c r="EB120" i="3"/>
  <c r="DZ120" i="3"/>
  <c r="DY120" i="3"/>
  <c r="DX120" i="3"/>
  <c r="DW120" i="3"/>
  <c r="DU120" i="3"/>
  <c r="DT120" i="3"/>
  <c r="DS120" i="3"/>
  <c r="DR120" i="3"/>
  <c r="DP120" i="3"/>
  <c r="DO120" i="3"/>
  <c r="DN120" i="3"/>
  <c r="DM120" i="3"/>
  <c r="DH120" i="3"/>
  <c r="DI120" i="3" s="1"/>
  <c r="DJ120" i="3" s="1"/>
  <c r="DC120" i="3"/>
  <c r="DD120" i="3" s="1"/>
  <c r="CX120" i="3"/>
  <c r="CN120" i="3"/>
  <c r="CO120" i="3" s="1"/>
  <c r="CP120" i="3" s="1"/>
  <c r="CQ120" i="3" s="1"/>
  <c r="CI120" i="3"/>
  <c r="CJ120" i="3" s="1"/>
  <c r="CK120" i="3" s="1"/>
  <c r="CL120" i="3" s="1"/>
  <c r="CD120" i="3"/>
  <c r="CE120" i="3" s="1"/>
  <c r="CF120" i="3" s="1"/>
  <c r="CG120" i="3" s="1"/>
  <c r="BY120" i="3"/>
  <c r="BZ120" i="3" s="1"/>
  <c r="BT120" i="3"/>
  <c r="BO120" i="3"/>
  <c r="BP120" i="3" s="1"/>
  <c r="BQ120" i="3" s="1"/>
  <c r="BR120" i="3" s="1"/>
  <c r="BJ120" i="3"/>
  <c r="BK120" i="3" s="1"/>
  <c r="AZ120" i="3"/>
  <c r="BA120" i="3" s="1"/>
  <c r="BB120" i="3" s="1"/>
  <c r="AV120" i="3"/>
  <c r="AU120" i="3"/>
  <c r="AP120" i="3"/>
  <c r="AK120" i="3"/>
  <c r="AL120" i="3" s="1"/>
  <c r="AM120" i="3" s="1"/>
  <c r="AN120" i="3" s="1"/>
  <c r="AF120" i="3"/>
  <c r="AA120" i="3"/>
  <c r="AB120" i="3" s="1"/>
  <c r="AC120" i="3" s="1"/>
  <c r="W120" i="3"/>
  <c r="R120" i="3"/>
  <c r="N120" i="3"/>
  <c r="O120" i="3" s="1"/>
  <c r="P120" i="3" s="1"/>
  <c r="EZ119" i="3"/>
  <c r="EU119" i="3"/>
  <c r="EP119" i="3"/>
  <c r="EK119" i="3"/>
  <c r="EF119" i="3"/>
  <c r="EA119" i="3"/>
  <c r="DV119" i="3"/>
  <c r="DQ119" i="3"/>
  <c r="DL119" i="3"/>
  <c r="DG119" i="3"/>
  <c r="DB119" i="3"/>
  <c r="CT119" i="3"/>
  <c r="CO119" i="3"/>
  <c r="CP119" i="3" s="1"/>
  <c r="CQ119" i="3" s="1"/>
  <c r="CJ119" i="3"/>
  <c r="CE119" i="3"/>
  <c r="BZ119" i="3"/>
  <c r="CA119" i="3" s="1"/>
  <c r="CB119" i="3" s="1"/>
  <c r="BU119" i="3"/>
  <c r="BR119" i="3"/>
  <c r="BS119" i="3" s="1"/>
  <c r="BM119" i="3"/>
  <c r="BN119" i="3" s="1"/>
  <c r="BI119" i="3"/>
  <c r="BD119" i="3"/>
  <c r="AV119" i="3"/>
  <c r="AT119" i="3"/>
  <c r="AN119" i="3"/>
  <c r="AO119" i="3" s="1"/>
  <c r="AJ119" i="3"/>
  <c r="AB119" i="3"/>
  <c r="AC119" i="3" s="1"/>
  <c r="AE119" i="3" s="1"/>
  <c r="W119" i="3"/>
  <c r="X119" i="3" s="1"/>
  <c r="Y119" i="3" s="1"/>
  <c r="Z119" i="3" s="1"/>
  <c r="R119" i="3"/>
  <c r="S119" i="3" s="1"/>
  <c r="M119" i="3"/>
  <c r="N119" i="3" s="1"/>
  <c r="O119" i="3" s="1"/>
  <c r="P119" i="3" s="1"/>
  <c r="EZ118" i="3"/>
  <c r="EU118" i="3"/>
  <c r="EP118" i="3"/>
  <c r="EK118" i="3"/>
  <c r="EF118" i="3"/>
  <c r="EA118" i="3"/>
  <c r="DV118" i="3"/>
  <c r="DQ118" i="3"/>
  <c r="DL118" i="3"/>
  <c r="DG118" i="3"/>
  <c r="DB118" i="3"/>
  <c r="CW118" i="3"/>
  <c r="CR118" i="3"/>
  <c r="CM118" i="3"/>
  <c r="CH118" i="3"/>
  <c r="CC118" i="3"/>
  <c r="BX118" i="3"/>
  <c r="BS118" i="3"/>
  <c r="BN118" i="3"/>
  <c r="BI118" i="3"/>
  <c r="BD118" i="3"/>
  <c r="AY118" i="3"/>
  <c r="AQ118" i="3"/>
  <c r="AN118" i="3"/>
  <c r="AO118" i="3" s="1"/>
  <c r="AJ118" i="3"/>
  <c r="AE118" i="3"/>
  <c r="W118" i="3"/>
  <c r="X118" i="3" s="1"/>
  <c r="Y118" i="3" s="1"/>
  <c r="R118" i="3"/>
  <c r="M118" i="3"/>
  <c r="EZ117" i="3"/>
  <c r="EU117" i="3"/>
  <c r="EP117" i="3"/>
  <c r="EK117" i="3"/>
  <c r="EF117" i="3"/>
  <c r="EA117" i="3"/>
  <c r="DV117" i="3"/>
  <c r="DQ117" i="3"/>
  <c r="DI117" i="3"/>
  <c r="DJ117" i="3" s="1"/>
  <c r="DD117" i="3"/>
  <c r="DE117" i="3" s="1"/>
  <c r="CY117" i="3"/>
  <c r="CZ117" i="3" s="1"/>
  <c r="DA117" i="3" s="1"/>
  <c r="DB117" i="3" s="1"/>
  <c r="CT117" i="3"/>
  <c r="CU117" i="3" s="1"/>
  <c r="CV117" i="3" s="1"/>
  <c r="CW117" i="3" s="1"/>
  <c r="CO117" i="3"/>
  <c r="CP117" i="3" s="1"/>
  <c r="CJ117" i="3"/>
  <c r="CK117" i="3" s="1"/>
  <c r="CL117" i="3" s="1"/>
  <c r="CM117" i="3" s="1"/>
  <c r="CE117" i="3"/>
  <c r="BZ117" i="3"/>
  <c r="CA117" i="3" s="1"/>
  <c r="BU117" i="3"/>
  <c r="BV117" i="3" s="1"/>
  <c r="BW117" i="3" s="1"/>
  <c r="BX117" i="3" s="1"/>
  <c r="BQ117" i="3"/>
  <c r="BR117" i="3" s="1"/>
  <c r="BK117" i="3"/>
  <c r="BM117" i="3" s="1"/>
  <c r="BN117" i="3" s="1"/>
  <c r="BF117" i="3"/>
  <c r="BG117" i="3" s="1"/>
  <c r="BH117" i="3" s="1"/>
  <c r="BI117" i="3" s="1"/>
  <c r="BC117" i="3"/>
  <c r="BD117" i="3" s="1"/>
  <c r="AV117" i="3"/>
  <c r="AW117" i="3" s="1"/>
  <c r="AT117" i="3"/>
  <c r="AN117" i="3"/>
  <c r="AO117" i="3" s="1"/>
  <c r="AH117" i="3"/>
  <c r="AJ117" i="3" s="1"/>
  <c r="AB117" i="3"/>
  <c r="AC117" i="3" s="1"/>
  <c r="AE117" i="3" s="1"/>
  <c r="W117" i="3"/>
  <c r="U117" i="3"/>
  <c r="P117" i="3"/>
  <c r="EK116" i="3"/>
  <c r="EF116" i="3"/>
  <c r="EA116" i="3"/>
  <c r="DV116" i="3"/>
  <c r="DQ116" i="3"/>
  <c r="DH116" i="3"/>
  <c r="DI116" i="3" s="1"/>
  <c r="DJ116" i="3" s="1"/>
  <c r="DD116" i="3"/>
  <c r="DE116" i="3" s="1"/>
  <c r="CY116" i="3"/>
  <c r="CZ116" i="3" s="1"/>
  <c r="CU116" i="3"/>
  <c r="CT116" i="3"/>
  <c r="CS116" i="3"/>
  <c r="CO116" i="3"/>
  <c r="CP116" i="3" s="1"/>
  <c r="CQ116" i="3" s="1"/>
  <c r="CI116" i="3"/>
  <c r="BY116" i="3"/>
  <c r="BW116" i="3"/>
  <c r="BV116" i="3"/>
  <c r="BT116" i="3"/>
  <c r="BR116" i="3"/>
  <c r="BR11" i="3" s="1"/>
  <c r="BL116" i="3"/>
  <c r="BK116" i="3"/>
  <c r="BF116" i="3"/>
  <c r="BG116" i="3" s="1"/>
  <c r="BA116" i="3"/>
  <c r="BB116" i="3" s="1"/>
  <c r="AV116" i="3"/>
  <c r="AV11" i="3" s="1"/>
  <c r="AK116" i="3"/>
  <c r="AF116" i="3"/>
  <c r="AC116" i="3"/>
  <c r="AA116" i="3"/>
  <c r="Y116" i="3"/>
  <c r="X116" i="3"/>
  <c r="W116" i="3"/>
  <c r="V116" i="3"/>
  <c r="O116" i="3"/>
  <c r="N116" i="3"/>
  <c r="M116" i="3"/>
  <c r="L116" i="3"/>
  <c r="EK102" i="3"/>
  <c r="EF102" i="3"/>
  <c r="EA102" i="3"/>
  <c r="DV102" i="3"/>
  <c r="DQ102" i="3"/>
  <c r="DL102" i="3"/>
  <c r="DG102" i="3"/>
  <c r="DB102" i="3"/>
  <c r="CZ102" i="3"/>
  <c r="CX102" i="3"/>
  <c r="CW102" i="3"/>
  <c r="CR102" i="3"/>
  <c r="CM102" i="3"/>
  <c r="CH102" i="3"/>
  <c r="CC102" i="3"/>
  <c r="BX102" i="3"/>
  <c r="BS102" i="3"/>
  <c r="BN102" i="3"/>
  <c r="BI102" i="3"/>
  <c r="BD102" i="3"/>
  <c r="AY102" i="3"/>
  <c r="AT102" i="3"/>
  <c r="AO102" i="3"/>
  <c r="AJ102" i="3"/>
  <c r="AE102" i="3"/>
  <c r="Z102" i="3"/>
  <c r="U102" i="3"/>
  <c r="P102" i="3"/>
  <c r="EM98" i="3"/>
  <c r="EN98" i="3" s="1"/>
  <c r="EO98" i="3" s="1"/>
  <c r="EQ98" i="3" s="1"/>
  <c r="ER98" i="3" s="1"/>
  <c r="ES98" i="3" s="1"/>
  <c r="ET98" i="3" s="1"/>
  <c r="EL98" i="3"/>
  <c r="EJ98" i="3"/>
  <c r="EK98" i="3" s="1"/>
  <c r="EI98" i="3"/>
  <c r="EH98" i="3"/>
  <c r="EG98" i="3"/>
  <c r="EE98" i="3"/>
  <c r="EF98" i="3" s="1"/>
  <c r="ED98" i="3"/>
  <c r="EC98" i="3"/>
  <c r="EB98" i="3"/>
  <c r="DZ98" i="3"/>
  <c r="EA98" i="3" s="1"/>
  <c r="DY98" i="3"/>
  <c r="DX98" i="3"/>
  <c r="DW98" i="3"/>
  <c r="DU98" i="3"/>
  <c r="DV98" i="3" s="1"/>
  <c r="DT98" i="3"/>
  <c r="DS98" i="3"/>
  <c r="DR98" i="3"/>
  <c r="DP98" i="3"/>
  <c r="DQ98" i="3" s="1"/>
  <c r="DO98" i="3"/>
  <c r="DN98" i="3"/>
  <c r="DM98" i="3"/>
  <c r="DK98" i="3"/>
  <c r="DL98" i="3" s="1"/>
  <c r="DJ98" i="3"/>
  <c r="DI98" i="3"/>
  <c r="DH98" i="3"/>
  <c r="DG98" i="3"/>
  <c r="DB98" i="3"/>
  <c r="CZ98" i="3"/>
  <c r="CY98" i="3"/>
  <c r="CX98" i="3"/>
  <c r="CV98" i="3"/>
  <c r="CW98" i="3" s="1"/>
  <c r="CU98" i="3"/>
  <c r="CT98" i="3"/>
  <c r="CS98" i="3"/>
  <c r="CQ98" i="3"/>
  <c r="CR98" i="3" s="1"/>
  <c r="CP98" i="3"/>
  <c r="CO98" i="3"/>
  <c r="CN98" i="3"/>
  <c r="CL98" i="3"/>
  <c r="CM98" i="3" s="1"/>
  <c r="CK98" i="3"/>
  <c r="CJ98" i="3"/>
  <c r="CI98" i="3"/>
  <c r="CG98" i="3"/>
  <c r="CH98" i="3" s="1"/>
  <c r="CF98" i="3"/>
  <c r="CE98" i="3"/>
  <c r="CD98" i="3"/>
  <c r="CB98" i="3"/>
  <c r="CC98" i="3" s="1"/>
  <c r="CA98" i="3"/>
  <c r="BZ98" i="3"/>
  <c r="BY98" i="3"/>
  <c r="BW98" i="3"/>
  <c r="BX98" i="3" s="1"/>
  <c r="BV98" i="3"/>
  <c r="BU98" i="3"/>
  <c r="BT98" i="3"/>
  <c r="BS98" i="3"/>
  <c r="BR98" i="3"/>
  <c r="BQ98" i="3"/>
  <c r="BP98" i="3"/>
  <c r="BO98" i="3"/>
  <c r="BM98" i="3"/>
  <c r="BN98" i="3" s="1"/>
  <c r="BL98" i="3"/>
  <c r="BK98" i="3"/>
  <c r="BJ98" i="3"/>
  <c r="BH98" i="3"/>
  <c r="BI98" i="3" s="1"/>
  <c r="BD98" i="3"/>
  <c r="AY98" i="3"/>
  <c r="AW98" i="3"/>
  <c r="AT98" i="3"/>
  <c r="AQ98" i="3"/>
  <c r="AP98" i="3"/>
  <c r="AN98" i="3"/>
  <c r="AO98" i="3" s="1"/>
  <c r="AM98" i="3"/>
  <c r="AJ98" i="3"/>
  <c r="AE98" i="3"/>
  <c r="Z98" i="3"/>
  <c r="U98" i="3"/>
  <c r="P98" i="3"/>
  <c r="EN97" i="3"/>
  <c r="EO97" i="3" s="1"/>
  <c r="EK97" i="3"/>
  <c r="EF97" i="3"/>
  <c r="EA97" i="3"/>
  <c r="DV97" i="3"/>
  <c r="DQ97" i="3"/>
  <c r="DL97" i="3"/>
  <c r="DG97" i="3"/>
  <c r="DB97" i="3"/>
  <c r="CX97" i="3"/>
  <c r="CW97" i="3"/>
  <c r="AX97" i="3"/>
  <c r="AY97" i="3" s="1"/>
  <c r="AT97" i="3"/>
  <c r="AO97" i="3"/>
  <c r="AJ97" i="3"/>
  <c r="AH97" i="3"/>
  <c r="AE97" i="3"/>
  <c r="Z97" i="3"/>
  <c r="U97" i="3"/>
  <c r="P97" i="3"/>
  <c r="DJ96" i="3"/>
  <c r="DK96" i="3" s="1"/>
  <c r="DL96" i="3" s="1"/>
  <c r="DH96" i="3"/>
  <c r="DG96" i="3"/>
  <c r="DB96" i="3"/>
  <c r="CY96" i="3"/>
  <c r="CX96" i="3"/>
  <c r="CV96" i="3"/>
  <c r="CW96" i="3" s="1"/>
  <c r="CU96" i="3"/>
  <c r="CT96" i="3"/>
  <c r="CS96" i="3"/>
  <c r="CQ96" i="3"/>
  <c r="CR96" i="3" s="1"/>
  <c r="CM96" i="3"/>
  <c r="CH96" i="3"/>
  <c r="AV96" i="3"/>
  <c r="AW96" i="3" s="1"/>
  <c r="AX96" i="3" s="1"/>
  <c r="AY96" i="3" s="1"/>
  <c r="AT96" i="3"/>
  <c r="AO96" i="3"/>
  <c r="AJ96" i="3"/>
  <c r="AE96" i="3"/>
  <c r="Z96" i="3"/>
  <c r="U96" i="3"/>
  <c r="P96" i="3"/>
  <c r="DJ95" i="3"/>
  <c r="DK95" i="3" s="1"/>
  <c r="DH95" i="3"/>
  <c r="DG95" i="3"/>
  <c r="DB95" i="3"/>
  <c r="AV95" i="3"/>
  <c r="AW95" i="3" s="1"/>
  <c r="AX95" i="3" s="1"/>
  <c r="AT95" i="3"/>
  <c r="AO95" i="3"/>
  <c r="AM95" i="3"/>
  <c r="AJ95" i="3"/>
  <c r="AE95" i="3"/>
  <c r="Z95" i="3"/>
  <c r="U95" i="3"/>
  <c r="P95" i="3"/>
  <c r="DI93" i="3"/>
  <c r="DF93" i="3"/>
  <c r="DE93" i="3"/>
  <c r="DE100" i="3" s="1"/>
  <c r="DE104" i="3" s="1"/>
  <c r="CZ93" i="3"/>
  <c r="CY93" i="3"/>
  <c r="CF93" i="3"/>
  <c r="CA93" i="3"/>
  <c r="BV93" i="3"/>
  <c r="BQ93" i="3"/>
  <c r="BL93" i="3"/>
  <c r="BG93" i="3"/>
  <c r="BB93" i="3"/>
  <c r="AW93" i="3"/>
  <c r="AV93" i="3"/>
  <c r="AU93" i="3"/>
  <c r="AU100" i="3" s="1"/>
  <c r="AU104" i="3" s="1"/>
  <c r="AS93" i="3"/>
  <c r="AR93" i="3"/>
  <c r="AR100" i="3" s="1"/>
  <c r="AR104" i="3" s="1"/>
  <c r="AQ93" i="3"/>
  <c r="AN93" i="3"/>
  <c r="AM93" i="3"/>
  <c r="AL93" i="3"/>
  <c r="AL100" i="3" s="1"/>
  <c r="AL104" i="3" s="1"/>
  <c r="AK93" i="3"/>
  <c r="AK100" i="3" s="1"/>
  <c r="AK104" i="3" s="1"/>
  <c r="AI93" i="3"/>
  <c r="AI100" i="3" s="1"/>
  <c r="AJ100" i="3" s="1"/>
  <c r="AH93" i="3"/>
  <c r="AG93" i="3"/>
  <c r="AG100" i="3" s="1"/>
  <c r="AG104" i="3" s="1"/>
  <c r="AB93" i="3"/>
  <c r="AB100" i="3" s="1"/>
  <c r="AB104" i="3" s="1"/>
  <c r="AA93" i="3"/>
  <c r="AA100" i="3" s="1"/>
  <c r="AA104" i="3" s="1"/>
  <c r="Y93" i="3"/>
  <c r="X93" i="3"/>
  <c r="X100" i="3" s="1"/>
  <c r="X104" i="3" s="1"/>
  <c r="W93" i="3"/>
  <c r="W100" i="3" s="1"/>
  <c r="W104" i="3" s="1"/>
  <c r="V93" i="3"/>
  <c r="V100" i="3" s="1"/>
  <c r="V104" i="3" s="1"/>
  <c r="T93" i="3"/>
  <c r="T100" i="3" s="1"/>
  <c r="T104" i="3" s="1"/>
  <c r="S93" i="3"/>
  <c r="S100" i="3" s="1"/>
  <c r="S104" i="3" s="1"/>
  <c r="R93" i="3"/>
  <c r="R100" i="3" s="1"/>
  <c r="R104" i="3" s="1"/>
  <c r="Q93" i="3"/>
  <c r="Q100" i="3" s="1"/>
  <c r="Q104" i="3" s="1"/>
  <c r="O93" i="3"/>
  <c r="N93" i="3"/>
  <c r="N100" i="3" s="1"/>
  <c r="N104" i="3" s="1"/>
  <c r="M93" i="3"/>
  <c r="M100" i="3" s="1"/>
  <c r="M104" i="3" s="1"/>
  <c r="L93" i="3"/>
  <c r="L100" i="3" s="1"/>
  <c r="L104" i="3" s="1"/>
  <c r="EN92" i="3"/>
  <c r="EO92" i="3" s="1"/>
  <c r="EK92" i="3"/>
  <c r="EF92" i="3"/>
  <c r="EA92" i="3"/>
  <c r="DV92" i="3"/>
  <c r="DQ92" i="3"/>
  <c r="DL92" i="3"/>
  <c r="DG92" i="3"/>
  <c r="DD92" i="3"/>
  <c r="DD93" i="3" s="1"/>
  <c r="DD100" i="3" s="1"/>
  <c r="DD104" i="3" s="1"/>
  <c r="DC92" i="3"/>
  <c r="DA92" i="3"/>
  <c r="DB92" i="3" s="1"/>
  <c r="CX92" i="3"/>
  <c r="CX93" i="3" s="1"/>
  <c r="CW92" i="3"/>
  <c r="CR92" i="3"/>
  <c r="CM92" i="3"/>
  <c r="CH92" i="3"/>
  <c r="CC92" i="3"/>
  <c r="BX92" i="3"/>
  <c r="BS92" i="3"/>
  <c r="BN92" i="3"/>
  <c r="BI92" i="3"/>
  <c r="BD92" i="3"/>
  <c r="AY92" i="3"/>
  <c r="AT92" i="3"/>
  <c r="AO92" i="3"/>
  <c r="AJ92" i="3"/>
  <c r="AF92" i="3"/>
  <c r="AF93" i="3" s="1"/>
  <c r="AF100" i="3" s="1"/>
  <c r="AF104" i="3" s="1"/>
  <c r="AD92" i="3"/>
  <c r="AC92" i="3"/>
  <c r="AC93" i="3" s="1"/>
  <c r="AC100" i="3" s="1"/>
  <c r="AC104" i="3" s="1"/>
  <c r="Z92" i="3"/>
  <c r="U92" i="3"/>
  <c r="P92" i="3"/>
  <c r="EN91" i="3"/>
  <c r="EO91" i="3" s="1"/>
  <c r="EK91" i="3"/>
  <c r="EF91" i="3"/>
  <c r="EA91" i="3"/>
  <c r="DV91" i="3"/>
  <c r="DQ91" i="3"/>
  <c r="DJ91" i="3"/>
  <c r="DK91" i="3" s="1"/>
  <c r="DM91" i="3" s="1"/>
  <c r="DN91" i="3" s="1"/>
  <c r="DH91" i="3"/>
  <c r="DG91" i="3"/>
  <c r="DB91" i="3"/>
  <c r="CW91" i="3"/>
  <c r="CK91" i="3"/>
  <c r="CH91" i="3"/>
  <c r="CD91" i="3"/>
  <c r="CE91" i="3" s="1"/>
  <c r="CC91" i="3"/>
  <c r="BY91" i="3"/>
  <c r="BZ91" i="3" s="1"/>
  <c r="BX91" i="3"/>
  <c r="BU91" i="3"/>
  <c r="BS91" i="3"/>
  <c r="BP91" i="3"/>
  <c r="BN91" i="3"/>
  <c r="BK91" i="3"/>
  <c r="BI91" i="3"/>
  <c r="BF91" i="3"/>
  <c r="BD91" i="3"/>
  <c r="AX91" i="3"/>
  <c r="AT91" i="3"/>
  <c r="AP91" i="3"/>
  <c r="AP93" i="3" s="1"/>
  <c r="AO91" i="3"/>
  <c r="AJ91" i="3"/>
  <c r="AE91" i="3"/>
  <c r="Z91" i="3"/>
  <c r="U91" i="3"/>
  <c r="P91" i="3"/>
  <c r="EM90" i="3"/>
  <c r="EL90" i="3"/>
  <c r="EJ90" i="3"/>
  <c r="EI90" i="3"/>
  <c r="EH90" i="3"/>
  <c r="EG90" i="3"/>
  <c r="EE90" i="3"/>
  <c r="ED90" i="3"/>
  <c r="EC90" i="3"/>
  <c r="EB90" i="3"/>
  <c r="DZ90" i="3"/>
  <c r="DY90" i="3"/>
  <c r="DX90" i="3"/>
  <c r="DW90" i="3"/>
  <c r="DU90" i="3"/>
  <c r="DT90" i="3"/>
  <c r="DS90" i="3"/>
  <c r="DR90" i="3"/>
  <c r="DP90" i="3"/>
  <c r="DO90" i="3"/>
  <c r="DN90" i="3"/>
  <c r="DM90" i="3"/>
  <c r="DK90" i="3"/>
  <c r="DJ90" i="3"/>
  <c r="DI90" i="3"/>
  <c r="DH90" i="3"/>
  <c r="DF90" i="3"/>
  <c r="DE90" i="3"/>
  <c r="DD90" i="3"/>
  <c r="DC90" i="3"/>
  <c r="DA90" i="3"/>
  <c r="CZ90" i="3"/>
  <c r="CY90" i="3"/>
  <c r="CX90" i="3"/>
  <c r="CV90" i="3"/>
  <c r="CU90" i="3"/>
  <c r="CT90" i="3"/>
  <c r="CS90" i="3"/>
  <c r="CL90" i="3"/>
  <c r="CK90" i="3"/>
  <c r="CJ90" i="3"/>
  <c r="CI90" i="3"/>
  <c r="CG90" i="3"/>
  <c r="CF90" i="3"/>
  <c r="CB90" i="3"/>
  <c r="CD90" i="3" s="1"/>
  <c r="CE90" i="3" s="1"/>
  <c r="CA90" i="3"/>
  <c r="BZ90" i="3"/>
  <c r="BW90" i="3"/>
  <c r="BY90" i="3" s="1"/>
  <c r="BV90" i="3"/>
  <c r="BU90" i="3"/>
  <c r="BT90" i="3"/>
  <c r="BR90" i="3"/>
  <c r="BQ90" i="3"/>
  <c r="BP90" i="3"/>
  <c r="BO90" i="3"/>
  <c r="BM90" i="3"/>
  <c r="BL90" i="3"/>
  <c r="BK90" i="3"/>
  <c r="BJ90" i="3"/>
  <c r="BH90" i="3"/>
  <c r="BG90" i="3"/>
  <c r="BF90" i="3"/>
  <c r="BE90" i="3"/>
  <c r="BC90" i="3"/>
  <c r="BB90" i="3"/>
  <c r="BA90" i="3"/>
  <c r="AZ90" i="3"/>
  <c r="AX90" i="3"/>
  <c r="AW90" i="3"/>
  <c r="AV90" i="3"/>
  <c r="AU90" i="3"/>
  <c r="AS90" i="3"/>
  <c r="AR90" i="3"/>
  <c r="AQ90" i="3"/>
  <c r="AP90" i="3"/>
  <c r="AN90" i="3"/>
  <c r="AM90" i="3"/>
  <c r="AL90" i="3"/>
  <c r="AK90" i="3"/>
  <c r="AI90" i="3"/>
  <c r="AH90" i="3"/>
  <c r="AG90" i="3"/>
  <c r="AF90" i="3"/>
  <c r="AC90" i="3"/>
  <c r="AB90" i="3"/>
  <c r="AA90" i="3"/>
  <c r="Y90" i="3"/>
  <c r="X90" i="3"/>
  <c r="W90" i="3"/>
  <c r="V90" i="3"/>
  <c r="T90" i="3"/>
  <c r="S90" i="3"/>
  <c r="R90" i="3"/>
  <c r="Q90" i="3"/>
  <c r="O90" i="3"/>
  <c r="N90" i="3"/>
  <c r="M90" i="3"/>
  <c r="L90" i="3"/>
  <c r="EK89" i="3"/>
  <c r="EF89" i="3"/>
  <c r="EA89" i="3"/>
  <c r="DV89" i="3"/>
  <c r="DQ89" i="3"/>
  <c r="DL89" i="3"/>
  <c r="DG89" i="3"/>
  <c r="DB89" i="3"/>
  <c r="CW89" i="3"/>
  <c r="CR89" i="3"/>
  <c r="CM89" i="3"/>
  <c r="CH89" i="3"/>
  <c r="CC89" i="3"/>
  <c r="BX89" i="3"/>
  <c r="BS89" i="3"/>
  <c r="BN89" i="3"/>
  <c r="BI89" i="3"/>
  <c r="BD89" i="3"/>
  <c r="AY89" i="3"/>
  <c r="AT89" i="3"/>
  <c r="AO89" i="3"/>
  <c r="AJ89" i="3"/>
  <c r="AE89" i="3"/>
  <c r="Z89" i="3"/>
  <c r="U89" i="3"/>
  <c r="P89" i="3"/>
  <c r="DJ88" i="3"/>
  <c r="DH88" i="3"/>
  <c r="DG88" i="3"/>
  <c r="DC88" i="3"/>
  <c r="DB88" i="3"/>
  <c r="CG88" i="3"/>
  <c r="CB88" i="3"/>
  <c r="BW88" i="3"/>
  <c r="BR88" i="3"/>
  <c r="BM88" i="3"/>
  <c r="BH88" i="3"/>
  <c r="BJ88" i="3" s="1"/>
  <c r="BC88" i="3"/>
  <c r="BD88" i="3" s="1"/>
  <c r="AZ88" i="3"/>
  <c r="AY88" i="3"/>
  <c r="AT88" i="3"/>
  <c r="AO88" i="3"/>
  <c r="AJ88" i="3"/>
  <c r="AE88" i="3"/>
  <c r="Z88" i="3"/>
  <c r="U88" i="3"/>
  <c r="P88" i="3"/>
  <c r="AD84" i="3"/>
  <c r="AC84" i="3"/>
  <c r="Z84" i="3"/>
  <c r="U84" i="3"/>
  <c r="P84" i="3"/>
  <c r="EM83" i="3"/>
  <c r="EN83" i="3" s="1"/>
  <c r="EO83" i="3" s="1"/>
  <c r="EL83" i="3"/>
  <c r="EJ83" i="3"/>
  <c r="EK83" i="3" s="1"/>
  <c r="EI83" i="3"/>
  <c r="EH83" i="3"/>
  <c r="EG83" i="3"/>
  <c r="EE83" i="3"/>
  <c r="EF83" i="3" s="1"/>
  <c r="ED83" i="3"/>
  <c r="EC83" i="3"/>
  <c r="EB83" i="3"/>
  <c r="DZ83" i="3"/>
  <c r="EA83" i="3" s="1"/>
  <c r="DY83" i="3"/>
  <c r="DX83" i="3"/>
  <c r="DW83" i="3"/>
  <c r="DU83" i="3"/>
  <c r="DV83" i="3" s="1"/>
  <c r="DT83" i="3"/>
  <c r="DS83" i="3"/>
  <c r="DR83" i="3"/>
  <c r="DP83" i="3"/>
  <c r="DQ83" i="3" s="1"/>
  <c r="DO83" i="3"/>
  <c r="DN83" i="3"/>
  <c r="DM83" i="3"/>
  <c r="DK83" i="3"/>
  <c r="DL83" i="3" s="1"/>
  <c r="DJ83" i="3"/>
  <c r="DI83" i="3"/>
  <c r="DI84" i="3" s="1"/>
  <c r="DH83" i="3"/>
  <c r="DF83" i="3"/>
  <c r="DG83" i="3" s="1"/>
  <c r="DE83" i="3"/>
  <c r="DD83" i="3"/>
  <c r="DC83" i="3"/>
  <c r="DA83" i="3"/>
  <c r="DB83" i="3" s="1"/>
  <c r="CZ83" i="3"/>
  <c r="CY83" i="3"/>
  <c r="CX83" i="3"/>
  <c r="CX84" i="3" s="1"/>
  <c r="CV83" i="3"/>
  <c r="CW83" i="3" s="1"/>
  <c r="CU83" i="3"/>
  <c r="CT83" i="3"/>
  <c r="CS83" i="3"/>
  <c r="CQ83" i="3"/>
  <c r="CR83" i="3" s="1"/>
  <c r="CP83" i="3"/>
  <c r="CO83" i="3"/>
  <c r="CN83" i="3"/>
  <c r="CL83" i="3"/>
  <c r="CM83" i="3" s="1"/>
  <c r="CK83" i="3"/>
  <c r="CJ83" i="3"/>
  <c r="CI83" i="3"/>
  <c r="CG83" i="3"/>
  <c r="CH83" i="3" s="1"/>
  <c r="CF83" i="3"/>
  <c r="CE83" i="3"/>
  <c r="CD83" i="3"/>
  <c r="CB83" i="3"/>
  <c r="CC83" i="3" s="1"/>
  <c r="CA83" i="3"/>
  <c r="BZ83" i="3"/>
  <c r="BZ84" i="3" s="1"/>
  <c r="BY83" i="3"/>
  <c r="BW83" i="3"/>
  <c r="BV83" i="3"/>
  <c r="BU83" i="3"/>
  <c r="BU84" i="3" s="1"/>
  <c r="BT83" i="3"/>
  <c r="BR83" i="3"/>
  <c r="BS83" i="3" s="1"/>
  <c r="BQ83" i="3"/>
  <c r="BP83" i="3"/>
  <c r="BP84" i="3" s="1"/>
  <c r="BO83" i="3"/>
  <c r="BM83" i="3"/>
  <c r="BN83" i="3" s="1"/>
  <c r="BL83" i="3"/>
  <c r="BK83" i="3"/>
  <c r="BK84" i="3" s="1"/>
  <c r="BJ83" i="3"/>
  <c r="BH83" i="3"/>
  <c r="BI83" i="3" s="1"/>
  <c r="BG83" i="3"/>
  <c r="BF83" i="3"/>
  <c r="BF84" i="3" s="1"/>
  <c r="BE83" i="3"/>
  <c r="BC83" i="3"/>
  <c r="BD83" i="3" s="1"/>
  <c r="BB83" i="3"/>
  <c r="BA83" i="3"/>
  <c r="BA84" i="3" s="1"/>
  <c r="AZ83" i="3"/>
  <c r="AZ84" i="3" s="1"/>
  <c r="AX83" i="3"/>
  <c r="AX84" i="3" s="1"/>
  <c r="AY84" i="3" s="1"/>
  <c r="AW83" i="3"/>
  <c r="AW84" i="3" s="1"/>
  <c r="AV83" i="3"/>
  <c r="AV84" i="3" s="1"/>
  <c r="AU83" i="3"/>
  <c r="AU84" i="3" s="1"/>
  <c r="AS83" i="3"/>
  <c r="AT83" i="3" s="1"/>
  <c r="AR83" i="3"/>
  <c r="AR84" i="3" s="1"/>
  <c r="AQ83" i="3"/>
  <c r="AQ84" i="3" s="1"/>
  <c r="AP83" i="3"/>
  <c r="AN83" i="3"/>
  <c r="AO83" i="3" s="1"/>
  <c r="AL83" i="3"/>
  <c r="AL84" i="3" s="1"/>
  <c r="AK83" i="3"/>
  <c r="AK84" i="3" s="1"/>
  <c r="AI83" i="3"/>
  <c r="AH83" i="3"/>
  <c r="AH84" i="3" s="1"/>
  <c r="AG83" i="3"/>
  <c r="AG84" i="3" s="1"/>
  <c r="AF83" i="3"/>
  <c r="AF84" i="3" s="1"/>
  <c r="AE83" i="3"/>
  <c r="Z83" i="3"/>
  <c r="U83" i="3"/>
  <c r="P83" i="3"/>
  <c r="DJ82" i="3"/>
  <c r="DK82" i="3" s="1"/>
  <c r="DL82" i="3" s="1"/>
  <c r="CY82" i="3"/>
  <c r="CZ82" i="3" s="1"/>
  <c r="CA82" i="3"/>
  <c r="CB82" i="3" s="1"/>
  <c r="BV82" i="3"/>
  <c r="BW82" i="3" s="1"/>
  <c r="BY82" i="3" s="1"/>
  <c r="BQ82" i="3"/>
  <c r="BR82" i="3" s="1"/>
  <c r="BT82" i="3" s="1"/>
  <c r="BT84" i="3" s="1"/>
  <c r="BL82" i="3"/>
  <c r="BG82" i="3"/>
  <c r="BB82" i="3"/>
  <c r="BC82" i="3" s="1"/>
  <c r="AY82" i="3"/>
  <c r="AT82" i="3"/>
  <c r="AM82" i="3"/>
  <c r="AN82" i="3" s="1"/>
  <c r="AJ82" i="3"/>
  <c r="AE82" i="3"/>
  <c r="Z82" i="3"/>
  <c r="U82" i="3"/>
  <c r="P82" i="3"/>
  <c r="DJ81" i="3"/>
  <c r="DK81" i="3" s="1"/>
  <c r="DC81" i="3"/>
  <c r="DB81" i="3"/>
  <c r="CW81" i="3"/>
  <c r="CR81" i="3"/>
  <c r="CM81" i="3"/>
  <c r="CH81" i="3"/>
  <c r="CC81" i="3"/>
  <c r="BX81" i="3"/>
  <c r="BS81" i="3"/>
  <c r="BN81" i="3"/>
  <c r="BI81" i="3"/>
  <c r="BD81" i="3"/>
  <c r="AY81" i="3"/>
  <c r="AT81" i="3"/>
  <c r="AO81" i="3"/>
  <c r="AJ81" i="3"/>
  <c r="AE81" i="3"/>
  <c r="Z81" i="3"/>
  <c r="U81" i="3"/>
  <c r="P81" i="3"/>
  <c r="EK78" i="3"/>
  <c r="EF78" i="3"/>
  <c r="EA78" i="3"/>
  <c r="DV78" i="3"/>
  <c r="DQ78" i="3"/>
  <c r="DL78" i="3"/>
  <c r="DG78" i="3"/>
  <c r="DB78" i="3"/>
  <c r="CW78" i="3"/>
  <c r="CR78" i="3"/>
  <c r="CM78" i="3"/>
  <c r="CH78" i="3"/>
  <c r="CC78" i="3"/>
  <c r="BX78" i="3"/>
  <c r="BS78" i="3"/>
  <c r="BN78" i="3"/>
  <c r="BI78" i="3"/>
  <c r="BD78" i="3"/>
  <c r="AY78" i="3"/>
  <c r="AT78" i="3"/>
  <c r="AN78" i="3"/>
  <c r="AO78" i="3" s="1"/>
  <c r="AM78" i="3"/>
  <c r="AL78" i="3"/>
  <c r="AI78" i="3"/>
  <c r="AJ78" i="3" s="1"/>
  <c r="AD78" i="3"/>
  <c r="AE78" i="3" s="1"/>
  <c r="Z78" i="3"/>
  <c r="U78" i="3"/>
  <c r="P78" i="3"/>
  <c r="AT77" i="3"/>
  <c r="AP77" i="3"/>
  <c r="AP76" i="3" s="1"/>
  <c r="AO77" i="3"/>
  <c r="AJ77" i="3"/>
  <c r="AF77" i="3"/>
  <c r="AE77" i="3"/>
  <c r="AG77" i="3" s="1"/>
  <c r="AG76" i="3" s="1"/>
  <c r="Z77" i="3"/>
  <c r="U77" i="3"/>
  <c r="P77" i="3"/>
  <c r="AS76" i="3"/>
  <c r="AT76" i="3" s="1"/>
  <c r="AO76" i="3"/>
  <c r="AJ76" i="3"/>
  <c r="AE76" i="3"/>
  <c r="AA76" i="3"/>
  <c r="Y76" i="3"/>
  <c r="Z76" i="3" s="1"/>
  <c r="X76" i="3"/>
  <c r="W76" i="3"/>
  <c r="V76" i="3"/>
  <c r="T76" i="3"/>
  <c r="U76" i="3" s="1"/>
  <c r="S76" i="3"/>
  <c r="R76" i="3"/>
  <c r="Q76" i="3"/>
  <c r="O76" i="3"/>
  <c r="P76" i="3" s="1"/>
  <c r="N76" i="3"/>
  <c r="M76" i="3"/>
  <c r="L76" i="3"/>
  <c r="CF74" i="3"/>
  <c r="CE74" i="3"/>
  <c r="CA74" i="3"/>
  <c r="BV74" i="3"/>
  <c r="BG74" i="3"/>
  <c r="AM74" i="3"/>
  <c r="AB74" i="3"/>
  <c r="AB86" i="3" s="1"/>
  <c r="AA74" i="3"/>
  <c r="AA86" i="3" s="1"/>
  <c r="X74" i="3"/>
  <c r="X86" i="3" s="1"/>
  <c r="W74" i="3"/>
  <c r="W86" i="3" s="1"/>
  <c r="V74" i="3"/>
  <c r="V86" i="3" s="1"/>
  <c r="T74" i="3"/>
  <c r="S74" i="3"/>
  <c r="S86" i="3" s="1"/>
  <c r="R74" i="3"/>
  <c r="R86" i="3" s="1"/>
  <c r="Q74" i="3"/>
  <c r="Q86" i="3" s="1"/>
  <c r="O74" i="3"/>
  <c r="P74" i="3" s="1"/>
  <c r="N74" i="3"/>
  <c r="N86" i="3" s="1"/>
  <c r="M74" i="3"/>
  <c r="M86" i="3" s="1"/>
  <c r="L74" i="3"/>
  <c r="L86" i="3" s="1"/>
  <c r="EN72" i="3"/>
  <c r="EO72" i="3" s="1"/>
  <c r="EK72" i="3"/>
  <c r="EF72" i="3"/>
  <c r="EA72" i="3"/>
  <c r="DV72" i="3"/>
  <c r="DQ72" i="3"/>
  <c r="DL72" i="3"/>
  <c r="DG72" i="3"/>
  <c r="DB72" i="3"/>
  <c r="CW72" i="3"/>
  <c r="CR72" i="3"/>
  <c r="CP72" i="3"/>
  <c r="CM72" i="3"/>
  <c r="CJ72" i="3"/>
  <c r="CI72" i="3"/>
  <c r="CH72" i="3"/>
  <c r="CC72" i="3"/>
  <c r="BX72" i="3"/>
  <c r="BS72" i="3"/>
  <c r="BN72" i="3"/>
  <c r="BI72" i="3"/>
  <c r="BD72" i="3"/>
  <c r="AX72" i="3"/>
  <c r="AY72" i="3" s="1"/>
  <c r="AW72" i="3"/>
  <c r="AW74" i="3" s="1"/>
  <c r="AV72" i="3"/>
  <c r="AU72" i="3"/>
  <c r="AS72" i="3"/>
  <c r="AS74" i="3" s="1"/>
  <c r="AT74" i="3" s="1"/>
  <c r="AR72" i="3"/>
  <c r="AQ72" i="3"/>
  <c r="AQ74" i="3" s="1"/>
  <c r="AP72" i="3"/>
  <c r="AP74" i="3" s="1"/>
  <c r="AN72" i="3"/>
  <c r="AL72" i="3"/>
  <c r="AL74" i="3" s="1"/>
  <c r="AK72" i="3"/>
  <c r="AK74" i="3" s="1"/>
  <c r="AI72" i="3"/>
  <c r="AI74" i="3" s="1"/>
  <c r="AJ74" i="3" s="1"/>
  <c r="AH72" i="3"/>
  <c r="AH74" i="3" s="1"/>
  <c r="AG72" i="3"/>
  <c r="AG74" i="3" s="1"/>
  <c r="AF72" i="3"/>
  <c r="AF74" i="3" s="1"/>
  <c r="AD72" i="3"/>
  <c r="AD74" i="3" s="1"/>
  <c r="AE74" i="3" s="1"/>
  <c r="AC72" i="3"/>
  <c r="AC74" i="3" s="1"/>
  <c r="Y72" i="3"/>
  <c r="U72" i="3"/>
  <c r="P72" i="3"/>
  <c r="BG71" i="3"/>
  <c r="EK67" i="3"/>
  <c r="EF67" i="3"/>
  <c r="EA67" i="3"/>
  <c r="DV67" i="3"/>
  <c r="DQ67" i="3"/>
  <c r="DL67" i="3"/>
  <c r="DG67" i="3"/>
  <c r="DB67" i="3"/>
  <c r="CW67" i="3"/>
  <c r="CR67" i="3"/>
  <c r="CM67" i="3"/>
  <c r="CH67" i="3"/>
  <c r="CC67" i="3"/>
  <c r="BX67" i="3"/>
  <c r="BS67" i="3"/>
  <c r="BN67" i="3"/>
  <c r="BI67" i="3"/>
  <c r="BD67" i="3"/>
  <c r="AY67" i="3"/>
  <c r="AT67" i="3"/>
  <c r="AO67" i="3"/>
  <c r="AJ67" i="3"/>
  <c r="AE67" i="3"/>
  <c r="Z67" i="3"/>
  <c r="U67" i="3"/>
  <c r="P67" i="3"/>
  <c r="EM66" i="3"/>
  <c r="EL66" i="3"/>
  <c r="EJ66" i="3"/>
  <c r="EI66" i="3"/>
  <c r="EH66" i="3"/>
  <c r="EG66" i="3"/>
  <c r="EE66" i="3"/>
  <c r="ED66" i="3"/>
  <c r="EC66" i="3"/>
  <c r="EB66" i="3"/>
  <c r="DZ66" i="3"/>
  <c r="DY66" i="3"/>
  <c r="DX66" i="3"/>
  <c r="DW66" i="3"/>
  <c r="DU66" i="3"/>
  <c r="DT66" i="3"/>
  <c r="DS66" i="3"/>
  <c r="DR66" i="3"/>
  <c r="DP66" i="3"/>
  <c r="DO66" i="3"/>
  <c r="DN66" i="3"/>
  <c r="DM66" i="3"/>
  <c r="DK66" i="3"/>
  <c r="DJ66" i="3"/>
  <c r="DI66" i="3"/>
  <c r="DH66" i="3"/>
  <c r="DF66" i="3"/>
  <c r="DE66" i="3"/>
  <c r="DD66" i="3"/>
  <c r="DC66" i="3"/>
  <c r="DA66" i="3"/>
  <c r="CZ66" i="3"/>
  <c r="CY66" i="3"/>
  <c r="CX66" i="3"/>
  <c r="CV66" i="3"/>
  <c r="CU66" i="3"/>
  <c r="CT66" i="3"/>
  <c r="CS66" i="3"/>
  <c r="CL66" i="3"/>
  <c r="CK66" i="3"/>
  <c r="CJ66" i="3"/>
  <c r="CI66" i="3"/>
  <c r="CG66" i="3"/>
  <c r="CF66" i="3"/>
  <c r="CE66" i="3"/>
  <c r="CD66" i="3"/>
  <c r="CB66" i="3"/>
  <c r="CA66" i="3"/>
  <c r="BZ66" i="3"/>
  <c r="BY66" i="3"/>
  <c r="BW66" i="3"/>
  <c r="BV66" i="3"/>
  <c r="BU66" i="3"/>
  <c r="BT66" i="3"/>
  <c r="BR66" i="3"/>
  <c r="BQ66" i="3"/>
  <c r="BP66" i="3"/>
  <c r="BO66" i="3"/>
  <c r="BM66" i="3"/>
  <c r="BL66" i="3"/>
  <c r="BK66" i="3"/>
  <c r="BJ66" i="3"/>
  <c r="BH66" i="3"/>
  <c r="BG66" i="3"/>
  <c r="BF66" i="3"/>
  <c r="BE66" i="3"/>
  <c r="BC66" i="3"/>
  <c r="BB66" i="3"/>
  <c r="BA66" i="3"/>
  <c r="AZ66" i="3"/>
  <c r="AX66" i="3"/>
  <c r="AW66" i="3"/>
  <c r="AV66" i="3"/>
  <c r="AU66" i="3"/>
  <c r="AS66" i="3"/>
  <c r="AR66" i="3"/>
  <c r="AQ66" i="3"/>
  <c r="AP66" i="3"/>
  <c r="AN66" i="3"/>
  <c r="AM66" i="3"/>
  <c r="AL66" i="3"/>
  <c r="AK66" i="3"/>
  <c r="AI66" i="3"/>
  <c r="AH66" i="3"/>
  <c r="AG66" i="3"/>
  <c r="AF66" i="3"/>
  <c r="AC66" i="3"/>
  <c r="AB66" i="3"/>
  <c r="AA66" i="3"/>
  <c r="Y66" i="3"/>
  <c r="X66" i="3"/>
  <c r="W66" i="3"/>
  <c r="V66" i="3"/>
  <c r="T66" i="3"/>
  <c r="S66" i="3"/>
  <c r="R66" i="3"/>
  <c r="Q66" i="3"/>
  <c r="O66" i="3"/>
  <c r="N66" i="3"/>
  <c r="M66" i="3"/>
  <c r="L66" i="3"/>
  <c r="EK65" i="3"/>
  <c r="EF65" i="3"/>
  <c r="EA65" i="3"/>
  <c r="DV65" i="3"/>
  <c r="DQ65" i="3"/>
  <c r="DL65" i="3"/>
  <c r="DG65" i="3"/>
  <c r="DB65" i="3"/>
  <c r="CW65" i="3"/>
  <c r="CR65" i="3"/>
  <c r="CM65" i="3"/>
  <c r="CH65" i="3"/>
  <c r="CC65" i="3"/>
  <c r="BX65" i="3"/>
  <c r="BS65" i="3"/>
  <c r="BN65" i="3"/>
  <c r="BI65" i="3"/>
  <c r="BD65" i="3"/>
  <c r="AY65" i="3"/>
  <c r="AT65" i="3"/>
  <c r="AO65" i="3"/>
  <c r="AJ65" i="3"/>
  <c r="AE65" i="3"/>
  <c r="Z65" i="3"/>
  <c r="U65" i="3"/>
  <c r="P65" i="3"/>
  <c r="EL64" i="3"/>
  <c r="EJ64" i="3"/>
  <c r="EK64" i="3" s="1"/>
  <c r="EI64" i="3"/>
  <c r="EE64" i="3"/>
  <c r="EF64" i="3" s="1"/>
  <c r="ED64" i="3"/>
  <c r="EC64" i="3"/>
  <c r="EB64" i="3"/>
  <c r="DZ64" i="3"/>
  <c r="EA64" i="3" s="1"/>
  <c r="DY64" i="3"/>
  <c r="DX64" i="3"/>
  <c r="DU64" i="3"/>
  <c r="DV64" i="3" s="1"/>
  <c r="DT64" i="3"/>
  <c r="DS64" i="3"/>
  <c r="DR64" i="3"/>
  <c r="DP64" i="3"/>
  <c r="DQ64" i="3" s="1"/>
  <c r="DO64" i="3"/>
  <c r="DN64" i="3"/>
  <c r="DM64" i="3"/>
  <c r="DK64" i="3"/>
  <c r="DL64" i="3" s="1"/>
  <c r="CH64" i="3"/>
  <c r="CC64" i="3"/>
  <c r="BY64" i="3"/>
  <c r="BX64" i="3"/>
  <c r="BS64" i="3"/>
  <c r="BN64" i="3"/>
  <c r="BL64" i="3"/>
  <c r="BL62" i="3" s="1"/>
  <c r="BJ64" i="3"/>
  <c r="BI64" i="3"/>
  <c r="BD64" i="3"/>
  <c r="AY64" i="3"/>
  <c r="AT64" i="3"/>
  <c r="AO64" i="3"/>
  <c r="AJ64" i="3"/>
  <c r="AE64" i="3"/>
  <c r="Z64" i="3"/>
  <c r="U64" i="3"/>
  <c r="P64" i="3"/>
  <c r="DK63" i="3"/>
  <c r="DG63" i="3"/>
  <c r="CG63" i="3"/>
  <c r="CG74" i="3" s="1"/>
  <c r="CH74" i="3" s="1"/>
  <c r="CB63" i="3"/>
  <c r="CC63" i="3" s="1"/>
  <c r="BW63" i="3"/>
  <c r="BX63" i="3" s="1"/>
  <c r="BR63" i="3"/>
  <c r="BM63" i="3"/>
  <c r="BM74" i="3" s="1"/>
  <c r="BN74" i="3" s="1"/>
  <c r="BH63" i="3"/>
  <c r="BI63" i="3" s="1"/>
  <c r="AX63" i="3"/>
  <c r="AU63" i="3"/>
  <c r="AU74" i="3" s="1"/>
  <c r="AT63" i="3"/>
  <c r="AO63" i="3"/>
  <c r="AJ63" i="3"/>
  <c r="AE63" i="3"/>
  <c r="Z63" i="3"/>
  <c r="U63" i="3"/>
  <c r="P63" i="3"/>
  <c r="EM62" i="3"/>
  <c r="EM64" i="3" s="1"/>
  <c r="EN64" i="3" s="1"/>
  <c r="EO64" i="3" s="1"/>
  <c r="EK62" i="3"/>
  <c r="EH62" i="3"/>
  <c r="EG62" i="3"/>
  <c r="EG64" i="3" s="1"/>
  <c r="EF62" i="3"/>
  <c r="EA62" i="3"/>
  <c r="DW62" i="3"/>
  <c r="DV62" i="3"/>
  <c r="DQ62" i="3"/>
  <c r="DL62" i="3"/>
  <c r="CH62" i="3"/>
  <c r="CC62" i="3"/>
  <c r="BW62" i="3"/>
  <c r="BS62" i="3"/>
  <c r="BQ62" i="3"/>
  <c r="BQ74" i="3" s="1"/>
  <c r="BN62" i="3"/>
  <c r="BI62" i="3"/>
  <c r="BF62" i="3"/>
  <c r="BC62" i="3"/>
  <c r="BD62" i="3" s="1"/>
  <c r="AY62" i="3"/>
  <c r="AT62" i="3"/>
  <c r="AR62" i="3"/>
  <c r="AO62" i="3"/>
  <c r="AJ62" i="3"/>
  <c r="AE62" i="3"/>
  <c r="Z62" i="3"/>
  <c r="U62" i="3"/>
  <c r="P62" i="3"/>
  <c r="EN57" i="3"/>
  <c r="EK57" i="3"/>
  <c r="EF57" i="3"/>
  <c r="EA57" i="3"/>
  <c r="DV57" i="3"/>
  <c r="DQ57" i="3"/>
  <c r="DL57" i="3"/>
  <c r="DG57" i="3"/>
  <c r="DB57" i="3"/>
  <c r="CW57" i="3"/>
  <c r="CR57" i="3"/>
  <c r="CM57" i="3"/>
  <c r="CH57" i="3"/>
  <c r="CC57" i="3"/>
  <c r="BX57" i="3"/>
  <c r="BS57" i="3"/>
  <c r="BN57" i="3"/>
  <c r="BI57" i="3"/>
  <c r="BD57" i="3"/>
  <c r="AY57" i="3"/>
  <c r="AT57" i="3"/>
  <c r="AO57" i="3"/>
  <c r="AJ57" i="3"/>
  <c r="AE57" i="3"/>
  <c r="Z57" i="3"/>
  <c r="U57" i="3"/>
  <c r="P57" i="3"/>
  <c r="K57" i="3"/>
  <c r="F57" i="3"/>
  <c r="EF49" i="3"/>
  <c r="DQ49" i="3"/>
  <c r="DL49" i="3"/>
  <c r="DG49" i="3"/>
  <c r="DB49" i="3"/>
  <c r="CW49" i="3"/>
  <c r="CR49" i="3"/>
  <c r="EF48" i="3"/>
  <c r="EL47" i="3"/>
  <c r="EM47" i="3" s="1"/>
  <c r="EN47" i="3" s="1"/>
  <c r="EO47" i="3" s="1"/>
  <c r="EQ47" i="3" s="1"/>
  <c r="ER47" i="3" s="1"/>
  <c r="ES47" i="3" s="1"/>
  <c r="ET47" i="3" s="1"/>
  <c r="EV47" i="3" s="1"/>
  <c r="EW47" i="3" s="1"/>
  <c r="EX47" i="3" s="1"/>
  <c r="EY47" i="3" s="1"/>
  <c r="EG47" i="3"/>
  <c r="EH47" i="3" s="1"/>
  <c r="EI47" i="3" s="1"/>
  <c r="EJ47" i="3" s="1"/>
  <c r="EB47" i="3"/>
  <c r="EC47" i="3" s="1"/>
  <c r="ED47" i="3" s="1"/>
  <c r="EE47" i="3" s="1"/>
  <c r="DF47" i="3"/>
  <c r="DH47" i="3" s="1"/>
  <c r="DI47" i="3" s="1"/>
  <c r="DJ47" i="3" s="1"/>
  <c r="DK47" i="3" s="1"/>
  <c r="DM47" i="3" s="1"/>
  <c r="DN47" i="3" s="1"/>
  <c r="DO47" i="3" s="1"/>
  <c r="DP47" i="3" s="1"/>
  <c r="DR47" i="3" s="1"/>
  <c r="DS47" i="3" s="1"/>
  <c r="DT47" i="3" s="1"/>
  <c r="DU47" i="3" s="1"/>
  <c r="DW47" i="3" s="1"/>
  <c r="DX47" i="3" s="1"/>
  <c r="DY47" i="3" s="1"/>
  <c r="DZ47" i="3" s="1"/>
  <c r="DD47" i="3"/>
  <c r="DA47" i="3"/>
  <c r="CZ47" i="3"/>
  <c r="CY47" i="3"/>
  <c r="CX47" i="3"/>
  <c r="CV47" i="3"/>
  <c r="CU47" i="3"/>
  <c r="CT47" i="3"/>
  <c r="CS47" i="3"/>
  <c r="CQ47" i="3"/>
  <c r="CP47" i="3"/>
  <c r="EK46" i="3"/>
  <c r="EF46" i="3"/>
  <c r="EA46" i="3"/>
  <c r="DV46" i="3"/>
  <c r="AJ46" i="3"/>
  <c r="AE46" i="3"/>
  <c r="Z46" i="3"/>
  <c r="U46" i="3"/>
  <c r="P46" i="3"/>
  <c r="K46" i="3"/>
  <c r="F46" i="3"/>
  <c r="EM42" i="3"/>
  <c r="EJ42" i="3"/>
  <c r="EI42" i="3"/>
  <c r="EH42" i="3"/>
  <c r="EG42" i="3"/>
  <c r="EE42" i="3"/>
  <c r="ED42" i="3"/>
  <c r="EC42" i="3"/>
  <c r="EB42" i="3"/>
  <c r="DZ42" i="3"/>
  <c r="DY42" i="3"/>
  <c r="DX42" i="3"/>
  <c r="DU42" i="3"/>
  <c r="DT42" i="3"/>
  <c r="DS42" i="3"/>
  <c r="DR42" i="3"/>
  <c r="DP42" i="3"/>
  <c r="DO42" i="3"/>
  <c r="DN42" i="3"/>
  <c r="DM42" i="3"/>
  <c r="DK42" i="3"/>
  <c r="DJ42" i="3"/>
  <c r="DI42" i="3"/>
  <c r="DH42" i="3"/>
  <c r="DF42" i="3"/>
  <c r="DE42" i="3"/>
  <c r="CA42" i="3"/>
  <c r="BA42" i="3"/>
  <c r="AZ42" i="3"/>
  <c r="AX42" i="3"/>
  <c r="AW42" i="3"/>
  <c r="AW39" i="3" s="1"/>
  <c r="AU42" i="3"/>
  <c r="AR42" i="3"/>
  <c r="AQ42" i="3"/>
  <c r="AP42" i="3"/>
  <c r="AM42" i="3"/>
  <c r="AL42" i="3"/>
  <c r="AK42" i="3"/>
  <c r="AH42" i="3"/>
  <c r="AJ42" i="3" s="1"/>
  <c r="AE42" i="3"/>
  <c r="Z42" i="3"/>
  <c r="U42" i="3"/>
  <c r="P42" i="3"/>
  <c r="K42" i="3"/>
  <c r="F42" i="3"/>
  <c r="DD41" i="3"/>
  <c r="DC41" i="3"/>
  <c r="DA41" i="3"/>
  <c r="DA42" i="3" s="1"/>
  <c r="CZ41" i="3"/>
  <c r="CY41" i="3"/>
  <c r="CY42" i="3" s="1"/>
  <c r="CX41" i="3"/>
  <c r="CV41" i="3"/>
  <c r="CV42" i="3" s="1"/>
  <c r="CU41" i="3"/>
  <c r="CU42" i="3" s="1"/>
  <c r="CT41" i="3"/>
  <c r="CS41" i="3"/>
  <c r="CS42" i="3" s="1"/>
  <c r="CQ41" i="3"/>
  <c r="CP41" i="3"/>
  <c r="CO41" i="3"/>
  <c r="CO42" i="3" s="1"/>
  <c r="CN41" i="3"/>
  <c r="CL41" i="3"/>
  <c r="CK41" i="3"/>
  <c r="CJ41" i="3"/>
  <c r="CJ42" i="3" s="1"/>
  <c r="CI41" i="3"/>
  <c r="CI42" i="3" s="1"/>
  <c r="CG41" i="3"/>
  <c r="CG42" i="3" s="1"/>
  <c r="CF41" i="3"/>
  <c r="CE41" i="3"/>
  <c r="CD41" i="3"/>
  <c r="CB41" i="3"/>
  <c r="CB42" i="3" s="1"/>
  <c r="BZ41" i="3"/>
  <c r="BZ42" i="3" s="1"/>
  <c r="BY41" i="3"/>
  <c r="BW41" i="3"/>
  <c r="BV41" i="3"/>
  <c r="BU41" i="3"/>
  <c r="BQ41" i="3"/>
  <c r="BP41" i="3"/>
  <c r="BM41" i="3"/>
  <c r="BL41" i="3"/>
  <c r="BK41" i="3"/>
  <c r="BJ41" i="3"/>
  <c r="BG41" i="3"/>
  <c r="BG42" i="3" s="1"/>
  <c r="BF41" i="3"/>
  <c r="BF42" i="3" s="1"/>
  <c r="BE41" i="3"/>
  <c r="BC41" i="3"/>
  <c r="BB41" i="3"/>
  <c r="BB42" i="3" s="1"/>
  <c r="AV41" i="3"/>
  <c r="AY41" i="3" s="1"/>
  <c r="AE41" i="3"/>
  <c r="Z41" i="3"/>
  <c r="U41" i="3"/>
  <c r="P41" i="3"/>
  <c r="K41" i="3"/>
  <c r="F41" i="3"/>
  <c r="EZ40" i="3"/>
  <c r="EU40" i="3"/>
  <c r="EP40" i="3"/>
  <c r="EK40" i="3"/>
  <c r="EF40" i="3"/>
  <c r="EA40" i="3"/>
  <c r="DV40" i="3"/>
  <c r="DQ40" i="3"/>
  <c r="DL40" i="3"/>
  <c r="DG40" i="3"/>
  <c r="DB40" i="3"/>
  <c r="CW40" i="3"/>
  <c r="CR40" i="3"/>
  <c r="CM40" i="3"/>
  <c r="CH40" i="3"/>
  <c r="CC40" i="3"/>
  <c r="BX40" i="3"/>
  <c r="BS40" i="3"/>
  <c r="BN40" i="3"/>
  <c r="BI40" i="3"/>
  <c r="BD40" i="3"/>
  <c r="AY40" i="3"/>
  <c r="AT40" i="3"/>
  <c r="AO40" i="3"/>
  <c r="AJ40" i="3"/>
  <c r="AE40" i="3"/>
  <c r="X40" i="3"/>
  <c r="W40" i="3"/>
  <c r="V40" i="3"/>
  <c r="Z40" i="3" s="1"/>
  <c r="U40" i="3"/>
  <c r="P40" i="3"/>
  <c r="K40" i="3"/>
  <c r="F40" i="3"/>
  <c r="EZ39" i="3"/>
  <c r="EU39" i="3"/>
  <c r="EM39" i="3"/>
  <c r="EL39" i="3"/>
  <c r="EJ39" i="3"/>
  <c r="EI39" i="3"/>
  <c r="EH39" i="3"/>
  <c r="EG39" i="3"/>
  <c r="EE39" i="3"/>
  <c r="ED39" i="3"/>
  <c r="EC39" i="3"/>
  <c r="EB39" i="3"/>
  <c r="DZ39" i="3"/>
  <c r="DY39" i="3"/>
  <c r="DX39" i="3"/>
  <c r="DW39" i="3"/>
  <c r="DU39" i="3"/>
  <c r="DT39" i="3"/>
  <c r="DS39" i="3"/>
  <c r="DR39" i="3"/>
  <c r="DP39" i="3"/>
  <c r="DO39" i="3"/>
  <c r="DN39" i="3"/>
  <c r="DM39" i="3"/>
  <c r="DK39" i="3"/>
  <c r="DJ39" i="3"/>
  <c r="DI39" i="3"/>
  <c r="DH39" i="3"/>
  <c r="DF39" i="3"/>
  <c r="DE39" i="3"/>
  <c r="DD39" i="3"/>
  <c r="DC39" i="3"/>
  <c r="DA39" i="3"/>
  <c r="CZ39" i="3"/>
  <c r="CY39" i="3"/>
  <c r="CX39" i="3"/>
  <c r="CV39" i="3"/>
  <c r="CU39" i="3"/>
  <c r="CT39" i="3"/>
  <c r="CS39" i="3"/>
  <c r="CQ39" i="3"/>
  <c r="CP39" i="3"/>
  <c r="CO39" i="3"/>
  <c r="CN39" i="3"/>
  <c r="CL39" i="3"/>
  <c r="CK39" i="3"/>
  <c r="CJ39" i="3"/>
  <c r="CI39" i="3"/>
  <c r="CF39" i="3"/>
  <c r="CE39" i="3"/>
  <c r="CD39" i="3"/>
  <c r="CB39" i="3"/>
  <c r="CA39" i="3"/>
  <c r="BZ39" i="3"/>
  <c r="BW39" i="3"/>
  <c r="BX39" i="3" s="1"/>
  <c r="BP39" i="3"/>
  <c r="BS39" i="3" s="1"/>
  <c r="BL39" i="3"/>
  <c r="BK39" i="3"/>
  <c r="BJ39" i="3"/>
  <c r="BG39" i="3"/>
  <c r="BF39" i="3"/>
  <c r="BD39" i="3"/>
  <c r="AR39" i="3"/>
  <c r="AT39" i="3" s="1"/>
  <c r="AO39" i="3"/>
  <c r="AH39" i="3"/>
  <c r="AJ39" i="3" s="1"/>
  <c r="AD39" i="3"/>
  <c r="AB39" i="3"/>
  <c r="W39" i="3"/>
  <c r="V39" i="3"/>
  <c r="U39" i="3"/>
  <c r="P39" i="3"/>
  <c r="K39" i="3"/>
  <c r="F39" i="3"/>
  <c r="EW35" i="3"/>
  <c r="EX35" i="3" s="1"/>
  <c r="EY35" i="3" s="1"/>
  <c r="ER35" i="3"/>
  <c r="ES35" i="3" s="1"/>
  <c r="ET35" i="3" s="1"/>
  <c r="EO35" i="3"/>
  <c r="EM34" i="3"/>
  <c r="EL34" i="3"/>
  <c r="EJ34" i="3"/>
  <c r="EI34" i="3"/>
  <c r="EH34" i="3"/>
  <c r="EG34" i="3"/>
  <c r="EE34" i="3"/>
  <c r="ED34" i="3"/>
  <c r="EC34" i="3"/>
  <c r="EB34" i="3"/>
  <c r="DZ34" i="3"/>
  <c r="DY34" i="3"/>
  <c r="DX34" i="3"/>
  <c r="DW34" i="3"/>
  <c r="DU34" i="3"/>
  <c r="DT34" i="3"/>
  <c r="DS34" i="3"/>
  <c r="DR34" i="3"/>
  <c r="DP34" i="3"/>
  <c r="DO34" i="3"/>
  <c r="DN34" i="3"/>
  <c r="DM34" i="3"/>
  <c r="DK34" i="3"/>
  <c r="DJ34" i="3"/>
  <c r="DI34" i="3"/>
  <c r="DH34" i="3"/>
  <c r="DF34" i="3"/>
  <c r="DE34" i="3"/>
  <c r="DD34" i="3"/>
  <c r="DC34" i="3"/>
  <c r="DA34" i="3"/>
  <c r="CZ34" i="3"/>
  <c r="CY34" i="3"/>
  <c r="CX34" i="3"/>
  <c r="CV34" i="3"/>
  <c r="CU34" i="3"/>
  <c r="CT34" i="3"/>
  <c r="CS34" i="3"/>
  <c r="CQ34" i="3"/>
  <c r="CP34" i="3"/>
  <c r="CO34" i="3"/>
  <c r="CN34" i="3"/>
  <c r="CL34" i="3"/>
  <c r="CK34" i="3"/>
  <c r="CJ34" i="3"/>
  <c r="CI34" i="3"/>
  <c r="CG34" i="3"/>
  <c r="CF34" i="3"/>
  <c r="CE34" i="3"/>
  <c r="CD34" i="3"/>
  <c r="CA34" i="3"/>
  <c r="BZ34" i="3"/>
  <c r="BX34" i="3"/>
  <c r="BP34" i="3"/>
  <c r="BL34" i="3"/>
  <c r="BK34" i="3"/>
  <c r="BJ34" i="3"/>
  <c r="BG34" i="3"/>
  <c r="BF34" i="3"/>
  <c r="BD34" i="3"/>
  <c r="AR34" i="3"/>
  <c r="AT34" i="3" s="1"/>
  <c r="AO34" i="3"/>
  <c r="AH34" i="3"/>
  <c r="AJ34" i="3" s="1"/>
  <c r="AD34" i="3"/>
  <c r="AB34" i="3"/>
  <c r="X34" i="3"/>
  <c r="W34" i="3"/>
  <c r="V34" i="3"/>
  <c r="U34" i="3"/>
  <c r="O34" i="3"/>
  <c r="N34" i="3"/>
  <c r="M34" i="3"/>
  <c r="K34" i="3"/>
  <c r="F34" i="3"/>
  <c r="EZ30" i="3"/>
  <c r="EU30" i="3"/>
  <c r="EP30" i="3"/>
  <c r="EK30" i="3"/>
  <c r="EF30" i="3"/>
  <c r="EA30" i="3"/>
  <c r="DV30" i="3"/>
  <c r="DQ30" i="3"/>
  <c r="DL30" i="3"/>
  <c r="DE30" i="3"/>
  <c r="DG30" i="3" s="1"/>
  <c r="CZ30" i="3"/>
  <c r="CY30" i="3"/>
  <c r="CX30" i="3"/>
  <c r="CV30" i="3"/>
  <c r="CU30" i="3"/>
  <c r="CR30" i="3"/>
  <c r="CM30" i="3"/>
  <c r="CH30" i="3"/>
  <c r="CC30" i="3"/>
  <c r="BX30" i="3"/>
  <c r="BS30" i="3"/>
  <c r="BN30" i="3"/>
  <c r="BI30" i="3"/>
  <c r="BD30" i="3"/>
  <c r="AY30" i="3"/>
  <c r="AT30" i="3"/>
  <c r="AO30" i="3"/>
  <c r="AJ30" i="3"/>
  <c r="AE30" i="3"/>
  <c r="Y30" i="3"/>
  <c r="Z30" i="3" s="1"/>
  <c r="U30" i="3"/>
  <c r="P30" i="3"/>
  <c r="K30" i="3"/>
  <c r="F30" i="3"/>
  <c r="DH28" i="3"/>
  <c r="CZ28" i="3"/>
  <c r="CF28" i="3"/>
  <c r="CE28" i="3"/>
  <c r="CD28" i="3"/>
  <c r="CB28" i="3"/>
  <c r="CA28" i="3"/>
  <c r="BZ28" i="3"/>
  <c r="BY28" i="3"/>
  <c r="BW28" i="3"/>
  <c r="BV28" i="3"/>
  <c r="BU28" i="3"/>
  <c r="BT28" i="3"/>
  <c r="BR28" i="3"/>
  <c r="BQ28" i="3"/>
  <c r="BP28" i="3"/>
  <c r="BO28" i="3"/>
  <c r="BM28" i="3"/>
  <c r="BL28" i="3"/>
  <c r="BK28" i="3"/>
  <c r="BJ28" i="3"/>
  <c r="BH28" i="3"/>
  <c r="BG28" i="3"/>
  <c r="BF28" i="3"/>
  <c r="BE28" i="3"/>
  <c r="BC28" i="3"/>
  <c r="BB28" i="3"/>
  <c r="BA28" i="3"/>
  <c r="AZ28" i="3"/>
  <c r="AX28" i="3"/>
  <c r="AW28" i="3"/>
  <c r="AV28" i="3"/>
  <c r="AU28" i="3"/>
  <c r="AS28" i="3"/>
  <c r="AR28" i="3"/>
  <c r="AQ28" i="3"/>
  <c r="AP28" i="3"/>
  <c r="AN28" i="3"/>
  <c r="AM28" i="3"/>
  <c r="AL28" i="3"/>
  <c r="AK28" i="3"/>
  <c r="AI28" i="3"/>
  <c r="AJ28" i="3" s="1"/>
  <c r="AE28" i="3"/>
  <c r="Q28" i="3"/>
  <c r="P28" i="3"/>
  <c r="K28" i="3"/>
  <c r="F28" i="3"/>
  <c r="EM27" i="3"/>
  <c r="EN27" i="3" s="1"/>
  <c r="EO27" i="3" s="1"/>
  <c r="EL27" i="3"/>
  <c r="EJ27" i="3"/>
  <c r="EI27" i="3"/>
  <c r="EH27" i="3"/>
  <c r="EG27" i="3"/>
  <c r="EE27" i="3"/>
  <c r="ED27" i="3"/>
  <c r="EC27" i="3"/>
  <c r="EB27" i="3"/>
  <c r="DZ27" i="3"/>
  <c r="DY27" i="3"/>
  <c r="DX27" i="3"/>
  <c r="DW27" i="3"/>
  <c r="DU27" i="3"/>
  <c r="DT27" i="3"/>
  <c r="DS27" i="3"/>
  <c r="DR27" i="3"/>
  <c r="DP27" i="3"/>
  <c r="DO27" i="3"/>
  <c r="DO28" i="3" s="1"/>
  <c r="DN27" i="3"/>
  <c r="DM27" i="3"/>
  <c r="DK27" i="3"/>
  <c r="DK28" i="3" s="1"/>
  <c r="DJ27" i="3"/>
  <c r="DJ28" i="3" s="1"/>
  <c r="DI27" i="3"/>
  <c r="DI28" i="3" s="1"/>
  <c r="DF27" i="3"/>
  <c r="DF28" i="3" s="1"/>
  <c r="DE27" i="3"/>
  <c r="DE28" i="3" s="1"/>
  <c r="DD27" i="3"/>
  <c r="DC27" i="3"/>
  <c r="DA27" i="3"/>
  <c r="CX27" i="3"/>
  <c r="CU27" i="3"/>
  <c r="CS27" i="3"/>
  <c r="CP27" i="3"/>
  <c r="CO27" i="3"/>
  <c r="CN27" i="3"/>
  <c r="CL27" i="3"/>
  <c r="CK27" i="3"/>
  <c r="CK28" i="3" s="1"/>
  <c r="CJ27" i="3"/>
  <c r="CJ28" i="3" s="1"/>
  <c r="CI27" i="3"/>
  <c r="CG27" i="3"/>
  <c r="CH27" i="3" s="1"/>
  <c r="CC27" i="3"/>
  <c r="BX27" i="3"/>
  <c r="BS27" i="3"/>
  <c r="BN27" i="3"/>
  <c r="BI27" i="3"/>
  <c r="BD27" i="3"/>
  <c r="AY27" i="3"/>
  <c r="AT27" i="3"/>
  <c r="AO27" i="3"/>
  <c r="AH27" i="3"/>
  <c r="Y27" i="3"/>
  <c r="S27" i="3"/>
  <c r="R27" i="3"/>
  <c r="P27" i="3"/>
  <c r="K27" i="3"/>
  <c r="F27" i="3"/>
  <c r="EM26" i="3"/>
  <c r="EL26" i="3"/>
  <c r="EJ26" i="3"/>
  <c r="EI26" i="3"/>
  <c r="EH26" i="3"/>
  <c r="EG26" i="3"/>
  <c r="EG28" i="3" s="1"/>
  <c r="EE26" i="3"/>
  <c r="ED26" i="3"/>
  <c r="EC26" i="3"/>
  <c r="EB26" i="3"/>
  <c r="DZ26" i="3"/>
  <c r="DY26" i="3"/>
  <c r="DY28" i="3" s="1"/>
  <c r="DX26" i="3"/>
  <c r="DW26" i="3"/>
  <c r="DU26" i="3"/>
  <c r="DT26" i="3"/>
  <c r="DT28" i="3" s="1"/>
  <c r="DS26" i="3"/>
  <c r="DR26" i="3"/>
  <c r="DP26" i="3"/>
  <c r="DN26" i="3"/>
  <c r="DM26" i="3"/>
  <c r="DL26" i="3"/>
  <c r="DC26" i="3"/>
  <c r="DA26" i="3"/>
  <c r="CY26" i="3"/>
  <c r="CY28" i="3" s="1"/>
  <c r="CX26" i="3"/>
  <c r="CV26" i="3"/>
  <c r="CV28" i="3" s="1"/>
  <c r="CU26" i="3"/>
  <c r="CT26" i="3"/>
  <c r="CS26" i="3"/>
  <c r="CS28" i="3" s="1"/>
  <c r="CQ26" i="3"/>
  <c r="CQ28" i="3" s="1"/>
  <c r="CP26" i="3"/>
  <c r="CO26" i="3"/>
  <c r="CN26" i="3"/>
  <c r="CL26" i="3"/>
  <c r="CH26" i="3"/>
  <c r="CC26" i="3"/>
  <c r="BX26" i="3"/>
  <c r="BS26" i="3"/>
  <c r="BN26" i="3"/>
  <c r="BI26" i="3"/>
  <c r="BD26" i="3"/>
  <c r="AY26" i="3"/>
  <c r="AT26" i="3"/>
  <c r="AO26" i="3"/>
  <c r="AG26" i="3"/>
  <c r="AF26" i="3"/>
  <c r="AD26" i="3"/>
  <c r="AC26" i="3"/>
  <c r="AB26" i="3"/>
  <c r="AA26" i="3"/>
  <c r="X26" i="3"/>
  <c r="W26" i="3"/>
  <c r="V26" i="3"/>
  <c r="T26" i="3"/>
  <c r="T27" i="3" s="1"/>
  <c r="P26" i="3"/>
  <c r="K26" i="3"/>
  <c r="F26" i="3"/>
  <c r="EM20" i="3"/>
  <c r="EL20" i="3"/>
  <c r="EJ20" i="3"/>
  <c r="EI20" i="3"/>
  <c r="EH20" i="3"/>
  <c r="EG20" i="3"/>
  <c r="EE20" i="3"/>
  <c r="ED20" i="3"/>
  <c r="EC20" i="3"/>
  <c r="EB20" i="3"/>
  <c r="DZ20" i="3"/>
  <c r="DY20" i="3"/>
  <c r="DX20" i="3"/>
  <c r="DW20" i="3"/>
  <c r="DT20" i="3"/>
  <c r="DR20" i="3"/>
  <c r="DO20" i="3"/>
  <c r="DN20" i="3"/>
  <c r="DM20" i="3"/>
  <c r="DK20" i="3"/>
  <c r="DJ20" i="3"/>
  <c r="DI20" i="3"/>
  <c r="DH20" i="3"/>
  <c r="DF20" i="3"/>
  <c r="DE20" i="3"/>
  <c r="DD20" i="3"/>
  <c r="DC20" i="3"/>
  <c r="DA20" i="3"/>
  <c r="CZ20" i="3"/>
  <c r="CY20" i="3"/>
  <c r="CT20" i="3"/>
  <c r="CK20" i="3"/>
  <c r="CJ20" i="3"/>
  <c r="CI20" i="3"/>
  <c r="CF20" i="3"/>
  <c r="CE20" i="3"/>
  <c r="CA20" i="3"/>
  <c r="BZ20" i="3"/>
  <c r="BY20" i="3"/>
  <c r="BW20" i="3"/>
  <c r="BV20" i="3"/>
  <c r="BU20" i="3"/>
  <c r="BT20" i="3"/>
  <c r="BR20" i="3"/>
  <c r="BQ20" i="3"/>
  <c r="BP20" i="3"/>
  <c r="BO20" i="3"/>
  <c r="BM20" i="3"/>
  <c r="BL20" i="3"/>
  <c r="BK20" i="3"/>
  <c r="BJ20" i="3"/>
  <c r="BH20" i="3"/>
  <c r="BG20" i="3"/>
  <c r="BF20" i="3"/>
  <c r="BE20" i="3"/>
  <c r="BB20" i="3"/>
  <c r="BA20" i="3"/>
  <c r="AZ20" i="3"/>
  <c r="AW20" i="3"/>
  <c r="AV20" i="3"/>
  <c r="AU20" i="3"/>
  <c r="AS20" i="3"/>
  <c r="AR20" i="3"/>
  <c r="AQ20" i="3"/>
  <c r="AP20" i="3"/>
  <c r="AN20" i="3"/>
  <c r="AM20" i="3"/>
  <c r="AL20" i="3"/>
  <c r="AK20" i="3"/>
  <c r="AI20" i="3"/>
  <c r="AH20" i="3"/>
  <c r="AG20" i="3"/>
  <c r="AF20" i="3"/>
  <c r="AC20" i="3"/>
  <c r="AB20" i="3"/>
  <c r="AA20" i="3"/>
  <c r="Y20" i="3"/>
  <c r="X20" i="3"/>
  <c r="W20" i="3"/>
  <c r="V20" i="3"/>
  <c r="T20" i="3"/>
  <c r="S20" i="3"/>
  <c r="R20" i="3"/>
  <c r="Q20" i="3"/>
  <c r="O20" i="3"/>
  <c r="N20" i="3"/>
  <c r="M20" i="3"/>
  <c r="L20" i="3"/>
  <c r="J20" i="3"/>
  <c r="I20" i="3"/>
  <c r="H20" i="3"/>
  <c r="G20" i="3"/>
  <c r="E20" i="3"/>
  <c r="D20" i="3"/>
  <c r="C20" i="3"/>
  <c r="B20" i="3"/>
  <c r="EK19" i="3"/>
  <c r="EF19" i="3"/>
  <c r="EA19" i="3"/>
  <c r="DU19" i="3"/>
  <c r="DS19" i="3"/>
  <c r="DP19" i="3"/>
  <c r="CC30" i="2" s="1"/>
  <c r="DL19" i="3"/>
  <c r="DG19" i="3"/>
  <c r="CX19" i="3"/>
  <c r="CV19" i="3"/>
  <c r="BM30" i="2" s="1"/>
  <c r="CU19" i="3"/>
  <c r="CU20" i="3" s="1"/>
  <c r="CS19" i="3"/>
  <c r="BJ30" i="2" s="1"/>
  <c r="CQ19" i="3"/>
  <c r="BI30" i="2" s="1"/>
  <c r="CP19" i="3"/>
  <c r="BH30" i="2" s="1"/>
  <c r="CO19" i="3"/>
  <c r="BG30" i="2" s="1"/>
  <c r="CN19" i="3"/>
  <c r="BF30" i="2" s="1"/>
  <c r="CL19" i="3"/>
  <c r="CL20" i="3" s="1"/>
  <c r="CG19" i="3"/>
  <c r="BA30" i="2" s="1"/>
  <c r="CD19" i="3"/>
  <c r="CB19" i="3"/>
  <c r="AW30" i="2" s="1"/>
  <c r="BX19" i="3"/>
  <c r="BS19" i="3"/>
  <c r="BN19" i="3"/>
  <c r="BI19" i="3"/>
  <c r="BC19" i="3"/>
  <c r="AC30" i="2" s="1"/>
  <c r="AX19" i="3"/>
  <c r="AY19" i="3" s="1"/>
  <c r="AT19" i="3"/>
  <c r="AO19" i="3"/>
  <c r="AJ19" i="3"/>
  <c r="AE19" i="3"/>
  <c r="Z19" i="3"/>
  <c r="U19" i="3"/>
  <c r="P19" i="3"/>
  <c r="K19" i="3"/>
  <c r="F19" i="3"/>
  <c r="DW18" i="3"/>
  <c r="CL18" i="3"/>
  <c r="BT18" i="3"/>
  <c r="BR18" i="3"/>
  <c r="BQ18" i="3"/>
  <c r="BO18" i="3"/>
  <c r="BM18" i="3"/>
  <c r="BL18" i="3"/>
  <c r="BJ18" i="3"/>
  <c r="BH18" i="3"/>
  <c r="BF18" i="3"/>
  <c r="BE18" i="3"/>
  <c r="BC18" i="3"/>
  <c r="BB18" i="3"/>
  <c r="BA18" i="3"/>
  <c r="AZ18" i="3"/>
  <c r="AX18" i="3"/>
  <c r="AV18" i="3"/>
  <c r="AU18" i="3"/>
  <c r="AS18" i="3"/>
  <c r="AR18" i="3"/>
  <c r="AQ18" i="3"/>
  <c r="AP18" i="3"/>
  <c r="AN18" i="3"/>
  <c r="AM18" i="3"/>
  <c r="AL18" i="3"/>
  <c r="AK18" i="3"/>
  <c r="AI18" i="3"/>
  <c r="AH18" i="3"/>
  <c r="AG18" i="3"/>
  <c r="AF18" i="3"/>
  <c r="AC18" i="3"/>
  <c r="AB18" i="3"/>
  <c r="AA18" i="3"/>
  <c r="Y18" i="3"/>
  <c r="X18" i="3"/>
  <c r="W18" i="3"/>
  <c r="V18" i="3"/>
  <c r="T18" i="3"/>
  <c r="S18" i="3"/>
  <c r="R18" i="3"/>
  <c r="Q18" i="3"/>
  <c r="O18" i="3"/>
  <c r="N18" i="3"/>
  <c r="M18" i="3"/>
  <c r="L18" i="3"/>
  <c r="J18" i="3"/>
  <c r="I18" i="3"/>
  <c r="H18" i="3"/>
  <c r="G18" i="3"/>
  <c r="E18" i="3"/>
  <c r="D18" i="3"/>
  <c r="C18" i="3"/>
  <c r="B18" i="3"/>
  <c r="EM17" i="3"/>
  <c r="EM18" i="3" s="1"/>
  <c r="EL17" i="3"/>
  <c r="EL18" i="3" s="1"/>
  <c r="EJ17" i="3"/>
  <c r="EJ18" i="3" s="1"/>
  <c r="EI17" i="3"/>
  <c r="EI18" i="3" s="1"/>
  <c r="EH17" i="3"/>
  <c r="EH18" i="3" s="1"/>
  <c r="EG17" i="3"/>
  <c r="EG18" i="3" s="1"/>
  <c r="EE17" i="3"/>
  <c r="EE18" i="3" s="1"/>
  <c r="ED17" i="3"/>
  <c r="ED18" i="3" s="1"/>
  <c r="EC17" i="3"/>
  <c r="EC18" i="3" s="1"/>
  <c r="EB17" i="3"/>
  <c r="EB18" i="3" s="1"/>
  <c r="DZ17" i="3"/>
  <c r="DZ18" i="3" s="1"/>
  <c r="DY17" i="3"/>
  <c r="DY18" i="3" s="1"/>
  <c r="DX17" i="3"/>
  <c r="DW17" i="3"/>
  <c r="CH35" i="2" s="1"/>
  <c r="DU17" i="3"/>
  <c r="DU18" i="3" s="1"/>
  <c r="DT17" i="3"/>
  <c r="DT18" i="3" s="1"/>
  <c r="DS17" i="3"/>
  <c r="DS18" i="3" s="1"/>
  <c r="DR17" i="3"/>
  <c r="CD35" i="2" s="1"/>
  <c r="DP17" i="3"/>
  <c r="DP18" i="3" s="1"/>
  <c r="DO17" i="3"/>
  <c r="DO18" i="3" s="1"/>
  <c r="DN17" i="3"/>
  <c r="DN18" i="3" s="1"/>
  <c r="DM17" i="3"/>
  <c r="DM18" i="3" s="1"/>
  <c r="DK17" i="3"/>
  <c r="DK18" i="3" s="1"/>
  <c r="DJ17" i="3"/>
  <c r="DJ18" i="3" s="1"/>
  <c r="DI17" i="3"/>
  <c r="DI18" i="3" s="1"/>
  <c r="DH17" i="3"/>
  <c r="DH18" i="3" s="1"/>
  <c r="DF17" i="3"/>
  <c r="BU35" i="2" s="1"/>
  <c r="DE17" i="3"/>
  <c r="BT35" i="2" s="1"/>
  <c r="DD17" i="3"/>
  <c r="DD18" i="3" s="1"/>
  <c r="DC17" i="3"/>
  <c r="DC18" i="3" s="1"/>
  <c r="DA17" i="3"/>
  <c r="DA18" i="3" s="1"/>
  <c r="CZ17" i="3"/>
  <c r="CZ18" i="3" s="1"/>
  <c r="CY17" i="3"/>
  <c r="CX17" i="3"/>
  <c r="CX18" i="3" s="1"/>
  <c r="CV17" i="3"/>
  <c r="BM35" i="2" s="1"/>
  <c r="CU17" i="3"/>
  <c r="CU18" i="3" s="1"/>
  <c r="CT17" i="3"/>
  <c r="CS17" i="3"/>
  <c r="CS18" i="3" s="1"/>
  <c r="CQ17" i="3"/>
  <c r="CP17" i="3"/>
  <c r="BH35" i="2" s="1"/>
  <c r="CO17" i="3"/>
  <c r="CN17" i="3"/>
  <c r="BF35" i="2" s="1"/>
  <c r="CL17" i="3"/>
  <c r="CK17" i="3"/>
  <c r="CK18" i="3" s="1"/>
  <c r="CJ17" i="3"/>
  <c r="CI17" i="3"/>
  <c r="BB35" i="2" s="1"/>
  <c r="CG17" i="3"/>
  <c r="CG18" i="3" s="1"/>
  <c r="CF17" i="3"/>
  <c r="CF18" i="3" s="1"/>
  <c r="CE17" i="3"/>
  <c r="CE18" i="3" s="1"/>
  <c r="CD17" i="3"/>
  <c r="AX35" i="2" s="1"/>
  <c r="CB17" i="3"/>
  <c r="CA17" i="3"/>
  <c r="AV35" i="2" s="1"/>
  <c r="BZ17" i="3"/>
  <c r="BZ18" i="3" s="1"/>
  <c r="BY17" i="3"/>
  <c r="BY18" i="3" s="1"/>
  <c r="BW17" i="3"/>
  <c r="BW18" i="3" s="1"/>
  <c r="BV17" i="3"/>
  <c r="AR35" i="2" s="1"/>
  <c r="BU17" i="3"/>
  <c r="AQ35" i="2" s="1"/>
  <c r="BP17" i="3"/>
  <c r="BP18" i="3" s="1"/>
  <c r="BK17" i="3"/>
  <c r="BN17" i="3" s="1"/>
  <c r="BG17" i="3"/>
  <c r="BG18" i="3" s="1"/>
  <c r="BD17" i="3"/>
  <c r="AW17" i="3"/>
  <c r="AW18" i="3" s="1"/>
  <c r="AT17" i="3"/>
  <c r="AO17" i="3"/>
  <c r="AJ17" i="3"/>
  <c r="AE17" i="3"/>
  <c r="Z17" i="3"/>
  <c r="U17" i="3"/>
  <c r="P17" i="3"/>
  <c r="K17" i="3"/>
  <c r="F17" i="3"/>
  <c r="BG13" i="3"/>
  <c r="BG14" i="3" s="1"/>
  <c r="J13" i="3"/>
  <c r="I13" i="3"/>
  <c r="I14" i="3" s="1"/>
  <c r="H13" i="3"/>
  <c r="H22" i="3" s="1"/>
  <c r="G13" i="3"/>
  <c r="G22" i="3" s="1"/>
  <c r="G23" i="3" s="1"/>
  <c r="E13" i="3"/>
  <c r="E14" i="3" s="1"/>
  <c r="D13" i="3"/>
  <c r="C13" i="3"/>
  <c r="C14" i="3" s="1"/>
  <c r="B13" i="3"/>
  <c r="C15" i="3" s="1"/>
  <c r="EK11" i="3"/>
  <c r="EF11" i="3"/>
  <c r="EA11" i="3"/>
  <c r="DS11" i="3"/>
  <c r="CE11" i="2" s="1"/>
  <c r="DN11" i="3"/>
  <c r="CA11" i="2" s="1"/>
  <c r="DL11" i="3"/>
  <c r="DG11" i="3"/>
  <c r="DB11" i="3"/>
  <c r="CW11" i="3"/>
  <c r="CR11" i="3"/>
  <c r="CJ11" i="3"/>
  <c r="CE11" i="3"/>
  <c r="CE116" i="3" s="1"/>
  <c r="BZ11" i="3"/>
  <c r="AU11" i="2" s="1"/>
  <c r="BU11" i="3"/>
  <c r="BU116" i="3" s="1"/>
  <c r="BN11" i="3"/>
  <c r="BE11" i="3"/>
  <c r="AZ11" i="3"/>
  <c r="Z11" i="2" s="1"/>
  <c r="AU11" i="3"/>
  <c r="V11" i="2" s="1"/>
  <c r="AQ11" i="3"/>
  <c r="AQ116" i="3" s="1"/>
  <c r="AL11" i="3"/>
  <c r="AL116" i="3" s="1"/>
  <c r="AG11" i="3"/>
  <c r="K11" i="2" s="1"/>
  <c r="AB11" i="3"/>
  <c r="Z11" i="3"/>
  <c r="S11" i="3"/>
  <c r="R11" i="3"/>
  <c r="R116" i="3" s="1"/>
  <c r="Q11" i="3"/>
  <c r="Q116" i="3" s="1"/>
  <c r="P11" i="3"/>
  <c r="K11" i="3"/>
  <c r="F11" i="3"/>
  <c r="EM10" i="3"/>
  <c r="EM71" i="3" s="1"/>
  <c r="EL10" i="3"/>
  <c r="EL71" i="3" s="1"/>
  <c r="EJ10" i="3"/>
  <c r="EJ71" i="3" s="1"/>
  <c r="EI10" i="3"/>
  <c r="EI71" i="3" s="1"/>
  <c r="EH10" i="3"/>
  <c r="CQ8" i="2" s="1"/>
  <c r="EG10" i="3"/>
  <c r="EG71" i="3" s="1"/>
  <c r="EE10" i="3"/>
  <c r="EE71" i="3" s="1"/>
  <c r="ED10" i="3"/>
  <c r="ED71" i="3" s="1"/>
  <c r="EC10" i="3"/>
  <c r="EC71" i="3" s="1"/>
  <c r="EB10" i="3"/>
  <c r="EB71" i="3" s="1"/>
  <c r="DZ10" i="3"/>
  <c r="DZ71" i="3" s="1"/>
  <c r="DY10" i="3"/>
  <c r="DY71" i="3" s="1"/>
  <c r="DX10" i="3"/>
  <c r="DX71" i="3" s="1"/>
  <c r="DW10" i="3"/>
  <c r="DU10" i="3"/>
  <c r="DU71" i="3" s="1"/>
  <c r="DT10" i="3"/>
  <c r="DT71" i="3" s="1"/>
  <c r="DR10" i="3"/>
  <c r="DR71" i="3" s="1"/>
  <c r="DP10" i="3"/>
  <c r="CC8" i="2" s="1"/>
  <c r="DO10" i="3"/>
  <c r="DO71" i="3" s="1"/>
  <c r="DM10" i="3"/>
  <c r="DM13" i="3" s="1"/>
  <c r="DK10" i="3"/>
  <c r="DK71" i="3" s="1"/>
  <c r="DJ10" i="3"/>
  <c r="BX8" i="2" s="1"/>
  <c r="DI10" i="3"/>
  <c r="DI71" i="3" s="1"/>
  <c r="DH10" i="3"/>
  <c r="DH71" i="3" s="1"/>
  <c r="DF10" i="3"/>
  <c r="DF71" i="3" s="1"/>
  <c r="DE10" i="3"/>
  <c r="DE71" i="3" s="1"/>
  <c r="DD10" i="3"/>
  <c r="BS8" i="2" s="1"/>
  <c r="DC10" i="3"/>
  <c r="DC71" i="3" s="1"/>
  <c r="DA10" i="3"/>
  <c r="DA71" i="3" s="1"/>
  <c r="CZ10" i="3"/>
  <c r="CZ71" i="3" s="1"/>
  <c r="CY10" i="3"/>
  <c r="CY71" i="3" s="1"/>
  <c r="CX10" i="3"/>
  <c r="BN8" i="2" s="1"/>
  <c r="CV10" i="3"/>
  <c r="CV71" i="3" s="1"/>
  <c r="CU10" i="3"/>
  <c r="CU71" i="3" s="1"/>
  <c r="CT10" i="3"/>
  <c r="CT71" i="3" s="1"/>
  <c r="CS10" i="3"/>
  <c r="CS71" i="3" s="1"/>
  <c r="CQ10" i="3"/>
  <c r="CQ71" i="3" s="1"/>
  <c r="CP10" i="3"/>
  <c r="CP71" i="3" s="1"/>
  <c r="CO10" i="3"/>
  <c r="CO71" i="3" s="1"/>
  <c r="CN10" i="3"/>
  <c r="CN71" i="3" s="1"/>
  <c r="CL10" i="3"/>
  <c r="BE8" i="2" s="1"/>
  <c r="CK10" i="3"/>
  <c r="CK71" i="3" s="1"/>
  <c r="CI10" i="3"/>
  <c r="CI13" i="3" s="1"/>
  <c r="CD10" i="3"/>
  <c r="CD71" i="3" s="1"/>
  <c r="CB10" i="3"/>
  <c r="CB71" i="3" s="1"/>
  <c r="BY10" i="3"/>
  <c r="BY71" i="3" s="1"/>
  <c r="BW10" i="3"/>
  <c r="BV10" i="3"/>
  <c r="BV71" i="3" s="1"/>
  <c r="BT10" i="3"/>
  <c r="AP8" i="2" s="1"/>
  <c r="BQ10" i="3"/>
  <c r="BQ71" i="3" s="1"/>
  <c r="BP10" i="3"/>
  <c r="BP71" i="3" s="1"/>
  <c r="BO10" i="3"/>
  <c r="BO71" i="3" s="1"/>
  <c r="BM10" i="3"/>
  <c r="BM71" i="3" s="1"/>
  <c r="BL10" i="3"/>
  <c r="BL13" i="3" s="1"/>
  <c r="BK10" i="3"/>
  <c r="BK71" i="3" s="1"/>
  <c r="BJ10" i="3"/>
  <c r="BJ71" i="3" s="1"/>
  <c r="BF10" i="3"/>
  <c r="BF71" i="3" s="1"/>
  <c r="AP10" i="3"/>
  <c r="AP71" i="3" s="1"/>
  <c r="AK10" i="3"/>
  <c r="AK71" i="3" s="1"/>
  <c r="AF10" i="3"/>
  <c r="J8" i="2" s="1"/>
  <c r="AD10" i="3"/>
  <c r="AD71" i="3" s="1"/>
  <c r="AC10" i="3"/>
  <c r="H8" i="2" s="1"/>
  <c r="AA10" i="3"/>
  <c r="AA13" i="3" s="1"/>
  <c r="Y10" i="3"/>
  <c r="Y71" i="3" s="1"/>
  <c r="X10" i="3"/>
  <c r="X71" i="3" s="1"/>
  <c r="W10" i="3"/>
  <c r="C8" i="2" s="1"/>
  <c r="V10" i="3"/>
  <c r="V71" i="3" s="1"/>
  <c r="R10" i="3"/>
  <c r="R71" i="3" s="1"/>
  <c r="O10" i="3"/>
  <c r="O71" i="3" s="1"/>
  <c r="N10" i="3"/>
  <c r="M10" i="3"/>
  <c r="M71" i="3" s="1"/>
  <c r="L10" i="3"/>
  <c r="K10" i="3"/>
  <c r="F10" i="3"/>
  <c r="EM9" i="3"/>
  <c r="EL9" i="3"/>
  <c r="EJ9" i="3"/>
  <c r="EI9" i="3"/>
  <c r="EH9" i="3"/>
  <c r="EG9" i="3"/>
  <c r="EE9" i="3"/>
  <c r="ED9" i="3"/>
  <c r="EC9" i="3"/>
  <c r="EB9" i="3"/>
  <c r="DZ9" i="3"/>
  <c r="DY9" i="3"/>
  <c r="DX9" i="3"/>
  <c r="DW9" i="3"/>
  <c r="DU9" i="3"/>
  <c r="DT9" i="3"/>
  <c r="DS9" i="3"/>
  <c r="DR9" i="3"/>
  <c r="DP9" i="3"/>
  <c r="DO9" i="3"/>
  <c r="DN9" i="3"/>
  <c r="DM9" i="3"/>
  <c r="DK9" i="3"/>
  <c r="DJ9" i="3"/>
  <c r="DI9" i="3"/>
  <c r="DH9" i="3"/>
  <c r="DF9" i="3"/>
  <c r="DE9" i="3"/>
  <c r="DD9" i="3"/>
  <c r="DC9" i="3"/>
  <c r="DA9" i="3"/>
  <c r="CZ9" i="3"/>
  <c r="CY9" i="3"/>
  <c r="CX9" i="3"/>
  <c r="CL9" i="3"/>
  <c r="CK9" i="3"/>
  <c r="CJ9" i="3"/>
  <c r="CI9" i="3"/>
  <c r="CG9" i="3"/>
  <c r="CF9" i="3"/>
  <c r="CE9" i="3"/>
  <c r="CD9" i="3"/>
  <c r="CB9" i="3"/>
  <c r="CA9" i="3"/>
  <c r="BZ9" i="3"/>
  <c r="BY9" i="3"/>
  <c r="BW9" i="3"/>
  <c r="BV9" i="3"/>
  <c r="BU9" i="3"/>
  <c r="BT9" i="3"/>
  <c r="BR9" i="3"/>
  <c r="BQ9" i="3"/>
  <c r="BP9" i="3"/>
  <c r="BO9" i="3"/>
  <c r="BM9" i="3"/>
  <c r="BL9" i="3"/>
  <c r="BK9" i="3"/>
  <c r="BJ9" i="3"/>
  <c r="BH9" i="3"/>
  <c r="BG9" i="3"/>
  <c r="BF9" i="3"/>
  <c r="BE9" i="3"/>
  <c r="BC9" i="3"/>
  <c r="BB9" i="3"/>
  <c r="BA9" i="3"/>
  <c r="AZ9" i="3"/>
  <c r="AX9" i="3"/>
  <c r="AW9" i="3"/>
  <c r="AV9" i="3"/>
  <c r="AU9" i="3"/>
  <c r="AS9" i="3"/>
  <c r="AR9" i="3"/>
  <c r="AQ9" i="3"/>
  <c r="AP9" i="3"/>
  <c r="AN9" i="3"/>
  <c r="AM9" i="3"/>
  <c r="AL9" i="3"/>
  <c r="AK9" i="3"/>
  <c r="AH9" i="3"/>
  <c r="AG9" i="3"/>
  <c r="AF9" i="3"/>
  <c r="AC9" i="3"/>
  <c r="AB9" i="3"/>
  <c r="AA9" i="3"/>
  <c r="Y9" i="3"/>
  <c r="X9" i="3"/>
  <c r="W9" i="3"/>
  <c r="V9" i="3"/>
  <c r="T9" i="3"/>
  <c r="S9" i="3"/>
  <c r="R9" i="3"/>
  <c r="Q9" i="3"/>
  <c r="O9" i="3"/>
  <c r="N9" i="3"/>
  <c r="M9" i="3"/>
  <c r="L9" i="3"/>
  <c r="J9" i="3"/>
  <c r="I9" i="3"/>
  <c r="H9" i="3"/>
  <c r="G9" i="3"/>
  <c r="EM8" i="3"/>
  <c r="EL8" i="3"/>
  <c r="EJ8" i="3"/>
  <c r="EI8" i="3"/>
  <c r="EH8" i="3"/>
  <c r="EG8" i="3"/>
  <c r="EE8" i="3"/>
  <c r="ED8" i="3"/>
  <c r="EC8" i="3"/>
  <c r="EB8" i="3"/>
  <c r="DZ8" i="3"/>
  <c r="DY8" i="3"/>
  <c r="DX8" i="3"/>
  <c r="DW8" i="3"/>
  <c r="DU8" i="3"/>
  <c r="DT8" i="3"/>
  <c r="DS8" i="3"/>
  <c r="DR8" i="3"/>
  <c r="DP8" i="3"/>
  <c r="DO8" i="3"/>
  <c r="DN8" i="3"/>
  <c r="DM8" i="3"/>
  <c r="DK8" i="3"/>
  <c r="DJ8" i="3"/>
  <c r="DI8" i="3"/>
  <c r="DH8" i="3"/>
  <c r="DF8" i="3"/>
  <c r="DE8" i="3"/>
  <c r="DD8" i="3"/>
  <c r="DC8" i="3"/>
  <c r="DA8" i="3"/>
  <c r="CZ8" i="3"/>
  <c r="CY8" i="3"/>
  <c r="CX8" i="3"/>
  <c r="CV8" i="3"/>
  <c r="CU8" i="3"/>
  <c r="CT8" i="3"/>
  <c r="CL8" i="3"/>
  <c r="CK8" i="3"/>
  <c r="CJ8" i="3"/>
  <c r="CI8" i="3"/>
  <c r="CG8" i="3"/>
  <c r="CF8" i="3"/>
  <c r="CE8" i="3"/>
  <c r="CD8" i="3"/>
  <c r="CB8" i="3"/>
  <c r="CA8" i="3"/>
  <c r="BZ8" i="3"/>
  <c r="BY8" i="3"/>
  <c r="BW8" i="3"/>
  <c r="BV8" i="3"/>
  <c r="BU8" i="3"/>
  <c r="BT8" i="3"/>
  <c r="BR8" i="3"/>
  <c r="BQ8" i="3"/>
  <c r="BP8" i="3"/>
  <c r="BO8" i="3"/>
  <c r="BM8" i="3"/>
  <c r="BL8" i="3"/>
  <c r="BK8" i="3"/>
  <c r="BJ8" i="3"/>
  <c r="BH8" i="3"/>
  <c r="BG8" i="3"/>
  <c r="BF8" i="3"/>
  <c r="BE8" i="3"/>
  <c r="BC8" i="3"/>
  <c r="BB8" i="3"/>
  <c r="BA8" i="3"/>
  <c r="AZ8" i="3"/>
  <c r="AX8" i="3"/>
  <c r="AW8" i="3"/>
  <c r="AV8" i="3"/>
  <c r="AU8" i="3"/>
  <c r="AS8" i="3"/>
  <c r="AR8" i="3"/>
  <c r="AQ8" i="3"/>
  <c r="AP8" i="3"/>
  <c r="AN8" i="3"/>
  <c r="AM8" i="3"/>
  <c r="AL8" i="3"/>
  <c r="AK8" i="3"/>
  <c r="AI8" i="3"/>
  <c r="AH8" i="3"/>
  <c r="AG8" i="3"/>
  <c r="AC8" i="3"/>
  <c r="AB8" i="3"/>
  <c r="AA8" i="3"/>
  <c r="Y8" i="3"/>
  <c r="X8" i="3"/>
  <c r="W8" i="3"/>
  <c r="V8" i="3"/>
  <c r="V244" i="3" s="1"/>
  <c r="T8" i="3"/>
  <c r="S8" i="3"/>
  <c r="R8" i="3"/>
  <c r="Q8" i="3"/>
  <c r="O8" i="3"/>
  <c r="N8" i="3"/>
  <c r="M8" i="3"/>
  <c r="L8" i="3"/>
  <c r="J8" i="3"/>
  <c r="I8" i="3"/>
  <c r="H8" i="3"/>
  <c r="G8" i="3"/>
  <c r="EK7" i="3"/>
  <c r="EF7" i="3"/>
  <c r="EA7" i="3"/>
  <c r="DV7" i="3"/>
  <c r="DQ7" i="3"/>
  <c r="DL7" i="3"/>
  <c r="DG7" i="3"/>
  <c r="DB7" i="3"/>
  <c r="CW7" i="3"/>
  <c r="CQ7" i="3"/>
  <c r="CS8" i="3" s="1"/>
  <c r="CP7" i="3"/>
  <c r="BH5" i="2" s="1"/>
  <c r="CO7" i="3"/>
  <c r="CN7" i="3"/>
  <c r="CM7" i="3"/>
  <c r="CH7" i="3"/>
  <c r="CC7" i="3"/>
  <c r="BX7" i="3"/>
  <c r="BS7" i="3"/>
  <c r="BN7" i="3"/>
  <c r="BI7" i="3"/>
  <c r="BD7" i="3"/>
  <c r="AY7" i="3"/>
  <c r="AT7" i="3"/>
  <c r="AO7" i="3"/>
  <c r="AJ7" i="3"/>
  <c r="AD7" i="3"/>
  <c r="I5" i="2" s="1"/>
  <c r="Z7" i="3"/>
  <c r="U7" i="3"/>
  <c r="P7" i="3"/>
  <c r="K7" i="3"/>
  <c r="F7" i="3"/>
  <c r="CW3" i="3"/>
  <c r="CR3" i="3" s="1"/>
  <c r="CM3" i="3" s="1"/>
  <c r="CH3" i="3" s="1"/>
  <c r="CC3" i="3" s="1"/>
  <c r="BX3" i="3" s="1"/>
  <c r="BS3" i="3" s="1"/>
  <c r="BN3" i="3" s="1"/>
  <c r="BI3" i="3" s="1"/>
  <c r="BD3" i="3" s="1"/>
  <c r="AY3" i="3" s="1"/>
  <c r="AT3" i="3" s="1"/>
  <c r="AO3" i="3" s="1"/>
  <c r="AJ3" i="3" s="1"/>
  <c r="AE3" i="3" s="1"/>
  <c r="Z3" i="3" s="1"/>
  <c r="U3" i="3" s="1"/>
  <c r="P3" i="3" s="1"/>
  <c r="K3" i="3" s="1"/>
  <c r="F3" i="3" s="1"/>
  <c r="BQ287" i="2"/>
  <c r="BP287" i="2"/>
  <c r="BP290" i="2" s="1"/>
  <c r="BO287" i="2"/>
  <c r="BO290" i="2" s="1"/>
  <c r="BN287" i="2"/>
  <c r="BM287" i="2"/>
  <c r="BM290" i="2" s="1"/>
  <c r="BL287" i="2"/>
  <c r="BK287" i="2"/>
  <c r="BJ287" i="2"/>
  <c r="BJ290" i="2" s="1"/>
  <c r="BI287" i="2"/>
  <c r="BH287" i="2"/>
  <c r="BG287" i="2"/>
  <c r="BG290" i="2" s="1"/>
  <c r="BF287" i="2"/>
  <c r="BF290" i="2" s="1"/>
  <c r="BE287" i="2"/>
  <c r="BD287" i="2"/>
  <c r="BD290" i="2" s="1"/>
  <c r="BC287" i="2"/>
  <c r="BB287" i="2"/>
  <c r="BQ286" i="2"/>
  <c r="BP286" i="2"/>
  <c r="BO286" i="2"/>
  <c r="BN286" i="2"/>
  <c r="BM286" i="2"/>
  <c r="BL286" i="2"/>
  <c r="BK286" i="2"/>
  <c r="BJ286" i="2"/>
  <c r="BI286" i="2"/>
  <c r="BH286" i="2"/>
  <c r="BG286" i="2"/>
  <c r="BF286" i="2"/>
  <c r="BE286" i="2"/>
  <c r="BD286" i="2"/>
  <c r="BC286" i="2"/>
  <c r="BB286" i="2"/>
  <c r="BQ285" i="2"/>
  <c r="BP285" i="2"/>
  <c r="BO285" i="2"/>
  <c r="BN285" i="2"/>
  <c r="BM285" i="2"/>
  <c r="BL285" i="2"/>
  <c r="BK285" i="2"/>
  <c r="BJ285" i="2"/>
  <c r="BI285" i="2"/>
  <c r="BH285" i="2"/>
  <c r="BG285" i="2"/>
  <c r="BF285" i="2"/>
  <c r="BQ284" i="2"/>
  <c r="BP284" i="2"/>
  <c r="BO284" i="2"/>
  <c r="BN284" i="2"/>
  <c r="BM284" i="2"/>
  <c r="BL284" i="2"/>
  <c r="BK284" i="2"/>
  <c r="BJ284" i="2"/>
  <c r="BI284" i="2"/>
  <c r="BH284" i="2"/>
  <c r="BG284" i="2"/>
  <c r="BF284" i="2"/>
  <c r="BE284" i="2"/>
  <c r="BD284" i="2"/>
  <c r="BC284" i="2"/>
  <c r="CB283" i="2"/>
  <c r="CA283" i="2"/>
  <c r="BZ283" i="2"/>
  <c r="BY283" i="2"/>
  <c r="BX283" i="2"/>
  <c r="BX286" i="2" s="1"/>
  <c r="BW283" i="2"/>
  <c r="BW286" i="2" s="1"/>
  <c r="BV283" i="2"/>
  <c r="BU283" i="2"/>
  <c r="BU286" i="2" s="1"/>
  <c r="BT283" i="2"/>
  <c r="BS283" i="2"/>
  <c r="BS285" i="2" s="1"/>
  <c r="BR283" i="2"/>
  <c r="BQ282" i="2"/>
  <c r="BP282" i="2"/>
  <c r="BO282" i="2"/>
  <c r="BN282" i="2"/>
  <c r="BM282" i="2"/>
  <c r="BL282" i="2"/>
  <c r="BK282" i="2"/>
  <c r="BJ282" i="2"/>
  <c r="BI282" i="2"/>
  <c r="BH282" i="2"/>
  <c r="BG282" i="2"/>
  <c r="BF282" i="2"/>
  <c r="BE282" i="2"/>
  <c r="BD282" i="2"/>
  <c r="BC282" i="2"/>
  <c r="BB282" i="2"/>
  <c r="BQ281" i="2"/>
  <c r="BP281" i="2"/>
  <c r="BO281" i="2"/>
  <c r="BN281" i="2"/>
  <c r="BM281" i="2"/>
  <c r="BL281" i="2"/>
  <c r="BK281" i="2"/>
  <c r="BJ281" i="2"/>
  <c r="BI281" i="2"/>
  <c r="BH281" i="2"/>
  <c r="BG281" i="2"/>
  <c r="BF281" i="2"/>
  <c r="BQ280" i="2"/>
  <c r="BP280" i="2"/>
  <c r="BO280" i="2"/>
  <c r="BN280" i="2"/>
  <c r="BM280" i="2"/>
  <c r="BL280" i="2"/>
  <c r="BK280" i="2"/>
  <c r="BJ280" i="2"/>
  <c r="BI280" i="2"/>
  <c r="BH280" i="2"/>
  <c r="BG280" i="2"/>
  <c r="BF280" i="2"/>
  <c r="BE280" i="2"/>
  <c r="BD280" i="2"/>
  <c r="BC280" i="2"/>
  <c r="CB279" i="2"/>
  <c r="CA279" i="2"/>
  <c r="CA287" i="2" s="1"/>
  <c r="BZ279" i="2"/>
  <c r="BY279" i="2"/>
  <c r="BY282" i="2" s="1"/>
  <c r="BX279" i="2"/>
  <c r="BX282" i="2" s="1"/>
  <c r="BW279" i="2"/>
  <c r="BV279" i="2"/>
  <c r="BV282" i="2" s="1"/>
  <c r="BU279" i="2"/>
  <c r="BT279" i="2"/>
  <c r="BT281" i="2" s="1"/>
  <c r="BS279" i="2"/>
  <c r="BS281" i="2" s="1"/>
  <c r="BR279" i="2"/>
  <c r="CA272" i="2"/>
  <c r="CA275" i="2" s="1"/>
  <c r="BZ272" i="2"/>
  <c r="BY272" i="2"/>
  <c r="BY256" i="2" s="1"/>
  <c r="BX272" i="2"/>
  <c r="BX263" i="2" s="1"/>
  <c r="BA272" i="2"/>
  <c r="BA271" i="2" s="1"/>
  <c r="AZ272" i="2"/>
  <c r="AZ267" i="2" s="1"/>
  <c r="AY272" i="2"/>
  <c r="AY275" i="2" s="1"/>
  <c r="AX272" i="2"/>
  <c r="AX252" i="2" s="1"/>
  <c r="BA269" i="2"/>
  <c r="AZ269" i="2"/>
  <c r="AY269" i="2"/>
  <c r="DT268" i="2"/>
  <c r="BN268" i="2"/>
  <c r="BM268" i="2"/>
  <c r="BL268" i="2"/>
  <c r="BK268" i="2"/>
  <c r="BJ268" i="2"/>
  <c r="BI268" i="2"/>
  <c r="BH268" i="2"/>
  <c r="BG268" i="2"/>
  <c r="BF268" i="2"/>
  <c r="BE268" i="2"/>
  <c r="BD268" i="2"/>
  <c r="BD270" i="2" s="1"/>
  <c r="BC268" i="2"/>
  <c r="BC270" i="2" s="1"/>
  <c r="BB268" i="2"/>
  <c r="BB269" i="2" s="1"/>
  <c r="BY265" i="2"/>
  <c r="BA265" i="2"/>
  <c r="AZ265" i="2"/>
  <c r="AY265" i="2"/>
  <c r="DT264" i="2"/>
  <c r="BY262" i="2"/>
  <c r="BX262" i="2"/>
  <c r="BW262" i="2"/>
  <c r="BV262" i="2"/>
  <c r="BU262" i="2"/>
  <c r="BT262" i="2"/>
  <c r="BS262" i="2"/>
  <c r="BR262" i="2"/>
  <c r="BQ262" i="2"/>
  <c r="BP262" i="2"/>
  <c r="BO262" i="2"/>
  <c r="BN262" i="2"/>
  <c r="BM262" i="2"/>
  <c r="BL262" i="2"/>
  <c r="BK262" i="2"/>
  <c r="BJ262" i="2"/>
  <c r="BI262" i="2"/>
  <c r="BH262" i="2"/>
  <c r="BG262" i="2"/>
  <c r="BF262" i="2"/>
  <c r="BE262" i="2"/>
  <c r="BD262" i="2"/>
  <c r="BC262" i="2"/>
  <c r="BB262" i="2"/>
  <c r="BY261" i="2"/>
  <c r="BX261" i="2"/>
  <c r="BW261" i="2"/>
  <c r="BV261" i="2"/>
  <c r="BU261" i="2"/>
  <c r="BT261" i="2"/>
  <c r="BS261" i="2"/>
  <c r="BR261" i="2"/>
  <c r="BQ261" i="2"/>
  <c r="BP261" i="2"/>
  <c r="BO261" i="2"/>
  <c r="BN261" i="2"/>
  <c r="BM261" i="2"/>
  <c r="BL261" i="2"/>
  <c r="BK261" i="2"/>
  <c r="BJ261" i="2"/>
  <c r="BI261" i="2"/>
  <c r="BH261" i="2"/>
  <c r="BG261" i="2"/>
  <c r="BF261" i="2"/>
  <c r="BE261" i="2"/>
  <c r="BD261" i="2"/>
  <c r="BC261" i="2"/>
  <c r="BB261" i="2"/>
  <c r="BA261" i="2"/>
  <c r="AZ261" i="2"/>
  <c r="AY261" i="2"/>
  <c r="DZ260" i="2"/>
  <c r="DY260" i="2"/>
  <c r="DX260" i="2"/>
  <c r="DW260" i="2"/>
  <c r="DV260" i="2"/>
  <c r="DU260" i="2"/>
  <c r="DT260" i="2"/>
  <c r="CH255" i="2"/>
  <c r="CG255" i="2"/>
  <c r="CF255" i="2"/>
  <c r="CE255" i="2"/>
  <c r="CD255" i="2"/>
  <c r="CC255" i="2"/>
  <c r="CB255" i="2"/>
  <c r="CA255" i="2"/>
  <c r="BZ255" i="2"/>
  <c r="BY255" i="2"/>
  <c r="BX255" i="2"/>
  <c r="BW255" i="2"/>
  <c r="CH254" i="2"/>
  <c r="CG254" i="2"/>
  <c r="CF254" i="2"/>
  <c r="CE254" i="2"/>
  <c r="CD254" i="2"/>
  <c r="CC254" i="2"/>
  <c r="CB254" i="2"/>
  <c r="CA254" i="2"/>
  <c r="BZ254" i="2"/>
  <c r="BY254" i="2"/>
  <c r="BX254" i="2"/>
  <c r="BW254" i="2"/>
  <c r="DX253" i="2"/>
  <c r="DW253" i="2"/>
  <c r="DV253" i="2"/>
  <c r="DU253" i="2"/>
  <c r="DT253" i="2"/>
  <c r="CH251" i="2"/>
  <c r="CG251" i="2"/>
  <c r="CF251" i="2"/>
  <c r="CE251" i="2"/>
  <c r="CD251" i="2"/>
  <c r="CC251" i="2"/>
  <c r="CB251" i="2"/>
  <c r="CA251" i="2"/>
  <c r="BZ251" i="2"/>
  <c r="BY251" i="2"/>
  <c r="BX251" i="2"/>
  <c r="BW251" i="2"/>
  <c r="CH250" i="2"/>
  <c r="CG250" i="2"/>
  <c r="CF250" i="2"/>
  <c r="CE250" i="2"/>
  <c r="CD250" i="2"/>
  <c r="CC250" i="2"/>
  <c r="CB250" i="2"/>
  <c r="CA250" i="2"/>
  <c r="BZ250" i="2"/>
  <c r="BY250" i="2"/>
  <c r="BX250" i="2"/>
  <c r="BW250" i="2"/>
  <c r="DX249" i="2"/>
  <c r="DW249" i="2"/>
  <c r="DV249" i="2"/>
  <c r="DU249" i="2"/>
  <c r="DT249" i="2"/>
  <c r="BY241" i="2"/>
  <c r="BX241" i="2"/>
  <c r="BW241" i="2"/>
  <c r="BV241" i="2"/>
  <c r="BU241" i="2"/>
  <c r="BT241" i="2"/>
  <c r="BS241" i="2"/>
  <c r="BR241" i="2"/>
  <c r="BQ241" i="2"/>
  <c r="BP241" i="2"/>
  <c r="BO241" i="2"/>
  <c r="BN241" i="2"/>
  <c r="BM241" i="2"/>
  <c r="BL241" i="2"/>
  <c r="CT228" i="2"/>
  <c r="CR228" i="2"/>
  <c r="CQ228" i="2"/>
  <c r="CQ230" i="2" s="1"/>
  <c r="CP228" i="2"/>
  <c r="CO228" i="2"/>
  <c r="CN228" i="2"/>
  <c r="CM228" i="2"/>
  <c r="CL228" i="2"/>
  <c r="CS226" i="2"/>
  <c r="CS228" i="2" s="1"/>
  <c r="CT229" i="2" s="1"/>
  <c r="CT186" i="2"/>
  <c r="CT192" i="2" s="1"/>
  <c r="CR186" i="2"/>
  <c r="CR195" i="2" s="1"/>
  <c r="CQ186" i="2"/>
  <c r="CQ197" i="2" s="1"/>
  <c r="CP186" i="2"/>
  <c r="CP195" i="2" s="1"/>
  <c r="CN186" i="2"/>
  <c r="CN195" i="2" s="1"/>
  <c r="CM186" i="2"/>
  <c r="CM194" i="2" s="1"/>
  <c r="CJ186" i="2"/>
  <c r="CI186" i="2"/>
  <c r="CI196" i="2" s="1"/>
  <c r="CF186" i="2"/>
  <c r="CF197" i="2" s="1"/>
  <c r="CE186" i="2"/>
  <c r="CE190" i="2" s="1"/>
  <c r="CD186" i="2"/>
  <c r="CD195" i="2" s="1"/>
  <c r="ED185" i="2"/>
  <c r="EC185" i="2"/>
  <c r="EB185" i="2"/>
  <c r="CS185" i="2"/>
  <c r="EE185" i="2" s="1"/>
  <c r="CS184" i="2"/>
  <c r="CL184" i="2"/>
  <c r="CH184" i="2"/>
  <c r="CH186" i="2" s="1"/>
  <c r="CH190" i="2" s="1"/>
  <c r="CG184" i="2"/>
  <c r="EB184" i="2" s="1"/>
  <c r="EE183" i="2"/>
  <c r="ED183" i="2"/>
  <c r="EC183" i="2"/>
  <c r="EB183" i="2"/>
  <c r="EC182" i="2"/>
  <c r="CS182" i="2"/>
  <c r="EE182" i="2" s="1"/>
  <c r="CO182" i="2"/>
  <c r="ED182" i="2" s="1"/>
  <c r="CK182" i="2"/>
  <c r="CG182" i="2"/>
  <c r="EB182" i="2" s="1"/>
  <c r="EE181" i="2"/>
  <c r="EB181" i="2"/>
  <c r="CS180" i="2"/>
  <c r="CO180" i="2"/>
  <c r="ED180" i="2" s="1"/>
  <c r="CK180" i="2"/>
  <c r="EC180" i="2" s="1"/>
  <c r="CG180" i="2"/>
  <c r="CS179" i="2"/>
  <c r="EE179" i="2" s="1"/>
  <c r="CO179" i="2"/>
  <c r="CK179" i="2"/>
  <c r="CG179" i="2"/>
  <c r="EB179" i="2" s="1"/>
  <c r="BC173" i="2"/>
  <c r="BB170" i="2"/>
  <c r="CV169" i="2"/>
  <c r="CW169" i="2" s="1"/>
  <c r="CX169" i="2" s="1"/>
  <c r="CY169" i="2" s="1"/>
  <c r="CZ169" i="2" s="1"/>
  <c r="DA169" i="2" s="1"/>
  <c r="DB169" i="2" s="1"/>
  <c r="DC169" i="2" s="1"/>
  <c r="DD169" i="2" s="1"/>
  <c r="DE169" i="2" s="1"/>
  <c r="CR169" i="2"/>
  <c r="CS169" i="2" s="1"/>
  <c r="CK169" i="2"/>
  <c r="CK166" i="2" s="1"/>
  <c r="BW169" i="2"/>
  <c r="BW166" i="2" s="1"/>
  <c r="BU169" i="2"/>
  <c r="BU166" i="2" s="1"/>
  <c r="CU166" i="2"/>
  <c r="CQ166" i="2"/>
  <c r="CP166" i="2"/>
  <c r="CO166" i="2"/>
  <c r="CN166" i="2"/>
  <c r="CM166" i="2"/>
  <c r="CL166" i="2"/>
  <c r="CJ166" i="2"/>
  <c r="CI166" i="2"/>
  <c r="CH166" i="2"/>
  <c r="CG166" i="2"/>
  <c r="CF166" i="2"/>
  <c r="CE166" i="2"/>
  <c r="CD166" i="2"/>
  <c r="CC166" i="2"/>
  <c r="BV166" i="2"/>
  <c r="BT166" i="2"/>
  <c r="BS166" i="2"/>
  <c r="BR166" i="2"/>
  <c r="BQ166" i="2"/>
  <c r="BP166" i="2"/>
  <c r="BO166" i="2"/>
  <c r="CV165" i="2"/>
  <c r="CW165" i="2" s="1"/>
  <c r="CX165" i="2" s="1"/>
  <c r="CY165" i="2" s="1"/>
  <c r="CZ165" i="2" s="1"/>
  <c r="DA165" i="2" s="1"/>
  <c r="DB165" i="2" s="1"/>
  <c r="DC165" i="2" s="1"/>
  <c r="DD165" i="2" s="1"/>
  <c r="DE165" i="2" s="1"/>
  <c r="CR165" i="2"/>
  <c r="CS165" i="2" s="1"/>
  <c r="CS162" i="2" s="1"/>
  <c r="CO165" i="2"/>
  <c r="CO162" i="2" s="1"/>
  <c r="CD165" i="2"/>
  <c r="CE165" i="2" s="1"/>
  <c r="CF165" i="2" s="1"/>
  <c r="BT165" i="2"/>
  <c r="BT162" i="2" s="1"/>
  <c r="CU162" i="2"/>
  <c r="CT162" i="2"/>
  <c r="CQ162" i="2"/>
  <c r="CP162" i="2"/>
  <c r="CN162" i="2"/>
  <c r="CM162" i="2"/>
  <c r="CL162" i="2"/>
  <c r="CK162" i="2"/>
  <c r="CJ162" i="2"/>
  <c r="CI162" i="2"/>
  <c r="CC162" i="2"/>
  <c r="CB162" i="2"/>
  <c r="CA162" i="2"/>
  <c r="BZ162" i="2"/>
  <c r="BY162" i="2"/>
  <c r="BX162" i="2"/>
  <c r="BW162" i="2"/>
  <c r="BV162" i="2"/>
  <c r="BU162" i="2"/>
  <c r="BS162" i="2"/>
  <c r="BR162" i="2"/>
  <c r="BQ162" i="2"/>
  <c r="BP162" i="2"/>
  <c r="BO162" i="2"/>
  <c r="BN162" i="2"/>
  <c r="BM162" i="2"/>
  <c r="BL162" i="2"/>
  <c r="BK162" i="2"/>
  <c r="CW161" i="2"/>
  <c r="CX161" i="2" s="1"/>
  <c r="CR161" i="2"/>
  <c r="CS161" i="2" s="1"/>
  <c r="CT161" i="2" s="1"/>
  <c r="CT158" i="2" s="1"/>
  <c r="CI161" i="2"/>
  <c r="CC161" i="2"/>
  <c r="BQ161" i="2"/>
  <c r="BP161" i="2"/>
  <c r="BO161" i="2"/>
  <c r="BN161" i="2"/>
  <c r="BM161" i="2"/>
  <c r="BL161" i="2"/>
  <c r="BK161" i="2"/>
  <c r="BJ161" i="2"/>
  <c r="BI161" i="2"/>
  <c r="BH161" i="2"/>
  <c r="BG161" i="2"/>
  <c r="BF161" i="2"/>
  <c r="BE161" i="2"/>
  <c r="BD161" i="2"/>
  <c r="BC161" i="2"/>
  <c r="BB161" i="2"/>
  <c r="BQ160" i="2"/>
  <c r="BP160" i="2"/>
  <c r="BO160" i="2"/>
  <c r="BN160" i="2"/>
  <c r="BM160" i="2"/>
  <c r="BL160" i="2"/>
  <c r="BK160" i="2"/>
  <c r="BJ160" i="2"/>
  <c r="BI160" i="2"/>
  <c r="BH160" i="2"/>
  <c r="BG160" i="2"/>
  <c r="BF160" i="2"/>
  <c r="BQ159" i="2"/>
  <c r="BP159" i="2"/>
  <c r="BO159" i="2"/>
  <c r="BN159" i="2"/>
  <c r="BM159" i="2"/>
  <c r="BL159" i="2"/>
  <c r="BK159" i="2"/>
  <c r="BJ159" i="2"/>
  <c r="BI159" i="2"/>
  <c r="BH159" i="2"/>
  <c r="BG159" i="2"/>
  <c r="BF159" i="2"/>
  <c r="BE159" i="2"/>
  <c r="BD159" i="2"/>
  <c r="BC159" i="2"/>
  <c r="DX158" i="2"/>
  <c r="DW158" i="2"/>
  <c r="DV158" i="2"/>
  <c r="DU158" i="2"/>
  <c r="CU158" i="2"/>
  <c r="CQ158" i="2"/>
  <c r="CP158" i="2"/>
  <c r="CO158" i="2"/>
  <c r="CM158" i="2"/>
  <c r="CL158" i="2"/>
  <c r="CB158" i="2"/>
  <c r="CA158" i="2"/>
  <c r="BZ158" i="2"/>
  <c r="BZ161" i="2" s="1"/>
  <c r="BY158" i="2"/>
  <c r="BX158" i="2"/>
  <c r="BX161" i="2" s="1"/>
  <c r="BW158" i="2"/>
  <c r="BV158" i="2"/>
  <c r="BU158" i="2"/>
  <c r="BT158" i="2"/>
  <c r="BS158" i="2"/>
  <c r="BS161" i="2" s="1"/>
  <c r="BR158" i="2"/>
  <c r="CE157" i="2"/>
  <c r="BZ157" i="2"/>
  <c r="BZ154" i="2" s="1"/>
  <c r="BW157" i="2"/>
  <c r="BW154" i="2" s="1"/>
  <c r="BY154" i="2"/>
  <c r="BX154" i="2"/>
  <c r="BV154" i="2"/>
  <c r="BU154" i="2"/>
  <c r="BT154" i="2"/>
  <c r="BS154" i="2"/>
  <c r="BR154" i="2"/>
  <c r="BQ154" i="2"/>
  <c r="BP154" i="2"/>
  <c r="BO154" i="2"/>
  <c r="BN154" i="2"/>
  <c r="BM154" i="2"/>
  <c r="BL154" i="2"/>
  <c r="BK154" i="2"/>
  <c r="CR153" i="2"/>
  <c r="CR150" i="2" s="1"/>
  <c r="BU153" i="2"/>
  <c r="BU150" i="2" s="1"/>
  <c r="BO153" i="2"/>
  <c r="BO150" i="2" s="1"/>
  <c r="CQ150" i="2"/>
  <c r="CP150" i="2"/>
  <c r="CO150" i="2"/>
  <c r="CN150" i="2"/>
  <c r="CM150" i="2"/>
  <c r="CL150" i="2"/>
  <c r="CK150" i="2"/>
  <c r="CJ150" i="2"/>
  <c r="CI150" i="2"/>
  <c r="CH150" i="2"/>
  <c r="CG150" i="2"/>
  <c r="BT150" i="2"/>
  <c r="BS150" i="2"/>
  <c r="BR150" i="2"/>
  <c r="BQ150" i="2"/>
  <c r="BP150" i="2"/>
  <c r="BN150" i="2"/>
  <c r="BM150" i="2"/>
  <c r="BL150" i="2"/>
  <c r="BK150" i="2"/>
  <c r="CR149" i="2"/>
  <c r="CS149" i="2" s="1"/>
  <c r="CT149" i="2" s="1"/>
  <c r="CU149" i="2" s="1"/>
  <c r="CV149" i="2" s="1"/>
  <c r="CW149" i="2" s="1"/>
  <c r="CX149" i="2" s="1"/>
  <c r="CY149" i="2" s="1"/>
  <c r="CZ149" i="2" s="1"/>
  <c r="DA149" i="2" s="1"/>
  <c r="DB149" i="2" s="1"/>
  <c r="DC149" i="2" s="1"/>
  <c r="DD149" i="2" s="1"/>
  <c r="DE149" i="2" s="1"/>
  <c r="CO149" i="2"/>
  <c r="CC149" i="2"/>
  <c r="CD149" i="2" s="1"/>
  <c r="CE149" i="2" s="1"/>
  <c r="CA149" i="2"/>
  <c r="BW149" i="2"/>
  <c r="BX149" i="2" s="1"/>
  <c r="BY149" i="2" s="1"/>
  <c r="BS149" i="2"/>
  <c r="BT149" i="2" s="1"/>
  <c r="BU149" i="2" s="1"/>
  <c r="BO149" i="2"/>
  <c r="BP149" i="2" s="1"/>
  <c r="BQ149" i="2" s="1"/>
  <c r="CW145" i="2"/>
  <c r="CX145" i="2" s="1"/>
  <c r="CY145" i="2" s="1"/>
  <c r="CZ145" i="2" s="1"/>
  <c r="DA145" i="2" s="1"/>
  <c r="DB145" i="2" s="1"/>
  <c r="DC145" i="2" s="1"/>
  <c r="DD145" i="2" s="1"/>
  <c r="DE145" i="2" s="1"/>
  <c r="CD145" i="2"/>
  <c r="EH137" i="2"/>
  <c r="EG137" i="2"/>
  <c r="EF137" i="2"/>
  <c r="EE137" i="2"/>
  <c r="ED137" i="2"/>
  <c r="EC137" i="2"/>
  <c r="EB137" i="2"/>
  <c r="EA137" i="2"/>
  <c r="DZ137" i="2"/>
  <c r="DY137" i="2"/>
  <c r="DE137" i="2"/>
  <c r="DD137" i="2"/>
  <c r="DC137" i="2"/>
  <c r="DB137" i="2"/>
  <c r="DA137" i="2"/>
  <c r="CZ137" i="2"/>
  <c r="CY137" i="2"/>
  <c r="CX137" i="2"/>
  <c r="CW137" i="2"/>
  <c r="CV137" i="2"/>
  <c r="CU137" i="2"/>
  <c r="CT137" i="2"/>
  <c r="CS137" i="2"/>
  <c r="CR137" i="2"/>
  <c r="CQ137" i="2"/>
  <c r="CP137" i="2"/>
  <c r="CO137" i="2"/>
  <c r="CN137" i="2"/>
  <c r="CM137" i="2"/>
  <c r="CL137" i="2"/>
  <c r="CK137" i="2"/>
  <c r="CJ137" i="2"/>
  <c r="CI137" i="2"/>
  <c r="CH137" i="2"/>
  <c r="CG137" i="2"/>
  <c r="CF137" i="2"/>
  <c r="CE137" i="2"/>
  <c r="CD137" i="2"/>
  <c r="CC137" i="2"/>
  <c r="CB137" i="2"/>
  <c r="CA137" i="2"/>
  <c r="BZ137" i="2"/>
  <c r="BY137" i="2"/>
  <c r="BX137" i="2"/>
  <c r="BW137" i="2"/>
  <c r="BV137" i="2"/>
  <c r="BU137" i="2"/>
  <c r="BT137" i="2"/>
  <c r="BS137" i="2"/>
  <c r="BR137" i="2"/>
  <c r="EH135" i="2"/>
  <c r="EG135" i="2"/>
  <c r="EF135" i="2"/>
  <c r="EE135" i="2"/>
  <c r="ED135" i="2"/>
  <c r="EC135" i="2"/>
  <c r="EB135" i="2"/>
  <c r="EA135" i="2"/>
  <c r="DZ135" i="2"/>
  <c r="DY135" i="2"/>
  <c r="DX135" i="2"/>
  <c r="DW135" i="2"/>
  <c r="DV135" i="2"/>
  <c r="DU135" i="2"/>
  <c r="BZ131" i="2"/>
  <c r="BZ126" i="2" s="1"/>
  <c r="BY131" i="2"/>
  <c r="BY110" i="2" s="1"/>
  <c r="BX131" i="2"/>
  <c r="BX78" i="2" s="1"/>
  <c r="BW131" i="2"/>
  <c r="BW114" i="2" s="1"/>
  <c r="BV131" i="2"/>
  <c r="BV94" i="2" s="1"/>
  <c r="BU131" i="2"/>
  <c r="BT131" i="2"/>
  <c r="BT134" i="2" s="1"/>
  <c r="BS131" i="2"/>
  <c r="BS114" i="2" s="1"/>
  <c r="BR131" i="2"/>
  <c r="BR264" i="2" s="1"/>
  <c r="BQ131" i="2"/>
  <c r="BQ114" i="2" s="1"/>
  <c r="BP131" i="2"/>
  <c r="BO131" i="2"/>
  <c r="BO106" i="2" s="1"/>
  <c r="BN128" i="2"/>
  <c r="BM128" i="2"/>
  <c r="BL128" i="2"/>
  <c r="BK128" i="2"/>
  <c r="BJ128" i="2"/>
  <c r="BI128" i="2"/>
  <c r="BH128" i="2"/>
  <c r="BG128" i="2"/>
  <c r="BF128" i="2"/>
  <c r="BE128" i="2"/>
  <c r="BD128" i="2"/>
  <c r="BC128" i="2"/>
  <c r="DX127" i="2"/>
  <c r="DW127" i="2"/>
  <c r="DV127" i="2"/>
  <c r="DU127" i="2"/>
  <c r="DT127" i="2"/>
  <c r="DT111" i="2" s="1"/>
  <c r="DB125" i="2"/>
  <c r="CL124" i="2"/>
  <c r="CK124" i="2"/>
  <c r="CA124" i="2"/>
  <c r="DC123" i="2"/>
  <c r="DC124" i="2" s="1"/>
  <c r="CY123" i="2"/>
  <c r="CY124" i="2" s="1"/>
  <c r="CM123" i="2"/>
  <c r="CM124" i="2" s="1"/>
  <c r="CB123" i="2"/>
  <c r="BW121" i="2"/>
  <c r="BV121" i="2"/>
  <c r="BU121" i="2"/>
  <c r="BT121" i="2"/>
  <c r="BS121" i="2"/>
  <c r="CL120" i="2"/>
  <c r="CK120" i="2"/>
  <c r="CJ120" i="2"/>
  <c r="CI120" i="2"/>
  <c r="CH120" i="2"/>
  <c r="CG120" i="2"/>
  <c r="CF120" i="2"/>
  <c r="CE120" i="2"/>
  <c r="BT120" i="2"/>
  <c r="BS120" i="2"/>
  <c r="BR120" i="2"/>
  <c r="BQ120" i="2"/>
  <c r="BP120" i="2"/>
  <c r="EC119" i="2"/>
  <c r="EB119" i="2"/>
  <c r="EA119" i="2"/>
  <c r="DZ119" i="2"/>
  <c r="DY119" i="2"/>
  <c r="DX119" i="2"/>
  <c r="CM119" i="2"/>
  <c r="BY117" i="2"/>
  <c r="BX117" i="2"/>
  <c r="BW117" i="2"/>
  <c r="BV117" i="2"/>
  <c r="BU117" i="2"/>
  <c r="BT117" i="2"/>
  <c r="BS117" i="2"/>
  <c r="BR117" i="2"/>
  <c r="BY116" i="2"/>
  <c r="BX116" i="2"/>
  <c r="BW116" i="2"/>
  <c r="BV116" i="2"/>
  <c r="BU116" i="2"/>
  <c r="BT116" i="2"/>
  <c r="BS116" i="2"/>
  <c r="BR116" i="2"/>
  <c r="BQ116" i="2"/>
  <c r="BP116" i="2"/>
  <c r="BO116" i="2"/>
  <c r="DZ115" i="2"/>
  <c r="DY115" i="2"/>
  <c r="DX115" i="2"/>
  <c r="CL115" i="2"/>
  <c r="CM115" i="2" s="1"/>
  <c r="CK115" i="2"/>
  <c r="CJ115" i="2"/>
  <c r="CA115" i="2"/>
  <c r="BZ115" i="2"/>
  <c r="BZ116" i="2" s="1"/>
  <c r="CU113" i="2"/>
  <c r="CT113" i="2"/>
  <c r="CS113" i="2"/>
  <c r="CR113" i="2"/>
  <c r="CQ113" i="2"/>
  <c r="CP113" i="2"/>
  <c r="CO113" i="2"/>
  <c r="CN113" i="2"/>
  <c r="CM113" i="2"/>
  <c r="CL113" i="2"/>
  <c r="CK113" i="2"/>
  <c r="CJ113" i="2"/>
  <c r="CI113" i="2"/>
  <c r="CH113" i="2"/>
  <c r="CG113" i="2"/>
  <c r="CF113" i="2"/>
  <c r="CE113" i="2"/>
  <c r="CD113" i="2"/>
  <c r="CC113" i="2"/>
  <c r="CB113" i="2"/>
  <c r="CA113" i="2"/>
  <c r="BZ113" i="2"/>
  <c r="BY113" i="2"/>
  <c r="BX113" i="2"/>
  <c r="BW113" i="2"/>
  <c r="BV113" i="2"/>
  <c r="BU113" i="2"/>
  <c r="BT113" i="2"/>
  <c r="BS113" i="2"/>
  <c r="CU112" i="2"/>
  <c r="CT112" i="2"/>
  <c r="CS112" i="2"/>
  <c r="CR112" i="2"/>
  <c r="CQ112" i="2"/>
  <c r="CP112" i="2"/>
  <c r="CO112" i="2"/>
  <c r="CN112" i="2"/>
  <c r="CM112" i="2"/>
  <c r="CL112" i="2"/>
  <c r="CK112" i="2"/>
  <c r="CJ112" i="2"/>
  <c r="CI112" i="2"/>
  <c r="CH112" i="2"/>
  <c r="CG112" i="2"/>
  <c r="CF112" i="2"/>
  <c r="CE112" i="2"/>
  <c r="CD112" i="2"/>
  <c r="CC112" i="2"/>
  <c r="CB112" i="2"/>
  <c r="CA112" i="2"/>
  <c r="BZ112" i="2"/>
  <c r="BY112" i="2"/>
  <c r="BX112" i="2"/>
  <c r="BW112" i="2"/>
  <c r="BV112" i="2"/>
  <c r="BU112" i="2"/>
  <c r="BT112" i="2"/>
  <c r="BS112" i="2"/>
  <c r="BR112" i="2"/>
  <c r="BQ112" i="2"/>
  <c r="BP112" i="2"/>
  <c r="EE111" i="2"/>
  <c r="ED111" i="2"/>
  <c r="EC111" i="2"/>
  <c r="EB111" i="2"/>
  <c r="EA111" i="2"/>
  <c r="DZ111" i="2"/>
  <c r="DY111" i="2"/>
  <c r="CV111" i="2"/>
  <c r="BN111" i="2"/>
  <c r="BM111" i="2"/>
  <c r="BM166" i="2" s="1"/>
  <c r="BL111" i="2"/>
  <c r="BL166" i="2" s="1"/>
  <c r="BK111" i="2"/>
  <c r="BK131" i="2" s="1"/>
  <c r="BK110" i="2" s="1"/>
  <c r="BJ111" i="2"/>
  <c r="BJ131" i="2" s="1"/>
  <c r="BJ94" i="2" s="1"/>
  <c r="BI111" i="2"/>
  <c r="BI131" i="2" s="1"/>
  <c r="BH111" i="2"/>
  <c r="BG111" i="2"/>
  <c r="BF111" i="2"/>
  <c r="BE111" i="2"/>
  <c r="BD111" i="2"/>
  <c r="BC111" i="2"/>
  <c r="BC131" i="2" s="1"/>
  <c r="BB111" i="2"/>
  <c r="BB131" i="2" s="1"/>
  <c r="BB102" i="2" s="1"/>
  <c r="DT109" i="2"/>
  <c r="CU109" i="2"/>
  <c r="CT109" i="2"/>
  <c r="CS109" i="2"/>
  <c r="CR109" i="2"/>
  <c r="CQ109" i="2"/>
  <c r="CP109" i="2"/>
  <c r="CO109" i="2"/>
  <c r="CN109" i="2"/>
  <c r="CM109" i="2"/>
  <c r="CL109" i="2"/>
  <c r="CK109" i="2"/>
  <c r="CJ109" i="2"/>
  <c r="CI109" i="2"/>
  <c r="CH109" i="2"/>
  <c r="CG109" i="2"/>
  <c r="CF109" i="2"/>
  <c r="CE109" i="2"/>
  <c r="CD109" i="2"/>
  <c r="CC109" i="2"/>
  <c r="CB109" i="2"/>
  <c r="CA109" i="2"/>
  <c r="BZ109" i="2"/>
  <c r="BY109" i="2"/>
  <c r="BX109" i="2"/>
  <c r="BW109" i="2"/>
  <c r="BV109" i="2"/>
  <c r="BU109" i="2"/>
  <c r="BT109" i="2"/>
  <c r="BS109" i="2"/>
  <c r="BR109" i="2"/>
  <c r="BQ109" i="2"/>
  <c r="BP109" i="2"/>
  <c r="BO109" i="2"/>
  <c r="BN109" i="2"/>
  <c r="BM109" i="2"/>
  <c r="BL109" i="2"/>
  <c r="BK109" i="2"/>
  <c r="BJ109" i="2"/>
  <c r="BI109" i="2"/>
  <c r="BH109" i="2"/>
  <c r="BG109" i="2"/>
  <c r="BF109" i="2"/>
  <c r="CU108" i="2"/>
  <c r="CT108" i="2"/>
  <c r="CS108" i="2"/>
  <c r="CR108" i="2"/>
  <c r="CQ108" i="2"/>
  <c r="CP108" i="2"/>
  <c r="CO108" i="2"/>
  <c r="CN108" i="2"/>
  <c r="CM108" i="2"/>
  <c r="CL108" i="2"/>
  <c r="CK108" i="2"/>
  <c r="CJ108" i="2"/>
  <c r="CI108" i="2"/>
  <c r="CH108" i="2"/>
  <c r="CG108" i="2"/>
  <c r="CF108" i="2"/>
  <c r="CE108" i="2"/>
  <c r="CD108" i="2"/>
  <c r="CC108" i="2"/>
  <c r="CB108" i="2"/>
  <c r="CA108" i="2"/>
  <c r="BZ108" i="2"/>
  <c r="BY108" i="2"/>
  <c r="BX108" i="2"/>
  <c r="BW108" i="2"/>
  <c r="BV108" i="2"/>
  <c r="BU108" i="2"/>
  <c r="BT108" i="2"/>
  <c r="BS108" i="2"/>
  <c r="BR108" i="2"/>
  <c r="BQ108" i="2"/>
  <c r="BP108" i="2"/>
  <c r="BO108" i="2"/>
  <c r="BN108" i="2"/>
  <c r="BM108" i="2"/>
  <c r="BL108" i="2"/>
  <c r="BK108" i="2"/>
  <c r="BJ108" i="2"/>
  <c r="BI108" i="2"/>
  <c r="BH108" i="2"/>
  <c r="BG108" i="2"/>
  <c r="BF108" i="2"/>
  <c r="BE108" i="2"/>
  <c r="BD108" i="2"/>
  <c r="BC108" i="2"/>
  <c r="EE107" i="2"/>
  <c r="ED107" i="2"/>
  <c r="EC107" i="2"/>
  <c r="EB107" i="2"/>
  <c r="EA107" i="2"/>
  <c r="DZ107" i="2"/>
  <c r="DY107" i="2"/>
  <c r="DX107" i="2"/>
  <c r="DW107" i="2"/>
  <c r="DV107" i="2"/>
  <c r="DU107" i="2"/>
  <c r="DT105" i="2"/>
  <c r="CU105" i="2"/>
  <c r="CT105" i="2"/>
  <c r="CS105" i="2"/>
  <c r="CQ105" i="2"/>
  <c r="CP105" i="2"/>
  <c r="CB105" i="2"/>
  <c r="CA105" i="2"/>
  <c r="BZ105" i="2"/>
  <c r="BY105" i="2"/>
  <c r="BX105" i="2"/>
  <c r="BW105" i="2"/>
  <c r="BV105" i="2"/>
  <c r="BU105" i="2"/>
  <c r="BT105" i="2"/>
  <c r="BS105" i="2"/>
  <c r="BR105" i="2"/>
  <c r="BQ105" i="2"/>
  <c r="BP105" i="2"/>
  <c r="BO105" i="2"/>
  <c r="BN105" i="2"/>
  <c r="BM105" i="2"/>
  <c r="BL105" i="2"/>
  <c r="BK105" i="2"/>
  <c r="BJ105" i="2"/>
  <c r="BI105" i="2"/>
  <c r="BH105" i="2"/>
  <c r="BG105" i="2"/>
  <c r="BF105" i="2"/>
  <c r="CU104" i="2"/>
  <c r="CT104" i="2"/>
  <c r="CS104" i="2"/>
  <c r="CR104" i="2"/>
  <c r="CQ104" i="2"/>
  <c r="CP104" i="2"/>
  <c r="CM104" i="2"/>
  <c r="CB104" i="2"/>
  <c r="CA104" i="2"/>
  <c r="BZ104" i="2"/>
  <c r="BY104" i="2"/>
  <c r="BX104" i="2"/>
  <c r="BW104" i="2"/>
  <c r="BV104" i="2"/>
  <c r="BU104" i="2"/>
  <c r="BT104" i="2"/>
  <c r="BS104" i="2"/>
  <c r="BR104" i="2"/>
  <c r="BQ104" i="2"/>
  <c r="BP104" i="2"/>
  <c r="BO104" i="2"/>
  <c r="BN104" i="2"/>
  <c r="BM104" i="2"/>
  <c r="BL104" i="2"/>
  <c r="BK104" i="2"/>
  <c r="BJ104" i="2"/>
  <c r="BI104" i="2"/>
  <c r="BH104" i="2"/>
  <c r="BG104" i="2"/>
  <c r="BF104" i="2"/>
  <c r="BE104" i="2"/>
  <c r="BD104" i="2"/>
  <c r="BC104" i="2"/>
  <c r="EE103" i="2"/>
  <c r="DZ103" i="2"/>
  <c r="DY103" i="2"/>
  <c r="DX103" i="2"/>
  <c r="DW103" i="2"/>
  <c r="DV103" i="2"/>
  <c r="DU103" i="2"/>
  <c r="CV103" i="2"/>
  <c r="CV158" i="2" s="1"/>
  <c r="CN103" i="2"/>
  <c r="CE103" i="2"/>
  <c r="CE99" i="2" s="1"/>
  <c r="CD103" i="2"/>
  <c r="CC103" i="2"/>
  <c r="CC99" i="2" s="1"/>
  <c r="CC154" i="2" s="1"/>
  <c r="DT101" i="2"/>
  <c r="BZ101" i="2"/>
  <c r="BY101" i="2"/>
  <c r="BX101" i="2"/>
  <c r="BW101" i="2"/>
  <c r="BV101" i="2"/>
  <c r="BU101" i="2"/>
  <c r="BT101" i="2"/>
  <c r="BS101" i="2"/>
  <c r="BR101" i="2"/>
  <c r="BQ101" i="2"/>
  <c r="BP101" i="2"/>
  <c r="BO101" i="2"/>
  <c r="BN101" i="2"/>
  <c r="BM101" i="2"/>
  <c r="BL101" i="2"/>
  <c r="BK101" i="2"/>
  <c r="BJ101" i="2"/>
  <c r="BI101" i="2"/>
  <c r="BH101" i="2"/>
  <c r="BG101" i="2"/>
  <c r="BF101" i="2"/>
  <c r="BZ100" i="2"/>
  <c r="BY100" i="2"/>
  <c r="BX100" i="2"/>
  <c r="BW100" i="2"/>
  <c r="BV100" i="2"/>
  <c r="BU100" i="2"/>
  <c r="BT100" i="2"/>
  <c r="BS100" i="2"/>
  <c r="BR100" i="2"/>
  <c r="BQ100" i="2"/>
  <c r="BP100" i="2"/>
  <c r="BO100" i="2"/>
  <c r="BN100" i="2"/>
  <c r="BM100" i="2"/>
  <c r="BL100" i="2"/>
  <c r="BK100" i="2"/>
  <c r="BJ100" i="2"/>
  <c r="BI100" i="2"/>
  <c r="BH100" i="2"/>
  <c r="BG100" i="2"/>
  <c r="BF100" i="2"/>
  <c r="BE100" i="2"/>
  <c r="BD100" i="2"/>
  <c r="BC100" i="2"/>
  <c r="DZ99" i="2"/>
  <c r="DY99" i="2"/>
  <c r="DX99" i="2"/>
  <c r="DW99" i="2"/>
  <c r="DV99" i="2"/>
  <c r="DU99" i="2"/>
  <c r="CU99" i="2"/>
  <c r="CT99" i="2"/>
  <c r="CS99" i="2"/>
  <c r="CR99" i="2"/>
  <c r="CQ99" i="2"/>
  <c r="CP99" i="2"/>
  <c r="CP154" i="2" s="1"/>
  <c r="CO99" i="2"/>
  <c r="CM99" i="2"/>
  <c r="CL99" i="2"/>
  <c r="CL131" i="2" s="1"/>
  <c r="CB99" i="2"/>
  <c r="CB131" i="2" s="1"/>
  <c r="CA99" i="2"/>
  <c r="DT97" i="2"/>
  <c r="CU97" i="2"/>
  <c r="CT97" i="2"/>
  <c r="CS97" i="2"/>
  <c r="CR97" i="2"/>
  <c r="CQ97" i="2"/>
  <c r="CP97" i="2"/>
  <c r="CO97" i="2"/>
  <c r="CN97" i="2"/>
  <c r="CM97" i="2"/>
  <c r="CL97" i="2"/>
  <c r="CK97" i="2"/>
  <c r="CJ97" i="2"/>
  <c r="CI97" i="2"/>
  <c r="CH97" i="2"/>
  <c r="CG97" i="2"/>
  <c r="CF97" i="2"/>
  <c r="CE97" i="2"/>
  <c r="CU96" i="2"/>
  <c r="CT96" i="2"/>
  <c r="CS96" i="2"/>
  <c r="CR96" i="2"/>
  <c r="CQ96" i="2"/>
  <c r="CP96" i="2"/>
  <c r="CO96" i="2"/>
  <c r="CN96" i="2"/>
  <c r="CM96" i="2"/>
  <c r="CL96" i="2"/>
  <c r="CK96" i="2"/>
  <c r="CJ96" i="2"/>
  <c r="CI96" i="2"/>
  <c r="CH96" i="2"/>
  <c r="CG96" i="2"/>
  <c r="CF96" i="2"/>
  <c r="CE96" i="2"/>
  <c r="CD96" i="2"/>
  <c r="CC96" i="2"/>
  <c r="CB96" i="2"/>
  <c r="EE95" i="2"/>
  <c r="ED95" i="2"/>
  <c r="EC95" i="2"/>
  <c r="ED97" i="2" s="1"/>
  <c r="EB95" i="2"/>
  <c r="BZ95" i="2"/>
  <c r="CD97" i="2" s="1"/>
  <c r="BY95" i="2"/>
  <c r="BX95" i="2"/>
  <c r="CB97" i="2" s="1"/>
  <c r="BW95" i="2"/>
  <c r="BV95" i="2"/>
  <c r="BU95" i="2"/>
  <c r="BT95" i="2"/>
  <c r="BS95" i="2"/>
  <c r="BS98" i="2" s="1"/>
  <c r="BR95" i="2"/>
  <c r="BQ95" i="2"/>
  <c r="BP95" i="2"/>
  <c r="BO95" i="2"/>
  <c r="BN95" i="2"/>
  <c r="BM95" i="2"/>
  <c r="BL95" i="2"/>
  <c r="BK95" i="2"/>
  <c r="BJ95" i="2"/>
  <c r="BI95" i="2"/>
  <c r="BH95" i="2"/>
  <c r="BG95" i="2"/>
  <c r="BF95" i="2"/>
  <c r="BE95" i="2"/>
  <c r="BD95" i="2"/>
  <c r="BC95" i="2"/>
  <c r="BB95" i="2"/>
  <c r="DT93" i="2"/>
  <c r="CU93" i="2"/>
  <c r="CT93" i="2"/>
  <c r="CS93" i="2"/>
  <c r="CR93" i="2"/>
  <c r="CQ93" i="2"/>
  <c r="CP93" i="2"/>
  <c r="CO93" i="2"/>
  <c r="CN93" i="2"/>
  <c r="CM93" i="2"/>
  <c r="CL93" i="2"/>
  <c r="CK93" i="2"/>
  <c r="CJ93" i="2"/>
  <c r="CI93" i="2"/>
  <c r="CH93" i="2"/>
  <c r="CG93" i="2"/>
  <c r="CF93" i="2"/>
  <c r="CE93" i="2"/>
  <c r="CD93" i="2"/>
  <c r="CC93" i="2"/>
  <c r="CB93" i="2"/>
  <c r="CA93" i="2"/>
  <c r="BZ93" i="2"/>
  <c r="BY93" i="2"/>
  <c r="BX93" i="2"/>
  <c r="BW93" i="2"/>
  <c r="BV93" i="2"/>
  <c r="BU93" i="2"/>
  <c r="BT93" i="2"/>
  <c r="BS93" i="2"/>
  <c r="BR93" i="2"/>
  <c r="BQ93" i="2"/>
  <c r="BP93" i="2"/>
  <c r="BO93" i="2"/>
  <c r="BN93" i="2"/>
  <c r="BM93" i="2"/>
  <c r="BL93" i="2"/>
  <c r="BK93" i="2"/>
  <c r="BJ93" i="2"/>
  <c r="BI93" i="2"/>
  <c r="BH93" i="2"/>
  <c r="BG93" i="2"/>
  <c r="BF93" i="2"/>
  <c r="CU92" i="2"/>
  <c r="CT92" i="2"/>
  <c r="CS92" i="2"/>
  <c r="CR92" i="2"/>
  <c r="CQ92" i="2"/>
  <c r="CP92" i="2"/>
  <c r="CO92" i="2"/>
  <c r="CN92" i="2"/>
  <c r="CM92" i="2"/>
  <c r="CL92" i="2"/>
  <c r="CK92" i="2"/>
  <c r="CJ92" i="2"/>
  <c r="CI92" i="2"/>
  <c r="CH92" i="2"/>
  <c r="CG92" i="2"/>
  <c r="CF92" i="2"/>
  <c r="CE92" i="2"/>
  <c r="CD92" i="2"/>
  <c r="CC92" i="2"/>
  <c r="CB92" i="2"/>
  <c r="CA92" i="2"/>
  <c r="BZ92" i="2"/>
  <c r="BY92" i="2"/>
  <c r="BX92" i="2"/>
  <c r="BW92" i="2"/>
  <c r="BV92" i="2"/>
  <c r="BU92" i="2"/>
  <c r="BT92" i="2"/>
  <c r="BS92" i="2"/>
  <c r="BR92" i="2"/>
  <c r="BQ92" i="2"/>
  <c r="BP92" i="2"/>
  <c r="BO92" i="2"/>
  <c r="BN92" i="2"/>
  <c r="BM92" i="2"/>
  <c r="BL92" i="2"/>
  <c r="BK92" i="2"/>
  <c r="BJ92" i="2"/>
  <c r="BI92" i="2"/>
  <c r="BH92" i="2"/>
  <c r="BG92" i="2"/>
  <c r="BF92" i="2"/>
  <c r="BE92" i="2"/>
  <c r="BD92" i="2"/>
  <c r="BC92" i="2"/>
  <c r="EE91" i="2"/>
  <c r="ED91" i="2"/>
  <c r="EC91" i="2"/>
  <c r="EB91" i="2"/>
  <c r="EA91" i="2"/>
  <c r="DZ91" i="2"/>
  <c r="DY91" i="2"/>
  <c r="DX91" i="2"/>
  <c r="DW91" i="2"/>
  <c r="DV91" i="2"/>
  <c r="DU91" i="2"/>
  <c r="CV91" i="2"/>
  <c r="BQ87" i="2"/>
  <c r="BP87" i="2"/>
  <c r="BJ79" i="2"/>
  <c r="BI79" i="2"/>
  <c r="BH79" i="2"/>
  <c r="BG79" i="2"/>
  <c r="BF79" i="2"/>
  <c r="BE79" i="2"/>
  <c r="BD79" i="2"/>
  <c r="BC79" i="2"/>
  <c r="BB79" i="2"/>
  <c r="DT77" i="2"/>
  <c r="CU77" i="2"/>
  <c r="CT77" i="2"/>
  <c r="CS77" i="2"/>
  <c r="CR77" i="2"/>
  <c r="CQ77" i="2"/>
  <c r="CP77" i="2"/>
  <c r="CO77" i="2"/>
  <c r="CN77" i="2"/>
  <c r="CM77" i="2"/>
  <c r="CL77" i="2"/>
  <c r="CK77" i="2"/>
  <c r="CJ77" i="2"/>
  <c r="CI77" i="2"/>
  <c r="CH77" i="2"/>
  <c r="CG77" i="2"/>
  <c r="CF77" i="2"/>
  <c r="CE77" i="2"/>
  <c r="CD77" i="2"/>
  <c r="CC77" i="2"/>
  <c r="CB77" i="2"/>
  <c r="CA77" i="2"/>
  <c r="BZ77" i="2"/>
  <c r="BY77" i="2"/>
  <c r="BX77" i="2"/>
  <c r="BW77" i="2"/>
  <c r="BV77" i="2"/>
  <c r="BU77" i="2"/>
  <c r="BT77" i="2"/>
  <c r="BS77" i="2"/>
  <c r="BR77" i="2"/>
  <c r="BQ77" i="2"/>
  <c r="BP77" i="2"/>
  <c r="BO77" i="2"/>
  <c r="BN77" i="2"/>
  <c r="BM77" i="2"/>
  <c r="BL77" i="2"/>
  <c r="BK77" i="2"/>
  <c r="BJ77" i="2"/>
  <c r="BI77" i="2"/>
  <c r="BH77" i="2"/>
  <c r="BG77" i="2"/>
  <c r="BF77" i="2"/>
  <c r="CU76" i="2"/>
  <c r="CT76" i="2"/>
  <c r="CS76" i="2"/>
  <c r="CR76" i="2"/>
  <c r="CQ76" i="2"/>
  <c r="CP76" i="2"/>
  <c r="CO76" i="2"/>
  <c r="CN76" i="2"/>
  <c r="CM76" i="2"/>
  <c r="CL76" i="2"/>
  <c r="CK76" i="2"/>
  <c r="CJ76" i="2"/>
  <c r="CI76" i="2"/>
  <c r="CH76" i="2"/>
  <c r="CG76" i="2"/>
  <c r="CF76" i="2"/>
  <c r="CE76" i="2"/>
  <c r="CD76" i="2"/>
  <c r="CC76" i="2"/>
  <c r="CB76" i="2"/>
  <c r="CA76" i="2"/>
  <c r="BZ76" i="2"/>
  <c r="BY76" i="2"/>
  <c r="BX76" i="2"/>
  <c r="BW76" i="2"/>
  <c r="BV76" i="2"/>
  <c r="BU76" i="2"/>
  <c r="BT76" i="2"/>
  <c r="BS76" i="2"/>
  <c r="BR76" i="2"/>
  <c r="BQ76" i="2"/>
  <c r="BP76" i="2"/>
  <c r="BO76" i="2"/>
  <c r="BN76" i="2"/>
  <c r="BM76" i="2"/>
  <c r="BL76" i="2"/>
  <c r="BK76" i="2"/>
  <c r="BJ76" i="2"/>
  <c r="BI76" i="2"/>
  <c r="BH76" i="2"/>
  <c r="BG76" i="2"/>
  <c r="BF76" i="2"/>
  <c r="BE76" i="2"/>
  <c r="BD76" i="2"/>
  <c r="BC76" i="2"/>
  <c r="EE75" i="2"/>
  <c r="ED75" i="2"/>
  <c r="EC75" i="2"/>
  <c r="EB75" i="2"/>
  <c r="EA75" i="2"/>
  <c r="DZ75" i="2"/>
  <c r="DY75" i="2"/>
  <c r="DX75" i="2"/>
  <c r="DW75" i="2"/>
  <c r="DV75" i="2"/>
  <c r="DU75" i="2"/>
  <c r="EH74" i="2"/>
  <c r="EG74" i="2"/>
  <c r="EF74" i="2"/>
  <c r="EE74" i="2"/>
  <c r="ED74" i="2"/>
  <c r="EC74" i="2"/>
  <c r="EB74" i="2"/>
  <c r="EA74" i="2"/>
  <c r="DZ74" i="2"/>
  <c r="DY74" i="2"/>
  <c r="DX74" i="2"/>
  <c r="DW74" i="2"/>
  <c r="DV74" i="2"/>
  <c r="DU74" i="2"/>
  <c r="DE74" i="2"/>
  <c r="DD74" i="2"/>
  <c r="DC74" i="2"/>
  <c r="DB74" i="2"/>
  <c r="DA74" i="2"/>
  <c r="CZ74" i="2"/>
  <c r="CY74" i="2"/>
  <c r="CX74" i="2"/>
  <c r="CW74" i="2"/>
  <c r="CV74" i="2"/>
  <c r="CU74" i="2"/>
  <c r="CT74" i="2"/>
  <c r="CS74" i="2"/>
  <c r="CR74" i="2"/>
  <c r="CQ74" i="2"/>
  <c r="CP74" i="2"/>
  <c r="CO74" i="2"/>
  <c r="CN74" i="2"/>
  <c r="CM74" i="2"/>
  <c r="CL74" i="2"/>
  <c r="CK74" i="2"/>
  <c r="CJ74" i="2"/>
  <c r="CI74" i="2"/>
  <c r="CH74" i="2"/>
  <c r="CG74" i="2"/>
  <c r="CF74" i="2"/>
  <c r="CE74" i="2"/>
  <c r="CD74" i="2"/>
  <c r="CC74" i="2"/>
  <c r="CB74" i="2"/>
  <c r="CA74" i="2"/>
  <c r="BZ74" i="2"/>
  <c r="BY74" i="2"/>
  <c r="BX74" i="2"/>
  <c r="BW74" i="2"/>
  <c r="BV74" i="2"/>
  <c r="BU74" i="2"/>
  <c r="BT74" i="2"/>
  <c r="BS74" i="2"/>
  <c r="BR74" i="2"/>
  <c r="BQ74" i="2"/>
  <c r="BP74" i="2"/>
  <c r="BO74" i="2"/>
  <c r="BN74" i="2"/>
  <c r="BM74" i="2"/>
  <c r="BL74" i="2"/>
  <c r="BK74" i="2"/>
  <c r="BJ74" i="2"/>
  <c r="BI74" i="2"/>
  <c r="BH74" i="2"/>
  <c r="BG74" i="2"/>
  <c r="BF74" i="2"/>
  <c r="CC72" i="2"/>
  <c r="CB72" i="2"/>
  <c r="CA72" i="2"/>
  <c r="BZ72" i="2"/>
  <c r="BY72" i="2"/>
  <c r="BX72" i="2"/>
  <c r="BW72" i="2"/>
  <c r="BV72" i="2"/>
  <c r="BU72" i="2"/>
  <c r="BT72" i="2"/>
  <c r="BS72" i="2"/>
  <c r="BR72" i="2"/>
  <c r="BQ72" i="2"/>
  <c r="BP72" i="2"/>
  <c r="BO72" i="2"/>
  <c r="BN72" i="2"/>
  <c r="BM72" i="2"/>
  <c r="BL72" i="2"/>
  <c r="BK72" i="2"/>
  <c r="BJ72" i="2"/>
  <c r="BI72" i="2"/>
  <c r="BH72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B72" i="2"/>
  <c r="CC67" i="2"/>
  <c r="CB67" i="2"/>
  <c r="CA67" i="2"/>
  <c r="BZ67" i="2"/>
  <c r="BY67" i="2"/>
  <c r="BX67" i="2"/>
  <c r="BW67" i="2"/>
  <c r="BV67" i="2"/>
  <c r="BU67" i="2"/>
  <c r="BT67" i="2"/>
  <c r="BS67" i="2"/>
  <c r="BR67" i="2"/>
  <c r="BQ67" i="2"/>
  <c r="BP67" i="2"/>
  <c r="BO67" i="2"/>
  <c r="BN67" i="2"/>
  <c r="BM67" i="2"/>
  <c r="BL67" i="2"/>
  <c r="BK67" i="2"/>
  <c r="BJ67" i="2"/>
  <c r="BI67" i="2"/>
  <c r="BH67" i="2"/>
  <c r="BG67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B67" i="2"/>
  <c r="CC64" i="2"/>
  <c r="CB64" i="2"/>
  <c r="CA64" i="2"/>
  <c r="BZ64" i="2"/>
  <c r="BY64" i="2"/>
  <c r="BX64" i="2"/>
  <c r="BW64" i="2"/>
  <c r="BV64" i="2"/>
  <c r="BU64" i="2"/>
  <c r="BT64" i="2"/>
  <c r="BS64" i="2"/>
  <c r="BR64" i="2"/>
  <c r="BQ64" i="2"/>
  <c r="BP64" i="2"/>
  <c r="BO64" i="2"/>
  <c r="BN64" i="2"/>
  <c r="BM64" i="2"/>
  <c r="BL64" i="2"/>
  <c r="BK64" i="2"/>
  <c r="BJ64" i="2"/>
  <c r="BI64" i="2"/>
  <c r="BH64" i="2"/>
  <c r="BG64" i="2"/>
  <c r="BF64" i="2"/>
  <c r="BE64" i="2"/>
  <c r="BD64" i="2"/>
  <c r="BC64" i="2"/>
  <c r="BB64" i="2"/>
  <c r="BA64" i="2"/>
  <c r="AZ64" i="2"/>
  <c r="AY64" i="2"/>
  <c r="AX64" i="2"/>
  <c r="AW64" i="2"/>
  <c r="AV64" i="2"/>
  <c r="AU64" i="2"/>
  <c r="AT64" i="2"/>
  <c r="AS64" i="2"/>
  <c r="AR64" i="2"/>
  <c r="AQ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D64" i="2"/>
  <c r="C64" i="2"/>
  <c r="B64" i="2"/>
  <c r="I55" i="2"/>
  <c r="H55" i="2"/>
  <c r="G55" i="2"/>
  <c r="F55" i="2"/>
  <c r="E55" i="2"/>
  <c r="D55" i="2"/>
  <c r="C55" i="2"/>
  <c r="B55" i="2"/>
  <c r="H52" i="2"/>
  <c r="G52" i="2"/>
  <c r="F52" i="2"/>
  <c r="E52" i="2"/>
  <c r="D52" i="2"/>
  <c r="C52" i="2"/>
  <c r="B52" i="2"/>
  <c r="EE39" i="2"/>
  <c r="ED39" i="2"/>
  <c r="EC39" i="2"/>
  <c r="EB39" i="2"/>
  <c r="EA39" i="2"/>
  <c r="DZ39" i="2"/>
  <c r="DY39" i="2"/>
  <c r="DX39" i="2"/>
  <c r="DW39" i="2"/>
  <c r="DV39" i="2"/>
  <c r="DU39" i="2"/>
  <c r="DT39" i="2"/>
  <c r="DS39" i="2"/>
  <c r="DR39" i="2"/>
  <c r="CU35" i="2"/>
  <c r="CT35" i="2"/>
  <c r="CS35" i="2"/>
  <c r="CO35" i="2"/>
  <c r="CN35" i="2"/>
  <c r="CM35" i="2"/>
  <c r="CI35" i="2"/>
  <c r="CC35" i="2"/>
  <c r="CB35" i="2"/>
  <c r="CA35" i="2"/>
  <c r="BW35" i="2"/>
  <c r="BV35" i="2"/>
  <c r="BQ35" i="2"/>
  <c r="BP35" i="2"/>
  <c r="BL35" i="2"/>
  <c r="BK35" i="2"/>
  <c r="BJ35" i="2"/>
  <c r="BG35" i="2"/>
  <c r="BE35" i="2"/>
  <c r="BD35" i="2"/>
  <c r="AY35" i="2"/>
  <c r="AS35" i="2"/>
  <c r="AP35" i="2"/>
  <c r="AO35" i="2"/>
  <c r="AN35" i="2"/>
  <c r="AL35" i="2"/>
  <c r="AK35" i="2"/>
  <c r="AJ35" i="2"/>
  <c r="AH35" i="2"/>
  <c r="AG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EE34" i="2"/>
  <c r="ED34" i="2"/>
  <c r="EC34" i="2"/>
  <c r="EB34" i="2"/>
  <c r="EA34" i="2"/>
  <c r="DZ34" i="2"/>
  <c r="DY34" i="2"/>
  <c r="DX34" i="2"/>
  <c r="DW34" i="2"/>
  <c r="DV34" i="2"/>
  <c r="DU34" i="2"/>
  <c r="DT34" i="2"/>
  <c r="DS34" i="2"/>
  <c r="DR34" i="2"/>
  <c r="CU30" i="2"/>
  <c r="CT30" i="2"/>
  <c r="CS30" i="2"/>
  <c r="CR30" i="2"/>
  <c r="CQ30" i="2"/>
  <c r="CP30" i="2"/>
  <c r="CO30" i="2"/>
  <c r="CN30" i="2"/>
  <c r="CM30" i="2"/>
  <c r="CL30" i="2"/>
  <c r="CK30" i="2"/>
  <c r="CJ30" i="2"/>
  <c r="CI30" i="2"/>
  <c r="CH30" i="2"/>
  <c r="CF30" i="2"/>
  <c r="CD30" i="2"/>
  <c r="CB30" i="2"/>
  <c r="CA30" i="2"/>
  <c r="BZ30" i="2"/>
  <c r="BY30" i="2"/>
  <c r="BX30" i="2"/>
  <c r="BW30" i="2"/>
  <c r="BV30" i="2"/>
  <c r="BU30" i="2"/>
  <c r="BT30" i="2"/>
  <c r="BS30" i="2"/>
  <c r="BR30" i="2"/>
  <c r="BQ30" i="2"/>
  <c r="BP30" i="2"/>
  <c r="BO30" i="2"/>
  <c r="BK30" i="2"/>
  <c r="BE30" i="2"/>
  <c r="BD30" i="2"/>
  <c r="BC30" i="2"/>
  <c r="BB30" i="2"/>
  <c r="AZ30" i="2"/>
  <c r="AY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B30" i="2"/>
  <c r="AA30" i="2"/>
  <c r="Z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CU29" i="2"/>
  <c r="CT29" i="2"/>
  <c r="CS29" i="2"/>
  <c r="CR29" i="2"/>
  <c r="CQ29" i="2"/>
  <c r="CP29" i="2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EE20" i="2"/>
  <c r="ED20" i="2"/>
  <c r="EC20" i="2"/>
  <c r="EB20" i="2"/>
  <c r="EA20" i="2"/>
  <c r="DZ20" i="2"/>
  <c r="DY20" i="2"/>
  <c r="DX20" i="2"/>
  <c r="DW20" i="2"/>
  <c r="DV20" i="2"/>
  <c r="DU20" i="2"/>
  <c r="DT20" i="2"/>
  <c r="DS20" i="2"/>
  <c r="DR20" i="2"/>
  <c r="CV20" i="2"/>
  <c r="CW20" i="2" s="1"/>
  <c r="CX20" i="2" s="1"/>
  <c r="CY20" i="2" s="1"/>
  <c r="CU11" i="2"/>
  <c r="CT11" i="2"/>
  <c r="CS11" i="2"/>
  <c r="CR11" i="2"/>
  <c r="CQ11" i="2"/>
  <c r="CP11" i="2"/>
  <c r="CO11" i="2"/>
  <c r="CN11" i="2"/>
  <c r="CM11" i="2"/>
  <c r="CL11" i="2"/>
  <c r="CK11" i="2"/>
  <c r="CJ11" i="2"/>
  <c r="CI11" i="2"/>
  <c r="CH11" i="2"/>
  <c r="CG11" i="2"/>
  <c r="CF11" i="2"/>
  <c r="CD11" i="2"/>
  <c r="CC11" i="2"/>
  <c r="CB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BH11" i="2"/>
  <c r="BG11" i="2"/>
  <c r="BF11" i="2"/>
  <c r="BE11" i="2"/>
  <c r="BD11" i="2"/>
  <c r="BB11" i="2"/>
  <c r="AX11" i="2"/>
  <c r="AW11" i="2"/>
  <c r="AT11" i="2"/>
  <c r="AS11" i="2"/>
  <c r="AR11" i="2"/>
  <c r="AP11" i="2"/>
  <c r="AN11" i="2"/>
  <c r="AM11" i="2"/>
  <c r="AL11" i="2"/>
  <c r="AK11" i="2"/>
  <c r="AJ11" i="2"/>
  <c r="AI11" i="2"/>
  <c r="AH11" i="2"/>
  <c r="AF11" i="2"/>
  <c r="AE11" i="2"/>
  <c r="R11" i="2"/>
  <c r="N11" i="2"/>
  <c r="J11" i="2"/>
  <c r="I11" i="2"/>
  <c r="H11" i="2"/>
  <c r="G11" i="2"/>
  <c r="F11" i="2"/>
  <c r="E11" i="2"/>
  <c r="D11" i="2"/>
  <c r="C11" i="2"/>
  <c r="B11" i="2"/>
  <c r="BW8" i="2"/>
  <c r="BU8" i="2"/>
  <c r="AF8" i="2"/>
  <c r="AE8" i="2"/>
  <c r="R8" i="2"/>
  <c r="E8" i="2"/>
  <c r="CU5" i="2"/>
  <c r="CT5" i="2"/>
  <c r="CS5" i="2"/>
  <c r="CR5" i="2"/>
  <c r="CQ5" i="2"/>
  <c r="CP5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C256" i="2" s="1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E5" i="2"/>
  <c r="BD5" i="2"/>
  <c r="BC5" i="2"/>
  <c r="BB5" i="2"/>
  <c r="BA5" i="2"/>
  <c r="AZ5" i="2"/>
  <c r="AY5" i="2"/>
  <c r="AX5" i="2"/>
  <c r="AW5" i="2"/>
  <c r="AV5" i="2"/>
  <c r="AU5" i="2"/>
  <c r="AT5" i="2"/>
  <c r="AS5" i="2"/>
  <c r="AR5" i="2"/>
  <c r="AQ5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H5" i="2"/>
  <c r="G5" i="2"/>
  <c r="F5" i="2"/>
  <c r="E5" i="2"/>
  <c r="D5" i="2"/>
  <c r="C5" i="2"/>
  <c r="B5" i="2"/>
  <c r="BZ1" i="2"/>
  <c r="BY1" i="2"/>
  <c r="BX1" i="2"/>
  <c r="BW1" i="2"/>
  <c r="BV1" i="2"/>
  <c r="J14" i="6" l="1"/>
  <c r="AB14" i="6"/>
  <c r="AA8" i="6"/>
  <c r="U18" i="6"/>
  <c r="O8" i="6"/>
  <c r="D18" i="6"/>
  <c r="J18" i="6"/>
  <c r="P18" i="6"/>
  <c r="T8" i="6"/>
  <c r="U14" i="6"/>
  <c r="U8" i="6"/>
  <c r="BK13" i="6"/>
  <c r="BM17" i="6"/>
  <c r="V8" i="6"/>
  <c r="BJ13" i="6"/>
  <c r="P14" i="6"/>
  <c r="W8" i="6"/>
  <c r="P8" i="6"/>
  <c r="Y23" i="6"/>
  <c r="AQ23" i="6"/>
  <c r="AB19" i="6"/>
  <c r="AB18" i="6"/>
  <c r="BJ17" i="6"/>
  <c r="BJ14" i="6" s="1"/>
  <c r="AD8" i="6"/>
  <c r="X14" i="6"/>
  <c r="H18" i="6"/>
  <c r="M19" i="6"/>
  <c r="AF8" i="6"/>
  <c r="BM13" i="6"/>
  <c r="R14" i="6"/>
  <c r="Z14" i="6"/>
  <c r="P19" i="6"/>
  <c r="AO86" i="5"/>
  <c r="AE54" i="5"/>
  <c r="AI52" i="5"/>
  <c r="CQ51" i="5"/>
  <c r="CQ48" i="5" s="1"/>
  <c r="BA58" i="5"/>
  <c r="Z76" i="5"/>
  <c r="AF76" i="5"/>
  <c r="CK47" i="5"/>
  <c r="BB9" i="5"/>
  <c r="BB59" i="5" s="1"/>
  <c r="BB63" i="5" s="1"/>
  <c r="N57" i="5"/>
  <c r="Y58" i="5"/>
  <c r="AQ58" i="5"/>
  <c r="AX57" i="5"/>
  <c r="AU20" i="5"/>
  <c r="CU44" i="5"/>
  <c r="AI11" i="5"/>
  <c r="AJ65" i="5"/>
  <c r="BD12" i="5"/>
  <c r="BD9" i="5" s="1"/>
  <c r="BC9" i="5"/>
  <c r="BC59" i="5" s="1"/>
  <c r="BC63" i="5" s="1"/>
  <c r="CL56" i="5"/>
  <c r="CJ17" i="5"/>
  <c r="CP17" i="5"/>
  <c r="CV17" i="5"/>
  <c r="BG20" i="5"/>
  <c r="AN28" i="5"/>
  <c r="AN12" i="5" s="1"/>
  <c r="AN64" i="5" s="1"/>
  <c r="AN76" i="5" s="1"/>
  <c r="CS44" i="5"/>
  <c r="AE52" i="5"/>
  <c r="AQ52" i="5"/>
  <c r="AW52" i="5"/>
  <c r="AX19" i="5"/>
  <c r="BJ19" i="5"/>
  <c r="CG44" i="5"/>
  <c r="CM44" i="5"/>
  <c r="G57" i="5"/>
  <c r="T57" i="5"/>
  <c r="AM12" i="5"/>
  <c r="AM64" i="5" s="1"/>
  <c r="AM66" i="5" s="1"/>
  <c r="CG47" i="5"/>
  <c r="AR19" i="5"/>
  <c r="BD19" i="5"/>
  <c r="BP19" i="5"/>
  <c r="CL85" i="5"/>
  <c r="BI20" i="5"/>
  <c r="G20" i="5"/>
  <c r="AG65" i="5"/>
  <c r="CR7" i="5"/>
  <c r="D68" i="5"/>
  <c r="AN68" i="5"/>
  <c r="CR18" i="5"/>
  <c r="W20" i="5"/>
  <c r="CL47" i="5"/>
  <c r="AD52" i="5"/>
  <c r="AJ52" i="5"/>
  <c r="AP52" i="5"/>
  <c r="AV52" i="5"/>
  <c r="BA52" i="5"/>
  <c r="C57" i="5"/>
  <c r="I57" i="5"/>
  <c r="O57" i="5"/>
  <c r="U57" i="5"/>
  <c r="AA57" i="5"/>
  <c r="AG57" i="5"/>
  <c r="AM57" i="5"/>
  <c r="AS57" i="5"/>
  <c r="AY57" i="5"/>
  <c r="BE57" i="5"/>
  <c r="BK57" i="5"/>
  <c r="BQ57" i="5"/>
  <c r="AB76" i="5"/>
  <c r="AH76" i="5"/>
  <c r="CO85" i="5"/>
  <c r="BQ19" i="5"/>
  <c r="C19" i="5"/>
  <c r="Y20" i="5"/>
  <c r="AE53" i="5"/>
  <c r="AE11" i="5"/>
  <c r="AG19" i="5"/>
  <c r="AO20" i="5"/>
  <c r="AW47" i="5"/>
  <c r="BO47" i="5"/>
  <c r="AK53" i="5"/>
  <c r="AQ53" i="5"/>
  <c r="Q58" i="5"/>
  <c r="AQ57" i="5"/>
  <c r="AS19" i="5"/>
  <c r="BC47" i="5"/>
  <c r="CN7" i="5"/>
  <c r="CT7" i="5"/>
  <c r="AG11" i="5"/>
  <c r="AE20" i="5"/>
  <c r="AW20" i="5"/>
  <c r="BC20" i="5"/>
  <c r="BO20" i="5"/>
  <c r="AM19" i="5"/>
  <c r="AQ20" i="5"/>
  <c r="BA76" i="5"/>
  <c r="CI44" i="5"/>
  <c r="AX47" i="5"/>
  <c r="BD47" i="5"/>
  <c r="BJ47" i="5"/>
  <c r="BP47" i="5"/>
  <c r="CI47" i="5"/>
  <c r="AW53" i="5"/>
  <c r="R58" i="5"/>
  <c r="AJ58" i="5"/>
  <c r="BB58" i="5"/>
  <c r="BK46" i="5"/>
  <c r="AU52" i="5"/>
  <c r="CQ17" i="5"/>
  <c r="BL46" i="5"/>
  <c r="BI47" i="5"/>
  <c r="G58" i="5"/>
  <c r="AE65" i="5"/>
  <c r="AE76" i="5"/>
  <c r="AM93" i="5"/>
  <c r="AM94" i="5" s="1"/>
  <c r="CG17" i="5"/>
  <c r="I19" i="5"/>
  <c r="K20" i="5"/>
  <c r="AC20" i="5"/>
  <c r="BM20" i="5"/>
  <c r="AG34" i="5"/>
  <c r="AG31" i="5" s="1"/>
  <c r="AT47" i="5"/>
  <c r="AZ47" i="5"/>
  <c r="BF47" i="5"/>
  <c r="BL47" i="5"/>
  <c r="BR47" i="5"/>
  <c r="AR46" i="5"/>
  <c r="BD46" i="5"/>
  <c r="BP46" i="5"/>
  <c r="AK52" i="5"/>
  <c r="Y57" i="5"/>
  <c r="AJ94" i="5"/>
  <c r="CK17" i="5"/>
  <c r="AE10" i="5"/>
  <c r="AK11" i="5"/>
  <c r="O19" i="5"/>
  <c r="AY19" i="5"/>
  <c r="M20" i="5"/>
  <c r="AS46" i="5"/>
  <c r="BE46" i="5"/>
  <c r="BQ46" i="5"/>
  <c r="AC52" i="5"/>
  <c r="AO52" i="5"/>
  <c r="AK54" i="5"/>
  <c r="AP86" i="5"/>
  <c r="AK94" i="5"/>
  <c r="CW17" i="5"/>
  <c r="CL9" i="5"/>
  <c r="AK10" i="5"/>
  <c r="CI67" i="5"/>
  <c r="U19" i="5"/>
  <c r="BE19" i="5"/>
  <c r="Q20" i="5"/>
  <c r="AI20" i="5"/>
  <c r="BA20" i="5"/>
  <c r="CO44" i="5"/>
  <c r="AV47" i="5"/>
  <c r="BN47" i="5"/>
  <c r="CM47" i="5"/>
  <c r="BF46" i="5"/>
  <c r="CJ47" i="5"/>
  <c r="CM56" i="5"/>
  <c r="AK58" i="5"/>
  <c r="BI58" i="5"/>
  <c r="BI57" i="5"/>
  <c r="AI58" i="5"/>
  <c r="CN85" i="5"/>
  <c r="CO87" i="5" s="1"/>
  <c r="AY46" i="5"/>
  <c r="AU1" i="5"/>
  <c r="CU7" i="5"/>
  <c r="AS20" i="5"/>
  <c r="AY20" i="5"/>
  <c r="BE20" i="5"/>
  <c r="BK20" i="5"/>
  <c r="BQ20" i="5"/>
  <c r="AA19" i="5"/>
  <c r="BK19" i="5"/>
  <c r="S20" i="5"/>
  <c r="AK20" i="5"/>
  <c r="BO46" i="5"/>
  <c r="AX46" i="5"/>
  <c r="BJ46" i="5"/>
  <c r="AH66" i="5"/>
  <c r="BS111" i="4"/>
  <c r="BQ111" i="4"/>
  <c r="CU111" i="4"/>
  <c r="BN110" i="4"/>
  <c r="BR111" i="4"/>
  <c r="BP110" i="4"/>
  <c r="BO110" i="4"/>
  <c r="BB12" i="4"/>
  <c r="BK37" i="4"/>
  <c r="BK98" i="4" s="1"/>
  <c r="L12" i="4"/>
  <c r="T11" i="4"/>
  <c r="AR11" i="4"/>
  <c r="BJ11" i="4"/>
  <c r="CB11" i="4"/>
  <c r="BY80" i="4"/>
  <c r="BZ80" i="4" s="1"/>
  <c r="V12" i="4"/>
  <c r="AH12" i="4"/>
  <c r="AN12" i="4"/>
  <c r="AZ12" i="4"/>
  <c r="BF12" i="4"/>
  <c r="BX12" i="4"/>
  <c r="R12" i="4"/>
  <c r="AV12" i="4"/>
  <c r="AG17" i="4"/>
  <c r="Z11" i="4"/>
  <c r="BD11" i="4"/>
  <c r="BV11" i="4"/>
  <c r="CF10" i="4"/>
  <c r="BN12" i="4"/>
  <c r="I11" i="4"/>
  <c r="U11" i="4"/>
  <c r="AG11" i="4"/>
  <c r="AS11" i="4"/>
  <c r="BE11" i="4"/>
  <c r="BQ11" i="4"/>
  <c r="CC11" i="4"/>
  <c r="H11" i="4"/>
  <c r="AL11" i="4"/>
  <c r="C11" i="4"/>
  <c r="O11" i="4"/>
  <c r="AA11" i="4"/>
  <c r="AM11" i="4"/>
  <c r="AY11" i="4"/>
  <c r="BK11" i="4"/>
  <c r="BW11" i="4"/>
  <c r="F12" i="4"/>
  <c r="X12" i="4"/>
  <c r="AD12" i="4"/>
  <c r="AJ12" i="4"/>
  <c r="AP12" i="4"/>
  <c r="BH12" i="4"/>
  <c r="BT12" i="4"/>
  <c r="BZ12" i="4"/>
  <c r="BK101" i="4"/>
  <c r="BK24" i="4" s="1"/>
  <c r="P11" i="4"/>
  <c r="AZ11" i="4"/>
  <c r="BL21" i="4"/>
  <c r="BM21" i="4" s="1"/>
  <c r="BR11" i="4"/>
  <c r="BK22" i="4"/>
  <c r="BJ35" i="4"/>
  <c r="BR58" i="4"/>
  <c r="BS58" i="4" s="1"/>
  <c r="BT58" i="4" s="1"/>
  <c r="CU59" i="4"/>
  <c r="D11" i="4"/>
  <c r="AH11" i="4"/>
  <c r="BZ76" i="4"/>
  <c r="CA76" i="4" s="1"/>
  <c r="CJ10" i="4"/>
  <c r="CJ18" i="4" s="1"/>
  <c r="V11" i="4"/>
  <c r="BR12" i="4"/>
  <c r="BX11" i="4"/>
  <c r="CU43" i="4"/>
  <c r="BR43" i="4"/>
  <c r="BS43" i="4" s="1"/>
  <c r="CV10" i="4"/>
  <c r="CP10" i="4"/>
  <c r="BF11" i="4"/>
  <c r="BM25" i="4"/>
  <c r="BN25" i="4" s="1"/>
  <c r="BO25" i="4" s="1"/>
  <c r="BP25" i="4" s="1"/>
  <c r="CL10" i="4"/>
  <c r="CR10" i="4"/>
  <c r="P12" i="4"/>
  <c r="BQ60" i="4"/>
  <c r="CX10" i="4"/>
  <c r="CG10" i="4"/>
  <c r="CM10" i="4"/>
  <c r="CS10" i="4"/>
  <c r="CS12" i="4" s="1"/>
  <c r="J12" i="4"/>
  <c r="J11" i="4"/>
  <c r="AB12" i="4"/>
  <c r="AB11" i="4"/>
  <c r="AT12" i="4"/>
  <c r="AT11" i="4"/>
  <c r="BL12" i="4"/>
  <c r="BL11" i="4"/>
  <c r="AN11" i="4"/>
  <c r="AH18" i="4"/>
  <c r="AN18" i="4"/>
  <c r="G11" i="4"/>
  <c r="M11" i="4"/>
  <c r="S11" i="4"/>
  <c r="Y11" i="4"/>
  <c r="AE11" i="4"/>
  <c r="AK11" i="4"/>
  <c r="AQ11" i="4"/>
  <c r="AW11" i="4"/>
  <c r="BC11" i="4"/>
  <c r="BI11" i="4"/>
  <c r="BO11" i="4"/>
  <c r="BU11" i="4"/>
  <c r="CA11" i="4"/>
  <c r="AK18" i="4"/>
  <c r="AQ18" i="4"/>
  <c r="BU70" i="4"/>
  <c r="H12" i="4"/>
  <c r="N12" i="4"/>
  <c r="T12" i="4"/>
  <c r="Z12" i="4"/>
  <c r="AF12" i="4"/>
  <c r="AL12" i="4"/>
  <c r="AR12" i="4"/>
  <c r="AX12" i="4"/>
  <c r="BD12" i="4"/>
  <c r="BJ12" i="4"/>
  <c r="BP12" i="4"/>
  <c r="BV12" i="4"/>
  <c r="CB12" i="4"/>
  <c r="N11" i="4"/>
  <c r="AF11" i="4"/>
  <c r="AX11" i="4"/>
  <c r="BP11" i="4"/>
  <c r="AR18" i="4"/>
  <c r="DM28" i="3"/>
  <c r="AT35" i="2"/>
  <c r="BR35" i="2"/>
  <c r="Z39" i="3"/>
  <c r="DV39" i="3"/>
  <c r="AI104" i="3"/>
  <c r="AJ104" i="3" s="1"/>
  <c r="BX35" i="2"/>
  <c r="AK8" i="2"/>
  <c r="DB30" i="3"/>
  <c r="BK135" i="3"/>
  <c r="BM135" i="3" s="1"/>
  <c r="BN135" i="3" s="1"/>
  <c r="D8" i="2"/>
  <c r="D15" i="2" s="1"/>
  <c r="D18" i="2" s="1"/>
  <c r="F8" i="2"/>
  <c r="F70" i="2" s="1"/>
  <c r="BQ8" i="2"/>
  <c r="AF35" i="2"/>
  <c r="AZ35" i="2"/>
  <c r="CJ35" i="2"/>
  <c r="CN37" i="2" s="1"/>
  <c r="DC28" i="3"/>
  <c r="DS28" i="3"/>
  <c r="DZ28" i="3"/>
  <c r="EH28" i="3"/>
  <c r="CG20" i="3"/>
  <c r="DL42" i="3"/>
  <c r="DJ62" i="2"/>
  <c r="CB84" i="3"/>
  <c r="CC84" i="3" s="1"/>
  <c r="AV63" i="3"/>
  <c r="AV74" i="3" s="1"/>
  <c r="AV86" i="3" s="1"/>
  <c r="DC93" i="3"/>
  <c r="DC100" i="3" s="1"/>
  <c r="DC104" i="3" s="1"/>
  <c r="CG35" i="2"/>
  <c r="DV19" i="3"/>
  <c r="N8" i="2"/>
  <c r="N10" i="2" s="1"/>
  <c r="AR8" i="2"/>
  <c r="AR15" i="2" s="1"/>
  <c r="BL30" i="2"/>
  <c r="AT20" i="3"/>
  <c r="CP28" i="3"/>
  <c r="DG34" i="3"/>
  <c r="EK34" i="3"/>
  <c r="EK42" i="3"/>
  <c r="DI62" i="2"/>
  <c r="CK35" i="2"/>
  <c r="AH8" i="2"/>
  <c r="AY11" i="2"/>
  <c r="AY14" i="2" s="1"/>
  <c r="BD8" i="2"/>
  <c r="BD15" i="2" s="1"/>
  <c r="CT8" i="2"/>
  <c r="CT15" i="2" s="1"/>
  <c r="S11" i="2"/>
  <c r="BN35" i="2"/>
  <c r="CQ35" i="2"/>
  <c r="AZ10" i="3"/>
  <c r="AZ71" i="3" s="1"/>
  <c r="CZ13" i="3"/>
  <c r="CZ14" i="3" s="1"/>
  <c r="EL148" i="3"/>
  <c r="AX211" i="3"/>
  <c r="AS229" i="3"/>
  <c r="W11" i="2"/>
  <c r="AV10" i="3"/>
  <c r="AV71" i="3" s="1"/>
  <c r="BA35" i="2"/>
  <c r="DT35" i="2" s="1"/>
  <c r="CB13" i="3"/>
  <c r="CB14" i="3" s="1"/>
  <c r="DL17" i="3"/>
  <c r="DL18" i="3" s="1"/>
  <c r="BI5" i="2"/>
  <c r="BI6" i="2" s="1"/>
  <c r="U18" i="3"/>
  <c r="DL39" i="3"/>
  <c r="DQ120" i="3"/>
  <c r="CG30" i="2"/>
  <c r="CG31" i="2" s="1"/>
  <c r="AU35" i="2"/>
  <c r="BY35" i="2"/>
  <c r="CR7" i="3"/>
  <c r="CR9" i="3" s="1"/>
  <c r="DC13" i="3"/>
  <c r="DC14" i="3" s="1"/>
  <c r="AY17" i="3"/>
  <c r="AY18" i="3" s="1"/>
  <c r="CV18" i="3"/>
  <c r="DP28" i="3"/>
  <c r="EL28" i="3"/>
  <c r="BS28" i="3"/>
  <c r="DQ39" i="3"/>
  <c r="AE72" i="3"/>
  <c r="AT72" i="3"/>
  <c r="DI100" i="3"/>
  <c r="DI104" i="3" s="1"/>
  <c r="AP100" i="3"/>
  <c r="AP104" i="3" s="1"/>
  <c r="AW116" i="3"/>
  <c r="AW11" i="3" s="1"/>
  <c r="AW10" i="3" s="1"/>
  <c r="BS116" i="3"/>
  <c r="EA120" i="3"/>
  <c r="EA135" i="3"/>
  <c r="CI136" i="3"/>
  <c r="AX215" i="3"/>
  <c r="AM35" i="2"/>
  <c r="CO18" i="3"/>
  <c r="ED13" i="3"/>
  <c r="ED22" i="3" s="1"/>
  <c r="CA18" i="3"/>
  <c r="DE18" i="3"/>
  <c r="DA28" i="3"/>
  <c r="DQ26" i="3"/>
  <c r="EE28" i="3"/>
  <c r="AS42" i="3"/>
  <c r="AT42" i="3" s="1"/>
  <c r="AU86" i="3"/>
  <c r="CQ66" i="3"/>
  <c r="AN84" i="3"/>
  <c r="AO84" i="3" s="1"/>
  <c r="CS136" i="3"/>
  <c r="CS148" i="3"/>
  <c r="AK187" i="3"/>
  <c r="CV9" i="3"/>
  <c r="AT8" i="2"/>
  <c r="EF42" i="3"/>
  <c r="AZ97" i="3"/>
  <c r="BA97" i="3" s="1"/>
  <c r="BB97" i="3" s="1"/>
  <c r="BC97" i="3" s="1"/>
  <c r="AQ135" i="3"/>
  <c r="AR135" i="3" s="1"/>
  <c r="CE35" i="2"/>
  <c r="CE36" i="2" s="1"/>
  <c r="DQ27" i="3"/>
  <c r="CH39" i="3"/>
  <c r="AL8" i="2"/>
  <c r="BF8" i="2"/>
  <c r="CM8" i="2"/>
  <c r="CM15" i="2" s="1"/>
  <c r="BS35" i="2"/>
  <c r="BT36" i="2" s="1"/>
  <c r="AM8" i="2"/>
  <c r="BM8" i="2"/>
  <c r="CN8" i="2"/>
  <c r="O11" i="2"/>
  <c r="AI35" i="2"/>
  <c r="AI36" i="2" s="1"/>
  <c r="CP35" i="2"/>
  <c r="CP38" i="2" s="1"/>
  <c r="CQ9" i="3"/>
  <c r="Q10" i="3"/>
  <c r="Q13" i="3" s="1"/>
  <c r="CM19" i="3"/>
  <c r="EB28" i="3"/>
  <c r="EI28" i="3"/>
  <c r="CW30" i="3"/>
  <c r="DB41" i="3"/>
  <c r="AR74" i="3"/>
  <c r="AR86" i="3" s="1"/>
  <c r="CJ18" i="3"/>
  <c r="BC35" i="2"/>
  <c r="CD20" i="3"/>
  <c r="CH19" i="3"/>
  <c r="CH20" i="3" s="1"/>
  <c r="Y30" i="2"/>
  <c r="Y33" i="2" s="1"/>
  <c r="CP66" i="3"/>
  <c r="CP8" i="3"/>
  <c r="DM22" i="3"/>
  <c r="DV11" i="3"/>
  <c r="DS10" i="3"/>
  <c r="DS13" i="3" s="1"/>
  <c r="AK13" i="3"/>
  <c r="AK14" i="3" s="1"/>
  <c r="AJ18" i="3"/>
  <c r="CU28" i="3"/>
  <c r="CR39" i="3"/>
  <c r="CZ100" i="3"/>
  <c r="DM95" i="3"/>
  <c r="DN95" i="3" s="1"/>
  <c r="DO95" i="3" s="1"/>
  <c r="DP95" i="3" s="1"/>
  <c r="DQ95" i="3" s="1"/>
  <c r="DL95" i="3"/>
  <c r="ED136" i="3"/>
  <c r="EF136" i="3" s="1"/>
  <c r="EF135" i="3"/>
  <c r="EL136" i="3"/>
  <c r="EP135" i="3"/>
  <c r="DP148" i="3"/>
  <c r="AN74" i="3"/>
  <c r="AO74" i="3" s="1"/>
  <c r="AO72" i="3"/>
  <c r="AZ229" i="3"/>
  <c r="AZ218" i="3"/>
  <c r="AZ222" i="3" s="1"/>
  <c r="AZ231" i="3" s="1"/>
  <c r="AZ230" i="3" s="1"/>
  <c r="CN8" i="3"/>
  <c r="AD11" i="2"/>
  <c r="AD13" i="2" s="1"/>
  <c r="BE10" i="3"/>
  <c r="BO136" i="3"/>
  <c r="BP135" i="3"/>
  <c r="BQ135" i="3" s="1"/>
  <c r="BR135" i="3" s="1"/>
  <c r="V148" i="3"/>
  <c r="X255" i="3"/>
  <c r="X257" i="3"/>
  <c r="X218" i="3" s="1"/>
  <c r="X183" i="3"/>
  <c r="X182" i="3" s="1"/>
  <c r="AX30" i="2"/>
  <c r="BZ35" i="2"/>
  <c r="CF35" i="2"/>
  <c r="CJ37" i="2" s="1"/>
  <c r="CL35" i="2"/>
  <c r="CP37" i="2" s="1"/>
  <c r="CR35" i="2"/>
  <c r="CR36" i="2" s="1"/>
  <c r="CN9" i="3"/>
  <c r="DN10" i="3"/>
  <c r="DN71" i="3" s="1"/>
  <c r="DW71" i="3"/>
  <c r="CH8" i="2"/>
  <c r="CH10" i="2" s="1"/>
  <c r="BK18" i="3"/>
  <c r="DB27" i="3"/>
  <c r="EA27" i="3"/>
  <c r="EK27" i="3"/>
  <c r="Q27" i="3"/>
  <c r="U28" i="3"/>
  <c r="EA42" i="3"/>
  <c r="AI84" i="3"/>
  <c r="AJ84" i="3" s="1"/>
  <c r="AJ83" i="3"/>
  <c r="DA93" i="3"/>
  <c r="BB144" i="3"/>
  <c r="BC144" i="3" s="1"/>
  <c r="BD144" i="3" s="1"/>
  <c r="AS36" i="2"/>
  <c r="CQ18" i="3"/>
  <c r="BI35" i="2"/>
  <c r="BI37" i="2" s="1"/>
  <c r="CY18" i="3"/>
  <c r="BO35" i="2"/>
  <c r="BS9" i="3"/>
  <c r="CD63" i="3"/>
  <c r="CD74" i="3" s="1"/>
  <c r="EF120" i="3"/>
  <c r="BF5" i="2"/>
  <c r="BF38" i="2" s="1"/>
  <c r="BG5" i="2"/>
  <c r="BK8" i="2"/>
  <c r="AS21" i="2"/>
  <c r="AS25" i="2" s="1"/>
  <c r="EA20" i="3"/>
  <c r="CH17" i="3"/>
  <c r="CH18" i="3" s="1"/>
  <c r="BU18" i="3"/>
  <c r="CE30" i="2"/>
  <c r="DS20" i="3"/>
  <c r="CV20" i="3"/>
  <c r="BN34" i="3"/>
  <c r="BN39" i="3"/>
  <c r="CM39" i="3"/>
  <c r="DH62" i="2"/>
  <c r="AM100" i="3"/>
  <c r="AM104" i="3" s="1"/>
  <c r="BP136" i="3"/>
  <c r="EK146" i="3"/>
  <c r="EG148" i="3"/>
  <c r="EK148" i="3" s="1"/>
  <c r="M148" i="3"/>
  <c r="AX210" i="3"/>
  <c r="AX207" i="3"/>
  <c r="CJ116" i="3"/>
  <c r="CK116" i="3" s="1"/>
  <c r="CL116" i="3" s="1"/>
  <c r="BC11" i="2"/>
  <c r="BD12" i="2" s="1"/>
  <c r="CD18" i="3"/>
  <c r="CX20" i="3"/>
  <c r="BN30" i="2"/>
  <c r="DQ11" i="3"/>
  <c r="CT9" i="3"/>
  <c r="BW71" i="3"/>
  <c r="AS8" i="2"/>
  <c r="AW10" i="2" s="1"/>
  <c r="CB18" i="3"/>
  <c r="AW35" i="2"/>
  <c r="CM17" i="3"/>
  <c r="CI18" i="3"/>
  <c r="CR19" i="3"/>
  <c r="CR20" i="3" s="1"/>
  <c r="W27" i="3"/>
  <c r="DL62" i="2"/>
  <c r="EM148" i="3"/>
  <c r="CJ146" i="3"/>
  <c r="CK146" i="3" s="1"/>
  <c r="CL146" i="3" s="1"/>
  <c r="AH208" i="3"/>
  <c r="AH210" i="3" s="1"/>
  <c r="BC211" i="3"/>
  <c r="P116" i="3"/>
  <c r="AB136" i="3"/>
  <c r="AF136" i="3"/>
  <c r="BC200" i="3"/>
  <c r="BO13" i="3"/>
  <c r="BO22" i="3" s="1"/>
  <c r="BO23" i="3" s="1"/>
  <c r="CQ20" i="3"/>
  <c r="DL20" i="3"/>
  <c r="AO42" i="3"/>
  <c r="AG86" i="3"/>
  <c r="AH100" i="3"/>
  <c r="AH104" i="3" s="1"/>
  <c r="BS117" i="3"/>
  <c r="CF136" i="3"/>
  <c r="EK135" i="3"/>
  <c r="EU144" i="3"/>
  <c r="EF146" i="3"/>
  <c r="AR189" i="3"/>
  <c r="AR176" i="3" s="1"/>
  <c r="AR250" i="3" s="1"/>
  <c r="AX225" i="3"/>
  <c r="AA36" i="2"/>
  <c r="BQ36" i="2"/>
  <c r="CO36" i="2"/>
  <c r="Z9" i="3"/>
  <c r="BD9" i="3"/>
  <c r="DV9" i="3"/>
  <c r="BY13" i="3"/>
  <c r="BY14" i="3" s="1"/>
  <c r="K18" i="3"/>
  <c r="AO18" i="3"/>
  <c r="BI17" i="3"/>
  <c r="BI18" i="3" s="1"/>
  <c r="K20" i="3"/>
  <c r="BS20" i="3"/>
  <c r="CW19" i="3"/>
  <c r="CW20" i="3" s="1"/>
  <c r="DN28" i="3"/>
  <c r="EJ28" i="3"/>
  <c r="AB27" i="3"/>
  <c r="CW39" i="3"/>
  <c r="EF39" i="3"/>
  <c r="BW74" i="3"/>
  <c r="BX74" i="3" s="1"/>
  <c r="BC84" i="3"/>
  <c r="CZ84" i="3"/>
  <c r="DV120" i="3"/>
  <c r="EK120" i="3"/>
  <c r="CG127" i="3"/>
  <c r="CH127" i="3" s="1"/>
  <c r="CJ136" i="3"/>
  <c r="EP39" i="3"/>
  <c r="DK62" i="2"/>
  <c r="AS221" i="3"/>
  <c r="AC170" i="3"/>
  <c r="AC253" i="3" s="1"/>
  <c r="BC116" i="3"/>
  <c r="BB11" i="3"/>
  <c r="BB10" i="3" s="1"/>
  <c r="BB71" i="3" s="1"/>
  <c r="CF8" i="2"/>
  <c r="CF15" i="2" s="1"/>
  <c r="CF40" i="2" s="1"/>
  <c r="CF44" i="2" s="1"/>
  <c r="BE82" i="3"/>
  <c r="BE84" i="3" s="1"/>
  <c r="EP98" i="3"/>
  <c r="AH135" i="3"/>
  <c r="AI135" i="3" s="1"/>
  <c r="AJ135" i="3" s="1"/>
  <c r="AR142" i="3"/>
  <c r="AS142" i="3" s="1"/>
  <c r="AT142" i="3" s="1"/>
  <c r="W183" i="3"/>
  <c r="W187" i="3" s="1"/>
  <c r="BX62" i="3"/>
  <c r="AN8" i="2"/>
  <c r="BO8" i="2"/>
  <c r="BN10" i="3"/>
  <c r="BA11" i="3"/>
  <c r="CK13" i="3"/>
  <c r="CK22" i="3" s="1"/>
  <c r="CK23" i="3" s="1"/>
  <c r="DT13" i="3"/>
  <c r="DT22" i="3" s="1"/>
  <c r="DT32" i="3" s="1"/>
  <c r="H14" i="3"/>
  <c r="CC28" i="3"/>
  <c r="CH63" i="3"/>
  <c r="CY148" i="3"/>
  <c r="DQ144" i="3"/>
  <c r="AL170" i="3"/>
  <c r="AL169" i="3" s="1"/>
  <c r="AM187" i="3"/>
  <c r="AZ215" i="3"/>
  <c r="AF257" i="3"/>
  <c r="CW9" i="3"/>
  <c r="DN13" i="3"/>
  <c r="DN22" i="3" s="1"/>
  <c r="BJ63" i="3"/>
  <c r="BJ74" i="3" s="1"/>
  <c r="CG8" i="2"/>
  <c r="CG10" i="2" s="1"/>
  <c r="AX8" i="2"/>
  <c r="K9" i="3"/>
  <c r="AO20" i="3"/>
  <c r="AR11" i="3"/>
  <c r="CQ13" i="3"/>
  <c r="CQ14" i="3" s="1"/>
  <c r="DW13" i="3"/>
  <c r="DW22" i="3" s="1"/>
  <c r="DW23" i="3" s="1"/>
  <c r="Z20" i="3"/>
  <c r="C22" i="3"/>
  <c r="C56" i="3" s="1"/>
  <c r="AY28" i="3"/>
  <c r="CI63" i="3"/>
  <c r="CJ63" i="3" s="1"/>
  <c r="CK63" i="3" s="1"/>
  <c r="CL63" i="3" s="1"/>
  <c r="AO82" i="3"/>
  <c r="BA136" i="3"/>
  <c r="ES134" i="3"/>
  <c r="CZ144" i="3"/>
  <c r="DA144" i="3" s="1"/>
  <c r="AP170" i="3"/>
  <c r="AP169" i="3" s="1"/>
  <c r="BC193" i="3"/>
  <c r="BC192" i="3" s="1"/>
  <c r="BC168" i="3" s="1"/>
  <c r="BC167" i="3" s="1"/>
  <c r="BA229" i="3"/>
  <c r="EI13" i="3"/>
  <c r="BC210" i="3"/>
  <c r="BU10" i="3"/>
  <c r="BX10" i="3" s="1"/>
  <c r="EJ13" i="3"/>
  <c r="EJ22" i="3" s="1"/>
  <c r="EJ56" i="3" s="1"/>
  <c r="EJ107" i="3" s="1"/>
  <c r="AV100" i="3"/>
  <c r="AV104" i="3" s="1"/>
  <c r="AC134" i="3"/>
  <c r="AD134" i="3" s="1"/>
  <c r="AD158" i="3" s="1"/>
  <c r="I58" i="2" s="1"/>
  <c r="U136" i="3"/>
  <c r="AS143" i="3"/>
  <c r="AT143" i="3" s="1"/>
  <c r="AW8" i="2"/>
  <c r="AW15" i="2" s="1"/>
  <c r="BG8" i="2"/>
  <c r="BK10" i="2" s="1"/>
  <c r="BY8" i="2"/>
  <c r="BH8" i="2"/>
  <c r="BZ8" i="2"/>
  <c r="BZ15" i="2" s="1"/>
  <c r="BZ18" i="2" s="1"/>
  <c r="CR8" i="2"/>
  <c r="CR9" i="2" s="1"/>
  <c r="B8" i="2"/>
  <c r="I8" i="2"/>
  <c r="I10" i="2" s="1"/>
  <c r="W8" i="2"/>
  <c r="AJ8" i="2"/>
  <c r="AK9" i="2" s="1"/>
  <c r="BB8" i="2"/>
  <c r="BI8" i="2"/>
  <c r="BI10" i="2" s="1"/>
  <c r="CK8" i="2"/>
  <c r="CS8" i="2"/>
  <c r="CS10" i="2" s="1"/>
  <c r="X11" i="2"/>
  <c r="X14" i="2" s="1"/>
  <c r="AT9" i="3"/>
  <c r="BX9" i="3"/>
  <c r="AQ10" i="3"/>
  <c r="BJ13" i="3"/>
  <c r="BJ22" i="3" s="1"/>
  <c r="BJ56" i="3" s="1"/>
  <c r="CT13" i="3"/>
  <c r="DX13" i="3"/>
  <c r="DX22" i="3" s="1"/>
  <c r="DX56" i="3" s="1"/>
  <c r="DX107" i="3" s="1"/>
  <c r="EF20" i="3"/>
  <c r="I22" i="3"/>
  <c r="BL71" i="3"/>
  <c r="U93" i="3"/>
  <c r="BM116" i="3"/>
  <c r="BN116" i="3" s="1"/>
  <c r="AG148" i="3"/>
  <c r="DG145" i="3"/>
  <c r="AV170" i="3"/>
  <c r="AZ220" i="3"/>
  <c r="AS230" i="3"/>
  <c r="BT8" i="2"/>
  <c r="BT15" i="2" s="1"/>
  <c r="BT19" i="2" s="1"/>
  <c r="CL8" i="2"/>
  <c r="CL15" i="2" s="1"/>
  <c r="CL18" i="2" s="1"/>
  <c r="V13" i="3"/>
  <c r="CX100" i="3"/>
  <c r="CX104" i="3" s="1"/>
  <c r="EZ144" i="3"/>
  <c r="AF256" i="3"/>
  <c r="X244" i="3"/>
  <c r="X216" i="3"/>
  <c r="AW71" i="3"/>
  <c r="AW13" i="3"/>
  <c r="AW14" i="3" s="1"/>
  <c r="X8" i="2"/>
  <c r="BA222" i="3"/>
  <c r="BA231" i="3" s="1"/>
  <c r="BA230" i="3" s="1"/>
  <c r="BA215" i="3"/>
  <c r="EP72" i="3"/>
  <c r="EQ72" i="3"/>
  <c r="ER72" i="3" s="1"/>
  <c r="ES72" i="3" s="1"/>
  <c r="ET72" i="3" s="1"/>
  <c r="EU72" i="3" s="1"/>
  <c r="BS11" i="3"/>
  <c r="BR10" i="3"/>
  <c r="BS10" i="3" s="1"/>
  <c r="AO11" i="2"/>
  <c r="AP12" i="2" s="1"/>
  <c r="DF123" i="3"/>
  <c r="DG123" i="3" s="1"/>
  <c r="AW134" i="3"/>
  <c r="AX134" i="3" s="1"/>
  <c r="BG134" i="3"/>
  <c r="BH134" i="3" s="1"/>
  <c r="AM211" i="3"/>
  <c r="AK229" i="3"/>
  <c r="AK230" i="3"/>
  <c r="AS237" i="3"/>
  <c r="CH9" i="3"/>
  <c r="F18" i="3"/>
  <c r="DB9" i="3"/>
  <c r="EF9" i="3"/>
  <c r="CJ10" i="3"/>
  <c r="CM10" i="3" s="1"/>
  <c r="Y13" i="3"/>
  <c r="Y14" i="3" s="1"/>
  <c r="BF13" i="3"/>
  <c r="BF22" i="3" s="1"/>
  <c r="BP13" i="3"/>
  <c r="CD13" i="3"/>
  <c r="CD14" i="3" s="1"/>
  <c r="CS13" i="3"/>
  <c r="CS15" i="3" s="1"/>
  <c r="DE13" i="3"/>
  <c r="DO13" i="3"/>
  <c r="DZ13" i="3"/>
  <c r="DZ14" i="3" s="1"/>
  <c r="EL13" i="3"/>
  <c r="EL14" i="3" s="1"/>
  <c r="H15" i="3"/>
  <c r="AT18" i="3"/>
  <c r="BN18" i="3"/>
  <c r="BN20" i="3"/>
  <c r="BG22" i="3"/>
  <c r="BG32" i="3" s="1"/>
  <c r="BG37" i="3" s="1"/>
  <c r="BO63" i="3"/>
  <c r="BO74" i="3" s="1"/>
  <c r="CI71" i="3"/>
  <c r="AC86" i="3"/>
  <c r="CB74" i="3"/>
  <c r="AP82" i="3"/>
  <c r="AP84" i="3" s="1"/>
  <c r="AP86" i="3" s="1"/>
  <c r="BL84" i="3"/>
  <c r="BM82" i="3"/>
  <c r="BM84" i="3" s="1"/>
  <c r="CF117" i="3"/>
  <c r="CG117" i="3" s="1"/>
  <c r="DL117" i="3"/>
  <c r="AM127" i="3"/>
  <c r="AN127" i="3" s="1"/>
  <c r="AO127" i="3" s="1"/>
  <c r="AW128" i="3"/>
  <c r="AX128" i="3" s="1"/>
  <c r="AY128" i="3" s="1"/>
  <c r="AP189" i="3"/>
  <c r="AP176" i="3" s="1"/>
  <c r="AP250" i="3" s="1"/>
  <c r="AN227" i="3"/>
  <c r="AL228" i="3"/>
  <c r="AA257" i="3"/>
  <c r="AA255" i="3"/>
  <c r="AI244" i="3"/>
  <c r="CD82" i="3"/>
  <c r="CE82" i="3" s="1"/>
  <c r="CC82" i="3"/>
  <c r="X117" i="3"/>
  <c r="Y117" i="3" s="1"/>
  <c r="X6" i="2"/>
  <c r="BJ8" i="2"/>
  <c r="BJ10" i="2" s="1"/>
  <c r="BP8" i="2"/>
  <c r="BV8" i="2"/>
  <c r="CB8" i="2"/>
  <c r="AL10" i="3"/>
  <c r="CR10" i="3"/>
  <c r="DF13" i="3"/>
  <c r="DF22" i="3" s="1"/>
  <c r="DR13" i="3"/>
  <c r="EC13" i="3"/>
  <c r="EC22" i="3" s="1"/>
  <c r="EC23" i="3" s="1"/>
  <c r="EM13" i="3"/>
  <c r="U27" i="3"/>
  <c r="AO28" i="3"/>
  <c r="BI28" i="3"/>
  <c r="AW34" i="3"/>
  <c r="AM84" i="3"/>
  <c r="AM86" i="3" s="1"/>
  <c r="DF100" i="3"/>
  <c r="DF104" i="3" s="1"/>
  <c r="DG104" i="3" s="1"/>
  <c r="DG93" i="3"/>
  <c r="BK136" i="3"/>
  <c r="BM134" i="3"/>
  <c r="EW136" i="3"/>
  <c r="CC155" i="3"/>
  <c r="BC237" i="3"/>
  <c r="AB244" i="3"/>
  <c r="AH257" i="3"/>
  <c r="AH77" i="3"/>
  <c r="AH76" i="3" s="1"/>
  <c r="AF76" i="3"/>
  <c r="CB93" i="3"/>
  <c r="CC93" i="3" s="1"/>
  <c r="CC88" i="3"/>
  <c r="CO8" i="2"/>
  <c r="CO10" i="2" s="1"/>
  <c r="CV13" i="3"/>
  <c r="CV22" i="3" s="1"/>
  <c r="DH13" i="3"/>
  <c r="B14" i="3"/>
  <c r="ED14" i="3"/>
  <c r="Z18" i="3"/>
  <c r="CM18" i="3"/>
  <c r="BX20" i="3"/>
  <c r="CM20" i="3"/>
  <c r="AT28" i="3"/>
  <c r="BD28" i="3"/>
  <c r="BX28" i="3"/>
  <c r="AF86" i="3"/>
  <c r="AD142" i="3"/>
  <c r="AE142" i="3" s="1"/>
  <c r="BQ146" i="3"/>
  <c r="BR146" i="3" s="1"/>
  <c r="AU182" i="3"/>
  <c r="AU187" i="3"/>
  <c r="AI218" i="3"/>
  <c r="AI256" i="3" s="1"/>
  <c r="AH215" i="3"/>
  <c r="AH255" i="3"/>
  <c r="CI8" i="2"/>
  <c r="CI15" i="2" s="1"/>
  <c r="CI40" i="2" s="1"/>
  <c r="CU8" i="2"/>
  <c r="AQ11" i="2"/>
  <c r="AI8" i="2"/>
  <c r="AI15" i="2" s="1"/>
  <c r="BL8" i="2"/>
  <c r="BR8" i="2"/>
  <c r="CD8" i="2"/>
  <c r="CD9" i="2" s="1"/>
  <c r="CJ8" i="2"/>
  <c r="CP8" i="2"/>
  <c r="DQ9" i="3"/>
  <c r="AO9" i="3"/>
  <c r="EA9" i="3"/>
  <c r="BV13" i="3"/>
  <c r="CN13" i="3"/>
  <c r="CY13" i="3"/>
  <c r="CY14" i="3" s="1"/>
  <c r="DI13" i="3"/>
  <c r="DU13" i="3"/>
  <c r="EG13" i="3"/>
  <c r="BD18" i="3"/>
  <c r="U20" i="3"/>
  <c r="AY20" i="3"/>
  <c r="B22" i="3"/>
  <c r="BY63" i="3"/>
  <c r="BY74" i="3" s="1"/>
  <c r="T86" i="3"/>
  <c r="U86" i="3" s="1"/>
  <c r="U74" i="3"/>
  <c r="BX82" i="3"/>
  <c r="AX93" i="3"/>
  <c r="AY93" i="3" s="1"/>
  <c r="AZ91" i="3"/>
  <c r="BA91" i="3" s="1"/>
  <c r="AY91" i="3"/>
  <c r="AN100" i="3"/>
  <c r="AN104" i="3" s="1"/>
  <c r="AO93" i="3"/>
  <c r="DL116" i="3"/>
  <c r="BM123" i="3"/>
  <c r="BN123" i="3" s="1"/>
  <c r="AW124" i="3"/>
  <c r="AX124" i="3" s="1"/>
  <c r="AY124" i="3" s="1"/>
  <c r="DJ127" i="3"/>
  <c r="DL127" i="3" s="1"/>
  <c r="BX134" i="3"/>
  <c r="CK134" i="3"/>
  <c r="AE135" i="3"/>
  <c r="EN143" i="3"/>
  <c r="EO143" i="3" s="1"/>
  <c r="EP143" i="3" s="1"/>
  <c r="DJ148" i="3"/>
  <c r="AV189" i="3"/>
  <c r="AV176" i="3" s="1"/>
  <c r="AV250" i="3" s="1"/>
  <c r="AV182" i="3"/>
  <c r="M13" i="3"/>
  <c r="BM13" i="3"/>
  <c r="CP13" i="3"/>
  <c r="CP14" i="3" s="1"/>
  <c r="DK13" i="3"/>
  <c r="DK22" i="3" s="1"/>
  <c r="DK23" i="3" s="1"/>
  <c r="AY42" i="3"/>
  <c r="EP83" i="3"/>
  <c r="EQ83" i="3"/>
  <c r="ER83" i="3" s="1"/>
  <c r="ES83" i="3" s="1"/>
  <c r="ET83" i="3" s="1"/>
  <c r="EV83" i="3" s="1"/>
  <c r="EW83" i="3" s="1"/>
  <c r="EX83" i="3" s="1"/>
  <c r="EY83" i="3" s="1"/>
  <c r="EZ83" i="3" s="1"/>
  <c r="AH124" i="3"/>
  <c r="AI124" i="3" s="1"/>
  <c r="AJ124" i="3" s="1"/>
  <c r="AH126" i="3"/>
  <c r="AI126" i="3" s="1"/>
  <c r="AJ126" i="3" s="1"/>
  <c r="BC127" i="3"/>
  <c r="BD127" i="3" s="1"/>
  <c r="EA136" i="3"/>
  <c r="AZ183" i="3"/>
  <c r="AZ189" i="3" s="1"/>
  <c r="AZ176" i="3" s="1"/>
  <c r="AL210" i="3"/>
  <c r="AL207" i="3"/>
  <c r="AW86" i="3"/>
  <c r="DJ93" i="3"/>
  <c r="DJ100" i="3" s="1"/>
  <c r="DJ104" i="3" s="1"/>
  <c r="AX116" i="3"/>
  <c r="AX11" i="3" s="1"/>
  <c r="AY11" i="3" s="1"/>
  <c r="AO120" i="3"/>
  <c r="AI123" i="3"/>
  <c r="AJ123" i="3" s="1"/>
  <c r="BM124" i="3"/>
  <c r="BN124" i="3" s="1"/>
  <c r="AX126" i="3"/>
  <c r="AY126" i="3" s="1"/>
  <c r="AG136" i="3"/>
  <c r="CU136" i="3"/>
  <c r="AL136" i="3"/>
  <c r="AC256" i="3"/>
  <c r="AK237" i="3"/>
  <c r="AQ86" i="3"/>
  <c r="AX117" i="3"/>
  <c r="AY117" i="3" s="1"/>
  <c r="AX123" i="3"/>
  <c r="AY123" i="3" s="1"/>
  <c r="AH134" i="3"/>
  <c r="AC254" i="3"/>
  <c r="AC187" i="3"/>
  <c r="AN237" i="3"/>
  <c r="BS106" i="2"/>
  <c r="BX271" i="2"/>
  <c r="J7" i="2"/>
  <c r="P7" i="2"/>
  <c r="AB7" i="2"/>
  <c r="AH7" i="2"/>
  <c r="AT7" i="2"/>
  <c r="AZ7" i="2"/>
  <c r="BR7" i="2"/>
  <c r="CJ7" i="2"/>
  <c r="CP7" i="2"/>
  <c r="V7" i="2"/>
  <c r="BY102" i="2"/>
  <c r="CI12" i="2"/>
  <c r="BY271" i="2"/>
  <c r="BX276" i="2"/>
  <c r="AI10" i="2"/>
  <c r="F32" i="2"/>
  <c r="N31" i="2"/>
  <c r="AL21" i="2"/>
  <c r="AL25" i="2" s="1"/>
  <c r="AL28" i="2" s="1"/>
  <c r="AX21" i="2"/>
  <c r="AX25" i="2" s="1"/>
  <c r="AX28" i="2" s="1"/>
  <c r="BJ21" i="2"/>
  <c r="BJ24" i="2" s="1"/>
  <c r="BZ32" i="2"/>
  <c r="CT21" i="2"/>
  <c r="CT24" i="2" s="1"/>
  <c r="BD65" i="2"/>
  <c r="BV65" i="2"/>
  <c r="BQ122" i="2"/>
  <c r="AP10" i="2"/>
  <c r="CQ10" i="2"/>
  <c r="I21" i="2"/>
  <c r="U21" i="2"/>
  <c r="BR122" i="2"/>
  <c r="BX252" i="2"/>
  <c r="CC12" i="2"/>
  <c r="H21" i="2"/>
  <c r="T21" i="2"/>
  <c r="AJ32" i="2"/>
  <c r="AR21" i="2"/>
  <c r="AR24" i="2" s="1"/>
  <c r="BD21" i="2"/>
  <c r="BD24" i="2" s="1"/>
  <c r="BP21" i="2"/>
  <c r="BP24" i="2" s="1"/>
  <c r="CH21" i="2"/>
  <c r="CH24" i="2" s="1"/>
  <c r="CB65" i="2"/>
  <c r="AL9" i="2"/>
  <c r="P32" i="2"/>
  <c r="V32" i="2"/>
  <c r="AB32" i="2"/>
  <c r="AN32" i="2"/>
  <c r="AT32" i="2"/>
  <c r="BF32" i="2"/>
  <c r="BX32" i="2"/>
  <c r="X37" i="2"/>
  <c r="BB65" i="2"/>
  <c r="BH65" i="2"/>
  <c r="BN65" i="2"/>
  <c r="BT65" i="2"/>
  <c r="BZ65" i="2"/>
  <c r="BX69" i="2"/>
  <c r="DX93" i="2"/>
  <c r="BX110" i="2"/>
  <c r="BK31" i="2"/>
  <c r="BR78" i="2"/>
  <c r="BW133" i="2"/>
  <c r="CR166" i="2"/>
  <c r="T23" i="6"/>
  <c r="L21" i="2"/>
  <c r="L24" i="2" s="1"/>
  <c r="AJ21" i="2"/>
  <c r="AJ24" i="2" s="1"/>
  <c r="CT36" i="2"/>
  <c r="BH69" i="2"/>
  <c r="T24" i="2"/>
  <c r="L6" i="2"/>
  <c r="BN6" i="2"/>
  <c r="BZ6" i="2"/>
  <c r="X21" i="2"/>
  <c r="X24" i="2" s="1"/>
  <c r="BH21" i="2"/>
  <c r="BH25" i="2" s="1"/>
  <c r="BN21" i="2"/>
  <c r="BN24" i="2" s="1"/>
  <c r="BZ21" i="2"/>
  <c r="BZ24" i="2" s="1"/>
  <c r="AJ37" i="2"/>
  <c r="BH37" i="2"/>
  <c r="L69" i="2"/>
  <c r="AS12" i="2"/>
  <c r="C36" i="2"/>
  <c r="AY36" i="2"/>
  <c r="CU36" i="2"/>
  <c r="E53" i="2"/>
  <c r="BU68" i="2"/>
  <c r="EE93" i="2"/>
  <c r="BR106" i="2"/>
  <c r="J12" i="2"/>
  <c r="AT12" i="2"/>
  <c r="E31" i="2"/>
  <c r="H68" i="2"/>
  <c r="N68" i="2"/>
  <c r="X69" i="2"/>
  <c r="AJ69" i="2"/>
  <c r="AL68" i="2"/>
  <c r="AV69" i="2"/>
  <c r="AX68" i="2"/>
  <c r="BD68" i="2"/>
  <c r="BJ68" i="2"/>
  <c r="BV68" i="2"/>
  <c r="CB68" i="2"/>
  <c r="BR102" i="2"/>
  <c r="CV159" i="2"/>
  <c r="BW122" i="2"/>
  <c r="BV159" i="2"/>
  <c r="DU255" i="2"/>
  <c r="BL288" i="2"/>
  <c r="D6" i="2"/>
  <c r="AM12" i="2"/>
  <c r="G68" i="2"/>
  <c r="S68" i="2"/>
  <c r="AK68" i="2"/>
  <c r="BC68" i="2"/>
  <c r="CA68" i="2"/>
  <c r="BW78" i="2"/>
  <c r="M68" i="2"/>
  <c r="AE68" i="2"/>
  <c r="AW68" i="2"/>
  <c r="BO68" i="2"/>
  <c r="BH15" i="2"/>
  <c r="BH19" i="2" s="1"/>
  <c r="BQ90" i="2"/>
  <c r="BU14" i="2"/>
  <c r="CS14" i="2"/>
  <c r="BE12" i="2"/>
  <c r="BK12" i="2"/>
  <c r="BQ12" i="2"/>
  <c r="BW12" i="2"/>
  <c r="CO12" i="2"/>
  <c r="CU12" i="2"/>
  <c r="J69" i="2"/>
  <c r="P69" i="2"/>
  <c r="V69" i="2"/>
  <c r="AH69" i="2"/>
  <c r="AN69" i="2"/>
  <c r="AT69" i="2"/>
  <c r="AZ69" i="2"/>
  <c r="BF69" i="2"/>
  <c r="BL69" i="2"/>
  <c r="BR69" i="2"/>
  <c r="BS118" i="2"/>
  <c r="Y68" i="2"/>
  <c r="AQ68" i="2"/>
  <c r="BI68" i="2"/>
  <c r="BY156" i="2"/>
  <c r="BW159" i="2"/>
  <c r="BY263" i="2"/>
  <c r="DV268" i="2"/>
  <c r="BM270" i="2"/>
  <c r="AF9" i="2"/>
  <c r="AX13" i="2"/>
  <c r="M36" i="2"/>
  <c r="S36" i="2"/>
  <c r="Y36" i="2"/>
  <c r="AK36" i="2"/>
  <c r="AQ36" i="2"/>
  <c r="BC36" i="2"/>
  <c r="BU36" i="2"/>
  <c r="CA36" i="2"/>
  <c r="BQ78" i="2"/>
  <c r="BS90" i="2"/>
  <c r="BY94" i="2"/>
  <c r="BR110" i="2"/>
  <c r="BR114" i="2"/>
  <c r="CN152" i="2"/>
  <c r="BS160" i="2"/>
  <c r="CM163" i="2"/>
  <c r="BR243" i="2"/>
  <c r="B21" i="2"/>
  <c r="B24" i="2" s="1"/>
  <c r="N36" i="2"/>
  <c r="BF65" i="2"/>
  <c r="BR65" i="2"/>
  <c r="CV166" i="2"/>
  <c r="CV167" i="2" s="1"/>
  <c r="AF31" i="2"/>
  <c r="AF21" i="2"/>
  <c r="AF24" i="2" s="1"/>
  <c r="CF32" i="2"/>
  <c r="CB31" i="2"/>
  <c r="X32" i="2"/>
  <c r="Z68" i="2"/>
  <c r="Z69" i="2"/>
  <c r="BR97" i="2"/>
  <c r="BR98" i="2"/>
  <c r="CL186" i="2"/>
  <c r="CL195" i="2" s="1"/>
  <c r="CO184" i="2"/>
  <c r="ED184" i="2" s="1"/>
  <c r="CR6" i="2"/>
  <c r="M21" i="2"/>
  <c r="M24" i="2" s="1"/>
  <c r="AW13" i="2"/>
  <c r="N21" i="2"/>
  <c r="N24" i="2" s="1"/>
  <c r="AF69" i="2"/>
  <c r="AF68" i="2"/>
  <c r="BR161" i="2"/>
  <c r="BR160" i="2"/>
  <c r="BO112" i="2"/>
  <c r="BN131" i="2"/>
  <c r="BN118" i="2" s="1"/>
  <c r="BU287" i="2"/>
  <c r="BU280" i="2"/>
  <c r="BV21" i="2"/>
  <c r="H69" i="2"/>
  <c r="BW9" i="2"/>
  <c r="G13" i="2"/>
  <c r="O12" i="2"/>
  <c r="BL12" i="2"/>
  <c r="BR12" i="2"/>
  <c r="BX12" i="2"/>
  <c r="EB11" i="2"/>
  <c r="CJ12" i="2"/>
  <c r="CP12" i="2"/>
  <c r="CV11" i="2"/>
  <c r="EN11" i="3" s="1"/>
  <c r="EN116" i="3" s="1"/>
  <c r="Z21" i="2"/>
  <c r="Z24" i="2" s="1"/>
  <c r="BJ31" i="2"/>
  <c r="L37" i="2"/>
  <c r="AP37" i="2"/>
  <c r="BT37" i="2"/>
  <c r="BR285" i="2"/>
  <c r="BR284" i="2"/>
  <c r="BR286" i="2"/>
  <c r="F6" i="2"/>
  <c r="K6" i="2"/>
  <c r="Q6" i="2"/>
  <c r="W6" i="2"/>
  <c r="AC6" i="2"/>
  <c r="AI6" i="2"/>
  <c r="AO6" i="2"/>
  <c r="AV6" i="2"/>
  <c r="BA6" i="2"/>
  <c r="BM6" i="2"/>
  <c r="BS6" i="2"/>
  <c r="BY6" i="2"/>
  <c r="CE6" i="2"/>
  <c r="CQ6" i="2"/>
  <c r="H13" i="2"/>
  <c r="R14" i="2"/>
  <c r="C31" i="2"/>
  <c r="I33" i="2"/>
  <c r="AG33" i="2"/>
  <c r="BE33" i="2"/>
  <c r="CC33" i="2"/>
  <c r="CI33" i="2"/>
  <c r="BH32" i="2"/>
  <c r="C38" i="2"/>
  <c r="U38" i="2"/>
  <c r="AA38" i="2"/>
  <c r="AS38" i="2"/>
  <c r="AY38" i="2"/>
  <c r="BQ38" i="2"/>
  <c r="BW38" i="2"/>
  <c r="CO38" i="2"/>
  <c r="BP65" i="2"/>
  <c r="BB82" i="2"/>
  <c r="BS94" i="2"/>
  <c r="CR100" i="2"/>
  <c r="DW105" i="2"/>
  <c r="EC109" i="2"/>
  <c r="BS122" i="2"/>
  <c r="DX251" i="2"/>
  <c r="DY262" i="2"/>
  <c r="G7" i="2"/>
  <c r="BC7" i="2"/>
  <c r="CM13" i="2"/>
  <c r="BJ97" i="2"/>
  <c r="CR151" i="2"/>
  <c r="BO164" i="2"/>
  <c r="BS243" i="2"/>
  <c r="DZ262" i="2"/>
  <c r="CB69" i="2"/>
  <c r="AQ7" i="2"/>
  <c r="BZ10" i="2"/>
  <c r="CR10" i="2"/>
  <c r="D12" i="2"/>
  <c r="AN12" i="2"/>
  <c r="BI13" i="2"/>
  <c r="BO13" i="2"/>
  <c r="BU13" i="2"/>
  <c r="CA13" i="2"/>
  <c r="CG13" i="2"/>
  <c r="CS13" i="2"/>
  <c r="D9" i="2"/>
  <c r="BU9" i="2"/>
  <c r="L32" i="2"/>
  <c r="U36" i="2"/>
  <c r="DI55" i="2"/>
  <c r="BG65" i="2"/>
  <c r="BM65" i="2"/>
  <c r="BS65" i="2"/>
  <c r="BY65" i="2"/>
  <c r="F69" i="2"/>
  <c r="R69" i="2"/>
  <c r="AD69" i="2"/>
  <c r="AP69" i="2"/>
  <c r="BB69" i="2"/>
  <c r="BN69" i="2"/>
  <c r="BZ69" i="2"/>
  <c r="DV77" i="2"/>
  <c r="EB77" i="2"/>
  <c r="BS102" i="2"/>
  <c r="BY106" i="2"/>
  <c r="BN155" i="2"/>
  <c r="BT155" i="2"/>
  <c r="BP163" i="2"/>
  <c r="CN163" i="2"/>
  <c r="BS282" i="2"/>
  <c r="BV285" i="2"/>
  <c r="E6" i="2"/>
  <c r="CK6" i="2"/>
  <c r="BI134" i="2"/>
  <c r="BI78" i="2"/>
  <c r="AZ275" i="2"/>
  <c r="AZ263" i="2"/>
  <c r="AF2" i="2"/>
  <c r="DL5" i="2"/>
  <c r="R6" i="2"/>
  <c r="R15" i="2"/>
  <c r="AJ6" i="2"/>
  <c r="BT6" i="2"/>
  <c r="CF252" i="2"/>
  <c r="AD6" i="2"/>
  <c r="BR70" i="2"/>
  <c r="CD12" i="2"/>
  <c r="CI21" i="2"/>
  <c r="CI24" i="2" s="1"/>
  <c r="J33" i="2"/>
  <c r="BR33" i="2"/>
  <c r="CC31" i="2"/>
  <c r="G36" i="2"/>
  <c r="H36" i="2"/>
  <c r="AE36" i="2"/>
  <c r="AF36" i="2"/>
  <c r="CG36" i="2"/>
  <c r="CH36" i="2"/>
  <c r="CM21" i="2"/>
  <c r="CM24" i="2" s="1"/>
  <c r="Z36" i="2"/>
  <c r="BP36" i="2"/>
  <c r="AO68" i="2"/>
  <c r="BT286" i="2"/>
  <c r="BT287" i="2"/>
  <c r="BT290" i="2" s="1"/>
  <c r="AL23" i="6"/>
  <c r="AE6" i="2"/>
  <c r="BO6" i="2"/>
  <c r="DP11" i="2"/>
  <c r="CS21" i="2"/>
  <c r="CS24" i="2" s="1"/>
  <c r="I31" i="2"/>
  <c r="BJ69" i="2"/>
  <c r="BI82" i="2"/>
  <c r="H6" i="2"/>
  <c r="N6" i="2"/>
  <c r="T7" i="2"/>
  <c r="AF6" i="2"/>
  <c r="AL7" i="2"/>
  <c r="AR6" i="2"/>
  <c r="BD7" i="2"/>
  <c r="BV7" i="2"/>
  <c r="C9" i="2"/>
  <c r="E14" i="2"/>
  <c r="K12" i="2"/>
  <c r="AI13" i="2"/>
  <c r="AU14" i="2"/>
  <c r="BJ13" i="2"/>
  <c r="BP13" i="2"/>
  <c r="BV13" i="2"/>
  <c r="CB13" i="2"/>
  <c r="CH13" i="2"/>
  <c r="CN13" i="2"/>
  <c r="CT13" i="2"/>
  <c r="BE21" i="2"/>
  <c r="BE24" i="2" s="1"/>
  <c r="DI30" i="2"/>
  <c r="R21" i="2"/>
  <c r="R32" i="2"/>
  <c r="DO30" i="2"/>
  <c r="AD32" i="2"/>
  <c r="AP21" i="2"/>
  <c r="AP32" i="2"/>
  <c r="AV21" i="2"/>
  <c r="AV24" i="2" s="1"/>
  <c r="AV32" i="2"/>
  <c r="DU30" i="2"/>
  <c r="BB32" i="2"/>
  <c r="BT21" i="2"/>
  <c r="BT32" i="2"/>
  <c r="CL32" i="2"/>
  <c r="CR32" i="2"/>
  <c r="BE31" i="2"/>
  <c r="CI31" i="2"/>
  <c r="I38" i="2"/>
  <c r="I36" i="2"/>
  <c r="O38" i="2"/>
  <c r="O36" i="2"/>
  <c r="AG38" i="2"/>
  <c r="AG36" i="2"/>
  <c r="AM38" i="2"/>
  <c r="AM36" i="2"/>
  <c r="BE38" i="2"/>
  <c r="BE36" i="2"/>
  <c r="BK38" i="2"/>
  <c r="BK36" i="2"/>
  <c r="CC38" i="2"/>
  <c r="CC36" i="2"/>
  <c r="CI38" i="2"/>
  <c r="CI36" i="2"/>
  <c r="CU38" i="2"/>
  <c r="CV35" i="2"/>
  <c r="EN17" i="3" s="1"/>
  <c r="AR36" i="2"/>
  <c r="BW36" i="2"/>
  <c r="BE65" i="2"/>
  <c r="BK65" i="2"/>
  <c r="BQ65" i="2"/>
  <c r="BW65" i="2"/>
  <c r="CC65" i="2"/>
  <c r="N69" i="2"/>
  <c r="AR69" i="2"/>
  <c r="DW161" i="2"/>
  <c r="CT169" i="2"/>
  <c r="CT166" i="2" s="1"/>
  <c r="CS166" i="2"/>
  <c r="EE166" i="2" s="1"/>
  <c r="AN7" i="2"/>
  <c r="BL7" i="2"/>
  <c r="EB5" i="2"/>
  <c r="AU6" i="2"/>
  <c r="DV11" i="2"/>
  <c r="BF12" i="2"/>
  <c r="BC102" i="2"/>
  <c r="BC94" i="2"/>
  <c r="BU94" i="2"/>
  <c r="BU114" i="2"/>
  <c r="DH11" i="2"/>
  <c r="C12" i="2"/>
  <c r="I12" i="2"/>
  <c r="BX15" i="2"/>
  <c r="BX19" i="2" s="1"/>
  <c r="C33" i="2"/>
  <c r="C21" i="2"/>
  <c r="C24" i="2" s="1"/>
  <c r="O33" i="2"/>
  <c r="O31" i="2"/>
  <c r="O21" i="2"/>
  <c r="O24" i="2" s="1"/>
  <c r="U33" i="2"/>
  <c r="U31" i="2"/>
  <c r="AA33" i="2"/>
  <c r="AA31" i="2"/>
  <c r="AA21" i="2"/>
  <c r="AA24" i="2" s="1"/>
  <c r="AM33" i="2"/>
  <c r="AM21" i="2"/>
  <c r="AM24" i="2" s="1"/>
  <c r="AS33" i="2"/>
  <c r="AS31" i="2"/>
  <c r="AY33" i="2"/>
  <c r="AY21" i="2"/>
  <c r="AY24" i="2" s="1"/>
  <c r="BK33" i="2"/>
  <c r="BK21" i="2"/>
  <c r="BK24" i="2" s="1"/>
  <c r="BQ33" i="2"/>
  <c r="BQ31" i="2"/>
  <c r="BW33" i="2"/>
  <c r="BW31" i="2"/>
  <c r="BW21" i="2"/>
  <c r="BW24" i="2" s="1"/>
  <c r="CO33" i="2"/>
  <c r="CO31" i="2"/>
  <c r="CO21" i="2"/>
  <c r="CO24" i="2" s="1"/>
  <c r="CU33" i="2"/>
  <c r="CV30" i="2"/>
  <c r="EN19" i="3" s="1"/>
  <c r="CU31" i="2"/>
  <c r="AG31" i="2"/>
  <c r="H53" i="2"/>
  <c r="H54" i="2"/>
  <c r="AB69" i="2"/>
  <c r="BP78" i="2"/>
  <c r="BP94" i="2"/>
  <c r="AZ271" i="2"/>
  <c r="DR5" i="2"/>
  <c r="AP15" i="2"/>
  <c r="AP18" i="2" s="1"/>
  <c r="BB6" i="2"/>
  <c r="DX5" i="2"/>
  <c r="BN15" i="2"/>
  <c r="BN18" i="2" s="1"/>
  <c r="CL6" i="2"/>
  <c r="AY12" i="2"/>
  <c r="J15" i="2"/>
  <c r="J18" i="2" s="1"/>
  <c r="AG21" i="2"/>
  <c r="AG24" i="2" s="1"/>
  <c r="BQ21" i="2"/>
  <c r="BQ24" i="2" s="1"/>
  <c r="AH33" i="2"/>
  <c r="AZ33" i="2"/>
  <c r="AM31" i="2"/>
  <c r="AC68" i="2"/>
  <c r="BY68" i="2"/>
  <c r="BC78" i="2"/>
  <c r="BU110" i="2"/>
  <c r="BZ286" i="2"/>
  <c r="BZ287" i="2"/>
  <c r="BZ290" i="2" s="1"/>
  <c r="AL2" i="2"/>
  <c r="Q7" i="2"/>
  <c r="AO7" i="2"/>
  <c r="AW6" i="2"/>
  <c r="CQ7" i="2"/>
  <c r="AK21" i="2"/>
  <c r="AK24" i="2" s="1"/>
  <c r="BU21" i="2"/>
  <c r="BU24" i="2" s="1"/>
  <c r="AY31" i="2"/>
  <c r="BC82" i="2"/>
  <c r="AP6" i="2"/>
  <c r="CF6" i="2"/>
  <c r="BU71" i="2"/>
  <c r="BV9" i="2"/>
  <c r="F14" i="2"/>
  <c r="N13" i="2"/>
  <c r="W14" i="2"/>
  <c r="AJ14" i="2"/>
  <c r="AP14" i="2"/>
  <c r="EA11" i="2"/>
  <c r="AH15" i="2"/>
  <c r="AH18" i="2" s="1"/>
  <c r="CC21" i="2"/>
  <c r="CC24" i="2" s="1"/>
  <c r="CU21" i="2"/>
  <c r="CU24" i="2" s="1"/>
  <c r="CB36" i="2"/>
  <c r="F54" i="2"/>
  <c r="BD69" i="2"/>
  <c r="BV69" i="2"/>
  <c r="BV78" i="2"/>
  <c r="BO94" i="2"/>
  <c r="DS127" i="2"/>
  <c r="DS111" i="2" s="1"/>
  <c r="DT113" i="2" s="1"/>
  <c r="CC164" i="2"/>
  <c r="CJ195" i="2"/>
  <c r="CJ197" i="2"/>
  <c r="CR197" i="2"/>
  <c r="CR192" i="2"/>
  <c r="AL13" i="2"/>
  <c r="BQ13" i="2"/>
  <c r="EC11" i="2"/>
  <c r="DT29" i="2"/>
  <c r="S31" i="2"/>
  <c r="AE31" i="2"/>
  <c r="AQ31" i="2"/>
  <c r="BC31" i="2"/>
  <c r="CA31" i="2"/>
  <c r="CM31" i="2"/>
  <c r="BP31" i="2"/>
  <c r="K37" i="2"/>
  <c r="Q37" i="2"/>
  <c r="AC37" i="2"/>
  <c r="AO37" i="2"/>
  <c r="CQ37" i="2"/>
  <c r="C53" i="2"/>
  <c r="AL69" i="2"/>
  <c r="AX69" i="2"/>
  <c r="BX134" i="2"/>
  <c r="BX106" i="2"/>
  <c r="BX102" i="2"/>
  <c r="BX94" i="2"/>
  <c r="BX122" i="2"/>
  <c r="BW161" i="2"/>
  <c r="BW160" i="2"/>
  <c r="CA164" i="2"/>
  <c r="BU285" i="2"/>
  <c r="AR13" i="2"/>
  <c r="DY11" i="2"/>
  <c r="BY12" i="2"/>
  <c r="CE13" i="2"/>
  <c r="CQ12" i="2"/>
  <c r="DZ29" i="2"/>
  <c r="G31" i="2"/>
  <c r="M31" i="2"/>
  <c r="AK31" i="2"/>
  <c r="AW31" i="2"/>
  <c r="BI31" i="2"/>
  <c r="BU31" i="2"/>
  <c r="CS31" i="2"/>
  <c r="AR31" i="2"/>
  <c r="CT31" i="2"/>
  <c r="I37" i="2"/>
  <c r="W37" i="2"/>
  <c r="BG37" i="2"/>
  <c r="AR68" i="2"/>
  <c r="BP69" i="2"/>
  <c r="BP68" i="2"/>
  <c r="T68" i="2"/>
  <c r="C15" i="2"/>
  <c r="C40" i="2" s="1"/>
  <c r="BE15" i="2"/>
  <c r="BE18" i="2" s="1"/>
  <c r="BE141" i="2" s="1"/>
  <c r="BK15" i="2"/>
  <c r="BK18" i="2" s="1"/>
  <c r="Z13" i="2"/>
  <c r="BB14" i="2"/>
  <c r="BH14" i="2"/>
  <c r="BN14" i="2"/>
  <c r="BT14" i="2"/>
  <c r="BZ14" i="2"/>
  <c r="CF14" i="2"/>
  <c r="CL14" i="2"/>
  <c r="CR14" i="2"/>
  <c r="G21" i="2"/>
  <c r="G24" i="2" s="1"/>
  <c r="S21" i="2"/>
  <c r="S24" i="2" s="1"/>
  <c r="AE21" i="2"/>
  <c r="AE24" i="2" s="1"/>
  <c r="AQ21" i="2"/>
  <c r="AQ24" i="2" s="1"/>
  <c r="BC21" i="2"/>
  <c r="BC24" i="2" s="1"/>
  <c r="BO21" i="2"/>
  <c r="BO24" i="2" s="1"/>
  <c r="CA21" i="2"/>
  <c r="CA24" i="2" s="1"/>
  <c r="B33" i="2"/>
  <c r="H33" i="2"/>
  <c r="H31" i="2"/>
  <c r="N33" i="2"/>
  <c r="T33" i="2"/>
  <c r="T31" i="2"/>
  <c r="Z33" i="2"/>
  <c r="AF33" i="2"/>
  <c r="AL33" i="2"/>
  <c r="AL31" i="2"/>
  <c r="AR33" i="2"/>
  <c r="AX33" i="2"/>
  <c r="AX31" i="2"/>
  <c r="BD33" i="2"/>
  <c r="BD31" i="2"/>
  <c r="BJ33" i="2"/>
  <c r="BP33" i="2"/>
  <c r="BV33" i="2"/>
  <c r="BV31" i="2"/>
  <c r="CB33" i="2"/>
  <c r="CB21" i="2"/>
  <c r="CH33" i="2"/>
  <c r="CN33" i="2"/>
  <c r="CN31" i="2"/>
  <c r="CN21" i="2"/>
  <c r="CN24" i="2" s="1"/>
  <c r="CT33" i="2"/>
  <c r="DI35" i="2"/>
  <c r="F37" i="2"/>
  <c r="L36" i="2"/>
  <c r="R36" i="2"/>
  <c r="R37" i="2"/>
  <c r="X36" i="2"/>
  <c r="DO35" i="2"/>
  <c r="AJ36" i="2"/>
  <c r="AP36" i="2"/>
  <c r="AV37" i="2"/>
  <c r="DU35" i="2"/>
  <c r="BB37" i="2"/>
  <c r="BH36" i="2"/>
  <c r="BN36" i="2"/>
  <c r="AD37" i="2"/>
  <c r="BZ37" i="2"/>
  <c r="T69" i="2"/>
  <c r="BT69" i="2"/>
  <c r="BP90" i="2"/>
  <c r="BR94" i="2"/>
  <c r="BS96" i="2"/>
  <c r="BY96" i="2"/>
  <c r="BZ96" i="2"/>
  <c r="BS264" i="2"/>
  <c r="BS272" i="2" s="1"/>
  <c r="BS244" i="2" s="1"/>
  <c r="BS110" i="2"/>
  <c r="BS78" i="2"/>
  <c r="BY134" i="2"/>
  <c r="BY122" i="2"/>
  <c r="BY114" i="2"/>
  <c r="BY78" i="2"/>
  <c r="BY118" i="2"/>
  <c r="BM151" i="2"/>
  <c r="CK152" i="2"/>
  <c r="BS155" i="2"/>
  <c r="BW163" i="2"/>
  <c r="BZ281" i="2"/>
  <c r="E21" i="2"/>
  <c r="K32" i="2"/>
  <c r="Q32" i="2"/>
  <c r="W32" i="2"/>
  <c r="AI32" i="2"/>
  <c r="AO32" i="2"/>
  <c r="AU32" i="2"/>
  <c r="BA32" i="2"/>
  <c r="BG32" i="2"/>
  <c r="BM32" i="2"/>
  <c r="BS32" i="2"/>
  <c r="BY32" i="2"/>
  <c r="CQ32" i="2"/>
  <c r="B38" i="2"/>
  <c r="H38" i="2"/>
  <c r="N38" i="2"/>
  <c r="T38" i="2"/>
  <c r="T36" i="2"/>
  <c r="Z38" i="2"/>
  <c r="AF38" i="2"/>
  <c r="AL38" i="2"/>
  <c r="AL36" i="2"/>
  <c r="AR38" i="2"/>
  <c r="AX38" i="2"/>
  <c r="BD38" i="2"/>
  <c r="BD36" i="2"/>
  <c r="BJ38" i="2"/>
  <c r="BP38" i="2"/>
  <c r="BV38" i="2"/>
  <c r="BV36" i="2"/>
  <c r="CB38" i="2"/>
  <c r="CH38" i="2"/>
  <c r="CN38" i="2"/>
  <c r="CN36" i="2"/>
  <c r="CT38" i="2"/>
  <c r="BJ65" i="2"/>
  <c r="BJ81" i="2"/>
  <c r="BS88" i="2"/>
  <c r="BH112" i="2"/>
  <c r="BW164" i="2"/>
  <c r="BT168" i="2"/>
  <c r="BU242" i="2"/>
  <c r="BR282" i="2"/>
  <c r="BR280" i="2"/>
  <c r="BX285" i="2"/>
  <c r="BM289" i="2"/>
  <c r="BY281" i="2"/>
  <c r="CD32" i="2"/>
  <c r="CJ32" i="2"/>
  <c r="CP32" i="2"/>
  <c r="E36" i="2"/>
  <c r="J37" i="2"/>
  <c r="P37" i="2"/>
  <c r="V37" i="2"/>
  <c r="AB37" i="2"/>
  <c r="AH37" i="2"/>
  <c r="AN38" i="2"/>
  <c r="AT37" i="2"/>
  <c r="AZ37" i="2"/>
  <c r="BF37" i="2"/>
  <c r="BL37" i="2"/>
  <c r="BX37" i="2"/>
  <c r="DH55" i="2"/>
  <c r="BC65" i="2"/>
  <c r="BI65" i="2"/>
  <c r="BO65" i="2"/>
  <c r="BU65" i="2"/>
  <c r="CA65" i="2"/>
  <c r="CA96" i="2"/>
  <c r="BX132" i="2"/>
  <c r="BV156" i="2"/>
  <c r="DZ158" i="2"/>
  <c r="BQ163" i="2"/>
  <c r="BX164" i="2"/>
  <c r="BP242" i="2"/>
  <c r="DW262" i="2"/>
  <c r="CL151" i="2"/>
  <c r="BN242" i="2"/>
  <c r="BM269" i="2"/>
  <c r="CF191" i="2"/>
  <c r="BF112" i="2"/>
  <c r="BN269" i="2"/>
  <c r="BO78" i="2"/>
  <c r="BQ98" i="2"/>
  <c r="EE97" i="2"/>
  <c r="BX98" i="2"/>
  <c r="BW106" i="2"/>
  <c r="DY109" i="2"/>
  <c r="BX114" i="2"/>
  <c r="BQ118" i="2"/>
  <c r="CN123" i="2"/>
  <c r="CN124" i="2" s="1"/>
  <c r="BW132" i="2"/>
  <c r="BS156" i="2"/>
  <c r="CR158" i="2"/>
  <c r="CV160" i="2" s="1"/>
  <c r="BT167" i="2"/>
  <c r="CF194" i="2"/>
  <c r="CR229" i="2"/>
  <c r="BG270" i="2"/>
  <c r="BI290" i="2"/>
  <c r="AA24" i="6"/>
  <c r="AS24" i="6"/>
  <c r="DU29" i="2"/>
  <c r="EA29" i="2"/>
  <c r="BO102" i="2"/>
  <c r="BO110" i="2"/>
  <c r="BH113" i="2"/>
  <c r="CV113" i="2"/>
  <c r="CE162" i="2"/>
  <c r="CI164" i="2" s="1"/>
  <c r="BY273" i="2"/>
  <c r="BI289" i="2"/>
  <c r="BH22" i="6"/>
  <c r="P24" i="6"/>
  <c r="V24" i="6"/>
  <c r="BN22" i="6"/>
  <c r="S23" i="6"/>
  <c r="DS29" i="2"/>
  <c r="EC93" i="2"/>
  <c r="CZ123" i="2"/>
  <c r="CZ124" i="2" s="1"/>
  <c r="CP164" i="2"/>
  <c r="CK168" i="2"/>
  <c r="CN168" i="2"/>
  <c r="CU168" i="2"/>
  <c r="DY29" i="2"/>
  <c r="EE29" i="2"/>
  <c r="BB78" i="2"/>
  <c r="BO90" i="2"/>
  <c r="BB98" i="2"/>
  <c r="BH96" i="2"/>
  <c r="CA116" i="2"/>
  <c r="CS153" i="2"/>
  <c r="CS150" i="2" s="1"/>
  <c r="EE150" i="2" s="1"/>
  <c r="EA162" i="2"/>
  <c r="EA165" i="2" s="1"/>
  <c r="CQ164" i="2"/>
  <c r="CH168" i="2"/>
  <c r="CO168" i="2"/>
  <c r="CI197" i="2"/>
  <c r="DU251" i="2"/>
  <c r="H23" i="6"/>
  <c r="AF23" i="6"/>
  <c r="CB98" i="2"/>
  <c r="CB94" i="2"/>
  <c r="CB78" i="2"/>
  <c r="CB106" i="2"/>
  <c r="CB110" i="2"/>
  <c r="BW168" i="2"/>
  <c r="BS152" i="2"/>
  <c r="BS151" i="2"/>
  <c r="AB16" i="4"/>
  <c r="AB18" i="4"/>
  <c r="AT18" i="4"/>
  <c r="BJ80" i="2"/>
  <c r="BJ82" i="2"/>
  <c r="BN94" i="2"/>
  <c r="BW98" i="2"/>
  <c r="CA97" i="2"/>
  <c r="BT98" i="2"/>
  <c r="CB102" i="2"/>
  <c r="CR105" i="2"/>
  <c r="CO104" i="2"/>
  <c r="ED103" i="2"/>
  <c r="EE105" i="2" s="1"/>
  <c r="BO134" i="2"/>
  <c r="BO114" i="2"/>
  <c r="BU118" i="2"/>
  <c r="BU78" i="2"/>
  <c r="BU264" i="2"/>
  <c r="BY266" i="2" s="1"/>
  <c r="BY133" i="2"/>
  <c r="BU134" i="2"/>
  <c r="BN151" i="2"/>
  <c r="BT152" i="2"/>
  <c r="BT151" i="2"/>
  <c r="CQ152" i="2"/>
  <c r="CP159" i="2"/>
  <c r="CS164" i="2"/>
  <c r="CP167" i="2"/>
  <c r="BX169" i="2"/>
  <c r="CE197" i="2"/>
  <c r="CE195" i="2"/>
  <c r="CN197" i="2"/>
  <c r="CN196" i="2"/>
  <c r="CN194" i="2"/>
  <c r="CN193" i="2"/>
  <c r="CN191" i="2"/>
  <c r="CN190" i="2"/>
  <c r="CM229" i="2"/>
  <c r="BX267" i="2"/>
  <c r="BX275" i="2"/>
  <c r="BX256" i="2"/>
  <c r="AR16" i="4"/>
  <c r="BP97" i="2"/>
  <c r="BP98" i="2"/>
  <c r="BA263" i="2"/>
  <c r="BA273" i="2"/>
  <c r="DV29" i="2"/>
  <c r="EB29" i="2"/>
  <c r="BD80" i="2"/>
  <c r="BZ106" i="2"/>
  <c r="BP113" i="2"/>
  <c r="BU122" i="2"/>
  <c r="BQ132" i="2"/>
  <c r="BP110" i="2"/>
  <c r="CK151" i="2"/>
  <c r="BM155" i="2"/>
  <c r="BY155" i="2"/>
  <c r="DX160" i="2"/>
  <c r="CD167" i="2"/>
  <c r="CE191" i="2"/>
  <c r="CD197" i="2"/>
  <c r="CN229" i="2"/>
  <c r="AT16" i="4"/>
  <c r="AH24" i="6"/>
  <c r="AN24" i="6"/>
  <c r="BT97" i="2"/>
  <c r="EE99" i="2"/>
  <c r="DR29" i="2"/>
  <c r="DX29" i="2"/>
  <c r="ED29" i="2"/>
  <c r="BF80" i="2"/>
  <c r="BF81" i="2"/>
  <c r="BF97" i="2"/>
  <c r="CW103" i="2"/>
  <c r="CX103" i="2" s="1"/>
  <c r="BT106" i="2"/>
  <c r="BV110" i="2"/>
  <c r="BL112" i="2"/>
  <c r="BQ113" i="2"/>
  <c r="BU164" i="2"/>
  <c r="CQ229" i="2"/>
  <c r="BI270" i="2"/>
  <c r="BG289" i="2"/>
  <c r="BC290" i="2"/>
  <c r="BP288" i="2"/>
  <c r="BO289" i="2"/>
  <c r="AX16" i="4"/>
  <c r="R23" i="6"/>
  <c r="AD23" i="6"/>
  <c r="BZ78" i="2"/>
  <c r="BH81" i="2"/>
  <c r="DY131" i="2"/>
  <c r="DY118" i="2" s="1"/>
  <c r="BN96" i="2"/>
  <c r="BN98" i="2"/>
  <c r="BZ97" i="2"/>
  <c r="BZ98" i="2"/>
  <c r="BH97" i="2"/>
  <c r="CN99" i="2"/>
  <c r="ED99" i="2" s="1"/>
  <c r="CT100" i="2"/>
  <c r="CT131" i="2"/>
  <c r="CT94" i="2" s="1"/>
  <c r="BU102" i="2"/>
  <c r="CC104" i="2"/>
  <c r="CC105" i="2"/>
  <c r="EA103" i="2"/>
  <c r="EA105" i="2" s="1"/>
  <c r="BB106" i="2"/>
  <c r="BU106" i="2"/>
  <c r="BZ117" i="2"/>
  <c r="BO122" i="2"/>
  <c r="BS133" i="2"/>
  <c r="CQ151" i="2"/>
  <c r="CU160" i="2"/>
  <c r="CD162" i="2"/>
  <c r="CD163" i="2" s="1"/>
  <c r="CM164" i="2"/>
  <c r="DZ162" i="2"/>
  <c r="DZ165" i="2" s="1"/>
  <c r="CM191" i="2"/>
  <c r="BV242" i="2"/>
  <c r="BV243" i="2"/>
  <c r="Z18" i="4"/>
  <c r="CK15" i="4"/>
  <c r="CK17" i="4" s="1"/>
  <c r="AF18" i="4"/>
  <c r="AF16" i="4"/>
  <c r="AL17" i="4"/>
  <c r="BT133" i="2"/>
  <c r="BT94" i="2"/>
  <c r="CM196" i="2"/>
  <c r="CM197" i="2"/>
  <c r="DW29" i="2"/>
  <c r="EC29" i="2"/>
  <c r="BN78" i="2"/>
  <c r="BT78" i="2"/>
  <c r="BV96" i="2"/>
  <c r="BN106" i="2"/>
  <c r="DV111" i="2"/>
  <c r="BO118" i="2"/>
  <c r="BP155" i="2"/>
  <c r="BP156" i="2"/>
  <c r="CT197" i="2"/>
  <c r="CT196" i="2"/>
  <c r="CT193" i="2"/>
  <c r="CN192" i="2"/>
  <c r="CM195" i="2"/>
  <c r="AA16" i="4"/>
  <c r="AM16" i="4"/>
  <c r="AM17" i="4"/>
  <c r="AS17" i="4"/>
  <c r="G23" i="6"/>
  <c r="M23" i="6"/>
  <c r="AE23" i="6"/>
  <c r="AK23" i="6"/>
  <c r="CB159" i="2"/>
  <c r="BU167" i="2"/>
  <c r="CK167" i="2"/>
  <c r="BX244" i="2"/>
  <c r="DT272" i="2"/>
  <c r="DT271" i="2" s="1"/>
  <c r="BJ289" i="2"/>
  <c r="BP289" i="2"/>
  <c r="BX97" i="2"/>
  <c r="DV101" i="2"/>
  <c r="BQ106" i="2"/>
  <c r="BW110" i="2"/>
  <c r="BC112" i="2"/>
  <c r="BX133" i="2"/>
  <c r="BP151" i="2"/>
  <c r="CN151" i="2"/>
  <c r="BP152" i="2"/>
  <c r="BU151" i="2"/>
  <c r="BO163" i="2"/>
  <c r="CT164" i="2"/>
  <c r="CQ190" i="2"/>
  <c r="CR191" i="2"/>
  <c r="CR193" i="2"/>
  <c r="CR196" i="2"/>
  <c r="CP197" i="2"/>
  <c r="CO229" i="2"/>
  <c r="BM242" i="2"/>
  <c r="BS242" i="2"/>
  <c r="BY242" i="2"/>
  <c r="BX243" i="2"/>
  <c r="BG269" i="2"/>
  <c r="CB287" i="2"/>
  <c r="CB290" i="2" s="1"/>
  <c r="BL290" i="2"/>
  <c r="BN90" i="2"/>
  <c r="BG96" i="2"/>
  <c r="BM96" i="2"/>
  <c r="BS97" i="2"/>
  <c r="BY97" i="2"/>
  <c r="BQ110" i="2"/>
  <c r="CW111" i="2"/>
  <c r="EF111" i="2" s="1"/>
  <c r="EF113" i="2" s="1"/>
  <c r="BW118" i="2"/>
  <c r="BR132" i="2"/>
  <c r="BR134" i="2"/>
  <c r="CR190" i="2"/>
  <c r="CI192" i="2"/>
  <c r="CF195" i="2"/>
  <c r="BT243" i="2"/>
  <c r="BT242" i="2"/>
  <c r="BY244" i="2"/>
  <c r="DV255" i="2"/>
  <c r="AX263" i="2"/>
  <c r="BF288" i="2"/>
  <c r="J24" i="6"/>
  <c r="BL22" i="6"/>
  <c r="AB24" i="6"/>
  <c r="AT24" i="6"/>
  <c r="CZ20" i="2"/>
  <c r="R24" i="2"/>
  <c r="EE5" i="2"/>
  <c r="AC7" i="2"/>
  <c r="BS7" i="2"/>
  <c r="BU10" i="2"/>
  <c r="O13" i="2"/>
  <c r="AY13" i="2"/>
  <c r="CC13" i="2"/>
  <c r="CA14" i="2"/>
  <c r="DP30" i="2"/>
  <c r="P33" i="2"/>
  <c r="AT33" i="2"/>
  <c r="CD33" i="2"/>
  <c r="D38" i="2"/>
  <c r="V38" i="2"/>
  <c r="AT38" i="2"/>
  <c r="BL38" i="2"/>
  <c r="CD38" i="2"/>
  <c r="Q69" i="2"/>
  <c r="AI69" i="2"/>
  <c r="BA69" i="2"/>
  <c r="BG69" i="2"/>
  <c r="BM69" i="2"/>
  <c r="E68" i="2"/>
  <c r="BM68" i="2"/>
  <c r="EB180" i="2"/>
  <c r="AE69" i="5"/>
  <c r="AG2" i="2"/>
  <c r="CB252" i="2"/>
  <c r="CB256" i="2"/>
  <c r="CH252" i="2"/>
  <c r="CH256" i="2"/>
  <c r="DH5" i="2"/>
  <c r="DN5" i="2"/>
  <c r="DT5" i="2"/>
  <c r="DZ5" i="2"/>
  <c r="F7" i="2"/>
  <c r="L7" i="2"/>
  <c r="R7" i="2"/>
  <c r="X7" i="2"/>
  <c r="AD7" i="2"/>
  <c r="AJ7" i="2"/>
  <c r="AP7" i="2"/>
  <c r="AV7" i="2"/>
  <c r="BB7" i="2"/>
  <c r="BH7" i="2"/>
  <c r="BN7" i="2"/>
  <c r="BT7" i="2"/>
  <c r="BZ7" i="2"/>
  <c r="CF7" i="2"/>
  <c r="CL7" i="2"/>
  <c r="CR7" i="2"/>
  <c r="AL10" i="2"/>
  <c r="DX11" i="2"/>
  <c r="ED11" i="2"/>
  <c r="J13" i="2"/>
  <c r="V13" i="2"/>
  <c r="AH13" i="2"/>
  <c r="AN13" i="2"/>
  <c r="AT13" i="2"/>
  <c r="BF13" i="2"/>
  <c r="BL13" i="2"/>
  <c r="BR13" i="2"/>
  <c r="BX13" i="2"/>
  <c r="CD13" i="2"/>
  <c r="CJ13" i="2"/>
  <c r="CP13" i="2"/>
  <c r="B14" i="2"/>
  <c r="H14" i="2"/>
  <c r="N14" i="2"/>
  <c r="Z14" i="2"/>
  <c r="AF14" i="2"/>
  <c r="AL14" i="2"/>
  <c r="AR14" i="2"/>
  <c r="AX14" i="2"/>
  <c r="BD14" i="2"/>
  <c r="BJ14" i="2"/>
  <c r="BP14" i="2"/>
  <c r="BV14" i="2"/>
  <c r="CB14" i="2"/>
  <c r="CH14" i="2"/>
  <c r="CN14" i="2"/>
  <c r="CT14" i="2"/>
  <c r="E15" i="2"/>
  <c r="BS15" i="2"/>
  <c r="CQ15" i="2"/>
  <c r="CS25" i="2"/>
  <c r="CV29" i="2"/>
  <c r="EN42" i="3" s="1"/>
  <c r="DK30" i="2"/>
  <c r="DQ30" i="2"/>
  <c r="EC30" i="2"/>
  <c r="G32" i="2"/>
  <c r="M32" i="2"/>
  <c r="S32" i="2"/>
  <c r="AE32" i="2"/>
  <c r="AK32" i="2"/>
  <c r="AQ32" i="2"/>
  <c r="AW32" i="2"/>
  <c r="BC32" i="2"/>
  <c r="BI32" i="2"/>
  <c r="BO32" i="2"/>
  <c r="BU32" i="2"/>
  <c r="CA32" i="2"/>
  <c r="CM32" i="2"/>
  <c r="CS32" i="2"/>
  <c r="E33" i="2"/>
  <c r="K33" i="2"/>
  <c r="Q33" i="2"/>
  <c r="W33" i="2"/>
  <c r="AC33" i="2"/>
  <c r="AI33" i="2"/>
  <c r="AO33" i="2"/>
  <c r="AU33" i="2"/>
  <c r="BA33" i="2"/>
  <c r="BM33" i="2"/>
  <c r="BS33" i="2"/>
  <c r="BY33" i="2"/>
  <c r="CK33" i="2"/>
  <c r="CQ33" i="2"/>
  <c r="DK35" i="2"/>
  <c r="DQ35" i="2"/>
  <c r="DW35" i="2"/>
  <c r="G37" i="2"/>
  <c r="M37" i="2"/>
  <c r="S37" i="2"/>
  <c r="Y37" i="2"/>
  <c r="AE37" i="2"/>
  <c r="AK37" i="2"/>
  <c r="AQ37" i="2"/>
  <c r="BC37" i="2"/>
  <c r="BO37" i="2"/>
  <c r="BU37" i="2"/>
  <c r="CA37" i="2"/>
  <c r="CG37" i="2"/>
  <c r="CM37" i="2"/>
  <c r="CS37" i="2"/>
  <c r="E38" i="2"/>
  <c r="K38" i="2"/>
  <c r="Q38" i="2"/>
  <c r="W38" i="2"/>
  <c r="AC38" i="2"/>
  <c r="AO38" i="2"/>
  <c r="BM38" i="2"/>
  <c r="CE38" i="2"/>
  <c r="CQ38" i="2"/>
  <c r="BX70" i="2"/>
  <c r="BG81" i="2"/>
  <c r="BH80" i="2"/>
  <c r="DV79" i="2"/>
  <c r="BG80" i="2"/>
  <c r="CL122" i="2"/>
  <c r="CL114" i="2"/>
  <c r="CL94" i="2"/>
  <c r="CL118" i="2"/>
  <c r="CL106" i="2"/>
  <c r="CL134" i="2"/>
  <c r="CL126" i="2"/>
  <c r="CL110" i="2"/>
  <c r="CL78" i="2"/>
  <c r="DZ131" i="2"/>
  <c r="DZ114" i="2" s="1"/>
  <c r="EA113" i="2"/>
  <c r="DZ113" i="2"/>
  <c r="DY117" i="2"/>
  <c r="DZ117" i="2"/>
  <c r="DZ121" i="2"/>
  <c r="BR272" i="2"/>
  <c r="DV161" i="2"/>
  <c r="DW160" i="2"/>
  <c r="DV160" i="2"/>
  <c r="CG125" i="3"/>
  <c r="CH125" i="3" s="1"/>
  <c r="DS5" i="2"/>
  <c r="W7" i="2"/>
  <c r="I13" i="2"/>
  <c r="BW13" i="2"/>
  <c r="AB33" i="2"/>
  <c r="CP33" i="2"/>
  <c r="AB38" i="2"/>
  <c r="BR38" i="2"/>
  <c r="DH52" i="2"/>
  <c r="W69" i="2"/>
  <c r="AO69" i="2"/>
  <c r="BS69" i="2"/>
  <c r="DI5" i="2"/>
  <c r="EA5" i="2"/>
  <c r="Y6" i="2"/>
  <c r="BC6" i="2"/>
  <c r="CA6" i="2"/>
  <c r="AK7" i="2"/>
  <c r="BO7" i="2"/>
  <c r="CI9" i="2"/>
  <c r="EE11" i="2"/>
  <c r="BM12" i="2"/>
  <c r="CK13" i="2"/>
  <c r="I14" i="2"/>
  <c r="CI14" i="2"/>
  <c r="DL30" i="2"/>
  <c r="DR30" i="2"/>
  <c r="ED30" i="2"/>
  <c r="D31" i="2"/>
  <c r="J31" i="2"/>
  <c r="P31" i="2"/>
  <c r="V31" i="2"/>
  <c r="AB31" i="2"/>
  <c r="AH31" i="2"/>
  <c r="AN31" i="2"/>
  <c r="AT31" i="2"/>
  <c r="AZ31" i="2"/>
  <c r="BF31" i="2"/>
  <c r="BR31" i="2"/>
  <c r="BX31" i="2"/>
  <c r="CD31" i="2"/>
  <c r="CJ31" i="2"/>
  <c r="CP31" i="2"/>
  <c r="H32" i="2"/>
  <c r="N32" i="2"/>
  <c r="T32" i="2"/>
  <c r="Z32" i="2"/>
  <c r="AF32" i="2"/>
  <c r="AL32" i="2"/>
  <c r="AR32" i="2"/>
  <c r="AX32" i="2"/>
  <c r="BD32" i="2"/>
  <c r="BJ32" i="2"/>
  <c r="BV32" i="2"/>
  <c r="CB32" i="2"/>
  <c r="CH32" i="2"/>
  <c r="CN32" i="2"/>
  <c r="CT32" i="2"/>
  <c r="F33" i="2"/>
  <c r="L33" i="2"/>
  <c r="R33" i="2"/>
  <c r="X33" i="2"/>
  <c r="AD33" i="2"/>
  <c r="AJ33" i="2"/>
  <c r="AP33" i="2"/>
  <c r="AV33" i="2"/>
  <c r="BB33" i="2"/>
  <c r="BH33" i="2"/>
  <c r="BT33" i="2"/>
  <c r="BZ33" i="2"/>
  <c r="CF33" i="2"/>
  <c r="CL33" i="2"/>
  <c r="CR33" i="2"/>
  <c r="DL35" i="2"/>
  <c r="DR35" i="2"/>
  <c r="D36" i="2"/>
  <c r="J36" i="2"/>
  <c r="P36" i="2"/>
  <c r="V36" i="2"/>
  <c r="AB36" i="2"/>
  <c r="AH36" i="2"/>
  <c r="AN36" i="2"/>
  <c r="AT36" i="2"/>
  <c r="AZ36" i="2"/>
  <c r="BF36" i="2"/>
  <c r="BL36" i="2"/>
  <c r="BR36" i="2"/>
  <c r="BX36" i="2"/>
  <c r="CD36" i="2"/>
  <c r="H37" i="2"/>
  <c r="N37" i="2"/>
  <c r="T37" i="2"/>
  <c r="Z37" i="2"/>
  <c r="AF37" i="2"/>
  <c r="AL37" i="2"/>
  <c r="AR37" i="2"/>
  <c r="AX37" i="2"/>
  <c r="BD37" i="2"/>
  <c r="BJ37" i="2"/>
  <c r="BP37" i="2"/>
  <c r="BV37" i="2"/>
  <c r="CB37" i="2"/>
  <c r="CH37" i="2"/>
  <c r="F38" i="2"/>
  <c r="L38" i="2"/>
  <c r="R38" i="2"/>
  <c r="X38" i="2"/>
  <c r="AD38" i="2"/>
  <c r="AJ38" i="2"/>
  <c r="AP38" i="2"/>
  <c r="AV38" i="2"/>
  <c r="BB38" i="2"/>
  <c r="BH38" i="2"/>
  <c r="BT38" i="2"/>
  <c r="BZ38" i="2"/>
  <c r="D53" i="2"/>
  <c r="DX77" i="2"/>
  <c r="ED77" i="2"/>
  <c r="DU93" i="2"/>
  <c r="EB93" i="2"/>
  <c r="EA93" i="2"/>
  <c r="DV93" i="2"/>
  <c r="BD96" i="2"/>
  <c r="BC96" i="2"/>
  <c r="DU95" i="2"/>
  <c r="BC98" i="2"/>
  <c r="BI97" i="2"/>
  <c r="DV95" i="2"/>
  <c r="BJ96" i="2"/>
  <c r="BI96" i="2"/>
  <c r="BO98" i="2"/>
  <c r="BO97" i="2"/>
  <c r="BU96" i="2"/>
  <c r="BU98" i="2"/>
  <c r="BU97" i="2"/>
  <c r="CL98" i="2"/>
  <c r="AY15" i="4"/>
  <c r="CA154" i="2"/>
  <c r="CA131" i="2"/>
  <c r="CB132" i="2" s="1"/>
  <c r="CA100" i="2"/>
  <c r="CB100" i="2"/>
  <c r="EA99" i="2"/>
  <c r="BJ264" i="2"/>
  <c r="BJ132" i="2"/>
  <c r="BJ134" i="2"/>
  <c r="BJ110" i="2"/>
  <c r="BJ102" i="2"/>
  <c r="BJ78" i="2"/>
  <c r="BJ106" i="2"/>
  <c r="CT160" i="2"/>
  <c r="CJ163" i="2"/>
  <c r="CK163" i="2"/>
  <c r="CQ163" i="2"/>
  <c r="CU164" i="2"/>
  <c r="ED166" i="2"/>
  <c r="CL168" i="2"/>
  <c r="CM167" i="2"/>
  <c r="CL167" i="2"/>
  <c r="CR167" i="2"/>
  <c r="CR168" i="2"/>
  <c r="BQ243" i="2"/>
  <c r="BR242" i="2"/>
  <c r="BQ242" i="2"/>
  <c r="BU243" i="2"/>
  <c r="BW243" i="2"/>
  <c r="BX242" i="2"/>
  <c r="BW242" i="2"/>
  <c r="DZ241" i="2"/>
  <c r="CC252" i="2"/>
  <c r="DA100" i="3"/>
  <c r="DB93" i="3"/>
  <c r="CM214" i="2"/>
  <c r="CL214" i="2" s="1"/>
  <c r="CL217" i="2" s="1"/>
  <c r="AI7" i="2"/>
  <c r="CK7" i="2"/>
  <c r="DW11" i="2"/>
  <c r="AM13" i="2"/>
  <c r="CI13" i="2"/>
  <c r="S14" i="2"/>
  <c r="AW14" i="2"/>
  <c r="CG14" i="2"/>
  <c r="DV30" i="2"/>
  <c r="D33" i="2"/>
  <c r="V33" i="2"/>
  <c r="AN33" i="2"/>
  <c r="BX33" i="2"/>
  <c r="DJ35" i="2"/>
  <c r="P38" i="2"/>
  <c r="AH38" i="2"/>
  <c r="BX38" i="2"/>
  <c r="K69" i="2"/>
  <c r="AC69" i="2"/>
  <c r="AU69" i="2"/>
  <c r="BY70" i="2"/>
  <c r="BY69" i="2"/>
  <c r="Q68" i="2"/>
  <c r="BA68" i="2"/>
  <c r="BQ88" i="2"/>
  <c r="S6" i="2"/>
  <c r="AK6" i="2"/>
  <c r="CG6" i="2"/>
  <c r="M7" i="2"/>
  <c r="AE7" i="2"/>
  <c r="AW7" i="2"/>
  <c r="BU7" i="2"/>
  <c r="CM7" i="2"/>
  <c r="CS7" i="2"/>
  <c r="E12" i="2"/>
  <c r="W12" i="2"/>
  <c r="AU12" i="2"/>
  <c r="BS12" i="2"/>
  <c r="CE12" i="2"/>
  <c r="BS13" i="2"/>
  <c r="CQ13" i="2"/>
  <c r="C14" i="2"/>
  <c r="O14" i="2"/>
  <c r="BE14" i="2"/>
  <c r="BQ14" i="2"/>
  <c r="CC14" i="2"/>
  <c r="CU14" i="2"/>
  <c r="DJ5" i="2"/>
  <c r="T6" i="2"/>
  <c r="AL6" i="2"/>
  <c r="BD6" i="2"/>
  <c r="BV6" i="2"/>
  <c r="CN6" i="2"/>
  <c r="H7" i="2"/>
  <c r="AR7" i="2"/>
  <c r="BP7" i="2"/>
  <c r="CT7" i="2"/>
  <c r="BF9" i="2"/>
  <c r="DZ11" i="2"/>
  <c r="BZ12" i="2"/>
  <c r="AJ13" i="2"/>
  <c r="BN13" i="2"/>
  <c r="CF13" i="2"/>
  <c r="AH14" i="2"/>
  <c r="BR14" i="2"/>
  <c r="CP14" i="2"/>
  <c r="AE15" i="2"/>
  <c r="AK15" i="2"/>
  <c r="BU15" i="2"/>
  <c r="D21" i="2"/>
  <c r="J21" i="2"/>
  <c r="P21" i="2"/>
  <c r="V21" i="2"/>
  <c r="AB21" i="2"/>
  <c r="AH21" i="2"/>
  <c r="AN21" i="2"/>
  <c r="AT21" i="2"/>
  <c r="AZ21" i="2"/>
  <c r="BF21" i="2"/>
  <c r="BR21" i="2"/>
  <c r="BX21" i="2"/>
  <c r="CD21" i="2"/>
  <c r="CJ21" i="2"/>
  <c r="CP21" i="2"/>
  <c r="DS30" i="2"/>
  <c r="DY30" i="2"/>
  <c r="EE30" i="2"/>
  <c r="K31" i="2"/>
  <c r="Q31" i="2"/>
  <c r="W31" i="2"/>
  <c r="AC31" i="2"/>
  <c r="AI31" i="2"/>
  <c r="AO31" i="2"/>
  <c r="AU31" i="2"/>
  <c r="BA31" i="2"/>
  <c r="BG31" i="2"/>
  <c r="BS31" i="2"/>
  <c r="BY31" i="2"/>
  <c r="CK31" i="2"/>
  <c r="CQ31" i="2"/>
  <c r="I32" i="2"/>
  <c r="O32" i="2"/>
  <c r="U32" i="2"/>
  <c r="AA32" i="2"/>
  <c r="AG32" i="2"/>
  <c r="AM32" i="2"/>
  <c r="AS32" i="2"/>
  <c r="AY32" i="2"/>
  <c r="BE32" i="2"/>
  <c r="BK32" i="2"/>
  <c r="BQ32" i="2"/>
  <c r="BW32" i="2"/>
  <c r="CC32" i="2"/>
  <c r="CO32" i="2"/>
  <c r="CU32" i="2"/>
  <c r="G33" i="2"/>
  <c r="M33" i="2"/>
  <c r="S33" i="2"/>
  <c r="AE33" i="2"/>
  <c r="AK33" i="2"/>
  <c r="AQ33" i="2"/>
  <c r="AW33" i="2"/>
  <c r="BC33" i="2"/>
  <c r="BO33" i="2"/>
  <c r="BU33" i="2"/>
  <c r="CA33" i="2"/>
  <c r="CG33" i="2"/>
  <c r="CM33" i="2"/>
  <c r="CS33" i="2"/>
  <c r="DM35" i="2"/>
  <c r="K36" i="2"/>
  <c r="Q36" i="2"/>
  <c r="W36" i="2"/>
  <c r="AC36" i="2"/>
  <c r="AO36" i="2"/>
  <c r="BG36" i="2"/>
  <c r="BM36" i="2"/>
  <c r="CQ36" i="2"/>
  <c r="O37" i="2"/>
  <c r="U37" i="2"/>
  <c r="AA37" i="2"/>
  <c r="AG37" i="2"/>
  <c r="AM37" i="2"/>
  <c r="AS37" i="2"/>
  <c r="BK37" i="2"/>
  <c r="BQ37" i="2"/>
  <c r="CU37" i="2"/>
  <c r="G38" i="2"/>
  <c r="M38" i="2"/>
  <c r="S38" i="2"/>
  <c r="Y38" i="2"/>
  <c r="AE38" i="2"/>
  <c r="AK38" i="2"/>
  <c r="AQ38" i="2"/>
  <c r="BC38" i="2"/>
  <c r="BO38" i="2"/>
  <c r="BU38" i="2"/>
  <c r="CA38" i="2"/>
  <c r="CG38" i="2"/>
  <c r="CM38" i="2"/>
  <c r="CS38" i="2"/>
  <c r="F53" i="2"/>
  <c r="K68" i="2"/>
  <c r="W68" i="2"/>
  <c r="AI68" i="2"/>
  <c r="AU68" i="2"/>
  <c r="BG68" i="2"/>
  <c r="BS68" i="2"/>
  <c r="DX87" i="2"/>
  <c r="BK94" i="2"/>
  <c r="BK134" i="2"/>
  <c r="BO133" i="2"/>
  <c r="BK102" i="2"/>
  <c r="BK78" i="2"/>
  <c r="BK106" i="2"/>
  <c r="BK114" i="2"/>
  <c r="CC156" i="2"/>
  <c r="BZ156" i="2"/>
  <c r="BZ155" i="2"/>
  <c r="CY161" i="2"/>
  <c r="CG165" i="2"/>
  <c r="CF162" i="2"/>
  <c r="CJ164" i="2" s="1"/>
  <c r="CG256" i="2"/>
  <c r="CG252" i="2"/>
  <c r="DY5" i="2"/>
  <c r="K7" i="2"/>
  <c r="AU7" i="2"/>
  <c r="BY7" i="2"/>
  <c r="BK13" i="2"/>
  <c r="CO13" i="2"/>
  <c r="AK14" i="2"/>
  <c r="BO14" i="2"/>
  <c r="CM14" i="2"/>
  <c r="DJ30" i="2"/>
  <c r="CJ33" i="2"/>
  <c r="DP35" i="2"/>
  <c r="J38" i="2"/>
  <c r="AZ38" i="2"/>
  <c r="AH2" i="2"/>
  <c r="DU5" i="2"/>
  <c r="M6" i="2"/>
  <c r="AQ6" i="2"/>
  <c r="BU6" i="2"/>
  <c r="CS6" i="2"/>
  <c r="S7" i="2"/>
  <c r="CG7" i="2"/>
  <c r="BW10" i="2"/>
  <c r="BG12" i="2"/>
  <c r="CK12" i="2"/>
  <c r="K13" i="2"/>
  <c r="BM13" i="2"/>
  <c r="BY13" i="2"/>
  <c r="AS14" i="2"/>
  <c r="BW14" i="2"/>
  <c r="AI2" i="2"/>
  <c r="DP5" i="2"/>
  <c r="Z6" i="2"/>
  <c r="AX6" i="2"/>
  <c r="BP6" i="2"/>
  <c r="CH6" i="2"/>
  <c r="CT6" i="2"/>
  <c r="N7" i="2"/>
  <c r="Z7" i="2"/>
  <c r="AF7" i="2"/>
  <c r="AX7" i="2"/>
  <c r="CB7" i="2"/>
  <c r="CH7" i="2"/>
  <c r="BX9" i="2"/>
  <c r="F12" i="2"/>
  <c r="AJ12" i="2"/>
  <c r="BN12" i="2"/>
  <c r="CL12" i="2"/>
  <c r="R13" i="2"/>
  <c r="BH13" i="2"/>
  <c r="BZ13" i="2"/>
  <c r="CR13" i="2"/>
  <c r="J14" i="2"/>
  <c r="AT14" i="2"/>
  <c r="BL14" i="2"/>
  <c r="BX14" i="2"/>
  <c r="CJ14" i="2"/>
  <c r="AJ2" i="2"/>
  <c r="CE252" i="2"/>
  <c r="CE256" i="2"/>
  <c r="DK5" i="2"/>
  <c r="DQ5" i="2"/>
  <c r="DW5" i="2"/>
  <c r="EC5" i="2"/>
  <c r="C6" i="2"/>
  <c r="I6" i="2"/>
  <c r="O6" i="2"/>
  <c r="U6" i="2"/>
  <c r="AA6" i="2"/>
  <c r="AG6" i="2"/>
  <c r="AM6" i="2"/>
  <c r="AS6" i="2"/>
  <c r="AY6" i="2"/>
  <c r="BE6" i="2"/>
  <c r="BK6" i="2"/>
  <c r="BQ6" i="2"/>
  <c r="BW6" i="2"/>
  <c r="CC6" i="2"/>
  <c r="CI6" i="2"/>
  <c r="CO6" i="2"/>
  <c r="CU6" i="2"/>
  <c r="I7" i="2"/>
  <c r="O7" i="2"/>
  <c r="U7" i="2"/>
  <c r="AA7" i="2"/>
  <c r="AG7" i="2"/>
  <c r="AM7" i="2"/>
  <c r="AS7" i="2"/>
  <c r="AY7" i="2"/>
  <c r="BE7" i="2"/>
  <c r="BQ7" i="2"/>
  <c r="BW7" i="2"/>
  <c r="CC7" i="2"/>
  <c r="CI7" i="2"/>
  <c r="CO7" i="2"/>
  <c r="CU7" i="2"/>
  <c r="DI11" i="2"/>
  <c r="G12" i="2"/>
  <c r="AK12" i="2"/>
  <c r="BI12" i="2"/>
  <c r="BO12" i="2"/>
  <c r="BU12" i="2"/>
  <c r="CA12" i="2"/>
  <c r="CG12" i="2"/>
  <c r="CM12" i="2"/>
  <c r="CS12" i="2"/>
  <c r="K14" i="2"/>
  <c r="AI14" i="2"/>
  <c r="BM14" i="2"/>
  <c r="BS14" i="2"/>
  <c r="BY14" i="2"/>
  <c r="CE14" i="2"/>
  <c r="CK14" i="2"/>
  <c r="CQ14" i="2"/>
  <c r="H15" i="2"/>
  <c r="AF15" i="2"/>
  <c r="AL15" i="2"/>
  <c r="BJ15" i="2"/>
  <c r="BV15" i="2"/>
  <c r="CN15" i="2"/>
  <c r="EF20" i="2"/>
  <c r="K21" i="2"/>
  <c r="Q21" i="2"/>
  <c r="W21" i="2"/>
  <c r="AC21" i="2"/>
  <c r="AI21" i="2"/>
  <c r="AO21" i="2"/>
  <c r="BA21" i="2"/>
  <c r="BG21" i="2"/>
  <c r="BM21" i="2"/>
  <c r="CQ21" i="2"/>
  <c r="DH30" i="2"/>
  <c r="DN30" i="2"/>
  <c r="DT30" i="2"/>
  <c r="DZ30" i="2"/>
  <c r="F31" i="2"/>
  <c r="L31" i="2"/>
  <c r="R31" i="2"/>
  <c r="X31" i="2"/>
  <c r="AD31" i="2"/>
  <c r="AJ31" i="2"/>
  <c r="AP31" i="2"/>
  <c r="AV31" i="2"/>
  <c r="BB31" i="2"/>
  <c r="BH31" i="2"/>
  <c r="BT31" i="2"/>
  <c r="BZ31" i="2"/>
  <c r="CL31" i="2"/>
  <c r="CR31" i="2"/>
  <c r="J32" i="2"/>
  <c r="AH32" i="2"/>
  <c r="AZ32" i="2"/>
  <c r="DH35" i="2"/>
  <c r="DN35" i="2"/>
  <c r="F36" i="2"/>
  <c r="AD36" i="2"/>
  <c r="BB36" i="2"/>
  <c r="AN37" i="2"/>
  <c r="CD37" i="2"/>
  <c r="G54" i="2"/>
  <c r="G53" i="2"/>
  <c r="BL65" i="2"/>
  <c r="BX65" i="2"/>
  <c r="C68" i="2"/>
  <c r="G69" i="2"/>
  <c r="I69" i="2"/>
  <c r="I68" i="2"/>
  <c r="M69" i="2"/>
  <c r="O69" i="2"/>
  <c r="O68" i="2"/>
  <c r="S69" i="2"/>
  <c r="U69" i="2"/>
  <c r="U68" i="2"/>
  <c r="Y69" i="2"/>
  <c r="AA69" i="2"/>
  <c r="AA68" i="2"/>
  <c r="AE69" i="2"/>
  <c r="AG69" i="2"/>
  <c r="AG68" i="2"/>
  <c r="AK69" i="2"/>
  <c r="AM69" i="2"/>
  <c r="AM68" i="2"/>
  <c r="AQ69" i="2"/>
  <c r="AS69" i="2"/>
  <c r="AS68" i="2"/>
  <c r="AW69" i="2"/>
  <c r="AY69" i="2"/>
  <c r="AY68" i="2"/>
  <c r="BC69" i="2"/>
  <c r="BE69" i="2"/>
  <c r="BE68" i="2"/>
  <c r="BI69" i="2"/>
  <c r="BK69" i="2"/>
  <c r="BK68" i="2"/>
  <c r="BO69" i="2"/>
  <c r="BQ69" i="2"/>
  <c r="BQ68" i="2"/>
  <c r="BU69" i="2"/>
  <c r="BW69" i="2"/>
  <c r="BW68" i="2"/>
  <c r="CA69" i="2"/>
  <c r="CC69" i="2"/>
  <c r="CC68" i="2"/>
  <c r="DY95" i="2"/>
  <c r="BM97" i="2"/>
  <c r="BI98" i="2"/>
  <c r="BM15" i="4"/>
  <c r="CO154" i="2"/>
  <c r="CP155" i="2" s="1"/>
  <c r="CO131" i="2"/>
  <c r="CP100" i="2"/>
  <c r="CS101" i="2"/>
  <c r="BS15" i="4"/>
  <c r="CU101" i="2"/>
  <c r="CU100" i="2"/>
  <c r="CU131" i="2"/>
  <c r="CU102" i="2" s="1"/>
  <c r="DY101" i="2"/>
  <c r="CA101" i="2"/>
  <c r="DX101" i="2"/>
  <c r="BK132" i="2"/>
  <c r="CU154" i="2"/>
  <c r="CA256" i="2"/>
  <c r="CA252" i="2"/>
  <c r="CA106" i="2"/>
  <c r="CA276" i="2"/>
  <c r="DM5" i="2"/>
  <c r="BA7" i="2"/>
  <c r="CE7" i="2"/>
  <c r="CU13" i="2"/>
  <c r="G14" i="2"/>
  <c r="AE14" i="2"/>
  <c r="DO5" i="2"/>
  <c r="G6" i="2"/>
  <c r="CM6" i="2"/>
  <c r="Y7" i="2"/>
  <c r="CA7" i="2"/>
  <c r="AI12" i="2"/>
  <c r="AM14" i="2"/>
  <c r="BK14" i="2"/>
  <c r="CO14" i="2"/>
  <c r="CD256" i="2"/>
  <c r="CD252" i="2"/>
  <c r="CB6" i="2"/>
  <c r="CN7" i="2"/>
  <c r="BH12" i="2"/>
  <c r="BT12" i="2"/>
  <c r="CF12" i="2"/>
  <c r="CR12" i="2"/>
  <c r="F13" i="2"/>
  <c r="AP13" i="2"/>
  <c r="BB13" i="2"/>
  <c r="BT13" i="2"/>
  <c r="CL13" i="2"/>
  <c r="D14" i="2"/>
  <c r="V14" i="2"/>
  <c r="AN14" i="2"/>
  <c r="CD14" i="2"/>
  <c r="AE2" i="2"/>
  <c r="AK2" i="2"/>
  <c r="BZ252" i="2"/>
  <c r="BZ256" i="2"/>
  <c r="ED5" i="2"/>
  <c r="J6" i="2"/>
  <c r="P6" i="2"/>
  <c r="V6" i="2"/>
  <c r="AB6" i="2"/>
  <c r="AH6" i="2"/>
  <c r="AN6" i="2"/>
  <c r="AT6" i="2"/>
  <c r="AZ6" i="2"/>
  <c r="BL6" i="2"/>
  <c r="BR6" i="2"/>
  <c r="BX6" i="2"/>
  <c r="CD6" i="2"/>
  <c r="CJ6" i="2"/>
  <c r="CP6" i="2"/>
  <c r="BX7" i="2"/>
  <c r="CD7" i="2"/>
  <c r="DH8" i="2"/>
  <c r="F9" i="2"/>
  <c r="H12" i="2"/>
  <c r="AF12" i="2"/>
  <c r="AL12" i="2"/>
  <c r="AX12" i="2"/>
  <c r="BJ12" i="2"/>
  <c r="BP12" i="2"/>
  <c r="BV12" i="2"/>
  <c r="CB12" i="2"/>
  <c r="CH12" i="2"/>
  <c r="CN12" i="2"/>
  <c r="CT12" i="2"/>
  <c r="BQ15" i="2"/>
  <c r="BW15" i="2"/>
  <c r="CC15" i="2"/>
  <c r="F21" i="2"/>
  <c r="AD21" i="2"/>
  <c r="BB21" i="2"/>
  <c r="EA30" i="2"/>
  <c r="EA35" i="2"/>
  <c r="BO96" i="2"/>
  <c r="DX105" i="2"/>
  <c r="DY105" i="2"/>
  <c r="DX161" i="2"/>
  <c r="BO152" i="2"/>
  <c r="BQ151" i="2"/>
  <c r="BQ152" i="2"/>
  <c r="CF256" i="2"/>
  <c r="BK264" i="2"/>
  <c r="BK272" i="2" s="1"/>
  <c r="F68" i="2"/>
  <c r="L68" i="2"/>
  <c r="R68" i="2"/>
  <c r="X68" i="2"/>
  <c r="AD68" i="2"/>
  <c r="AJ68" i="2"/>
  <c r="AP68" i="2"/>
  <c r="AV68" i="2"/>
  <c r="BB68" i="2"/>
  <c r="BH68" i="2"/>
  <c r="BN68" i="2"/>
  <c r="BT68" i="2"/>
  <c r="BZ68" i="2"/>
  <c r="DW77" i="2"/>
  <c r="EC77" i="2"/>
  <c r="BE80" i="2"/>
  <c r="BI81" i="2"/>
  <c r="CV93" i="2"/>
  <c r="DW93" i="2"/>
  <c r="ED93" i="2"/>
  <c r="BZ94" i="2"/>
  <c r="BV97" i="2"/>
  <c r="DZ95" i="2"/>
  <c r="EA95" i="2"/>
  <c r="BP96" i="2"/>
  <c r="BW96" i="2"/>
  <c r="BG97" i="2"/>
  <c r="BN97" i="2"/>
  <c r="CC97" i="2"/>
  <c r="EC97" i="2"/>
  <c r="BJ98" i="2"/>
  <c r="BY98" i="2"/>
  <c r="AZ15" i="4"/>
  <c r="CB101" i="2"/>
  <c r="CP101" i="2"/>
  <c r="BP102" i="2"/>
  <c r="DW109" i="2"/>
  <c r="BB110" i="2"/>
  <c r="BN110" i="2"/>
  <c r="BT110" i="2"/>
  <c r="BZ110" i="2"/>
  <c r="DU111" i="2"/>
  <c r="BB114" i="2"/>
  <c r="BN166" i="2"/>
  <c r="BO167" i="2" s="1"/>
  <c r="BN114" i="2"/>
  <c r="BR113" i="2"/>
  <c r="DX111" i="2"/>
  <c r="DY113" i="2" s="1"/>
  <c r="BN112" i="2"/>
  <c r="CN115" i="2"/>
  <c r="DZ118" i="2"/>
  <c r="CC123" i="2"/>
  <c r="CB115" i="2"/>
  <c r="CB126" i="2"/>
  <c r="CB124" i="2"/>
  <c r="DT131" i="2"/>
  <c r="DT130" i="2" s="1"/>
  <c r="BL151" i="2"/>
  <c r="BR151" i="2"/>
  <c r="CL152" i="2"/>
  <c r="CR152" i="2"/>
  <c r="DZ154" i="2"/>
  <c r="BV155" i="2"/>
  <c r="CS158" i="2"/>
  <c r="CT159" i="2" s="1"/>
  <c r="CC158" i="2"/>
  <c r="EA158" i="2" s="1"/>
  <c r="CD161" i="2"/>
  <c r="CR162" i="2"/>
  <c r="EE162" i="2" s="1"/>
  <c r="CO164" i="2"/>
  <c r="CP163" i="2"/>
  <c r="CO163" i="2"/>
  <c r="CF167" i="2"/>
  <c r="EB166" i="2"/>
  <c r="CM168" i="2"/>
  <c r="CQ168" i="2"/>
  <c r="CS168" i="2"/>
  <c r="CS167" i="2"/>
  <c r="BC170" i="2"/>
  <c r="BD173" i="2"/>
  <c r="EC179" i="2"/>
  <c r="CH197" i="2"/>
  <c r="CH196" i="2"/>
  <c r="CH193" i="2"/>
  <c r="CH192" i="2"/>
  <c r="CH191" i="2"/>
  <c r="CI193" i="2"/>
  <c r="CH194" i="2"/>
  <c r="EQ27" i="3"/>
  <c r="EP27" i="3"/>
  <c r="BR90" i="2"/>
  <c r="BK98" i="2"/>
  <c r="BQ96" i="2"/>
  <c r="BW97" i="2"/>
  <c r="BA15" i="4"/>
  <c r="BO51" i="4"/>
  <c r="BO15" i="4"/>
  <c r="CQ101" i="2"/>
  <c r="CQ154" i="2"/>
  <c r="CQ131" i="2"/>
  <c r="CQ102" i="2" s="1"/>
  <c r="DZ101" i="2"/>
  <c r="CC101" i="2"/>
  <c r="BC110" i="2"/>
  <c r="BC106" i="2"/>
  <c r="BI264" i="2"/>
  <c r="BI272" i="2" s="1"/>
  <c r="BI110" i="2"/>
  <c r="BI106" i="2"/>
  <c r="EB113" i="2"/>
  <c r="BC114" i="2"/>
  <c r="BN102" i="2"/>
  <c r="BN122" i="2"/>
  <c r="BN264" i="2"/>
  <c r="BR266" i="2" s="1"/>
  <c r="BT102" i="2"/>
  <c r="BT132" i="2"/>
  <c r="BT122" i="2"/>
  <c r="BT114" i="2"/>
  <c r="BZ102" i="2"/>
  <c r="BZ132" i="2"/>
  <c r="BZ122" i="2"/>
  <c r="BZ114" i="2"/>
  <c r="BC132" i="2"/>
  <c r="BO132" i="2"/>
  <c r="BQ155" i="2"/>
  <c r="BQ156" i="2"/>
  <c r="BW155" i="2"/>
  <c r="BW156" i="2"/>
  <c r="BU156" i="2"/>
  <c r="BT159" i="2"/>
  <c r="BT160" i="2"/>
  <c r="BZ159" i="2"/>
  <c r="CQ160" i="2"/>
  <c r="CM159" i="2"/>
  <c r="CU159" i="2"/>
  <c r="BQ167" i="2"/>
  <c r="BQ168" i="2"/>
  <c r="BW167" i="2"/>
  <c r="ED179" i="2"/>
  <c r="CO186" i="2"/>
  <c r="CO193" i="2" s="1"/>
  <c r="DX255" i="2"/>
  <c r="BT264" i="2"/>
  <c r="AC71" i="3"/>
  <c r="AC13" i="3"/>
  <c r="CL71" i="3"/>
  <c r="CL13" i="3"/>
  <c r="CS20" i="3"/>
  <c r="B56" i="3"/>
  <c r="B32" i="3"/>
  <c r="CH41" i="3"/>
  <c r="CD42" i="3"/>
  <c r="CK42" i="3"/>
  <c r="DQ42" i="3"/>
  <c r="DY77" i="2"/>
  <c r="EE77" i="2"/>
  <c r="DU79" i="2"/>
  <c r="DY93" i="2"/>
  <c r="BF96" i="2"/>
  <c r="BL96" i="2"/>
  <c r="BR96" i="2"/>
  <c r="BK96" i="2"/>
  <c r="BQ97" i="2"/>
  <c r="BC15" i="4"/>
  <c r="CE101" i="2"/>
  <c r="CE154" i="2"/>
  <c r="BJ40" i="4"/>
  <c r="BJ15" i="4"/>
  <c r="CL102" i="2"/>
  <c r="CL154" i="2"/>
  <c r="CP156" i="2" s="1"/>
  <c r="BP15" i="4"/>
  <c r="CR154" i="2"/>
  <c r="DU101" i="2"/>
  <c r="BI102" i="2"/>
  <c r="CD99" i="2"/>
  <c r="CD131" i="2" s="1"/>
  <c r="CD106" i="2" s="1"/>
  <c r="CD105" i="2"/>
  <c r="DU161" i="2"/>
  <c r="DU105" i="2"/>
  <c r="DZ109" i="2"/>
  <c r="BD112" i="2"/>
  <c r="BJ114" i="2"/>
  <c r="BJ112" i="2"/>
  <c r="DV131" i="2"/>
  <c r="DV114" i="2" s="1"/>
  <c r="EC113" i="2"/>
  <c r="BJ113" i="2"/>
  <c r="BZ118" i="2"/>
  <c r="BD131" i="2"/>
  <c r="CB122" i="2"/>
  <c r="CB114" i="2"/>
  <c r="CB133" i="2"/>
  <c r="CB134" i="2"/>
  <c r="BB134" i="2"/>
  <c r="BN134" i="2"/>
  <c r="BZ134" i="2"/>
  <c r="CH151" i="2"/>
  <c r="EC150" i="2"/>
  <c r="BL155" i="2"/>
  <c r="BR155" i="2"/>
  <c r="BX155" i="2"/>
  <c r="BU160" i="2"/>
  <c r="BU159" i="2"/>
  <c r="BU161" i="2"/>
  <c r="CA160" i="2"/>
  <c r="CA159" i="2"/>
  <c r="BY160" i="2"/>
  <c r="BS167" i="2"/>
  <c r="BR167" i="2"/>
  <c r="CI195" i="2"/>
  <c r="CI191" i="2"/>
  <c r="CI194" i="2"/>
  <c r="CI190" i="2"/>
  <c r="DU262" i="2"/>
  <c r="P20" i="3"/>
  <c r="P9" i="3"/>
  <c r="DP71" i="3"/>
  <c r="DP13" i="3"/>
  <c r="H56" i="3"/>
  <c r="H32" i="3"/>
  <c r="H23" i="3"/>
  <c r="DZ22" i="3"/>
  <c r="AG27" i="3"/>
  <c r="CN28" i="3"/>
  <c r="CR26" i="3"/>
  <c r="EJ32" i="3"/>
  <c r="BK42" i="3"/>
  <c r="DM148" i="3"/>
  <c r="DQ146" i="3"/>
  <c r="DZ77" i="2"/>
  <c r="BR88" i="2"/>
  <c r="CW91" i="2"/>
  <c r="DW95" i="2"/>
  <c r="BE96" i="2"/>
  <c r="BT96" i="2"/>
  <c r="BK97" i="2"/>
  <c r="BK15" i="4"/>
  <c r="CM154" i="2"/>
  <c r="CM131" i="2"/>
  <c r="CM118" i="2" s="1"/>
  <c r="CM100" i="2"/>
  <c r="BQ62" i="4"/>
  <c r="BQ15" i="4"/>
  <c r="CS154" i="2"/>
  <c r="CS131" i="2"/>
  <c r="CS102" i="2" s="1"/>
  <c r="CS100" i="2"/>
  <c r="CE131" i="2"/>
  <c r="CE106" i="2" s="1"/>
  <c r="CF103" i="2"/>
  <c r="CD104" i="2"/>
  <c r="CE105" i="2"/>
  <c r="BE112" i="2"/>
  <c r="BO113" i="2"/>
  <c r="BK112" i="2"/>
  <c r="DW111" i="2"/>
  <c r="BK113" i="2"/>
  <c r="BE131" i="2"/>
  <c r="BI133" i="2" s="1"/>
  <c r="BP264" i="2"/>
  <c r="BP132" i="2"/>
  <c r="BP122" i="2"/>
  <c r="BP114" i="2"/>
  <c r="BP118" i="2"/>
  <c r="BP134" i="2"/>
  <c r="BV264" i="2"/>
  <c r="BV132" i="2"/>
  <c r="BV122" i="2"/>
  <c r="BV114" i="2"/>
  <c r="BV133" i="2"/>
  <c r="BV118" i="2"/>
  <c r="BV134" i="2"/>
  <c r="CC131" i="2"/>
  <c r="BN133" i="2"/>
  <c r="BZ133" i="2"/>
  <c r="BC134" i="2"/>
  <c r="CI151" i="2"/>
  <c r="CO151" i="2"/>
  <c r="CO152" i="2"/>
  <c r="BU152" i="2"/>
  <c r="BV153" i="2"/>
  <c r="DZ161" i="2"/>
  <c r="BZ160" i="2"/>
  <c r="BT161" i="2"/>
  <c r="BL163" i="2"/>
  <c r="DY162" i="2"/>
  <c r="BR164" i="2"/>
  <c r="BR163" i="2"/>
  <c r="BY164" i="2"/>
  <c r="BY163" i="2"/>
  <c r="EE184" i="2"/>
  <c r="DV262" i="2"/>
  <c r="BB264" i="2"/>
  <c r="DW268" i="2"/>
  <c r="BJ269" i="2"/>
  <c r="BJ270" i="2"/>
  <c r="DU268" i="2"/>
  <c r="BD269" i="2"/>
  <c r="BS284" i="2"/>
  <c r="BS287" i="2"/>
  <c r="BS286" i="2"/>
  <c r="BT284" i="2"/>
  <c r="BY284" i="2"/>
  <c r="BY287" i="2"/>
  <c r="BZ288" i="2" s="1"/>
  <c r="BY286" i="2"/>
  <c r="BZ284" i="2"/>
  <c r="BY285" i="2"/>
  <c r="BB290" i="2"/>
  <c r="BF289" i="2"/>
  <c r="BH290" i="2"/>
  <c r="BH288" i="2"/>
  <c r="BH289" i="2"/>
  <c r="BI288" i="2"/>
  <c r="BN290" i="2"/>
  <c r="BN288" i="2"/>
  <c r="BN289" i="2"/>
  <c r="BO288" i="2"/>
  <c r="BC288" i="2"/>
  <c r="BL289" i="2"/>
  <c r="U9" i="3"/>
  <c r="W71" i="3"/>
  <c r="W13" i="3"/>
  <c r="Z10" i="3"/>
  <c r="BT71" i="3"/>
  <c r="BT13" i="3"/>
  <c r="BV18" i="3"/>
  <c r="BX17" i="3"/>
  <c r="BX18" i="3" s="1"/>
  <c r="DF18" i="3"/>
  <c r="H24" i="3"/>
  <c r="AE26" i="3"/>
  <c r="AA27" i="3"/>
  <c r="Z34" i="3"/>
  <c r="D68" i="2"/>
  <c r="J68" i="2"/>
  <c r="P68" i="2"/>
  <c r="V68" i="2"/>
  <c r="AB68" i="2"/>
  <c r="AH68" i="2"/>
  <c r="AN68" i="2"/>
  <c r="AT68" i="2"/>
  <c r="AZ68" i="2"/>
  <c r="BF68" i="2"/>
  <c r="BL68" i="2"/>
  <c r="BR68" i="2"/>
  <c r="BX68" i="2"/>
  <c r="DU77" i="2"/>
  <c r="DU81" i="2" s="1"/>
  <c r="EA77" i="2"/>
  <c r="BC80" i="2"/>
  <c r="BI80" i="2"/>
  <c r="DZ93" i="2"/>
  <c r="BB94" i="2"/>
  <c r="BI94" i="2"/>
  <c r="DX95" i="2"/>
  <c r="BL97" i="2"/>
  <c r="BV98" i="2"/>
  <c r="BR15" i="4"/>
  <c r="CT101" i="2"/>
  <c r="CC100" i="2"/>
  <c r="CQ100" i="2"/>
  <c r="BV102" i="2"/>
  <c r="CE104" i="2"/>
  <c r="DZ105" i="2"/>
  <c r="BP106" i="2"/>
  <c r="BV106" i="2"/>
  <c r="EE109" i="2"/>
  <c r="BP168" i="2"/>
  <c r="DY114" i="2"/>
  <c r="BI112" i="2"/>
  <c r="BN113" i="2"/>
  <c r="ED113" i="2"/>
  <c r="BI114" i="2"/>
  <c r="CA117" i="2"/>
  <c r="CK116" i="2"/>
  <c r="BT118" i="2"/>
  <c r="BH131" i="2"/>
  <c r="BI132" i="2" s="1"/>
  <c r="BQ94" i="2"/>
  <c r="BQ264" i="2"/>
  <c r="BQ134" i="2"/>
  <c r="BU133" i="2"/>
  <c r="BQ102" i="2"/>
  <c r="BW94" i="2"/>
  <c r="BW134" i="2"/>
  <c r="BW264" i="2"/>
  <c r="BW102" i="2"/>
  <c r="CR131" i="2"/>
  <c r="CR102" i="2" s="1"/>
  <c r="BU132" i="2"/>
  <c r="CJ151" i="2"/>
  <c r="CP151" i="2"/>
  <c r="CM152" i="2"/>
  <c r="BT156" i="2"/>
  <c r="CB154" i="2"/>
  <c r="CT154" i="2"/>
  <c r="BO156" i="2"/>
  <c r="BM163" i="2"/>
  <c r="BQ164" i="2"/>
  <c r="BS164" i="2"/>
  <c r="BS163" i="2"/>
  <c r="BX163" i="2"/>
  <c r="CT163" i="2"/>
  <c r="BT163" i="2"/>
  <c r="BT164" i="2"/>
  <c r="BU163" i="2"/>
  <c r="DY166" i="2"/>
  <c r="BV168" i="2"/>
  <c r="DV251" i="2"/>
  <c r="BC264" i="2"/>
  <c r="BC272" i="2" s="1"/>
  <c r="BE270" i="2"/>
  <c r="BE269" i="2"/>
  <c r="BK270" i="2"/>
  <c r="BK269" i="2"/>
  <c r="AX267" i="2"/>
  <c r="AX256" i="2"/>
  <c r="AX275" i="2"/>
  <c r="AX271" i="2"/>
  <c r="BW282" i="2"/>
  <c r="BW280" i="2"/>
  <c r="BW287" i="2"/>
  <c r="BX280" i="2"/>
  <c r="BW281" i="2"/>
  <c r="N71" i="3"/>
  <c r="N13" i="3"/>
  <c r="AU77" i="3"/>
  <c r="AU10" i="3"/>
  <c r="DM56" i="3"/>
  <c r="DM107" i="3" s="1"/>
  <c r="DM32" i="3"/>
  <c r="DM35" i="3" s="1"/>
  <c r="DM41" i="3" s="1"/>
  <c r="DM23" i="3"/>
  <c r="BG84" i="3"/>
  <c r="BG86" i="3" s="1"/>
  <c r="BH82" i="3"/>
  <c r="T128" i="3"/>
  <c r="U128" i="3" s="1"/>
  <c r="DU109" i="2"/>
  <c r="EA109" i="2"/>
  <c r="BF113" i="2"/>
  <c r="BL113" i="2"/>
  <c r="BF131" i="2"/>
  <c r="BJ133" i="2" s="1"/>
  <c r="BL131" i="2"/>
  <c r="BP133" i="2" s="1"/>
  <c r="CP131" i="2"/>
  <c r="BS132" i="2"/>
  <c r="BY132" i="2"/>
  <c r="BO151" i="2"/>
  <c r="CM151" i="2"/>
  <c r="BO155" i="2"/>
  <c r="BU155" i="2"/>
  <c r="CN158" i="2"/>
  <c r="BX159" i="2"/>
  <c r="CB160" i="2"/>
  <c r="CP160" i="2"/>
  <c r="BN163" i="2"/>
  <c r="BZ163" i="2"/>
  <c r="CL163" i="2"/>
  <c r="CU163" i="2"/>
  <c r="CG168" i="2"/>
  <c r="CN167" i="2"/>
  <c r="CO167" i="2"/>
  <c r="CT190" i="2"/>
  <c r="CL192" i="2"/>
  <c r="CL193" i="2"/>
  <c r="CQ194" i="2"/>
  <c r="CH195" i="2"/>
  <c r="CL196" i="2"/>
  <c r="CP230" i="2"/>
  <c r="CR230" i="2"/>
  <c r="DW251" i="2"/>
  <c r="DW255" i="2"/>
  <c r="BF269" i="2"/>
  <c r="BL269" i="2"/>
  <c r="DX268" i="2"/>
  <c r="AY263" i="2"/>
  <c r="AY271" i="2"/>
  <c r="CA290" i="2"/>
  <c r="AF71" i="3"/>
  <c r="AF13" i="3"/>
  <c r="DJ71" i="3"/>
  <c r="DJ13" i="3"/>
  <c r="AG116" i="3"/>
  <c r="AG10" i="3"/>
  <c r="AH11" i="3"/>
  <c r="BL14" i="3"/>
  <c r="BL22" i="3"/>
  <c r="BM15" i="3"/>
  <c r="CV14" i="3"/>
  <c r="CT18" i="3"/>
  <c r="CW17" i="3"/>
  <c r="CW18" i="3" s="1"/>
  <c r="CB20" i="3"/>
  <c r="CC19" i="3"/>
  <c r="CC20" i="3" s="1"/>
  <c r="DV20" i="3"/>
  <c r="EF26" i="3"/>
  <c r="EC28" i="3"/>
  <c r="DQ34" i="3"/>
  <c r="BC42" i="3"/>
  <c r="BD42" i="3" s="1"/>
  <c r="BD41" i="3"/>
  <c r="BA88" i="3"/>
  <c r="BA93" i="3" s="1"/>
  <c r="AZ93" i="3"/>
  <c r="DA124" i="3"/>
  <c r="DB124" i="3" s="1"/>
  <c r="CV105" i="2"/>
  <c r="DV105" i="2"/>
  <c r="DV109" i="2"/>
  <c r="EB109" i="2"/>
  <c r="BM167" i="2"/>
  <c r="BG113" i="2"/>
  <c r="BM113" i="2"/>
  <c r="CL116" i="2"/>
  <c r="CN119" i="2"/>
  <c r="DD123" i="2"/>
  <c r="DC125" i="2"/>
  <c r="BG131" i="2"/>
  <c r="BM131" i="2"/>
  <c r="BN132" i="2" s="1"/>
  <c r="DX150" i="2"/>
  <c r="ED150" i="2"/>
  <c r="BR152" i="2"/>
  <c r="CP152" i="2"/>
  <c r="DX154" i="2"/>
  <c r="BR156" i="2"/>
  <c r="BX156" i="2"/>
  <c r="BR159" i="2"/>
  <c r="BV160" i="2"/>
  <c r="BV161" i="2"/>
  <c r="ED162" i="2"/>
  <c r="CA163" i="2"/>
  <c r="CH167" i="2"/>
  <c r="EC166" i="2"/>
  <c r="CG167" i="2"/>
  <c r="CI168" i="2"/>
  <c r="EE180" i="2"/>
  <c r="CK184" i="2"/>
  <c r="CK186" i="2" s="1"/>
  <c r="CQ191" i="2"/>
  <c r="CE192" i="2"/>
  <c r="CE193" i="2"/>
  <c r="CR194" i="2"/>
  <c r="CQ195" i="2"/>
  <c r="CE196" i="2"/>
  <c r="CL197" i="2"/>
  <c r="CP229" i="2"/>
  <c r="CT230" i="2"/>
  <c r="BO242" i="2"/>
  <c r="BO264" i="2"/>
  <c r="BL270" i="2"/>
  <c r="AZ273" i="2"/>
  <c r="BY275" i="2"/>
  <c r="BY252" i="2"/>
  <c r="BY276" i="2"/>
  <c r="BY267" i="2"/>
  <c r="BT280" i="2"/>
  <c r="BT282" i="2"/>
  <c r="BZ280" i="2"/>
  <c r="BZ282" i="2"/>
  <c r="BE290" i="2"/>
  <c r="BE288" i="2"/>
  <c r="BK289" i="2"/>
  <c r="BK290" i="2"/>
  <c r="BK288" i="2"/>
  <c r="BQ289" i="2"/>
  <c r="BQ290" i="2"/>
  <c r="BQ288" i="2"/>
  <c r="AD243" i="3"/>
  <c r="AD90" i="3"/>
  <c r="AD20" i="3"/>
  <c r="AD66" i="3"/>
  <c r="AD9" i="3"/>
  <c r="AD18" i="3"/>
  <c r="AD13" i="3"/>
  <c r="AF8" i="3"/>
  <c r="AE7" i="3"/>
  <c r="BI9" i="3"/>
  <c r="CM9" i="3"/>
  <c r="CI22" i="3"/>
  <c r="CI14" i="3"/>
  <c r="DD71" i="3"/>
  <c r="DG10" i="3"/>
  <c r="DD13" i="3"/>
  <c r="BZ116" i="3"/>
  <c r="CA11" i="3"/>
  <c r="J14" i="3"/>
  <c r="J15" i="3"/>
  <c r="J22" i="3"/>
  <c r="DH14" i="3"/>
  <c r="DH22" i="3"/>
  <c r="P18" i="3"/>
  <c r="CN18" i="3"/>
  <c r="CR17" i="3"/>
  <c r="CR18" i="3" s="1"/>
  <c r="EA17" i="3"/>
  <c r="EA18" i="3" s="1"/>
  <c r="DX18" i="3"/>
  <c r="BC20" i="3"/>
  <c r="BD19" i="3"/>
  <c r="BD20" i="3" s="1"/>
  <c r="DW28" i="3"/>
  <c r="EA26" i="3"/>
  <c r="CH34" i="3"/>
  <c r="Y74" i="3"/>
  <c r="Z72" i="3"/>
  <c r="DY150" i="2"/>
  <c r="DY154" i="2"/>
  <c r="DY158" i="2"/>
  <c r="BP164" i="2"/>
  <c r="BV164" i="2"/>
  <c r="CB164" i="2"/>
  <c r="CN164" i="2"/>
  <c r="DX162" i="2"/>
  <c r="CB163" i="2"/>
  <c r="BZ164" i="2"/>
  <c r="BU168" i="2"/>
  <c r="CP168" i="2"/>
  <c r="CQ167" i="2"/>
  <c r="CI167" i="2"/>
  <c r="BS168" i="2"/>
  <c r="CF192" i="2"/>
  <c r="CF193" i="2"/>
  <c r="CT194" i="2"/>
  <c r="CF196" i="2"/>
  <c r="BB270" i="2"/>
  <c r="BC269" i="2"/>
  <c r="BH270" i="2"/>
  <c r="BI269" i="2"/>
  <c r="BN270" i="2"/>
  <c r="BH269" i="2"/>
  <c r="BA275" i="2"/>
  <c r="BA267" i="2"/>
  <c r="BZ276" i="2"/>
  <c r="BV287" i="2"/>
  <c r="BV286" i="2"/>
  <c r="BV284" i="2"/>
  <c r="BW284" i="2"/>
  <c r="CX71" i="3"/>
  <c r="DB10" i="3"/>
  <c r="CX13" i="3"/>
  <c r="DM14" i="3"/>
  <c r="EH71" i="3"/>
  <c r="EK10" i="3"/>
  <c r="EH13" i="3"/>
  <c r="D14" i="3"/>
  <c r="D15" i="3"/>
  <c r="D22" i="3"/>
  <c r="DV17" i="3"/>
  <c r="DV18" i="3" s="1"/>
  <c r="DR18" i="3"/>
  <c r="CR27" i="3"/>
  <c r="CO28" i="3"/>
  <c r="EQ64" i="3"/>
  <c r="ER64" i="3" s="1"/>
  <c r="ES64" i="3" s="1"/>
  <c r="ET64" i="3" s="1"/>
  <c r="EP64" i="3"/>
  <c r="BX96" i="2"/>
  <c r="BN15" i="4"/>
  <c r="DW101" i="2"/>
  <c r="DX109" i="2"/>
  <c r="ED109" i="2"/>
  <c r="BG112" i="2"/>
  <c r="BM112" i="2"/>
  <c r="BI113" i="2"/>
  <c r="EE113" i="2"/>
  <c r="BR118" i="2"/>
  <c r="BX118" i="2"/>
  <c r="BR133" i="2"/>
  <c r="BS134" i="2"/>
  <c r="BS159" i="2"/>
  <c r="BY159" i="2"/>
  <c r="CQ159" i="2"/>
  <c r="BX160" i="2"/>
  <c r="BY161" i="2"/>
  <c r="BV163" i="2"/>
  <c r="CC163" i="2"/>
  <c r="BP167" i="2"/>
  <c r="BV167" i="2"/>
  <c r="CE167" i="2"/>
  <c r="CJ168" i="2"/>
  <c r="CJ167" i="2"/>
  <c r="CF190" i="2"/>
  <c r="CT191" i="2"/>
  <c r="CQ192" i="2"/>
  <c r="CQ193" i="2"/>
  <c r="CE194" i="2"/>
  <c r="CT195" i="2"/>
  <c r="CQ196" i="2"/>
  <c r="CS230" i="2"/>
  <c r="CS229" i="2"/>
  <c r="DX241" i="2"/>
  <c r="BP243" i="2"/>
  <c r="BY243" i="2"/>
  <c r="DX262" i="2"/>
  <c r="AY267" i="2"/>
  <c r="BF270" i="2"/>
  <c r="CA273" i="2"/>
  <c r="AY273" i="2"/>
  <c r="BZ273" i="2"/>
  <c r="BZ275" i="2"/>
  <c r="CO90" i="3"/>
  <c r="CO66" i="3"/>
  <c r="CO13" i="3"/>
  <c r="CO20" i="3"/>
  <c r="CO8" i="3"/>
  <c r="CO9" i="3"/>
  <c r="DG20" i="3"/>
  <c r="DG9" i="3"/>
  <c r="EK20" i="3"/>
  <c r="EK9" i="3"/>
  <c r="AD8" i="3"/>
  <c r="AI9" i="3"/>
  <c r="DL9" i="3"/>
  <c r="P10" i="3"/>
  <c r="AA14" i="3"/>
  <c r="AA22" i="3"/>
  <c r="BZ10" i="3"/>
  <c r="EF10" i="3"/>
  <c r="EB13" i="3"/>
  <c r="S116" i="3"/>
  <c r="S10" i="3"/>
  <c r="T11" i="3"/>
  <c r="U11" i="3" s="1"/>
  <c r="E15" i="3"/>
  <c r="DB17" i="3"/>
  <c r="DB18" i="3" s="1"/>
  <c r="CT28" i="3"/>
  <c r="CW26" i="3"/>
  <c r="CM27" i="3"/>
  <c r="CI28" i="3"/>
  <c r="BS34" i="3"/>
  <c r="BV280" i="2"/>
  <c r="BU281" i="2"/>
  <c r="BU284" i="2"/>
  <c r="BT285" i="2"/>
  <c r="BZ285" i="2"/>
  <c r="BR287" i="2"/>
  <c r="BX287" i="2"/>
  <c r="BD288" i="2"/>
  <c r="BJ288" i="2"/>
  <c r="AY9" i="3"/>
  <c r="CC9" i="3"/>
  <c r="CU9" i="3"/>
  <c r="DQ10" i="3"/>
  <c r="K13" i="3"/>
  <c r="I15" i="3"/>
  <c r="CC17" i="3"/>
  <c r="CC18" i="3" s="1"/>
  <c r="DG17" i="3"/>
  <c r="DG18" i="3" s="1"/>
  <c r="EK17" i="3"/>
  <c r="EK18" i="3" s="1"/>
  <c r="CP18" i="3"/>
  <c r="F20" i="3"/>
  <c r="AJ20" i="3"/>
  <c r="DP20" i="3"/>
  <c r="DQ19" i="3"/>
  <c r="DQ20" i="3" s="1"/>
  <c r="U26" i="3"/>
  <c r="DX28" i="3"/>
  <c r="ED28" i="3"/>
  <c r="EK26" i="3"/>
  <c r="DL28" i="3"/>
  <c r="CE42" i="3"/>
  <c r="AA71" i="3"/>
  <c r="BX83" i="3"/>
  <c r="BW84" i="3"/>
  <c r="BX88" i="3"/>
  <c r="BY88" i="3"/>
  <c r="CL126" i="3"/>
  <c r="CM126" i="3" s="1"/>
  <c r="BW146" i="3"/>
  <c r="BX146" i="3" s="1"/>
  <c r="CD190" i="2"/>
  <c r="CJ190" i="2"/>
  <c r="CP190" i="2"/>
  <c r="CD192" i="2"/>
  <c r="CJ192" i="2"/>
  <c r="CP192" i="2"/>
  <c r="CD193" i="2"/>
  <c r="CJ193" i="2"/>
  <c r="CP193" i="2"/>
  <c r="CD196" i="2"/>
  <c r="CJ196" i="2"/>
  <c r="CP196" i="2"/>
  <c r="DY241" i="2"/>
  <c r="BV281" i="2"/>
  <c r="BU282" i="2"/>
  <c r="CN90" i="3"/>
  <c r="CN66" i="3"/>
  <c r="CP9" i="3"/>
  <c r="DL10" i="3"/>
  <c r="CM11" i="3"/>
  <c r="F13" i="3"/>
  <c r="F14" i="3" s="1"/>
  <c r="L13" i="3"/>
  <c r="R13" i="3"/>
  <c r="X13" i="3"/>
  <c r="AP13" i="3"/>
  <c r="AV13" i="3"/>
  <c r="AW15" i="3" s="1"/>
  <c r="G14" i="3"/>
  <c r="DW14" i="3"/>
  <c r="EC14" i="3"/>
  <c r="EF17" i="3"/>
  <c r="EF18" i="3" s="1"/>
  <c r="CN20" i="3"/>
  <c r="DU20" i="3"/>
  <c r="AC27" i="3"/>
  <c r="DG26" i="3"/>
  <c r="DR28" i="3"/>
  <c r="DV26" i="3"/>
  <c r="V27" i="3"/>
  <c r="EF27" i="3"/>
  <c r="CG28" i="3"/>
  <c r="CH28" i="3" s="1"/>
  <c r="P34" i="3"/>
  <c r="BI34" i="3"/>
  <c r="DB34" i="3"/>
  <c r="DL34" i="3"/>
  <c r="DG39" i="3"/>
  <c r="EA39" i="3"/>
  <c r="BX41" i="3"/>
  <c r="CR41" i="3"/>
  <c r="AZ63" i="3"/>
  <c r="AY63" i="3"/>
  <c r="DM71" i="3"/>
  <c r="AQ77" i="3"/>
  <c r="AQ76" i="3" s="1"/>
  <c r="AR76" i="3" s="1"/>
  <c r="AR77" i="3" s="1"/>
  <c r="DM82" i="3"/>
  <c r="DN82" i="3" s="1"/>
  <c r="DO82" i="3" s="1"/>
  <c r="DP82" i="3" s="1"/>
  <c r="AK86" i="3"/>
  <c r="AY83" i="3"/>
  <c r="O86" i="3"/>
  <c r="P86" i="3" s="1"/>
  <c r="CP90" i="3"/>
  <c r="AQ100" i="3"/>
  <c r="AQ104" i="3" s="1"/>
  <c r="EU98" i="3"/>
  <c r="EV98" i="3"/>
  <c r="EW98" i="3" s="1"/>
  <c r="EX98" i="3" s="1"/>
  <c r="EY98" i="3" s="1"/>
  <c r="EZ98" i="3" s="1"/>
  <c r="BW123" i="3"/>
  <c r="BX123" i="3" s="1"/>
  <c r="BB125" i="3"/>
  <c r="BU135" i="3"/>
  <c r="BV135" i="3" s="1"/>
  <c r="BW135" i="3" s="1"/>
  <c r="BW136" i="3" s="1"/>
  <c r="BT136" i="3"/>
  <c r="U141" i="3"/>
  <c r="CU144" i="3"/>
  <c r="CV144" i="3" s="1"/>
  <c r="G32" i="3"/>
  <c r="G56" i="3"/>
  <c r="EC56" i="3"/>
  <c r="EC107" i="3" s="1"/>
  <c r="BI20" i="3"/>
  <c r="E22" i="3"/>
  <c r="BY22" i="3"/>
  <c r="EN26" i="3"/>
  <c r="EM28" i="3"/>
  <c r="CR34" i="3"/>
  <c r="DK74" i="3"/>
  <c r="DL74" i="3" s="1"/>
  <c r="DM63" i="3"/>
  <c r="L71" i="3"/>
  <c r="DK84" i="3"/>
  <c r="DM81" i="3"/>
  <c r="DL81" i="3"/>
  <c r="AL86" i="3"/>
  <c r="DJ84" i="3"/>
  <c r="BJ93" i="3"/>
  <c r="BK88" i="3"/>
  <c r="BK93" i="3" s="1"/>
  <c r="CQ90" i="3"/>
  <c r="EQ92" i="3"/>
  <c r="ER92" i="3" s="1"/>
  <c r="ES92" i="3" s="1"/>
  <c r="ET92" i="3" s="1"/>
  <c r="EP92" i="3"/>
  <c r="BW93" i="3"/>
  <c r="AZ95" i="3"/>
  <c r="BA95" i="3" s="1"/>
  <c r="BB95" i="3" s="1"/>
  <c r="AY95" i="3"/>
  <c r="CM120" i="3"/>
  <c r="CP127" i="3"/>
  <c r="CQ127" i="3" s="1"/>
  <c r="DP136" i="3"/>
  <c r="DQ136" i="3" s="1"/>
  <c r="DQ134" i="3"/>
  <c r="BS280" i="2"/>
  <c r="BY280" i="2"/>
  <c r="BR281" i="2"/>
  <c r="BX281" i="2"/>
  <c r="BX284" i="2"/>
  <c r="BW285" i="2"/>
  <c r="BG288" i="2"/>
  <c r="BM288" i="2"/>
  <c r="CQ8" i="3"/>
  <c r="BN9" i="3"/>
  <c r="AB77" i="3"/>
  <c r="AB116" i="3"/>
  <c r="AE116" i="3" s="1"/>
  <c r="CF11" i="3"/>
  <c r="BS17" i="3"/>
  <c r="BS18" i="3" s="1"/>
  <c r="DB19" i="3"/>
  <c r="DB20" i="3" s="1"/>
  <c r="AX20" i="3"/>
  <c r="CP20" i="3"/>
  <c r="DC22" i="3"/>
  <c r="DB26" i="3"/>
  <c r="CX28" i="3"/>
  <c r="X27" i="3"/>
  <c r="X28" i="3" s="1"/>
  <c r="Z28" i="3" s="1"/>
  <c r="DD28" i="3"/>
  <c r="DG27" i="3"/>
  <c r="DL27" i="3"/>
  <c r="DV27" i="3"/>
  <c r="CM34" i="3"/>
  <c r="EF34" i="3"/>
  <c r="EK39" i="3"/>
  <c r="CW41" i="3"/>
  <c r="DC42" i="3"/>
  <c r="CP42" i="3"/>
  <c r="AR155" i="3"/>
  <c r="AS154" i="3"/>
  <c r="EH155" i="3"/>
  <c r="EI154" i="3"/>
  <c r="BR74" i="3"/>
  <c r="BS74" i="3" s="1"/>
  <c r="BT63" i="3"/>
  <c r="DL63" i="3"/>
  <c r="EH64" i="3"/>
  <c r="BS82" i="3"/>
  <c r="BQ84" i="3"/>
  <c r="BQ86" i="3" s="1"/>
  <c r="BM93" i="3"/>
  <c r="BO88" i="3"/>
  <c r="BN88" i="3"/>
  <c r="CH88" i="3"/>
  <c r="CG93" i="3"/>
  <c r="EP91" i="3"/>
  <c r="EQ91" i="3"/>
  <c r="O100" i="3"/>
  <c r="P93" i="3"/>
  <c r="BE97" i="3"/>
  <c r="BF97" i="3" s="1"/>
  <c r="BG97" i="3" s="1"/>
  <c r="BH97" i="3" s="1"/>
  <c r="BD97" i="3"/>
  <c r="CG186" i="2"/>
  <c r="CG193" i="2" s="1"/>
  <c r="CS186" i="2"/>
  <c r="CS195" i="2" s="1"/>
  <c r="CM190" i="2"/>
  <c r="CD191" i="2"/>
  <c r="CJ191" i="2"/>
  <c r="CP191" i="2"/>
  <c r="CM192" i="2"/>
  <c r="CM193" i="2"/>
  <c r="CD194" i="2"/>
  <c r="CJ194" i="2"/>
  <c r="CP194" i="2"/>
  <c r="CS9" i="3"/>
  <c r="AB10" i="3"/>
  <c r="CE10" i="3"/>
  <c r="CW10" i="3"/>
  <c r="EA10" i="3"/>
  <c r="AE11" i="3"/>
  <c r="AM11" i="3"/>
  <c r="BX11" i="3"/>
  <c r="O13" i="3"/>
  <c r="BK13" i="3"/>
  <c r="BL15" i="3" s="1"/>
  <c r="BQ13" i="3"/>
  <c r="BW13" i="3"/>
  <c r="CU13" i="3"/>
  <c r="DA13" i="3"/>
  <c r="DY13" i="3"/>
  <c r="EE13" i="3"/>
  <c r="G15" i="3"/>
  <c r="DW15" i="3"/>
  <c r="DQ17" i="3"/>
  <c r="DQ18" i="3" s="1"/>
  <c r="Z26" i="3"/>
  <c r="AF27" i="3"/>
  <c r="AJ26" i="3"/>
  <c r="CL28" i="3"/>
  <c r="CM26" i="3"/>
  <c r="DU28" i="3"/>
  <c r="CW27" i="3"/>
  <c r="BN28" i="3"/>
  <c r="DV34" i="3"/>
  <c r="BI39" i="3"/>
  <c r="DB39" i="3"/>
  <c r="BN41" i="3"/>
  <c r="BJ42" i="3"/>
  <c r="BN42" i="3" s="1"/>
  <c r="CM41" i="3"/>
  <c r="CQ42" i="3"/>
  <c r="DV42" i="3"/>
  <c r="EO57" i="3"/>
  <c r="EP57" i="3" s="1"/>
  <c r="BL155" i="3"/>
  <c r="BM154" i="3"/>
  <c r="BL74" i="3"/>
  <c r="BS63" i="3"/>
  <c r="AX74" i="3"/>
  <c r="AY74" i="3" s="1"/>
  <c r="AH86" i="3"/>
  <c r="BR84" i="3"/>
  <c r="CI88" i="3"/>
  <c r="AD93" i="3"/>
  <c r="AE92" i="3"/>
  <c r="DM96" i="3"/>
  <c r="DN96" i="3" s="1"/>
  <c r="DO96" i="3" s="1"/>
  <c r="AY116" i="3"/>
  <c r="AI127" i="3"/>
  <c r="AJ127" i="3" s="1"/>
  <c r="AW143" i="3"/>
  <c r="AX143" i="3" s="1"/>
  <c r="AV148" i="3"/>
  <c r="BH116" i="3"/>
  <c r="BH11" i="3" s="1"/>
  <c r="BX116" i="3"/>
  <c r="T119" i="3"/>
  <c r="U119" i="3" s="1"/>
  <c r="BU120" i="3"/>
  <c r="BV120" i="3" s="1"/>
  <c r="BW120" i="3" s="1"/>
  <c r="DE120" i="3"/>
  <c r="DF120" i="3" s="1"/>
  <c r="CL123" i="3"/>
  <c r="CM123" i="3" s="1"/>
  <c r="AC124" i="3"/>
  <c r="AE124" i="3" s="1"/>
  <c r="CV125" i="3"/>
  <c r="CW125" i="3" s="1"/>
  <c r="DA126" i="3"/>
  <c r="DB126" i="3" s="1"/>
  <c r="S127" i="3"/>
  <c r="T127" i="3" s="1"/>
  <c r="AX127" i="3"/>
  <c r="AY127" i="3" s="1"/>
  <c r="CA127" i="3"/>
  <c r="CB127" i="3" s="1"/>
  <c r="BG128" i="3"/>
  <c r="BH128" i="3" s="1"/>
  <c r="BW128" i="3"/>
  <c r="BX128" i="3" s="1"/>
  <c r="CP143" i="3"/>
  <c r="CQ143" i="3" s="1"/>
  <c r="AW144" i="3"/>
  <c r="CW34" i="3"/>
  <c r="EA34" i="3"/>
  <c r="BE120" i="3"/>
  <c r="BL120" i="3"/>
  <c r="BM120" i="3" s="1"/>
  <c r="DX154" i="3"/>
  <c r="EM155" i="3"/>
  <c r="DW64" i="3"/>
  <c r="AS84" i="3"/>
  <c r="BB84" i="3"/>
  <c r="AS100" i="3"/>
  <c r="AT93" i="3"/>
  <c r="BC93" i="3"/>
  <c r="DF116" i="3"/>
  <c r="DG116" i="3" s="1"/>
  <c r="CK119" i="3"/>
  <c r="CL119" i="3" s="1"/>
  <c r="X120" i="3"/>
  <c r="Y120" i="3" s="1"/>
  <c r="DA123" i="3"/>
  <c r="DB123" i="3" s="1"/>
  <c r="AS124" i="3"/>
  <c r="AT124" i="3" s="1"/>
  <c r="AM125" i="3"/>
  <c r="BM127" i="3"/>
  <c r="BN127" i="3" s="1"/>
  <c r="DG128" i="3"/>
  <c r="W136" i="3"/>
  <c r="Y134" i="3"/>
  <c r="BC134" i="3"/>
  <c r="BD134" i="3" s="1"/>
  <c r="BZ136" i="3"/>
  <c r="CA134" i="3"/>
  <c r="CO136" i="3"/>
  <c r="CP134" i="3"/>
  <c r="X136" i="3"/>
  <c r="Y135" i="3"/>
  <c r="Z135" i="3" s="1"/>
  <c r="AV135" i="3"/>
  <c r="AU136" i="3"/>
  <c r="S143" i="3"/>
  <c r="T143" i="3" s="1"/>
  <c r="DC148" i="3"/>
  <c r="DD146" i="3"/>
  <c r="DE146" i="3" s="1"/>
  <c r="DF146" i="3" s="1"/>
  <c r="DF148" i="3" s="1"/>
  <c r="AI215" i="3"/>
  <c r="CS120" i="3"/>
  <c r="BY42" i="3"/>
  <c r="BY39" i="3" s="1"/>
  <c r="CC39" i="3" s="1"/>
  <c r="CL42" i="3"/>
  <c r="CX42" i="3"/>
  <c r="DD42" i="3"/>
  <c r="BE154" i="3"/>
  <c r="BC155" i="3"/>
  <c r="BR154" i="3"/>
  <c r="BQ155" i="3"/>
  <c r="BN63" i="3"/>
  <c r="AJ72" i="3"/>
  <c r="DD81" i="3"/>
  <c r="BY84" i="3"/>
  <c r="CY84" i="3"/>
  <c r="BD84" i="3"/>
  <c r="BV84" i="3"/>
  <c r="BV86" i="3" s="1"/>
  <c r="BE88" i="3"/>
  <c r="DH93" i="3"/>
  <c r="DH100" i="3" s="1"/>
  <c r="DH104" i="3" s="1"/>
  <c r="AM116" i="3"/>
  <c r="AN116" i="3" s="1"/>
  <c r="AO116" i="3" s="1"/>
  <c r="CB117" i="3"/>
  <c r="CC117" i="3" s="1"/>
  <c r="AP131" i="3"/>
  <c r="AP152" i="3" s="1"/>
  <c r="AQ120" i="3"/>
  <c r="CA120" i="3"/>
  <c r="CB120" i="3" s="1"/>
  <c r="AC123" i="3"/>
  <c r="AE123" i="3" s="1"/>
  <c r="N124" i="3"/>
  <c r="O124" i="3" s="1"/>
  <c r="BH124" i="3"/>
  <c r="BI124" i="3" s="1"/>
  <c r="AC126" i="3"/>
  <c r="AE126" i="3" s="1"/>
  <c r="AR128" i="3"/>
  <c r="DE136" i="3"/>
  <c r="DF134" i="3"/>
  <c r="DF136" i="3" s="1"/>
  <c r="CD136" i="3"/>
  <c r="AM143" i="3"/>
  <c r="AM148" i="3" s="1"/>
  <c r="CK144" i="3"/>
  <c r="CL144" i="3" s="1"/>
  <c r="AX146" i="3"/>
  <c r="AY146" i="3" s="1"/>
  <c r="EN154" i="3"/>
  <c r="AW250" i="3"/>
  <c r="AW175" i="3"/>
  <c r="EG154" i="3"/>
  <c r="EK154" i="3" s="1"/>
  <c r="BH74" i="3"/>
  <c r="BI74" i="3" s="1"/>
  <c r="AD86" i="3"/>
  <c r="AE86" i="3" s="1"/>
  <c r="AE84" i="3"/>
  <c r="BR93" i="3"/>
  <c r="BS88" i="3"/>
  <c r="CL91" i="3"/>
  <c r="DK106" i="3"/>
  <c r="DL91" i="3"/>
  <c r="DL106" i="3" s="1"/>
  <c r="Z93" i="3"/>
  <c r="Y100" i="3"/>
  <c r="AZ96" i="3"/>
  <c r="BA96" i="3" s="1"/>
  <c r="BB96" i="3" s="1"/>
  <c r="BC96" i="3" s="1"/>
  <c r="EQ97" i="3"/>
  <c r="ER97" i="3" s="1"/>
  <c r="ES97" i="3" s="1"/>
  <c r="ET97" i="3" s="1"/>
  <c r="EP97" i="3"/>
  <c r="U104" i="3"/>
  <c r="CQ117" i="3"/>
  <c r="CR117" i="3" s="1"/>
  <c r="BV119" i="3"/>
  <c r="BW119" i="3" s="1"/>
  <c r="CR120" i="3"/>
  <c r="AS123" i="3"/>
  <c r="AT123" i="3" s="1"/>
  <c r="BW124" i="3"/>
  <c r="BX124" i="3" s="1"/>
  <c r="W125" i="3"/>
  <c r="X125" i="3" s="1"/>
  <c r="Y125" i="3" s="1"/>
  <c r="AS126" i="3"/>
  <c r="AT126" i="3" s="1"/>
  <c r="DE127" i="3"/>
  <c r="DF127" i="3" s="1"/>
  <c r="CU128" i="3"/>
  <c r="CV128" i="3" s="1"/>
  <c r="AD136" i="3"/>
  <c r="CG134" i="3"/>
  <c r="CH134" i="3" s="1"/>
  <c r="CV134" i="3"/>
  <c r="CV136" i="3" s="1"/>
  <c r="EX136" i="3"/>
  <c r="EY134" i="3"/>
  <c r="EY136" i="3" s="1"/>
  <c r="DV136" i="3"/>
  <c r="O148" i="3"/>
  <c r="P142" i="3"/>
  <c r="CE148" i="3"/>
  <c r="CF143" i="3"/>
  <c r="BG144" i="3"/>
  <c r="BH144" i="3" s="1"/>
  <c r="BJ144" i="3" s="1"/>
  <c r="DW155" i="3"/>
  <c r="BI41" i="3"/>
  <c r="CC41" i="3"/>
  <c r="BE42" i="3"/>
  <c r="BI42" i="3" s="1"/>
  <c r="CN42" i="3"/>
  <c r="CT42" i="3"/>
  <c r="CW42" i="3" s="1"/>
  <c r="CZ42" i="3"/>
  <c r="BF155" i="3"/>
  <c r="BG154" i="3"/>
  <c r="BW155" i="3"/>
  <c r="EG155" i="3"/>
  <c r="EH154" i="3"/>
  <c r="BD82" i="3"/>
  <c r="CA84" i="3"/>
  <c r="CA86" i="3" s="1"/>
  <c r="DA82" i="3"/>
  <c r="BI88" i="3"/>
  <c r="BH93" i="3"/>
  <c r="BT88" i="3"/>
  <c r="CD88" i="3"/>
  <c r="DK88" i="3"/>
  <c r="AW100" i="3"/>
  <c r="AW104" i="3" s="1"/>
  <c r="CY100" i="3"/>
  <c r="CY104" i="3" s="1"/>
  <c r="Z116" i="3"/>
  <c r="DF117" i="3"/>
  <c r="DG117" i="3" s="1"/>
  <c r="S118" i="3"/>
  <c r="T118" i="3" s="1"/>
  <c r="AR118" i="3"/>
  <c r="AT118" i="3" s="1"/>
  <c r="AW120" i="3"/>
  <c r="AX120" i="3" s="1"/>
  <c r="AY120" i="3" s="1"/>
  <c r="BS120" i="3"/>
  <c r="CY120" i="3"/>
  <c r="CZ120" i="3" s="1"/>
  <c r="DA120" i="3" s="1"/>
  <c r="N123" i="3"/>
  <c r="O123" i="3" s="1"/>
  <c r="BH123" i="3"/>
  <c r="BI123" i="3" s="1"/>
  <c r="CL124" i="3"/>
  <c r="CM124" i="3" s="1"/>
  <c r="BR125" i="3"/>
  <c r="BS125" i="3" s="1"/>
  <c r="N126" i="3"/>
  <c r="O126" i="3" s="1"/>
  <c r="BG126" i="3"/>
  <c r="BH126" i="3" s="1"/>
  <c r="BW126" i="3"/>
  <c r="BX126" i="3" s="1"/>
  <c r="AN134" i="3"/>
  <c r="EO136" i="3"/>
  <c r="EP136" i="3" s="1"/>
  <c r="EP134" i="3"/>
  <c r="BE136" i="3"/>
  <c r="BF135" i="3"/>
  <c r="BG135" i="3" s="1"/>
  <c r="BH135" i="3" s="1"/>
  <c r="R148" i="3"/>
  <c r="CF146" i="3"/>
  <c r="CG146" i="3" s="1"/>
  <c r="CU146" i="3"/>
  <c r="CV146" i="3" s="1"/>
  <c r="BY154" i="3"/>
  <c r="CC154" i="3" s="1"/>
  <c r="AG257" i="3"/>
  <c r="AG244" i="3"/>
  <c r="AG170" i="3"/>
  <c r="AG255" i="3"/>
  <c r="AG256" i="3"/>
  <c r="CR116" i="3"/>
  <c r="Z118" i="3"/>
  <c r="CC119" i="3"/>
  <c r="CR119" i="3"/>
  <c r="AE120" i="3"/>
  <c r="BC120" i="3"/>
  <c r="BD120" i="3" s="1"/>
  <c r="DL120" i="3"/>
  <c r="U123" i="3"/>
  <c r="U124" i="3"/>
  <c r="P125" i="3"/>
  <c r="AT125" i="3"/>
  <c r="BI125" i="3"/>
  <c r="U126" i="3"/>
  <c r="Z127" i="3"/>
  <c r="BS127" i="3"/>
  <c r="CW127" i="3"/>
  <c r="AJ128" i="3"/>
  <c r="CM128" i="3"/>
  <c r="DB128" i="3"/>
  <c r="AJ129" i="3"/>
  <c r="DB129" i="3"/>
  <c r="DG135" i="3"/>
  <c r="P136" i="3"/>
  <c r="AA136" i="3"/>
  <c r="AK136" i="3"/>
  <c r="CT136" i="3"/>
  <c r="DC136" i="3"/>
  <c r="CM141" i="3"/>
  <c r="AI142" i="3"/>
  <c r="CN148" i="3"/>
  <c r="CO146" i="3"/>
  <c r="CO148" i="3" s="1"/>
  <c r="AQ148" i="3"/>
  <c r="DI148" i="3"/>
  <c r="AM250" i="3"/>
  <c r="AN215" i="3"/>
  <c r="AN222" i="3"/>
  <c r="AN220" i="3"/>
  <c r="AN236" i="3"/>
  <c r="Y257" i="3"/>
  <c r="Y218" i="3" s="1"/>
  <c r="Y244" i="3"/>
  <c r="Y183" i="3"/>
  <c r="Y255" i="3"/>
  <c r="AH244" i="3"/>
  <c r="CH120" i="3"/>
  <c r="CG135" i="3"/>
  <c r="CH135" i="3" s="1"/>
  <c r="S142" i="3"/>
  <c r="CP142" i="3"/>
  <c r="BL143" i="3"/>
  <c r="AS146" i="3"/>
  <c r="AT146" i="3" s="1"/>
  <c r="CC146" i="3"/>
  <c r="DV146" i="3"/>
  <c r="BA148" i="3"/>
  <c r="EB148" i="3"/>
  <c r="AE154" i="3"/>
  <c r="AX237" i="3"/>
  <c r="AA244" i="3"/>
  <c r="AJ93" i="3"/>
  <c r="U100" i="3"/>
  <c r="CZ104" i="3"/>
  <c r="DA116" i="3"/>
  <c r="DB116" i="3" s="1"/>
  <c r="N118" i="3"/>
  <c r="O118" i="3" s="1"/>
  <c r="AW119" i="3"/>
  <c r="AX119" i="3" s="1"/>
  <c r="CF119" i="3"/>
  <c r="CG119" i="3" s="1"/>
  <c r="CU119" i="3"/>
  <c r="CV119" i="3" s="1"/>
  <c r="S120" i="3"/>
  <c r="T120" i="3" s="1"/>
  <c r="AG120" i="3"/>
  <c r="X123" i="3"/>
  <c r="Y123" i="3" s="1"/>
  <c r="X124" i="3"/>
  <c r="Y124" i="3" s="1"/>
  <c r="S125" i="3"/>
  <c r="T125" i="3" s="1"/>
  <c r="AH125" i="3"/>
  <c r="AI125" i="3" s="1"/>
  <c r="AW125" i="3"/>
  <c r="AX125" i="3" s="1"/>
  <c r="X126" i="3"/>
  <c r="Y126" i="3" s="1"/>
  <c r="N127" i="3"/>
  <c r="O127" i="3" s="1"/>
  <c r="BV127" i="3"/>
  <c r="BW127" i="3" s="1"/>
  <c r="CK127" i="3"/>
  <c r="CL127" i="3" s="1"/>
  <c r="CZ127" i="3"/>
  <c r="DA127" i="3" s="1"/>
  <c r="AM128" i="3"/>
  <c r="AN128" i="3" s="1"/>
  <c r="BB128" i="3"/>
  <c r="BC128" i="3" s="1"/>
  <c r="CP128" i="3"/>
  <c r="CQ128" i="3" s="1"/>
  <c r="AZ136" i="3"/>
  <c r="BB135" i="3"/>
  <c r="BB136" i="3" s="1"/>
  <c r="CC135" i="3"/>
  <c r="DQ135" i="3"/>
  <c r="CE136" i="3"/>
  <c r="CN136" i="3"/>
  <c r="EG136" i="3"/>
  <c r="CW141" i="3"/>
  <c r="AL148" i="3"/>
  <c r="AN142" i="3"/>
  <c r="BX142" i="3"/>
  <c r="Z143" i="3"/>
  <c r="BB143" i="3"/>
  <c r="BX143" i="3"/>
  <c r="CU143" i="3"/>
  <c r="CV143" i="3" s="1"/>
  <c r="CD148" i="3"/>
  <c r="CH144" i="3"/>
  <c r="DL146" i="3"/>
  <c r="EA146" i="3"/>
  <c r="L148" i="3"/>
  <c r="DK148" i="3"/>
  <c r="AH182" i="3"/>
  <c r="AH187" i="3"/>
  <c r="AZ187" i="3"/>
  <c r="AZ182" i="3"/>
  <c r="AA254" i="3"/>
  <c r="AA170" i="3"/>
  <c r="AA210" i="3"/>
  <c r="AA174" i="3" s="1"/>
  <c r="BC219" i="3"/>
  <c r="BB220" i="3"/>
  <c r="AX236" i="3"/>
  <c r="CY135" i="3"/>
  <c r="CX136" i="3"/>
  <c r="AB148" i="3"/>
  <c r="CT148" i="3"/>
  <c r="AH143" i="3"/>
  <c r="AI143" i="3" s="1"/>
  <c r="AJ143" i="3" s="1"/>
  <c r="CA143" i="3"/>
  <c r="AR144" i="3"/>
  <c r="AS144" i="3" s="1"/>
  <c r="AI254" i="3"/>
  <c r="AI187" i="3"/>
  <c r="AQ170" i="3"/>
  <c r="AQ187" i="3"/>
  <c r="AQ189" i="3"/>
  <c r="AQ176" i="3" s="1"/>
  <c r="AK212" i="3"/>
  <c r="AL211" i="3"/>
  <c r="CL15" i="4"/>
  <c r="AD16" i="4"/>
  <c r="AD18" i="4"/>
  <c r="AD17" i="4"/>
  <c r="AJ18" i="4"/>
  <c r="AJ17" i="4"/>
  <c r="AK16" i="4"/>
  <c r="AJ16" i="4"/>
  <c r="AP18" i="4"/>
  <c r="AQ16" i="4"/>
  <c r="CO15" i="4"/>
  <c r="AP17" i="4"/>
  <c r="AP16" i="4"/>
  <c r="AW16" i="4"/>
  <c r="AV18" i="4"/>
  <c r="AV16" i="4"/>
  <c r="AV17" i="4"/>
  <c r="CV116" i="3"/>
  <c r="CW116" i="3" s="1"/>
  <c r="AS134" i="3"/>
  <c r="BQ134" i="3"/>
  <c r="DD136" i="3"/>
  <c r="DL134" i="3"/>
  <c r="V136" i="3"/>
  <c r="AM135" i="3"/>
  <c r="AN135" i="3" s="1"/>
  <c r="BS135" i="3"/>
  <c r="CM135" i="3"/>
  <c r="CR135" i="3"/>
  <c r="DI135" i="3"/>
  <c r="DJ135" i="3" s="1"/>
  <c r="DJ136" i="3" s="1"/>
  <c r="DV135" i="3"/>
  <c r="BY136" i="3"/>
  <c r="AC141" i="3"/>
  <c r="N148" i="3"/>
  <c r="W142" i="3"/>
  <c r="CU142" i="3"/>
  <c r="CV142" i="3" s="1"/>
  <c r="DG142" i="3"/>
  <c r="P143" i="3"/>
  <c r="BF148" i="3"/>
  <c r="BG143" i="3"/>
  <c r="BQ143" i="3"/>
  <c r="CM143" i="3"/>
  <c r="CR144" i="3"/>
  <c r="DV144" i="3"/>
  <c r="DT148" i="3"/>
  <c r="DV148" i="3" s="1"/>
  <c r="CZ145" i="3"/>
  <c r="DA145" i="3" s="1"/>
  <c r="DL145" i="3"/>
  <c r="BN146" i="3"/>
  <c r="DB146" i="3"/>
  <c r="CX148" i="3"/>
  <c r="DO148" i="3"/>
  <c r="DW148" i="3"/>
  <c r="AB254" i="3"/>
  <c r="AB170" i="3"/>
  <c r="AB187" i="3"/>
  <c r="AS210" i="3"/>
  <c r="AS211" i="3"/>
  <c r="AC220" i="3"/>
  <c r="AM170" i="3"/>
  <c r="AM175" i="3" s="1"/>
  <c r="AU170" i="3"/>
  <c r="V183" i="3"/>
  <c r="AG187" i="3"/>
  <c r="AN187" i="3"/>
  <c r="AV187" i="3"/>
  <c r="BA192" i="3"/>
  <c r="BA167" i="3" s="1"/>
  <c r="AM207" i="3"/>
  <c r="BC207" i="3"/>
  <c r="BA220" i="3"/>
  <c r="AX221" i="3"/>
  <c r="AW243" i="3"/>
  <c r="AW253" i="3" s="1"/>
  <c r="AC244" i="3"/>
  <c r="AA256" i="3"/>
  <c r="AH256" i="3"/>
  <c r="AB257" i="3"/>
  <c r="AI257" i="3"/>
  <c r="F11" i="4"/>
  <c r="E11" i="4"/>
  <c r="K12" i="4"/>
  <c r="L11" i="4"/>
  <c r="K11" i="4"/>
  <c r="Q12" i="4"/>
  <c r="R11" i="4"/>
  <c r="Q11" i="4"/>
  <c r="W12" i="4"/>
  <c r="X11" i="4"/>
  <c r="W11" i="4"/>
  <c r="AC12" i="4"/>
  <c r="AD11" i="4"/>
  <c r="AC11" i="4"/>
  <c r="AI12" i="4"/>
  <c r="AJ11" i="4"/>
  <c r="AI11" i="4"/>
  <c r="AO12" i="4"/>
  <c r="AP11" i="4"/>
  <c r="AO11" i="4"/>
  <c r="AU12" i="4"/>
  <c r="AV11" i="4"/>
  <c r="AU11" i="4"/>
  <c r="BA12" i="4"/>
  <c r="BB11" i="4"/>
  <c r="BA11" i="4"/>
  <c r="BG12" i="4"/>
  <c r="BH11" i="4"/>
  <c r="BG11" i="4"/>
  <c r="BM12" i="4"/>
  <c r="BN11" i="4"/>
  <c r="BM11" i="4"/>
  <c r="BS12" i="4"/>
  <c r="BT11" i="4"/>
  <c r="BS11" i="4"/>
  <c r="BY12" i="4"/>
  <c r="BZ11" i="4"/>
  <c r="BY11" i="4"/>
  <c r="AK208" i="3"/>
  <c r="AF220" i="3"/>
  <c r="AX230" i="3"/>
  <c r="AK236" i="3"/>
  <c r="W244" i="3"/>
  <c r="AG254" i="3"/>
  <c r="AB256" i="3"/>
  <c r="V257" i="3"/>
  <c r="V218" i="3" s="1"/>
  <c r="V170" i="3" s="1"/>
  <c r="AC257" i="3"/>
  <c r="CH10" i="4"/>
  <c r="CN10" i="4"/>
  <c r="CT10" i="4"/>
  <c r="AL189" i="3"/>
  <c r="AS189" i="3"/>
  <c r="AD208" i="3"/>
  <c r="AB255" i="3"/>
  <c r="AI255" i="3"/>
  <c r="W257" i="3"/>
  <c r="W218" i="3" s="1"/>
  <c r="CK44" i="5"/>
  <c r="CQ44" i="5"/>
  <c r="CR44" i="5"/>
  <c r="AU189" i="3"/>
  <c r="AU176" i="3" s="1"/>
  <c r="AH220" i="3"/>
  <c r="AZ225" i="3"/>
  <c r="V255" i="3"/>
  <c r="AC255" i="3"/>
  <c r="AR170" i="3"/>
  <c r="AX183" i="3"/>
  <c r="BC199" i="3"/>
  <c r="BA225" i="3"/>
  <c r="BC236" i="3"/>
  <c r="CE10" i="4"/>
  <c r="G12" i="4"/>
  <c r="M12" i="4"/>
  <c r="S12" i="4"/>
  <c r="Y12" i="4"/>
  <c r="AE12" i="4"/>
  <c r="AK12" i="4"/>
  <c r="AQ12" i="4"/>
  <c r="AW12" i="4"/>
  <c r="BC12" i="4"/>
  <c r="BI12" i="4"/>
  <c r="BO12" i="4"/>
  <c r="BU12" i="4"/>
  <c r="CA12" i="4"/>
  <c r="AE17" i="4"/>
  <c r="AK17" i="4"/>
  <c r="AQ17" i="4"/>
  <c r="AW17" i="4"/>
  <c r="CM15" i="4"/>
  <c r="AG16" i="4"/>
  <c r="AN16" i="4"/>
  <c r="AF17" i="4"/>
  <c r="AN17" i="4"/>
  <c r="AX17" i="4"/>
  <c r="AL18" i="4"/>
  <c r="BJ98" i="4"/>
  <c r="BK27" i="4"/>
  <c r="CV65" i="4"/>
  <c r="BV65" i="4"/>
  <c r="CH7" i="5"/>
  <c r="F67" i="5"/>
  <c r="J69" i="5" s="1"/>
  <c r="F20" i="5"/>
  <c r="CG18" i="5"/>
  <c r="G19" i="5"/>
  <c r="F19" i="5"/>
  <c r="L67" i="5"/>
  <c r="CH67" i="5" s="1"/>
  <c r="L20" i="5"/>
  <c r="M19" i="5"/>
  <c r="L19" i="5"/>
  <c r="CH18" i="5"/>
  <c r="R67" i="5"/>
  <c r="S68" i="5" s="1"/>
  <c r="R20" i="5"/>
  <c r="S19" i="5"/>
  <c r="R19" i="5"/>
  <c r="CJ18" i="5"/>
  <c r="X67" i="5"/>
  <c r="AB69" i="5" s="1"/>
  <c r="X20" i="5"/>
  <c r="Y19" i="5"/>
  <c r="X19" i="5"/>
  <c r="AD67" i="5"/>
  <c r="AH69" i="5" s="1"/>
  <c r="AD20" i="5"/>
  <c r="CM18" i="5"/>
  <c r="AE19" i="5"/>
  <c r="AD19" i="5"/>
  <c r="AJ67" i="5"/>
  <c r="CN67" i="5" s="1"/>
  <c r="AJ20" i="5"/>
  <c r="AK19" i="5"/>
  <c r="AJ19" i="5"/>
  <c r="CN18" i="5"/>
  <c r="AP20" i="5"/>
  <c r="AQ19" i="5"/>
  <c r="AP19" i="5"/>
  <c r="CP18" i="5"/>
  <c r="AV20" i="5"/>
  <c r="AW19" i="5"/>
  <c r="AV19" i="5"/>
  <c r="BB20" i="5"/>
  <c r="CS18" i="5"/>
  <c r="BC19" i="5"/>
  <c r="BB19" i="5"/>
  <c r="BH20" i="5"/>
  <c r="BI19" i="5"/>
  <c r="BH19" i="5"/>
  <c r="CT18" i="5"/>
  <c r="BN20" i="5"/>
  <c r="BO19" i="5"/>
  <c r="BN19" i="5"/>
  <c r="CV18" i="5"/>
  <c r="CN15" i="4"/>
  <c r="AH16" i="4"/>
  <c r="AE18" i="4"/>
  <c r="AW18" i="4"/>
  <c r="CI17" i="5"/>
  <c r="CH17" i="5"/>
  <c r="CO17" i="5"/>
  <c r="CN17" i="5"/>
  <c r="CU17" i="5"/>
  <c r="CT17" i="5"/>
  <c r="AC54" i="5"/>
  <c r="CL51" i="5"/>
  <c r="CL48" i="5" s="1"/>
  <c r="AI54" i="5"/>
  <c r="AH54" i="5"/>
  <c r="AF52" i="5"/>
  <c r="CM51" i="5"/>
  <c r="AG54" i="5"/>
  <c r="AF53" i="5"/>
  <c r="CO51" i="5"/>
  <c r="AO54" i="5"/>
  <c r="AN54" i="5"/>
  <c r="AL52" i="5"/>
  <c r="AM54" i="5"/>
  <c r="AL53" i="5"/>
  <c r="AU54" i="5"/>
  <c r="AR52" i="5"/>
  <c r="AT54" i="5"/>
  <c r="AS54" i="5"/>
  <c r="AR53" i="5"/>
  <c r="CP51" i="5"/>
  <c r="AR54" i="5"/>
  <c r="AX52" i="5"/>
  <c r="CR51" i="5"/>
  <c r="BA54" i="5"/>
  <c r="AX53" i="5"/>
  <c r="AZ54" i="5"/>
  <c r="CI10" i="4"/>
  <c r="CO10" i="4"/>
  <c r="CU10" i="4"/>
  <c r="I12" i="4"/>
  <c r="O12" i="4"/>
  <c r="U12" i="4"/>
  <c r="AA12" i="4"/>
  <c r="AG12" i="4"/>
  <c r="AM12" i="4"/>
  <c r="AS12" i="4"/>
  <c r="AY12" i="4"/>
  <c r="BE12" i="4"/>
  <c r="BK12" i="4"/>
  <c r="BQ12" i="4"/>
  <c r="BW12" i="4"/>
  <c r="CC12" i="4"/>
  <c r="AA18" i="4"/>
  <c r="AG18" i="4"/>
  <c r="AM18" i="4"/>
  <c r="AS18" i="4"/>
  <c r="AH17" i="4"/>
  <c r="AR17" i="4"/>
  <c r="AX18" i="4"/>
  <c r="BP49" i="4"/>
  <c r="CP15" i="4"/>
  <c r="BN36" i="4"/>
  <c r="CK10" i="4"/>
  <c r="CQ10" i="4"/>
  <c r="CW10" i="4"/>
  <c r="AC16" i="4"/>
  <c r="AC18" i="4"/>
  <c r="AI17" i="4"/>
  <c r="AI16" i="4"/>
  <c r="AI18" i="4"/>
  <c r="AO17" i="4"/>
  <c r="AO16" i="4"/>
  <c r="AO18" i="4"/>
  <c r="AU17" i="4"/>
  <c r="AU16" i="4"/>
  <c r="AU18" i="4"/>
  <c r="AE16" i="4"/>
  <c r="AL16" i="4"/>
  <c r="AS16" i="4"/>
  <c r="AT17" i="4"/>
  <c r="CJ17" i="4"/>
  <c r="BL37" i="4"/>
  <c r="BM32" i="4"/>
  <c r="BX69" i="4"/>
  <c r="CI7" i="5"/>
  <c r="CK7" i="5"/>
  <c r="CJ7" i="5"/>
  <c r="CQ7" i="5"/>
  <c r="CP7" i="5"/>
  <c r="CV7" i="5"/>
  <c r="Z59" i="5"/>
  <c r="AA60" i="5" s="1"/>
  <c r="AA10" i="5"/>
  <c r="Z34" i="5"/>
  <c r="Z82" i="5" s="1"/>
  <c r="AF59" i="5"/>
  <c r="AG60" i="5" s="1"/>
  <c r="AF34" i="5"/>
  <c r="AG10" i="5"/>
  <c r="AF11" i="5"/>
  <c r="AF10" i="5"/>
  <c r="AL59" i="5"/>
  <c r="AL34" i="5"/>
  <c r="AL82" i="5" s="1"/>
  <c r="AL11" i="5"/>
  <c r="AL10" i="5"/>
  <c r="AC10" i="5"/>
  <c r="AL64" i="5"/>
  <c r="BS54" i="4"/>
  <c r="BI26" i="5"/>
  <c r="BJ24" i="5"/>
  <c r="CG7" i="5"/>
  <c r="CM7" i="5"/>
  <c r="CS7" i="5"/>
  <c r="CL7" i="5"/>
  <c r="AB59" i="5"/>
  <c r="AB34" i="5"/>
  <c r="AB82" i="5" s="1"/>
  <c r="AB10" i="5"/>
  <c r="AH59" i="5"/>
  <c r="AH34" i="5"/>
  <c r="AH82" i="5" s="1"/>
  <c r="AH11" i="5"/>
  <c r="AH10" i="5"/>
  <c r="CN9" i="5"/>
  <c r="AI10" i="5"/>
  <c r="CM17" i="5"/>
  <c r="CL17" i="5"/>
  <c r="CS17" i="5"/>
  <c r="CR17" i="5"/>
  <c r="CY17" i="5"/>
  <c r="CX17" i="5"/>
  <c r="AT20" i="5"/>
  <c r="BF20" i="5"/>
  <c r="BL20" i="5"/>
  <c r="BR20" i="5"/>
  <c r="BQ47" i="4"/>
  <c r="BT42" i="5"/>
  <c r="BS44" i="5"/>
  <c r="CO7" i="5"/>
  <c r="AC59" i="5"/>
  <c r="AG61" i="5" s="1"/>
  <c r="AC34" i="5"/>
  <c r="AI34" i="5"/>
  <c r="AI82" i="5" s="1"/>
  <c r="AI59" i="5"/>
  <c r="AJ60" i="5" s="1"/>
  <c r="CM9" i="5"/>
  <c r="BB64" i="5"/>
  <c r="BB37" i="5"/>
  <c r="BB85" i="5" s="1"/>
  <c r="G69" i="5"/>
  <c r="M69" i="5"/>
  <c r="S69" i="5"/>
  <c r="Y69" i="5"/>
  <c r="AK69" i="5"/>
  <c r="CI18" i="5"/>
  <c r="CO18" i="5"/>
  <c r="CU18" i="5"/>
  <c r="D19" i="5"/>
  <c r="J19" i="5"/>
  <c r="P19" i="5"/>
  <c r="V19" i="5"/>
  <c r="AB19" i="5"/>
  <c r="AH19" i="5"/>
  <c r="AN19" i="5"/>
  <c r="AT19" i="5"/>
  <c r="AZ19" i="5"/>
  <c r="BF19" i="5"/>
  <c r="BL19" i="5"/>
  <c r="BR19" i="5"/>
  <c r="H20" i="5"/>
  <c r="N20" i="5"/>
  <c r="T20" i="5"/>
  <c r="Z20" i="5"/>
  <c r="AF20" i="5"/>
  <c r="AL20" i="5"/>
  <c r="AR20" i="5"/>
  <c r="AX20" i="5"/>
  <c r="BD20" i="5"/>
  <c r="BJ20" i="5"/>
  <c r="BP20" i="5"/>
  <c r="BB27" i="5"/>
  <c r="AJ34" i="5"/>
  <c r="AJ82" i="5" s="1"/>
  <c r="AO47" i="5"/>
  <c r="AS47" i="5"/>
  <c r="AO46" i="5"/>
  <c r="CO45" i="5"/>
  <c r="AO67" i="5"/>
  <c r="AU67" i="5"/>
  <c r="AU47" i="5"/>
  <c r="AY47" i="5"/>
  <c r="AU46" i="5"/>
  <c r="BA67" i="5"/>
  <c r="BA47" i="5"/>
  <c r="BE47" i="5"/>
  <c r="BA46" i="5"/>
  <c r="BG47" i="5"/>
  <c r="BG67" i="5"/>
  <c r="BK47" i="5"/>
  <c r="BG46" i="5"/>
  <c r="BM67" i="5"/>
  <c r="BM47" i="5"/>
  <c r="BQ47" i="5"/>
  <c r="BM46" i="5"/>
  <c r="CH47" i="5"/>
  <c r="CN47" i="5"/>
  <c r="BB53" i="5"/>
  <c r="BB52" i="5"/>
  <c r="AD63" i="5"/>
  <c r="AD62" i="5"/>
  <c r="AJ63" i="5"/>
  <c r="AJ62" i="5"/>
  <c r="BB62" i="5"/>
  <c r="BC37" i="5"/>
  <c r="BC85" i="5" s="1"/>
  <c r="BC64" i="5"/>
  <c r="CF67" i="5"/>
  <c r="H69" i="5"/>
  <c r="H68" i="5"/>
  <c r="N68" i="5"/>
  <c r="T68" i="5"/>
  <c r="T69" i="5"/>
  <c r="CL67" i="5"/>
  <c r="Z69" i="5"/>
  <c r="Z68" i="5"/>
  <c r="AF69" i="5"/>
  <c r="AF68" i="5"/>
  <c r="AL68" i="5"/>
  <c r="AL69" i="5"/>
  <c r="E19" i="5"/>
  <c r="K19" i="5"/>
  <c r="Q19" i="5"/>
  <c r="W19" i="5"/>
  <c r="AC19" i="5"/>
  <c r="AI19" i="5"/>
  <c r="AO19" i="5"/>
  <c r="AU19" i="5"/>
  <c r="BA19" i="5"/>
  <c r="BG19" i="5"/>
  <c r="BM19" i="5"/>
  <c r="I20" i="5"/>
  <c r="O20" i="5"/>
  <c r="U20" i="5"/>
  <c r="AA20" i="5"/>
  <c r="AG20" i="5"/>
  <c r="AM20" i="5"/>
  <c r="BC25" i="5"/>
  <c r="AA34" i="5"/>
  <c r="AA82" i="5" s="1"/>
  <c r="AK34" i="5"/>
  <c r="AK82" i="5" s="1"/>
  <c r="CH44" i="5"/>
  <c r="CN44" i="5"/>
  <c r="CT44" i="5"/>
  <c r="AP67" i="5"/>
  <c r="AP46" i="5"/>
  <c r="CP45" i="5"/>
  <c r="AV67" i="5"/>
  <c r="AV46" i="5"/>
  <c r="BB67" i="5"/>
  <c r="BB46" i="5"/>
  <c r="BH67" i="5"/>
  <c r="BH46" i="5"/>
  <c r="BN67" i="5"/>
  <c r="BN46" i="5"/>
  <c r="CV45" i="5"/>
  <c r="CS45" i="5"/>
  <c r="D57" i="5"/>
  <c r="CF56" i="5"/>
  <c r="H58" i="5"/>
  <c r="J58" i="5"/>
  <c r="N58" i="5"/>
  <c r="CH56" i="5"/>
  <c r="J57" i="5"/>
  <c r="P58" i="5"/>
  <c r="CI56" i="5"/>
  <c r="T58" i="5"/>
  <c r="P57" i="5"/>
  <c r="V58" i="5"/>
  <c r="CK56" i="5"/>
  <c r="V57" i="5"/>
  <c r="Z58" i="5"/>
  <c r="AB58" i="5"/>
  <c r="AF58" i="5"/>
  <c r="AB57" i="5"/>
  <c r="AH58" i="5"/>
  <c r="AL58" i="5"/>
  <c r="CN56" i="5"/>
  <c r="AH57" i="5"/>
  <c r="AN58" i="5"/>
  <c r="AN57" i="5"/>
  <c r="CO56" i="5"/>
  <c r="AR58" i="5"/>
  <c r="AT58" i="5"/>
  <c r="CQ56" i="5"/>
  <c r="AX58" i="5"/>
  <c r="AT57" i="5"/>
  <c r="AZ58" i="5"/>
  <c r="CR56" i="5"/>
  <c r="BD58" i="5"/>
  <c r="AZ57" i="5"/>
  <c r="BF58" i="5"/>
  <c r="BF57" i="5"/>
  <c r="BL58" i="5"/>
  <c r="BP58" i="5"/>
  <c r="BL57" i="5"/>
  <c r="CU56" i="5"/>
  <c r="BR58" i="5"/>
  <c r="BR57" i="5"/>
  <c r="AE61" i="5"/>
  <c r="AE60" i="5"/>
  <c r="AE63" i="5"/>
  <c r="AE62" i="5"/>
  <c r="AK61" i="5"/>
  <c r="AK60" i="5"/>
  <c r="AK62" i="5"/>
  <c r="AK63" i="5"/>
  <c r="C68" i="5"/>
  <c r="I69" i="5"/>
  <c r="I68" i="5"/>
  <c r="O69" i="5"/>
  <c r="O68" i="5"/>
  <c r="U69" i="5"/>
  <c r="U68" i="5"/>
  <c r="AA69" i="5"/>
  <c r="AA68" i="5"/>
  <c r="AG69" i="5"/>
  <c r="AG68" i="5"/>
  <c r="AM69" i="5"/>
  <c r="AM68" i="5"/>
  <c r="CK18" i="5"/>
  <c r="CQ18" i="5"/>
  <c r="J20" i="5"/>
  <c r="P20" i="5"/>
  <c r="V20" i="5"/>
  <c r="AB20" i="5"/>
  <c r="AH20" i="5"/>
  <c r="AN20" i="5"/>
  <c r="AZ20" i="5"/>
  <c r="AD34" i="5"/>
  <c r="AD82" i="5" s="1"/>
  <c r="AW46" i="5"/>
  <c r="CT45" i="5"/>
  <c r="BB47" i="5"/>
  <c r="AF54" i="5"/>
  <c r="AL54" i="5"/>
  <c r="BA59" i="5"/>
  <c r="N69" i="5"/>
  <c r="J68" i="5"/>
  <c r="P68" i="5"/>
  <c r="V68" i="5"/>
  <c r="AB68" i="5"/>
  <c r="AH68" i="5"/>
  <c r="CF18" i="5"/>
  <c r="CL18" i="5"/>
  <c r="BB25" i="5"/>
  <c r="BB26" i="5"/>
  <c r="BA31" i="5"/>
  <c r="AE34" i="5"/>
  <c r="AE82" i="5" s="1"/>
  <c r="AA62" i="5"/>
  <c r="AA63" i="5"/>
  <c r="AG63" i="5"/>
  <c r="AG62" i="5"/>
  <c r="AD10" i="5"/>
  <c r="AJ10" i="5"/>
  <c r="BB10" i="5"/>
  <c r="AJ11" i="5"/>
  <c r="E68" i="5"/>
  <c r="K68" i="5"/>
  <c r="K69" i="5"/>
  <c r="Q68" i="5"/>
  <c r="Q69" i="5"/>
  <c r="W68" i="5"/>
  <c r="W69" i="5"/>
  <c r="AC68" i="5"/>
  <c r="AC69" i="5"/>
  <c r="AI68" i="5"/>
  <c r="AI69" i="5"/>
  <c r="H19" i="5"/>
  <c r="N19" i="5"/>
  <c r="T19" i="5"/>
  <c r="Z19" i="5"/>
  <c r="AF19" i="5"/>
  <c r="AL19" i="5"/>
  <c r="BH25" i="5"/>
  <c r="BH26" i="5"/>
  <c r="CJ44" i="5"/>
  <c r="CP44" i="5"/>
  <c r="CV44" i="5"/>
  <c r="CL44" i="5"/>
  <c r="AP47" i="5"/>
  <c r="BH47" i="5"/>
  <c r="CT56" i="5"/>
  <c r="BJ58" i="5"/>
  <c r="AV54" i="5"/>
  <c r="BB54" i="5"/>
  <c r="E57" i="5"/>
  <c r="K57" i="5"/>
  <c r="Q57" i="5"/>
  <c r="W57" i="5"/>
  <c r="AC57" i="5"/>
  <c r="AI57" i="5"/>
  <c r="AO57" i="5"/>
  <c r="AU57" i="5"/>
  <c r="BA57" i="5"/>
  <c r="BG57" i="5"/>
  <c r="BM58" i="5"/>
  <c r="BM57" i="5"/>
  <c r="H57" i="5"/>
  <c r="Z57" i="5"/>
  <c r="AR57" i="5"/>
  <c r="BJ57" i="5"/>
  <c r="BK58" i="5"/>
  <c r="AQ67" i="5"/>
  <c r="BC67" i="5"/>
  <c r="BI67" i="5"/>
  <c r="CU45" i="5"/>
  <c r="AQ54" i="5"/>
  <c r="AW54" i="5"/>
  <c r="AG53" i="5"/>
  <c r="AM53" i="5"/>
  <c r="AS53" i="5"/>
  <c r="AY53" i="5"/>
  <c r="F57" i="5"/>
  <c r="L57" i="5"/>
  <c r="R57" i="5"/>
  <c r="CJ56" i="5"/>
  <c r="X57" i="5"/>
  <c r="AD57" i="5"/>
  <c r="AJ57" i="5"/>
  <c r="AP57" i="5"/>
  <c r="CP56" i="5"/>
  <c r="AV57" i="5"/>
  <c r="BB57" i="5"/>
  <c r="BH57" i="5"/>
  <c r="BN57" i="5"/>
  <c r="CV56" i="5"/>
  <c r="S57" i="5"/>
  <c r="AK57" i="5"/>
  <c r="BC57" i="5"/>
  <c r="K58" i="5"/>
  <c r="S58" i="5"/>
  <c r="AC58" i="5"/>
  <c r="AU58" i="5"/>
  <c r="BC58" i="5"/>
  <c r="BN58" i="5"/>
  <c r="AK65" i="5"/>
  <c r="AK66" i="5"/>
  <c r="AF65" i="5"/>
  <c r="AW67" i="5"/>
  <c r="AR67" i="5"/>
  <c r="AX67" i="5"/>
  <c r="BD67" i="5"/>
  <c r="BJ67" i="5"/>
  <c r="BP67" i="5"/>
  <c r="BC48" i="5"/>
  <c r="BB50" i="5"/>
  <c r="BA82" i="5"/>
  <c r="AH53" i="5"/>
  <c r="AN53" i="5"/>
  <c r="AT53" i="5"/>
  <c r="AZ53" i="5"/>
  <c r="BO58" i="5"/>
  <c r="CG56" i="5"/>
  <c r="AL57" i="5"/>
  <c r="BD57" i="5"/>
  <c r="L58" i="5"/>
  <c r="AD58" i="5"/>
  <c r="AV58" i="5"/>
  <c r="AF78" i="5"/>
  <c r="AS67" i="5"/>
  <c r="AY67" i="5"/>
  <c r="BE67" i="5"/>
  <c r="BK67" i="5"/>
  <c r="BQ67" i="5"/>
  <c r="CQ45" i="5"/>
  <c r="CN51" i="5"/>
  <c r="AA52" i="5"/>
  <c r="AG52" i="5"/>
  <c r="AM52" i="5"/>
  <c r="AS52" i="5"/>
  <c r="AY52" i="5"/>
  <c r="AI53" i="5"/>
  <c r="AO53" i="5"/>
  <c r="AU53" i="5"/>
  <c r="BA53" i="5"/>
  <c r="AX54" i="5"/>
  <c r="M57" i="5"/>
  <c r="AE57" i="5"/>
  <c r="AW57" i="5"/>
  <c r="BO57" i="5"/>
  <c r="M58" i="5"/>
  <c r="W58" i="5"/>
  <c r="AE58" i="5"/>
  <c r="AO58" i="5"/>
  <c r="AW58" i="5"/>
  <c r="BG58" i="5"/>
  <c r="BQ58" i="5"/>
  <c r="AA76" i="5"/>
  <c r="CL64" i="5"/>
  <c r="AB65" i="5"/>
  <c r="AA65" i="5"/>
  <c r="AG76" i="5"/>
  <c r="AG66" i="5"/>
  <c r="AH65" i="5"/>
  <c r="CM64" i="5"/>
  <c r="AE66" i="5"/>
  <c r="BO67" i="5"/>
  <c r="AT67" i="5"/>
  <c r="AZ67" i="5"/>
  <c r="BF67" i="5"/>
  <c r="BL67" i="5"/>
  <c r="BR67" i="5"/>
  <c r="CR45" i="5"/>
  <c r="AQ46" i="5"/>
  <c r="BC46" i="5"/>
  <c r="BI46" i="5"/>
  <c r="AB52" i="5"/>
  <c r="AH52" i="5"/>
  <c r="AN52" i="5"/>
  <c r="AT52" i="5"/>
  <c r="AZ52" i="5"/>
  <c r="AD53" i="5"/>
  <c r="AJ53" i="5"/>
  <c r="AP53" i="5"/>
  <c r="AV53" i="5"/>
  <c r="AD54" i="5"/>
  <c r="AJ54" i="5"/>
  <c r="AP54" i="5"/>
  <c r="AY54" i="5"/>
  <c r="U58" i="5"/>
  <c r="AA58" i="5"/>
  <c r="AG58" i="5"/>
  <c r="AM58" i="5"/>
  <c r="BE58" i="5"/>
  <c r="CS56" i="5"/>
  <c r="AF57" i="5"/>
  <c r="BP57" i="5"/>
  <c r="F58" i="5"/>
  <c r="X58" i="5"/>
  <c r="AP58" i="5"/>
  <c r="BH58" i="5"/>
  <c r="CN64" i="5"/>
  <c r="AK76" i="5"/>
  <c r="AQ86" i="5"/>
  <c r="I58" i="5"/>
  <c r="O58" i="5"/>
  <c r="AS58" i="5"/>
  <c r="AY58" i="5"/>
  <c r="AC76" i="5"/>
  <c r="AC77" i="5" s="1"/>
  <c r="AC65" i="5"/>
  <c r="AI76" i="5"/>
  <c r="AI65" i="5"/>
  <c r="AI66" i="5"/>
  <c r="AD76" i="5"/>
  <c r="AD66" i="5"/>
  <c r="AJ66" i="5"/>
  <c r="AJ76" i="5"/>
  <c r="AD65" i="5"/>
  <c r="AF66" i="5"/>
  <c r="AI96" i="5"/>
  <c r="AJ90" i="5"/>
  <c r="CM85" i="5"/>
  <c r="BK17" i="6"/>
  <c r="BK8" i="6" s="1"/>
  <c r="BK7" i="6"/>
  <c r="BL17" i="6"/>
  <c r="BM19" i="6" s="1"/>
  <c r="BL13" i="6"/>
  <c r="BL7" i="6"/>
  <c r="F18" i="6"/>
  <c r="E18" i="6"/>
  <c r="I19" i="6"/>
  <c r="K19" i="6"/>
  <c r="L18" i="6"/>
  <c r="K18" i="6"/>
  <c r="K14" i="6"/>
  <c r="Q18" i="6"/>
  <c r="Q19" i="6"/>
  <c r="R18" i="6"/>
  <c r="U19" i="6"/>
  <c r="Q14" i="6"/>
  <c r="W18" i="6"/>
  <c r="W19" i="6"/>
  <c r="AC18" i="6"/>
  <c r="AC19" i="6"/>
  <c r="AG17" i="6"/>
  <c r="AG8" i="6" s="1"/>
  <c r="AH5" i="6"/>
  <c r="BH17" i="6"/>
  <c r="BH8" i="6" s="1"/>
  <c r="BH7" i="6"/>
  <c r="BN5" i="6"/>
  <c r="BM7" i="6"/>
  <c r="AG13" i="6"/>
  <c r="BN11" i="6"/>
  <c r="AH11" i="6"/>
  <c r="X18" i="6"/>
  <c r="BI17" i="6"/>
  <c r="BI14" i="6" s="1"/>
  <c r="BJ7" i="6"/>
  <c r="BI7" i="6"/>
  <c r="E23" i="6"/>
  <c r="F23" i="6"/>
  <c r="I24" i="6"/>
  <c r="K23" i="6"/>
  <c r="K24" i="6"/>
  <c r="L23" i="6"/>
  <c r="AG7" i="6"/>
  <c r="AC8" i="6"/>
  <c r="AD18" i="6"/>
  <c r="G19" i="6"/>
  <c r="G18" i="6"/>
  <c r="M14" i="6"/>
  <c r="M18" i="6"/>
  <c r="S14" i="6"/>
  <c r="S19" i="6"/>
  <c r="S18" i="6"/>
  <c r="Y14" i="6"/>
  <c r="Y19" i="6"/>
  <c r="Y18" i="6"/>
  <c r="AE14" i="6"/>
  <c r="AE19" i="6"/>
  <c r="AE18" i="6"/>
  <c r="BM14" i="6"/>
  <c r="H19" i="6"/>
  <c r="N19" i="6"/>
  <c r="T19" i="6"/>
  <c r="T18" i="6"/>
  <c r="X19" i="6"/>
  <c r="Z19" i="6"/>
  <c r="Z18" i="6"/>
  <c r="AF19" i="6"/>
  <c r="AF18" i="6"/>
  <c r="N18" i="6"/>
  <c r="BG8" i="6"/>
  <c r="BM8" i="6"/>
  <c r="N14" i="6"/>
  <c r="C18" i="6"/>
  <c r="I18" i="6"/>
  <c r="O19" i="6"/>
  <c r="AA19" i="6"/>
  <c r="AD19" i="6"/>
  <c r="J19" i="6"/>
  <c r="H24" i="6"/>
  <c r="N24" i="6"/>
  <c r="BJ22" i="6"/>
  <c r="T24" i="6"/>
  <c r="Z24" i="6"/>
  <c r="AF24" i="6"/>
  <c r="AL24" i="6"/>
  <c r="BP22" i="6"/>
  <c r="AR24" i="6"/>
  <c r="BQ22" i="6"/>
  <c r="BK22" i="6"/>
  <c r="N23" i="6"/>
  <c r="Z23" i="6"/>
  <c r="R19" i="6"/>
  <c r="G24" i="6"/>
  <c r="C23" i="6"/>
  <c r="M24" i="6"/>
  <c r="I23" i="6"/>
  <c r="S24" i="6"/>
  <c r="O23" i="6"/>
  <c r="Y24" i="6"/>
  <c r="U23" i="6"/>
  <c r="AE24" i="6"/>
  <c r="AA23" i="6"/>
  <c r="AK24" i="6"/>
  <c r="AG23" i="6"/>
  <c r="AQ24" i="6"/>
  <c r="AM23" i="6"/>
  <c r="AS23" i="6"/>
  <c r="AR23" i="6"/>
  <c r="AA18" i="6"/>
  <c r="L19" i="6"/>
  <c r="D23" i="6"/>
  <c r="J23" i="6"/>
  <c r="BI22" i="6"/>
  <c r="P23" i="6"/>
  <c r="V23" i="6"/>
  <c r="AB23" i="6"/>
  <c r="AH23" i="6"/>
  <c r="BO22" i="6"/>
  <c r="AN23" i="6"/>
  <c r="AT23" i="6"/>
  <c r="BM22" i="6"/>
  <c r="O24" i="6"/>
  <c r="AG24" i="6"/>
  <c r="Q23" i="6"/>
  <c r="Q24" i="6"/>
  <c r="W23" i="6"/>
  <c r="W24" i="6"/>
  <c r="AC23" i="6"/>
  <c r="AC24" i="6"/>
  <c r="AJ23" i="6"/>
  <c r="AI23" i="6"/>
  <c r="AI24" i="6"/>
  <c r="AP23" i="6"/>
  <c r="AO23" i="6"/>
  <c r="AO24" i="6"/>
  <c r="AU23" i="6"/>
  <c r="AU24" i="6"/>
  <c r="O18" i="6"/>
  <c r="V18" i="6"/>
  <c r="V19" i="6"/>
  <c r="F24" i="6"/>
  <c r="L24" i="6"/>
  <c r="R24" i="6"/>
  <c r="X24" i="6"/>
  <c r="AD24" i="6"/>
  <c r="AJ24" i="6"/>
  <c r="AP24" i="6"/>
  <c r="BG22" i="6"/>
  <c r="X23" i="6"/>
  <c r="U24" i="6"/>
  <c r="AM24" i="6"/>
  <c r="BJ8" i="6" l="1"/>
  <c r="BJ19" i="6"/>
  <c r="BI8" i="6"/>
  <c r="BL14" i="6"/>
  <c r="BL8" i="6"/>
  <c r="BB34" i="5"/>
  <c r="CQ53" i="5"/>
  <c r="AA77" i="5"/>
  <c r="AF77" i="5"/>
  <c r="BD37" i="5"/>
  <c r="BD85" i="5" s="1"/>
  <c r="CF87" i="2" s="1"/>
  <c r="AM76" i="5"/>
  <c r="AN77" i="5" s="1"/>
  <c r="CL76" i="5"/>
  <c r="AG82" i="5"/>
  <c r="AG79" i="5" s="1"/>
  <c r="CM66" i="5"/>
  <c r="BD64" i="5"/>
  <c r="BD65" i="5" s="1"/>
  <c r="BE12" i="5"/>
  <c r="BE9" i="5" s="1"/>
  <c r="BE59" i="5" s="1"/>
  <c r="AN93" i="5"/>
  <c r="AN94" i="5" s="1"/>
  <c r="AH77" i="5"/>
  <c r="AD60" i="5"/>
  <c r="AG35" i="5"/>
  <c r="CK67" i="5"/>
  <c r="CI69" i="5"/>
  <c r="M68" i="5"/>
  <c r="CM58" i="5"/>
  <c r="BD34" i="5"/>
  <c r="BD10" i="5"/>
  <c r="BD59" i="5"/>
  <c r="BD63" i="5" s="1"/>
  <c r="BC62" i="5"/>
  <c r="BC10" i="5"/>
  <c r="AG36" i="5"/>
  <c r="AO28" i="5"/>
  <c r="AP28" i="5" s="1"/>
  <c r="AM95" i="5"/>
  <c r="AE77" i="5"/>
  <c r="CN76" i="5"/>
  <c r="BC34" i="5"/>
  <c r="BC31" i="5" s="1"/>
  <c r="AN29" i="5"/>
  <c r="AN9" i="5"/>
  <c r="AN59" i="5" s="1"/>
  <c r="AB77" i="5"/>
  <c r="BC60" i="5"/>
  <c r="CL58" i="5"/>
  <c r="CN87" i="5"/>
  <c r="CR20" i="5"/>
  <c r="V69" i="5"/>
  <c r="Y68" i="5"/>
  <c r="AN65" i="5"/>
  <c r="CR47" i="5"/>
  <c r="CP47" i="5"/>
  <c r="CM11" i="5"/>
  <c r="P69" i="5"/>
  <c r="AJ61" i="5"/>
  <c r="AM65" i="5"/>
  <c r="AM9" i="5"/>
  <c r="CO67" i="5"/>
  <c r="CM59" i="5"/>
  <c r="CM62" i="5" s="1"/>
  <c r="AN66" i="5"/>
  <c r="CJ20" i="5"/>
  <c r="AN69" i="5"/>
  <c r="AF82" i="5"/>
  <c r="G68" i="5"/>
  <c r="CN11" i="5"/>
  <c r="CV47" i="5"/>
  <c r="AC82" i="5"/>
  <c r="CI20" i="5"/>
  <c r="CV20" i="5"/>
  <c r="CL20" i="5"/>
  <c r="AK68" i="5"/>
  <c r="CP20" i="5"/>
  <c r="CM12" i="4"/>
  <c r="CG12" i="4"/>
  <c r="BK38" i="4"/>
  <c r="BK35" i="4"/>
  <c r="BY81" i="4"/>
  <c r="CW81" i="4" s="1"/>
  <c r="CK12" i="4"/>
  <c r="CF12" i="4"/>
  <c r="CJ12" i="4"/>
  <c r="CP12" i="4"/>
  <c r="BK102" i="4"/>
  <c r="BR59" i="4"/>
  <c r="BR60" i="4" s="1"/>
  <c r="CT12" i="4"/>
  <c r="CN12" i="4"/>
  <c r="BM26" i="4"/>
  <c r="BM29" i="4" s="1"/>
  <c r="BM101" i="4"/>
  <c r="BM24" i="4" s="1"/>
  <c r="BN21" i="4"/>
  <c r="BN26" i="4" s="1"/>
  <c r="BS69" i="4"/>
  <c r="BS70" i="4" s="1"/>
  <c r="BS73" i="4" s="1"/>
  <c r="CX12" i="4"/>
  <c r="BL26" i="4"/>
  <c r="BL101" i="4"/>
  <c r="CT21" i="4"/>
  <c r="CV12" i="4"/>
  <c r="W182" i="3"/>
  <c r="DX14" i="3"/>
  <c r="E70" i="2"/>
  <c r="F15" i="2"/>
  <c r="F18" i="2" s="1"/>
  <c r="CP36" i="2"/>
  <c r="BE9" i="2"/>
  <c r="DG28" i="3"/>
  <c r="EU83" i="3"/>
  <c r="BS21" i="2"/>
  <c r="BA36" i="2"/>
  <c r="J10" i="2"/>
  <c r="CF38" i="2"/>
  <c r="CJ36" i="2"/>
  <c r="F10" i="2"/>
  <c r="CH31" i="2"/>
  <c r="CF37" i="2"/>
  <c r="BZ25" i="2"/>
  <c r="BZ28" i="2" s="1"/>
  <c r="BW70" i="2"/>
  <c r="AH40" i="2"/>
  <c r="CG32" i="2"/>
  <c r="H10" i="2"/>
  <c r="AO14" i="2"/>
  <c r="C32" i="3"/>
  <c r="C35" i="3" s="1"/>
  <c r="CZ22" i="3"/>
  <c r="CH15" i="2"/>
  <c r="N15" i="2"/>
  <c r="CJ38" i="2"/>
  <c r="BF33" i="2"/>
  <c r="CT37" i="2"/>
  <c r="CE37" i="2"/>
  <c r="CG21" i="2"/>
  <c r="CG24" i="2" s="1"/>
  <c r="AQ136" i="3"/>
  <c r="BU13" i="3"/>
  <c r="BU22" i="3" s="1"/>
  <c r="BU23" i="3" s="1"/>
  <c r="AB8" i="2"/>
  <c r="AF10" i="2" s="1"/>
  <c r="AA15" i="3"/>
  <c r="CU9" i="2"/>
  <c r="BS38" i="2"/>
  <c r="E9" i="2"/>
  <c r="Y22" i="3"/>
  <c r="BB13" i="3"/>
  <c r="CB22" i="3"/>
  <c r="CB32" i="3" s="1"/>
  <c r="C71" i="2"/>
  <c r="BE37" i="2"/>
  <c r="AI38" i="2"/>
  <c r="EB35" i="2"/>
  <c r="CK32" i="2"/>
  <c r="BS37" i="2"/>
  <c r="CN9" i="2"/>
  <c r="BX10" i="2"/>
  <c r="R10" i="2"/>
  <c r="DV10" i="3"/>
  <c r="BM136" i="3"/>
  <c r="BN136" i="3" s="1"/>
  <c r="Z8" i="2"/>
  <c r="Z15" i="2" s="1"/>
  <c r="Z40" i="2" s="1"/>
  <c r="Z43" i="2" s="1"/>
  <c r="AX10" i="2"/>
  <c r="BN31" i="2"/>
  <c r="BR32" i="2"/>
  <c r="BO31" i="2"/>
  <c r="BN32" i="2"/>
  <c r="DX30" i="2"/>
  <c r="DX33" i="2" s="1"/>
  <c r="BH6" i="2"/>
  <c r="BG7" i="2"/>
  <c r="BK7" i="2"/>
  <c r="BG14" i="2"/>
  <c r="BG6" i="2"/>
  <c r="BG33" i="2"/>
  <c r="BG38" i="2"/>
  <c r="BM70" i="2"/>
  <c r="BJ71" i="2"/>
  <c r="BQ10" i="2"/>
  <c r="BZ36" i="2"/>
  <c r="DZ35" i="2"/>
  <c r="EA37" i="2" s="1"/>
  <c r="BN37" i="2"/>
  <c r="BO36" i="2"/>
  <c r="DX35" i="2"/>
  <c r="BN38" i="2"/>
  <c r="BR37" i="2"/>
  <c r="W13" i="2"/>
  <c r="S13" i="2"/>
  <c r="AV169" i="3"/>
  <c r="AV243" i="3"/>
  <c r="BP70" i="2"/>
  <c r="U24" i="2"/>
  <c r="U22" i="2"/>
  <c r="Z31" i="2"/>
  <c r="M22" i="3"/>
  <c r="M14" i="3"/>
  <c r="CP10" i="2"/>
  <c r="CQ9" i="2"/>
  <c r="AQ13" i="2"/>
  <c r="AQ12" i="2"/>
  <c r="V22" i="3"/>
  <c r="V14" i="3"/>
  <c r="AA11" i="2"/>
  <c r="BC11" i="3"/>
  <c r="BD116" i="3"/>
  <c r="CK38" i="2"/>
  <c r="CO37" i="2"/>
  <c r="EC35" i="2"/>
  <c r="CK21" i="2"/>
  <c r="CK25" i="2" s="1"/>
  <c r="CK36" i="2"/>
  <c r="ES136" i="3"/>
  <c r="EU136" i="3" s="1"/>
  <c r="ET134" i="3"/>
  <c r="ET136" i="3" s="1"/>
  <c r="AX9" i="2"/>
  <c r="AX15" i="2"/>
  <c r="AX40" i="2" s="1"/>
  <c r="AX44" i="2" s="1"/>
  <c r="BF14" i="2"/>
  <c r="BF15" i="2"/>
  <c r="BF40" i="2" s="1"/>
  <c r="BF43" i="2" s="1"/>
  <c r="BJ7" i="2"/>
  <c r="BL32" i="2"/>
  <c r="BL33" i="2"/>
  <c r="BL21" i="2"/>
  <c r="DW21" i="2" s="1"/>
  <c r="DW24" i="2" s="1"/>
  <c r="BM31" i="2"/>
  <c r="DW30" i="2"/>
  <c r="BP32" i="2"/>
  <c r="BL31" i="2"/>
  <c r="BF6" i="2"/>
  <c r="Z23" i="2"/>
  <c r="BM37" i="2"/>
  <c r="EI22" i="3"/>
  <c r="EJ24" i="3" s="1"/>
  <c r="EI14" i="3"/>
  <c r="BN9" i="2"/>
  <c r="BN33" i="2"/>
  <c r="BF7" i="2"/>
  <c r="S12" i="2"/>
  <c r="CK37" i="2"/>
  <c r="I24" i="2"/>
  <c r="M23" i="2"/>
  <c r="CN10" i="2"/>
  <c r="CK9" i="2"/>
  <c r="CC74" i="3"/>
  <c r="CB86" i="3"/>
  <c r="CC86" i="3" s="1"/>
  <c r="DE22" i="3"/>
  <c r="DF24" i="3" s="1"/>
  <c r="DE14" i="3"/>
  <c r="AW38" i="2"/>
  <c r="AX36" i="2"/>
  <c r="AW21" i="2"/>
  <c r="AW24" i="2" s="1"/>
  <c r="BA37" i="2"/>
  <c r="AW37" i="2"/>
  <c r="CE21" i="2"/>
  <c r="CE31" i="2"/>
  <c r="CE33" i="2"/>
  <c r="CI32" i="2"/>
  <c r="CE32" i="2"/>
  <c r="CF31" i="2"/>
  <c r="BN25" i="2"/>
  <c r="BI36" i="2"/>
  <c r="BI21" i="2"/>
  <c r="BI22" i="2" s="1"/>
  <c r="DV35" i="2"/>
  <c r="BJ36" i="2"/>
  <c r="AM15" i="2"/>
  <c r="AM40" i="2" s="1"/>
  <c r="AM44" i="2" s="1"/>
  <c r="AM9" i="2"/>
  <c r="AV36" i="2"/>
  <c r="AU36" i="2"/>
  <c r="AU21" i="2"/>
  <c r="AU23" i="2" s="1"/>
  <c r="CR15" i="2"/>
  <c r="CR18" i="2" s="1"/>
  <c r="I32" i="3"/>
  <c r="I56" i="3"/>
  <c r="I24" i="3"/>
  <c r="I23" i="3"/>
  <c r="BF10" i="2"/>
  <c r="BB15" i="2"/>
  <c r="BB40" i="2" s="1"/>
  <c r="BB43" i="2" s="1"/>
  <c r="CG15" i="2"/>
  <c r="CG40" i="2" s="1"/>
  <c r="CG44" i="2" s="1"/>
  <c r="CH9" i="2"/>
  <c r="EB30" i="2"/>
  <c r="EB32" i="2" s="1"/>
  <c r="DW56" i="3"/>
  <c r="DW107" i="3" s="1"/>
  <c r="EI15" i="3"/>
  <c r="BA10" i="3"/>
  <c r="AA8" i="2" s="1"/>
  <c r="AW36" i="2"/>
  <c r="O8" i="2"/>
  <c r="O15" i="2" s="1"/>
  <c r="O40" i="2" s="1"/>
  <c r="AL13" i="3"/>
  <c r="AL22" i="3" s="1"/>
  <c r="BO14" i="3"/>
  <c r="CI37" i="2"/>
  <c r="BV71" i="2"/>
  <c r="AV175" i="3"/>
  <c r="DM106" i="3"/>
  <c r="DR95" i="3"/>
  <c r="DS95" i="3" s="1"/>
  <c r="DT95" i="3" s="1"/>
  <c r="DU95" i="3" s="1"/>
  <c r="AJ71" i="2"/>
  <c r="BW37" i="2"/>
  <c r="DY35" i="2"/>
  <c r="AP40" i="2"/>
  <c r="AP44" i="2" s="1"/>
  <c r="BA38" i="2"/>
  <c r="CF36" i="2"/>
  <c r="AI37" i="2"/>
  <c r="AL70" i="2"/>
  <c r="CF21" i="2"/>
  <c r="BL70" i="2"/>
  <c r="BP9" i="2"/>
  <c r="CS9" i="2"/>
  <c r="BO70" i="2"/>
  <c r="DB28" i="3"/>
  <c r="BN71" i="2"/>
  <c r="I23" i="2"/>
  <c r="AD14" i="2"/>
  <c r="BO71" i="2"/>
  <c r="CQ22" i="3"/>
  <c r="CQ32" i="3" s="1"/>
  <c r="CQ37" i="3" s="1"/>
  <c r="BN134" i="3"/>
  <c r="X9" i="2"/>
  <c r="AN10" i="2"/>
  <c r="AL243" i="3"/>
  <c r="AL253" i="3" s="1"/>
  <c r="M15" i="3"/>
  <c r="K22" i="3"/>
  <c r="K56" i="3" s="1"/>
  <c r="EC32" i="3"/>
  <c r="EC37" i="3" s="1"/>
  <c r="BT9" i="2"/>
  <c r="AE12" i="2"/>
  <c r="BS36" i="2"/>
  <c r="W15" i="2"/>
  <c r="W18" i="2" s="1"/>
  <c r="BC218" i="3"/>
  <c r="CK10" i="2"/>
  <c r="AZ13" i="3"/>
  <c r="AZ174" i="3" s="1"/>
  <c r="AZ247" i="3" s="1"/>
  <c r="DQ28" i="3"/>
  <c r="BI14" i="2"/>
  <c r="BL71" i="2"/>
  <c r="BK71" i="2"/>
  <c r="AT9" i="2"/>
  <c r="DW8" i="2"/>
  <c r="BY36" i="2"/>
  <c r="CO9" i="2"/>
  <c r="BS70" i="2"/>
  <c r="BO25" i="2"/>
  <c r="BO28" i="2" s="1"/>
  <c r="BM71" i="2"/>
  <c r="BY37" i="2"/>
  <c r="BL9" i="2"/>
  <c r="BY10" i="2"/>
  <c r="X170" i="3"/>
  <c r="X169" i="3" s="1"/>
  <c r="AK170" i="3"/>
  <c r="AK243" i="3" s="1"/>
  <c r="AL244" i="3" s="1"/>
  <c r="AN86" i="3"/>
  <c r="AO86" i="3" s="1"/>
  <c r="BO15" i="3"/>
  <c r="CD84" i="3"/>
  <c r="BK63" i="3"/>
  <c r="BK74" i="3" s="1"/>
  <c r="BK86" i="3" s="1"/>
  <c r="DG13" i="3"/>
  <c r="DG14" i="3" s="1"/>
  <c r="Q71" i="3"/>
  <c r="DN15" i="3"/>
  <c r="BY21" i="2"/>
  <c r="BY25" i="2" s="1"/>
  <c r="BZ26" i="2" s="1"/>
  <c r="BY9" i="2"/>
  <c r="DX8" i="2"/>
  <c r="DS35" i="2"/>
  <c r="DS38" i="2" s="1"/>
  <c r="BO15" i="2"/>
  <c r="BO40" i="2" s="1"/>
  <c r="BL10" i="2"/>
  <c r="BQ9" i="2"/>
  <c r="CR38" i="2"/>
  <c r="ED35" i="2"/>
  <c r="CC10" i="2"/>
  <c r="AS13" i="2"/>
  <c r="AU38" i="2"/>
  <c r="BK19" i="2"/>
  <c r="CR37" i="2"/>
  <c r="CO15" i="2"/>
  <c r="CO18" i="2" s="1"/>
  <c r="AU37" i="2"/>
  <c r="Y31" i="2"/>
  <c r="CT9" i="2"/>
  <c r="BS10" i="2"/>
  <c r="CT22" i="2"/>
  <c r="BJ9" i="2"/>
  <c r="AB11" i="2"/>
  <c r="AB13" i="2" s="1"/>
  <c r="X187" i="3"/>
  <c r="X256" i="3"/>
  <c r="CA8" i="2"/>
  <c r="CB9" i="2" s="1"/>
  <c r="EK28" i="3"/>
  <c r="AH254" i="3"/>
  <c r="AC169" i="3"/>
  <c r="AS11" i="3"/>
  <c r="AS10" i="3" s="1"/>
  <c r="BO56" i="3"/>
  <c r="DZ8" i="2"/>
  <c r="BM9" i="2"/>
  <c r="BI38" i="2"/>
  <c r="AY37" i="2"/>
  <c r="BI15" i="2"/>
  <c r="BI18" i="2" s="1"/>
  <c r="BI141" i="2" s="1"/>
  <c r="AT10" i="2"/>
  <c r="AS9" i="2"/>
  <c r="CL38" i="2"/>
  <c r="BZ70" i="2"/>
  <c r="BY38" i="2"/>
  <c r="BY15" i="2"/>
  <c r="BZ16" i="2" s="1"/>
  <c r="BP10" i="2"/>
  <c r="AC32" i="2"/>
  <c r="BI71" i="2"/>
  <c r="AT15" i="2"/>
  <c r="AT19" i="2" s="1"/>
  <c r="AL24" i="2"/>
  <c r="BJ6" i="2"/>
  <c r="I9" i="2"/>
  <c r="BP15" i="2"/>
  <c r="BP18" i="2" s="1"/>
  <c r="BN10" i="2"/>
  <c r="AS15" i="2"/>
  <c r="AW17" i="2" s="1"/>
  <c r="BO9" i="2"/>
  <c r="BM10" i="2"/>
  <c r="BZ9" i="2"/>
  <c r="BO10" i="2"/>
  <c r="CC37" i="2"/>
  <c r="BI33" i="2"/>
  <c r="AP19" i="2"/>
  <c r="BK9" i="2"/>
  <c r="BN70" i="2"/>
  <c r="BI24" i="2"/>
  <c r="BL15" i="2"/>
  <c r="BL18" i="2" s="1"/>
  <c r="BI7" i="2"/>
  <c r="BM7" i="2"/>
  <c r="EV72" i="3"/>
  <c r="EW72" i="3" s="1"/>
  <c r="EX72" i="3" s="1"/>
  <c r="EY72" i="3" s="1"/>
  <c r="EZ72" i="3" s="1"/>
  <c r="BQ70" i="2"/>
  <c r="AV254" i="3"/>
  <c r="AV249" i="3"/>
  <c r="CR42" i="3"/>
  <c r="CI74" i="3"/>
  <c r="BO32" i="3"/>
  <c r="BO37" i="3" s="1"/>
  <c r="CJ74" i="3"/>
  <c r="AV253" i="3"/>
  <c r="AH170" i="3"/>
  <c r="AH253" i="3" s="1"/>
  <c r="AH258" i="3" s="1"/>
  <c r="DG100" i="3"/>
  <c r="DH15" i="3"/>
  <c r="DV5" i="2"/>
  <c r="DV33" i="2" s="1"/>
  <c r="BR10" i="2"/>
  <c r="DM30" i="2"/>
  <c r="DN32" i="2" s="1"/>
  <c r="CS15" i="2"/>
  <c r="CS40" i="2" s="1"/>
  <c r="BM15" i="2"/>
  <c r="BM18" i="2" s="1"/>
  <c r="J9" i="2"/>
  <c r="CD10" i="2"/>
  <c r="BG15" i="3"/>
  <c r="BG23" i="3"/>
  <c r="DN14" i="3"/>
  <c r="DM7" i="2"/>
  <c r="AO12" i="2"/>
  <c r="DQ11" i="2"/>
  <c r="CU25" i="2"/>
  <c r="CU28" i="2" s="1"/>
  <c r="AR23" i="2"/>
  <c r="AN9" i="2"/>
  <c r="BI70" i="2"/>
  <c r="CM10" i="2"/>
  <c r="BG15" i="2"/>
  <c r="BG40" i="2" s="1"/>
  <c r="BE40" i="2"/>
  <c r="BE44" i="2" s="1"/>
  <c r="DL21" i="2"/>
  <c r="DL24" i="2" s="1"/>
  <c r="CT25" i="2"/>
  <c r="CT28" i="2" s="1"/>
  <c r="CL37" i="2"/>
  <c r="I15" i="2"/>
  <c r="I17" i="2" s="1"/>
  <c r="BG13" i="2"/>
  <c r="CJ9" i="2"/>
  <c r="CR21" i="2"/>
  <c r="CR25" i="2" s="1"/>
  <c r="CS26" i="2" s="1"/>
  <c r="B15" i="2"/>
  <c r="B40" i="2" s="1"/>
  <c r="B43" i="2" s="1"/>
  <c r="CC9" i="2"/>
  <c r="AS24" i="2"/>
  <c r="DS71" i="3"/>
  <c r="CE8" i="2"/>
  <c r="CC71" i="2" s="1"/>
  <c r="AR175" i="3"/>
  <c r="DO15" i="3"/>
  <c r="BG70" i="2"/>
  <c r="CF18" i="2"/>
  <c r="CS36" i="2"/>
  <c r="EJ15" i="3"/>
  <c r="EM15" i="3"/>
  <c r="BE13" i="3"/>
  <c r="AD8" i="2"/>
  <c r="BE71" i="3"/>
  <c r="CD86" i="3"/>
  <c r="CM146" i="3"/>
  <c r="AH148" i="3"/>
  <c r="AS128" i="3"/>
  <c r="AT128" i="3" s="1"/>
  <c r="AI86" i="3"/>
  <c r="AJ86" i="3" s="1"/>
  <c r="BL86" i="3"/>
  <c r="BF14" i="3"/>
  <c r="BG56" i="3"/>
  <c r="CP22" i="3"/>
  <c r="CP56" i="3" s="1"/>
  <c r="BJ32" i="3"/>
  <c r="EJ23" i="3"/>
  <c r="BD71" i="2"/>
  <c r="BC12" i="2"/>
  <c r="DU11" i="2"/>
  <c r="DV13" i="2" s="1"/>
  <c r="CU10" i="2"/>
  <c r="Y32" i="2"/>
  <c r="CK15" i="2"/>
  <c r="CK16" i="2" s="1"/>
  <c r="DV8" i="2"/>
  <c r="CV12" i="2"/>
  <c r="CL36" i="2"/>
  <c r="CU15" i="2"/>
  <c r="CU40" i="2" s="1"/>
  <c r="CJ15" i="2"/>
  <c r="CJ18" i="2" s="1"/>
  <c r="BJ14" i="3"/>
  <c r="BO82" i="3"/>
  <c r="BO84" i="3" s="1"/>
  <c r="BO86" i="3" s="1"/>
  <c r="BC14" i="2"/>
  <c r="EE35" i="2"/>
  <c r="CF43" i="2"/>
  <c r="EC8" i="2"/>
  <c r="BC13" i="2"/>
  <c r="CF10" i="2"/>
  <c r="CL148" i="3"/>
  <c r="X220" i="3"/>
  <c r="AP243" i="3"/>
  <c r="BH136" i="3"/>
  <c r="AO100" i="3"/>
  <c r="AN143" i="3"/>
  <c r="AO143" i="3" s="1"/>
  <c r="CV15" i="3"/>
  <c r="AK22" i="3"/>
  <c r="BJ23" i="3"/>
  <c r="DQ13" i="3"/>
  <c r="B71" i="2"/>
  <c r="AP22" i="2"/>
  <c r="BG9" i="2"/>
  <c r="AO13" i="2"/>
  <c r="DT23" i="3"/>
  <c r="AR10" i="2"/>
  <c r="Y21" i="2"/>
  <c r="Y24" i="2" s="1"/>
  <c r="CL21" i="2"/>
  <c r="CL24" i="2" s="1"/>
  <c r="R23" i="2"/>
  <c r="CM36" i="2"/>
  <c r="DL13" i="3"/>
  <c r="BT10" i="2"/>
  <c r="X15" i="2"/>
  <c r="X40" i="2" s="1"/>
  <c r="X43" i="2" s="1"/>
  <c r="BE71" i="2"/>
  <c r="DE15" i="3"/>
  <c r="AP253" i="3"/>
  <c r="CV148" i="3"/>
  <c r="CJ148" i="3"/>
  <c r="DK56" i="3"/>
  <c r="DK107" i="3" s="1"/>
  <c r="CU22" i="2"/>
  <c r="CT23" i="2"/>
  <c r="CD15" i="2"/>
  <c r="CD40" i="2" s="1"/>
  <c r="CD44" i="2" s="1"/>
  <c r="EJ14" i="3"/>
  <c r="AP249" i="3"/>
  <c r="DT37" i="3"/>
  <c r="DT44" i="3" s="1"/>
  <c r="DT35" i="3"/>
  <c r="DT41" i="3" s="1"/>
  <c r="Z120" i="3"/>
  <c r="DB127" i="3"/>
  <c r="AI170" i="3"/>
  <c r="AI169" i="3" s="1"/>
  <c r="AL71" i="3"/>
  <c r="AI9" i="2"/>
  <c r="DP8" i="2"/>
  <c r="CY15" i="3"/>
  <c r="DK14" i="3"/>
  <c r="DI15" i="3"/>
  <c r="CK32" i="3"/>
  <c r="CK37" i="3" s="1"/>
  <c r="CD22" i="3"/>
  <c r="BF71" i="2"/>
  <c r="BG71" i="2"/>
  <c r="AM70" i="2"/>
  <c r="EE8" i="2"/>
  <c r="J40" i="2"/>
  <c r="DY7" i="2"/>
  <c r="BW25" i="2"/>
  <c r="BW28" i="2" s="1"/>
  <c r="AU13" i="2"/>
  <c r="BS71" i="2"/>
  <c r="BH70" i="2"/>
  <c r="CB10" i="2"/>
  <c r="AV23" i="2"/>
  <c r="CP15" i="2"/>
  <c r="CP17" i="2" s="1"/>
  <c r="BB10" i="2"/>
  <c r="BH10" i="2"/>
  <c r="AJ15" i="2"/>
  <c r="CT22" i="3"/>
  <c r="CT14" i="3"/>
  <c r="DK32" i="3"/>
  <c r="DK37" i="3" s="1"/>
  <c r="DK44" i="3" s="1"/>
  <c r="DM15" i="3"/>
  <c r="DT56" i="3"/>
  <c r="DT107" i="3" s="1"/>
  <c r="CA23" i="2"/>
  <c r="CB70" i="2"/>
  <c r="CK14" i="3"/>
  <c r="AI220" i="3"/>
  <c r="BN82" i="3"/>
  <c r="CW144" i="3"/>
  <c r="CR13" i="3"/>
  <c r="CW15" i="3" s="1"/>
  <c r="CK56" i="3"/>
  <c r="EL22" i="3"/>
  <c r="CD15" i="3"/>
  <c r="DX24" i="3"/>
  <c r="BT71" i="2"/>
  <c r="AH71" i="2"/>
  <c r="AR12" i="2"/>
  <c r="BH9" i="2"/>
  <c r="CB15" i="2"/>
  <c r="CF17" i="2" s="1"/>
  <c r="X12" i="2"/>
  <c r="AI71" i="2"/>
  <c r="AQ14" i="2"/>
  <c r="AV25" i="2"/>
  <c r="BJ70" i="2"/>
  <c r="BV70" i="2"/>
  <c r="AJ10" i="2"/>
  <c r="BI9" i="2"/>
  <c r="EU134" i="3"/>
  <c r="AY134" i="3"/>
  <c r="DL148" i="3"/>
  <c r="AI11" i="3"/>
  <c r="M11" i="2" s="1"/>
  <c r="AK70" i="2"/>
  <c r="AE134" i="3"/>
  <c r="AZ170" i="3"/>
  <c r="AZ243" i="3" s="1"/>
  <c r="AZ253" i="3" s="1"/>
  <c r="AN136" i="3"/>
  <c r="AX100" i="3"/>
  <c r="AX104" i="3" s="1"/>
  <c r="C24" i="3"/>
  <c r="AP175" i="3"/>
  <c r="BA183" i="3"/>
  <c r="BB183" i="3" s="1"/>
  <c r="CU148" i="3"/>
  <c r="CW148" i="3" s="1"/>
  <c r="BU136" i="3"/>
  <c r="CW146" i="3"/>
  <c r="EZ136" i="3"/>
  <c r="BU15" i="3"/>
  <c r="EA13" i="3"/>
  <c r="EB15" i="3" s="1"/>
  <c r="BU56" i="3"/>
  <c r="DV28" i="3"/>
  <c r="DX32" i="3"/>
  <c r="DX37" i="3" s="1"/>
  <c r="CW13" i="3"/>
  <c r="CP15" i="3"/>
  <c r="CQ15" i="3"/>
  <c r="DU15" i="3"/>
  <c r="DK15" i="3"/>
  <c r="DM24" i="3"/>
  <c r="DX23" i="3"/>
  <c r="CL9" i="2"/>
  <c r="AJ9" i="2"/>
  <c r="BW71" i="2"/>
  <c r="BK70" i="2"/>
  <c r="CV37" i="2"/>
  <c r="CW35" i="2"/>
  <c r="EF35" i="2" s="1"/>
  <c r="DR11" i="2"/>
  <c r="DR14" i="2" s="1"/>
  <c r="AM10" i="2"/>
  <c r="AK71" i="2"/>
  <c r="CL10" i="2"/>
  <c r="CG9" i="2"/>
  <c r="CM9" i="2"/>
  <c r="AQ71" i="3"/>
  <c r="S8" i="2"/>
  <c r="S10" i="2" s="1"/>
  <c r="AQ13" i="3"/>
  <c r="AQ174" i="3" s="1"/>
  <c r="Z125" i="3"/>
  <c r="ED8" i="2"/>
  <c r="DA148" i="3"/>
  <c r="BC135" i="3"/>
  <c r="BD135" i="3" s="1"/>
  <c r="DB144" i="3"/>
  <c r="AC136" i="3"/>
  <c r="AE136" i="3" s="1"/>
  <c r="BP63" i="3"/>
  <c r="BP74" i="3" s="1"/>
  <c r="BP86" i="3" s="1"/>
  <c r="BV136" i="3"/>
  <c r="DV13" i="3"/>
  <c r="DV15" i="3" s="1"/>
  <c r="DN106" i="3"/>
  <c r="BU32" i="3"/>
  <c r="BU35" i="3" s="1"/>
  <c r="BU42" i="3" s="1"/>
  <c r="BU14" i="3"/>
  <c r="DT14" i="3"/>
  <c r="BH71" i="2"/>
  <c r="O22" i="2"/>
  <c r="CP9" i="2"/>
  <c r="AT16" i="2"/>
  <c r="CJ10" i="2"/>
  <c r="S22" i="2"/>
  <c r="AN70" i="2"/>
  <c r="CT10" i="2"/>
  <c r="AX17" i="2"/>
  <c r="AN15" i="2"/>
  <c r="AN19" i="2" s="1"/>
  <c r="DX15" i="3"/>
  <c r="BI134" i="3"/>
  <c r="BU71" i="3"/>
  <c r="AQ8" i="2"/>
  <c r="AR116" i="3"/>
  <c r="AR10" i="3"/>
  <c r="T11" i="2"/>
  <c r="X13" i="2" s="1"/>
  <c r="CK136" i="3"/>
  <c r="CL134" i="3"/>
  <c r="EG22" i="3"/>
  <c r="EG14" i="3"/>
  <c r="AN225" i="3"/>
  <c r="AN230" i="3"/>
  <c r="CS14" i="3"/>
  <c r="CT15" i="3"/>
  <c r="BC125" i="3"/>
  <c r="BD125" i="3" s="1"/>
  <c r="BR71" i="2"/>
  <c r="F40" i="2"/>
  <c r="X23" i="2"/>
  <c r="AJ23" i="2"/>
  <c r="CW11" i="2"/>
  <c r="EO11" i="3" s="1"/>
  <c r="EO116" i="3" s="1"/>
  <c r="EP116" i="3" s="1"/>
  <c r="DU22" i="3"/>
  <c r="DU14" i="3"/>
  <c r="EM22" i="3"/>
  <c r="EM14" i="3"/>
  <c r="ED15" i="3"/>
  <c r="CW128" i="3"/>
  <c r="AS176" i="3"/>
  <c r="AS250" i="3" s="1"/>
  <c r="CG136" i="3"/>
  <c r="CC120" i="3"/>
  <c r="U143" i="3"/>
  <c r="Y136" i="3"/>
  <c r="Z136" i="3" s="1"/>
  <c r="CC127" i="3"/>
  <c r="BX120" i="3"/>
  <c r="BI116" i="3"/>
  <c r="BX127" i="3"/>
  <c r="CS22" i="3"/>
  <c r="CS56" i="3" s="1"/>
  <c r="BZ63" i="3"/>
  <c r="BZ74" i="3" s="1"/>
  <c r="BZ86" i="3" s="1"/>
  <c r="AZ100" i="3"/>
  <c r="AZ104" i="3" s="1"/>
  <c r="Z13" i="3"/>
  <c r="Y11" i="2"/>
  <c r="AX10" i="3"/>
  <c r="AY10" i="3" s="1"/>
  <c r="DI22" i="3"/>
  <c r="DI24" i="3" s="1"/>
  <c r="DI14" i="3"/>
  <c r="Z117" i="3"/>
  <c r="BP22" i="3"/>
  <c r="BP14" i="3"/>
  <c r="BP15" i="3"/>
  <c r="CH117" i="3"/>
  <c r="CW143" i="3"/>
  <c r="DL135" i="3"/>
  <c r="AO135" i="3"/>
  <c r="CH146" i="3"/>
  <c r="BY86" i="3"/>
  <c r="U120" i="3"/>
  <c r="EK13" i="3"/>
  <c r="EL15" i="3" s="1"/>
  <c r="CW28" i="3"/>
  <c r="AW22" i="3"/>
  <c r="BX135" i="3"/>
  <c r="DM62" i="2"/>
  <c r="BN120" i="3"/>
  <c r="CM116" i="3"/>
  <c r="BR9" i="2"/>
  <c r="BQ71" i="2"/>
  <c r="BS9" i="2"/>
  <c r="BR15" i="2"/>
  <c r="BR40" i="2" s="1"/>
  <c r="BR44" i="2" s="1"/>
  <c r="CY22" i="3"/>
  <c r="CZ24" i="3" s="1"/>
  <c r="CZ15" i="3"/>
  <c r="DR22" i="3"/>
  <c r="DR14" i="3"/>
  <c r="CR127" i="3"/>
  <c r="CW136" i="3"/>
  <c r="CW134" i="3"/>
  <c r="BX119" i="3"/>
  <c r="CH119" i="3"/>
  <c r="DG42" i="3"/>
  <c r="AW174" i="3"/>
  <c r="AW247" i="3" s="1"/>
  <c r="Z27" i="3"/>
  <c r="DY8" i="2"/>
  <c r="BU70" i="2"/>
  <c r="BT70" i="2"/>
  <c r="BV10" i="2"/>
  <c r="BM22" i="3"/>
  <c r="BM14" i="3"/>
  <c r="CN22" i="3"/>
  <c r="CN14" i="3"/>
  <c r="DF14" i="3"/>
  <c r="DF15" i="3"/>
  <c r="DO22" i="3"/>
  <c r="DO14" i="3"/>
  <c r="AK211" i="3"/>
  <c r="P118" i="3"/>
  <c r="AY143" i="3"/>
  <c r="CM42" i="3"/>
  <c r="BP71" i="2"/>
  <c r="AH136" i="3"/>
  <c r="AI134" i="3"/>
  <c r="AI136" i="3" s="1"/>
  <c r="BV15" i="3"/>
  <c r="BV14" i="3"/>
  <c r="BV22" i="3"/>
  <c r="BS146" i="3"/>
  <c r="AM228" i="3"/>
  <c r="AL229" i="3"/>
  <c r="AL174" i="3" s="1"/>
  <c r="CJ71" i="3"/>
  <c r="CJ13" i="3"/>
  <c r="BC8" i="2"/>
  <c r="BR71" i="3"/>
  <c r="AO8" i="2"/>
  <c r="BR13" i="3"/>
  <c r="BT15" i="3" s="1"/>
  <c r="DZ78" i="2"/>
  <c r="AX24" i="2"/>
  <c r="AK23" i="2"/>
  <c r="E24" i="2"/>
  <c r="EC13" i="2"/>
  <c r="AK22" i="2"/>
  <c r="BD23" i="2"/>
  <c r="CL190" i="2"/>
  <c r="CO16" i="2"/>
  <c r="T22" i="2"/>
  <c r="AL23" i="2"/>
  <c r="CL19" i="2"/>
  <c r="BO22" i="2"/>
  <c r="CV13" i="2"/>
  <c r="CL194" i="2"/>
  <c r="L23" i="2"/>
  <c r="CL40" i="2"/>
  <c r="AR22" i="2"/>
  <c r="CL191" i="2"/>
  <c r="DO33" i="2"/>
  <c r="AS22" i="2"/>
  <c r="CV21" i="2"/>
  <c r="CV25" i="2" s="1"/>
  <c r="CF19" i="2"/>
  <c r="DY102" i="2"/>
  <c r="CT98" i="2"/>
  <c r="BD25" i="2"/>
  <c r="BD28" i="2" s="1"/>
  <c r="AR25" i="2"/>
  <c r="AR28" i="2" s="1"/>
  <c r="BF42" i="2"/>
  <c r="BH18" i="2"/>
  <c r="BH141" i="2" s="1"/>
  <c r="BH157" i="2" s="1"/>
  <c r="BH154" i="2" s="1"/>
  <c r="BL156" i="2" s="1"/>
  <c r="BZ23" i="2"/>
  <c r="BP22" i="2"/>
  <c r="BL24" i="6"/>
  <c r="I22" i="2"/>
  <c r="DU37" i="2"/>
  <c r="BE22" i="2"/>
  <c r="BE23" i="2"/>
  <c r="BT40" i="2"/>
  <c r="BT43" i="2" s="1"/>
  <c r="N22" i="2"/>
  <c r="BV23" i="2"/>
  <c r="BB44" i="2"/>
  <c r="BB47" i="2" s="1"/>
  <c r="CT114" i="2"/>
  <c r="AN40" i="2"/>
  <c r="AN44" i="2" s="1"/>
  <c r="C18" i="2"/>
  <c r="BH23" i="2"/>
  <c r="BV25" i="2"/>
  <c r="BV28" i="2" s="1"/>
  <c r="BP25" i="2"/>
  <c r="BP28" i="2" s="1"/>
  <c r="J17" i="2"/>
  <c r="BU288" i="2"/>
  <c r="CH25" i="2"/>
  <c r="CH28" i="2" s="1"/>
  <c r="BW22" i="2"/>
  <c r="CD164" i="2"/>
  <c r="DO37" i="2"/>
  <c r="DO32" i="2"/>
  <c r="CN22" i="2"/>
  <c r="BP23" i="2"/>
  <c r="AF23" i="2"/>
  <c r="DT256" i="2"/>
  <c r="BT16" i="2"/>
  <c r="CO19" i="2"/>
  <c r="BH24" i="2"/>
  <c r="H24" i="2"/>
  <c r="CO22" i="2"/>
  <c r="BE25" i="2"/>
  <c r="BE28" i="2" s="1"/>
  <c r="CF23" i="2"/>
  <c r="CE163" i="2"/>
  <c r="BJ25" i="2"/>
  <c r="BJ28" i="2" s="1"/>
  <c r="BH40" i="2"/>
  <c r="BH44" i="2" s="1"/>
  <c r="BH22" i="2"/>
  <c r="CB23" i="2"/>
  <c r="H23" i="2"/>
  <c r="G23" i="2"/>
  <c r="BN23" i="2"/>
  <c r="BT18" i="2"/>
  <c r="AE22" i="2"/>
  <c r="BH17" i="2"/>
  <c r="DU38" i="2"/>
  <c r="BJ23" i="2"/>
  <c r="DV106" i="2"/>
  <c r="EA7" i="2"/>
  <c r="CT167" i="2"/>
  <c r="J16" i="2"/>
  <c r="BV22" i="2"/>
  <c r="EB14" i="2"/>
  <c r="BS265" i="2"/>
  <c r="EE158" i="2"/>
  <c r="AM23" i="2"/>
  <c r="DY106" i="2"/>
  <c r="DT252" i="2"/>
  <c r="AQ25" i="2"/>
  <c r="BH43" i="2"/>
  <c r="AX19" i="2"/>
  <c r="CA288" i="2"/>
  <c r="DR21" i="2"/>
  <c r="DT263" i="2"/>
  <c r="DV110" i="2"/>
  <c r="CV168" i="2"/>
  <c r="CD16" i="2"/>
  <c r="CO100" i="2"/>
  <c r="CH22" i="2"/>
  <c r="AL22" i="2"/>
  <c r="AE23" i="2"/>
  <c r="CG22" i="2"/>
  <c r="M22" i="2"/>
  <c r="DA123" i="2"/>
  <c r="EG123" i="2" s="1"/>
  <c r="CM25" i="2"/>
  <c r="CM28" i="2" s="1"/>
  <c r="CI19" i="2"/>
  <c r="BK40" i="2"/>
  <c r="BU290" i="2"/>
  <c r="BU289" i="2"/>
  <c r="EB13" i="2"/>
  <c r="BV24" i="2"/>
  <c r="BT289" i="2"/>
  <c r="BZ289" i="2"/>
  <c r="DZ106" i="2"/>
  <c r="DZ94" i="2"/>
  <c r="DT267" i="2"/>
  <c r="CV32" i="2"/>
  <c r="AY22" i="2"/>
  <c r="CU23" i="2"/>
  <c r="AA23" i="2"/>
  <c r="CD18" i="2"/>
  <c r="BX40" i="2"/>
  <c r="BX43" i="2" s="1"/>
  <c r="AY25" i="2"/>
  <c r="AY26" i="2" s="1"/>
  <c r="AF22" i="2"/>
  <c r="BN19" i="2"/>
  <c r="S23" i="2"/>
  <c r="DY122" i="2"/>
  <c r="CG25" i="2"/>
  <c r="CI18" i="2"/>
  <c r="CU19" i="2"/>
  <c r="EB38" i="2"/>
  <c r="BT288" i="2"/>
  <c r="CU167" i="2"/>
  <c r="DY78" i="2"/>
  <c r="BU25" i="2"/>
  <c r="BU28" i="2" s="1"/>
  <c r="DY94" i="2"/>
  <c r="CT168" i="2"/>
  <c r="AX18" i="2"/>
  <c r="BR168" i="2"/>
  <c r="DZ102" i="2"/>
  <c r="DZ110" i="2"/>
  <c r="AA22" i="2"/>
  <c r="EC7" i="2"/>
  <c r="BD22" i="2"/>
  <c r="DY110" i="2"/>
  <c r="CW30" i="2"/>
  <c r="EF30" i="2" s="1"/>
  <c r="EF32" i="2" s="1"/>
  <c r="DS131" i="2"/>
  <c r="DS130" i="2" s="1"/>
  <c r="DV7" i="2"/>
  <c r="BZ17" i="2"/>
  <c r="BK25" i="2"/>
  <c r="AQ23" i="2"/>
  <c r="CJ17" i="2"/>
  <c r="BZ40" i="2"/>
  <c r="CD42" i="2" s="1"/>
  <c r="CU18" i="2"/>
  <c r="BN17" i="2"/>
  <c r="I18" i="2"/>
  <c r="R17" i="2"/>
  <c r="CI22" i="2"/>
  <c r="AM22" i="2"/>
  <c r="BX18" i="2"/>
  <c r="CU16" i="2"/>
  <c r="I16" i="2"/>
  <c r="CM23" i="2"/>
  <c r="BX17" i="2"/>
  <c r="CJ19" i="2"/>
  <c r="BN16" i="2"/>
  <c r="I40" i="2"/>
  <c r="I43" i="2" s="1"/>
  <c r="BU22" i="2"/>
  <c r="CA118" i="2"/>
  <c r="BN40" i="2"/>
  <c r="BZ19" i="2"/>
  <c r="CN25" i="2"/>
  <c r="CN28" i="2" s="1"/>
  <c r="BK22" i="2"/>
  <c r="CI25" i="2"/>
  <c r="AM25" i="2"/>
  <c r="AM28" i="2" s="1"/>
  <c r="BC23" i="2"/>
  <c r="BC25" i="2"/>
  <c r="CN125" i="2"/>
  <c r="G22" i="2"/>
  <c r="CC22" i="2"/>
  <c r="BQ23" i="2"/>
  <c r="O16" i="2"/>
  <c r="BJ22" i="2"/>
  <c r="EC21" i="2"/>
  <c r="EC24" i="2" s="1"/>
  <c r="EA13" i="2"/>
  <c r="BO23" i="2"/>
  <c r="EA21" i="2"/>
  <c r="EA24" i="2" s="1"/>
  <c r="DS7" i="2"/>
  <c r="BI25" i="2"/>
  <c r="DX21" i="2"/>
  <c r="BT25" i="2"/>
  <c r="AP25" i="2"/>
  <c r="C22" i="2"/>
  <c r="BL15" i="4"/>
  <c r="BL16" i="4" s="1"/>
  <c r="CO123" i="2"/>
  <c r="ED123" i="2" s="1"/>
  <c r="D16" i="2"/>
  <c r="CC25" i="2"/>
  <c r="CS23" i="2"/>
  <c r="AQ22" i="2"/>
  <c r="BF44" i="2"/>
  <c r="BF47" i="2" s="1"/>
  <c r="BT24" i="2"/>
  <c r="AP24" i="2"/>
  <c r="CB24" i="2"/>
  <c r="CB25" i="2"/>
  <c r="CB28" i="2" s="1"/>
  <c r="R40" i="2"/>
  <c r="R43" i="2" s="1"/>
  <c r="R18" i="2"/>
  <c r="BO24" i="6"/>
  <c r="BT22" i="2"/>
  <c r="CO25" i="2"/>
  <c r="CS27" i="2" s="1"/>
  <c r="BU23" i="2"/>
  <c r="DH14" i="2"/>
  <c r="BT23" i="2"/>
  <c r="AP23" i="2"/>
  <c r="CB289" i="2"/>
  <c r="CB288" i="2"/>
  <c r="CE164" i="2"/>
  <c r="CX111" i="2"/>
  <c r="CX166" i="2" s="1"/>
  <c r="CW113" i="2"/>
  <c r="EB37" i="2"/>
  <c r="BQ22" i="2"/>
  <c r="AG22" i="2"/>
  <c r="BL40" i="2"/>
  <c r="BL42" i="2" s="1"/>
  <c r="CA22" i="2"/>
  <c r="D40" i="2"/>
  <c r="D41" i="2" s="1"/>
  <c r="BE19" i="2"/>
  <c r="C16" i="2"/>
  <c r="O18" i="2"/>
  <c r="BJ29" i="4"/>
  <c r="BN24" i="6"/>
  <c r="CG190" i="2"/>
  <c r="CW166" i="2"/>
  <c r="EF166" i="2" s="1"/>
  <c r="BQ25" i="2"/>
  <c r="CB22" i="2"/>
  <c r="H22" i="2"/>
  <c r="CG23" i="2"/>
  <c r="CA25" i="2"/>
  <c r="DP15" i="2"/>
  <c r="DP18" i="2" s="1"/>
  <c r="EA164" i="2"/>
  <c r="CR159" i="2"/>
  <c r="DT7" i="2"/>
  <c r="BH24" i="6"/>
  <c r="CT153" i="2"/>
  <c r="CU153" i="2" s="1"/>
  <c r="CL16" i="2"/>
  <c r="BI24" i="6"/>
  <c r="BQ24" i="6"/>
  <c r="CG191" i="2"/>
  <c r="DI7" i="2"/>
  <c r="CT106" i="2"/>
  <c r="BY169" i="2"/>
  <c r="BX166" i="2"/>
  <c r="DY243" i="2"/>
  <c r="CO191" i="2"/>
  <c r="CM126" i="2"/>
  <c r="CT78" i="2"/>
  <c r="E22" i="2"/>
  <c r="BE16" i="2"/>
  <c r="CN154" i="2"/>
  <c r="CR156" i="2" s="1"/>
  <c r="CN100" i="2"/>
  <c r="CR101" i="2"/>
  <c r="CN131" i="2"/>
  <c r="CN122" i="2" s="1"/>
  <c r="CT132" i="2"/>
  <c r="CS191" i="2"/>
  <c r="BU272" i="2"/>
  <c r="BU275" i="2" s="1"/>
  <c r="DP7" i="2"/>
  <c r="DJ7" i="2"/>
  <c r="DZ243" i="2"/>
  <c r="CA102" i="2"/>
  <c r="CT110" i="2"/>
  <c r="BH98" i="2"/>
  <c r="DZ7" i="2"/>
  <c r="BK23" i="2"/>
  <c r="CW105" i="2"/>
  <c r="EF103" i="2"/>
  <c r="EF105" i="2" s="1"/>
  <c r="CE102" i="2"/>
  <c r="DY264" i="2"/>
  <c r="CE100" i="2"/>
  <c r="DZ10" i="2"/>
  <c r="DN21" i="2"/>
  <c r="DN24" i="2" s="1"/>
  <c r="CT102" i="2"/>
  <c r="CO190" i="2"/>
  <c r="DH33" i="2"/>
  <c r="BM24" i="6"/>
  <c r="CW158" i="2"/>
  <c r="CW160" i="2" s="1"/>
  <c r="DV102" i="2"/>
  <c r="DH38" i="2"/>
  <c r="CT134" i="2"/>
  <c r="DN7" i="2"/>
  <c r="AS148" i="3"/>
  <c r="AT144" i="3"/>
  <c r="EE165" i="2"/>
  <c r="EE164" i="2"/>
  <c r="AA247" i="3"/>
  <c r="AA173" i="3"/>
  <c r="AD84" i="5"/>
  <c r="AD79" i="5"/>
  <c r="AD73" i="5"/>
  <c r="Z73" i="5"/>
  <c r="Z79" i="5"/>
  <c r="W216" i="3"/>
  <c r="W256" i="3"/>
  <c r="W220" i="3"/>
  <c r="W174" i="3" s="1"/>
  <c r="W170" i="3"/>
  <c r="Z14" i="3"/>
  <c r="AB83" i="5"/>
  <c r="AB79" i="5"/>
  <c r="AB73" i="5"/>
  <c r="V253" i="3"/>
  <c r="V169" i="3"/>
  <c r="EE152" i="2"/>
  <c r="EE153" i="2"/>
  <c r="BJ24" i="6"/>
  <c r="BO69" i="5"/>
  <c r="BO68" i="5"/>
  <c r="BC51" i="5"/>
  <c r="BC50" i="5"/>
  <c r="BD48" i="5"/>
  <c r="BC27" i="5"/>
  <c r="BA21" i="5"/>
  <c r="BN62" i="4"/>
  <c r="BN84" i="4"/>
  <c r="BN51" i="4"/>
  <c r="BN73" i="4"/>
  <c r="DH56" i="3"/>
  <c r="DH107" i="3" s="1"/>
  <c r="DH23" i="3"/>
  <c r="DH32" i="3"/>
  <c r="DH24" i="3"/>
  <c r="AE9" i="3"/>
  <c r="AJ9" i="3"/>
  <c r="ED165" i="2"/>
  <c r="CO119" i="2"/>
  <c r="EL56" i="3"/>
  <c r="EL107" i="3" s="1"/>
  <c r="EL23" i="3"/>
  <c r="EL32" i="3"/>
  <c r="AF14" i="3"/>
  <c r="AF22" i="3"/>
  <c r="AF15" i="3"/>
  <c r="AV77" i="3"/>
  <c r="AU76" i="3"/>
  <c r="BR84" i="4"/>
  <c r="BR73" i="4"/>
  <c r="AC174" i="3"/>
  <c r="AC22" i="3"/>
  <c r="AC14" i="3"/>
  <c r="CK24" i="2"/>
  <c r="CK23" i="2"/>
  <c r="CH19" i="2"/>
  <c r="CH18" i="2"/>
  <c r="CH40" i="2"/>
  <c r="CI41" i="2" s="1"/>
  <c r="EC15" i="2"/>
  <c r="DY33" i="2"/>
  <c r="AE40" i="2"/>
  <c r="AE18" i="2"/>
  <c r="DV32" i="2"/>
  <c r="EA101" i="2"/>
  <c r="AN43" i="2"/>
  <c r="E40" i="2"/>
  <c r="E18" i="2"/>
  <c r="E16" i="2"/>
  <c r="EA14" i="2"/>
  <c r="BP69" i="5"/>
  <c r="BP68" i="5"/>
  <c r="BT54" i="4"/>
  <c r="AK207" i="3"/>
  <c r="AK210" i="3"/>
  <c r="AK174" i="3" s="1"/>
  <c r="Z134" i="3"/>
  <c r="Z126" i="3"/>
  <c r="CM119" i="3"/>
  <c r="BD93" i="3"/>
  <c r="DY22" i="3"/>
  <c r="DY14" i="3"/>
  <c r="DY15" i="3"/>
  <c r="BK14" i="3"/>
  <c r="BK22" i="3"/>
  <c r="BL24" i="3" s="1"/>
  <c r="BK15" i="3"/>
  <c r="BP88" i="3"/>
  <c r="BP93" i="3" s="1"/>
  <c r="BO93" i="3"/>
  <c r="EC53" i="3"/>
  <c r="CM52" i="2" s="1"/>
  <c r="EC54" i="3"/>
  <c r="EC44" i="3"/>
  <c r="X174" i="3"/>
  <c r="X15" i="3"/>
  <c r="X22" i="3"/>
  <c r="Y24" i="3" s="1"/>
  <c r="X14" i="3"/>
  <c r="CM63" i="3"/>
  <c r="CN63" i="3"/>
  <c r="CO63" i="3" s="1"/>
  <c r="CP63" i="3" s="1"/>
  <c r="CQ63" i="3" s="1"/>
  <c r="CW14" i="3"/>
  <c r="EB22" i="3"/>
  <c r="EB14" i="3"/>
  <c r="EF13" i="3"/>
  <c r="BI275" i="2"/>
  <c r="BI271" i="2"/>
  <c r="BI263" i="2"/>
  <c r="AE20" i="3"/>
  <c r="EA28" i="3"/>
  <c r="ED56" i="3"/>
  <c r="ED107" i="3" s="1"/>
  <c r="ED23" i="3"/>
  <c r="ED32" i="3"/>
  <c r="ED24" i="3"/>
  <c r="CA116" i="3"/>
  <c r="CB116" i="3" s="1"/>
  <c r="CA10" i="3"/>
  <c r="CC10" i="3" s="1"/>
  <c r="AV11" i="2"/>
  <c r="Q15" i="3"/>
  <c r="Q22" i="3"/>
  <c r="Q14" i="3"/>
  <c r="ED153" i="2"/>
  <c r="ED152" i="2"/>
  <c r="BG264" i="2"/>
  <c r="BG134" i="2"/>
  <c r="BG110" i="2"/>
  <c r="BG106" i="2"/>
  <c r="BG132" i="2"/>
  <c r="BG94" i="2"/>
  <c r="BG102" i="2"/>
  <c r="BG133" i="2"/>
  <c r="BG78" i="2"/>
  <c r="BA100" i="3"/>
  <c r="BA104" i="3" s="1"/>
  <c r="AG71" i="3"/>
  <c r="AG13" i="3"/>
  <c r="K8" i="2"/>
  <c r="BJ37" i="3"/>
  <c r="CB155" i="2"/>
  <c r="CB156" i="2"/>
  <c r="BW266" i="2"/>
  <c r="BW265" i="2"/>
  <c r="BX265" i="2"/>
  <c r="BW272" i="2"/>
  <c r="BQ265" i="2"/>
  <c r="BQ272" i="2"/>
  <c r="BR273" i="2" s="1"/>
  <c r="BG35" i="3"/>
  <c r="DU270" i="2"/>
  <c r="BQ18" i="4"/>
  <c r="BQ16" i="4"/>
  <c r="BQ17" i="4"/>
  <c r="DW97" i="2"/>
  <c r="CX91" i="2"/>
  <c r="CW93" i="2"/>
  <c r="EC153" i="2"/>
  <c r="BD264" i="2"/>
  <c r="BD132" i="2"/>
  <c r="BD134" i="2"/>
  <c r="BD106" i="2"/>
  <c r="BD78" i="2"/>
  <c r="BD110" i="2"/>
  <c r="BD98" i="2"/>
  <c r="BD102" i="2"/>
  <c r="BD94" i="2"/>
  <c r="BD82" i="2"/>
  <c r="BD114" i="2"/>
  <c r="BP73" i="4"/>
  <c r="BP84" i="4"/>
  <c r="CE156" i="2"/>
  <c r="BA17" i="4"/>
  <c r="BA16" i="4"/>
  <c r="BA18" i="4"/>
  <c r="CK197" i="2"/>
  <c r="CK191" i="2"/>
  <c r="CK194" i="2"/>
  <c r="CK192" i="2"/>
  <c r="CK196" i="2"/>
  <c r="CK193" i="2"/>
  <c r="CD158" i="2"/>
  <c r="CE161" i="2"/>
  <c r="CE158" i="2" s="1"/>
  <c r="CB116" i="2"/>
  <c r="CB118" i="2"/>
  <c r="CB117" i="2"/>
  <c r="DU131" i="2"/>
  <c r="DU114" i="2" s="1"/>
  <c r="DU113" i="2"/>
  <c r="BB24" i="2"/>
  <c r="DU21" i="2"/>
  <c r="BB23" i="2"/>
  <c r="BB22" i="2"/>
  <c r="BB25" i="2"/>
  <c r="BW40" i="2"/>
  <c r="BW19" i="2"/>
  <c r="BW18" i="2"/>
  <c r="BW17" i="2"/>
  <c r="BW16" i="2"/>
  <c r="BM73" i="4"/>
  <c r="BM62" i="4"/>
  <c r="BM84" i="4"/>
  <c r="BM51" i="4"/>
  <c r="DN33" i="2"/>
  <c r="CE25" i="2"/>
  <c r="CE24" i="2"/>
  <c r="CE23" i="2"/>
  <c r="CE22" i="2"/>
  <c r="AU22" i="2"/>
  <c r="K23" i="2"/>
  <c r="K24" i="2"/>
  <c r="K22" i="2"/>
  <c r="CB40" i="2"/>
  <c r="CB17" i="2"/>
  <c r="AF16" i="2"/>
  <c r="AF40" i="2"/>
  <c r="AF18" i="2"/>
  <c r="DP37" i="2"/>
  <c r="DP38" i="2"/>
  <c r="DS33" i="2"/>
  <c r="DS32" i="2"/>
  <c r="CD23" i="2"/>
  <c r="CD22" i="2"/>
  <c r="CD25" i="2"/>
  <c r="EB21" i="2"/>
  <c r="CD24" i="2"/>
  <c r="AT23" i="2"/>
  <c r="AT22" i="2"/>
  <c r="AT25" i="2"/>
  <c r="AT24" i="2"/>
  <c r="J23" i="2"/>
  <c r="J22" i="2"/>
  <c r="DJ21" i="2"/>
  <c r="J24" i="2"/>
  <c r="BI40" i="2"/>
  <c r="DW14" i="2"/>
  <c r="DW13" i="2"/>
  <c r="BJ265" i="2"/>
  <c r="BJ237" i="2"/>
  <c r="DR37" i="2"/>
  <c r="DR38" i="2"/>
  <c r="EE13" i="2"/>
  <c r="EE14" i="2"/>
  <c r="DK37" i="2"/>
  <c r="DK38" i="2"/>
  <c r="DQ32" i="2"/>
  <c r="DQ33" i="2"/>
  <c r="CS28" i="2"/>
  <c r="CT26" i="2"/>
  <c r="DT21" i="2"/>
  <c r="CQ40" i="2"/>
  <c r="CU42" i="2" s="1"/>
  <c r="CQ18" i="2"/>
  <c r="CQ17" i="2"/>
  <c r="CQ19" i="2"/>
  <c r="BG19" i="2"/>
  <c r="AY23" i="2"/>
  <c r="DV14" i="2"/>
  <c r="CI44" i="2"/>
  <c r="CI43" i="2"/>
  <c r="CU17" i="2"/>
  <c r="BK44" i="2"/>
  <c r="BK43" i="2"/>
  <c r="DA20" i="2"/>
  <c r="EG20" i="2" s="1"/>
  <c r="EC14" i="2"/>
  <c r="BN17" i="6"/>
  <c r="BN8" i="6" s="1"/>
  <c r="BN7" i="6"/>
  <c r="BR69" i="5"/>
  <c r="BR68" i="5"/>
  <c r="CM34" i="5"/>
  <c r="AD31" i="5"/>
  <c r="AD35" i="5"/>
  <c r="AD36" i="5"/>
  <c r="CQ12" i="4"/>
  <c r="AC148" i="3"/>
  <c r="AD141" i="3"/>
  <c r="AD148" i="3" s="1"/>
  <c r="AD152" i="3" s="1"/>
  <c r="AP174" i="3"/>
  <c r="AP22" i="3"/>
  <c r="AP14" i="3"/>
  <c r="BM264" i="2"/>
  <c r="BQ266" i="2" s="1"/>
  <c r="BM134" i="2"/>
  <c r="BM110" i="2"/>
  <c r="BM106" i="2"/>
  <c r="BM132" i="2"/>
  <c r="BM102" i="2"/>
  <c r="BM133" i="2"/>
  <c r="BM98" i="2"/>
  <c r="BM94" i="2"/>
  <c r="BM78" i="2"/>
  <c r="DX97" i="2"/>
  <c r="BA13" i="3"/>
  <c r="BB15" i="3" s="1"/>
  <c r="CQ156" i="2"/>
  <c r="CQ155" i="2"/>
  <c r="EB169" i="2"/>
  <c r="DX131" i="2"/>
  <c r="DX114" i="2" s="1"/>
  <c r="DX113" i="2"/>
  <c r="EA33" i="2"/>
  <c r="EA32" i="2"/>
  <c r="CU155" i="2"/>
  <c r="CU156" i="2"/>
  <c r="DT33" i="2"/>
  <c r="DT32" i="2"/>
  <c r="Q24" i="2"/>
  <c r="Q23" i="2"/>
  <c r="Q22" i="2"/>
  <c r="AL40" i="2"/>
  <c r="AL19" i="2"/>
  <c r="AL17" i="2"/>
  <c r="AL18" i="2"/>
  <c r="AL16" i="2"/>
  <c r="CH165" i="2"/>
  <c r="CH162" i="2" s="1"/>
  <c r="CG162" i="2"/>
  <c r="CJ23" i="2"/>
  <c r="CJ22" i="2"/>
  <c r="CJ25" i="2"/>
  <c r="CJ24" i="2"/>
  <c r="P23" i="2"/>
  <c r="P22" i="2"/>
  <c r="P24" i="2"/>
  <c r="BO18" i="2"/>
  <c r="DZ13" i="2"/>
  <c r="DZ14" i="2"/>
  <c r="ED168" i="2"/>
  <c r="ED169" i="2"/>
  <c r="AY18" i="4"/>
  <c r="AY16" i="4"/>
  <c r="AY17" i="4"/>
  <c r="DU97" i="2"/>
  <c r="DL32" i="2"/>
  <c r="DL33" i="2"/>
  <c r="BR275" i="2"/>
  <c r="BR276" i="2"/>
  <c r="BR271" i="2"/>
  <c r="BR263" i="2"/>
  <c r="DQ37" i="2"/>
  <c r="DQ38" i="2"/>
  <c r="DW32" i="2"/>
  <c r="DW33" i="2"/>
  <c r="BM40" i="2"/>
  <c r="DP33" i="2"/>
  <c r="DP32" i="2"/>
  <c r="AP17" i="2"/>
  <c r="CD47" i="2"/>
  <c r="C43" i="2"/>
  <c r="BL68" i="5"/>
  <c r="BL69" i="5"/>
  <c r="CI58" i="5"/>
  <c r="CP67" i="5"/>
  <c r="AP69" i="5"/>
  <c r="AP68" i="5"/>
  <c r="BB31" i="5"/>
  <c r="BB35" i="5"/>
  <c r="AL84" i="5"/>
  <c r="AL73" i="5"/>
  <c r="AL83" i="5"/>
  <c r="AL79" i="5"/>
  <c r="CG20" i="5"/>
  <c r="CL12" i="4"/>
  <c r="EK136" i="3"/>
  <c r="EQ143" i="3"/>
  <c r="P124" i="3"/>
  <c r="AR120" i="3"/>
  <c r="AS120" i="3" s="1"/>
  <c r="DE81" i="3"/>
  <c r="CT120" i="3"/>
  <c r="CU120" i="3" s="1"/>
  <c r="CV120" i="3" s="1"/>
  <c r="DG146" i="3"/>
  <c r="AS86" i="3"/>
  <c r="AT86" i="3" s="1"/>
  <c r="AT84" i="3"/>
  <c r="BF120" i="3"/>
  <c r="BG120" i="3" s="1"/>
  <c r="BH120" i="3" s="1"/>
  <c r="AX144" i="3"/>
  <c r="AX148" i="3" s="1"/>
  <c r="AJ125" i="3"/>
  <c r="AJ27" i="3"/>
  <c r="EC15" i="3"/>
  <c r="Y15" i="3"/>
  <c r="DS22" i="3"/>
  <c r="DS14" i="3"/>
  <c r="DS15" i="3"/>
  <c r="O22" i="3"/>
  <c r="O14" i="3"/>
  <c r="O15" i="3"/>
  <c r="CS192" i="2"/>
  <c r="CS194" i="2"/>
  <c r="CS197" i="2"/>
  <c r="EE186" i="2"/>
  <c r="BD128" i="3"/>
  <c r="BN93" i="3"/>
  <c r="DC32" i="3"/>
  <c r="DC56" i="3"/>
  <c r="DC107" i="3" s="1"/>
  <c r="DC23" i="3"/>
  <c r="CF116" i="3"/>
  <c r="CG11" i="3"/>
  <c r="CH11" i="3" s="1"/>
  <c r="CF10" i="3"/>
  <c r="AZ11" i="2"/>
  <c r="BC95" i="3"/>
  <c r="BC100" i="3" s="1"/>
  <c r="BB100" i="3"/>
  <c r="BB104" i="3" s="1"/>
  <c r="DM74" i="3"/>
  <c r="DN63" i="3"/>
  <c r="R15" i="3"/>
  <c r="R22" i="3"/>
  <c r="R14" i="3"/>
  <c r="BW86" i="3"/>
  <c r="BX86" i="3" s="1"/>
  <c r="BX84" i="3"/>
  <c r="BF56" i="3"/>
  <c r="BF23" i="3"/>
  <c r="BF32" i="3"/>
  <c r="AA56" i="3"/>
  <c r="AA23" i="3"/>
  <c r="AA32" i="3"/>
  <c r="AA24" i="3"/>
  <c r="BC275" i="2"/>
  <c r="BC271" i="2"/>
  <c r="BC263" i="2"/>
  <c r="BC274" i="2"/>
  <c r="EH15" i="3"/>
  <c r="EH14" i="3"/>
  <c r="EH22" i="3"/>
  <c r="CX15" i="3"/>
  <c r="CX14" i="3"/>
  <c r="DB13" i="3"/>
  <c r="CX22" i="3"/>
  <c r="DY161" i="2"/>
  <c r="DZ160" i="2"/>
  <c r="DY160" i="2"/>
  <c r="Y86" i="3"/>
  <c r="Z86" i="3" s="1"/>
  <c r="Z74" i="3"/>
  <c r="DT15" i="3"/>
  <c r="DL14" i="3"/>
  <c r="CC11" i="3"/>
  <c r="AD15" i="3"/>
  <c r="AD14" i="3"/>
  <c r="AD22" i="3"/>
  <c r="AD255" i="3"/>
  <c r="AD256" i="3"/>
  <c r="AD257" i="3"/>
  <c r="AF244" i="3"/>
  <c r="AD244" i="3"/>
  <c r="AD170" i="3"/>
  <c r="BO272" i="2"/>
  <c r="BO267" i="2" s="1"/>
  <c r="BO266" i="2"/>
  <c r="BO265" i="2"/>
  <c r="DX157" i="2"/>
  <c r="DX153" i="2"/>
  <c r="EF28" i="3"/>
  <c r="CV56" i="3"/>
  <c r="CV23" i="3"/>
  <c r="CV32" i="3"/>
  <c r="BL56" i="3"/>
  <c r="BL23" i="3"/>
  <c r="BL32" i="3"/>
  <c r="CP133" i="2"/>
  <c r="CP134" i="2"/>
  <c r="CP102" i="2"/>
  <c r="CP110" i="2"/>
  <c r="CP106" i="2"/>
  <c r="CP78" i="2"/>
  <c r="CP132" i="2"/>
  <c r="CP98" i="2"/>
  <c r="CP94" i="2"/>
  <c r="EE131" i="2"/>
  <c r="CP114" i="2"/>
  <c r="BM114" i="2"/>
  <c r="BK263" i="2"/>
  <c r="BK276" i="2"/>
  <c r="BK275" i="2"/>
  <c r="BC237" i="2"/>
  <c r="BC265" i="2"/>
  <c r="BC266" i="2"/>
  <c r="BC267" i="2"/>
  <c r="BQ133" i="2"/>
  <c r="DF56" i="3"/>
  <c r="DF107" i="3" s="1"/>
  <c r="DF23" i="3"/>
  <c r="DF32" i="3"/>
  <c r="BT22" i="3"/>
  <c r="BT14" i="3"/>
  <c r="BX13" i="3"/>
  <c r="BB266" i="2"/>
  <c r="BB265" i="2"/>
  <c r="BB237" i="2"/>
  <c r="CC98" i="2"/>
  <c r="CC94" i="2"/>
  <c r="CC134" i="2"/>
  <c r="CC133" i="2"/>
  <c r="CC122" i="2"/>
  <c r="CC114" i="2"/>
  <c r="CC106" i="2"/>
  <c r="CC78" i="2"/>
  <c r="CC132" i="2"/>
  <c r="CC110" i="2"/>
  <c r="CX105" i="2"/>
  <c r="CY103" i="2"/>
  <c r="CY158" i="2" s="1"/>
  <c r="BQ73" i="4"/>
  <c r="BQ84" i="4"/>
  <c r="BK73" i="4"/>
  <c r="BK51" i="4"/>
  <c r="BK84" i="4"/>
  <c r="BK62" i="4"/>
  <c r="BK40" i="4"/>
  <c r="BK29" i="4"/>
  <c r="DQ148" i="3"/>
  <c r="DZ15" i="3"/>
  <c r="H37" i="3"/>
  <c r="H35" i="3"/>
  <c r="BU266" i="2"/>
  <c r="CD133" i="2"/>
  <c r="CD134" i="2"/>
  <c r="CD110" i="2"/>
  <c r="CD98" i="2"/>
  <c r="CD78" i="2"/>
  <c r="CD132" i="2"/>
  <c r="CD94" i="2"/>
  <c r="CD122" i="2"/>
  <c r="CD114" i="2"/>
  <c r="BI237" i="2"/>
  <c r="BI267" i="2"/>
  <c r="BR244" i="2"/>
  <c r="CK190" i="2"/>
  <c r="CC160" i="2"/>
  <c r="CC159" i="2"/>
  <c r="DZ156" i="2"/>
  <c r="DZ157" i="2"/>
  <c r="CC124" i="2"/>
  <c r="CC126" i="2"/>
  <c r="CD123" i="2"/>
  <c r="CC115" i="2"/>
  <c r="EE154" i="2"/>
  <c r="EA97" i="2"/>
  <c r="EB97" i="2"/>
  <c r="BG114" i="2"/>
  <c r="AD24" i="2"/>
  <c r="DO21" i="2"/>
  <c r="AD23" i="2"/>
  <c r="AD22" i="2"/>
  <c r="BQ18" i="2"/>
  <c r="BQ40" i="2"/>
  <c r="BQ19" i="2"/>
  <c r="CO98" i="2"/>
  <c r="CO94" i="2"/>
  <c r="CO134" i="2"/>
  <c r="CO114" i="2"/>
  <c r="CO106" i="2"/>
  <c r="CO78" i="2"/>
  <c r="CO110" i="2"/>
  <c r="AO25" i="2"/>
  <c r="AO23" i="2"/>
  <c r="AO22" i="2"/>
  <c r="AO24" i="2"/>
  <c r="BH16" i="2"/>
  <c r="BV40" i="2"/>
  <c r="BV19" i="2"/>
  <c r="BV16" i="2"/>
  <c r="BV18" i="2"/>
  <c r="DI13" i="2"/>
  <c r="DI14" i="2"/>
  <c r="DW7" i="2"/>
  <c r="CX158" i="2"/>
  <c r="EE38" i="2"/>
  <c r="BQ26" i="2"/>
  <c r="BX23" i="2"/>
  <c r="BX22" i="2"/>
  <c r="BX25" i="2"/>
  <c r="BX24" i="2"/>
  <c r="AN23" i="2"/>
  <c r="AN22" i="2"/>
  <c r="AN25" i="2"/>
  <c r="AN24" i="2"/>
  <c r="D22" i="2"/>
  <c r="D24" i="2"/>
  <c r="AP43" i="2"/>
  <c r="DL37" i="2"/>
  <c r="DL38" i="2"/>
  <c r="EB33" i="2"/>
  <c r="BR267" i="2"/>
  <c r="DA124" i="2"/>
  <c r="DB124" i="2"/>
  <c r="BG82" i="2"/>
  <c r="DK32" i="2"/>
  <c r="DK33" i="2"/>
  <c r="CK40" i="2"/>
  <c r="CK18" i="2"/>
  <c r="CK17" i="2"/>
  <c r="ED14" i="2"/>
  <c r="ED13" i="2"/>
  <c r="AE68" i="5"/>
  <c r="DI32" i="2"/>
  <c r="BN28" i="2"/>
  <c r="X22" i="2"/>
  <c r="EB7" i="2"/>
  <c r="DY14" i="2"/>
  <c r="L22" i="2"/>
  <c r="AJ83" i="5"/>
  <c r="AJ79" i="5"/>
  <c r="AJ73" i="5"/>
  <c r="BC69" i="5"/>
  <c r="BC68" i="5"/>
  <c r="BC65" i="5"/>
  <c r="AN78" i="5"/>
  <c r="BU58" i="4"/>
  <c r="BT69" i="4"/>
  <c r="BT70" i="4" s="1"/>
  <c r="CP48" i="5"/>
  <c r="CP53" i="5"/>
  <c r="BA182" i="3"/>
  <c r="BA189" i="3"/>
  <c r="BA176" i="3" s="1"/>
  <c r="AH120" i="3"/>
  <c r="CQ142" i="3"/>
  <c r="CR142" i="3" s="1"/>
  <c r="CE88" i="3"/>
  <c r="CE93" i="3" s="1"/>
  <c r="CD93" i="3"/>
  <c r="BY34" i="3"/>
  <c r="CC42" i="3"/>
  <c r="BQ14" i="3"/>
  <c r="BQ22" i="3"/>
  <c r="BQ15" i="3"/>
  <c r="AB71" i="3"/>
  <c r="AB13" i="3"/>
  <c r="AC15" i="3" s="1"/>
  <c r="G8" i="2"/>
  <c r="E32" i="3"/>
  <c r="E24" i="3"/>
  <c r="E23" i="3"/>
  <c r="E56" i="3"/>
  <c r="G37" i="3"/>
  <c r="G35" i="3"/>
  <c r="BG44" i="3"/>
  <c r="BG53" i="3"/>
  <c r="AF52" i="2" s="1"/>
  <c r="BG54" i="3"/>
  <c r="BK83" i="2"/>
  <c r="AK78" i="5"/>
  <c r="AK77" i="5"/>
  <c r="BE69" i="5"/>
  <c r="BE68" i="5"/>
  <c r="AA83" i="5"/>
  <c r="AA79" i="5"/>
  <c r="AA73" i="5"/>
  <c r="CQ58" i="5"/>
  <c r="CB76" i="4"/>
  <c r="BS59" i="4"/>
  <c r="CS20" i="5"/>
  <c r="BW65" i="4"/>
  <c r="AX187" i="3"/>
  <c r="AX182" i="3"/>
  <c r="AX189" i="3"/>
  <c r="AX176" i="3" s="1"/>
  <c r="BR143" i="3"/>
  <c r="BC143" i="3"/>
  <c r="BC148" i="3" s="1"/>
  <c r="BB148" i="3"/>
  <c r="EF148" i="3"/>
  <c r="Y220" i="3"/>
  <c r="Y216" i="3"/>
  <c r="Y256" i="3"/>
  <c r="AY125" i="3"/>
  <c r="EZ134" i="3"/>
  <c r="DG127" i="3"/>
  <c r="Y104" i="3"/>
  <c r="Z100" i="3"/>
  <c r="CN91" i="3"/>
  <c r="CM91" i="3"/>
  <c r="BH19" i="6"/>
  <c r="AJ78" i="5"/>
  <c r="AJ77" i="5"/>
  <c r="BF69" i="5"/>
  <c r="CT67" i="5"/>
  <c r="BF68" i="5"/>
  <c r="BA63" i="5"/>
  <c r="BA62" i="5"/>
  <c r="BG68" i="5"/>
  <c r="BG69" i="5"/>
  <c r="AU68" i="5"/>
  <c r="AU69" i="5"/>
  <c r="AJ31" i="5"/>
  <c r="AJ36" i="5"/>
  <c r="AJ35" i="5"/>
  <c r="BO36" i="4"/>
  <c r="BJ104" i="4"/>
  <c r="V182" i="3"/>
  <c r="V187" i="3"/>
  <c r="BG148" i="3"/>
  <c r="BH143" i="3"/>
  <c r="BH148" i="3" s="1"/>
  <c r="AC258" i="3"/>
  <c r="Y182" i="3"/>
  <c r="Y187" i="3"/>
  <c r="AO134" i="3"/>
  <c r="BI126" i="3"/>
  <c r="AI120" i="3"/>
  <c r="BP24" i="6"/>
  <c r="AH17" i="6"/>
  <c r="AH7" i="6"/>
  <c r="AI5" i="6"/>
  <c r="AZ69" i="5"/>
  <c r="AZ68" i="5"/>
  <c r="CN53" i="5"/>
  <c r="CN48" i="5"/>
  <c r="AS69" i="5"/>
  <c r="AS68" i="5"/>
  <c r="CG58" i="5"/>
  <c r="AI79" i="5"/>
  <c r="AI101" i="5" s="1"/>
  <c r="AI83" i="5"/>
  <c r="AI84" i="5"/>
  <c r="AI73" i="5"/>
  <c r="BD68" i="5"/>
  <c r="BD69" i="5"/>
  <c r="CQ20" i="5"/>
  <c r="BA68" i="5"/>
  <c r="BA69" i="5"/>
  <c r="AO68" i="5"/>
  <c r="AO69" i="5"/>
  <c r="CU20" i="5"/>
  <c r="AI35" i="5"/>
  <c r="AI31" i="5"/>
  <c r="AI36" i="5"/>
  <c r="BS47" i="5"/>
  <c r="BS46" i="5"/>
  <c r="BT43" i="4"/>
  <c r="AH36" i="5"/>
  <c r="AH35" i="5"/>
  <c r="CN34" i="5"/>
  <c r="AH31" i="5"/>
  <c r="BV70" i="4"/>
  <c r="AF35" i="5"/>
  <c r="AF36" i="5"/>
  <c r="AF31" i="5"/>
  <c r="BN32" i="4"/>
  <c r="BN37" i="4" s="1"/>
  <c r="CT32" i="4"/>
  <c r="BM37" i="4"/>
  <c r="CT37" i="4" s="1"/>
  <c r="BP51" i="4"/>
  <c r="CO12" i="4"/>
  <c r="BZ81" i="4"/>
  <c r="CA80" i="4"/>
  <c r="CM20" i="5"/>
  <c r="CG67" i="5"/>
  <c r="CG69" i="5" s="1"/>
  <c r="F68" i="5"/>
  <c r="F69" i="5"/>
  <c r="AR243" i="3"/>
  <c r="AR253" i="3" s="1"/>
  <c r="AR169" i="3"/>
  <c r="AW244" i="3"/>
  <c r="AW254" i="3"/>
  <c r="AW255" i="3"/>
  <c r="AW256" i="3"/>
  <c r="AW257" i="3"/>
  <c r="AU243" i="3"/>
  <c r="AU253" i="3" s="1"/>
  <c r="AX170" i="3"/>
  <c r="AU169" i="3"/>
  <c r="AB253" i="3"/>
  <c r="AB258" i="3" s="1"/>
  <c r="AB169" i="3"/>
  <c r="EA148" i="3"/>
  <c r="AO142" i="3"/>
  <c r="BR134" i="3"/>
  <c r="BQ136" i="3"/>
  <c r="DB145" i="3"/>
  <c r="P148" i="3"/>
  <c r="BM143" i="3"/>
  <c r="CZ148" i="3"/>
  <c r="AV136" i="3"/>
  <c r="BI135" i="3"/>
  <c r="AM136" i="3"/>
  <c r="DB120" i="3"/>
  <c r="CW119" i="3"/>
  <c r="BI144" i="3"/>
  <c r="DI136" i="3"/>
  <c r="DL136" i="3" s="1"/>
  <c r="I61" i="2"/>
  <c r="BS93" i="3"/>
  <c r="BM86" i="3"/>
  <c r="BN86" i="3" s="1"/>
  <c r="BN84" i="3"/>
  <c r="AW249" i="3"/>
  <c r="CR128" i="3"/>
  <c r="AP158" i="3"/>
  <c r="BF88" i="3"/>
  <c r="BF93" i="3" s="1"/>
  <c r="BE93" i="3"/>
  <c r="CP136" i="3"/>
  <c r="CQ134" i="3"/>
  <c r="CQ136" i="3" s="1"/>
  <c r="AN125" i="3"/>
  <c r="AO125" i="3" s="1"/>
  <c r="Z123" i="3"/>
  <c r="AT100" i="3"/>
  <c r="AS104" i="3"/>
  <c r="BI128" i="3"/>
  <c r="U127" i="3"/>
  <c r="DG120" i="3"/>
  <c r="AE93" i="3"/>
  <c r="AD100" i="3"/>
  <c r="DA14" i="3"/>
  <c r="DC15" i="3"/>
  <c r="DA22" i="3"/>
  <c r="DC24" i="3" s="1"/>
  <c r="DA15" i="3"/>
  <c r="CE71" i="3"/>
  <c r="CE13" i="3"/>
  <c r="AY8" i="2"/>
  <c r="CG196" i="2"/>
  <c r="CG192" i="2"/>
  <c r="CG195" i="2"/>
  <c r="CG194" i="2"/>
  <c r="CG197" i="2"/>
  <c r="Z124" i="3"/>
  <c r="AX86" i="3"/>
  <c r="AY86" i="3" s="1"/>
  <c r="DZ62" i="2"/>
  <c r="AS116" i="3"/>
  <c r="CZ131" i="3"/>
  <c r="CZ158" i="3" s="1"/>
  <c r="BP58" i="2" s="1"/>
  <c r="BX93" i="3"/>
  <c r="AK32" i="3"/>
  <c r="AK56" i="3"/>
  <c r="AK23" i="3"/>
  <c r="DR82" i="3"/>
  <c r="DS82" i="3" s="1"/>
  <c r="DT82" i="3" s="1"/>
  <c r="DU82" i="3" s="1"/>
  <c r="DQ82" i="3"/>
  <c r="BN13" i="3"/>
  <c r="L15" i="3"/>
  <c r="L22" i="3"/>
  <c r="L14" i="3"/>
  <c r="P13" i="3"/>
  <c r="BY93" i="3"/>
  <c r="BZ88" i="3"/>
  <c r="BZ93" i="3" s="1"/>
  <c r="BZ71" i="3"/>
  <c r="BZ13" i="3"/>
  <c r="AU8" i="2"/>
  <c r="EB186" i="2"/>
  <c r="BV289" i="2"/>
  <c r="BV290" i="2"/>
  <c r="BV288" i="2"/>
  <c r="DX165" i="2"/>
  <c r="DY156" i="2"/>
  <c r="DY157" i="2"/>
  <c r="CC116" i="3"/>
  <c r="CS196" i="2"/>
  <c r="EC168" i="2"/>
  <c r="EC169" i="2"/>
  <c r="DD125" i="2"/>
  <c r="DE123" i="2"/>
  <c r="EH123" i="2" s="1"/>
  <c r="DD124" i="2"/>
  <c r="DJ22" i="3"/>
  <c r="DL22" i="3" s="1"/>
  <c r="DJ15" i="3"/>
  <c r="DJ14" i="3"/>
  <c r="CS190" i="2"/>
  <c r="BL133" i="2"/>
  <c r="BL102" i="2"/>
  <c r="BL110" i="2"/>
  <c r="BL106" i="2"/>
  <c r="BL78" i="2"/>
  <c r="BL134" i="2"/>
  <c r="BL98" i="2"/>
  <c r="BL264" i="2"/>
  <c r="BL132" i="2"/>
  <c r="BL114" i="2"/>
  <c r="BL94" i="2"/>
  <c r="DM37" i="3"/>
  <c r="BW289" i="2"/>
  <c r="BW290" i="2"/>
  <c r="BW288" i="2"/>
  <c r="CA289" i="2"/>
  <c r="BK271" i="2"/>
  <c r="BH102" i="2"/>
  <c r="BH264" i="2"/>
  <c r="BI265" i="2" s="1"/>
  <c r="BH132" i="2"/>
  <c r="BH110" i="2"/>
  <c r="BH94" i="2"/>
  <c r="BH82" i="2"/>
  <c r="BH133" i="2"/>
  <c r="BH78" i="2"/>
  <c r="BH134" i="2"/>
  <c r="BH106" i="2"/>
  <c r="CS163" i="2"/>
  <c r="BV266" i="2"/>
  <c r="BV265" i="2"/>
  <c r="BV272" i="2"/>
  <c r="BV267" i="2" s="1"/>
  <c r="DZ264" i="2"/>
  <c r="CF105" i="2"/>
  <c r="CG103" i="2"/>
  <c r="CF158" i="2"/>
  <c r="CF99" i="2"/>
  <c r="CF131" i="2" s="1"/>
  <c r="CF106" i="2" s="1"/>
  <c r="BG98" i="2"/>
  <c r="EJ37" i="3"/>
  <c r="EJ35" i="3"/>
  <c r="EJ41" i="3" s="1"/>
  <c r="CD56" i="3"/>
  <c r="CD23" i="3"/>
  <c r="CD32" i="3"/>
  <c r="BU265" i="2"/>
  <c r="DV113" i="2"/>
  <c r="CR155" i="2"/>
  <c r="BC17" i="4"/>
  <c r="BC18" i="4"/>
  <c r="CH42" i="3"/>
  <c r="CO197" i="2"/>
  <c r="CO196" i="2"/>
  <c r="CO192" i="2"/>
  <c r="CO195" i="2"/>
  <c r="CO194" i="2"/>
  <c r="ED186" i="2"/>
  <c r="ED190" i="2" s="1"/>
  <c r="BO17" i="4"/>
  <c r="BO16" i="4"/>
  <c r="BO18" i="4"/>
  <c r="V56" i="3"/>
  <c r="V23" i="3"/>
  <c r="V32" i="3"/>
  <c r="DT98" i="2"/>
  <c r="DT94" i="2"/>
  <c r="DT133" i="2"/>
  <c r="DT102" i="2"/>
  <c r="DT78" i="2"/>
  <c r="DT106" i="2"/>
  <c r="DT110" i="2"/>
  <c r="EA123" i="2"/>
  <c r="DX166" i="2"/>
  <c r="DY168" i="2" s="1"/>
  <c r="BN167" i="2"/>
  <c r="DZ98" i="2"/>
  <c r="DZ97" i="2"/>
  <c r="BE82" i="2"/>
  <c r="F24" i="2"/>
  <c r="DI21" i="2"/>
  <c r="F23" i="2"/>
  <c r="F22" i="2"/>
  <c r="DO7" i="2"/>
  <c r="DT114" i="2"/>
  <c r="BS17" i="4"/>
  <c r="BS16" i="4"/>
  <c r="BS18" i="4"/>
  <c r="BT15" i="4"/>
  <c r="DQ21" i="2"/>
  <c r="BS25" i="2"/>
  <c r="BS22" i="2"/>
  <c r="BS23" i="2"/>
  <c r="BS24" i="2"/>
  <c r="AI22" i="2"/>
  <c r="AI24" i="2"/>
  <c r="AI23" i="2"/>
  <c r="EN48" i="3"/>
  <c r="EN41" i="3"/>
  <c r="F16" i="2"/>
  <c r="BJ19" i="2"/>
  <c r="BJ17" i="2"/>
  <c r="BJ18" i="2"/>
  <c r="BJ141" i="2" s="1"/>
  <c r="BJ40" i="2"/>
  <c r="N40" i="2"/>
  <c r="O41" i="2" s="1"/>
  <c r="N17" i="2"/>
  <c r="N18" i="2"/>
  <c r="DY10" i="2"/>
  <c r="DQ7" i="2"/>
  <c r="J43" i="2"/>
  <c r="J42" i="2"/>
  <c r="DJ33" i="2"/>
  <c r="DJ32" i="2"/>
  <c r="CZ161" i="2"/>
  <c r="CC155" i="2"/>
  <c r="DY37" i="2"/>
  <c r="DY38" i="2"/>
  <c r="CN23" i="2"/>
  <c r="T23" i="2"/>
  <c r="BR23" i="2"/>
  <c r="BR22" i="2"/>
  <c r="BR25" i="2"/>
  <c r="DY21" i="2"/>
  <c r="BR24" i="2"/>
  <c r="AH23" i="2"/>
  <c r="AH22" i="2"/>
  <c r="DP21" i="2"/>
  <c r="AH24" i="2"/>
  <c r="AW19" i="2"/>
  <c r="AW40" i="2"/>
  <c r="AW18" i="2"/>
  <c r="CM215" i="2"/>
  <c r="CA110" i="2"/>
  <c r="CA133" i="2"/>
  <c r="CA126" i="2"/>
  <c r="CA134" i="2"/>
  <c r="CA122" i="2"/>
  <c r="CA114" i="2"/>
  <c r="CA98" i="2"/>
  <c r="CA132" i="2"/>
  <c r="CA94" i="2"/>
  <c r="CA78" i="2"/>
  <c r="DV98" i="2"/>
  <c r="DV97" i="2"/>
  <c r="AH43" i="2"/>
  <c r="ED32" i="2"/>
  <c r="ED33" i="2"/>
  <c r="BC22" i="2"/>
  <c r="DZ133" i="2"/>
  <c r="DZ122" i="2"/>
  <c r="DV81" i="2"/>
  <c r="DV82" i="2"/>
  <c r="CG28" i="2"/>
  <c r="DH21" i="2"/>
  <c r="DH24" i="2" s="1"/>
  <c r="AI40" i="2"/>
  <c r="AI18" i="2"/>
  <c r="AI17" i="2"/>
  <c r="AI16" i="2"/>
  <c r="DX14" i="2"/>
  <c r="DX13" i="2"/>
  <c r="DX7" i="2"/>
  <c r="CF47" i="2"/>
  <c r="DI33" i="2"/>
  <c r="CI16" i="2"/>
  <c r="CG43" i="2"/>
  <c r="AS23" i="2"/>
  <c r="DY13" i="2"/>
  <c r="AX16" i="2"/>
  <c r="DO38" i="2"/>
  <c r="BH28" i="2"/>
  <c r="BA79" i="5"/>
  <c r="BA73" i="5"/>
  <c r="CC79" i="2"/>
  <c r="CJ58" i="5"/>
  <c r="BH69" i="5"/>
  <c r="BH68" i="5"/>
  <c r="CN20" i="5"/>
  <c r="BK104" i="4"/>
  <c r="BK99" i="4"/>
  <c r="AL176" i="3"/>
  <c r="AQ243" i="3"/>
  <c r="AS170" i="3"/>
  <c r="AQ169" i="3"/>
  <c r="CP146" i="3"/>
  <c r="CQ146" i="3" s="1"/>
  <c r="CB134" i="3"/>
  <c r="CB136" i="3" s="1"/>
  <c r="CA136" i="3"/>
  <c r="EE14" i="3"/>
  <c r="EE22" i="3"/>
  <c r="EE15" i="3"/>
  <c r="BJ97" i="3"/>
  <c r="BK97" i="3" s="1"/>
  <c r="BL97" i="3" s="1"/>
  <c r="BM97" i="3" s="1"/>
  <c r="BI97" i="3"/>
  <c r="CT155" i="2"/>
  <c r="CT156" i="2"/>
  <c r="BY290" i="2"/>
  <c r="BY288" i="2"/>
  <c r="BY289" i="2"/>
  <c r="BN13" i="6"/>
  <c r="BL19" i="6"/>
  <c r="AE73" i="5"/>
  <c r="AE83" i="5"/>
  <c r="AE84" i="5"/>
  <c r="AE79" i="5"/>
  <c r="AQ69" i="5"/>
  <c r="AQ68" i="5"/>
  <c r="CS47" i="5"/>
  <c r="BC76" i="5"/>
  <c r="CE87" i="2"/>
  <c r="AB62" i="5"/>
  <c r="AB63" i="5"/>
  <c r="AB60" i="5"/>
  <c r="Z63" i="5"/>
  <c r="CL59" i="5"/>
  <c r="Z62" i="5"/>
  <c r="CR12" i="4"/>
  <c r="DE148" i="3"/>
  <c r="CZ135" i="3"/>
  <c r="CY136" i="3"/>
  <c r="AZ250" i="3"/>
  <c r="AZ175" i="3"/>
  <c r="P123" i="3"/>
  <c r="BT93" i="3"/>
  <c r="BU88" i="3"/>
  <c r="BU93" i="3" s="1"/>
  <c r="CM144" i="3"/>
  <c r="DG134" i="3"/>
  <c r="AG14" i="6"/>
  <c r="AY69" i="5"/>
  <c r="AY68" i="5"/>
  <c r="BJ69" i="5"/>
  <c r="BJ68" i="5"/>
  <c r="CU67" i="5"/>
  <c r="AH83" i="5"/>
  <c r="CN82" i="5"/>
  <c r="AH79" i="5"/>
  <c r="AH84" i="5"/>
  <c r="AH73" i="5"/>
  <c r="CT47" i="5"/>
  <c r="CR58" i="5"/>
  <c r="CK58" i="5"/>
  <c r="BB69" i="5"/>
  <c r="BB68" i="5"/>
  <c r="CS67" i="5"/>
  <c r="BB60" i="5"/>
  <c r="AI60" i="5"/>
  <c r="AI61" i="5"/>
  <c r="AI62" i="5"/>
  <c r="AI63" i="5"/>
  <c r="BU42" i="5"/>
  <c r="CW42" i="5" s="1"/>
  <c r="BT44" i="5"/>
  <c r="BR47" i="4"/>
  <c r="BQ48" i="4"/>
  <c r="CU12" i="4"/>
  <c r="CR53" i="5"/>
  <c r="CR48" i="5"/>
  <c r="CR50" i="5" s="1"/>
  <c r="CM17" i="4"/>
  <c r="CM18" i="4"/>
  <c r="AS135" i="3"/>
  <c r="AT135" i="3" s="1"/>
  <c r="AR136" i="3"/>
  <c r="CL18" i="4"/>
  <c r="CL17" i="4"/>
  <c r="T142" i="3"/>
  <c r="S148" i="3"/>
  <c r="CK148" i="3"/>
  <c r="U118" i="3"/>
  <c r="BI93" i="3"/>
  <c r="AO104" i="3"/>
  <c r="AW135" i="3"/>
  <c r="AW136" i="3" s="1"/>
  <c r="BK24" i="6"/>
  <c r="BI19" i="6"/>
  <c r="BK19" i="6"/>
  <c r="BK14" i="6"/>
  <c r="AI78" i="5"/>
  <c r="AI77" i="5"/>
  <c r="CN66" i="5"/>
  <c r="CQ67" i="5"/>
  <c r="AT68" i="5"/>
  <c r="AT69" i="5"/>
  <c r="CQ47" i="5"/>
  <c r="CR67" i="5"/>
  <c r="AX69" i="5"/>
  <c r="AX68" i="5"/>
  <c r="CV58" i="5"/>
  <c r="CU47" i="5"/>
  <c r="CT58" i="5"/>
  <c r="CK20" i="5"/>
  <c r="CU58" i="5"/>
  <c r="CN58" i="5"/>
  <c r="CV67" i="5"/>
  <c r="BN69" i="5"/>
  <c r="BN68" i="5"/>
  <c r="AV69" i="5"/>
  <c r="AV68" i="5"/>
  <c r="AK31" i="5"/>
  <c r="AK35" i="5"/>
  <c r="AK36" i="5"/>
  <c r="AD61" i="5"/>
  <c r="BB82" i="5"/>
  <c r="CO47" i="5"/>
  <c r="CO20" i="5"/>
  <c r="BB76" i="5"/>
  <c r="CD87" i="2"/>
  <c r="AC35" i="5"/>
  <c r="AC31" i="5"/>
  <c r="AH62" i="5"/>
  <c r="CN59" i="5"/>
  <c r="AH61" i="5"/>
  <c r="AH63" i="5"/>
  <c r="AH60" i="5"/>
  <c r="AL66" i="5"/>
  <c r="AL65" i="5"/>
  <c r="AL76" i="5"/>
  <c r="AL35" i="5"/>
  <c r="AL31" i="5"/>
  <c r="AL36" i="5"/>
  <c r="AF63" i="5"/>
  <c r="AF60" i="5"/>
  <c r="AF62" i="5"/>
  <c r="AF61" i="5"/>
  <c r="AE78" i="5"/>
  <c r="BY69" i="4"/>
  <c r="CQ15" i="4"/>
  <c r="BQ25" i="4"/>
  <c r="CP18" i="4"/>
  <c r="CP17" i="4"/>
  <c r="CI12" i="4"/>
  <c r="CI18" i="4"/>
  <c r="CM53" i="5"/>
  <c r="CM48" i="5"/>
  <c r="CM50" i="5" s="1"/>
  <c r="BP62" i="4"/>
  <c r="X69" i="5"/>
  <c r="X68" i="5"/>
  <c r="CJ67" i="5"/>
  <c r="CJ69" i="5" s="1"/>
  <c r="R68" i="5"/>
  <c r="R69" i="5"/>
  <c r="L68" i="5"/>
  <c r="L69" i="5"/>
  <c r="AK169" i="3"/>
  <c r="CK18" i="4"/>
  <c r="AU250" i="3"/>
  <c r="AU175" i="3"/>
  <c r="AD210" i="3"/>
  <c r="AD174" i="3" s="1"/>
  <c r="AF208" i="3"/>
  <c r="AD254" i="3"/>
  <c r="AP254" i="3"/>
  <c r="AP255" i="3"/>
  <c r="AP256" i="3"/>
  <c r="AP257" i="3"/>
  <c r="AM243" i="3"/>
  <c r="AM249" i="3" s="1"/>
  <c r="AM169" i="3"/>
  <c r="W148" i="3"/>
  <c r="X142" i="3"/>
  <c r="AT134" i="3"/>
  <c r="CO18" i="4"/>
  <c r="CO17" i="4"/>
  <c r="AQ250" i="3"/>
  <c r="AQ175" i="3"/>
  <c r="CB143" i="3"/>
  <c r="CB148" i="3" s="1"/>
  <c r="CW142" i="3"/>
  <c r="BG136" i="3"/>
  <c r="AA169" i="3"/>
  <c r="AA253" i="3"/>
  <c r="AA258" i="3" s="1"/>
  <c r="AZ169" i="3"/>
  <c r="BF136" i="3"/>
  <c r="AN212" i="3"/>
  <c r="AL257" i="3"/>
  <c r="AL254" i="3"/>
  <c r="AR148" i="3"/>
  <c r="CM127" i="3"/>
  <c r="P126" i="3"/>
  <c r="AY119" i="3"/>
  <c r="BJ148" i="3"/>
  <c r="BK144" i="3"/>
  <c r="EV97" i="3"/>
  <c r="EW97" i="3" s="1"/>
  <c r="EX97" i="3" s="1"/>
  <c r="EY97" i="3" s="1"/>
  <c r="EZ97" i="3" s="1"/>
  <c r="EU97" i="3"/>
  <c r="U125" i="3"/>
  <c r="DB42" i="3"/>
  <c r="BJ35" i="3"/>
  <c r="CR134" i="3"/>
  <c r="AO128" i="3"/>
  <c r="DO106" i="3"/>
  <c r="DP96" i="3"/>
  <c r="CI93" i="3"/>
  <c r="CJ88" i="3"/>
  <c r="CU14" i="3"/>
  <c r="CU22" i="3"/>
  <c r="CU15" i="3"/>
  <c r="O104" i="3"/>
  <c r="P100" i="3"/>
  <c r="CH93" i="3"/>
  <c r="BT74" i="3"/>
  <c r="BT86" i="3" s="1"/>
  <c r="BU63" i="3"/>
  <c r="BU74" i="3" s="1"/>
  <c r="BU86" i="3" s="1"/>
  <c r="DN81" i="3"/>
  <c r="DM84" i="3"/>
  <c r="EN28" i="3"/>
  <c r="EO26" i="3"/>
  <c r="DW32" i="3"/>
  <c r="CE84" i="3"/>
  <c r="CE86" i="3" s="1"/>
  <c r="CF82" i="3"/>
  <c r="BB22" i="3"/>
  <c r="BB14" i="3"/>
  <c r="K15" i="3"/>
  <c r="K14" i="3"/>
  <c r="DR32" i="3"/>
  <c r="T116" i="3"/>
  <c r="U116" i="3" s="1"/>
  <c r="T10" i="3"/>
  <c r="AL14" i="3"/>
  <c r="AL15" i="3"/>
  <c r="CO22" i="3"/>
  <c r="CO14" i="3"/>
  <c r="CO15" i="3"/>
  <c r="BB272" i="2"/>
  <c r="BC273" i="2" s="1"/>
  <c r="CS193" i="2"/>
  <c r="BN16" i="4"/>
  <c r="CU15" i="4"/>
  <c r="BN18" i="4"/>
  <c r="BN17" i="4"/>
  <c r="EV64" i="3"/>
  <c r="EW64" i="3" s="1"/>
  <c r="EX64" i="3" s="1"/>
  <c r="EY64" i="3" s="1"/>
  <c r="EZ64" i="3" s="1"/>
  <c r="EU64" i="3"/>
  <c r="DY152" i="2"/>
  <c r="DY153" i="2"/>
  <c r="BM24" i="3"/>
  <c r="J56" i="3"/>
  <c r="J23" i="3"/>
  <c r="J32" i="3"/>
  <c r="J24" i="3"/>
  <c r="DD22" i="3"/>
  <c r="DD15" i="3"/>
  <c r="DD14" i="3"/>
  <c r="CI56" i="3"/>
  <c r="CI23" i="3"/>
  <c r="CI32" i="3"/>
  <c r="CK195" i="2"/>
  <c r="EC184" i="2"/>
  <c r="EE161" i="2"/>
  <c r="AH116" i="3"/>
  <c r="AH10" i="3"/>
  <c r="L11" i="2"/>
  <c r="DX270" i="2"/>
  <c r="BF133" i="2"/>
  <c r="BF264" i="2"/>
  <c r="BJ266" i="2" s="1"/>
  <c r="BF102" i="2"/>
  <c r="BF110" i="2"/>
  <c r="BF106" i="2"/>
  <c r="BF134" i="2"/>
  <c r="BF78" i="2"/>
  <c r="BF132" i="2"/>
  <c r="BF114" i="2"/>
  <c r="BF98" i="2"/>
  <c r="BF94" i="2"/>
  <c r="BF82" i="2"/>
  <c r="AU71" i="3"/>
  <c r="AU13" i="3"/>
  <c r="AV15" i="3" s="1"/>
  <c r="V8" i="2"/>
  <c r="DY169" i="2"/>
  <c r="EF91" i="2"/>
  <c r="AE27" i="3"/>
  <c r="BS290" i="2"/>
  <c r="BS288" i="2"/>
  <c r="BS289" i="2"/>
  <c r="BJ272" i="2"/>
  <c r="DY165" i="2"/>
  <c r="DY164" i="2"/>
  <c r="BP272" i="2"/>
  <c r="BP265" i="2"/>
  <c r="BP266" i="2"/>
  <c r="CS110" i="2"/>
  <c r="CS106" i="2"/>
  <c r="CS133" i="2"/>
  <c r="CS132" i="2"/>
  <c r="CS94" i="2"/>
  <c r="CS134" i="2"/>
  <c r="CS78" i="2"/>
  <c r="CS114" i="2"/>
  <c r="CS98" i="2"/>
  <c r="CM110" i="2"/>
  <c r="CM106" i="2"/>
  <c r="CM122" i="2"/>
  <c r="CM114" i="2"/>
  <c r="CM134" i="2"/>
  <c r="CM132" i="2"/>
  <c r="CM102" i="2"/>
  <c r="CM78" i="2"/>
  <c r="CM98" i="2"/>
  <c r="CM94" i="2"/>
  <c r="DZ56" i="3"/>
  <c r="DZ107" i="3" s="1"/>
  <c r="DZ23" i="3"/>
  <c r="DZ32" i="3"/>
  <c r="DP15" i="3"/>
  <c r="DP22" i="3"/>
  <c r="DP14" i="3"/>
  <c r="DR15" i="3"/>
  <c r="BB15" i="4"/>
  <c r="BC16" i="4" s="1"/>
  <c r="CD102" i="2"/>
  <c r="CD154" i="2"/>
  <c r="CD101" i="2"/>
  <c r="CD100" i="2"/>
  <c r="BJ18" i="4"/>
  <c r="B37" i="3"/>
  <c r="B35" i="3"/>
  <c r="DN56" i="3"/>
  <c r="DN107" i="3" s="1"/>
  <c r="DN23" i="3"/>
  <c r="DN32" i="3"/>
  <c r="DN24" i="3"/>
  <c r="CL15" i="3"/>
  <c r="CL22" i="3"/>
  <c r="CL14" i="3"/>
  <c r="CN15" i="3"/>
  <c r="DZ164" i="2"/>
  <c r="CS151" i="2"/>
  <c r="CS152" i="2"/>
  <c r="BO84" i="4"/>
  <c r="BO73" i="4"/>
  <c r="BO62" i="4"/>
  <c r="BE173" i="2"/>
  <c r="BD170" i="2"/>
  <c r="CS160" i="2"/>
  <c r="CS159" i="2"/>
  <c r="BS266" i="2"/>
  <c r="CN117" i="2"/>
  <c r="CO115" i="2"/>
  <c r="BH114" i="2"/>
  <c r="CC90" i="2"/>
  <c r="ED7" i="2"/>
  <c r="CU98" i="2"/>
  <c r="CU94" i="2"/>
  <c r="CU134" i="2"/>
  <c r="CU78" i="2"/>
  <c r="CU133" i="2"/>
  <c r="CU114" i="2"/>
  <c r="CU106" i="2"/>
  <c r="CU110" i="2"/>
  <c r="CU132" i="2"/>
  <c r="BS84" i="4"/>
  <c r="CO102" i="2"/>
  <c r="DY98" i="2"/>
  <c r="DY97" i="2"/>
  <c r="DT38" i="2"/>
  <c r="DT37" i="2"/>
  <c r="DK21" i="2"/>
  <c r="BM25" i="2"/>
  <c r="BM22" i="2"/>
  <c r="BM24" i="2"/>
  <c r="AC24" i="2"/>
  <c r="AC22" i="2"/>
  <c r="CT19" i="2"/>
  <c r="CT40" i="2"/>
  <c r="CU41" i="2" s="1"/>
  <c r="CT18" i="2"/>
  <c r="BD19" i="2"/>
  <c r="BD40" i="2"/>
  <c r="BD18" i="2"/>
  <c r="BD141" i="2" s="1"/>
  <c r="H40" i="2"/>
  <c r="H18" i="2"/>
  <c r="H17" i="2"/>
  <c r="DK7" i="2"/>
  <c r="BK133" i="2"/>
  <c r="CH23" i="2"/>
  <c r="AX23" i="2"/>
  <c r="N23" i="2"/>
  <c r="BL22" i="2"/>
  <c r="BL25" i="2"/>
  <c r="BL24" i="2"/>
  <c r="AB23" i="2"/>
  <c r="AB22" i="2"/>
  <c r="AB24" i="2"/>
  <c r="CM17" i="2"/>
  <c r="CM16" i="2"/>
  <c r="CM40" i="2"/>
  <c r="CM19" i="2"/>
  <c r="CM18" i="2"/>
  <c r="CA155" i="2"/>
  <c r="CA156" i="2"/>
  <c r="F43" i="2"/>
  <c r="CT133" i="2"/>
  <c r="BR265" i="2"/>
  <c r="EC38" i="2"/>
  <c r="EC37" i="2"/>
  <c r="CW29" i="2"/>
  <c r="CV34" i="2"/>
  <c r="CV39" i="2" s="1"/>
  <c r="BY40" i="2"/>
  <c r="CI23" i="2"/>
  <c r="O23" i="2"/>
  <c r="DR7" i="2"/>
  <c r="BE169" i="2"/>
  <c r="BE166" i="2" s="1"/>
  <c r="BE157" i="2"/>
  <c r="BE154" i="2" s="1"/>
  <c r="BE153" i="2"/>
  <c r="BE150" i="2" s="1"/>
  <c r="BE138" i="2"/>
  <c r="BE165" i="2"/>
  <c r="BE162" i="2" s="1"/>
  <c r="AV22" i="2"/>
  <c r="AG23" i="2"/>
  <c r="CU44" i="2"/>
  <c r="CU43" i="2"/>
  <c r="BK16" i="2"/>
  <c r="BX16" i="2"/>
  <c r="DI37" i="2"/>
  <c r="DU32" i="2"/>
  <c r="DR24" i="2"/>
  <c r="AI11" i="6"/>
  <c r="AH13" i="6"/>
  <c r="AJ96" i="5"/>
  <c r="AJ91" i="5"/>
  <c r="AK90" i="5"/>
  <c r="AK83" i="5"/>
  <c r="AK79" i="5"/>
  <c r="AK73" i="5"/>
  <c r="BK69" i="5"/>
  <c r="BK68" i="5"/>
  <c r="AW69" i="5"/>
  <c r="AW68" i="5"/>
  <c r="AB31" i="5"/>
  <c r="AB35" i="5"/>
  <c r="CO53" i="5"/>
  <c r="CO48" i="5"/>
  <c r="CN18" i="4"/>
  <c r="CN17" i="4"/>
  <c r="EQ57" i="3"/>
  <c r="BR290" i="2"/>
  <c r="BR289" i="2"/>
  <c r="BR288" i="2"/>
  <c r="CB23" i="3"/>
  <c r="AE18" i="3"/>
  <c r="W15" i="3"/>
  <c r="W22" i="3"/>
  <c r="Z22" i="3" s="1"/>
  <c r="W14" i="3"/>
  <c r="DW270" i="2"/>
  <c r="BK18" i="4"/>
  <c r="BK16" i="4"/>
  <c r="BT266" i="2"/>
  <c r="BT265" i="2"/>
  <c r="BT272" i="2"/>
  <c r="BT267" i="2" s="1"/>
  <c r="BX266" i="2"/>
  <c r="CR163" i="2"/>
  <c r="CR164" i="2"/>
  <c r="CC40" i="2"/>
  <c r="CC18" i="2"/>
  <c r="CC19" i="2"/>
  <c r="BA25" i="2"/>
  <c r="BA22" i="2"/>
  <c r="BA24" i="2"/>
  <c r="AS28" i="2"/>
  <c r="AZ23" i="2"/>
  <c r="AZ22" i="2"/>
  <c r="AZ25" i="2"/>
  <c r="AZ24" i="2"/>
  <c r="DX37" i="2"/>
  <c r="DX38" i="2"/>
  <c r="AG19" i="6"/>
  <c r="AG18" i="6"/>
  <c r="CM87" i="5"/>
  <c r="CM76" i="5"/>
  <c r="AD78" i="5"/>
  <c r="AD77" i="5"/>
  <c r="AH78" i="5"/>
  <c r="CS58" i="5"/>
  <c r="AG78" i="5"/>
  <c r="AG77" i="5"/>
  <c r="BQ69" i="5"/>
  <c r="BQ68" i="5"/>
  <c r="AR69" i="5"/>
  <c r="AR68" i="5"/>
  <c r="CP58" i="5"/>
  <c r="BI69" i="5"/>
  <c r="BI68" i="5"/>
  <c r="AE31" i="5"/>
  <c r="AE35" i="5"/>
  <c r="AE36" i="5"/>
  <c r="CO58" i="5"/>
  <c r="CH58" i="5"/>
  <c r="AA35" i="5"/>
  <c r="AA31" i="5"/>
  <c r="BM68" i="5"/>
  <c r="BM69" i="5"/>
  <c r="BB65" i="5"/>
  <c r="AC60" i="5"/>
  <c r="AC62" i="5"/>
  <c r="AC63" i="5"/>
  <c r="BK24" i="5"/>
  <c r="BJ26" i="5"/>
  <c r="AL63" i="5"/>
  <c r="AL62" i="5"/>
  <c r="AL61" i="5"/>
  <c r="AL60" i="5"/>
  <c r="CL34" i="5"/>
  <c r="CL24" i="5" s="1"/>
  <c r="CL27" i="5" s="1"/>
  <c r="Z31" i="5"/>
  <c r="BL38" i="4"/>
  <c r="CW12" i="4"/>
  <c r="AG21" i="5"/>
  <c r="CT20" i="5"/>
  <c r="AJ69" i="5"/>
  <c r="AJ68" i="5"/>
  <c r="AD69" i="5"/>
  <c r="AD68" i="5"/>
  <c r="CM67" i="5"/>
  <c r="CN69" i="5" s="1"/>
  <c r="CH20" i="5"/>
  <c r="CH12" i="4"/>
  <c r="V256" i="3"/>
  <c r="V220" i="3"/>
  <c r="BS143" i="3"/>
  <c r="DD148" i="3"/>
  <c r="AJ154" i="3"/>
  <c r="Y170" i="3"/>
  <c r="AN208" i="3"/>
  <c r="AJ142" i="3"/>
  <c r="AI148" i="3"/>
  <c r="DG136" i="3"/>
  <c r="AG169" i="3"/>
  <c r="AG253" i="3"/>
  <c r="AG258" i="3" s="1"/>
  <c r="DL88" i="3"/>
  <c r="DM88" i="3"/>
  <c r="DK93" i="3"/>
  <c r="DC82" i="3"/>
  <c r="DB82" i="3"/>
  <c r="DA84" i="3"/>
  <c r="CF148" i="3"/>
  <c r="CG143" i="3"/>
  <c r="BE96" i="3"/>
  <c r="BF96" i="3" s="1"/>
  <c r="BG96" i="3" s="1"/>
  <c r="BH96" i="3" s="1"/>
  <c r="BD96" i="3"/>
  <c r="CH136" i="3"/>
  <c r="CR143" i="3"/>
  <c r="BI11" i="3"/>
  <c r="BH10" i="3"/>
  <c r="AG11" i="2"/>
  <c r="AW148" i="3"/>
  <c r="BR86" i="3"/>
  <c r="BS86" i="3" s="1"/>
  <c r="BS84" i="3"/>
  <c r="BW14" i="3"/>
  <c r="BY15" i="3"/>
  <c r="BW22" i="3"/>
  <c r="BW15" i="3"/>
  <c r="AM10" i="3"/>
  <c r="AN11" i="3"/>
  <c r="AO11" i="3" s="1"/>
  <c r="P11" i="2"/>
  <c r="ER91" i="3"/>
  <c r="AB76" i="3"/>
  <c r="AC77" i="3"/>
  <c r="AC76" i="3" s="1"/>
  <c r="DW95" i="3"/>
  <c r="DX95" i="3" s="1"/>
  <c r="DY95" i="3" s="1"/>
  <c r="DZ95" i="3" s="1"/>
  <c r="EA95" i="3" s="1"/>
  <c r="EB95" i="3" s="1"/>
  <c r="EC95" i="3" s="1"/>
  <c r="ED95" i="3" s="1"/>
  <c r="EE95" i="3" s="1"/>
  <c r="EF95" i="3" s="1"/>
  <c r="EG95" i="3" s="1"/>
  <c r="EH95" i="3" s="1"/>
  <c r="EI95" i="3" s="1"/>
  <c r="EJ95" i="3" s="1"/>
  <c r="EK95" i="3" s="1"/>
  <c r="EL95" i="3" s="1"/>
  <c r="EM95" i="3" s="1"/>
  <c r="EN95" i="3" s="1"/>
  <c r="EO95" i="3" s="1"/>
  <c r="DV95" i="3"/>
  <c r="EU92" i="3"/>
  <c r="EV92" i="3"/>
  <c r="EW92" i="3" s="1"/>
  <c r="EX92" i="3" s="1"/>
  <c r="EY92" i="3" s="1"/>
  <c r="EZ92" i="3" s="1"/>
  <c r="DL84" i="3"/>
  <c r="DK86" i="3"/>
  <c r="DL86" i="3" s="1"/>
  <c r="BY32" i="3"/>
  <c r="BY23" i="3"/>
  <c r="BY56" i="3"/>
  <c r="BU37" i="3"/>
  <c r="AW32" i="3"/>
  <c r="AW56" i="3"/>
  <c r="AW23" i="3"/>
  <c r="Y32" i="3"/>
  <c r="Y56" i="3"/>
  <c r="Y23" i="3"/>
  <c r="G24" i="3"/>
  <c r="BA63" i="3"/>
  <c r="AZ74" i="3"/>
  <c r="AZ86" i="3" s="1"/>
  <c r="AV174" i="3"/>
  <c r="AV22" i="3"/>
  <c r="AV14" i="3"/>
  <c r="AE10" i="3"/>
  <c r="EC35" i="3"/>
  <c r="EC41" i="3" s="1"/>
  <c r="BX289" i="2"/>
  <c r="BX288" i="2"/>
  <c r="BX290" i="2"/>
  <c r="CM28" i="3"/>
  <c r="S71" i="3"/>
  <c r="S13" i="3"/>
  <c r="BG24" i="3"/>
  <c r="CZ56" i="3"/>
  <c r="CZ23" i="3"/>
  <c r="CZ32" i="3"/>
  <c r="D56" i="3"/>
  <c r="D23" i="3"/>
  <c r="D24" i="3"/>
  <c r="D32" i="3"/>
  <c r="BS275" i="2"/>
  <c r="BS276" i="2"/>
  <c r="BS271" i="2"/>
  <c r="BS263" i="2"/>
  <c r="BS273" i="2"/>
  <c r="EE168" i="2"/>
  <c r="EE169" i="2"/>
  <c r="EM24" i="3"/>
  <c r="BS267" i="2"/>
  <c r="AI10" i="3"/>
  <c r="AJ10" i="3" s="1"/>
  <c r="CO159" i="2"/>
  <c r="CN159" i="2"/>
  <c r="BJ82" i="3"/>
  <c r="BJ84" i="3" s="1"/>
  <c r="BJ86" i="3" s="1"/>
  <c r="BI82" i="3"/>
  <c r="BH84" i="3"/>
  <c r="N22" i="3"/>
  <c r="N14" i="3"/>
  <c r="N15" i="3"/>
  <c r="DV270" i="2"/>
  <c r="CR132" i="2"/>
  <c r="CR114" i="2"/>
  <c r="CR98" i="2"/>
  <c r="CR110" i="2"/>
  <c r="CR94" i="2"/>
  <c r="CR134" i="2"/>
  <c r="CR78" i="2"/>
  <c r="CR106" i="2"/>
  <c r="BR16" i="4"/>
  <c r="BR18" i="4"/>
  <c r="BR17" i="4"/>
  <c r="BW153" i="2"/>
  <c r="BV150" i="2"/>
  <c r="BE94" i="2"/>
  <c r="BE134" i="2"/>
  <c r="BE264" i="2"/>
  <c r="BI266" i="2" s="1"/>
  <c r="BE102" i="2"/>
  <c r="BE106" i="2"/>
  <c r="BE78" i="2"/>
  <c r="BE132" i="2"/>
  <c r="BE110" i="2"/>
  <c r="DW113" i="2"/>
  <c r="DW131" i="2"/>
  <c r="DW114" i="2" s="1"/>
  <c r="CE134" i="2"/>
  <c r="CE110" i="2"/>
  <c r="CE132" i="2"/>
  <c r="CE122" i="2"/>
  <c r="CE114" i="2"/>
  <c r="CE94" i="2"/>
  <c r="CE78" i="2"/>
  <c r="CE133" i="2"/>
  <c r="CE98" i="2"/>
  <c r="CS155" i="2"/>
  <c r="CS156" i="2"/>
  <c r="CM155" i="2"/>
  <c r="CR28" i="3"/>
  <c r="BE114" i="2"/>
  <c r="DV94" i="2"/>
  <c r="EA131" i="2"/>
  <c r="BP18" i="4"/>
  <c r="BP16" i="4"/>
  <c r="BJ73" i="4"/>
  <c r="BJ51" i="4"/>
  <c r="BJ84" i="4"/>
  <c r="BJ62" i="4"/>
  <c r="F22" i="3"/>
  <c r="EA160" i="2"/>
  <c r="EA161" i="2"/>
  <c r="BN266" i="2"/>
  <c r="BN265" i="2"/>
  <c r="DX264" i="2"/>
  <c r="BN272" i="2"/>
  <c r="CQ134" i="2"/>
  <c r="CQ110" i="2"/>
  <c r="CQ106" i="2"/>
  <c r="CQ132" i="2"/>
  <c r="CQ114" i="2"/>
  <c r="CQ98" i="2"/>
  <c r="CQ94" i="2"/>
  <c r="CQ133" i="2"/>
  <c r="CQ78" i="2"/>
  <c r="CC102" i="2"/>
  <c r="BE98" i="2"/>
  <c r="ER27" i="3"/>
  <c r="ES27" i="3" s="1"/>
  <c r="ET27" i="3" s="1"/>
  <c r="EV27" i="3" s="1"/>
  <c r="EC186" i="2"/>
  <c r="BC171" i="2"/>
  <c r="ED158" i="2"/>
  <c r="AZ16" i="4"/>
  <c r="AZ18" i="4"/>
  <c r="AZ17" i="4"/>
  <c r="BK265" i="2"/>
  <c r="BK267" i="2"/>
  <c r="DV78" i="2"/>
  <c r="EA38" i="2"/>
  <c r="CR160" i="2"/>
  <c r="BM18" i="4"/>
  <c r="DN38" i="2"/>
  <c r="DN37" i="2"/>
  <c r="DZ33" i="2"/>
  <c r="DZ32" i="2"/>
  <c r="CQ25" i="2"/>
  <c r="CQ23" i="2"/>
  <c r="CQ24" i="2"/>
  <c r="CQ22" i="2"/>
  <c r="BG25" i="2"/>
  <c r="BG24" i="2"/>
  <c r="BG23" i="2"/>
  <c r="BG22" i="2"/>
  <c r="W23" i="2"/>
  <c r="W22" i="2"/>
  <c r="W24" i="2"/>
  <c r="CN40" i="2"/>
  <c r="CN19" i="2"/>
  <c r="CN17" i="2"/>
  <c r="CN16" i="2"/>
  <c r="CN18" i="2"/>
  <c r="AR19" i="2"/>
  <c r="AR40" i="2"/>
  <c r="AR18" i="2"/>
  <c r="AR17" i="2"/>
  <c r="DU7" i="2"/>
  <c r="DQ14" i="2"/>
  <c r="DQ13" i="2"/>
  <c r="CF163" i="2"/>
  <c r="CF164" i="2"/>
  <c r="EA154" i="2"/>
  <c r="DV130" i="2"/>
  <c r="CL44" i="2"/>
  <c r="DM38" i="2"/>
  <c r="DM37" i="2"/>
  <c r="EE33" i="2"/>
  <c r="EE32" i="2"/>
  <c r="CI28" i="2"/>
  <c r="CP22" i="2"/>
  <c r="CP25" i="2"/>
  <c r="CP24" i="2"/>
  <c r="BF23" i="2"/>
  <c r="BF22" i="2"/>
  <c r="BF25" i="2"/>
  <c r="DV21" i="2"/>
  <c r="BF24" i="2"/>
  <c r="V23" i="2"/>
  <c r="V22" i="2"/>
  <c r="V24" i="2"/>
  <c r="BU17" i="2"/>
  <c r="BU16" i="2"/>
  <c r="BU40" i="2"/>
  <c r="BU19" i="2"/>
  <c r="BU18" i="2"/>
  <c r="AK16" i="2"/>
  <c r="AK40" i="2"/>
  <c r="AK18" i="2"/>
  <c r="DJ37" i="2"/>
  <c r="DJ38" i="2"/>
  <c r="DB100" i="3"/>
  <c r="DA104" i="3"/>
  <c r="ED37" i="2"/>
  <c r="ED38" i="2"/>
  <c r="DR32" i="2"/>
  <c r="DR33" i="2"/>
  <c r="P127" i="3"/>
  <c r="DW38" i="2"/>
  <c r="DW37" i="2"/>
  <c r="EC32" i="2"/>
  <c r="EC33" i="2"/>
  <c r="BS40" i="2"/>
  <c r="BS18" i="2"/>
  <c r="BS17" i="2"/>
  <c r="BS19" i="2"/>
  <c r="W40" i="2"/>
  <c r="EE101" i="2"/>
  <c r="EE7" i="2"/>
  <c r="BW23" i="2"/>
  <c r="DL7" i="2"/>
  <c r="CL17" i="2"/>
  <c r="BN22" i="2"/>
  <c r="DP14" i="2"/>
  <c r="CO23" i="2"/>
  <c r="U23" i="2"/>
  <c r="BH47" i="2"/>
  <c r="O43" i="2"/>
  <c r="R22" i="2"/>
  <c r="DI38" i="2"/>
  <c r="CF22" i="2"/>
  <c r="DU33" i="2"/>
  <c r="AJ22" i="2"/>
  <c r="BN14" i="6" l="1"/>
  <c r="CS12" i="5"/>
  <c r="BE11" i="5"/>
  <c r="AM78" i="5"/>
  <c r="BE10" i="5"/>
  <c r="AM77" i="5"/>
  <c r="AO93" i="5"/>
  <c r="AP93" i="5" s="1"/>
  <c r="CM78" i="5"/>
  <c r="AN95" i="5"/>
  <c r="BE34" i="5"/>
  <c r="BE36" i="5" s="1"/>
  <c r="BD31" i="5"/>
  <c r="BD32" i="5" s="1"/>
  <c r="AK84" i="5"/>
  <c r="AG73" i="5"/>
  <c r="AK75" i="5" s="1"/>
  <c r="CM82" i="5"/>
  <c r="BF12" i="5"/>
  <c r="BG12" i="5" s="1"/>
  <c r="BG9" i="5" s="1"/>
  <c r="AG84" i="5"/>
  <c r="BD60" i="5"/>
  <c r="BD76" i="5"/>
  <c r="BD77" i="5" s="1"/>
  <c r="CS9" i="5"/>
  <c r="AF84" i="5"/>
  <c r="BE37" i="5"/>
  <c r="BE85" i="5" s="1"/>
  <c r="CG87" i="2" s="1"/>
  <c r="BE64" i="5"/>
  <c r="CM63" i="5"/>
  <c r="CP69" i="5"/>
  <c r="BD62" i="5"/>
  <c r="CL69" i="5"/>
  <c r="AO29" i="5"/>
  <c r="AO12" i="5"/>
  <c r="CO12" i="5" s="1"/>
  <c r="CO28" i="5" s="1"/>
  <c r="CO69" i="5"/>
  <c r="AN62" i="5"/>
  <c r="AN63" i="5"/>
  <c r="AN61" i="5"/>
  <c r="BF37" i="5"/>
  <c r="BF85" i="5" s="1"/>
  <c r="AN10" i="5"/>
  <c r="AD83" i="5"/>
  <c r="AM59" i="5"/>
  <c r="AN60" i="5" s="1"/>
  <c r="CL82" i="5"/>
  <c r="CL73" i="5" s="1"/>
  <c r="BF9" i="5"/>
  <c r="BF11" i="5" s="1"/>
  <c r="AG83" i="5"/>
  <c r="BD35" i="5"/>
  <c r="BC35" i="5"/>
  <c r="AF83" i="5"/>
  <c r="AJ84" i="5"/>
  <c r="AN11" i="5"/>
  <c r="AN34" i="5"/>
  <c r="AC83" i="5"/>
  <c r="AF73" i="5"/>
  <c r="AF74" i="5" s="1"/>
  <c r="AM11" i="5"/>
  <c r="AM10" i="5"/>
  <c r="AM34" i="5"/>
  <c r="AF79" i="5"/>
  <c r="AG80" i="5" s="1"/>
  <c r="CM61" i="5"/>
  <c r="CR69" i="5"/>
  <c r="CQ69" i="5"/>
  <c r="AA74" i="5"/>
  <c r="CS69" i="5"/>
  <c r="CT69" i="5"/>
  <c r="CP50" i="5"/>
  <c r="AC79" i="5"/>
  <c r="AG81" i="5" s="1"/>
  <c r="CU69" i="5"/>
  <c r="AB74" i="5"/>
  <c r="AC73" i="5"/>
  <c r="CH69" i="5"/>
  <c r="CN50" i="5"/>
  <c r="BY82" i="4"/>
  <c r="BR62" i="4"/>
  <c r="BM35" i="4"/>
  <c r="BM27" i="4"/>
  <c r="BO21" i="4"/>
  <c r="BP21" i="4" s="1"/>
  <c r="CT101" i="4"/>
  <c r="CT24" i="4" s="1"/>
  <c r="BM98" i="4"/>
  <c r="BL29" i="4"/>
  <c r="BM102" i="4"/>
  <c r="CV70" i="4"/>
  <c r="BL102" i="4"/>
  <c r="BL35" i="4"/>
  <c r="BL24" i="4"/>
  <c r="CT26" i="4"/>
  <c r="CT25" i="4" s="1"/>
  <c r="BL27" i="4"/>
  <c r="BL98" i="4"/>
  <c r="BK105" i="4"/>
  <c r="BQ16" i="2"/>
  <c r="CH16" i="2"/>
  <c r="AQ26" i="2"/>
  <c r="CG18" i="2"/>
  <c r="AN16" i="2"/>
  <c r="CG16" i="2"/>
  <c r="AM19" i="2"/>
  <c r="BK42" i="2"/>
  <c r="AB10" i="2"/>
  <c r="CB56" i="3"/>
  <c r="CG41" i="2"/>
  <c r="K32" i="3"/>
  <c r="K35" i="3" s="1"/>
  <c r="CC136" i="3"/>
  <c r="AO136" i="3"/>
  <c r="BZ22" i="2"/>
  <c r="BT27" i="2"/>
  <c r="CG19" i="2"/>
  <c r="AN17" i="2"/>
  <c r="DQ15" i="3"/>
  <c r="CA9" i="2"/>
  <c r="DV38" i="2"/>
  <c r="CO27" i="2"/>
  <c r="DX32" i="2"/>
  <c r="BY24" i="2"/>
  <c r="AN41" i="2"/>
  <c r="Z18" i="2"/>
  <c r="BT17" i="2"/>
  <c r="CC23" i="2"/>
  <c r="AM18" i="2"/>
  <c r="BY71" i="2"/>
  <c r="BE26" i="2"/>
  <c r="F32" i="3"/>
  <c r="F35" i="3" s="1"/>
  <c r="CD24" i="3"/>
  <c r="BY22" i="2"/>
  <c r="C37" i="3"/>
  <c r="AM43" i="2"/>
  <c r="BT44" i="2"/>
  <c r="DZ21" i="2"/>
  <c r="DZ24" i="2" s="1"/>
  <c r="BD26" i="2"/>
  <c r="BH153" i="2"/>
  <c r="BH150" i="2" s="1"/>
  <c r="BL152" i="2" s="1"/>
  <c r="AN18" i="2"/>
  <c r="EA8" i="2"/>
  <c r="EA10" i="2" s="1"/>
  <c r="EE37" i="2"/>
  <c r="CG17" i="2"/>
  <c r="AM16" i="2"/>
  <c r="AM17" i="2"/>
  <c r="AM42" i="2"/>
  <c r="AM41" i="2"/>
  <c r="ED10" i="2"/>
  <c r="BC222" i="3"/>
  <c r="BC231" i="3" s="1"/>
  <c r="BC230" i="3" s="1"/>
  <c r="AI116" i="3"/>
  <c r="AN170" i="3"/>
  <c r="AN169" i="3" s="1"/>
  <c r="AS19" i="2"/>
  <c r="EI56" i="3"/>
  <c r="EI107" i="3" s="1"/>
  <c r="EI23" i="3"/>
  <c r="EI32" i="3"/>
  <c r="BC10" i="3"/>
  <c r="AC11" i="2"/>
  <c r="DV37" i="2"/>
  <c r="DM32" i="2"/>
  <c r="DL15" i="3"/>
  <c r="BA71" i="3"/>
  <c r="EC23" i="2"/>
  <c r="CF26" i="2"/>
  <c r="DX25" i="2"/>
  <c r="DX28" i="2" s="1"/>
  <c r="BF16" i="2"/>
  <c r="BL17" i="2"/>
  <c r="AT40" i="2"/>
  <c r="CR40" i="2"/>
  <c r="CS41" i="2" s="1"/>
  <c r="BB42" i="2"/>
  <c r="AJ11" i="3"/>
  <c r="BB19" i="2"/>
  <c r="CQ23" i="3"/>
  <c r="AS16" i="2"/>
  <c r="BD11" i="3"/>
  <c r="BM23" i="2"/>
  <c r="DG22" i="3"/>
  <c r="AL256" i="3"/>
  <c r="AL258" i="3" s="1"/>
  <c r="CS16" i="2"/>
  <c r="DM33" i="2"/>
  <c r="CR14" i="3"/>
  <c r="DS21" i="2"/>
  <c r="DS24" i="2" s="1"/>
  <c r="AU24" i="2"/>
  <c r="CK22" i="2"/>
  <c r="X253" i="3"/>
  <c r="BL19" i="2"/>
  <c r="CW13" i="2"/>
  <c r="CP40" i="2"/>
  <c r="CP44" i="2" s="1"/>
  <c r="BF19" i="2"/>
  <c r="AX22" i="2"/>
  <c r="AW25" i="2"/>
  <c r="AE13" i="2"/>
  <c r="AA13" i="2"/>
  <c r="AA12" i="2"/>
  <c r="AA14" i="2"/>
  <c r="CU27" i="2"/>
  <c r="CQ35" i="3"/>
  <c r="AX43" i="2"/>
  <c r="ED15" i="2"/>
  <c r="ED17" i="2" s="1"/>
  <c r="BL23" i="2"/>
  <c r="DS37" i="2"/>
  <c r="DM86" i="3"/>
  <c r="AL255" i="3"/>
  <c r="CK19" i="2"/>
  <c r="BY23" i="2"/>
  <c r="BO35" i="3"/>
  <c r="BO41" i="3" s="1"/>
  <c r="BR41" i="3" s="1"/>
  <c r="BS41" i="3" s="1"/>
  <c r="BG18" i="2"/>
  <c r="BG141" i="2" s="1"/>
  <c r="BG157" i="2" s="1"/>
  <c r="BG154" i="2" s="1"/>
  <c r="AU25" i="2"/>
  <c r="DS25" i="2" s="1"/>
  <c r="BO26" i="2"/>
  <c r="DY32" i="2"/>
  <c r="DQ14" i="3"/>
  <c r="K23" i="3"/>
  <c r="CA27" i="2"/>
  <c r="BF18" i="2"/>
  <c r="BF141" i="2" s="1"/>
  <c r="BF153" i="2" s="1"/>
  <c r="BF150" i="2" s="1"/>
  <c r="BF151" i="2" s="1"/>
  <c r="BL16" i="2"/>
  <c r="CD17" i="2"/>
  <c r="CO17" i="2"/>
  <c r="BB17" i="2"/>
  <c r="BB18" i="2"/>
  <c r="BB141" i="2" s="1"/>
  <c r="BB169" i="2" s="1"/>
  <c r="BB166" i="2" s="1"/>
  <c r="CO40" i="2"/>
  <c r="CO41" i="2" s="1"/>
  <c r="AW22" i="2"/>
  <c r="CC70" i="2"/>
  <c r="CQ56" i="3"/>
  <c r="BZ71" i="2"/>
  <c r="DW10" i="2"/>
  <c r="AZ22" i="3"/>
  <c r="AZ14" i="3"/>
  <c r="BC220" i="3"/>
  <c r="AV256" i="3"/>
  <c r="AV255" i="3"/>
  <c r="CG26" i="2"/>
  <c r="DE23" i="3"/>
  <c r="DE56" i="3"/>
  <c r="DE107" i="3" s="1"/>
  <c r="DE32" i="3"/>
  <c r="BD10" i="3"/>
  <c r="DK54" i="3"/>
  <c r="CR17" i="2"/>
  <c r="EK14" i="3"/>
  <c r="CT16" i="2"/>
  <c r="CS19" i="2"/>
  <c r="DZ37" i="2"/>
  <c r="DX35" i="3"/>
  <c r="DX41" i="3" s="1"/>
  <c r="CL23" i="2"/>
  <c r="BA23" i="2"/>
  <c r="CQ24" i="3"/>
  <c r="DZ38" i="2"/>
  <c r="CR16" i="2"/>
  <c r="BG16" i="2"/>
  <c r="BF17" i="2"/>
  <c r="BP17" i="2"/>
  <c r="BK17" i="2"/>
  <c r="AX41" i="2"/>
  <c r="AP28" i="2"/>
  <c r="DG15" i="3"/>
  <c r="AH169" i="3"/>
  <c r="CH17" i="2"/>
  <c r="BI23" i="2"/>
  <c r="CJ16" i="2"/>
  <c r="CJ40" i="2"/>
  <c r="BO27" i="2"/>
  <c r="CR19" i="2"/>
  <c r="CD19" i="2"/>
  <c r="CD43" i="2"/>
  <c r="O9" i="2"/>
  <c r="CA70" i="2"/>
  <c r="AW23" i="2"/>
  <c r="AV257" i="3"/>
  <c r="CF24" i="2"/>
  <c r="CF25" i="2"/>
  <c r="CF28" i="2" s="1"/>
  <c r="I35" i="3"/>
  <c r="I37" i="3"/>
  <c r="M23" i="3"/>
  <c r="M32" i="3"/>
  <c r="M56" i="3"/>
  <c r="AP27" i="2"/>
  <c r="AP26" i="2"/>
  <c r="BI19" i="2"/>
  <c r="CR24" i="2"/>
  <c r="BR16" i="2"/>
  <c r="BY19" i="2"/>
  <c r="CV22" i="2"/>
  <c r="BP16" i="2"/>
  <c r="EO19" i="3"/>
  <c r="EP19" i="3" s="1"/>
  <c r="CS17" i="2"/>
  <c r="BJ16" i="2"/>
  <c r="BR15" i="3"/>
  <c r="Y174" i="3"/>
  <c r="BM19" i="2"/>
  <c r="BO19" i="2"/>
  <c r="BI16" i="2"/>
  <c r="DV14" i="3"/>
  <c r="Z22" i="2"/>
  <c r="BR17" i="2"/>
  <c r="BX136" i="3"/>
  <c r="EF37" i="2"/>
  <c r="AS18" i="2"/>
  <c r="AS40" i="2"/>
  <c r="AT41" i="2" s="1"/>
  <c r="AT18" i="2"/>
  <c r="AT17" i="2"/>
  <c r="AB14" i="2"/>
  <c r="AB12" i="2"/>
  <c r="AF13" i="2"/>
  <c r="AB15" i="2"/>
  <c r="AP258" i="3"/>
  <c r="BH27" i="2"/>
  <c r="DX15" i="2"/>
  <c r="BQ17" i="2"/>
  <c r="CS24" i="3"/>
  <c r="BM16" i="2"/>
  <c r="BO16" i="2"/>
  <c r="BI17" i="2"/>
  <c r="BP26" i="2"/>
  <c r="DX10" i="2"/>
  <c r="BR18" i="2"/>
  <c r="BF41" i="2"/>
  <c r="CS22" i="2"/>
  <c r="EA15" i="3"/>
  <c r="BC136" i="3"/>
  <c r="BD136" i="3" s="1"/>
  <c r="DZ15" i="2"/>
  <c r="DZ18" i="2" s="1"/>
  <c r="CS32" i="3"/>
  <c r="AI253" i="3"/>
  <c r="AI258" i="3" s="1"/>
  <c r="BM17" i="2"/>
  <c r="BO17" i="2"/>
  <c r="DV15" i="2"/>
  <c r="DV18" i="2" s="1"/>
  <c r="CM27" i="2"/>
  <c r="BP40" i="2"/>
  <c r="BP19" i="2"/>
  <c r="AT11" i="3"/>
  <c r="CC17" i="2"/>
  <c r="BY16" i="2"/>
  <c r="BE43" i="2"/>
  <c r="BY17" i="2"/>
  <c r="BE41" i="2"/>
  <c r="AK253" i="3"/>
  <c r="CS18" i="2"/>
  <c r="DW15" i="2"/>
  <c r="DW18" i="2" s="1"/>
  <c r="U11" i="2"/>
  <c r="U14" i="2" s="1"/>
  <c r="BY18" i="2"/>
  <c r="BI136" i="3"/>
  <c r="CR28" i="2"/>
  <c r="X258" i="3"/>
  <c r="CR22" i="2"/>
  <c r="BH138" i="2"/>
  <c r="EB8" i="2"/>
  <c r="EE10" i="2"/>
  <c r="CI10" i="2"/>
  <c r="CA71" i="2"/>
  <c r="CA15" i="2"/>
  <c r="CB16" i="2" s="1"/>
  <c r="BX71" i="2"/>
  <c r="CA10" i="2"/>
  <c r="AQ247" i="3"/>
  <c r="AQ173" i="3"/>
  <c r="CP24" i="3"/>
  <c r="AE148" i="3"/>
  <c r="DT54" i="3"/>
  <c r="CF49" i="2" s="1"/>
  <c r="DK53" i="3"/>
  <c r="BY52" i="2" s="1"/>
  <c r="CP32" i="3"/>
  <c r="AE141" i="3"/>
  <c r="BA187" i="3"/>
  <c r="BA174" i="3" s="1"/>
  <c r="CX35" i="2"/>
  <c r="EQ17" i="3" s="1"/>
  <c r="DT53" i="3"/>
  <c r="CF52" i="2" s="1"/>
  <c r="BV17" i="2"/>
  <c r="BR43" i="2"/>
  <c r="CB19" i="2"/>
  <c r="ED21" i="2"/>
  <c r="ED24" i="2" s="1"/>
  <c r="Y23" i="2"/>
  <c r="BR19" i="2"/>
  <c r="CR23" i="2"/>
  <c r="CP18" i="2"/>
  <c r="CP16" i="2"/>
  <c r="CM22" i="2"/>
  <c r="CW120" i="3"/>
  <c r="C41" i="2"/>
  <c r="CQ16" i="2"/>
  <c r="BS16" i="2"/>
  <c r="CK35" i="3"/>
  <c r="CC16" i="2"/>
  <c r="EA14" i="3"/>
  <c r="BF46" i="2"/>
  <c r="BK26" i="2"/>
  <c r="EE21" i="2"/>
  <c r="AJ148" i="3"/>
  <c r="DU14" i="2"/>
  <c r="BT28" i="2"/>
  <c r="F42" i="2"/>
  <c r="BK28" i="2"/>
  <c r="CP23" i="3"/>
  <c r="DH15" i="2"/>
  <c r="DH18" i="2" s="1"/>
  <c r="BN27" i="2"/>
  <c r="CW37" i="2"/>
  <c r="AV28" i="2"/>
  <c r="BC26" i="2"/>
  <c r="AZ173" i="3"/>
  <c r="DY15" i="2"/>
  <c r="DY18" i="2" s="1"/>
  <c r="CW12" i="2"/>
  <c r="EE15" i="2"/>
  <c r="EE18" i="2" s="1"/>
  <c r="BH169" i="2"/>
  <c r="BH166" i="2" s="1"/>
  <c r="BL168" i="2" s="1"/>
  <c r="CP19" i="2"/>
  <c r="AB17" i="2"/>
  <c r="AN148" i="3"/>
  <c r="AO148" i="3" s="1"/>
  <c r="DK35" i="3"/>
  <c r="DK41" i="3" s="1"/>
  <c r="AU249" i="3"/>
  <c r="EP11" i="3"/>
  <c r="CE10" i="2"/>
  <c r="CE15" i="2"/>
  <c r="CE9" i="2"/>
  <c r="AS136" i="3"/>
  <c r="DM21" i="2"/>
  <c r="CV23" i="2"/>
  <c r="CT17" i="2"/>
  <c r="AW173" i="3"/>
  <c r="CU26" i="2"/>
  <c r="BT26" i="2"/>
  <c r="BA170" i="3"/>
  <c r="EO17" i="3"/>
  <c r="BR41" i="2"/>
  <c r="CS23" i="3"/>
  <c r="CP43" i="2"/>
  <c r="CB18" i="2"/>
  <c r="B18" i="2"/>
  <c r="X18" i="2"/>
  <c r="BJ26" i="2"/>
  <c r="CL25" i="2"/>
  <c r="CL28" i="2" s="1"/>
  <c r="CF9" i="2"/>
  <c r="CB71" i="2"/>
  <c r="AD10" i="2"/>
  <c r="AD15" i="2"/>
  <c r="AE9" i="2"/>
  <c r="AH10" i="2"/>
  <c r="CP23" i="2"/>
  <c r="AC23" i="2"/>
  <c r="CL22" i="2"/>
  <c r="F17" i="2"/>
  <c r="BR42" i="2"/>
  <c r="Y22" i="2"/>
  <c r="X16" i="2"/>
  <c r="DB148" i="3"/>
  <c r="BE22" i="3"/>
  <c r="BE14" i="3"/>
  <c r="BF15" i="3"/>
  <c r="CR136" i="3"/>
  <c r="AQ9" i="2"/>
  <c r="AQ15" i="2"/>
  <c r="AT70" i="2"/>
  <c r="AS70" i="2"/>
  <c r="DR8" i="2"/>
  <c r="AQ71" i="2"/>
  <c r="AQ10" i="2"/>
  <c r="AR9" i="2"/>
  <c r="AP71" i="2"/>
  <c r="AJ18" i="2"/>
  <c r="AJ40" i="2"/>
  <c r="DP40" i="2" s="1"/>
  <c r="CT23" i="3"/>
  <c r="CT56" i="3"/>
  <c r="DR13" i="2"/>
  <c r="CR146" i="3"/>
  <c r="BD143" i="3"/>
  <c r="CT24" i="3"/>
  <c r="AY100" i="3"/>
  <c r="AS175" i="3"/>
  <c r="BI148" i="3"/>
  <c r="EF11" i="2"/>
  <c r="EF13" i="2" s="1"/>
  <c r="AQ14" i="3"/>
  <c r="AQ15" i="3"/>
  <c r="AQ22" i="3"/>
  <c r="AQ24" i="3" s="1"/>
  <c r="AJ17" i="2"/>
  <c r="CT32" i="3"/>
  <c r="AJ16" i="2"/>
  <c r="AM253" i="3"/>
  <c r="AT116" i="3"/>
  <c r="BI120" i="3"/>
  <c r="T14" i="2"/>
  <c r="T12" i="2"/>
  <c r="S15" i="2"/>
  <c r="S9" i="2"/>
  <c r="W10" i="2"/>
  <c r="AY28" i="2"/>
  <c r="EK15" i="3"/>
  <c r="CW22" i="3"/>
  <c r="CW56" i="3" s="1"/>
  <c r="CX11" i="2"/>
  <c r="T8" i="2"/>
  <c r="AR71" i="3"/>
  <c r="AR13" i="3"/>
  <c r="CJ14" i="3"/>
  <c r="CM13" i="3"/>
  <c r="CK15" i="3"/>
  <c r="CJ15" i="3"/>
  <c r="CJ22" i="3"/>
  <c r="DR56" i="3"/>
  <c r="DR107" i="3" s="1"/>
  <c r="DR23" i="3"/>
  <c r="EU27" i="3"/>
  <c r="AQ249" i="3"/>
  <c r="AY144" i="3"/>
  <c r="DU23" i="3"/>
  <c r="DU56" i="3"/>
  <c r="DU107" i="3" s="1"/>
  <c r="DU32" i="3"/>
  <c r="DW24" i="3"/>
  <c r="DU24" i="3"/>
  <c r="AW258" i="3"/>
  <c r="BI143" i="3"/>
  <c r="AJ120" i="3"/>
  <c r="BR22" i="3"/>
  <c r="BR14" i="3"/>
  <c r="AJ134" i="3"/>
  <c r="CY32" i="3"/>
  <c r="CY23" i="3"/>
  <c r="CY56" i="3"/>
  <c r="DI56" i="3"/>
  <c r="DI107" i="3" s="1"/>
  <c r="DI23" i="3"/>
  <c r="DI32" i="3"/>
  <c r="EG23" i="3"/>
  <c r="EG56" i="3"/>
  <c r="EG107" i="3" s="1"/>
  <c r="EG32" i="3"/>
  <c r="AO10" i="2"/>
  <c r="AO15" i="2"/>
  <c r="AN71" i="2"/>
  <c r="DQ8" i="2"/>
  <c r="AR70" i="2"/>
  <c r="AO70" i="2"/>
  <c r="AL71" i="2"/>
  <c r="AP9" i="2"/>
  <c r="AO9" i="2"/>
  <c r="AS10" i="2"/>
  <c r="AP70" i="2"/>
  <c r="AQ70" i="2"/>
  <c r="AM71" i="2"/>
  <c r="AO71" i="2"/>
  <c r="AN228" i="3"/>
  <c r="AN229" i="3" s="1"/>
  <c r="AM229" i="3"/>
  <c r="CN56" i="3"/>
  <c r="CN23" i="3"/>
  <c r="CN32" i="3"/>
  <c r="BS13" i="3"/>
  <c r="AX13" i="3"/>
  <c r="AY13" i="3" s="1"/>
  <c r="Y8" i="2"/>
  <c r="V71" i="2" s="1"/>
  <c r="AX71" i="3"/>
  <c r="CM134" i="3"/>
  <c r="CL136" i="3"/>
  <c r="CM136" i="3" s="1"/>
  <c r="AX135" i="3"/>
  <c r="AX136" i="3" s="1"/>
  <c r="AY136" i="3" s="1"/>
  <c r="AJ136" i="3"/>
  <c r="AC13" i="2"/>
  <c r="Y12" i="2"/>
  <c r="Z12" i="2"/>
  <c r="DM11" i="2"/>
  <c r="Y14" i="2"/>
  <c r="AT120" i="3"/>
  <c r="BH165" i="2"/>
  <c r="BH162" i="2" s="1"/>
  <c r="BL164" i="2" s="1"/>
  <c r="BB71" i="2"/>
  <c r="BE70" i="2"/>
  <c r="BC15" i="2"/>
  <c r="BD9" i="2"/>
  <c r="DU8" i="2"/>
  <c r="DV10" i="2" s="1"/>
  <c r="BC71" i="2"/>
  <c r="BC9" i="2"/>
  <c r="BF70" i="2"/>
  <c r="BG10" i="2"/>
  <c r="BV56" i="3"/>
  <c r="BV32" i="3"/>
  <c r="BV24" i="3"/>
  <c r="BV23" i="3"/>
  <c r="DO32" i="3"/>
  <c r="DO24" i="3"/>
  <c r="DO56" i="3"/>
  <c r="DO107" i="3" s="1"/>
  <c r="DO23" i="3"/>
  <c r="BM23" i="3"/>
  <c r="BM56" i="3"/>
  <c r="BO24" i="3"/>
  <c r="BM32" i="3"/>
  <c r="BP32" i="3"/>
  <c r="BP24" i="3"/>
  <c r="BP23" i="3"/>
  <c r="BP56" i="3"/>
  <c r="EM56" i="3"/>
  <c r="EM107" i="3" s="1"/>
  <c r="EM32" i="3"/>
  <c r="EM23" i="3"/>
  <c r="AR26" i="2"/>
  <c r="CL43" i="2"/>
  <c r="CB26" i="2"/>
  <c r="AV27" i="2"/>
  <c r="CA26" i="2"/>
  <c r="BI27" i="2"/>
  <c r="AS26" i="2"/>
  <c r="CA28" i="2"/>
  <c r="BI26" i="2"/>
  <c r="CL41" i="2"/>
  <c r="BI28" i="2"/>
  <c r="BU27" i="2"/>
  <c r="CL27" i="2"/>
  <c r="CF27" i="2"/>
  <c r="BZ27" i="2"/>
  <c r="BF165" i="2"/>
  <c r="BF162" i="2" s="1"/>
  <c r="DX23" i="2"/>
  <c r="DS110" i="2"/>
  <c r="BU26" i="2"/>
  <c r="BE27" i="2"/>
  <c r="CW167" i="2"/>
  <c r="EC25" i="2"/>
  <c r="EC28" i="2" s="1"/>
  <c r="AT44" i="2"/>
  <c r="AT47" i="2" s="1"/>
  <c r="BL41" i="2"/>
  <c r="CJ44" i="2"/>
  <c r="CJ47" i="2" s="1"/>
  <c r="CO26" i="2"/>
  <c r="CH26" i="2"/>
  <c r="AM26" i="2"/>
  <c r="BL43" i="2"/>
  <c r="CX113" i="2"/>
  <c r="CI26" i="2"/>
  <c r="BV26" i="2"/>
  <c r="CW168" i="2"/>
  <c r="BF45" i="2"/>
  <c r="CO28" i="2"/>
  <c r="BW26" i="2"/>
  <c r="BL44" i="2"/>
  <c r="BL45" i="2" s="1"/>
  <c r="AP42" i="2"/>
  <c r="BP42" i="2"/>
  <c r="CT15" i="4"/>
  <c r="DX24" i="2"/>
  <c r="CW21" i="2"/>
  <c r="EF21" i="2" s="1"/>
  <c r="BL62" i="4"/>
  <c r="BX44" i="2"/>
  <c r="BX46" i="2" s="1"/>
  <c r="CW159" i="2"/>
  <c r="AQ28" i="2"/>
  <c r="CW32" i="2"/>
  <c r="J41" i="2"/>
  <c r="BF138" i="2"/>
  <c r="BF139" i="2" s="1"/>
  <c r="DR23" i="2"/>
  <c r="BL84" i="4"/>
  <c r="DR25" i="2"/>
  <c r="DR28" i="2" s="1"/>
  <c r="BC28" i="2"/>
  <c r="I42" i="2"/>
  <c r="EA25" i="2"/>
  <c r="DS78" i="2"/>
  <c r="DS94" i="2"/>
  <c r="BQ28" i="2"/>
  <c r="BX41" i="2"/>
  <c r="BM16" i="4"/>
  <c r="BP17" i="4"/>
  <c r="BU276" i="2"/>
  <c r="AQ27" i="2"/>
  <c r="CT150" i="2"/>
  <c r="BC27" i="2"/>
  <c r="CM26" i="2"/>
  <c r="BX42" i="2"/>
  <c r="CY111" i="2"/>
  <c r="DS98" i="2"/>
  <c r="DS102" i="2"/>
  <c r="CN26" i="2"/>
  <c r="DW23" i="2"/>
  <c r="EF158" i="2"/>
  <c r="I41" i="2"/>
  <c r="CR27" i="2"/>
  <c r="CX30" i="2"/>
  <c r="DS106" i="2"/>
  <c r="DS114" i="2"/>
  <c r="BN43" i="2"/>
  <c r="BN42" i="2"/>
  <c r="BN44" i="2"/>
  <c r="BN47" i="2" s="1"/>
  <c r="BZ43" i="2"/>
  <c r="BZ41" i="2"/>
  <c r="BZ42" i="2"/>
  <c r="DY40" i="2"/>
  <c r="DY44" i="2" s="1"/>
  <c r="CP123" i="2"/>
  <c r="CP126" i="2" s="1"/>
  <c r="CO124" i="2"/>
  <c r="BZ44" i="2"/>
  <c r="BZ47" i="2" s="1"/>
  <c r="BN41" i="2"/>
  <c r="D43" i="2"/>
  <c r="EA23" i="2"/>
  <c r="CG27" i="2"/>
  <c r="CO132" i="2"/>
  <c r="CC26" i="2"/>
  <c r="DV133" i="2"/>
  <c r="DH40" i="2"/>
  <c r="DH43" i="2" s="1"/>
  <c r="DU82" i="2"/>
  <c r="CN118" i="2"/>
  <c r="BL40" i="4"/>
  <c r="EE17" i="2"/>
  <c r="BL73" i="4"/>
  <c r="CC28" i="2"/>
  <c r="BL18" i="4"/>
  <c r="BL51" i="4"/>
  <c r="CC27" i="2"/>
  <c r="CI27" i="2"/>
  <c r="CO126" i="2"/>
  <c r="CR133" i="2"/>
  <c r="AS27" i="2"/>
  <c r="CO125" i="2"/>
  <c r="DU98" i="2"/>
  <c r="DN23" i="2"/>
  <c r="CN102" i="2"/>
  <c r="CR41" i="2"/>
  <c r="BQ267" i="2"/>
  <c r="BX168" i="2"/>
  <c r="BX167" i="2"/>
  <c r="BY166" i="2"/>
  <c r="DZ166" i="2" s="1"/>
  <c r="BZ169" i="2"/>
  <c r="BY274" i="2"/>
  <c r="BU244" i="2"/>
  <c r="CO155" i="2"/>
  <c r="ED154" i="2"/>
  <c r="EE156" i="2" s="1"/>
  <c r="CN155" i="2"/>
  <c r="BU267" i="2"/>
  <c r="BS274" i="2"/>
  <c r="CL42" i="2"/>
  <c r="BU274" i="2"/>
  <c r="F41" i="2"/>
  <c r="CN94" i="2"/>
  <c r="CN78" i="2"/>
  <c r="CN98" i="2"/>
  <c r="CN110" i="2"/>
  <c r="CN106" i="2"/>
  <c r="CN132" i="2"/>
  <c r="CN114" i="2"/>
  <c r="CN126" i="2"/>
  <c r="CN134" i="2"/>
  <c r="ED131" i="2"/>
  <c r="BU271" i="2"/>
  <c r="BU273" i="2"/>
  <c r="DX90" i="2"/>
  <c r="BU263" i="2"/>
  <c r="DZ25" i="2"/>
  <c r="DZ28" i="2" s="1"/>
  <c r="AY148" i="3"/>
  <c r="AD247" i="3"/>
  <c r="AD173" i="3"/>
  <c r="DL56" i="3"/>
  <c r="DL107" i="3" s="1"/>
  <c r="DL23" i="3"/>
  <c r="CW44" i="5"/>
  <c r="BC104" i="3"/>
  <c r="BD100" i="3"/>
  <c r="CC42" i="2"/>
  <c r="CC41" i="2"/>
  <c r="CC44" i="2"/>
  <c r="CG46" i="2" s="1"/>
  <c r="CC43" i="2"/>
  <c r="CD41" i="2"/>
  <c r="CX29" i="2"/>
  <c r="CW34" i="2"/>
  <c r="CW39" i="2" s="1"/>
  <c r="EF39" i="2" s="1"/>
  <c r="EO42" i="3"/>
  <c r="EO48" i="3" s="1"/>
  <c r="EF29" i="2"/>
  <c r="BJ275" i="2"/>
  <c r="BJ263" i="2"/>
  <c r="BJ273" i="2"/>
  <c r="BJ271" i="2"/>
  <c r="CF84" i="3"/>
  <c r="CF86" i="3" s="1"/>
  <c r="CG82" i="3"/>
  <c r="BE35" i="5"/>
  <c r="BA70" i="5"/>
  <c r="AT104" i="3"/>
  <c r="BN143" i="3"/>
  <c r="AF33" i="5"/>
  <c r="AF21" i="5"/>
  <c r="AG22" i="5" s="1"/>
  <c r="AF32" i="5"/>
  <c r="AH19" i="6"/>
  <c r="AH18" i="6"/>
  <c r="CD126" i="2"/>
  <c r="CD125" i="2"/>
  <c r="CE123" i="2"/>
  <c r="CD115" i="2"/>
  <c r="CD124" i="2"/>
  <c r="CF71" i="3"/>
  <c r="CF13" i="3"/>
  <c r="AZ8" i="2"/>
  <c r="AW71" i="2" s="1"/>
  <c r="EE197" i="2"/>
  <c r="EE193" i="2"/>
  <c r="EE190" i="2"/>
  <c r="EE196" i="2"/>
  <c r="AL80" i="5"/>
  <c r="AL81" i="5"/>
  <c r="AL70" i="5"/>
  <c r="CS34" i="5"/>
  <c r="BO42" i="2"/>
  <c r="BO41" i="2"/>
  <c r="BO43" i="2"/>
  <c r="BO44" i="2"/>
  <c r="AD32" i="5"/>
  <c r="AD21" i="5"/>
  <c r="AD33" i="5"/>
  <c r="CM31" i="5"/>
  <c r="DJ23" i="2"/>
  <c r="DJ24" i="2"/>
  <c r="DU24" i="2"/>
  <c r="DU23" i="2"/>
  <c r="AG174" i="3"/>
  <c r="AG14" i="3"/>
  <c r="AG22" i="3"/>
  <c r="AG15" i="3"/>
  <c r="BG272" i="2"/>
  <c r="BG267" i="2" s="1"/>
  <c r="BG265" i="2"/>
  <c r="BG266" i="2"/>
  <c r="BG237" i="2"/>
  <c r="X247" i="3"/>
  <c r="X173" i="3"/>
  <c r="DY56" i="3"/>
  <c r="DY107" i="3" s="1"/>
  <c r="DY32" i="3"/>
  <c r="DY24" i="3"/>
  <c r="DY23" i="3"/>
  <c r="EA22" i="3"/>
  <c r="EB24" i="3" s="1"/>
  <c r="BU54" i="4"/>
  <c r="CV54" i="4" s="1"/>
  <c r="CP119" i="2"/>
  <c r="CO122" i="2"/>
  <c r="CM73" i="5"/>
  <c r="CL47" i="2"/>
  <c r="EA157" i="2"/>
  <c r="EA156" i="2"/>
  <c r="BG27" i="2"/>
  <c r="BG28" i="2"/>
  <c r="BG26" i="2"/>
  <c r="ED161" i="2"/>
  <c r="EW27" i="3"/>
  <c r="EX27" i="3" s="1"/>
  <c r="EY27" i="3" s="1"/>
  <c r="BB63" i="3"/>
  <c r="BA74" i="3"/>
  <c r="BA86" i="3" s="1"/>
  <c r="EQ95" i="3"/>
  <c r="ER95" i="3" s="1"/>
  <c r="ES95" i="3" s="1"/>
  <c r="ET95" i="3" s="1"/>
  <c r="EP95" i="3"/>
  <c r="P14" i="2"/>
  <c r="P13" i="2"/>
  <c r="P12" i="2"/>
  <c r="T13" i="2"/>
  <c r="DD82" i="3"/>
  <c r="DC84" i="3"/>
  <c r="Y169" i="3"/>
  <c r="Y253" i="3"/>
  <c r="Y258" i="3" s="1"/>
  <c r="CL31" i="5"/>
  <c r="CL21" i="5" s="1"/>
  <c r="Z21" i="5"/>
  <c r="W32" i="3"/>
  <c r="W24" i="3"/>
  <c r="W56" i="3"/>
  <c r="W23" i="3"/>
  <c r="CO50" i="5"/>
  <c r="AG101" i="5"/>
  <c r="AG70" i="5"/>
  <c r="AK96" i="5"/>
  <c r="AK91" i="5"/>
  <c r="AL90" i="5"/>
  <c r="CM42" i="2"/>
  <c r="CM41" i="2"/>
  <c r="CM43" i="2"/>
  <c r="CM44" i="2"/>
  <c r="H42" i="2"/>
  <c r="H43" i="2"/>
  <c r="CO117" i="2"/>
  <c r="CO118" i="2"/>
  <c r="CP115" i="2"/>
  <c r="ED115" i="2"/>
  <c r="BD171" i="2"/>
  <c r="CL32" i="3"/>
  <c r="CL56" i="3"/>
  <c r="CL24" i="3"/>
  <c r="CL23" i="3"/>
  <c r="CN24" i="3"/>
  <c r="AU174" i="3"/>
  <c r="AU22" i="3"/>
  <c r="AV24" i="3" s="1"/>
  <c r="AU14" i="3"/>
  <c r="AH71" i="3"/>
  <c r="AH13" i="3"/>
  <c r="L8" i="2"/>
  <c r="I71" i="2" s="1"/>
  <c r="CU18" i="4"/>
  <c r="CU62" i="4"/>
  <c r="T13" i="3"/>
  <c r="T71" i="3"/>
  <c r="DO81" i="3"/>
  <c r="DN84" i="3"/>
  <c r="AN211" i="3"/>
  <c r="AK255" i="3"/>
  <c r="AK256" i="3"/>
  <c r="AK244" i="3"/>
  <c r="AK257" i="3"/>
  <c r="BE61" i="5"/>
  <c r="BE63" i="5"/>
  <c r="BE60" i="5"/>
  <c r="BE62" i="5"/>
  <c r="CS59" i="5"/>
  <c r="CF90" i="2"/>
  <c r="CF88" i="2"/>
  <c r="AH81" i="5"/>
  <c r="AH101" i="5"/>
  <c r="AI102" i="5" s="1"/>
  <c r="AH80" i="5"/>
  <c r="AH70" i="5"/>
  <c r="CN79" i="5"/>
  <c r="DG148" i="3"/>
  <c r="AZ249" i="3"/>
  <c r="AK176" i="3"/>
  <c r="AL250" i="3"/>
  <c r="AL249" i="3" s="1"/>
  <c r="AL175" i="3"/>
  <c r="CG47" i="2"/>
  <c r="CG45" i="2"/>
  <c r="N43" i="2"/>
  <c r="N42" i="2"/>
  <c r="R42" i="2"/>
  <c r="EJ53" i="3"/>
  <c r="CS52" i="2" s="1"/>
  <c r="EJ54" i="3"/>
  <c r="EJ44" i="3"/>
  <c r="CG105" i="2"/>
  <c r="CH103" i="2"/>
  <c r="CG99" i="2"/>
  <c r="CG158" i="2"/>
  <c r="EB158" i="2" s="1"/>
  <c r="EB103" i="2"/>
  <c r="AU10" i="2"/>
  <c r="AU9" i="2"/>
  <c r="AU15" i="2"/>
  <c r="AR71" i="2"/>
  <c r="AU70" i="2"/>
  <c r="L56" i="3"/>
  <c r="L23" i="3"/>
  <c r="L24" i="3"/>
  <c r="L32" i="3"/>
  <c r="P22" i="3"/>
  <c r="M24" i="3"/>
  <c r="AS71" i="3"/>
  <c r="AS13" i="3"/>
  <c r="U8" i="2"/>
  <c r="V9" i="2" s="1"/>
  <c r="AT10" i="3"/>
  <c r="AY9" i="2"/>
  <c r="AY10" i="2"/>
  <c r="BC10" i="2"/>
  <c r="AY15" i="2"/>
  <c r="CB80" i="4"/>
  <c r="CA81" i="4"/>
  <c r="BO32" i="4"/>
  <c r="BO37" i="4" s="1"/>
  <c r="BC32" i="5"/>
  <c r="BC21" i="5"/>
  <c r="AI80" i="5"/>
  <c r="AI81" i="5"/>
  <c r="AI70" i="5"/>
  <c r="BP36" i="4"/>
  <c r="Z104" i="3"/>
  <c r="BG58" i="3"/>
  <c r="AF55" i="2" s="1"/>
  <c r="BG115" i="3"/>
  <c r="BG131" i="3" s="1"/>
  <c r="BG158" i="3" s="1"/>
  <c r="AF58" i="2" s="1"/>
  <c r="AF61" i="2" s="1"/>
  <c r="BQ56" i="3"/>
  <c r="BQ24" i="3"/>
  <c r="BQ23" i="3"/>
  <c r="BQ32" i="3"/>
  <c r="BS22" i="3"/>
  <c r="AJ74" i="5"/>
  <c r="BV44" i="2"/>
  <c r="DZ40" i="2"/>
  <c r="BV42" i="2"/>
  <c r="BV41" i="2"/>
  <c r="BV43" i="2"/>
  <c r="AO28" i="2"/>
  <c r="AO26" i="2"/>
  <c r="BI245" i="2"/>
  <c r="BI240" i="2"/>
  <c r="BI123" i="2"/>
  <c r="DU264" i="2"/>
  <c r="CV24" i="3"/>
  <c r="CX56" i="3"/>
  <c r="CX32" i="3"/>
  <c r="CX24" i="3"/>
  <c r="CX23" i="3"/>
  <c r="DB22" i="3"/>
  <c r="CY24" i="3"/>
  <c r="BF37" i="3"/>
  <c r="BF35" i="3"/>
  <c r="DO63" i="3"/>
  <c r="DN74" i="3"/>
  <c r="O56" i="3"/>
  <c r="O24" i="3"/>
  <c r="O32" i="3"/>
  <c r="O23" i="3"/>
  <c r="ER143" i="3"/>
  <c r="BN101" i="4"/>
  <c r="CH164" i="2"/>
  <c r="CI163" i="2"/>
  <c r="CH163" i="2"/>
  <c r="EC162" i="2"/>
  <c r="CL164" i="2"/>
  <c r="DX98" i="2"/>
  <c r="CM36" i="5"/>
  <c r="CM24" i="5"/>
  <c r="BN19" i="6"/>
  <c r="CP47" i="2"/>
  <c r="AV14" i="2"/>
  <c r="AV13" i="2"/>
  <c r="AV12" i="2"/>
  <c r="AW12" i="2"/>
  <c r="DS11" i="2"/>
  <c r="EF14" i="3"/>
  <c r="EG15" i="3"/>
  <c r="EF15" i="3"/>
  <c r="CS63" i="3"/>
  <c r="CT63" i="3" s="1"/>
  <c r="CU63" i="3" s="1"/>
  <c r="CV63" i="3" s="1"/>
  <c r="CR63" i="3"/>
  <c r="EC115" i="3"/>
  <c r="EC131" i="3" s="1"/>
  <c r="EC58" i="3"/>
  <c r="CM55" i="2" s="1"/>
  <c r="E43" i="2"/>
  <c r="E41" i="2"/>
  <c r="BT47" i="2"/>
  <c r="CK27" i="2"/>
  <c r="CK28" i="2"/>
  <c r="CK26" i="2"/>
  <c r="AV76" i="3"/>
  <c r="AW77" i="3"/>
  <c r="BC82" i="5"/>
  <c r="BC52" i="5"/>
  <c r="BC53" i="5"/>
  <c r="BC54" i="5"/>
  <c r="AB101" i="5"/>
  <c r="AB80" i="5"/>
  <c r="AB70" i="5"/>
  <c r="AQ246" i="3"/>
  <c r="AD75" i="5"/>
  <c r="AZ246" i="3"/>
  <c r="AR44" i="2"/>
  <c r="AR42" i="2"/>
  <c r="AR43" i="2"/>
  <c r="Y37" i="3"/>
  <c r="Y35" i="3"/>
  <c r="AN207" i="3"/>
  <c r="AN210" i="3"/>
  <c r="AO154" i="3"/>
  <c r="AE33" i="5"/>
  <c r="AE32" i="5"/>
  <c r="AE21" i="5"/>
  <c r="AZ27" i="2"/>
  <c r="AZ28" i="2"/>
  <c r="AZ26" i="2"/>
  <c r="BD27" i="2"/>
  <c r="DT25" i="2"/>
  <c r="CB37" i="3"/>
  <c r="CB35" i="3"/>
  <c r="DP32" i="3"/>
  <c r="DP56" i="3"/>
  <c r="DP107" i="3" s="1"/>
  <c r="DP24" i="3"/>
  <c r="DP23" i="3"/>
  <c r="DQ22" i="3"/>
  <c r="DR24" i="3"/>
  <c r="L14" i="2"/>
  <c r="L12" i="2"/>
  <c r="L13" i="2"/>
  <c r="DJ11" i="2"/>
  <c r="AC32" i="5"/>
  <c r="AC21" i="5"/>
  <c r="AG23" i="5" s="1"/>
  <c r="BN97" i="3"/>
  <c r="BO97" i="3"/>
  <c r="BP97" i="3" s="1"/>
  <c r="BQ97" i="3" s="1"/>
  <c r="BR97" i="3" s="1"/>
  <c r="AI43" i="2"/>
  <c r="AI42" i="2"/>
  <c r="AI41" i="2"/>
  <c r="EB197" i="2"/>
  <c r="EB194" i="2"/>
  <c r="EB192" i="2"/>
  <c r="EB190" i="2"/>
  <c r="EB193" i="2"/>
  <c r="EB195" i="2"/>
  <c r="BU42" i="2"/>
  <c r="BU41" i="2"/>
  <c r="BU43" i="2"/>
  <c r="BU44" i="2"/>
  <c r="BK266" i="2"/>
  <c r="BN276" i="2"/>
  <c r="BN263" i="2"/>
  <c r="DX272" i="2"/>
  <c r="BN274" i="2"/>
  <c r="BN275" i="2"/>
  <c r="BN271" i="2"/>
  <c r="BN244" i="2"/>
  <c r="EA133" i="2"/>
  <c r="EA114" i="2"/>
  <c r="EA94" i="2"/>
  <c r="EA110" i="2"/>
  <c r="EA78" i="2"/>
  <c r="EA122" i="2"/>
  <c r="EA106" i="2"/>
  <c r="CQ44" i="3"/>
  <c r="CQ53" i="3"/>
  <c r="BI52" i="2" s="1"/>
  <c r="CQ54" i="3"/>
  <c r="S22" i="3"/>
  <c r="S15" i="3"/>
  <c r="S14" i="3"/>
  <c r="AV56" i="3"/>
  <c r="AV23" i="3"/>
  <c r="AV32" i="3"/>
  <c r="AN10" i="3"/>
  <c r="Q11" i="2"/>
  <c r="AY104" i="3"/>
  <c r="DL93" i="3"/>
  <c r="DK100" i="3"/>
  <c r="AO13" i="5"/>
  <c r="AA32" i="5"/>
  <c r="AA21" i="5"/>
  <c r="BT276" i="2"/>
  <c r="BT271" i="2"/>
  <c r="BX274" i="2"/>
  <c r="BT263" i="2"/>
  <c r="BT275" i="2"/>
  <c r="BT274" i="2"/>
  <c r="BT273" i="2"/>
  <c r="BT244" i="2"/>
  <c r="AH14" i="6"/>
  <c r="BY43" i="2"/>
  <c r="BY44" i="2"/>
  <c r="BY42" i="2"/>
  <c r="BY41" i="2"/>
  <c r="BL27" i="2"/>
  <c r="BL28" i="2"/>
  <c r="BL26" i="2"/>
  <c r="DW25" i="2"/>
  <c r="DX27" i="2" s="1"/>
  <c r="BP27" i="2"/>
  <c r="BM27" i="2"/>
  <c r="BM28" i="2"/>
  <c r="BM26" i="2"/>
  <c r="BF173" i="2"/>
  <c r="BE170" i="2"/>
  <c r="DU170" i="2" s="1"/>
  <c r="DU173" i="2" s="1"/>
  <c r="BB18" i="4"/>
  <c r="BB17" i="4"/>
  <c r="BB16" i="4"/>
  <c r="DZ24" i="3"/>
  <c r="BP275" i="2"/>
  <c r="BP276" i="2"/>
  <c r="BP273" i="2"/>
  <c r="BP271" i="2"/>
  <c r="BP263" i="2"/>
  <c r="BP244" i="2"/>
  <c r="BF237" i="2"/>
  <c r="BJ239" i="2" s="1"/>
  <c r="BF266" i="2"/>
  <c r="DV264" i="2"/>
  <c r="BF265" i="2"/>
  <c r="BF272" i="2"/>
  <c r="AJ116" i="3"/>
  <c r="CI37" i="3"/>
  <c r="CI35" i="3"/>
  <c r="CO56" i="3"/>
  <c r="CO24" i="3"/>
  <c r="CO23" i="3"/>
  <c r="CO32" i="3"/>
  <c r="CR22" i="3"/>
  <c r="P104" i="3"/>
  <c r="DR96" i="3"/>
  <c r="DQ96" i="3"/>
  <c r="DQ106" i="3" s="1"/>
  <c r="DP106" i="3"/>
  <c r="AL33" i="5"/>
  <c r="AL32" i="5"/>
  <c r="AL21" i="5"/>
  <c r="CD88" i="2"/>
  <c r="CD90" i="2"/>
  <c r="BB83" i="5"/>
  <c r="BB73" i="5"/>
  <c r="BB79" i="5"/>
  <c r="CD79" i="2"/>
  <c r="BQ51" i="4"/>
  <c r="BQ49" i="4"/>
  <c r="CU48" i="4"/>
  <c r="CN84" i="5"/>
  <c r="CN73" i="5"/>
  <c r="EE56" i="3"/>
  <c r="EE107" i="3" s="1"/>
  <c r="EE32" i="3"/>
  <c r="EE24" i="3"/>
  <c r="EE23" i="3"/>
  <c r="AS243" i="3"/>
  <c r="AS253" i="3" s="1"/>
  <c r="AS169" i="3"/>
  <c r="CC142" i="2"/>
  <c r="CC82" i="2"/>
  <c r="CR26" i="2"/>
  <c r="DY24" i="2"/>
  <c r="DY23" i="2"/>
  <c r="DW17" i="2"/>
  <c r="DW19" i="2"/>
  <c r="EN120" i="3"/>
  <c r="DX169" i="2"/>
  <c r="V37" i="3"/>
  <c r="V35" i="3"/>
  <c r="CT151" i="2"/>
  <c r="CT152" i="2"/>
  <c r="BH266" i="2"/>
  <c r="BH265" i="2"/>
  <c r="BH237" i="2"/>
  <c r="BI238" i="2" s="1"/>
  <c r="BH272" i="2"/>
  <c r="BH267" i="2" s="1"/>
  <c r="BL265" i="2"/>
  <c r="BL266" i="2"/>
  <c r="BL272" i="2"/>
  <c r="BP274" i="2" s="1"/>
  <c r="DJ32" i="3"/>
  <c r="DJ24" i="3"/>
  <c r="DJ23" i="3"/>
  <c r="DJ56" i="3"/>
  <c r="DJ107" i="3" s="1"/>
  <c r="DK24" i="3"/>
  <c r="CP37" i="3"/>
  <c r="CP35" i="3"/>
  <c r="BZ22" i="3"/>
  <c r="BZ15" i="3"/>
  <c r="BZ14" i="3"/>
  <c r="CE15" i="3"/>
  <c r="CE22" i="3"/>
  <c r="CE14" i="3"/>
  <c r="BZ82" i="4"/>
  <c r="BM40" i="4"/>
  <c r="BM38" i="4"/>
  <c r="BU43" i="4"/>
  <c r="CV43" i="4" s="1"/>
  <c r="AI33" i="5"/>
  <c r="AI32" i="5"/>
  <c r="AI21" i="5"/>
  <c r="AI17" i="6"/>
  <c r="AI8" i="6" s="1"/>
  <c r="AI7" i="6"/>
  <c r="AJ5" i="6"/>
  <c r="E37" i="3"/>
  <c r="E35" i="3"/>
  <c r="BA243" i="3"/>
  <c r="BA253" i="3" s="1"/>
  <c r="BA169" i="3"/>
  <c r="AJ70" i="5"/>
  <c r="AJ80" i="5"/>
  <c r="CK43" i="2"/>
  <c r="CK42" i="2"/>
  <c r="CK44" i="2"/>
  <c r="AP47" i="2"/>
  <c r="AN28" i="2"/>
  <c r="AN26" i="2"/>
  <c r="AR27" i="2"/>
  <c r="EF169" i="2"/>
  <c r="EF168" i="2"/>
  <c r="H52" i="3"/>
  <c r="H51" i="3"/>
  <c r="H54" i="3"/>
  <c r="H44" i="3"/>
  <c r="BX22" i="3"/>
  <c r="BT56" i="3"/>
  <c r="BT32" i="3"/>
  <c r="BT24" i="3"/>
  <c r="BT23" i="3"/>
  <c r="BU24" i="3"/>
  <c r="BC245" i="2"/>
  <c r="BC240" i="2"/>
  <c r="BC238" i="2"/>
  <c r="BC123" i="2"/>
  <c r="CV37" i="3"/>
  <c r="CV35" i="3"/>
  <c r="BO273" i="2"/>
  <c r="BO275" i="2"/>
  <c r="BO274" i="2"/>
  <c r="BO276" i="2"/>
  <c r="BO271" i="2"/>
  <c r="BO263" i="2"/>
  <c r="BO244" i="2"/>
  <c r="DB14" i="3"/>
  <c r="DB15" i="3"/>
  <c r="AA35" i="3"/>
  <c r="AA37" i="3"/>
  <c r="R32" i="3"/>
  <c r="R23" i="3"/>
  <c r="R56" i="3"/>
  <c r="R24" i="3"/>
  <c r="CG116" i="3"/>
  <c r="CH116" i="3" s="1"/>
  <c r="CG10" i="3"/>
  <c r="BA11" i="2"/>
  <c r="DC37" i="3"/>
  <c r="DC35" i="3"/>
  <c r="DF81" i="3"/>
  <c r="AL74" i="5"/>
  <c r="AL75" i="5"/>
  <c r="BR274" i="2"/>
  <c r="AL44" i="2"/>
  <c r="AL47" i="2" s="1"/>
  <c r="AL42" i="2"/>
  <c r="AL41" i="2"/>
  <c r="AL43" i="2"/>
  <c r="AE10" i="2"/>
  <c r="AA10" i="2"/>
  <c r="AA9" i="2"/>
  <c r="AA15" i="2"/>
  <c r="AB9" i="2"/>
  <c r="DB20" i="2"/>
  <c r="CI47" i="2"/>
  <c r="BJ238" i="2"/>
  <c r="BJ245" i="2"/>
  <c r="BJ240" i="2"/>
  <c r="BJ123" i="2"/>
  <c r="BW42" i="2"/>
  <c r="BW41" i="2"/>
  <c r="BW44" i="2"/>
  <c r="BW43" i="2"/>
  <c r="CE159" i="2"/>
  <c r="CE160" i="2"/>
  <c r="CX93" i="2"/>
  <c r="CY91" i="2"/>
  <c r="BW263" i="2"/>
  <c r="BW276" i="2"/>
  <c r="BW271" i="2"/>
  <c r="CA274" i="2"/>
  <c r="BW256" i="2"/>
  <c r="BW275" i="2"/>
  <c r="BW273" i="2"/>
  <c r="BW274" i="2"/>
  <c r="BW252" i="2"/>
  <c r="BW244" i="2"/>
  <c r="BX273" i="2"/>
  <c r="CA71" i="3"/>
  <c r="CA13" i="3"/>
  <c r="CC13" i="3" s="1"/>
  <c r="AV8" i="2"/>
  <c r="AS71" i="2" s="1"/>
  <c r="CM49" i="2"/>
  <c r="BK56" i="3"/>
  <c r="BK23" i="3"/>
  <c r="BK32" i="3"/>
  <c r="BK24" i="3"/>
  <c r="BN22" i="3"/>
  <c r="AK247" i="3"/>
  <c r="AK173" i="3"/>
  <c r="BT41" i="2"/>
  <c r="DH37" i="3"/>
  <c r="DH35" i="3"/>
  <c r="DH41" i="3" s="1"/>
  <c r="CC134" i="3"/>
  <c r="U10" i="3"/>
  <c r="AD101" i="5"/>
  <c r="AD81" i="5"/>
  <c r="AD70" i="5"/>
  <c r="CN44" i="2"/>
  <c r="CN41" i="2"/>
  <c r="CN43" i="2"/>
  <c r="CV27" i="2"/>
  <c r="CV26" i="2"/>
  <c r="CD155" i="2"/>
  <c r="CD156" i="2"/>
  <c r="DW37" i="3"/>
  <c r="EA32" i="3"/>
  <c r="EA35" i="3" s="1"/>
  <c r="DW35" i="3"/>
  <c r="DW41" i="3" s="1"/>
  <c r="CJ93" i="3"/>
  <c r="CK88" i="3"/>
  <c r="AN243" i="3"/>
  <c r="AN254" i="3" s="1"/>
  <c r="CN61" i="5"/>
  <c r="CN63" i="5"/>
  <c r="CN62" i="5"/>
  <c r="AK33" i="5"/>
  <c r="AK32" i="5"/>
  <c r="AK21" i="5"/>
  <c r="AW43" i="2"/>
  <c r="AW44" i="2"/>
  <c r="AX45" i="2" s="1"/>
  <c r="Z56" i="3"/>
  <c r="Z23" i="3"/>
  <c r="CF159" i="2"/>
  <c r="CF160" i="2"/>
  <c r="AG13" i="2"/>
  <c r="AG12" i="2"/>
  <c r="AG14" i="2"/>
  <c r="AH12" i="2"/>
  <c r="AK13" i="2"/>
  <c r="DO11" i="2"/>
  <c r="DN88" i="3"/>
  <c r="DM93" i="3"/>
  <c r="DM100" i="3" s="1"/>
  <c r="DM104" i="3" s="1"/>
  <c r="CM69" i="5"/>
  <c r="AG33" i="5"/>
  <c r="BK26" i="5"/>
  <c r="BL24" i="5"/>
  <c r="W247" i="3"/>
  <c r="W173" i="3"/>
  <c r="AK74" i="5"/>
  <c r="AJ101" i="5"/>
  <c r="AJ97" i="5"/>
  <c r="BL83" i="2"/>
  <c r="AX47" i="2"/>
  <c r="BD169" i="2"/>
  <c r="BD166" i="2" s="1"/>
  <c r="BD157" i="2"/>
  <c r="BD154" i="2" s="1"/>
  <c r="BD153" i="2"/>
  <c r="BD150" i="2" s="1"/>
  <c r="BD138" i="2"/>
  <c r="BD165" i="2"/>
  <c r="BD162" i="2" s="1"/>
  <c r="BE163" i="2" s="1"/>
  <c r="DK23" i="2"/>
  <c r="DK24" i="2"/>
  <c r="B52" i="3"/>
  <c r="B54" i="3"/>
  <c r="B44" i="3"/>
  <c r="B51" i="3"/>
  <c r="DZ37" i="3"/>
  <c r="DZ35" i="3"/>
  <c r="DZ41" i="3" s="1"/>
  <c r="BP267" i="2"/>
  <c r="EF93" i="2"/>
  <c r="DD56" i="3"/>
  <c r="DD107" i="3" s="1"/>
  <c r="DD32" i="3"/>
  <c r="DD24" i="3"/>
  <c r="DD23" i="3"/>
  <c r="DE24" i="3"/>
  <c r="AL56" i="3"/>
  <c r="AL32" i="3"/>
  <c r="AL24" i="3"/>
  <c r="AL23" i="3"/>
  <c r="DR37" i="3"/>
  <c r="DR35" i="3"/>
  <c r="DR41" i="3" s="1"/>
  <c r="BB32" i="3"/>
  <c r="BB23" i="3"/>
  <c r="BB56" i="3"/>
  <c r="Y142" i="3"/>
  <c r="Y148" i="3" s="1"/>
  <c r="X148" i="3"/>
  <c r="AX250" i="3"/>
  <c r="AX175" i="3"/>
  <c r="BN98" i="4"/>
  <c r="BN29" i="4"/>
  <c r="BN28" i="4"/>
  <c r="BN27" i="4"/>
  <c r="BZ69" i="4"/>
  <c r="BB77" i="5"/>
  <c r="BR48" i="4"/>
  <c r="BS47" i="4"/>
  <c r="AE101" i="5"/>
  <c r="AE81" i="5"/>
  <c r="AE80" i="5"/>
  <c r="AE70" i="5"/>
  <c r="AQ255" i="3"/>
  <c r="AQ256" i="3"/>
  <c r="AQ257" i="3"/>
  <c r="AQ244" i="3"/>
  <c r="AQ254" i="3"/>
  <c r="BB46" i="2"/>
  <c r="BR27" i="2"/>
  <c r="DY25" i="2"/>
  <c r="BR28" i="2"/>
  <c r="BR26" i="2"/>
  <c r="BV27" i="2"/>
  <c r="CY160" i="2"/>
  <c r="CY159" i="2"/>
  <c r="BJ44" i="2"/>
  <c r="BK45" i="2" s="1"/>
  <c r="DW40" i="2"/>
  <c r="BJ42" i="2"/>
  <c r="BJ41" i="2"/>
  <c r="BJ43" i="2"/>
  <c r="EN49" i="3"/>
  <c r="EN46" i="3"/>
  <c r="EA126" i="2"/>
  <c r="CV153" i="2"/>
  <c r="CU150" i="2"/>
  <c r="CD37" i="3"/>
  <c r="CD35" i="3"/>
  <c r="DZ266" i="2"/>
  <c r="DM54" i="3"/>
  <c r="DM44" i="3"/>
  <c r="DM53" i="3"/>
  <c r="BN14" i="3"/>
  <c r="BV71" i="4"/>
  <c r="V174" i="3"/>
  <c r="CN78" i="5"/>
  <c r="AK254" i="3"/>
  <c r="G71" i="2"/>
  <c r="DI8" i="2"/>
  <c r="DI10" i="2" s="1"/>
  <c r="G9" i="2"/>
  <c r="G10" i="2"/>
  <c r="H9" i="2"/>
  <c r="J70" i="2"/>
  <c r="D71" i="2"/>
  <c r="F71" i="2"/>
  <c r="H70" i="2"/>
  <c r="G15" i="2"/>
  <c r="G70" i="2"/>
  <c r="E71" i="2"/>
  <c r="I70" i="2"/>
  <c r="CQ148" i="3"/>
  <c r="BB182" i="3"/>
  <c r="BB189" i="3"/>
  <c r="BB176" i="3" s="1"/>
  <c r="BC183" i="3"/>
  <c r="BB170" i="3"/>
  <c r="BB187" i="3"/>
  <c r="BB174" i="3" s="1"/>
  <c r="BT59" i="4"/>
  <c r="BN26" i="2"/>
  <c r="CX159" i="2"/>
  <c r="CX160" i="2"/>
  <c r="DO23" i="2"/>
  <c r="DO24" i="2"/>
  <c r="EA98" i="2"/>
  <c r="AD253" i="3"/>
  <c r="AD258" i="3" s="1"/>
  <c r="AD169" i="3"/>
  <c r="CU131" i="3"/>
  <c r="DX40" i="2"/>
  <c r="DX118" i="2"/>
  <c r="DX133" i="2"/>
  <c r="DX94" i="2"/>
  <c r="DX122" i="2"/>
  <c r="DX110" i="2"/>
  <c r="DY133" i="2"/>
  <c r="DX106" i="2"/>
  <c r="DX102" i="2"/>
  <c r="DX130" i="2"/>
  <c r="DX78" i="2"/>
  <c r="BA15" i="3"/>
  <c r="BA22" i="3"/>
  <c r="BA14" i="3"/>
  <c r="AP23" i="3"/>
  <c r="AP32" i="3"/>
  <c r="AP56" i="3"/>
  <c r="BK47" i="2"/>
  <c r="BI169" i="2"/>
  <c r="BI166" i="2" s="1"/>
  <c r="BI165" i="2"/>
  <c r="BI162" i="2" s="1"/>
  <c r="BI157" i="2"/>
  <c r="BI154" i="2" s="1"/>
  <c r="BI153" i="2"/>
  <c r="BI150" i="2" s="1"/>
  <c r="BI138" i="2"/>
  <c r="EB23" i="2"/>
  <c r="EB24" i="2"/>
  <c r="CB44" i="2"/>
  <c r="CB42" i="2"/>
  <c r="CB43" i="2"/>
  <c r="CF42" i="2"/>
  <c r="CE27" i="2"/>
  <c r="CE28" i="2"/>
  <c r="CE26" i="2"/>
  <c r="DU25" i="2"/>
  <c r="BB28" i="2"/>
  <c r="BB26" i="2"/>
  <c r="BB27" i="2"/>
  <c r="CD160" i="2"/>
  <c r="CD159" i="2"/>
  <c r="BD237" i="2"/>
  <c r="BD266" i="2"/>
  <c r="BD265" i="2"/>
  <c r="BD272" i="2"/>
  <c r="BD267" i="2" s="1"/>
  <c r="EB32" i="3"/>
  <c r="EB23" i="3"/>
  <c r="EF22" i="3"/>
  <c r="EB56" i="3"/>
  <c r="EB107" i="3" s="1"/>
  <c r="EC24" i="3"/>
  <c r="AN47" i="2"/>
  <c r="AN45" i="2"/>
  <c r="EA102" i="2"/>
  <c r="AE43" i="2"/>
  <c r="CY166" i="2"/>
  <c r="CY113" i="2"/>
  <c r="CZ111" i="2"/>
  <c r="AF56" i="3"/>
  <c r="AF32" i="3"/>
  <c r="AF24" i="3"/>
  <c r="AF23" i="3"/>
  <c r="EL37" i="3"/>
  <c r="EL35" i="3"/>
  <c r="EL41" i="3" s="1"/>
  <c r="CN90" i="5"/>
  <c r="W253" i="3"/>
  <c r="W258" i="3" s="1"/>
  <c r="W169" i="3"/>
  <c r="AA246" i="3"/>
  <c r="BU53" i="3"/>
  <c r="AQ52" i="2" s="1"/>
  <c r="BU54" i="3"/>
  <c r="BU44" i="3"/>
  <c r="BW56" i="3"/>
  <c r="BW32" i="3"/>
  <c r="BW24" i="3"/>
  <c r="BW23" i="3"/>
  <c r="CR42" i="2"/>
  <c r="AF210" i="3"/>
  <c r="AF174" i="3" s="1"/>
  <c r="AF170" i="3"/>
  <c r="AF254" i="3"/>
  <c r="DI23" i="2"/>
  <c r="DI24" i="2"/>
  <c r="DX19" i="2"/>
  <c r="BX27" i="2"/>
  <c r="BX28" i="2"/>
  <c r="BX26" i="2"/>
  <c r="CB27" i="2"/>
  <c r="DF37" i="3"/>
  <c r="DF35" i="3"/>
  <c r="DF41" i="3" s="1"/>
  <c r="CQ50" i="5"/>
  <c r="CG164" i="2"/>
  <c r="CG163" i="2"/>
  <c r="EB162" i="2"/>
  <c r="CK164" i="2"/>
  <c r="BS43" i="2"/>
  <c r="BS42" i="2"/>
  <c r="BS41" i="2"/>
  <c r="BS44" i="2"/>
  <c r="AK43" i="2"/>
  <c r="EE25" i="2"/>
  <c r="CP28" i="2"/>
  <c r="CP26" i="2"/>
  <c r="CT27" i="2"/>
  <c r="BV151" i="2"/>
  <c r="BV152" i="2"/>
  <c r="N56" i="3"/>
  <c r="N24" i="3"/>
  <c r="N32" i="3"/>
  <c r="N23" i="3"/>
  <c r="CK44" i="3"/>
  <c r="CK53" i="3"/>
  <c r="BD52" i="2" s="1"/>
  <c r="CK54" i="3"/>
  <c r="AW24" i="3"/>
  <c r="BE47" i="2"/>
  <c r="W43" i="2"/>
  <c r="X41" i="2"/>
  <c r="DB104" i="3"/>
  <c r="DV23" i="2"/>
  <c r="DV24" i="2"/>
  <c r="EE24" i="2"/>
  <c r="BN267" i="2"/>
  <c r="F23" i="3"/>
  <c r="F56" i="3"/>
  <c r="DW133" i="2"/>
  <c r="DW106" i="2"/>
  <c r="DW110" i="2"/>
  <c r="DW78" i="2"/>
  <c r="DW130" i="2"/>
  <c r="DW102" i="2"/>
  <c r="DW94" i="2"/>
  <c r="BX153" i="2"/>
  <c r="BW150" i="2"/>
  <c r="BH86" i="3"/>
  <c r="BI86" i="3" s="1"/>
  <c r="BI84" i="3"/>
  <c r="CZ37" i="3"/>
  <c r="CZ35" i="3"/>
  <c r="AV173" i="3"/>
  <c r="AV247" i="3"/>
  <c r="AW37" i="3"/>
  <c r="AW35" i="3"/>
  <c r="BY24" i="3"/>
  <c r="ES91" i="3"/>
  <c r="AM71" i="3"/>
  <c r="AM13" i="3"/>
  <c r="AO10" i="3"/>
  <c r="P8" i="2"/>
  <c r="BH71" i="3"/>
  <c r="BH13" i="3"/>
  <c r="AG8" i="2"/>
  <c r="BI10" i="3"/>
  <c r="BJ96" i="3"/>
  <c r="BK96" i="3" s="1"/>
  <c r="BL96" i="3" s="1"/>
  <c r="BM96" i="3" s="1"/>
  <c r="BI96" i="3"/>
  <c r="DO62" i="2" s="1"/>
  <c r="BF59" i="5"/>
  <c r="AQ28" i="5"/>
  <c r="AP29" i="5"/>
  <c r="AP30" i="5"/>
  <c r="AP12" i="5"/>
  <c r="ER57" i="3"/>
  <c r="AB32" i="5"/>
  <c r="AB21" i="5"/>
  <c r="CU47" i="2"/>
  <c r="ED18" i="2"/>
  <c r="EF161" i="2"/>
  <c r="EF160" i="2"/>
  <c r="BD44" i="2"/>
  <c r="BE45" i="2" s="1"/>
  <c r="BD43" i="2"/>
  <c r="BH42" i="2"/>
  <c r="DN37" i="3"/>
  <c r="DN35" i="3"/>
  <c r="DN41" i="3" s="1"/>
  <c r="EE160" i="2"/>
  <c r="EO28" i="3"/>
  <c r="EP28" i="3" s="1"/>
  <c r="EQ26" i="3"/>
  <c r="EP26" i="3"/>
  <c r="CU56" i="3"/>
  <c r="CU32" i="3"/>
  <c r="CU24" i="3"/>
  <c r="CU23" i="3"/>
  <c r="BL144" i="3"/>
  <c r="BK148" i="3"/>
  <c r="AZ255" i="3"/>
  <c r="AZ257" i="3"/>
  <c r="AZ254" i="3"/>
  <c r="AZ256" i="3"/>
  <c r="AM256" i="3"/>
  <c r="AM257" i="3"/>
  <c r="AM244" i="3"/>
  <c r="AM255" i="3"/>
  <c r="AM254" i="3"/>
  <c r="BR25" i="4"/>
  <c r="CQ17" i="4"/>
  <c r="CQ18" i="4"/>
  <c r="AL77" i="5"/>
  <c r="AL78" i="5"/>
  <c r="AT136" i="3"/>
  <c r="DA135" i="3"/>
  <c r="CZ136" i="3"/>
  <c r="CZ152" i="3" s="1"/>
  <c r="CE88" i="2"/>
  <c r="CE90" i="2"/>
  <c r="AW246" i="3"/>
  <c r="AQ253" i="3"/>
  <c r="CG42" i="2"/>
  <c r="DP23" i="2"/>
  <c r="DP24" i="2"/>
  <c r="DA161" i="2"/>
  <c r="BJ157" i="2"/>
  <c r="BJ154" i="2" s="1"/>
  <c r="BJ153" i="2"/>
  <c r="BJ150" i="2" s="1"/>
  <c r="BJ145" i="2"/>
  <c r="BJ142" i="2" s="1"/>
  <c r="BJ138" i="2"/>
  <c r="BJ169" i="2"/>
  <c r="BJ166" i="2" s="1"/>
  <c r="BJ165" i="2"/>
  <c r="BJ162" i="2" s="1"/>
  <c r="BS27" i="2"/>
  <c r="BS28" i="2"/>
  <c r="BS26" i="2"/>
  <c r="BT18" i="4"/>
  <c r="BT17" i="4"/>
  <c r="BU15" i="4"/>
  <c r="CV99" i="2"/>
  <c r="ED197" i="2"/>
  <c r="ED195" i="2"/>
  <c r="ED191" i="2"/>
  <c r="ED196" i="2"/>
  <c r="ED193" i="2"/>
  <c r="BD15" i="4"/>
  <c r="CF102" i="2"/>
  <c r="CF154" i="2"/>
  <c r="CF101" i="2"/>
  <c r="CF100" i="2"/>
  <c r="BV275" i="2"/>
  <c r="BV274" i="2"/>
  <c r="BV252" i="2"/>
  <c r="BV276" i="2"/>
  <c r="BV263" i="2"/>
  <c r="DZ272" i="2"/>
  <c r="BV256" i="2"/>
  <c r="BV244" i="2"/>
  <c r="BV273" i="2"/>
  <c r="BV271" i="2"/>
  <c r="BZ274" i="2"/>
  <c r="DE125" i="2"/>
  <c r="DE124" i="2"/>
  <c r="AK37" i="3"/>
  <c r="AK35" i="3"/>
  <c r="AK41" i="3" s="1"/>
  <c r="AD104" i="3"/>
  <c r="AE100" i="3"/>
  <c r="BF100" i="3"/>
  <c r="BF104" i="3" s="1"/>
  <c r="CM148" i="3"/>
  <c r="AX243" i="3"/>
  <c r="AZ244" i="3" s="1"/>
  <c r="AX169" i="3"/>
  <c r="AH32" i="5"/>
  <c r="CN31" i="5"/>
  <c r="AH33" i="5"/>
  <c r="AH21" i="5"/>
  <c r="AI74" i="5"/>
  <c r="AI75" i="5"/>
  <c r="Y247" i="3"/>
  <c r="Y173" i="3"/>
  <c r="BS62" i="4"/>
  <c r="BS60" i="4"/>
  <c r="AA101" i="5"/>
  <c r="AA80" i="5"/>
  <c r="AA70" i="5"/>
  <c r="G52" i="3"/>
  <c r="G51" i="3"/>
  <c r="G54" i="3"/>
  <c r="G44" i="3"/>
  <c r="AB14" i="3"/>
  <c r="AB174" i="3"/>
  <c r="AB22" i="3"/>
  <c r="AC24" i="3" s="1"/>
  <c r="AB15" i="3"/>
  <c r="AE13" i="3"/>
  <c r="CC34" i="3"/>
  <c r="BY35" i="3"/>
  <c r="CP148" i="3"/>
  <c r="BA250" i="3"/>
  <c r="BA175" i="3"/>
  <c r="BU71" i="4"/>
  <c r="CK69" i="5"/>
  <c r="EP17" i="3"/>
  <c r="DZ19" i="2"/>
  <c r="EE157" i="2"/>
  <c r="CY105" i="2"/>
  <c r="CZ103" i="2"/>
  <c r="BK273" i="2"/>
  <c r="EE133" i="2"/>
  <c r="EE98" i="2"/>
  <c r="EE94" i="2"/>
  <c r="EE106" i="2"/>
  <c r="EE110" i="2"/>
  <c r="EE102" i="2"/>
  <c r="EE114" i="2"/>
  <c r="EE78" i="2"/>
  <c r="BL37" i="3"/>
  <c r="BL35" i="3"/>
  <c r="AD56" i="3"/>
  <c r="AD32" i="3"/>
  <c r="AD24" i="3"/>
  <c r="AD23" i="3"/>
  <c r="CS37" i="3"/>
  <c r="CS35" i="3"/>
  <c r="BD95" i="3"/>
  <c r="BE95" i="3"/>
  <c r="BF95" i="3" s="1"/>
  <c r="BG95" i="3" s="1"/>
  <c r="DS56" i="3"/>
  <c r="DS107" i="3" s="1"/>
  <c r="DS24" i="3"/>
  <c r="DS23" i="3"/>
  <c r="DS32" i="3"/>
  <c r="DV22" i="3"/>
  <c r="DT24" i="3"/>
  <c r="BM43" i="2"/>
  <c r="BM42" i="2"/>
  <c r="BM41" i="2"/>
  <c r="BM44" i="2"/>
  <c r="ED119" i="2"/>
  <c r="BM266" i="2"/>
  <c r="BM272" i="2"/>
  <c r="BN273" i="2" s="1"/>
  <c r="BM265" i="2"/>
  <c r="AP247" i="3"/>
  <c r="AP173" i="3"/>
  <c r="BK41" i="2"/>
  <c r="BG165" i="2"/>
  <c r="BG162" i="2" s="1"/>
  <c r="CQ43" i="2"/>
  <c r="CQ44" i="2"/>
  <c r="CQ42" i="2"/>
  <c r="BR47" i="2"/>
  <c r="DW264" i="2"/>
  <c r="BI42" i="2"/>
  <c r="BI41" i="2"/>
  <c r="BI43" i="2"/>
  <c r="BI44" i="2"/>
  <c r="DS23" i="2"/>
  <c r="CD27" i="2"/>
  <c r="EB25" i="2"/>
  <c r="CD28" i="2"/>
  <c r="CD26" i="2"/>
  <c r="CH27" i="2"/>
  <c r="AF43" i="2"/>
  <c r="AF41" i="2"/>
  <c r="DU133" i="2"/>
  <c r="DU130" i="2"/>
  <c r="DU106" i="2"/>
  <c r="DU94" i="2"/>
  <c r="DU102" i="2"/>
  <c r="DU110" i="2"/>
  <c r="DU78" i="2"/>
  <c r="BQ263" i="2"/>
  <c r="BQ276" i="2"/>
  <c r="BQ271" i="2"/>
  <c r="BQ273" i="2"/>
  <c r="BQ275" i="2"/>
  <c r="BQ244" i="2"/>
  <c r="BW267" i="2"/>
  <c r="BJ53" i="3"/>
  <c r="AH52" i="2" s="1"/>
  <c r="BJ54" i="3"/>
  <c r="BJ44" i="3"/>
  <c r="Q32" i="3"/>
  <c r="Q24" i="3"/>
  <c r="Q23" i="3"/>
  <c r="Q56" i="3"/>
  <c r="X24" i="3"/>
  <c r="X56" i="3"/>
  <c r="X23" i="3"/>
  <c r="X32" i="3"/>
  <c r="DK115" i="3"/>
  <c r="DK131" i="3" s="1"/>
  <c r="DK58" i="3"/>
  <c r="BY55" i="2" s="1"/>
  <c r="EC18" i="2"/>
  <c r="EC19" i="2"/>
  <c r="AC32" i="3"/>
  <c r="AC56" i="3"/>
  <c r="AC23" i="3"/>
  <c r="Z101" i="5"/>
  <c r="Z70" i="5"/>
  <c r="K24" i="3"/>
  <c r="CC143" i="3"/>
  <c r="BE266" i="2"/>
  <c r="BE265" i="2"/>
  <c r="BE272" i="2"/>
  <c r="BE237" i="2"/>
  <c r="AI71" i="3"/>
  <c r="AI13" i="3"/>
  <c r="M8" i="2"/>
  <c r="AJ11" i="6"/>
  <c r="AI13" i="6"/>
  <c r="V10" i="2"/>
  <c r="V15" i="2"/>
  <c r="Z10" i="2"/>
  <c r="W9" i="2"/>
  <c r="AL247" i="3"/>
  <c r="AL173" i="3"/>
  <c r="AE75" i="5"/>
  <c r="AE74" i="5"/>
  <c r="R58" i="2"/>
  <c r="BN40" i="4"/>
  <c r="BN39" i="4"/>
  <c r="BN38" i="4"/>
  <c r="BX65" i="4"/>
  <c r="BW70" i="4"/>
  <c r="EB191" i="2"/>
  <c r="DT115" i="3"/>
  <c r="DT131" i="3" s="1"/>
  <c r="DT58" i="3"/>
  <c r="CF55" i="2" s="1"/>
  <c r="BB240" i="2"/>
  <c r="BB245" i="2"/>
  <c r="BB123" i="2"/>
  <c r="DM24" i="2"/>
  <c r="DM23" i="2"/>
  <c r="BF27" i="2"/>
  <c r="BF28" i="2"/>
  <c r="BF26" i="2"/>
  <c r="DV25" i="2"/>
  <c r="BJ27" i="2"/>
  <c r="ED40" i="2"/>
  <c r="CQ27" i="2"/>
  <c r="CQ28" i="2"/>
  <c r="CQ26" i="2"/>
  <c r="EC197" i="2"/>
  <c r="EC196" i="2"/>
  <c r="EC193" i="2"/>
  <c r="EC191" i="2"/>
  <c r="EE195" i="2"/>
  <c r="M13" i="2"/>
  <c r="M12" i="2"/>
  <c r="M14" i="2"/>
  <c r="N12" i="2"/>
  <c r="EE191" i="2"/>
  <c r="D35" i="3"/>
  <c r="D37" i="3"/>
  <c r="BY37" i="3"/>
  <c r="CG148" i="3"/>
  <c r="CH143" i="3"/>
  <c r="DB84" i="3"/>
  <c r="BG64" i="5"/>
  <c r="BH12" i="5"/>
  <c r="AG32" i="5"/>
  <c r="BA27" i="2"/>
  <c r="BA28" i="2"/>
  <c r="BA26" i="2"/>
  <c r="AK80" i="5"/>
  <c r="AK81" i="5"/>
  <c r="AK70" i="5"/>
  <c r="CT44" i="2"/>
  <c r="CU45" i="2" s="1"/>
  <c r="CT41" i="2"/>
  <c r="CT43" i="2"/>
  <c r="EC195" i="2"/>
  <c r="J37" i="3"/>
  <c r="J35" i="3"/>
  <c r="BB263" i="2"/>
  <c r="BB275" i="2"/>
  <c r="BB274" i="2"/>
  <c r="BB273" i="2"/>
  <c r="BB271" i="2"/>
  <c r="AT148" i="3"/>
  <c r="CV69" i="5"/>
  <c r="T148" i="3"/>
  <c r="U142" i="3"/>
  <c r="BT46" i="5"/>
  <c r="BT47" i="5"/>
  <c r="BU44" i="5"/>
  <c r="BV42" i="5"/>
  <c r="AH75" i="5"/>
  <c r="AO94" i="5"/>
  <c r="CL63" i="5"/>
  <c r="CL62" i="5"/>
  <c r="BC77" i="5"/>
  <c r="BH26" i="2"/>
  <c r="CS42" i="2"/>
  <c r="CS43" i="2"/>
  <c r="CS44" i="2"/>
  <c r="BK27" i="2"/>
  <c r="DQ23" i="2"/>
  <c r="DQ24" i="2"/>
  <c r="EC190" i="2"/>
  <c r="CF132" i="2"/>
  <c r="CF122" i="2"/>
  <c r="CF114" i="2"/>
  <c r="CF134" i="2"/>
  <c r="CF110" i="2"/>
  <c r="CF133" i="2"/>
  <c r="CF98" i="2"/>
  <c r="CF78" i="2"/>
  <c r="CF94" i="2"/>
  <c r="EH125" i="2"/>
  <c r="P14" i="3"/>
  <c r="P15" i="3"/>
  <c r="DV82" i="3"/>
  <c r="DW82" i="3"/>
  <c r="DX82" i="3" s="1"/>
  <c r="DY82" i="3" s="1"/>
  <c r="DZ82" i="3" s="1"/>
  <c r="EA82" i="3" s="1"/>
  <c r="EB82" i="3" s="1"/>
  <c r="EC82" i="3" s="1"/>
  <c r="ED82" i="3" s="1"/>
  <c r="EE82" i="3" s="1"/>
  <c r="EF82" i="3" s="1"/>
  <c r="EG82" i="3" s="1"/>
  <c r="EH82" i="3" s="1"/>
  <c r="EI82" i="3" s="1"/>
  <c r="EJ82" i="3" s="1"/>
  <c r="EK82" i="3" s="1"/>
  <c r="EL82" i="3" s="1"/>
  <c r="EM82" i="3" s="1"/>
  <c r="EN82" i="3" s="1"/>
  <c r="EO82" i="3" s="1"/>
  <c r="BP61" i="2"/>
  <c r="DA56" i="3"/>
  <c r="DA24" i="3"/>
  <c r="DA23" i="3"/>
  <c r="DA32" i="3"/>
  <c r="BR136" i="3"/>
  <c r="BS136" i="3" s="1"/>
  <c r="BS134" i="3"/>
  <c r="AU256" i="3"/>
  <c r="AU257" i="3"/>
  <c r="AU255" i="3"/>
  <c r="AV244" i="3"/>
  <c r="AU254" i="3"/>
  <c r="AR255" i="3"/>
  <c r="AR256" i="3"/>
  <c r="AR257" i="3"/>
  <c r="AR244" i="3"/>
  <c r="AR249" i="3"/>
  <c r="AR254" i="3"/>
  <c r="CN36" i="5"/>
  <c r="CN24" i="5"/>
  <c r="AH8" i="6"/>
  <c r="BG152" i="3"/>
  <c r="AJ33" i="5"/>
  <c r="AJ32" i="5"/>
  <c r="AJ21" i="5"/>
  <c r="CO91" i="3"/>
  <c r="CC76" i="4"/>
  <c r="BK146" i="2"/>
  <c r="BK86" i="2"/>
  <c r="BK79" i="2"/>
  <c r="AF49" i="2"/>
  <c r="BV58" i="4"/>
  <c r="DL23" i="2"/>
  <c r="BQ27" i="2"/>
  <c r="BY27" i="2"/>
  <c r="BY28" i="2"/>
  <c r="BY26" i="2"/>
  <c r="BQ42" i="2"/>
  <c r="BQ41" i="2"/>
  <c r="BQ43" i="2"/>
  <c r="BQ44" i="2"/>
  <c r="CC117" i="2"/>
  <c r="CC116" i="2"/>
  <c r="CC118" i="2"/>
  <c r="EA115" i="2"/>
  <c r="BB267" i="2"/>
  <c r="BX14" i="3"/>
  <c r="BX15" i="3"/>
  <c r="EH32" i="3"/>
  <c r="EH56" i="3"/>
  <c r="EH107" i="3" s="1"/>
  <c r="EH24" i="3"/>
  <c r="EH23" i="3"/>
  <c r="EI24" i="3"/>
  <c r="EK22" i="3"/>
  <c r="BO53" i="3"/>
  <c r="AL52" i="2" s="1"/>
  <c r="BO54" i="3"/>
  <c r="BO44" i="3"/>
  <c r="C52" i="3"/>
  <c r="C54" i="3"/>
  <c r="C44" i="3"/>
  <c r="C51" i="3"/>
  <c r="AZ14" i="2"/>
  <c r="AZ13" i="2"/>
  <c r="AZ12" i="2"/>
  <c r="BD13" i="2"/>
  <c r="DT11" i="2"/>
  <c r="BB32" i="5"/>
  <c r="BB21" i="5"/>
  <c r="DZ23" i="2"/>
  <c r="DY272" i="2"/>
  <c r="CJ27" i="2"/>
  <c r="CJ28" i="2"/>
  <c r="CJ26" i="2"/>
  <c r="CN27" i="2"/>
  <c r="AM47" i="2"/>
  <c r="BG43" i="2"/>
  <c r="BG44" i="2"/>
  <c r="BG41" i="2"/>
  <c r="DV40" i="2"/>
  <c r="BH41" i="2"/>
  <c r="DT24" i="2"/>
  <c r="DT23" i="2"/>
  <c r="BJ267" i="2"/>
  <c r="AT27" i="2"/>
  <c r="AT28" i="2"/>
  <c r="AT26" i="2"/>
  <c r="AX27" i="2"/>
  <c r="BW27" i="2"/>
  <c r="BL47" i="2"/>
  <c r="AU28" i="2"/>
  <c r="AU26" i="2"/>
  <c r="CE155" i="2"/>
  <c r="DW98" i="2"/>
  <c r="K10" i="2"/>
  <c r="K9" i="2"/>
  <c r="K15" i="2"/>
  <c r="K70" i="2"/>
  <c r="O10" i="2"/>
  <c r="H71" i="2"/>
  <c r="ED37" i="3"/>
  <c r="ED35" i="3"/>
  <c r="ED41" i="3" s="1"/>
  <c r="BY49" i="2"/>
  <c r="BP41" i="2"/>
  <c r="CH44" i="2"/>
  <c r="CI45" i="2" s="1"/>
  <c r="EC40" i="2"/>
  <c r="CH43" i="2"/>
  <c r="CH42" i="2"/>
  <c r="CH41" i="2"/>
  <c r="AC247" i="3"/>
  <c r="AC173" i="3"/>
  <c r="CX167" i="2"/>
  <c r="CX168" i="2"/>
  <c r="BD50" i="5"/>
  <c r="BE48" i="5"/>
  <c r="BD51" i="5"/>
  <c r="BD54" i="5" s="1"/>
  <c r="BD27" i="5"/>
  <c r="DY266" i="2"/>
  <c r="DX53" i="3"/>
  <c r="CI52" i="2" s="1"/>
  <c r="CM54" i="2" s="1"/>
  <c r="DX54" i="3"/>
  <c r="DX44" i="3"/>
  <c r="V258" i="3"/>
  <c r="BD148" i="3"/>
  <c r="AI14" i="6" l="1"/>
  <c r="AO95" i="5"/>
  <c r="AH74" i="5"/>
  <c r="AO9" i="5"/>
  <c r="AG75" i="5"/>
  <c r="BF64" i="5"/>
  <c r="BF66" i="5" s="1"/>
  <c r="AG74" i="5"/>
  <c r="BG37" i="5"/>
  <c r="BG85" i="5" s="1"/>
  <c r="BD21" i="5"/>
  <c r="BF34" i="5"/>
  <c r="BF36" i="5" s="1"/>
  <c r="AO64" i="5"/>
  <c r="AO76" i="5" s="1"/>
  <c r="EB87" i="2"/>
  <c r="CG88" i="2"/>
  <c r="BE31" i="5"/>
  <c r="CS31" i="5" s="1"/>
  <c r="AM60" i="5"/>
  <c r="CS85" i="5"/>
  <c r="CN75" i="5"/>
  <c r="CS64" i="5"/>
  <c r="BE65" i="5"/>
  <c r="BE66" i="5"/>
  <c r="BE76" i="5"/>
  <c r="AM61" i="5"/>
  <c r="AM62" i="5"/>
  <c r="CM84" i="5"/>
  <c r="AM63" i="5"/>
  <c r="AJ75" i="5"/>
  <c r="AF75" i="5"/>
  <c r="AN82" i="5"/>
  <c r="AN31" i="5"/>
  <c r="AN36" i="5"/>
  <c r="AF70" i="5"/>
  <c r="AJ72" i="5" s="1"/>
  <c r="CL79" i="5"/>
  <c r="CL70" i="5" s="1"/>
  <c r="AC70" i="5"/>
  <c r="AG72" i="5" s="1"/>
  <c r="BF10" i="5"/>
  <c r="AD80" i="5"/>
  <c r="AF81" i="5"/>
  <c r="AJ81" i="5"/>
  <c r="AC80" i="5"/>
  <c r="AM82" i="5"/>
  <c r="AM31" i="5"/>
  <c r="AM36" i="5"/>
  <c r="AM35" i="5"/>
  <c r="AN35" i="5"/>
  <c r="AF80" i="5"/>
  <c r="AC101" i="5"/>
  <c r="CL101" i="5" s="1"/>
  <c r="AF101" i="5"/>
  <c r="AF102" i="5" s="1"/>
  <c r="CM79" i="5"/>
  <c r="CM70" i="5" s="1"/>
  <c r="AB22" i="5"/>
  <c r="AD74" i="5"/>
  <c r="AC74" i="5"/>
  <c r="BM104" i="4"/>
  <c r="BT110" i="4"/>
  <c r="BT111" i="4"/>
  <c r="BO26" i="4"/>
  <c r="BO28" i="4" s="1"/>
  <c r="CT35" i="4"/>
  <c r="CT29" i="4"/>
  <c r="BU59" i="4"/>
  <c r="BU61" i="4" s="1"/>
  <c r="CT40" i="4"/>
  <c r="CT98" i="4"/>
  <c r="BM99" i="4"/>
  <c r="CU17" i="4"/>
  <c r="BL104" i="4"/>
  <c r="BL105" i="4" s="1"/>
  <c r="BL99" i="4"/>
  <c r="CT18" i="4"/>
  <c r="CO42" i="2"/>
  <c r="BF169" i="2"/>
  <c r="BF166" i="2" s="1"/>
  <c r="BF167" i="2" s="1"/>
  <c r="AV258" i="3"/>
  <c r="DG24" i="3"/>
  <c r="AY27" i="2"/>
  <c r="EB10" i="2"/>
  <c r="AV26" i="2"/>
  <c r="AU27" i="2"/>
  <c r="DQ32" i="3"/>
  <c r="DQ35" i="3" s="1"/>
  <c r="CW23" i="3"/>
  <c r="BF157" i="2"/>
  <c r="BF154" i="2" s="1"/>
  <c r="BF155" i="2" s="1"/>
  <c r="DG23" i="3"/>
  <c r="I44" i="3"/>
  <c r="I51" i="3"/>
  <c r="I52" i="3"/>
  <c r="I54" i="3"/>
  <c r="CJ41" i="2"/>
  <c r="CJ43" i="2"/>
  <c r="CJ42" i="2"/>
  <c r="AC14" i="2"/>
  <c r="AD12" i="2"/>
  <c r="DL24" i="3"/>
  <c r="EE40" i="2"/>
  <c r="EE44" i="2" s="1"/>
  <c r="EE47" i="2" s="1"/>
  <c r="BB165" i="2"/>
  <c r="BB162" i="2" s="1"/>
  <c r="BB174" i="2" s="1"/>
  <c r="BB177" i="2" s="1"/>
  <c r="AC12" i="2"/>
  <c r="DE37" i="3"/>
  <c r="DE35" i="3"/>
  <c r="DE41" i="3" s="1"/>
  <c r="BC71" i="3"/>
  <c r="AC8" i="2"/>
  <c r="BC13" i="3"/>
  <c r="BL46" i="2"/>
  <c r="CQ41" i="2"/>
  <c r="BG169" i="2"/>
  <c r="BG166" i="2" s="1"/>
  <c r="ED19" i="2"/>
  <c r="DG56" i="3"/>
  <c r="DG107" i="3" s="1"/>
  <c r="AA70" i="2"/>
  <c r="CP46" i="2"/>
  <c r="EE23" i="2"/>
  <c r="AW28" i="2"/>
  <c r="AW27" i="2"/>
  <c r="AX26" i="2"/>
  <c r="AX42" i="2"/>
  <c r="AT42" i="2"/>
  <c r="AT43" i="2"/>
  <c r="EI37" i="3"/>
  <c r="EI35" i="3"/>
  <c r="EI41" i="3" s="1"/>
  <c r="M37" i="3"/>
  <c r="M35" i="3"/>
  <c r="BB153" i="2"/>
  <c r="BB150" i="2" s="1"/>
  <c r="BF152" i="2" s="1"/>
  <c r="BB138" i="2"/>
  <c r="DX17" i="2"/>
  <c r="BG138" i="2"/>
  <c r="BG139" i="2" s="1"/>
  <c r="DZ27" i="2"/>
  <c r="BG153" i="2"/>
  <c r="BG150" i="2" s="1"/>
  <c r="BG151" i="2" s="1"/>
  <c r="U12" i="2"/>
  <c r="CN42" i="2"/>
  <c r="CX37" i="2"/>
  <c r="EE19" i="2"/>
  <c r="CR43" i="2"/>
  <c r="CR44" i="2"/>
  <c r="CR45" i="2" s="1"/>
  <c r="CT42" i="2"/>
  <c r="DX18" i="2"/>
  <c r="CK41" i="2"/>
  <c r="AJ13" i="3"/>
  <c r="AJ14" i="3" s="1"/>
  <c r="BB157" i="2"/>
  <c r="BB154" i="2" s="1"/>
  <c r="BF156" i="2" s="1"/>
  <c r="CP42" i="2"/>
  <c r="CP41" i="2"/>
  <c r="DN11" i="2"/>
  <c r="DN14" i="2" s="1"/>
  <c r="AZ56" i="3"/>
  <c r="AZ23" i="3"/>
  <c r="AZ32" i="3"/>
  <c r="CO44" i="2"/>
  <c r="CO47" i="2" s="1"/>
  <c r="CO43" i="2"/>
  <c r="AW26" i="2"/>
  <c r="BZ45" i="2"/>
  <c r="BA249" i="3"/>
  <c r="Y13" i="2"/>
  <c r="CW24" i="3"/>
  <c r="U13" i="2"/>
  <c r="EC10" i="2"/>
  <c r="CW32" i="3"/>
  <c r="CW35" i="3" s="1"/>
  <c r="DL11" i="2"/>
  <c r="DL14" i="2" s="1"/>
  <c r="AS44" i="2"/>
  <c r="AS47" i="2" s="1"/>
  <c r="AS43" i="2"/>
  <c r="CD46" i="2"/>
  <c r="V12" i="2"/>
  <c r="DV19" i="2"/>
  <c r="AB18" i="2"/>
  <c r="AB40" i="2"/>
  <c r="AF17" i="2"/>
  <c r="AW42" i="2"/>
  <c r="F37" i="3"/>
  <c r="CA19" i="2"/>
  <c r="EA15" i="2"/>
  <c r="CA40" i="2"/>
  <c r="CA17" i="2"/>
  <c r="CA16" i="2"/>
  <c r="CA18" i="2"/>
  <c r="AS41" i="2"/>
  <c r="BP44" i="2"/>
  <c r="BQ45" i="2" s="1"/>
  <c r="BP43" i="2"/>
  <c r="BT42" i="2"/>
  <c r="CY35" i="2"/>
  <c r="ER17" i="3" s="1"/>
  <c r="W70" i="2"/>
  <c r="CX21" i="2"/>
  <c r="CX25" i="2" s="1"/>
  <c r="ED25" i="2"/>
  <c r="ED28" i="2" s="1"/>
  <c r="CF16" i="2"/>
  <c r="CE18" i="2"/>
  <c r="CE17" i="2"/>
  <c r="CE19" i="2"/>
  <c r="CE16" i="2"/>
  <c r="CI17" i="2"/>
  <c r="EB15" i="2"/>
  <c r="CE40" i="2"/>
  <c r="AJ41" i="2"/>
  <c r="CP27" i="2"/>
  <c r="Y71" i="2"/>
  <c r="AY135" i="3"/>
  <c r="Y70" i="2"/>
  <c r="DM8" i="2"/>
  <c r="X71" i="2"/>
  <c r="AB70" i="2"/>
  <c r="AT46" i="2"/>
  <c r="CL26" i="2"/>
  <c r="ED23" i="2"/>
  <c r="BF168" i="2"/>
  <c r="BE32" i="3"/>
  <c r="BF24" i="3"/>
  <c r="BE56" i="3"/>
  <c r="BE23" i="3"/>
  <c r="AD18" i="2"/>
  <c r="AH17" i="2"/>
  <c r="AD17" i="2"/>
  <c r="AE16" i="2"/>
  <c r="AD40" i="2"/>
  <c r="AK41" i="2"/>
  <c r="AX46" i="2"/>
  <c r="DL32" i="3"/>
  <c r="DL35" i="3" s="1"/>
  <c r="EE43" i="2"/>
  <c r="V70" i="2"/>
  <c r="Z32" i="3"/>
  <c r="Z35" i="3" s="1"/>
  <c r="DY17" i="2"/>
  <c r="DZ17" i="2"/>
  <c r="AK258" i="3"/>
  <c r="DY19" i="2"/>
  <c r="AN42" i="2"/>
  <c r="AJ43" i="2"/>
  <c r="AN253" i="3"/>
  <c r="CT37" i="3"/>
  <c r="CT35" i="3"/>
  <c r="Z148" i="3"/>
  <c r="AR15" i="3"/>
  <c r="AR174" i="3"/>
  <c r="AR22" i="3"/>
  <c r="AR14" i="3"/>
  <c r="AZ258" i="3"/>
  <c r="AQ32" i="3"/>
  <c r="AQ56" i="3"/>
  <c r="AQ23" i="3"/>
  <c r="AQ19" i="2"/>
  <c r="AQ40" i="2"/>
  <c r="AQ18" i="2"/>
  <c r="AR16" i="2"/>
  <c r="AQ16" i="2"/>
  <c r="DR15" i="2"/>
  <c r="AQ17" i="2"/>
  <c r="T15" i="2"/>
  <c r="T9" i="2"/>
  <c r="X10" i="2"/>
  <c r="CY11" i="2"/>
  <c r="CX12" i="2"/>
  <c r="CX13" i="2"/>
  <c r="EQ11" i="3"/>
  <c r="EQ116" i="3" s="1"/>
  <c r="S40" i="2"/>
  <c r="W17" i="2"/>
  <c r="S16" i="2"/>
  <c r="S17" i="2"/>
  <c r="S18" i="2"/>
  <c r="AJ42" i="2"/>
  <c r="EM37" i="3"/>
  <c r="EM35" i="3"/>
  <c r="EM41" i="3" s="1"/>
  <c r="BM37" i="3"/>
  <c r="BM35" i="3"/>
  <c r="BC16" i="2"/>
  <c r="BC19" i="2"/>
  <c r="DU15" i="2"/>
  <c r="BD16" i="2"/>
  <c r="BG17" i="2"/>
  <c r="BC40" i="2"/>
  <c r="BC18" i="2"/>
  <c r="BC141" i="2" s="1"/>
  <c r="DM14" i="2"/>
  <c r="DN13" i="2"/>
  <c r="BS14" i="3"/>
  <c r="BS15" i="3"/>
  <c r="AP16" i="2"/>
  <c r="AO40" i="2"/>
  <c r="AS17" i="2"/>
  <c r="AO18" i="2"/>
  <c r="DQ15" i="2"/>
  <c r="AO17" i="2"/>
  <c r="AO16" i="2"/>
  <c r="AO19" i="2"/>
  <c r="AU258" i="3"/>
  <c r="Z142" i="3"/>
  <c r="DO37" i="3"/>
  <c r="DO35" i="3"/>
  <c r="DO41" i="3" s="1"/>
  <c r="CN37" i="3"/>
  <c r="CN35" i="3"/>
  <c r="BR24" i="3"/>
  <c r="BR56" i="3"/>
  <c r="BR32" i="3"/>
  <c r="BR23" i="3"/>
  <c r="CM14" i="3"/>
  <c r="CR15" i="3"/>
  <c r="EG35" i="3"/>
  <c r="EG41" i="3" s="1"/>
  <c r="EG37" i="3"/>
  <c r="DU37" i="3"/>
  <c r="DU35" i="3"/>
  <c r="DU41" i="3" s="1"/>
  <c r="AR258" i="3"/>
  <c r="AM258" i="3"/>
  <c r="BV37" i="3"/>
  <c r="BV35" i="3"/>
  <c r="BV42" i="3" s="1"/>
  <c r="Y9" i="2"/>
  <c r="Y15" i="2"/>
  <c r="Z70" i="2"/>
  <c r="Z9" i="2"/>
  <c r="W71" i="2"/>
  <c r="DQ10" i="2"/>
  <c r="DR10" i="2"/>
  <c r="CY37" i="3"/>
  <c r="CY35" i="3"/>
  <c r="CK24" i="3"/>
  <c r="CJ56" i="3"/>
  <c r="CJ23" i="3"/>
  <c r="CJ32" i="3"/>
  <c r="CJ24" i="3"/>
  <c r="CM22" i="3"/>
  <c r="CR24" i="3" s="1"/>
  <c r="AC10" i="2"/>
  <c r="EA27" i="2"/>
  <c r="BP37" i="3"/>
  <c r="BP35" i="3"/>
  <c r="BP42" i="3" s="1"/>
  <c r="AX15" i="3"/>
  <c r="AX14" i="3"/>
  <c r="AX22" i="3"/>
  <c r="AY22" i="3" s="1"/>
  <c r="AZ15" i="3"/>
  <c r="DI35" i="3"/>
  <c r="DI41" i="3" s="1"/>
  <c r="DI37" i="3"/>
  <c r="AX174" i="3"/>
  <c r="BX47" i="2"/>
  <c r="BR46" i="2"/>
  <c r="EQ19" i="3"/>
  <c r="BF140" i="2"/>
  <c r="EA28" i="2"/>
  <c r="CW22" i="2"/>
  <c r="CJ46" i="2"/>
  <c r="CY30" i="2"/>
  <c r="ER19" i="3" s="1"/>
  <c r="BF163" i="2"/>
  <c r="BZ46" i="2"/>
  <c r="CW25" i="2"/>
  <c r="EF25" i="2" s="1"/>
  <c r="EF27" i="2" s="1"/>
  <c r="CJ45" i="2"/>
  <c r="BN45" i="2"/>
  <c r="CX32" i="2"/>
  <c r="DJ8" i="2"/>
  <c r="BX45" i="2"/>
  <c r="DY43" i="2"/>
  <c r="DU272" i="2"/>
  <c r="DU274" i="2" s="1"/>
  <c r="CW23" i="2"/>
  <c r="X70" i="2"/>
  <c r="DU237" i="2"/>
  <c r="J71" i="2"/>
  <c r="CQ123" i="2"/>
  <c r="CQ124" i="2" s="1"/>
  <c r="CP124" i="2"/>
  <c r="CP125" i="2"/>
  <c r="DV166" i="2"/>
  <c r="DV169" i="2" s="1"/>
  <c r="DJ10" i="2"/>
  <c r="EF34" i="2"/>
  <c r="BI246" i="2"/>
  <c r="BI247" i="2" s="1"/>
  <c r="DZ169" i="2"/>
  <c r="DZ168" i="2"/>
  <c r="ED98" i="2"/>
  <c r="ED126" i="2"/>
  <c r="ED110" i="2"/>
  <c r="ED114" i="2"/>
  <c r="ED102" i="2"/>
  <c r="ED94" i="2"/>
  <c r="ED106" i="2"/>
  <c r="ED78" i="2"/>
  <c r="ED157" i="2"/>
  <c r="AP46" i="2"/>
  <c r="BD174" i="2"/>
  <c r="BC246" i="2"/>
  <c r="BC247" i="2" s="1"/>
  <c r="AM45" i="2"/>
  <c r="ED122" i="2"/>
  <c r="BL267" i="2"/>
  <c r="DW272" i="2"/>
  <c r="DW267" i="2" s="1"/>
  <c r="BZ166" i="2"/>
  <c r="CA169" i="2"/>
  <c r="CL45" i="2"/>
  <c r="BY167" i="2"/>
  <c r="CC168" i="2"/>
  <c r="BY168" i="2"/>
  <c r="DU256" i="2"/>
  <c r="DU263" i="2"/>
  <c r="DU271" i="2"/>
  <c r="CV56" i="4"/>
  <c r="F53" i="3"/>
  <c r="F54" i="3"/>
  <c r="DT13" i="2"/>
  <c r="DT14" i="2"/>
  <c r="DU13" i="2"/>
  <c r="EP82" i="3"/>
  <c r="EQ82" i="3"/>
  <c r="ER82" i="3" s="1"/>
  <c r="ES82" i="3" s="1"/>
  <c r="ET82" i="3" s="1"/>
  <c r="M9" i="2"/>
  <c r="M71" i="2"/>
  <c r="N9" i="2"/>
  <c r="M10" i="2"/>
  <c r="M70" i="2"/>
  <c r="N70" i="2"/>
  <c r="M15" i="2"/>
  <c r="O70" i="2"/>
  <c r="Q37" i="3"/>
  <c r="Q35" i="3"/>
  <c r="DW266" i="2"/>
  <c r="P70" i="2"/>
  <c r="P10" i="2"/>
  <c r="P15" i="2"/>
  <c r="P9" i="2"/>
  <c r="T10" i="2"/>
  <c r="BY153" i="2"/>
  <c r="BX150" i="2"/>
  <c r="EL44" i="3"/>
  <c r="EL53" i="3"/>
  <c r="EL54" i="3"/>
  <c r="BD82" i="5"/>
  <c r="BD52" i="5"/>
  <c r="BD53" i="5"/>
  <c r="K40" i="2"/>
  <c r="K18" i="2"/>
  <c r="K17" i="2"/>
  <c r="K16" i="2"/>
  <c r="O17" i="2"/>
  <c r="BN46" i="2"/>
  <c r="EK56" i="3"/>
  <c r="EK107" i="3" s="1"/>
  <c r="EK24" i="3"/>
  <c r="EK23" i="3"/>
  <c r="EL24" i="3"/>
  <c r="CP91" i="3"/>
  <c r="J52" i="3"/>
  <c r="J44" i="3"/>
  <c r="J51" i="3"/>
  <c r="J54" i="3"/>
  <c r="BY44" i="3"/>
  <c r="BY53" i="3"/>
  <c r="AT52" i="2" s="1"/>
  <c r="BY54" i="3"/>
  <c r="V40" i="2"/>
  <c r="V18" i="2"/>
  <c r="DM15" i="2"/>
  <c r="V17" i="2"/>
  <c r="Z17" i="2"/>
  <c r="W16" i="2"/>
  <c r="AI174" i="3"/>
  <c r="AI22" i="3"/>
  <c r="AI15" i="3"/>
  <c r="AI14" i="3"/>
  <c r="AK15" i="3"/>
  <c r="BJ115" i="3"/>
  <c r="BJ58" i="3"/>
  <c r="AH55" i="2" s="1"/>
  <c r="DS37" i="3"/>
  <c r="DS35" i="3"/>
  <c r="DS41" i="3" s="1"/>
  <c r="CN33" i="5"/>
  <c r="CN21" i="5"/>
  <c r="BJ155" i="2"/>
  <c r="DW154" i="2"/>
  <c r="BJ156" i="2"/>
  <c r="BN156" i="2"/>
  <c r="BK155" i="2"/>
  <c r="AQ29" i="5"/>
  <c r="AQ30" i="5"/>
  <c r="AQ12" i="5"/>
  <c r="AR28" i="5"/>
  <c r="EB165" i="2"/>
  <c r="EB164" i="2"/>
  <c r="AF247" i="3"/>
  <c r="AF173" i="3"/>
  <c r="BD238" i="2"/>
  <c r="BD240" i="2"/>
  <c r="BD245" i="2"/>
  <c r="BD123" i="2"/>
  <c r="BA32" i="3"/>
  <c r="BA24" i="3"/>
  <c r="BA23" i="3"/>
  <c r="BA56" i="3"/>
  <c r="DM115" i="3"/>
  <c r="DM58" i="3"/>
  <c r="BZ55" i="2" s="1"/>
  <c r="EO49" i="3"/>
  <c r="AE103" i="5"/>
  <c r="AE102" i="5"/>
  <c r="BS48" i="4"/>
  <c r="BT47" i="4"/>
  <c r="CA69" i="4"/>
  <c r="BN100" i="4"/>
  <c r="BN99" i="4"/>
  <c r="BN104" i="4"/>
  <c r="DV32" i="3"/>
  <c r="DV35" i="3" s="1"/>
  <c r="BH164" i="2"/>
  <c r="AD72" i="5"/>
  <c r="AV10" i="2"/>
  <c r="AV9" i="2"/>
  <c r="AW9" i="2"/>
  <c r="AV15" i="2"/>
  <c r="DS15" i="2" s="1"/>
  <c r="AV70" i="2"/>
  <c r="AW70" i="2"/>
  <c r="AX70" i="2"/>
  <c r="AV71" i="2"/>
  <c r="DH81" i="3"/>
  <c r="DG81" i="3"/>
  <c r="CG71" i="3"/>
  <c r="CG13" i="3"/>
  <c r="CH13" i="3" s="1"/>
  <c r="BA8" i="2"/>
  <c r="AZ71" i="2" s="1"/>
  <c r="AA52" i="3"/>
  <c r="AA54" i="3"/>
  <c r="F49" i="2" s="1"/>
  <c r="AA44" i="3"/>
  <c r="AA51" i="3"/>
  <c r="AJ71" i="5"/>
  <c r="BA255" i="3"/>
  <c r="BA257" i="3"/>
  <c r="BA244" i="3"/>
  <c r="BA256" i="3"/>
  <c r="BA254" i="3"/>
  <c r="BV43" i="4"/>
  <c r="DV237" i="2"/>
  <c r="BF245" i="2"/>
  <c r="BF240" i="2"/>
  <c r="BF239" i="2"/>
  <c r="BF238" i="2"/>
  <c r="BF123" i="2"/>
  <c r="BT97" i="3"/>
  <c r="BU97" i="3" s="1"/>
  <c r="BV97" i="3" s="1"/>
  <c r="BW97" i="3" s="1"/>
  <c r="BS97" i="3"/>
  <c r="AC22" i="5"/>
  <c r="AR46" i="2"/>
  <c r="AR47" i="2"/>
  <c r="DS13" i="2"/>
  <c r="DS14" i="2"/>
  <c r="EC165" i="2"/>
  <c r="EC164" i="2"/>
  <c r="ED164" i="2"/>
  <c r="BN102" i="4"/>
  <c r="BN103" i="4"/>
  <c r="BN24" i="4"/>
  <c r="DZ42" i="2"/>
  <c r="DZ44" i="2"/>
  <c r="DZ43" i="2"/>
  <c r="AY19" i="2"/>
  <c r="AY40" i="2"/>
  <c r="AY18" i="2"/>
  <c r="AY17" i="2"/>
  <c r="AY16" i="2"/>
  <c r="BC17" i="2"/>
  <c r="L37" i="3"/>
  <c r="L35" i="3"/>
  <c r="P32" i="3"/>
  <c r="P35" i="3" s="1"/>
  <c r="AU71" i="2"/>
  <c r="AU40" i="2"/>
  <c r="AU18" i="2"/>
  <c r="AU17" i="2"/>
  <c r="AU16" i="2"/>
  <c r="AU19" i="2"/>
  <c r="CL105" i="2"/>
  <c r="CI103" i="2"/>
  <c r="CH158" i="2"/>
  <c r="CH105" i="2"/>
  <c r="CH99" i="2"/>
  <c r="CH131" i="2" s="1"/>
  <c r="CH106" i="2" s="1"/>
  <c r="AH102" i="5"/>
  <c r="AH103" i="5"/>
  <c r="CS63" i="5"/>
  <c r="CS62" i="5"/>
  <c r="CL37" i="3"/>
  <c r="CL35" i="3"/>
  <c r="CQ119" i="2"/>
  <c r="CP122" i="2"/>
  <c r="CY29" i="2"/>
  <c r="CX34" i="2"/>
  <c r="CX39" i="2" s="1"/>
  <c r="EQ42" i="3"/>
  <c r="AD246" i="3"/>
  <c r="AL54" i="2"/>
  <c r="AJ22" i="5"/>
  <c r="AJ23" i="5"/>
  <c r="ED44" i="2"/>
  <c r="EE46" i="2" s="1"/>
  <c r="ED43" i="2"/>
  <c r="ED42" i="2"/>
  <c r="AB247" i="3"/>
  <c r="AB173" i="3"/>
  <c r="CF156" i="2"/>
  <c r="CF155" i="2"/>
  <c r="BI168" i="2"/>
  <c r="BI167" i="2"/>
  <c r="BM168" i="2"/>
  <c r="DY27" i="2"/>
  <c r="DY28" i="2"/>
  <c r="AJ17" i="6"/>
  <c r="AJ8" i="6" s="1"/>
  <c r="AK5" i="6"/>
  <c r="AJ7" i="6"/>
  <c r="DX263" i="2"/>
  <c r="DX252" i="2"/>
  <c r="DX256" i="2"/>
  <c r="DX271" i="2"/>
  <c r="BC83" i="5"/>
  <c r="BC73" i="5"/>
  <c r="BC79" i="5"/>
  <c r="CE79" i="2"/>
  <c r="O37" i="3"/>
  <c r="O35" i="3"/>
  <c r="CB91" i="4"/>
  <c r="CC80" i="4"/>
  <c r="CC81" i="4" s="1"/>
  <c r="CB81" i="4"/>
  <c r="BE15" i="4"/>
  <c r="CR15" i="4" s="1"/>
  <c r="CG154" i="2"/>
  <c r="CG100" i="2"/>
  <c r="CG101" i="2"/>
  <c r="EB99" i="2"/>
  <c r="CP118" i="2"/>
  <c r="CP117" i="2"/>
  <c r="CQ115" i="2"/>
  <c r="CM46" i="2"/>
  <c r="CM47" i="2"/>
  <c r="CM45" i="2"/>
  <c r="AK101" i="5"/>
  <c r="AK97" i="5"/>
  <c r="BM83" i="2"/>
  <c r="EA24" i="3"/>
  <c r="EA23" i="3"/>
  <c r="EA56" i="3"/>
  <c r="EA107" i="3" s="1"/>
  <c r="BG238" i="2"/>
  <c r="BG240" i="2"/>
  <c r="BG245" i="2"/>
  <c r="BG239" i="2"/>
  <c r="BG123" i="2"/>
  <c r="AG56" i="3"/>
  <c r="AG24" i="3"/>
  <c r="AG23" i="3"/>
  <c r="AG32" i="3"/>
  <c r="BO47" i="2"/>
  <c r="BO45" i="2"/>
  <c r="BO46" i="2"/>
  <c r="BQ21" i="4"/>
  <c r="CU21" i="4" s="1"/>
  <c r="BP26" i="4"/>
  <c r="CF15" i="3"/>
  <c r="CF22" i="3"/>
  <c r="CF14" i="3"/>
  <c r="CD118" i="2"/>
  <c r="CD117" i="2"/>
  <c r="CD116" i="2"/>
  <c r="BE27" i="5"/>
  <c r="BE51" i="5"/>
  <c r="BE54" i="5" s="1"/>
  <c r="BF48" i="5"/>
  <c r="BE50" i="5"/>
  <c r="CS21" i="5"/>
  <c r="BQ46" i="2"/>
  <c r="BQ47" i="2"/>
  <c r="CS47" i="2"/>
  <c r="AP95" i="5"/>
  <c r="AQ93" i="5"/>
  <c r="AP94" i="5"/>
  <c r="BV44" i="5"/>
  <c r="BW42" i="5"/>
  <c r="BG76" i="5"/>
  <c r="CI87" i="2"/>
  <c r="DX267" i="2"/>
  <c r="DV27" i="2"/>
  <c r="DV28" i="2"/>
  <c r="BW71" i="4"/>
  <c r="AJ13" i="6"/>
  <c r="AK11" i="6"/>
  <c r="BO11" i="6" s="1"/>
  <c r="AC34" i="3"/>
  <c r="DK158" i="3"/>
  <c r="BY58" i="2" s="1"/>
  <c r="DK132" i="3"/>
  <c r="DK152" i="3"/>
  <c r="BI45" i="2"/>
  <c r="BI46" i="2"/>
  <c r="BI47" i="2"/>
  <c r="BR45" i="2"/>
  <c r="BM275" i="2"/>
  <c r="BM274" i="2"/>
  <c r="BM276" i="2"/>
  <c r="BM263" i="2"/>
  <c r="BM244" i="2"/>
  <c r="BM273" i="2"/>
  <c r="BM271" i="2"/>
  <c r="K44" i="3"/>
  <c r="K58" i="3" s="1"/>
  <c r="AA71" i="5"/>
  <c r="AX255" i="3"/>
  <c r="AX244" i="3"/>
  <c r="AX257" i="3"/>
  <c r="AX256" i="3"/>
  <c r="AX254" i="3"/>
  <c r="AE104" i="3"/>
  <c r="BD17" i="4"/>
  <c r="BD18" i="4"/>
  <c r="BD16" i="4"/>
  <c r="BJ164" i="2"/>
  <c r="DW162" i="2"/>
  <c r="BK163" i="2"/>
  <c r="BN164" i="2"/>
  <c r="BJ163" i="2"/>
  <c r="DB161" i="2"/>
  <c r="DA136" i="3"/>
  <c r="DB135" i="3"/>
  <c r="BS25" i="4"/>
  <c r="CU37" i="3"/>
  <c r="CW37" i="3" s="1"/>
  <c r="CW53" i="3" s="1"/>
  <c r="CU35" i="3"/>
  <c r="AM174" i="3"/>
  <c r="AM14" i="3"/>
  <c r="AM22" i="3"/>
  <c r="AM15" i="3"/>
  <c r="AW53" i="3"/>
  <c r="X52" i="2" s="1"/>
  <c r="AW54" i="3"/>
  <c r="AW44" i="3"/>
  <c r="CZ53" i="3"/>
  <c r="BP52" i="2" s="1"/>
  <c r="CZ54" i="3"/>
  <c r="CZ44" i="3"/>
  <c r="N37" i="3"/>
  <c r="N35" i="3"/>
  <c r="EE28" i="2"/>
  <c r="BS46" i="2"/>
  <c r="BS45" i="2"/>
  <c r="BS47" i="2"/>
  <c r="BW35" i="3"/>
  <c r="BW42" i="3" s="1"/>
  <c r="BW37" i="3"/>
  <c r="CZ166" i="2"/>
  <c r="DA111" i="2"/>
  <c r="EG111" i="2" s="1"/>
  <c r="CZ113" i="2"/>
  <c r="EB37" i="3"/>
  <c r="EF32" i="3"/>
  <c r="EF35" i="3" s="1"/>
  <c r="EB35" i="3"/>
  <c r="EB41" i="3" s="1"/>
  <c r="BI140" i="2"/>
  <c r="BI139" i="2"/>
  <c r="AP37" i="3"/>
  <c r="AP35" i="3"/>
  <c r="AP41" i="3" s="1"/>
  <c r="DX44" i="2"/>
  <c r="DY46" i="2" s="1"/>
  <c r="DX43" i="2"/>
  <c r="DX42" i="2"/>
  <c r="BC189" i="3"/>
  <c r="BC176" i="3" s="1"/>
  <c r="BC187" i="3"/>
  <c r="BC182" i="3"/>
  <c r="BE100" i="3"/>
  <c r="BE104" i="3" s="1"/>
  <c r="CD44" i="3"/>
  <c r="CD53" i="3"/>
  <c r="AX52" i="2" s="1"/>
  <c r="CD54" i="3"/>
  <c r="EO46" i="3"/>
  <c r="EP46" i="3" s="1"/>
  <c r="EN146" i="3"/>
  <c r="BR49" i="4"/>
  <c r="BR51" i="4"/>
  <c r="BB24" i="3"/>
  <c r="DR53" i="3"/>
  <c r="DR54" i="3"/>
  <c r="DR44" i="3"/>
  <c r="BH140" i="2"/>
  <c r="DN93" i="3"/>
  <c r="DN100" i="3" s="1"/>
  <c r="DN104" i="3" s="1"/>
  <c r="DO88" i="3"/>
  <c r="DM13" i="2"/>
  <c r="AW47" i="2"/>
  <c r="AW46" i="2"/>
  <c r="DW53" i="3"/>
  <c r="DW54" i="3"/>
  <c r="DW44" i="3"/>
  <c r="DH44" i="3"/>
  <c r="DH54" i="3"/>
  <c r="DH53" i="3"/>
  <c r="CA22" i="3"/>
  <c r="CC22" i="3" s="1"/>
  <c r="CA15" i="3"/>
  <c r="CA14" i="3"/>
  <c r="CB15" i="3"/>
  <c r="BJ246" i="2"/>
  <c r="BJ247" i="2" s="1"/>
  <c r="DC20" i="2"/>
  <c r="AA18" i="2"/>
  <c r="AA40" i="2"/>
  <c r="AA17" i="2"/>
  <c r="AA16" i="2"/>
  <c r="AB16" i="2"/>
  <c r="AE17" i="2"/>
  <c r="CV44" i="3"/>
  <c r="CV53" i="3"/>
  <c r="BM52" i="2" s="1"/>
  <c r="CV54" i="3"/>
  <c r="CK46" i="2"/>
  <c r="CK45" i="2"/>
  <c r="CK47" i="2"/>
  <c r="AI18" i="6"/>
  <c r="AI19" i="6"/>
  <c r="V52" i="3"/>
  <c r="V51" i="3"/>
  <c r="V44" i="3"/>
  <c r="V54" i="3"/>
  <c r="B49" i="2" s="1"/>
  <c r="CD82" i="2"/>
  <c r="CD80" i="2"/>
  <c r="CD142" i="2"/>
  <c r="CR23" i="3"/>
  <c r="CR56" i="3"/>
  <c r="BF275" i="2"/>
  <c r="BF273" i="2"/>
  <c r="DV272" i="2"/>
  <c r="BF274" i="2"/>
  <c r="BF271" i="2"/>
  <c r="BF263" i="2"/>
  <c r="AO34" i="5"/>
  <c r="AO59" i="5"/>
  <c r="AO11" i="5"/>
  <c r="AO10" i="5"/>
  <c r="CO9" i="5"/>
  <c r="CO11" i="5" s="1"/>
  <c r="CQ58" i="3"/>
  <c r="BI55" i="2" s="1"/>
  <c r="CQ115" i="3"/>
  <c r="CQ131" i="3" s="1"/>
  <c r="CQ158" i="3" s="1"/>
  <c r="BI58" i="2" s="1"/>
  <c r="DQ24" i="3"/>
  <c r="DQ56" i="3"/>
  <c r="DQ107" i="3" s="1"/>
  <c r="DQ23" i="3"/>
  <c r="CB53" i="3"/>
  <c r="AW52" i="2" s="1"/>
  <c r="CB54" i="3"/>
  <c r="CB44" i="3"/>
  <c r="AE23" i="5"/>
  <c r="AE22" i="5"/>
  <c r="AB71" i="5"/>
  <c r="DB56" i="3"/>
  <c r="DB23" i="3"/>
  <c r="DB24" i="3"/>
  <c r="DU266" i="2"/>
  <c r="BV46" i="2"/>
  <c r="BV47" i="2"/>
  <c r="BV45" i="2"/>
  <c r="BS24" i="3"/>
  <c r="BS23" i="3"/>
  <c r="BS56" i="3"/>
  <c r="AI72" i="5"/>
  <c r="AI71" i="5"/>
  <c r="U9" i="2"/>
  <c r="Y10" i="2"/>
  <c r="U71" i="2"/>
  <c r="DL8" i="2"/>
  <c r="U70" i="2"/>
  <c r="U15" i="2"/>
  <c r="S71" i="2"/>
  <c r="T71" i="2"/>
  <c r="R71" i="2"/>
  <c r="CH10" i="3"/>
  <c r="AU32" i="3"/>
  <c r="AU56" i="3"/>
  <c r="AU23" i="3"/>
  <c r="DE82" i="3"/>
  <c r="DD84" i="3"/>
  <c r="CM75" i="5"/>
  <c r="AG247" i="3"/>
  <c r="AG173" i="3"/>
  <c r="CM33" i="5"/>
  <c r="CM21" i="5"/>
  <c r="CM23" i="5" s="1"/>
  <c r="CE124" i="2"/>
  <c r="CE125" i="2"/>
  <c r="CF123" i="2"/>
  <c r="CE115" i="2"/>
  <c r="CE126" i="2"/>
  <c r="AF23" i="5"/>
  <c r="AF22" i="5"/>
  <c r="CG84" i="3"/>
  <c r="CI82" i="3"/>
  <c r="CH82" i="3"/>
  <c r="BJ274" i="2"/>
  <c r="CC46" i="2"/>
  <c r="CC47" i="2"/>
  <c r="CC45" i="2"/>
  <c r="CD45" i="2"/>
  <c r="CN96" i="5"/>
  <c r="CN93" i="5" s="1"/>
  <c r="AC246" i="3"/>
  <c r="BB22" i="5"/>
  <c r="EH37" i="3"/>
  <c r="EH35" i="3"/>
  <c r="EH41" i="3" s="1"/>
  <c r="EK32" i="3"/>
  <c r="EK35" i="3" s="1"/>
  <c r="CQ45" i="2"/>
  <c r="CQ47" i="2"/>
  <c r="CQ46" i="2"/>
  <c r="DV56" i="3"/>
  <c r="DV107" i="3" s="1"/>
  <c r="DV24" i="3"/>
  <c r="DV23" i="3"/>
  <c r="CK58" i="3"/>
  <c r="BD55" i="2" s="1"/>
  <c r="CK115" i="3"/>
  <c r="CK131" i="3" s="1"/>
  <c r="BZ52" i="2"/>
  <c r="BJ46" i="2"/>
  <c r="BJ47" i="2"/>
  <c r="BJ45" i="2"/>
  <c r="DX115" i="3"/>
  <c r="DX131" i="3" s="1"/>
  <c r="DX58" i="3"/>
  <c r="CI55" i="2" s="1"/>
  <c r="BG45" i="2"/>
  <c r="BG47" i="2"/>
  <c r="BH45" i="2"/>
  <c r="CI49" i="2"/>
  <c r="CM51" i="2" s="1"/>
  <c r="BO115" i="3"/>
  <c r="BO58" i="3"/>
  <c r="AL55" i="2" s="1"/>
  <c r="BU46" i="5"/>
  <c r="BU47" i="5"/>
  <c r="CW45" i="5"/>
  <c r="BG34" i="5"/>
  <c r="BG59" i="5"/>
  <c r="BG11" i="5"/>
  <c r="BG10" i="5"/>
  <c r="D52" i="3"/>
  <c r="D44" i="3"/>
  <c r="D51" i="3"/>
  <c r="D54" i="3"/>
  <c r="DX266" i="2"/>
  <c r="DT158" i="3"/>
  <c r="CF58" i="2" s="1"/>
  <c r="DT152" i="3"/>
  <c r="R61" i="2"/>
  <c r="BE240" i="2"/>
  <c r="BE245" i="2"/>
  <c r="BE238" i="2"/>
  <c r="BE123" i="2"/>
  <c r="BI125" i="2" s="1"/>
  <c r="AH49" i="2"/>
  <c r="BQ274" i="2"/>
  <c r="EB27" i="2"/>
  <c r="EB28" i="2"/>
  <c r="BM46" i="2"/>
  <c r="BM47" i="2"/>
  <c r="BM45" i="2"/>
  <c r="CS53" i="3"/>
  <c r="BJ52" i="2" s="1"/>
  <c r="CS54" i="3"/>
  <c r="CS44" i="3"/>
  <c r="BL44" i="3"/>
  <c r="BL53" i="3"/>
  <c r="AJ52" i="2" s="1"/>
  <c r="BL54" i="3"/>
  <c r="AE15" i="3"/>
  <c r="AE14" i="3"/>
  <c r="K37" i="3"/>
  <c r="BD22" i="5"/>
  <c r="AX253" i="3"/>
  <c r="BJ167" i="2"/>
  <c r="BJ168" i="2"/>
  <c r="BN168" i="2"/>
  <c r="CZ158" i="2"/>
  <c r="BF62" i="5"/>
  <c r="BF63" i="5"/>
  <c r="BF60" i="5"/>
  <c r="BF61" i="5"/>
  <c r="AG9" i="2"/>
  <c r="AK10" i="2"/>
  <c r="DO8" i="2"/>
  <c r="AG10" i="2"/>
  <c r="AF71" i="2"/>
  <c r="AD71" i="2"/>
  <c r="AH9" i="2"/>
  <c r="AG70" i="2"/>
  <c r="AI70" i="2"/>
  <c r="AE71" i="2"/>
  <c r="AH70" i="2"/>
  <c r="AJ70" i="2"/>
  <c r="AG71" i="2"/>
  <c r="AG15" i="2"/>
  <c r="AV246" i="3"/>
  <c r="EC27" i="2"/>
  <c r="EB161" i="2"/>
  <c r="EB160" i="2"/>
  <c r="DU27" i="2"/>
  <c r="DU28" i="2"/>
  <c r="BM152" i="2"/>
  <c r="BI151" i="2"/>
  <c r="BI152" i="2"/>
  <c r="BK46" i="2"/>
  <c r="BA247" i="3"/>
  <c r="BA173" i="3"/>
  <c r="BT60" i="4"/>
  <c r="BT61" i="4"/>
  <c r="BB250" i="3"/>
  <c r="BB175" i="3"/>
  <c r="G17" i="2"/>
  <c r="G16" i="2"/>
  <c r="G40" i="2"/>
  <c r="G18" i="2"/>
  <c r="DI15" i="2"/>
  <c r="H16" i="2"/>
  <c r="BZ49" i="2"/>
  <c r="CU151" i="2"/>
  <c r="CU152" i="2"/>
  <c r="AX249" i="3"/>
  <c r="BH152" i="2"/>
  <c r="BE167" i="2"/>
  <c r="BL146" i="2"/>
  <c r="BL147" i="2" s="1"/>
  <c r="BL79" i="2"/>
  <c r="BL84" i="2"/>
  <c r="BL86" i="2"/>
  <c r="W246" i="3"/>
  <c r="AK246" i="3"/>
  <c r="CY93" i="2"/>
  <c r="CZ91" i="2"/>
  <c r="BC241" i="2"/>
  <c r="BC126" i="2"/>
  <c r="BC124" i="2"/>
  <c r="AI22" i="5"/>
  <c r="AI23" i="5"/>
  <c r="BZ24" i="3"/>
  <c r="BZ23" i="3"/>
  <c r="BZ32" i="3"/>
  <c r="BZ56" i="3"/>
  <c r="AL23" i="5"/>
  <c r="AL22" i="5"/>
  <c r="DS96" i="3"/>
  <c r="DR106" i="3"/>
  <c r="CO37" i="3"/>
  <c r="CO35" i="3"/>
  <c r="CR32" i="3"/>
  <c r="CR35" i="3" s="1"/>
  <c r="BE171" i="2"/>
  <c r="BE174" i="2"/>
  <c r="DW28" i="2"/>
  <c r="DW27" i="2"/>
  <c r="BY45" i="2"/>
  <c r="BY47" i="2"/>
  <c r="BY46" i="2"/>
  <c r="Q14" i="2"/>
  <c r="Q12" i="2"/>
  <c r="Q13" i="2"/>
  <c r="R12" i="2"/>
  <c r="DJ13" i="2"/>
  <c r="DJ14" i="2"/>
  <c r="DT27" i="2"/>
  <c r="DT28" i="2"/>
  <c r="AX77" i="3"/>
  <c r="AW76" i="3"/>
  <c r="BT45" i="2"/>
  <c r="EC158" i="3"/>
  <c r="CM58" i="2" s="1"/>
  <c r="EC152" i="3"/>
  <c r="CX63" i="3"/>
  <c r="CY63" i="3" s="1"/>
  <c r="CZ63" i="3" s="1"/>
  <c r="DA63" i="3" s="1"/>
  <c r="CW63" i="3"/>
  <c r="ES143" i="3"/>
  <c r="BI241" i="2"/>
  <c r="BI126" i="2"/>
  <c r="BQ35" i="3"/>
  <c r="BQ42" i="3" s="1"/>
  <c r="BQ37" i="3"/>
  <c r="BS32" i="3"/>
  <c r="BS35" i="3" s="1"/>
  <c r="BQ36" i="4"/>
  <c r="BP32" i="4"/>
  <c r="BP101" i="4" s="1"/>
  <c r="AS174" i="3"/>
  <c r="AS14" i="3"/>
  <c r="AS15" i="3"/>
  <c r="AS22" i="3"/>
  <c r="AU24" i="3" s="1"/>
  <c r="AT13" i="3"/>
  <c r="AY15" i="3" s="1"/>
  <c r="DS8" i="2"/>
  <c r="DS10" i="2" s="1"/>
  <c r="AK250" i="3"/>
  <c r="AK249" i="3" s="1"/>
  <c r="AK175" i="3"/>
  <c r="AN176" i="3"/>
  <c r="DN86" i="3"/>
  <c r="AU15" i="3"/>
  <c r="BE151" i="2"/>
  <c r="W37" i="3"/>
  <c r="W35" i="3"/>
  <c r="CH87" i="2"/>
  <c r="EU95" i="3"/>
  <c r="EV95" i="3"/>
  <c r="EW95" i="3" s="1"/>
  <c r="EX95" i="3" s="1"/>
  <c r="EY95" i="3" s="1"/>
  <c r="EZ95" i="3" s="1"/>
  <c r="EZ27" i="3"/>
  <c r="DY37" i="3"/>
  <c r="EA37" i="3" s="1"/>
  <c r="DY35" i="3"/>
  <c r="DY41" i="3" s="1"/>
  <c r="BG275" i="2"/>
  <c r="BG274" i="2"/>
  <c r="BG273" i="2"/>
  <c r="BG271" i="2"/>
  <c r="BG263" i="2"/>
  <c r="BK274" i="2"/>
  <c r="BE139" i="2"/>
  <c r="DY47" i="2"/>
  <c r="EF23" i="2"/>
  <c r="AD37" i="3"/>
  <c r="AD35" i="3"/>
  <c r="CR148" i="3"/>
  <c r="BB243" i="3"/>
  <c r="BB169" i="3"/>
  <c r="BC170" i="3"/>
  <c r="CR123" i="2"/>
  <c r="CQ125" i="2"/>
  <c r="CQ126" i="2"/>
  <c r="R37" i="3"/>
  <c r="R35" i="3"/>
  <c r="CV45" i="4"/>
  <c r="DP43" i="2"/>
  <c r="EC43" i="2"/>
  <c r="EC44" i="2"/>
  <c r="DY274" i="2"/>
  <c r="DY263" i="2"/>
  <c r="DY271" i="2"/>
  <c r="DY267" i="2"/>
  <c r="BH64" i="5"/>
  <c r="BH37" i="5"/>
  <c r="BH85" i="5" s="1"/>
  <c r="BI12" i="5"/>
  <c r="CT12" i="5" s="1"/>
  <c r="BH9" i="5"/>
  <c r="BB241" i="2"/>
  <c r="BB126" i="2"/>
  <c r="BX67" i="4"/>
  <c r="BY65" i="4"/>
  <c r="BX70" i="4"/>
  <c r="BE263" i="2"/>
  <c r="BE275" i="2"/>
  <c r="BE273" i="2"/>
  <c r="BE274" i="2"/>
  <c r="BE271" i="2"/>
  <c r="BI274" i="2"/>
  <c r="AJ15" i="3"/>
  <c r="X37" i="3"/>
  <c r="X35" i="3"/>
  <c r="BG167" i="2"/>
  <c r="BH167" i="2"/>
  <c r="DA103" i="2"/>
  <c r="DA158" i="2" s="1"/>
  <c r="CZ105" i="2"/>
  <c r="AA102" i="5"/>
  <c r="DZ271" i="2"/>
  <c r="DZ274" i="2"/>
  <c r="DZ263" i="2"/>
  <c r="CV154" i="2"/>
  <c r="CV101" i="2"/>
  <c r="CV100" i="2"/>
  <c r="CV95" i="2"/>
  <c r="BJ140" i="2"/>
  <c r="BJ139" i="2"/>
  <c r="AQ258" i="3"/>
  <c r="U148" i="3"/>
  <c r="BD47" i="2"/>
  <c r="BH46" i="2"/>
  <c r="CU46" i="2"/>
  <c r="AP64" i="5"/>
  <c r="AP13" i="5"/>
  <c r="AP9" i="5"/>
  <c r="BH15" i="3"/>
  <c r="BH22" i="3"/>
  <c r="BH14" i="3"/>
  <c r="BJ15" i="3"/>
  <c r="BI13" i="3"/>
  <c r="ET91" i="3"/>
  <c r="BD49" i="2"/>
  <c r="BU115" i="3"/>
  <c r="BU131" i="3" s="1"/>
  <c r="BU158" i="3" s="1"/>
  <c r="AQ58" i="2" s="1"/>
  <c r="BU58" i="3"/>
  <c r="AQ55" i="2" s="1"/>
  <c r="CY168" i="2"/>
  <c r="CY167" i="2"/>
  <c r="BD275" i="2"/>
  <c r="BD274" i="2"/>
  <c r="BD263" i="2"/>
  <c r="BD273" i="2"/>
  <c r="BD271" i="2"/>
  <c r="BM156" i="2"/>
  <c r="BI155" i="2"/>
  <c r="BI156" i="2"/>
  <c r="CU158" i="3"/>
  <c r="BL58" i="2" s="1"/>
  <c r="CU152" i="3"/>
  <c r="V247" i="3"/>
  <c r="V173" i="3"/>
  <c r="DZ267" i="2"/>
  <c r="CW153" i="2"/>
  <c r="CV150" i="2"/>
  <c r="AE71" i="5"/>
  <c r="AE72" i="5"/>
  <c r="DD37" i="3"/>
  <c r="DG37" i="3" s="1"/>
  <c r="DD35" i="3"/>
  <c r="DZ44" i="3"/>
  <c r="DZ54" i="3"/>
  <c r="DZ53" i="3"/>
  <c r="CK52" i="2" s="1"/>
  <c r="BH156" i="2"/>
  <c r="BM24" i="5"/>
  <c r="BL26" i="5"/>
  <c r="DO13" i="2"/>
  <c r="DO14" i="2"/>
  <c r="DP13" i="2"/>
  <c r="CL88" i="3"/>
  <c r="CK93" i="3"/>
  <c r="AD103" i="5"/>
  <c r="BN56" i="3"/>
  <c r="BN23" i="3"/>
  <c r="DG32" i="3"/>
  <c r="DG35" i="3" s="1"/>
  <c r="BT37" i="3"/>
  <c r="BX32" i="3"/>
  <c r="BX35" i="3" s="1"/>
  <c r="BT35" i="3"/>
  <c r="BT42" i="3" s="1"/>
  <c r="DJ37" i="3"/>
  <c r="DL37" i="3" s="1"/>
  <c r="DJ35" i="3"/>
  <c r="DJ41" i="3" s="1"/>
  <c r="BH263" i="2"/>
  <c r="BH273" i="2"/>
  <c r="BH275" i="2"/>
  <c r="BH274" i="2"/>
  <c r="BH271" i="2"/>
  <c r="BI273" i="2"/>
  <c r="EE37" i="3"/>
  <c r="EE35" i="3"/>
  <c r="EE41" i="3" s="1"/>
  <c r="CU51" i="4"/>
  <c r="CU47" i="4"/>
  <c r="BB70" i="5"/>
  <c r="BB80" i="5"/>
  <c r="DV267" i="2"/>
  <c r="DV266" i="2"/>
  <c r="BF170" i="2"/>
  <c r="BG173" i="2"/>
  <c r="AO66" i="5"/>
  <c r="CO64" i="5"/>
  <c r="DK104" i="3"/>
  <c r="DL100" i="3"/>
  <c r="AN71" i="3"/>
  <c r="AN13" i="3"/>
  <c r="AO13" i="3" s="1"/>
  <c r="Q8" i="2"/>
  <c r="O71" i="2" s="1"/>
  <c r="AI103" i="5"/>
  <c r="AB102" i="5"/>
  <c r="CM27" i="5"/>
  <c r="CM26" i="5"/>
  <c r="DO74" i="3"/>
  <c r="DP63" i="3"/>
  <c r="BO40" i="4"/>
  <c r="BO39" i="4"/>
  <c r="BO38" i="4"/>
  <c r="BN35" i="4"/>
  <c r="AY70" i="2"/>
  <c r="AT71" i="2"/>
  <c r="EB105" i="2"/>
  <c r="CG131" i="2"/>
  <c r="CN70" i="5"/>
  <c r="DO84" i="3"/>
  <c r="DP81" i="3"/>
  <c r="T22" i="3"/>
  <c r="T14" i="3"/>
  <c r="T15" i="3"/>
  <c r="V15" i="3"/>
  <c r="U13" i="3"/>
  <c r="L10" i="2"/>
  <c r="L9" i="2"/>
  <c r="L15" i="2"/>
  <c r="L70" i="2"/>
  <c r="L71" i="2"/>
  <c r="AY14" i="3"/>
  <c r="AL96" i="5"/>
  <c r="AL91" i="5"/>
  <c r="AM90" i="5"/>
  <c r="DK11" i="2"/>
  <c r="BV54" i="4"/>
  <c r="BV59" i="4" s="1"/>
  <c r="AD22" i="5"/>
  <c r="AD23" i="5"/>
  <c r="CS24" i="5"/>
  <c r="BO101" i="4"/>
  <c r="BE32" i="5"/>
  <c r="BE33" i="5"/>
  <c r="DY42" i="2"/>
  <c r="BD104" i="3"/>
  <c r="BK142" i="2"/>
  <c r="BK81" i="2"/>
  <c r="BK82" i="2"/>
  <c r="BK80" i="2"/>
  <c r="BK237" i="2"/>
  <c r="BG163" i="2"/>
  <c r="BK164" i="2"/>
  <c r="BH163" i="2"/>
  <c r="BJ151" i="2"/>
  <c r="DW150" i="2"/>
  <c r="BJ152" i="2"/>
  <c r="BN152" i="2"/>
  <c r="BK151" i="2"/>
  <c r="DF53" i="3"/>
  <c r="BU52" i="2" s="1"/>
  <c r="DF54" i="3"/>
  <c r="DF44" i="3"/>
  <c r="AF169" i="3"/>
  <c r="AF253" i="3"/>
  <c r="AF258" i="3" s="1"/>
  <c r="BK35" i="3"/>
  <c r="BK37" i="3"/>
  <c r="BN32" i="3"/>
  <c r="BN35" i="3" s="1"/>
  <c r="BA12" i="2"/>
  <c r="BA14" i="2"/>
  <c r="BE13" i="2"/>
  <c r="BA13" i="2"/>
  <c r="BB12" i="2"/>
  <c r="BX56" i="3"/>
  <c r="BX23" i="3"/>
  <c r="BX24" i="3"/>
  <c r="CC14" i="3"/>
  <c r="CC15" i="3"/>
  <c r="AS255" i="3"/>
  <c r="AS256" i="3"/>
  <c r="AS257" i="3"/>
  <c r="AS244" i="3"/>
  <c r="AS254" i="3"/>
  <c r="BI49" i="2"/>
  <c r="BU46" i="2"/>
  <c r="BU47" i="2"/>
  <c r="BU45" i="2"/>
  <c r="DP37" i="3"/>
  <c r="DP35" i="3"/>
  <c r="DP41" i="3" s="1"/>
  <c r="DQ41" i="3" s="1"/>
  <c r="BF44" i="3"/>
  <c r="BF54" i="3"/>
  <c r="BF53" i="3"/>
  <c r="AE52" i="2" s="1"/>
  <c r="P56" i="3"/>
  <c r="P23" i="3"/>
  <c r="P24" i="3"/>
  <c r="CS49" i="2"/>
  <c r="DW263" i="2"/>
  <c r="K71" i="2"/>
  <c r="EA117" i="2"/>
  <c r="EA118" i="2"/>
  <c r="AK71" i="5"/>
  <c r="AK72" i="5"/>
  <c r="AS249" i="3"/>
  <c r="CH46" i="2"/>
  <c r="CH45" i="2"/>
  <c r="CH47" i="2"/>
  <c r="ED53" i="3"/>
  <c r="CN52" i="2" s="1"/>
  <c r="ED54" i="3"/>
  <c r="ED44" i="3"/>
  <c r="DS27" i="2"/>
  <c r="DS28" i="2"/>
  <c r="DV44" i="2"/>
  <c r="DV43" i="2"/>
  <c r="AL49" i="2"/>
  <c r="BW58" i="4"/>
  <c r="CX76" i="4"/>
  <c r="CN27" i="5"/>
  <c r="CN26" i="5"/>
  <c r="AU244" i="3"/>
  <c r="DA37" i="3"/>
  <c r="DA35" i="3"/>
  <c r="CT46" i="2"/>
  <c r="CT47" i="2"/>
  <c r="CT45" i="2"/>
  <c r="BB246" i="2"/>
  <c r="BB247" i="2" s="1"/>
  <c r="AL246" i="3"/>
  <c r="BE267" i="2"/>
  <c r="BG155" i="2"/>
  <c r="BK156" i="2"/>
  <c r="BH155" i="2"/>
  <c r="AP246" i="3"/>
  <c r="BM267" i="2"/>
  <c r="BH95" i="3"/>
  <c r="BG100" i="3"/>
  <c r="BG104" i="3" s="1"/>
  <c r="AB56" i="3"/>
  <c r="AB23" i="3"/>
  <c r="AB32" i="3"/>
  <c r="AB24" i="3"/>
  <c r="AE22" i="3"/>
  <c r="Y246" i="3"/>
  <c r="AH22" i="5"/>
  <c r="AH23" i="5"/>
  <c r="AK53" i="3"/>
  <c r="N52" i="2" s="1"/>
  <c r="AK54" i="3"/>
  <c r="AK44" i="3"/>
  <c r="BU17" i="4"/>
  <c r="BV15" i="4"/>
  <c r="BU18" i="4"/>
  <c r="CW99" i="2"/>
  <c r="CV15" i="4"/>
  <c r="DV154" i="2"/>
  <c r="BM144" i="3"/>
  <c r="BN144" i="3"/>
  <c r="BL148" i="3"/>
  <c r="ER26" i="3"/>
  <c r="EQ28" i="3"/>
  <c r="DN44" i="3"/>
  <c r="DN53" i="3"/>
  <c r="CA52" i="2" s="1"/>
  <c r="DN54" i="3"/>
  <c r="ES57" i="3"/>
  <c r="BO96" i="3"/>
  <c r="BP96" i="3" s="1"/>
  <c r="BQ96" i="3" s="1"/>
  <c r="BR96" i="3" s="1"/>
  <c r="BN96" i="3"/>
  <c r="DP62" i="2" s="1"/>
  <c r="BW151" i="2"/>
  <c r="BW152" i="2"/>
  <c r="DG41" i="3"/>
  <c r="DV162" i="2"/>
  <c r="AQ49" i="2"/>
  <c r="AF37" i="3"/>
  <c r="AF35" i="3"/>
  <c r="EF56" i="3"/>
  <c r="EF107" i="3" s="1"/>
  <c r="EF23" i="3"/>
  <c r="EF24" i="3"/>
  <c r="EG24" i="3"/>
  <c r="CB46" i="2"/>
  <c r="CB47" i="2"/>
  <c r="CF46" i="2"/>
  <c r="BI164" i="2"/>
  <c r="BI163" i="2"/>
  <c r="BM164" i="2"/>
  <c r="BB247" i="3"/>
  <c r="BB173" i="3"/>
  <c r="DW43" i="2"/>
  <c r="DW44" i="2"/>
  <c r="DW42" i="2"/>
  <c r="BB37" i="3"/>
  <c r="BB35" i="3"/>
  <c r="AL37" i="3"/>
  <c r="AL35" i="3"/>
  <c r="AL41" i="3" s="1"/>
  <c r="BH168" i="2"/>
  <c r="AJ102" i="5"/>
  <c r="AK23" i="5"/>
  <c r="AK22" i="5"/>
  <c r="AN244" i="3"/>
  <c r="AN255" i="3"/>
  <c r="AN256" i="3"/>
  <c r="AN257" i="3"/>
  <c r="AP244" i="3"/>
  <c r="CN46" i="2"/>
  <c r="CN47" i="2"/>
  <c r="CN45" i="2"/>
  <c r="BW47" i="2"/>
  <c r="BW45" i="2"/>
  <c r="BW46" i="2"/>
  <c r="BJ241" i="2"/>
  <c r="BJ126" i="2"/>
  <c r="BJ124" i="2"/>
  <c r="BJ125" i="2"/>
  <c r="DC44" i="3"/>
  <c r="DC53" i="3"/>
  <c r="DC54" i="3"/>
  <c r="CZ35" i="2"/>
  <c r="CY37" i="2"/>
  <c r="E52" i="3"/>
  <c r="E44" i="3"/>
  <c r="E51" i="3"/>
  <c r="E54" i="3"/>
  <c r="CE32" i="3"/>
  <c r="CE24" i="3"/>
  <c r="CE56" i="3"/>
  <c r="CE23" i="3"/>
  <c r="CP44" i="3"/>
  <c r="CP54" i="3"/>
  <c r="CP53" i="3"/>
  <c r="BH52" i="2" s="1"/>
  <c r="BL275" i="2"/>
  <c r="BL273" i="2"/>
  <c r="BL271" i="2"/>
  <c r="BL263" i="2"/>
  <c r="BL276" i="2"/>
  <c r="BL274" i="2"/>
  <c r="BL244" i="2"/>
  <c r="BH239" i="2"/>
  <c r="BH245" i="2"/>
  <c r="BH238" i="2"/>
  <c r="BH123" i="2"/>
  <c r="BI124" i="2" s="1"/>
  <c r="BH240" i="2"/>
  <c r="BB74" i="5"/>
  <c r="CI54" i="3"/>
  <c r="CI44" i="3"/>
  <c r="CI53" i="3"/>
  <c r="BB52" i="2" s="1"/>
  <c r="BF267" i="2"/>
  <c r="BE155" i="2"/>
  <c r="AA22" i="5"/>
  <c r="AV37" i="3"/>
  <c r="AV35" i="3"/>
  <c r="S32" i="3"/>
  <c r="S24" i="3"/>
  <c r="S56" i="3"/>
  <c r="S23" i="3"/>
  <c r="AT154" i="3"/>
  <c r="Y52" i="3"/>
  <c r="Y54" i="3"/>
  <c r="E49" i="2" s="1"/>
  <c r="Y44" i="3"/>
  <c r="Y51" i="3"/>
  <c r="CX37" i="3"/>
  <c r="DB32" i="3"/>
  <c r="DB35" i="3" s="1"/>
  <c r="CX35" i="3"/>
  <c r="BI239" i="2"/>
  <c r="BC22" i="5"/>
  <c r="CA82" i="4"/>
  <c r="CG160" i="2"/>
  <c r="CG159" i="2"/>
  <c r="EJ115" i="3"/>
  <c r="EJ131" i="3" s="1"/>
  <c r="EJ58" i="3"/>
  <c r="CS55" i="2" s="1"/>
  <c r="AH72" i="5"/>
  <c r="AH71" i="5"/>
  <c r="AH174" i="3"/>
  <c r="AH14" i="3"/>
  <c r="AH22" i="3"/>
  <c r="AH15" i="3"/>
  <c r="AU247" i="3"/>
  <c r="AU173" i="3"/>
  <c r="ED118" i="2"/>
  <c r="BB74" i="3"/>
  <c r="BB86" i="3" s="1"/>
  <c r="BC63" i="3"/>
  <c r="CL46" i="2"/>
  <c r="X246" i="3"/>
  <c r="AL72" i="5"/>
  <c r="AL71" i="5"/>
  <c r="AZ70" i="2"/>
  <c r="AZ10" i="2"/>
  <c r="AZ9" i="2"/>
  <c r="AZ15" i="2"/>
  <c r="BD10" i="2"/>
  <c r="EO41" i="3"/>
  <c r="EP42" i="3"/>
  <c r="CH148" i="3"/>
  <c r="AJ14" i="6" l="1"/>
  <c r="BF76" i="5"/>
  <c r="AO65" i="5"/>
  <c r="BF65" i="5"/>
  <c r="BF31" i="5"/>
  <c r="BF32" i="5" s="1"/>
  <c r="BF35" i="5"/>
  <c r="BE21" i="5"/>
  <c r="BE22" i="5" s="1"/>
  <c r="CS76" i="5"/>
  <c r="CM101" i="5"/>
  <c r="CM103" i="5" s="1"/>
  <c r="BE78" i="5"/>
  <c r="BE77" i="5"/>
  <c r="AJ103" i="5"/>
  <c r="AG102" i="5"/>
  <c r="CN81" i="5"/>
  <c r="AF103" i="5"/>
  <c r="CM81" i="5"/>
  <c r="AF71" i="5"/>
  <c r="AF72" i="5"/>
  <c r="AC102" i="5"/>
  <c r="CM72" i="5"/>
  <c r="AG103" i="5"/>
  <c r="AD102" i="5"/>
  <c r="AD71" i="5"/>
  <c r="AC71" i="5"/>
  <c r="AG71" i="5"/>
  <c r="AN21" i="5"/>
  <c r="AN23" i="5" s="1"/>
  <c r="AN33" i="5"/>
  <c r="AN73" i="5"/>
  <c r="AN75" i="5" s="1"/>
  <c r="AN79" i="5"/>
  <c r="AN84" i="5"/>
  <c r="AN32" i="5"/>
  <c r="AM32" i="5"/>
  <c r="AM33" i="5"/>
  <c r="AM21" i="5"/>
  <c r="AN83" i="5"/>
  <c r="AM84" i="5"/>
  <c r="AM79" i="5"/>
  <c r="AM83" i="5"/>
  <c r="AM73" i="5"/>
  <c r="CN72" i="5"/>
  <c r="BO29" i="4"/>
  <c r="BO27" i="4"/>
  <c r="BO98" i="4"/>
  <c r="BO100" i="4" s="1"/>
  <c r="EF99" i="2"/>
  <c r="EF101" i="2" s="1"/>
  <c r="CV59" i="4"/>
  <c r="BU60" i="4"/>
  <c r="CT104" i="4"/>
  <c r="BM105" i="4"/>
  <c r="BP37" i="4"/>
  <c r="BP38" i="4" s="1"/>
  <c r="CQ152" i="3"/>
  <c r="DV41" i="3"/>
  <c r="CO46" i="2"/>
  <c r="DE44" i="3"/>
  <c r="DE53" i="3"/>
  <c r="BT52" i="2" s="1"/>
  <c r="BT54" i="2" s="1"/>
  <c r="DE54" i="3"/>
  <c r="CS46" i="2"/>
  <c r="M51" i="3"/>
  <c r="M44" i="3"/>
  <c r="M52" i="3"/>
  <c r="M54" i="3"/>
  <c r="BC22" i="3"/>
  <c r="BC14" i="3"/>
  <c r="BD13" i="3"/>
  <c r="BE15" i="3"/>
  <c r="BC15" i="3"/>
  <c r="DV150" i="2"/>
  <c r="EI44" i="3"/>
  <c r="EI53" i="3"/>
  <c r="CR52" i="2" s="1"/>
  <c r="CS53" i="2" s="1"/>
  <c r="EI54" i="3"/>
  <c r="AD9" i="2"/>
  <c r="AC9" i="2"/>
  <c r="AC70" i="2"/>
  <c r="AD70" i="2"/>
  <c r="Z71" i="2"/>
  <c r="AA71" i="2"/>
  <c r="AC71" i="2"/>
  <c r="AF70" i="2"/>
  <c r="AE70" i="2"/>
  <c r="AC15" i="2"/>
  <c r="AC17" i="2" s="1"/>
  <c r="AB71" i="2"/>
  <c r="DN8" i="2"/>
  <c r="DN10" i="2" s="1"/>
  <c r="EE42" i="2"/>
  <c r="BK152" i="2"/>
  <c r="BC174" i="3"/>
  <c r="BC247" i="3" s="1"/>
  <c r="BH139" i="2"/>
  <c r="DV138" i="2"/>
  <c r="DV141" i="2" s="1"/>
  <c r="BF164" i="2"/>
  <c r="CR46" i="2"/>
  <c r="CR47" i="2"/>
  <c r="AZ35" i="3"/>
  <c r="AZ37" i="3"/>
  <c r="CS45" i="2"/>
  <c r="CO45" i="2"/>
  <c r="BH151" i="2"/>
  <c r="CP45" i="2"/>
  <c r="BT46" i="2"/>
  <c r="BP46" i="2"/>
  <c r="BP47" i="2"/>
  <c r="AB43" i="2"/>
  <c r="AB42" i="2"/>
  <c r="AF42" i="2"/>
  <c r="AT45" i="2"/>
  <c r="EA18" i="2"/>
  <c r="EA17" i="2"/>
  <c r="EA19" i="2"/>
  <c r="CX22" i="2"/>
  <c r="BP45" i="2"/>
  <c r="CX23" i="2"/>
  <c r="CA44" i="2"/>
  <c r="EA40" i="2"/>
  <c r="CA43" i="2"/>
  <c r="CB41" i="2"/>
  <c r="CA42" i="2"/>
  <c r="CA41" i="2"/>
  <c r="AS45" i="2"/>
  <c r="DM10" i="2"/>
  <c r="AD42" i="2"/>
  <c r="AD43" i="2"/>
  <c r="AH42" i="2"/>
  <c r="AE41" i="2"/>
  <c r="CI42" i="2"/>
  <c r="CE44" i="2"/>
  <c r="EB40" i="2"/>
  <c r="CE42" i="2"/>
  <c r="CF41" i="2"/>
  <c r="CE43" i="2"/>
  <c r="CE41" i="2"/>
  <c r="EB18" i="2"/>
  <c r="EB19" i="2"/>
  <c r="EB17" i="2"/>
  <c r="EC17" i="2"/>
  <c r="BX42" i="3"/>
  <c r="BE37" i="3"/>
  <c r="BE35" i="3"/>
  <c r="EE27" i="2"/>
  <c r="ED27" i="2"/>
  <c r="AQ37" i="3"/>
  <c r="AQ35" i="3"/>
  <c r="AQ41" i="3" s="1"/>
  <c r="S42" i="2"/>
  <c r="S41" i="2"/>
  <c r="S43" i="2"/>
  <c r="W42" i="2"/>
  <c r="T16" i="2"/>
  <c r="T40" i="2"/>
  <c r="X17" i="2"/>
  <c r="T18" i="2"/>
  <c r="AQ44" i="2"/>
  <c r="DR40" i="2"/>
  <c r="AR41" i="2"/>
  <c r="AQ42" i="2"/>
  <c r="AQ41" i="2"/>
  <c r="AQ43" i="2"/>
  <c r="CT53" i="3"/>
  <c r="BK52" i="2" s="1"/>
  <c r="BK53" i="2" s="1"/>
  <c r="CT54" i="3"/>
  <c r="CT44" i="3"/>
  <c r="AN258" i="3"/>
  <c r="BA258" i="3"/>
  <c r="AR56" i="3"/>
  <c r="AR32" i="3"/>
  <c r="AR23" i="3"/>
  <c r="AR24" i="3"/>
  <c r="DR18" i="2"/>
  <c r="DR19" i="2"/>
  <c r="AR247" i="3"/>
  <c r="AR173" i="3"/>
  <c r="CY12" i="2"/>
  <c r="CZ11" i="2"/>
  <c r="ER11" i="3"/>
  <c r="ER116" i="3" s="1"/>
  <c r="CY13" i="2"/>
  <c r="AS42" i="2"/>
  <c r="AP41" i="2"/>
  <c r="DQ40" i="2"/>
  <c r="AO43" i="2"/>
  <c r="AO44" i="2"/>
  <c r="AO42" i="2"/>
  <c r="AO41" i="2"/>
  <c r="BC157" i="2"/>
  <c r="BC154" i="2" s="1"/>
  <c r="BC153" i="2"/>
  <c r="BC150" i="2" s="1"/>
  <c r="BC138" i="2"/>
  <c r="BC165" i="2"/>
  <c r="BC162" i="2" s="1"/>
  <c r="BC169" i="2"/>
  <c r="BC166" i="2" s="1"/>
  <c r="Z37" i="3"/>
  <c r="Z54" i="3" s="1"/>
  <c r="AX56" i="3"/>
  <c r="AX24" i="3"/>
  <c r="AZ24" i="3"/>
  <c r="AX32" i="3"/>
  <c r="AX23" i="3"/>
  <c r="BV53" i="3"/>
  <c r="AR52" i="2" s="1"/>
  <c r="AR53" i="2" s="1"/>
  <c r="BV54" i="3"/>
  <c r="BV44" i="3"/>
  <c r="BD41" i="2"/>
  <c r="BC41" i="2"/>
  <c r="BC43" i="2"/>
  <c r="BC44" i="2"/>
  <c r="BG42" i="2"/>
  <c r="DU40" i="2"/>
  <c r="AX247" i="3"/>
  <c r="AX173" i="3"/>
  <c r="CN44" i="3"/>
  <c r="CN54" i="3"/>
  <c r="CN53" i="3"/>
  <c r="BF52" i="2" s="1"/>
  <c r="BF54" i="2" s="1"/>
  <c r="BM44" i="3"/>
  <c r="BM53" i="3"/>
  <c r="AK52" i="2" s="1"/>
  <c r="AL53" i="2" s="1"/>
  <c r="BM54" i="3"/>
  <c r="CM56" i="3"/>
  <c r="CM23" i="3"/>
  <c r="DU53" i="3"/>
  <c r="CG52" i="2" s="1"/>
  <c r="CG53" i="2" s="1"/>
  <c r="DU54" i="3"/>
  <c r="DU44" i="3"/>
  <c r="DR17" i="2"/>
  <c r="DQ17" i="2"/>
  <c r="DQ18" i="2"/>
  <c r="DI44" i="3"/>
  <c r="DI53" i="3"/>
  <c r="BW52" i="2" s="1"/>
  <c r="DI54" i="3"/>
  <c r="CY53" i="3"/>
  <c r="BO52" i="2" s="1"/>
  <c r="CY54" i="3"/>
  <c r="CY44" i="3"/>
  <c r="Y18" i="2"/>
  <c r="Y40" i="2"/>
  <c r="Y16" i="2"/>
  <c r="Z16" i="2"/>
  <c r="EG44" i="3"/>
  <c r="EG53" i="3"/>
  <c r="CP52" i="2" s="1"/>
  <c r="EG54" i="3"/>
  <c r="BR37" i="3"/>
  <c r="BS37" i="3" s="1"/>
  <c r="BR35" i="3"/>
  <c r="BR42" i="3" s="1"/>
  <c r="BS42" i="3" s="1"/>
  <c r="DO44" i="3"/>
  <c r="DO53" i="3"/>
  <c r="CB52" i="2" s="1"/>
  <c r="CF54" i="2" s="1"/>
  <c r="DO54" i="3"/>
  <c r="DU19" i="2"/>
  <c r="DV17" i="2"/>
  <c r="DU18" i="2"/>
  <c r="EM53" i="3"/>
  <c r="CU52" i="2" s="1"/>
  <c r="EM54" i="3"/>
  <c r="EM44" i="3"/>
  <c r="AS258" i="3"/>
  <c r="BP53" i="3"/>
  <c r="AM52" i="2" s="1"/>
  <c r="BP54" i="3"/>
  <c r="BP44" i="3"/>
  <c r="CJ35" i="3"/>
  <c r="CJ37" i="3"/>
  <c r="CM32" i="3"/>
  <c r="CM35" i="3" s="1"/>
  <c r="DV239" i="2"/>
  <c r="CW27" i="2"/>
  <c r="CW26" i="2"/>
  <c r="CY32" i="2"/>
  <c r="DU267" i="2"/>
  <c r="CY21" i="2"/>
  <c r="CY23" i="2" s="1"/>
  <c r="DU252" i="2"/>
  <c r="CZ30" i="2"/>
  <c r="CZ21" i="2" s="1"/>
  <c r="BD177" i="2"/>
  <c r="DU123" i="2"/>
  <c r="P71" i="2"/>
  <c r="DU245" i="2"/>
  <c r="U10" i="2"/>
  <c r="BH246" i="2"/>
  <c r="BH247" i="2" s="1"/>
  <c r="DX274" i="2"/>
  <c r="DW274" i="2"/>
  <c r="BG246" i="2"/>
  <c r="BG247" i="2" s="1"/>
  <c r="CB169" i="2"/>
  <c r="CB166" i="2" s="1"/>
  <c r="CA166" i="2"/>
  <c r="DW252" i="2"/>
  <c r="DW256" i="2"/>
  <c r="DW271" i="2"/>
  <c r="CD168" i="2"/>
  <c r="BZ168" i="2"/>
  <c r="BZ167" i="2"/>
  <c r="AO15" i="3"/>
  <c r="AO14" i="3"/>
  <c r="DA160" i="2"/>
  <c r="DA159" i="2"/>
  <c r="BP46" i="4"/>
  <c r="BP102" i="4"/>
  <c r="BP103" i="4"/>
  <c r="BP57" i="4"/>
  <c r="BP24" i="4"/>
  <c r="AB37" i="3"/>
  <c r="AB35" i="3"/>
  <c r="AE32" i="3"/>
  <c r="DF115" i="3"/>
  <c r="DF131" i="3" s="1"/>
  <c r="DF58" i="3"/>
  <c r="BU55" i="2" s="1"/>
  <c r="BK138" i="2"/>
  <c r="BK143" i="2"/>
  <c r="AO77" i="5"/>
  <c r="AO78" i="5"/>
  <c r="BN24" i="5"/>
  <c r="BM26" i="5"/>
  <c r="BT84" i="4"/>
  <c r="BT73" i="4"/>
  <c r="BI244" i="2"/>
  <c r="BM243" i="2"/>
  <c r="DS106" i="3"/>
  <c r="DT96" i="3"/>
  <c r="CU23" i="4"/>
  <c r="AY56" i="3"/>
  <c r="AY23" i="3"/>
  <c r="CD143" i="2"/>
  <c r="AE34" i="3"/>
  <c r="AC39" i="3"/>
  <c r="AE39" i="3" s="1"/>
  <c r="AC35" i="3"/>
  <c r="BF27" i="5"/>
  <c r="BF51" i="5"/>
  <c r="BF50" i="5"/>
  <c r="BG48" i="5"/>
  <c r="AG35" i="3"/>
  <c r="AG37" i="3"/>
  <c r="BM146" i="2"/>
  <c r="BM147" i="2" s="1"/>
  <c r="BM84" i="2"/>
  <c r="BM86" i="2"/>
  <c r="BM79" i="2"/>
  <c r="DW83" i="2"/>
  <c r="CT52" i="2"/>
  <c r="EV82" i="3"/>
  <c r="EW82" i="3" s="1"/>
  <c r="EX82" i="3" s="1"/>
  <c r="EY82" i="3" s="1"/>
  <c r="EZ82" i="3" s="1"/>
  <c r="EU82" i="3"/>
  <c r="EO120" i="3"/>
  <c r="EP120" i="3" s="1"/>
  <c r="AV53" i="3"/>
  <c r="W52" i="2" s="1"/>
  <c r="X53" i="2" s="1"/>
  <c r="AV54" i="3"/>
  <c r="AV44" i="3"/>
  <c r="BV60" i="4"/>
  <c r="BV61" i="4"/>
  <c r="ED115" i="3"/>
  <c r="ED131" i="3" s="1"/>
  <c r="ED58" i="3"/>
  <c r="CN55" i="2" s="1"/>
  <c r="BK54" i="3"/>
  <c r="BK44" i="3"/>
  <c r="BK53" i="3"/>
  <c r="AI52" i="2" s="1"/>
  <c r="AJ53" i="2" s="1"/>
  <c r="BN37" i="3"/>
  <c r="BU49" i="2"/>
  <c r="BK239" i="2"/>
  <c r="BK238" i="2"/>
  <c r="BK240" i="2"/>
  <c r="BK245" i="2"/>
  <c r="BK123" i="2"/>
  <c r="DK14" i="2"/>
  <c r="DK13" i="2"/>
  <c r="L17" i="2"/>
  <c r="L16" i="2"/>
  <c r="L18" i="2"/>
  <c r="L40" i="2"/>
  <c r="DZ115" i="3"/>
  <c r="DZ131" i="3" s="1"/>
  <c r="DZ58" i="3"/>
  <c r="CK55" i="2" s="1"/>
  <c r="AQ61" i="2"/>
  <c r="AP66" i="5"/>
  <c r="AP76" i="5"/>
  <c r="AP65" i="5"/>
  <c r="CX26" i="2"/>
  <c r="CX27" i="2"/>
  <c r="R52" i="3"/>
  <c r="R54" i="3"/>
  <c r="R51" i="3"/>
  <c r="R44" i="3"/>
  <c r="CH90" i="2"/>
  <c r="CH88" i="2"/>
  <c r="BQ54" i="3"/>
  <c r="BQ44" i="3"/>
  <c r="BQ53" i="3"/>
  <c r="AN52" i="2" s="1"/>
  <c r="ET143" i="3"/>
  <c r="EU143" i="3" s="1"/>
  <c r="BZ37" i="3"/>
  <c r="BZ35" i="3"/>
  <c r="BC250" i="3"/>
  <c r="BC175" i="3"/>
  <c r="CF61" i="2"/>
  <c r="DX158" i="3"/>
  <c r="CI58" i="2" s="1"/>
  <c r="DX152" i="3"/>
  <c r="BZ53" i="2"/>
  <c r="CG86" i="3"/>
  <c r="CH86" i="3" s="1"/>
  <c r="CH84" i="3"/>
  <c r="DF82" i="3"/>
  <c r="DE84" i="3"/>
  <c r="U40" i="2"/>
  <c r="U18" i="2"/>
  <c r="U16" i="2"/>
  <c r="Y17" i="2"/>
  <c r="DL15" i="2"/>
  <c r="DM17" i="2" s="1"/>
  <c r="AW49" i="2"/>
  <c r="BI61" i="2"/>
  <c r="AO60" i="5"/>
  <c r="AO63" i="5"/>
  <c r="AO62" i="5"/>
  <c r="AO61" i="5"/>
  <c r="CO59" i="5"/>
  <c r="V115" i="3"/>
  <c r="AA42" i="2"/>
  <c r="AA41" i="2"/>
  <c r="AA43" i="2"/>
  <c r="AB41" i="2"/>
  <c r="AE42" i="2"/>
  <c r="BV49" i="2"/>
  <c r="CH52" i="2"/>
  <c r="DL13" i="2"/>
  <c r="EB53" i="3"/>
  <c r="EB54" i="3"/>
  <c r="EF37" i="3"/>
  <c r="EB44" i="3"/>
  <c r="BW54" i="3"/>
  <c r="BW44" i="3"/>
  <c r="BW53" i="3"/>
  <c r="AS52" i="2" s="1"/>
  <c r="AW115" i="3"/>
  <c r="AW58" i="3"/>
  <c r="X55" i="2" s="1"/>
  <c r="DW165" i="2"/>
  <c r="DW164" i="2"/>
  <c r="DX164" i="2"/>
  <c r="AL11" i="6"/>
  <c r="AK13" i="6"/>
  <c r="AR93" i="5"/>
  <c r="AQ95" i="5"/>
  <c r="AQ94" i="5"/>
  <c r="BE82" i="5"/>
  <c r="BE52" i="5"/>
  <c r="BE53" i="5"/>
  <c r="BR21" i="4"/>
  <c r="BQ26" i="4"/>
  <c r="CQ118" i="2"/>
  <c r="CQ117" i="2"/>
  <c r="CG155" i="2"/>
  <c r="CG156" i="2"/>
  <c r="CB92" i="4"/>
  <c r="CC91" i="4"/>
  <c r="CC92" i="4" s="1"/>
  <c r="O52" i="3"/>
  <c r="O54" i="3"/>
  <c r="O51" i="3"/>
  <c r="O44" i="3"/>
  <c r="EQ41" i="3"/>
  <c r="CQ122" i="2"/>
  <c r="CR119" i="2"/>
  <c r="CH159" i="2"/>
  <c r="CH160" i="2"/>
  <c r="CL160" i="2"/>
  <c r="CS51" i="5"/>
  <c r="BF241" i="2"/>
  <c r="BJ243" i="2" s="1"/>
  <c r="BF126" i="2"/>
  <c r="BF125" i="2"/>
  <c r="DV123" i="2"/>
  <c r="BF124" i="2"/>
  <c r="AA115" i="3"/>
  <c r="BD246" i="2"/>
  <c r="BD247" i="2" s="1"/>
  <c r="AF246" i="3"/>
  <c r="K43" i="2"/>
  <c r="K42" i="2"/>
  <c r="K41" i="2"/>
  <c r="O42" i="2"/>
  <c r="BD73" i="5"/>
  <c r="BD79" i="5"/>
  <c r="BD83" i="5"/>
  <c r="CF79" i="2"/>
  <c r="EL115" i="3"/>
  <c r="EL58" i="3"/>
  <c r="CT55" i="2" s="1"/>
  <c r="N71" i="2"/>
  <c r="EB154" i="2"/>
  <c r="BX58" i="4"/>
  <c r="CM61" i="2"/>
  <c r="AG246" i="3"/>
  <c r="EO146" i="3"/>
  <c r="EO148" i="3" s="1"/>
  <c r="CZ167" i="2"/>
  <c r="CZ168" i="2"/>
  <c r="BV47" i="5"/>
  <c r="BV46" i="5"/>
  <c r="CC82" i="4"/>
  <c r="CG22" i="3"/>
  <c r="CG15" i="3"/>
  <c r="CG14" i="3"/>
  <c r="CI15" i="3"/>
  <c r="BD126" i="2"/>
  <c r="BD124" i="2"/>
  <c r="BD241" i="2"/>
  <c r="DW157" i="2"/>
  <c r="DW156" i="2"/>
  <c r="DX156" i="2"/>
  <c r="DS54" i="3"/>
  <c r="DS44" i="3"/>
  <c r="DS53" i="3"/>
  <c r="CE52" i="2" s="1"/>
  <c r="V43" i="2"/>
  <c r="V42" i="2"/>
  <c r="DM40" i="2"/>
  <c r="Z42" i="2"/>
  <c r="W41" i="2"/>
  <c r="Y115" i="3"/>
  <c r="Y131" i="3" s="1"/>
  <c r="CI58" i="3"/>
  <c r="BB55" i="2" s="1"/>
  <c r="CI115" i="3"/>
  <c r="BU53" i="2"/>
  <c r="BY54" i="2"/>
  <c r="BB71" i="5"/>
  <c r="BH24" i="3"/>
  <c r="BH56" i="3"/>
  <c r="BH23" i="3"/>
  <c r="BH32" i="3"/>
  <c r="BJ24" i="3"/>
  <c r="BI22" i="3"/>
  <c r="BY67" i="4"/>
  <c r="BZ65" i="4"/>
  <c r="BY70" i="4"/>
  <c r="BH59" i="5"/>
  <c r="BH11" i="5"/>
  <c r="BH10" i="5"/>
  <c r="BH34" i="5"/>
  <c r="BC169" i="3"/>
  <c r="BC243" i="3"/>
  <c r="BC253" i="3" s="1"/>
  <c r="AS247" i="3"/>
  <c r="AS173" i="3"/>
  <c r="CZ93" i="2"/>
  <c r="DA91" i="2"/>
  <c r="EG91" i="2" s="1"/>
  <c r="DI18" i="2"/>
  <c r="DI17" i="2"/>
  <c r="BA246" i="3"/>
  <c r="CZ160" i="2"/>
  <c r="CZ159" i="2"/>
  <c r="EG158" i="2"/>
  <c r="AX258" i="3"/>
  <c r="K53" i="3"/>
  <c r="K54" i="3"/>
  <c r="CS115" i="3"/>
  <c r="CS58" i="3"/>
  <c r="BJ55" i="2" s="1"/>
  <c r="BE124" i="2"/>
  <c r="BE241" i="2"/>
  <c r="BI243" i="2" s="1"/>
  <c r="BE126" i="2"/>
  <c r="BO131" i="3"/>
  <c r="EK41" i="3"/>
  <c r="BO13" i="6"/>
  <c r="CE116" i="2"/>
  <c r="CE118" i="2"/>
  <c r="CE117" i="2"/>
  <c r="AU37" i="3"/>
  <c r="AY32" i="3"/>
  <c r="AU35" i="3"/>
  <c r="AO35" i="5"/>
  <c r="AO31" i="5"/>
  <c r="AO36" i="5"/>
  <c r="AO82" i="5"/>
  <c r="CO34" i="5"/>
  <c r="BM49" i="2"/>
  <c r="DH115" i="3"/>
  <c r="DH58" i="3"/>
  <c r="BV55" i="2" s="1"/>
  <c r="BZ57" i="2" s="1"/>
  <c r="DR115" i="3"/>
  <c r="DR58" i="3"/>
  <c r="CD55" i="2" s="1"/>
  <c r="AX49" i="2"/>
  <c r="AP53" i="3"/>
  <c r="R52" i="2" s="1"/>
  <c r="AP54" i="3"/>
  <c r="AP44" i="3"/>
  <c r="EG113" i="2"/>
  <c r="X49" i="2"/>
  <c r="AM247" i="3"/>
  <c r="AM173" i="3"/>
  <c r="BT25" i="4"/>
  <c r="DC161" i="2"/>
  <c r="AK103" i="5"/>
  <c r="AK102" i="5"/>
  <c r="BE18" i="4"/>
  <c r="BE16" i="4"/>
  <c r="BE17" i="4"/>
  <c r="CE82" i="2"/>
  <c r="CE80" i="2"/>
  <c r="CE142" i="2"/>
  <c r="AK7" i="6"/>
  <c r="AK17" i="6"/>
  <c r="AK8" i="6" s="1"/>
  <c r="AL5" i="6"/>
  <c r="AB246" i="3"/>
  <c r="CL53" i="3"/>
  <c r="BE52" i="2" s="1"/>
  <c r="CL54" i="3"/>
  <c r="CL44" i="3"/>
  <c r="L52" i="3"/>
  <c r="L54" i="3"/>
  <c r="L51" i="3"/>
  <c r="L44" i="3"/>
  <c r="P37" i="3"/>
  <c r="AY42" i="2"/>
  <c r="AY41" i="2"/>
  <c r="AY44" i="2"/>
  <c r="AY43" i="2"/>
  <c r="BC42" i="2"/>
  <c r="DZ47" i="2"/>
  <c r="DZ46" i="2"/>
  <c r="DB136" i="3"/>
  <c r="CN23" i="5"/>
  <c r="DJ15" i="2"/>
  <c r="BO5" i="6"/>
  <c r="EG103" i="2"/>
  <c r="BB54" i="2"/>
  <c r="CA54" i="2"/>
  <c r="CA53" i="2"/>
  <c r="DA54" i="3"/>
  <c r="DA44" i="3"/>
  <c r="DA53" i="3"/>
  <c r="BQ52" i="2" s="1"/>
  <c r="DQ63" i="3"/>
  <c r="EA62" i="2" s="1"/>
  <c r="DP74" i="3"/>
  <c r="DQ74" i="3" s="1"/>
  <c r="DR63" i="3"/>
  <c r="CV96" i="2"/>
  <c r="CV97" i="2"/>
  <c r="BB257" i="3"/>
  <c r="BB244" i="3"/>
  <c r="BB255" i="3"/>
  <c r="BB256" i="3"/>
  <c r="BB254" i="3"/>
  <c r="BZ50" i="2"/>
  <c r="BT62" i="4"/>
  <c r="BL115" i="3"/>
  <c r="BL58" i="3"/>
  <c r="AJ55" i="2" s="1"/>
  <c r="BP53" i="2"/>
  <c r="AH247" i="3"/>
  <c r="AH173" i="3"/>
  <c r="CX53" i="3"/>
  <c r="CX54" i="3"/>
  <c r="CX44" i="3"/>
  <c r="DB37" i="3"/>
  <c r="BS96" i="3"/>
  <c r="DQ62" i="2" s="1"/>
  <c r="BT96" i="3"/>
  <c r="BU96" i="3" s="1"/>
  <c r="BV96" i="3" s="1"/>
  <c r="BW96" i="3" s="1"/>
  <c r="BO144" i="3"/>
  <c r="BM148" i="3"/>
  <c r="BN148" i="3" s="1"/>
  <c r="EJ158" i="3"/>
  <c r="CS58" i="2" s="1"/>
  <c r="EJ152" i="3"/>
  <c r="BR49" i="2"/>
  <c r="AL53" i="3"/>
  <c r="O52" i="2" s="1"/>
  <c r="AL54" i="3"/>
  <c r="AL44" i="3"/>
  <c r="DV157" i="2"/>
  <c r="AK115" i="3"/>
  <c r="AK58" i="3"/>
  <c r="N55" i="2" s="1"/>
  <c r="AF53" i="2"/>
  <c r="DL104" i="3"/>
  <c r="BH173" i="2"/>
  <c r="BG170" i="2"/>
  <c r="BE63" i="3"/>
  <c r="BD63" i="3"/>
  <c r="DN62" i="2" s="1"/>
  <c r="BC74" i="3"/>
  <c r="AU246" i="3"/>
  <c r="BB49" i="2"/>
  <c r="BH54" i="2"/>
  <c r="BR52" i="2"/>
  <c r="BJ242" i="2"/>
  <c r="BJ244" i="2"/>
  <c r="BN243" i="2"/>
  <c r="DW46" i="2"/>
  <c r="DW47" i="2"/>
  <c r="EP41" i="3"/>
  <c r="ET57" i="3"/>
  <c r="EU57" i="3" s="1"/>
  <c r="CV18" i="4"/>
  <c r="CV17" i="4"/>
  <c r="CV73" i="4"/>
  <c r="DV47" i="2"/>
  <c r="CN53" i="2"/>
  <c r="CR54" i="2"/>
  <c r="AE49" i="2"/>
  <c r="DP53" i="3"/>
  <c r="CC52" i="2" s="1"/>
  <c r="DP54" i="3"/>
  <c r="DP44" i="3"/>
  <c r="CW65" i="4"/>
  <c r="BE23" i="5"/>
  <c r="BW54" i="4"/>
  <c r="AN90" i="5"/>
  <c r="AM92" i="5"/>
  <c r="AM96" i="5"/>
  <c r="AM91" i="5"/>
  <c r="DQ81" i="3"/>
  <c r="DP84" i="3"/>
  <c r="DR81" i="3"/>
  <c r="CO76" i="5"/>
  <c r="CO78" i="5" s="1"/>
  <c r="CO66" i="5"/>
  <c r="BF174" i="2"/>
  <c r="BF172" i="2"/>
  <c r="BF171" i="2"/>
  <c r="EE54" i="3"/>
  <c r="EE44" i="3"/>
  <c r="EE53" i="3"/>
  <c r="CO52" i="2" s="1"/>
  <c r="DD53" i="3"/>
  <c r="BS52" i="2" s="1"/>
  <c r="DD54" i="3"/>
  <c r="DD44" i="3"/>
  <c r="DG44" i="3" s="1"/>
  <c r="DG58" i="3" s="1"/>
  <c r="CV151" i="2"/>
  <c r="CV152" i="2"/>
  <c r="EV91" i="3"/>
  <c r="EU91" i="3"/>
  <c r="CV155" i="2"/>
  <c r="CV156" i="2"/>
  <c r="BI64" i="5"/>
  <c r="CT64" i="5" s="1"/>
  <c r="CT66" i="5" s="1"/>
  <c r="BI37" i="5"/>
  <c r="BI85" i="5" s="1"/>
  <c r="BJ12" i="5"/>
  <c r="BI9" i="5"/>
  <c r="BB253" i="3"/>
  <c r="BF78" i="5"/>
  <c r="BF77" i="5"/>
  <c r="BQ32" i="4"/>
  <c r="CU32" i="4" s="1"/>
  <c r="BP35" i="4"/>
  <c r="AY77" i="3"/>
  <c r="AZ77" i="3"/>
  <c r="AX76" i="3"/>
  <c r="AY76" i="3" s="1"/>
  <c r="BE177" i="2"/>
  <c r="BE175" i="2"/>
  <c r="BB249" i="3"/>
  <c r="DO10" i="2"/>
  <c r="DP10" i="2"/>
  <c r="BG60" i="5"/>
  <c r="BG63" i="5"/>
  <c r="BG62" i="5"/>
  <c r="BG61" i="5"/>
  <c r="CK158" i="3"/>
  <c r="BD58" i="2" s="1"/>
  <c r="CK152" i="3"/>
  <c r="EH53" i="3"/>
  <c r="EH54" i="3"/>
  <c r="EH44" i="3"/>
  <c r="EK37" i="3"/>
  <c r="CG123" i="2"/>
  <c r="CF115" i="2"/>
  <c r="CJ125" i="2"/>
  <c r="CF126" i="2"/>
  <c r="CF125" i="2"/>
  <c r="CF124" i="2"/>
  <c r="CM57" i="2"/>
  <c r="DV274" i="2"/>
  <c r="DV263" i="2"/>
  <c r="DV252" i="2"/>
  <c r="DV256" i="2"/>
  <c r="DV271" i="2"/>
  <c r="BM54" i="2"/>
  <c r="DO93" i="3"/>
  <c r="DO100" i="3" s="1"/>
  <c r="DO104" i="3" s="1"/>
  <c r="DP88" i="3"/>
  <c r="DV37" i="3"/>
  <c r="AX53" i="2"/>
  <c r="AX54" i="2"/>
  <c r="N52" i="3"/>
  <c r="N54" i="3"/>
  <c r="N51" i="3"/>
  <c r="N44" i="3"/>
  <c r="BF21" i="5"/>
  <c r="CF56" i="3"/>
  <c r="CF24" i="3"/>
  <c r="CF23" i="3"/>
  <c r="CF32" i="3"/>
  <c r="EB101" i="2"/>
  <c r="BC80" i="5"/>
  <c r="BC70" i="5"/>
  <c r="AJ19" i="6"/>
  <c r="AJ18" i="6"/>
  <c r="ED47" i="2"/>
  <c r="ED46" i="2"/>
  <c r="CN101" i="5"/>
  <c r="BF15" i="4"/>
  <c r="CH100" i="2"/>
  <c r="CH154" i="2"/>
  <c r="CH101" i="2"/>
  <c r="CH102" i="2"/>
  <c r="CL101" i="2"/>
  <c r="CI158" i="2"/>
  <c r="CI105" i="2"/>
  <c r="CM105" i="2"/>
  <c r="CI99" i="2"/>
  <c r="CI131" i="2" s="1"/>
  <c r="CJ103" i="2"/>
  <c r="BW43" i="4"/>
  <c r="F50" i="2"/>
  <c r="F51" i="2"/>
  <c r="DL41" i="3"/>
  <c r="CB69" i="4"/>
  <c r="BZ56" i="2"/>
  <c r="BJ131" i="3"/>
  <c r="DM18" i="2"/>
  <c r="AT49" i="2"/>
  <c r="BX151" i="2"/>
  <c r="BX152" i="2"/>
  <c r="Q52" i="3"/>
  <c r="Q44" i="3"/>
  <c r="Q54" i="3"/>
  <c r="Q51" i="3"/>
  <c r="CL93" i="3"/>
  <c r="CN88" i="3"/>
  <c r="CM88" i="3"/>
  <c r="CK49" i="2"/>
  <c r="X52" i="3"/>
  <c r="X54" i="3"/>
  <c r="D49" i="2" s="1"/>
  <c r="X44" i="3"/>
  <c r="X51" i="3"/>
  <c r="BX72" i="4"/>
  <c r="BX71" i="4"/>
  <c r="AD52" i="3"/>
  <c r="AD51" i="3"/>
  <c r="AD54" i="3"/>
  <c r="I49" i="2" s="1"/>
  <c r="AD44" i="3"/>
  <c r="AN250" i="3"/>
  <c r="AN249" i="3" s="1"/>
  <c r="AN175" i="3"/>
  <c r="CH14" i="3"/>
  <c r="CH15" i="3"/>
  <c r="CM15" i="3"/>
  <c r="AL57" i="2"/>
  <c r="CJ82" i="3"/>
  <c r="CI84" i="3"/>
  <c r="CI86" i="3" s="1"/>
  <c r="CB115" i="3"/>
  <c r="CB131" i="3" s="1"/>
  <c r="CB58" i="3"/>
  <c r="AW55" i="2" s="1"/>
  <c r="BV52" i="2"/>
  <c r="CH49" i="2"/>
  <c r="BC173" i="3"/>
  <c r="AM56" i="3"/>
  <c r="AM32" i="3"/>
  <c r="AM24" i="3"/>
  <c r="AM23" i="3"/>
  <c r="AF52" i="3"/>
  <c r="AF41" i="3"/>
  <c r="DN115" i="3"/>
  <c r="DN131" i="3" s="1"/>
  <c r="DN58" i="3"/>
  <c r="CA55" i="2" s="1"/>
  <c r="AF54" i="3"/>
  <c r="AF44" i="3"/>
  <c r="AF51" i="3"/>
  <c r="DV165" i="2"/>
  <c r="AL51" i="2"/>
  <c r="CN49" i="2"/>
  <c r="T56" i="3"/>
  <c r="T32" i="3"/>
  <c r="T23" i="3"/>
  <c r="T24" i="3"/>
  <c r="V24" i="3"/>
  <c r="U22" i="3"/>
  <c r="DJ53" i="3"/>
  <c r="BX52" i="2" s="1"/>
  <c r="DJ54" i="3"/>
  <c r="DJ44" i="3"/>
  <c r="BH241" i="2"/>
  <c r="BI242" i="2" s="1"/>
  <c r="BH126" i="2"/>
  <c r="BH125" i="2"/>
  <c r="BH124" i="2"/>
  <c r="BH49" i="2"/>
  <c r="CE37" i="3"/>
  <c r="CE35" i="3"/>
  <c r="DC58" i="3"/>
  <c r="BR55" i="2" s="1"/>
  <c r="DC115" i="3"/>
  <c r="BB53" i="3"/>
  <c r="AB52" i="2" s="1"/>
  <c r="BB54" i="3"/>
  <c r="BB44" i="3"/>
  <c r="BB246" i="3"/>
  <c r="ER28" i="3"/>
  <c r="ES26" i="3"/>
  <c r="CW101" i="2"/>
  <c r="CW154" i="2"/>
  <c r="EF154" i="2" s="1"/>
  <c r="CW100" i="2"/>
  <c r="CW95" i="2"/>
  <c r="N49" i="2"/>
  <c r="AE24" i="3"/>
  <c r="AE56" i="3"/>
  <c r="AE23" i="3"/>
  <c r="BJ95" i="3"/>
  <c r="BI95" i="3"/>
  <c r="BH100" i="3"/>
  <c r="BF115" i="3"/>
  <c r="BF131" i="3" s="1"/>
  <c r="BF58" i="3"/>
  <c r="AE55" i="2" s="1"/>
  <c r="BO103" i="4"/>
  <c r="BO46" i="4"/>
  <c r="BO102" i="4"/>
  <c r="BO24" i="4"/>
  <c r="U14" i="3"/>
  <c r="U15" i="3"/>
  <c r="Z15" i="3"/>
  <c r="DO86" i="3"/>
  <c r="CG110" i="2"/>
  <c r="CG133" i="2"/>
  <c r="CG132" i="2"/>
  <c r="CG98" i="2"/>
  <c r="CG78" i="2"/>
  <c r="CG122" i="2"/>
  <c r="CG114" i="2"/>
  <c r="CG94" i="2"/>
  <c r="CG134" i="2"/>
  <c r="EB131" i="2"/>
  <c r="EB102" i="2" s="1"/>
  <c r="CG90" i="2"/>
  <c r="CG106" i="2"/>
  <c r="Q10" i="2"/>
  <c r="Q9" i="2"/>
  <c r="T70" i="2"/>
  <c r="Q15" i="2"/>
  <c r="Q71" i="2"/>
  <c r="Q70" i="2"/>
  <c r="R70" i="2"/>
  <c r="S70" i="2"/>
  <c r="R9" i="2"/>
  <c r="CX153" i="2"/>
  <c r="CW150" i="2"/>
  <c r="AP59" i="5"/>
  <c r="AP34" i="5"/>
  <c r="AP11" i="5"/>
  <c r="AP10" i="5"/>
  <c r="DB103" i="2"/>
  <c r="DA105" i="2"/>
  <c r="BH76" i="5"/>
  <c r="CJ87" i="2"/>
  <c r="CR115" i="2"/>
  <c r="CR126" i="2"/>
  <c r="CR125" i="2"/>
  <c r="CR124" i="2"/>
  <c r="CS123" i="2"/>
  <c r="EE123" i="2" s="1"/>
  <c r="DY54" i="3"/>
  <c r="DY44" i="3"/>
  <c r="EA44" i="3" s="1"/>
  <c r="DY53" i="3"/>
  <c r="CJ52" i="2" s="1"/>
  <c r="AT14" i="3"/>
  <c r="AT15" i="3"/>
  <c r="BO35" i="4"/>
  <c r="BR36" i="4"/>
  <c r="DC63" i="3"/>
  <c r="DD63" i="3" s="1"/>
  <c r="DB63" i="3"/>
  <c r="CO54" i="3"/>
  <c r="CO44" i="3"/>
  <c r="CO53" i="3"/>
  <c r="BG52" i="2" s="1"/>
  <c r="CR37" i="3"/>
  <c r="CR53" i="3" s="1"/>
  <c r="BL81" i="2"/>
  <c r="BL82" i="2"/>
  <c r="BL80" i="2"/>
  <c r="BL142" i="2"/>
  <c r="BL237" i="2"/>
  <c r="G42" i="2"/>
  <c r="G41" i="2"/>
  <c r="G43" i="2"/>
  <c r="DI40" i="2"/>
  <c r="H41" i="2"/>
  <c r="AG18" i="2"/>
  <c r="AG40" i="2"/>
  <c r="AG16" i="2"/>
  <c r="AH16" i="2"/>
  <c r="AK17" i="2"/>
  <c r="DO15" i="2"/>
  <c r="AJ49" i="2"/>
  <c r="BJ49" i="2"/>
  <c r="BE246" i="2"/>
  <c r="BE247" i="2" s="1"/>
  <c r="BG35" i="5"/>
  <c r="BG31" i="5"/>
  <c r="BG36" i="5"/>
  <c r="CW47" i="5"/>
  <c r="CV58" i="3"/>
  <c r="BM55" i="2" s="1"/>
  <c r="DD20" i="2"/>
  <c r="DW115" i="3"/>
  <c r="DW58" i="3"/>
  <c r="CH55" i="2" s="1"/>
  <c r="CI56" i="2" s="1"/>
  <c r="CD49" i="2"/>
  <c r="CD115" i="3"/>
  <c r="CD58" i="3"/>
  <c r="AX55" i="2" s="1"/>
  <c r="DB111" i="2"/>
  <c r="DA113" i="2"/>
  <c r="DA166" i="2"/>
  <c r="EG166" i="2" s="1"/>
  <c r="CZ58" i="3"/>
  <c r="BP55" i="2" s="1"/>
  <c r="CU54" i="3"/>
  <c r="CU44" i="3"/>
  <c r="CW44" i="3" s="1"/>
  <c r="CW58" i="3" s="1"/>
  <c r="CU53" i="3"/>
  <c r="BL52" i="2" s="1"/>
  <c r="BP54" i="2" s="1"/>
  <c r="BY61" i="2"/>
  <c r="CI88" i="2"/>
  <c r="BX42" i="5"/>
  <c r="BW44" i="5"/>
  <c r="BG124" i="2"/>
  <c r="BG241" i="2"/>
  <c r="BG125" i="2"/>
  <c r="BG126" i="2"/>
  <c r="BC74" i="5"/>
  <c r="AU43" i="2"/>
  <c r="AU42" i="2"/>
  <c r="AU41" i="2"/>
  <c r="AU44" i="2"/>
  <c r="BX97" i="3"/>
  <c r="BY97" i="3"/>
  <c r="BZ97" i="3" s="1"/>
  <c r="CA97" i="3" s="1"/>
  <c r="CB97" i="3" s="1"/>
  <c r="BN106" i="4"/>
  <c r="BN105" i="4"/>
  <c r="BT48" i="4"/>
  <c r="BU47" i="4"/>
  <c r="DM131" i="3"/>
  <c r="AR30" i="5"/>
  <c r="AR29" i="5"/>
  <c r="AS28" i="5"/>
  <c r="AI32" i="3"/>
  <c r="AI24" i="3"/>
  <c r="AI23" i="3"/>
  <c r="AI56" i="3"/>
  <c r="AK24" i="3"/>
  <c r="V16" i="2"/>
  <c r="BZ153" i="2"/>
  <c r="BY150" i="2"/>
  <c r="BV17" i="4"/>
  <c r="BW15" i="4"/>
  <c r="BV18" i="4"/>
  <c r="CX99" i="2"/>
  <c r="DW153" i="2"/>
  <c r="DW152" i="2"/>
  <c r="DX152" i="2"/>
  <c r="AZ40" i="2"/>
  <c r="AZ16" i="2"/>
  <c r="AZ18" i="2"/>
  <c r="AZ17" i="2"/>
  <c r="AZ19" i="2"/>
  <c r="BD17" i="2"/>
  <c r="AH56" i="3"/>
  <c r="AH23" i="3"/>
  <c r="AH32" i="3"/>
  <c r="AH24" i="3"/>
  <c r="AY154" i="3"/>
  <c r="S37" i="3"/>
  <c r="S35" i="3"/>
  <c r="CP115" i="3"/>
  <c r="CP131" i="3" s="1"/>
  <c r="CP58" i="3"/>
  <c r="BH55" i="2" s="1"/>
  <c r="ES17" i="3"/>
  <c r="DA35" i="2"/>
  <c r="CZ37" i="2"/>
  <c r="DV153" i="2"/>
  <c r="CA49" i="2"/>
  <c r="AL101" i="5"/>
  <c r="AL97" i="5"/>
  <c r="BN83" i="2"/>
  <c r="AN174" i="3"/>
  <c r="AN14" i="3"/>
  <c r="AN22" i="3"/>
  <c r="AN15" i="3"/>
  <c r="AP15" i="3"/>
  <c r="BT53" i="3"/>
  <c r="AP52" i="2" s="1"/>
  <c r="BT54" i="3"/>
  <c r="BX37" i="3"/>
  <c r="BT44" i="3"/>
  <c r="V246" i="3"/>
  <c r="BL61" i="2"/>
  <c r="BP60" i="2"/>
  <c r="AJ22" i="3"/>
  <c r="BI15" i="3"/>
  <c r="BI14" i="3"/>
  <c r="BN15" i="3"/>
  <c r="BB244" i="2"/>
  <c r="EC47" i="2"/>
  <c r="BO99" i="4"/>
  <c r="W52" i="3"/>
  <c r="W51" i="3"/>
  <c r="W44" i="3"/>
  <c r="W54" i="3"/>
  <c r="C49" i="2" s="1"/>
  <c r="C50" i="2" s="1"/>
  <c r="AS56" i="3"/>
  <c r="AS23" i="3"/>
  <c r="AS24" i="3"/>
  <c r="AS32" i="3"/>
  <c r="AT22" i="3"/>
  <c r="AY24" i="3" s="1"/>
  <c r="CC56" i="3"/>
  <c r="CC24" i="3"/>
  <c r="CC23" i="3"/>
  <c r="BC244" i="2"/>
  <c r="BC242" i="2"/>
  <c r="AJ54" i="2"/>
  <c r="BJ53" i="2"/>
  <c r="CR17" i="4"/>
  <c r="CR18" i="4"/>
  <c r="CA32" i="3"/>
  <c r="CA24" i="3"/>
  <c r="CA56" i="3"/>
  <c r="CA23" i="3"/>
  <c r="CB24" i="3"/>
  <c r="CD52" i="2"/>
  <c r="EN148" i="3"/>
  <c r="DX46" i="2"/>
  <c r="DX47" i="2"/>
  <c r="EF41" i="3"/>
  <c r="BP49" i="2"/>
  <c r="AC37" i="3"/>
  <c r="BP29" i="4"/>
  <c r="CG102" i="2"/>
  <c r="CB82" i="4"/>
  <c r="CX81" i="4"/>
  <c r="EA41" i="3"/>
  <c r="CZ29" i="2"/>
  <c r="CY34" i="2"/>
  <c r="ER42" i="3"/>
  <c r="ER41" i="3" s="1"/>
  <c r="CH132" i="2"/>
  <c r="CH122" i="2"/>
  <c r="CH114" i="2"/>
  <c r="CH133" i="2"/>
  <c r="CH134" i="2"/>
  <c r="CH110" i="2"/>
  <c r="CH98" i="2"/>
  <c r="CH78" i="2"/>
  <c r="CH94" i="2"/>
  <c r="CL133" i="2"/>
  <c r="DS17" i="2"/>
  <c r="DS19" i="2"/>
  <c r="DS18" i="2"/>
  <c r="BI53" i="2"/>
  <c r="DV245" i="2"/>
  <c r="BF246" i="2"/>
  <c r="BF247" i="2" s="1"/>
  <c r="BA10" i="2"/>
  <c r="BA9" i="2"/>
  <c r="BD70" i="2"/>
  <c r="BA15" i="2"/>
  <c r="BB70" i="2"/>
  <c r="BC70" i="2"/>
  <c r="BB9" i="2"/>
  <c r="BE10" i="2"/>
  <c r="BA71" i="2"/>
  <c r="BA70" i="2"/>
  <c r="DT8" i="2"/>
  <c r="AX71" i="2"/>
  <c r="AY71" i="2"/>
  <c r="AV18" i="2"/>
  <c r="AV17" i="2"/>
  <c r="AV16" i="2"/>
  <c r="AV19" i="2"/>
  <c r="AV40" i="2"/>
  <c r="AW16" i="2"/>
  <c r="F44" i="3"/>
  <c r="F58" i="3" s="1"/>
  <c r="BS49" i="4"/>
  <c r="BS51" i="4"/>
  <c r="BS50" i="4"/>
  <c r="EQ48" i="3"/>
  <c r="EQ46" i="3" s="1"/>
  <c r="BA37" i="3"/>
  <c r="BA35" i="3"/>
  <c r="AQ64" i="5"/>
  <c r="AQ13" i="5"/>
  <c r="AQ9" i="5"/>
  <c r="AR12" i="5"/>
  <c r="AR37" i="5" s="1"/>
  <c r="AI247" i="3"/>
  <c r="AI173" i="3"/>
  <c r="BY58" i="3"/>
  <c r="AT55" i="2" s="1"/>
  <c r="BY115" i="3"/>
  <c r="BY131" i="3" s="1"/>
  <c r="CQ91" i="3"/>
  <c r="CT49" i="2"/>
  <c r="DK8" i="2"/>
  <c r="DK10" i="2" s="1"/>
  <c r="P40" i="2"/>
  <c r="P16" i="2"/>
  <c r="P18" i="2"/>
  <c r="P17" i="2"/>
  <c r="T17" i="2"/>
  <c r="M17" i="2"/>
  <c r="M16" i="2"/>
  <c r="M40" i="2"/>
  <c r="M18" i="2"/>
  <c r="N16" i="2"/>
  <c r="DQ37" i="3"/>
  <c r="BF33" i="5" l="1"/>
  <c r="AN70" i="5"/>
  <c r="AN72" i="5" s="1"/>
  <c r="AN81" i="5"/>
  <c r="AN22" i="5"/>
  <c r="AM22" i="5"/>
  <c r="AM23" i="5"/>
  <c r="AM75" i="5"/>
  <c r="AN74" i="5"/>
  <c r="AM74" i="5"/>
  <c r="AM80" i="5"/>
  <c r="AN80" i="5"/>
  <c r="AM70" i="5"/>
  <c r="AM81" i="5"/>
  <c r="BO104" i="4"/>
  <c r="BP39" i="4"/>
  <c r="BP40" i="4"/>
  <c r="BP98" i="4"/>
  <c r="CV61" i="4"/>
  <c r="CV62" i="4"/>
  <c r="BV110" i="4"/>
  <c r="BV111" i="4"/>
  <c r="BU111" i="4"/>
  <c r="BU110" i="4"/>
  <c r="BQ37" i="4"/>
  <c r="CU37" i="4" s="1"/>
  <c r="CU39" i="4" s="1"/>
  <c r="AZ44" i="3"/>
  <c r="AZ53" i="3"/>
  <c r="Z52" i="2" s="1"/>
  <c r="AZ54" i="3"/>
  <c r="BD14" i="3"/>
  <c r="BD15" i="3"/>
  <c r="BC32" i="3"/>
  <c r="BD22" i="3"/>
  <c r="BC56" i="3"/>
  <c r="BC24" i="3"/>
  <c r="BC23" i="3"/>
  <c r="BE24" i="3"/>
  <c r="DE115" i="3"/>
  <c r="DE131" i="3" s="1"/>
  <c r="DE58" i="3"/>
  <c r="BT55" i="2" s="1"/>
  <c r="CR49" i="2"/>
  <c r="CS50" i="2" s="1"/>
  <c r="DN15" i="2"/>
  <c r="AD16" i="2"/>
  <c r="AC40" i="2"/>
  <c r="AC18" i="2"/>
  <c r="AC16" i="2"/>
  <c r="EI115" i="3"/>
  <c r="EI131" i="3" s="1"/>
  <c r="EI58" i="3"/>
  <c r="CR55" i="2" s="1"/>
  <c r="CS56" i="2" s="1"/>
  <c r="BT49" i="2"/>
  <c r="AG17" i="2"/>
  <c r="M115" i="3"/>
  <c r="M131" i="3" s="1"/>
  <c r="EA43" i="2"/>
  <c r="EA42" i="2"/>
  <c r="EA44" i="2"/>
  <c r="DL44" i="3"/>
  <c r="DL58" i="3" s="1"/>
  <c r="Z53" i="3"/>
  <c r="CA45" i="2"/>
  <c r="CA47" i="2"/>
  <c r="CB45" i="2"/>
  <c r="CA46" i="2"/>
  <c r="CP53" i="2"/>
  <c r="DV54" i="3"/>
  <c r="EB49" i="2" s="1"/>
  <c r="AE35" i="3"/>
  <c r="BE44" i="3"/>
  <c r="BE54" i="3"/>
  <c r="BE53" i="3"/>
  <c r="AD52" i="2" s="1"/>
  <c r="Z44" i="3"/>
  <c r="Z58" i="3" s="1"/>
  <c r="CW54" i="3"/>
  <c r="CZ32" i="2"/>
  <c r="EB42" i="2"/>
  <c r="EB44" i="2"/>
  <c r="EC42" i="2"/>
  <c r="EB43" i="2"/>
  <c r="CK54" i="2"/>
  <c r="BJ54" i="2"/>
  <c r="DA30" i="2"/>
  <c r="EG30" i="2" s="1"/>
  <c r="BO54" i="2"/>
  <c r="CI46" i="2"/>
  <c r="CF45" i="2"/>
  <c r="CE46" i="2"/>
  <c r="CE45" i="2"/>
  <c r="CE47" i="2"/>
  <c r="BK49" i="2"/>
  <c r="BK50" i="2" s="1"/>
  <c r="DR44" i="2"/>
  <c r="DR47" i="2" s="1"/>
  <c r="DR43" i="2"/>
  <c r="AR37" i="3"/>
  <c r="AR35" i="3"/>
  <c r="AR41" i="3" s="1"/>
  <c r="AR45" i="2"/>
  <c r="AQ45" i="2"/>
  <c r="AQ46" i="2"/>
  <c r="AQ47" i="2"/>
  <c r="AR246" i="3"/>
  <c r="CZ13" i="2"/>
  <c r="CZ12" i="2"/>
  <c r="DA11" i="2"/>
  <c r="ES11" i="3"/>
  <c r="ES116" i="3" s="1"/>
  <c r="T41" i="2"/>
  <c r="T43" i="2"/>
  <c r="X42" i="2"/>
  <c r="CT115" i="3"/>
  <c r="CT58" i="3"/>
  <c r="BK55" i="2" s="1"/>
  <c r="BK56" i="2" s="1"/>
  <c r="AQ54" i="3"/>
  <c r="AQ44" i="3"/>
  <c r="AQ53" i="3"/>
  <c r="S52" i="2" s="1"/>
  <c r="S54" i="2" s="1"/>
  <c r="BP115" i="3"/>
  <c r="BP131" i="3" s="1"/>
  <c r="BP158" i="3" s="1"/>
  <c r="AM58" i="2" s="1"/>
  <c r="AM61" i="2" s="1"/>
  <c r="BP58" i="3"/>
  <c r="AM55" i="2" s="1"/>
  <c r="BR44" i="3"/>
  <c r="BS44" i="3" s="1"/>
  <c r="BS58" i="3" s="1"/>
  <c r="BR53" i="3"/>
  <c r="AO52" i="2" s="1"/>
  <c r="AO54" i="2" s="1"/>
  <c r="BR54" i="3"/>
  <c r="Y41" i="2"/>
  <c r="Y43" i="2"/>
  <c r="Z41" i="2"/>
  <c r="BF49" i="2"/>
  <c r="BF51" i="2" s="1"/>
  <c r="BG46" i="2"/>
  <c r="BD45" i="2"/>
  <c r="BC47" i="2"/>
  <c r="BC45" i="2"/>
  <c r="BG164" i="2"/>
  <c r="BD163" i="2"/>
  <c r="BC163" i="2"/>
  <c r="DU162" i="2"/>
  <c r="AP45" i="2"/>
  <c r="AO47" i="2"/>
  <c r="AS46" i="2"/>
  <c r="AO45" i="2"/>
  <c r="BC249" i="3"/>
  <c r="AM49" i="2"/>
  <c r="CP49" i="2"/>
  <c r="DI58" i="3"/>
  <c r="BW55" i="2" s="1"/>
  <c r="BW56" i="2" s="1"/>
  <c r="DI115" i="3"/>
  <c r="DI131" i="3" s="1"/>
  <c r="CN115" i="3"/>
  <c r="CN131" i="3" s="1"/>
  <c r="CN158" i="3" s="1"/>
  <c r="CN58" i="3"/>
  <c r="BF55" i="2" s="1"/>
  <c r="BF57" i="2" s="1"/>
  <c r="BD139" i="2"/>
  <c r="BG140" i="2"/>
  <c r="BC139" i="2"/>
  <c r="DU138" i="2"/>
  <c r="DQ53" i="3"/>
  <c r="EA52" i="2" s="1"/>
  <c r="AQ54" i="2"/>
  <c r="AM53" i="2"/>
  <c r="CB49" i="2"/>
  <c r="CF51" i="2" s="1"/>
  <c r="CY115" i="3"/>
  <c r="CY131" i="3" s="1"/>
  <c r="CY58" i="3"/>
  <c r="BO55" i="2" s="1"/>
  <c r="DU58" i="3"/>
  <c r="CG55" i="2" s="1"/>
  <c r="CG56" i="2" s="1"/>
  <c r="DU115" i="3"/>
  <c r="DU131" i="3" s="1"/>
  <c r="AK49" i="2"/>
  <c r="AL50" i="2" s="1"/>
  <c r="AX34" i="3"/>
  <c r="BC151" i="2"/>
  <c r="DU150" i="2"/>
  <c r="BD151" i="2"/>
  <c r="BG152" i="2"/>
  <c r="DR42" i="2"/>
  <c r="DQ43" i="2"/>
  <c r="DQ42" i="2"/>
  <c r="EG115" i="3"/>
  <c r="EG131" i="3" s="1"/>
  <c r="EG158" i="3" s="1"/>
  <c r="EG58" i="3"/>
  <c r="CP55" i="2" s="1"/>
  <c r="BO49" i="2"/>
  <c r="CG49" i="2"/>
  <c r="CG50" i="2" s="1"/>
  <c r="AX246" i="3"/>
  <c r="CB53" i="2"/>
  <c r="BD155" i="2"/>
  <c r="BC155" i="2"/>
  <c r="DU154" i="2"/>
  <c r="BG156" i="2"/>
  <c r="CM37" i="3"/>
  <c r="CM53" i="3" s="1"/>
  <c r="CJ44" i="3"/>
  <c r="CJ53" i="3"/>
  <c r="BC52" i="2" s="1"/>
  <c r="BG54" i="2" s="1"/>
  <c r="CJ54" i="3"/>
  <c r="EM58" i="3"/>
  <c r="CU55" i="2" s="1"/>
  <c r="CU56" i="2" s="1"/>
  <c r="EM115" i="3"/>
  <c r="EM131" i="3" s="1"/>
  <c r="DO115" i="3"/>
  <c r="DO131" i="3" s="1"/>
  <c r="DO58" i="3"/>
  <c r="CB55" i="2" s="1"/>
  <c r="CF57" i="2" s="1"/>
  <c r="AK53" i="2"/>
  <c r="BM115" i="3"/>
  <c r="BM131" i="3" s="1"/>
  <c r="BM158" i="3" s="1"/>
  <c r="AK58" i="2" s="1"/>
  <c r="AK61" i="2" s="1"/>
  <c r="BM58" i="3"/>
  <c r="AK55" i="2" s="1"/>
  <c r="AL56" i="2" s="1"/>
  <c r="DU44" i="2"/>
  <c r="DV42" i="2"/>
  <c r="DU43" i="2"/>
  <c r="BV115" i="3"/>
  <c r="BV131" i="3" s="1"/>
  <c r="BV158" i="3" s="1"/>
  <c r="AR58" i="2" s="1"/>
  <c r="BV58" i="3"/>
  <c r="AR55" i="2" s="1"/>
  <c r="AR56" i="2" s="1"/>
  <c r="DL53" i="3"/>
  <c r="DZ52" i="2" s="1"/>
  <c r="CU49" i="2"/>
  <c r="CU50" i="2" s="1"/>
  <c r="AC42" i="2"/>
  <c r="BW49" i="2"/>
  <c r="BW50" i="2" s="1"/>
  <c r="AR49" i="2"/>
  <c r="AR50" i="2" s="1"/>
  <c r="BG168" i="2"/>
  <c r="BC167" i="2"/>
  <c r="BC174" i="2"/>
  <c r="DU166" i="2"/>
  <c r="BD167" i="2"/>
  <c r="CY25" i="2"/>
  <c r="CY27" i="2" s="1"/>
  <c r="CY22" i="2"/>
  <c r="ES19" i="3"/>
  <c r="DW146" i="2"/>
  <c r="DW149" i="2" s="1"/>
  <c r="EA166" i="2"/>
  <c r="EB168" i="2" s="1"/>
  <c r="D50" i="2"/>
  <c r="BZ51" i="2"/>
  <c r="DU241" i="2"/>
  <c r="EP146" i="3"/>
  <c r="CF168" i="2"/>
  <c r="CC167" i="2"/>
  <c r="CB168" i="2"/>
  <c r="CB167" i="2"/>
  <c r="CA168" i="2"/>
  <c r="CA167" i="2"/>
  <c r="CE168" i="2"/>
  <c r="DJ40" i="2"/>
  <c r="DJ43" i="2" s="1"/>
  <c r="CI98" i="2"/>
  <c r="CI94" i="2"/>
  <c r="CI134" i="2"/>
  <c r="CI78" i="2"/>
  <c r="CI133" i="2"/>
  <c r="CI122" i="2"/>
  <c r="CI114" i="2"/>
  <c r="CI132" i="2"/>
  <c r="CI110" i="2"/>
  <c r="CM133" i="2"/>
  <c r="CI106" i="2"/>
  <c r="CI90" i="2"/>
  <c r="EG93" i="2"/>
  <c r="BY158" i="3"/>
  <c r="BA40" i="2"/>
  <c r="DT40" i="2" s="1"/>
  <c r="BA18" i="2"/>
  <c r="BA17" i="2"/>
  <c r="BA16" i="2"/>
  <c r="BA19" i="2"/>
  <c r="BB16" i="2"/>
  <c r="BE17" i="2"/>
  <c r="BH57" i="2"/>
  <c r="CX154" i="2"/>
  <c r="CX101" i="2"/>
  <c r="CX100" i="2"/>
  <c r="CX95" i="2"/>
  <c r="AI37" i="3"/>
  <c r="AI35" i="3"/>
  <c r="AI41" i="3" s="1"/>
  <c r="DM158" i="3"/>
  <c r="DM152" i="3"/>
  <c r="CJ53" i="2"/>
  <c r="CJ54" i="2"/>
  <c r="DB105" i="2"/>
  <c r="DC103" i="2"/>
  <c r="DC158" i="2" s="1"/>
  <c r="Q40" i="2"/>
  <c r="DK40" i="2" s="1"/>
  <c r="Q18" i="2"/>
  <c r="Q17" i="2"/>
  <c r="Q16" i="2"/>
  <c r="R16" i="2"/>
  <c r="DN158" i="3"/>
  <c r="CA58" i="2" s="1"/>
  <c r="DN152" i="3"/>
  <c r="CK82" i="3"/>
  <c r="CJ84" i="3"/>
  <c r="CJ86" i="3" s="1"/>
  <c r="BD61" i="2"/>
  <c r="EW91" i="3"/>
  <c r="BS49" i="2"/>
  <c r="BR53" i="2"/>
  <c r="BG174" i="2"/>
  <c r="BG172" i="2"/>
  <c r="BG171" i="2"/>
  <c r="DR131" i="3"/>
  <c r="BH37" i="3"/>
  <c r="BH35" i="3"/>
  <c r="BI32" i="3"/>
  <c r="BI35" i="3" s="1"/>
  <c r="CG32" i="3"/>
  <c r="CG24" i="3"/>
  <c r="CG56" i="3"/>
  <c r="CG23" i="3"/>
  <c r="CI24" i="3"/>
  <c r="CH22" i="3"/>
  <c r="BY58" i="4"/>
  <c r="CS53" i="5"/>
  <c r="CS48" i="5"/>
  <c r="AS53" i="2"/>
  <c r="BZ53" i="3"/>
  <c r="AU52" i="2" s="1"/>
  <c r="BZ54" i="3"/>
  <c r="BZ44" i="3"/>
  <c r="BN53" i="3"/>
  <c r="BN54" i="3"/>
  <c r="AG52" i="3"/>
  <c r="AG41" i="3"/>
  <c r="CT51" i="2"/>
  <c r="CT50" i="2"/>
  <c r="AN56" i="3"/>
  <c r="AN23" i="3"/>
  <c r="AN32" i="3"/>
  <c r="AN24" i="3"/>
  <c r="AP24" i="3"/>
  <c r="CP158" i="3"/>
  <c r="BH58" i="2" s="1"/>
  <c r="CP152" i="3"/>
  <c r="CD97" i="3"/>
  <c r="CE97" i="3" s="1"/>
  <c r="CF97" i="3" s="1"/>
  <c r="CG97" i="3" s="1"/>
  <c r="CC97" i="3"/>
  <c r="BY42" i="5"/>
  <c r="CX42" i="5" s="1"/>
  <c r="BX44" i="5"/>
  <c r="CD51" i="2"/>
  <c r="CJ88" i="2"/>
  <c r="BC246" i="3"/>
  <c r="I51" i="2"/>
  <c r="EF156" i="2"/>
  <c r="EF157" i="2"/>
  <c r="BS53" i="2"/>
  <c r="BS54" i="2"/>
  <c r="BT53" i="2"/>
  <c r="BW54" i="2"/>
  <c r="DP115" i="3"/>
  <c r="DP131" i="3" s="1"/>
  <c r="DP58" i="3"/>
  <c r="CC55" i="2" s="1"/>
  <c r="CD56" i="2" s="1"/>
  <c r="CN54" i="2"/>
  <c r="CX115" i="3"/>
  <c r="CX58" i="3"/>
  <c r="BN55" i="2" s="1"/>
  <c r="BR57" i="2" s="1"/>
  <c r="DB44" i="3"/>
  <c r="DB58" i="3" s="1"/>
  <c r="DA115" i="3"/>
  <c r="DA131" i="3" s="1"/>
  <c r="DA58" i="3"/>
  <c r="BQ55" i="2" s="1"/>
  <c r="BR56" i="2" s="1"/>
  <c r="DJ18" i="2"/>
  <c r="DJ17" i="2"/>
  <c r="L115" i="3"/>
  <c r="P44" i="3"/>
  <c r="P58" i="3" s="1"/>
  <c r="BE53" i="2"/>
  <c r="BF53" i="2"/>
  <c r="BI54" i="2"/>
  <c r="AL17" i="6"/>
  <c r="AL14" i="6" s="1"/>
  <c r="AM5" i="6"/>
  <c r="AL7" i="6"/>
  <c r="CE143" i="2"/>
  <c r="BU25" i="4"/>
  <c r="AX50" i="2"/>
  <c r="AX51" i="2"/>
  <c r="BI56" i="2"/>
  <c r="EG160" i="2"/>
  <c r="EG161" i="2"/>
  <c r="BB57" i="2"/>
  <c r="DS115" i="3"/>
  <c r="DS131" i="3" s="1"/>
  <c r="DS58" i="3"/>
  <c r="CE55" i="2" s="1"/>
  <c r="EG169" i="2"/>
  <c r="EG168" i="2"/>
  <c r="BW59" i="4"/>
  <c r="BQ29" i="4"/>
  <c r="AL13" i="6"/>
  <c r="AM11" i="6"/>
  <c r="BW115" i="3"/>
  <c r="BW131" i="3" s="1"/>
  <c r="BW158" i="3" s="1"/>
  <c r="AS58" i="2" s="1"/>
  <c r="BW58" i="3"/>
  <c r="AS55" i="2" s="1"/>
  <c r="AW57" i="2" s="1"/>
  <c r="CH53" i="2"/>
  <c r="CH54" i="2"/>
  <c r="CI53" i="2"/>
  <c r="U41" i="2"/>
  <c r="U43" i="2"/>
  <c r="Y42" i="2"/>
  <c r="DL40" i="2"/>
  <c r="DM42" i="2" s="1"/>
  <c r="AN49" i="2"/>
  <c r="AI53" i="2"/>
  <c r="AI54" i="2"/>
  <c r="AM54" i="2"/>
  <c r="DP52" i="2"/>
  <c r="ED158" i="3"/>
  <c r="CN58" i="2" s="1"/>
  <c r="ED152" i="3"/>
  <c r="BG51" i="5"/>
  <c r="BG54" i="5" s="1"/>
  <c r="BG50" i="5"/>
  <c r="BH48" i="5"/>
  <c r="BG27" i="5"/>
  <c r="BK141" i="2"/>
  <c r="BK169" i="2" s="1"/>
  <c r="BK166" i="2" s="1"/>
  <c r="BK139" i="2"/>
  <c r="BK140" i="2"/>
  <c r="AB52" i="3"/>
  <c r="AB44" i="3"/>
  <c r="AB51" i="3"/>
  <c r="AB54" i="3"/>
  <c r="G49" i="2" s="1"/>
  <c r="AE37" i="3"/>
  <c r="EE125" i="2"/>
  <c r="EE126" i="2"/>
  <c r="AR64" i="5"/>
  <c r="AS12" i="5"/>
  <c r="AS37" i="5" s="1"/>
  <c r="AR9" i="5"/>
  <c r="AR14" i="5"/>
  <c r="BA44" i="3"/>
  <c r="BA53" i="3"/>
  <c r="AA52" i="2" s="1"/>
  <c r="AB53" i="2" s="1"/>
  <c r="BA54" i="3"/>
  <c r="CY39" i="2"/>
  <c r="CD53" i="2"/>
  <c r="CD54" i="2"/>
  <c r="CK53" i="2"/>
  <c r="BW18" i="4"/>
  <c r="BX15" i="4"/>
  <c r="BW17" i="4"/>
  <c r="CY99" i="2"/>
  <c r="BZ150" i="2"/>
  <c r="CA153" i="2"/>
  <c r="BT51" i="4"/>
  <c r="AX57" i="2"/>
  <c r="AX56" i="2"/>
  <c r="BG32" i="5"/>
  <c r="BG33" i="5"/>
  <c r="BG21" i="5"/>
  <c r="AJ51" i="2"/>
  <c r="CO115" i="3"/>
  <c r="CO58" i="3"/>
  <c r="BG55" i="2" s="1"/>
  <c r="CR44" i="3"/>
  <c r="CR58" i="3" s="1"/>
  <c r="CJ49" i="2"/>
  <c r="CK50" i="2" s="1"/>
  <c r="CS125" i="2"/>
  <c r="CS126" i="2"/>
  <c r="CS115" i="2"/>
  <c r="EE115" i="2" s="1"/>
  <c r="CS124" i="2"/>
  <c r="CT123" i="2"/>
  <c r="CW152" i="2"/>
  <c r="CW151" i="2"/>
  <c r="EF150" i="2"/>
  <c r="AF56" i="2"/>
  <c r="BH104" i="3"/>
  <c r="BI100" i="3"/>
  <c r="CW97" i="2"/>
  <c r="CW96" i="2"/>
  <c r="BU84" i="4"/>
  <c r="BU73" i="4"/>
  <c r="BU62" i="4"/>
  <c r="BX54" i="2"/>
  <c r="BX53" i="2"/>
  <c r="BY53" i="2"/>
  <c r="CB54" i="2"/>
  <c r="T37" i="3"/>
  <c r="T35" i="3"/>
  <c r="AO22" i="3"/>
  <c r="AT24" i="3" s="1"/>
  <c r="AD53" i="3"/>
  <c r="I52" i="2" s="1"/>
  <c r="X115" i="3"/>
  <c r="X131" i="3" s="1"/>
  <c r="Q115" i="3"/>
  <c r="BF16" i="4"/>
  <c r="BF18" i="4"/>
  <c r="BF17" i="4"/>
  <c r="BJ17" i="4"/>
  <c r="EH115" i="3"/>
  <c r="EH58" i="3"/>
  <c r="CQ55" i="2" s="1"/>
  <c r="EK44" i="3"/>
  <c r="BB258" i="3"/>
  <c r="CO53" i="2"/>
  <c r="CO54" i="2"/>
  <c r="CS54" i="2"/>
  <c r="BF175" i="2"/>
  <c r="BF176" i="2"/>
  <c r="BF177" i="2"/>
  <c r="CC49" i="2"/>
  <c r="CD50" i="2" s="1"/>
  <c r="EV57" i="3"/>
  <c r="AL115" i="3"/>
  <c r="AL131" i="3" s="1"/>
  <c r="AL58" i="3"/>
  <c r="O55" i="2" s="1"/>
  <c r="DB54" i="3"/>
  <c r="DX49" i="2" s="1"/>
  <c r="BN49" i="2"/>
  <c r="BR51" i="2" s="1"/>
  <c r="BQ49" i="2"/>
  <c r="BR50" i="2" s="1"/>
  <c r="EG105" i="2"/>
  <c r="AK18" i="6"/>
  <c r="AK19" i="6"/>
  <c r="CO24" i="5"/>
  <c r="CO36" i="5"/>
  <c r="CS131" i="3"/>
  <c r="BC244" i="3"/>
  <c r="BC257" i="3"/>
  <c r="BC255" i="3"/>
  <c r="BC256" i="3"/>
  <c r="BC254" i="3"/>
  <c r="BH31" i="5"/>
  <c r="BH35" i="5"/>
  <c r="BH36" i="5"/>
  <c r="BZ67" i="4"/>
  <c r="CA65" i="4"/>
  <c r="BZ70" i="4"/>
  <c r="DM43" i="2"/>
  <c r="CE49" i="2"/>
  <c r="EB157" i="2"/>
  <c r="EB156" i="2"/>
  <c r="CF142" i="2"/>
  <c r="CF82" i="2"/>
  <c r="CF80" i="2"/>
  <c r="AA131" i="3"/>
  <c r="DV126" i="2"/>
  <c r="DV125" i="2"/>
  <c r="EQ120" i="3"/>
  <c r="BS21" i="4"/>
  <c r="BR26" i="4"/>
  <c r="BE84" i="5"/>
  <c r="BE79" i="5"/>
  <c r="CS79" i="5" s="1"/>
  <c r="BE83" i="5"/>
  <c r="BE73" i="5"/>
  <c r="CG79" i="2"/>
  <c r="CS82" i="5"/>
  <c r="AS49" i="2"/>
  <c r="AT50" i="2" s="1"/>
  <c r="EA53" i="3"/>
  <c r="EC52" i="2" s="1"/>
  <c r="CO61" i="5"/>
  <c r="CO62" i="5"/>
  <c r="CO63" i="5"/>
  <c r="DL18" i="2"/>
  <c r="BK115" i="3"/>
  <c r="BK58" i="3"/>
  <c r="AI55" i="2" s="1"/>
  <c r="AJ56" i="2" s="1"/>
  <c r="BN44" i="3"/>
  <c r="BN58" i="3" s="1"/>
  <c r="AV115" i="3"/>
  <c r="AV131" i="3" s="1"/>
  <c r="AV58" i="3"/>
  <c r="W55" i="2" s="1"/>
  <c r="X56" i="2" s="1"/>
  <c r="BN26" i="5"/>
  <c r="BO24" i="5"/>
  <c r="BU56" i="2"/>
  <c r="BY57" i="2"/>
  <c r="U32" i="3"/>
  <c r="U35" i="3" s="1"/>
  <c r="AP49" i="2"/>
  <c r="DW131" i="3"/>
  <c r="ET26" i="3"/>
  <c r="EU26" i="3" s="1"/>
  <c r="ES28" i="3"/>
  <c r="CJ99" i="2"/>
  <c r="CJ158" i="2"/>
  <c r="CJ105" i="2"/>
  <c r="CN105" i="2"/>
  <c r="CK103" i="2"/>
  <c r="N115" i="3"/>
  <c r="N131" i="3" s="1"/>
  <c r="CG125" i="2"/>
  <c r="CK125" i="2"/>
  <c r="CG126" i="2"/>
  <c r="CH123" i="2"/>
  <c r="CG124" i="2"/>
  <c r="CG115" i="2"/>
  <c r="EB123" i="2"/>
  <c r="DP86" i="3"/>
  <c r="DQ86" i="3" s="1"/>
  <c r="DQ84" i="3"/>
  <c r="BE49" i="2"/>
  <c r="BJ56" i="2"/>
  <c r="BJ57" i="2"/>
  <c r="CE53" i="2"/>
  <c r="CE54" i="2"/>
  <c r="CF53" i="2"/>
  <c r="CI54" i="2"/>
  <c r="DK15" i="2"/>
  <c r="ER120" i="3"/>
  <c r="ET17" i="3"/>
  <c r="DB35" i="2"/>
  <c r="DA37" i="2"/>
  <c r="BY152" i="2"/>
  <c r="BY151" i="2"/>
  <c r="DZ150" i="2"/>
  <c r="BG53" i="2"/>
  <c r="DV52" i="2"/>
  <c r="BK54" i="2"/>
  <c r="BG15" i="4"/>
  <c r="CI102" i="2"/>
  <c r="CI100" i="2"/>
  <c r="CI154" i="2"/>
  <c r="CI101" i="2"/>
  <c r="CM101" i="2"/>
  <c r="BC71" i="5"/>
  <c r="AV42" i="2"/>
  <c r="AV41" i="2"/>
  <c r="AV44" i="2"/>
  <c r="AV43" i="2"/>
  <c r="AW41" i="2"/>
  <c r="DV53" i="3"/>
  <c r="EB52" i="2" s="1"/>
  <c r="DS40" i="2"/>
  <c r="BL53" i="2"/>
  <c r="BL54" i="2"/>
  <c r="AG42" i="2"/>
  <c r="AG41" i="2"/>
  <c r="AG43" i="2"/>
  <c r="AH41" i="2"/>
  <c r="DO40" i="2"/>
  <c r="AK42" i="2"/>
  <c r="BG49" i="2"/>
  <c r="BH50" i="2" s="1"/>
  <c r="CR54" i="3"/>
  <c r="CY153" i="2"/>
  <c r="CX150" i="2"/>
  <c r="BF158" i="3"/>
  <c r="AE58" i="2" s="1"/>
  <c r="BF152" i="3"/>
  <c r="J49" i="2"/>
  <c r="CH51" i="2"/>
  <c r="CB158" i="3"/>
  <c r="AW58" i="2" s="1"/>
  <c r="CB152" i="3"/>
  <c r="CN103" i="5"/>
  <c r="BM53" i="2"/>
  <c r="CQ49" i="2"/>
  <c r="EK54" i="3"/>
  <c r="EE49" i="2" s="1"/>
  <c r="BR32" i="4"/>
  <c r="BI59" i="5"/>
  <c r="BI11" i="5"/>
  <c r="BI10" i="5"/>
  <c r="BI34" i="5"/>
  <c r="CT9" i="5"/>
  <c r="CT11" i="5" s="1"/>
  <c r="EE115" i="3"/>
  <c r="EE131" i="3" s="1"/>
  <c r="EE58" i="3"/>
  <c r="CO55" i="2" s="1"/>
  <c r="AM98" i="5"/>
  <c r="AM97" i="5"/>
  <c r="AM101" i="5"/>
  <c r="BO83" i="2"/>
  <c r="CC53" i="2"/>
  <c r="CC54" i="2"/>
  <c r="CG54" i="2"/>
  <c r="BH53" i="2"/>
  <c r="O49" i="2"/>
  <c r="E50" i="2"/>
  <c r="BP144" i="3"/>
  <c r="BO148" i="3"/>
  <c r="DB53" i="3"/>
  <c r="DX52" i="2" s="1"/>
  <c r="BN52" i="2"/>
  <c r="AJ57" i="2"/>
  <c r="BO17" i="6"/>
  <c r="BO8" i="6" s="1"/>
  <c r="BO7" i="6"/>
  <c r="AY45" i="2"/>
  <c r="AY46" i="2"/>
  <c r="AY47" i="2"/>
  <c r="BC46" i="2"/>
  <c r="DD161" i="2"/>
  <c r="AP58" i="3"/>
  <c r="R55" i="2" s="1"/>
  <c r="BV57" i="2"/>
  <c r="BV56" i="2"/>
  <c r="AO79" i="5"/>
  <c r="AO83" i="5"/>
  <c r="AO73" i="5"/>
  <c r="AO84" i="5"/>
  <c r="CO82" i="5"/>
  <c r="AU44" i="3"/>
  <c r="AU53" i="3"/>
  <c r="V52" i="2" s="1"/>
  <c r="W53" i="2" s="1"/>
  <c r="AU54" i="3"/>
  <c r="BO158" i="3"/>
  <c r="Y158" i="3"/>
  <c r="E58" i="2" s="1"/>
  <c r="Y152" i="3"/>
  <c r="V41" i="2"/>
  <c r="DA32" i="2"/>
  <c r="DA21" i="2"/>
  <c r="CC93" i="4"/>
  <c r="BQ101" i="4"/>
  <c r="BQ35" i="4" s="1"/>
  <c r="AK14" i="6"/>
  <c r="EB115" i="3"/>
  <c r="EB58" i="3"/>
  <c r="CL55" i="2" s="1"/>
  <c r="EF44" i="3"/>
  <c r="EF58" i="3" s="1"/>
  <c r="BV50" i="2"/>
  <c r="BV51" i="2"/>
  <c r="DH82" i="3"/>
  <c r="DH84" i="3" s="1"/>
  <c r="DG82" i="3"/>
  <c r="DF84" i="3"/>
  <c r="EV143" i="3"/>
  <c r="AP78" i="5"/>
  <c r="AP77" i="5"/>
  <c r="BK124" i="2"/>
  <c r="BK126" i="2"/>
  <c r="BK241" i="2"/>
  <c r="BK125" i="2"/>
  <c r="AI49" i="2"/>
  <c r="AJ50" i="2" s="1"/>
  <c r="W49" i="2"/>
  <c r="X50" i="2" s="1"/>
  <c r="CT53" i="2"/>
  <c r="CT54" i="2"/>
  <c r="CU53" i="2"/>
  <c r="BF82" i="5"/>
  <c r="BF52" i="5"/>
  <c r="BF53" i="5"/>
  <c r="BF54" i="5"/>
  <c r="DT106" i="3"/>
  <c r="DU96" i="3"/>
  <c r="DF158" i="3"/>
  <c r="BU58" i="2" s="1"/>
  <c r="DF152" i="3"/>
  <c r="AI246" i="3"/>
  <c r="BP100" i="4"/>
  <c r="BP104" i="4"/>
  <c r="BP99" i="4"/>
  <c r="BD154" i="3"/>
  <c r="BS36" i="4"/>
  <c r="AP31" i="5"/>
  <c r="AP35" i="5"/>
  <c r="AP36" i="5"/>
  <c r="AP82" i="5"/>
  <c r="EB133" i="2"/>
  <c r="EB94" i="2"/>
  <c r="EB98" i="2"/>
  <c r="EB110" i="2"/>
  <c r="EB122" i="2"/>
  <c r="EB78" i="2"/>
  <c r="EB114" i="2"/>
  <c r="EB90" i="2"/>
  <c r="EB106" i="2"/>
  <c r="AB54" i="2"/>
  <c r="AF54" i="2"/>
  <c r="AF58" i="3"/>
  <c r="J55" i="2" s="1"/>
  <c r="N57" i="2" s="1"/>
  <c r="AF115" i="3"/>
  <c r="BV53" i="2"/>
  <c r="BV54" i="2"/>
  <c r="BW53" i="2"/>
  <c r="CI159" i="2"/>
  <c r="CI160" i="2"/>
  <c r="CM160" i="2"/>
  <c r="BF23" i="5"/>
  <c r="BF22" i="5"/>
  <c r="DL10" i="2"/>
  <c r="BX54" i="4"/>
  <c r="BQ53" i="2"/>
  <c r="BQ54" i="2"/>
  <c r="P54" i="3"/>
  <c r="P53" i="3"/>
  <c r="R54" i="2"/>
  <c r="BY71" i="4"/>
  <c r="BY72" i="4"/>
  <c r="BD242" i="2"/>
  <c r="BD244" i="2"/>
  <c r="CZ23" i="2"/>
  <c r="CZ22" i="2"/>
  <c r="CZ25" i="2"/>
  <c r="EL131" i="3"/>
  <c r="EF53" i="3"/>
  <c r="ED52" i="2" s="1"/>
  <c r="CL52" i="2"/>
  <c r="CI61" i="2"/>
  <c r="BQ58" i="3"/>
  <c r="AN55" i="2" s="1"/>
  <c r="BQ115" i="3"/>
  <c r="R115" i="3"/>
  <c r="R131" i="3" s="1"/>
  <c r="CN56" i="2"/>
  <c r="BM81" i="2"/>
  <c r="BM82" i="2"/>
  <c r="BM80" i="2"/>
  <c r="BM142" i="2"/>
  <c r="DW142" i="2" s="1"/>
  <c r="BM237" i="2"/>
  <c r="DW79" i="2"/>
  <c r="AP54" i="2"/>
  <c r="DR52" i="2"/>
  <c r="AQ53" i="2"/>
  <c r="BU48" i="4"/>
  <c r="BU51" i="4" s="1"/>
  <c r="BV47" i="4"/>
  <c r="BG242" i="2"/>
  <c r="BG243" i="2"/>
  <c r="BG244" i="2"/>
  <c r="BP56" i="2"/>
  <c r="BT57" i="2"/>
  <c r="DY115" i="3"/>
  <c r="DY131" i="3" s="1"/>
  <c r="DY58" i="3"/>
  <c r="CJ55" i="2" s="1"/>
  <c r="EC55" i="2" s="1"/>
  <c r="AP63" i="5"/>
  <c r="AP62" i="5"/>
  <c r="AP60" i="5"/>
  <c r="AP61" i="5"/>
  <c r="BX49" i="2"/>
  <c r="CU34" i="4"/>
  <c r="DG53" i="3"/>
  <c r="DY52" i="2" s="1"/>
  <c r="BI173" i="2"/>
  <c r="BH170" i="2"/>
  <c r="M42" i="2"/>
  <c r="M41" i="2"/>
  <c r="M43" i="2"/>
  <c r="N41" i="2"/>
  <c r="AQ59" i="5"/>
  <c r="AQ11" i="5"/>
  <c r="AQ34" i="5"/>
  <c r="AQ10" i="5"/>
  <c r="ER48" i="3"/>
  <c r="ER46" i="3" s="1"/>
  <c r="EQ49" i="3"/>
  <c r="AC52" i="3"/>
  <c r="AC44" i="3"/>
  <c r="AC51" i="3"/>
  <c r="AC54" i="3"/>
  <c r="H49" i="2" s="1"/>
  <c r="AN173" i="3"/>
  <c r="AN247" i="3"/>
  <c r="AL102" i="5"/>
  <c r="AL103" i="5"/>
  <c r="AH35" i="3"/>
  <c r="AH41" i="3" s="1"/>
  <c r="AH37" i="3"/>
  <c r="AJ32" i="3"/>
  <c r="AJ35" i="3" s="1"/>
  <c r="BW47" i="5"/>
  <c r="BW46" i="5"/>
  <c r="DA167" i="2"/>
  <c r="DA168" i="2"/>
  <c r="CD131" i="3"/>
  <c r="DE20" i="2"/>
  <c r="EH20" i="2" s="1"/>
  <c r="CW70" i="4"/>
  <c r="CS91" i="3"/>
  <c r="CR91" i="3"/>
  <c r="CZ34" i="2"/>
  <c r="DA29" i="2"/>
  <c r="EG29" i="2" s="1"/>
  <c r="ES42" i="3"/>
  <c r="ES41" i="3" s="1"/>
  <c r="CU26" i="4"/>
  <c r="CA37" i="3"/>
  <c r="CA35" i="3"/>
  <c r="DW52" i="2"/>
  <c r="AJ56" i="3"/>
  <c r="AJ24" i="3"/>
  <c r="AJ23" i="3"/>
  <c r="BT115" i="3"/>
  <c r="BT131" i="3" s="1"/>
  <c r="BT58" i="3"/>
  <c r="AP55" i="2" s="1"/>
  <c r="BX44" i="3"/>
  <c r="CA50" i="2"/>
  <c r="EG35" i="2"/>
  <c r="S52" i="3"/>
  <c r="S54" i="3"/>
  <c r="S51" i="3"/>
  <c r="S44" i="3"/>
  <c r="AT54" i="2"/>
  <c r="AU46" i="2"/>
  <c r="AU47" i="2"/>
  <c r="AU45" i="2"/>
  <c r="CY26" i="2"/>
  <c r="CU58" i="3"/>
  <c r="BL55" i="2" s="1"/>
  <c r="BP57" i="2" s="1"/>
  <c r="DO18" i="2"/>
  <c r="DP17" i="2"/>
  <c r="BL245" i="2"/>
  <c r="BL240" i="2"/>
  <c r="BL238" i="2"/>
  <c r="BL239" i="2"/>
  <c r="BL123" i="2"/>
  <c r="BK95" i="3"/>
  <c r="BJ100" i="3"/>
  <c r="BJ104" i="3" s="1"/>
  <c r="BB115" i="3"/>
  <c r="BB131" i="3" s="1"/>
  <c r="BB58" i="3"/>
  <c r="AB55" i="2" s="1"/>
  <c r="DC131" i="3"/>
  <c r="CE44" i="3"/>
  <c r="CE53" i="3"/>
  <c r="AY52" i="2" s="1"/>
  <c r="CE54" i="3"/>
  <c r="BH243" i="2"/>
  <c r="BH242" i="2"/>
  <c r="BL243" i="2"/>
  <c r="BH244" i="2"/>
  <c r="U56" i="3"/>
  <c r="U24" i="3"/>
  <c r="U23" i="3"/>
  <c r="Z24" i="3"/>
  <c r="EA54" i="3"/>
  <c r="CI50" i="2"/>
  <c r="CN93" i="3"/>
  <c r="CO88" i="3"/>
  <c r="BJ158" i="3"/>
  <c r="BJ152" i="3"/>
  <c r="CC69" i="4"/>
  <c r="BX43" i="4"/>
  <c r="CH155" i="2"/>
  <c r="CH156" i="2"/>
  <c r="CL156" i="2"/>
  <c r="CF37" i="3"/>
  <c r="CF35" i="3"/>
  <c r="DR88" i="3"/>
  <c r="DP93" i="3"/>
  <c r="DQ88" i="3"/>
  <c r="CQ52" i="2"/>
  <c r="EK53" i="3"/>
  <c r="EE52" i="2" s="1"/>
  <c r="BA77" i="3"/>
  <c r="AZ76" i="3"/>
  <c r="BJ64" i="5"/>
  <c r="BJ37" i="5"/>
  <c r="BK12" i="5"/>
  <c r="BJ9" i="5"/>
  <c r="CO49" i="2"/>
  <c r="AF50" i="2"/>
  <c r="BD74" i="3"/>
  <c r="BC86" i="3"/>
  <c r="AK131" i="3"/>
  <c r="O53" i="2"/>
  <c r="EJ155" i="3"/>
  <c r="BY96" i="3"/>
  <c r="BZ96" i="3" s="1"/>
  <c r="CA96" i="3" s="1"/>
  <c r="CB96" i="3" s="1"/>
  <c r="BX96" i="3"/>
  <c r="DR62" i="2" s="1"/>
  <c r="BL131" i="3"/>
  <c r="EF95" i="2"/>
  <c r="CB50" i="2"/>
  <c r="DB158" i="2"/>
  <c r="AM246" i="3"/>
  <c r="DV44" i="3"/>
  <c r="DH131" i="3"/>
  <c r="AW54" i="2"/>
  <c r="CT37" i="5"/>
  <c r="BE244" i="2"/>
  <c r="BE242" i="2"/>
  <c r="BI24" i="3"/>
  <c r="BI56" i="3"/>
  <c r="BI23" i="3"/>
  <c r="BN24" i="3"/>
  <c r="BU54" i="2"/>
  <c r="BD80" i="5"/>
  <c r="BD70" i="5"/>
  <c r="CX92" i="4"/>
  <c r="CB93" i="4"/>
  <c r="AW131" i="3"/>
  <c r="DL54" i="3"/>
  <c r="DZ49" i="2" s="1"/>
  <c r="BZ54" i="2"/>
  <c r="CC32" i="3"/>
  <c r="CC35" i="3" s="1"/>
  <c r="BS53" i="3"/>
  <c r="BS54" i="3"/>
  <c r="DZ158" i="3"/>
  <c r="CK58" i="2" s="1"/>
  <c r="DZ152" i="3"/>
  <c r="BK246" i="2"/>
  <c r="BK247" i="2" s="1"/>
  <c r="BU50" i="2"/>
  <c r="BY51" i="2"/>
  <c r="DQ44" i="3"/>
  <c r="DQ58" i="3" s="1"/>
  <c r="DQ54" i="3"/>
  <c r="EA49" i="2" s="1"/>
  <c r="AS35" i="3"/>
  <c r="AS41" i="3" s="1"/>
  <c r="AS37" i="3"/>
  <c r="AT32" i="3"/>
  <c r="AT35" i="3" s="1"/>
  <c r="BN146" i="2"/>
  <c r="BN84" i="2"/>
  <c r="BN86" i="2"/>
  <c r="BN79" i="2"/>
  <c r="AS30" i="5"/>
  <c r="AS29" i="5"/>
  <c r="AT28" i="5"/>
  <c r="DB113" i="2"/>
  <c r="DB166" i="2"/>
  <c r="DC111" i="2"/>
  <c r="DI43" i="2"/>
  <c r="DI42" i="2"/>
  <c r="CR116" i="2"/>
  <c r="CR117" i="2"/>
  <c r="CR118" i="2"/>
  <c r="DJ115" i="3"/>
  <c r="DJ131" i="3" s="1"/>
  <c r="DJ58" i="3"/>
  <c r="BX55" i="2" s="1"/>
  <c r="BF63" i="3"/>
  <c r="BF74" i="3" s="1"/>
  <c r="BF86" i="3" s="1"/>
  <c r="BE74" i="3"/>
  <c r="BE86" i="3" s="1"/>
  <c r="DG54" i="3"/>
  <c r="DY49" i="2" s="1"/>
  <c r="BM51" i="2"/>
  <c r="EQ146" i="3"/>
  <c r="P43" i="2"/>
  <c r="P42" i="2"/>
  <c r="P41" i="2"/>
  <c r="T42" i="2"/>
  <c r="AQ65" i="5"/>
  <c r="AQ66" i="5"/>
  <c r="AQ76" i="5"/>
  <c r="DT10" i="2"/>
  <c r="DU10" i="2"/>
  <c r="BT51" i="2"/>
  <c r="EP148" i="3"/>
  <c r="AT56" i="3"/>
  <c r="AT23" i="3"/>
  <c r="W115" i="3"/>
  <c r="W131" i="3" s="1"/>
  <c r="BO105" i="4"/>
  <c r="BO106" i="4"/>
  <c r="BX54" i="3"/>
  <c r="BX53" i="3"/>
  <c r="AZ44" i="2"/>
  <c r="AZ43" i="2"/>
  <c r="AZ42" i="2"/>
  <c r="AZ41" i="2"/>
  <c r="BD42" i="2"/>
  <c r="AT53" i="2"/>
  <c r="AR85" i="5"/>
  <c r="BL49" i="2"/>
  <c r="BM50" i="2" s="1"/>
  <c r="CH57" i="2"/>
  <c r="BM57" i="2"/>
  <c r="BJ50" i="2"/>
  <c r="BL143" i="2"/>
  <c r="BL138" i="2"/>
  <c r="CW156" i="2"/>
  <c r="CW155" i="2"/>
  <c r="AB49" i="2"/>
  <c r="BH51" i="2"/>
  <c r="CN50" i="2"/>
  <c r="CR51" i="2"/>
  <c r="AF53" i="3"/>
  <c r="J52" i="2" s="1"/>
  <c r="CA56" i="2"/>
  <c r="AM35" i="3"/>
  <c r="AM41" i="3" s="1"/>
  <c r="AM37" i="3"/>
  <c r="EG152" i="3"/>
  <c r="CM93" i="3"/>
  <c r="CF116" i="2"/>
  <c r="CF117" i="2"/>
  <c r="CF118" i="2"/>
  <c r="CJ117" i="2"/>
  <c r="CK62" i="3"/>
  <c r="BI76" i="5"/>
  <c r="CK87" i="2"/>
  <c r="EC87" i="2" s="1"/>
  <c r="CT85" i="5"/>
  <c r="DD115" i="3"/>
  <c r="DD131" i="3" s="1"/>
  <c r="DD58" i="3"/>
  <c r="BS55" i="2" s="1"/>
  <c r="DR84" i="3"/>
  <c r="DS81" i="3"/>
  <c r="AN92" i="5"/>
  <c r="AN96" i="5"/>
  <c r="AN91" i="5"/>
  <c r="AO90" i="5"/>
  <c r="CO90" i="5" s="1"/>
  <c r="CO92" i="5" s="1"/>
  <c r="CW67" i="4"/>
  <c r="BB51" i="2"/>
  <c r="CS61" i="2"/>
  <c r="AH246" i="3"/>
  <c r="DH49" i="2"/>
  <c r="DR74" i="3"/>
  <c r="DS63" i="3"/>
  <c r="CL115" i="3"/>
  <c r="CL131" i="3" s="1"/>
  <c r="CL58" i="3"/>
  <c r="BE55" i="2" s="1"/>
  <c r="R49" i="2"/>
  <c r="CD57" i="2"/>
  <c r="AO32" i="5"/>
  <c r="AO33" i="5"/>
  <c r="AO21" i="5"/>
  <c r="CO31" i="5"/>
  <c r="DA93" i="2"/>
  <c r="DB91" i="2"/>
  <c r="AS246" i="3"/>
  <c r="BH63" i="5"/>
  <c r="BH62" i="5"/>
  <c r="BH60" i="5"/>
  <c r="BH61" i="5"/>
  <c r="CI131" i="3"/>
  <c r="EG32" i="2"/>
  <c r="CM60" i="2"/>
  <c r="CT56" i="2"/>
  <c r="CT57" i="2"/>
  <c r="BD74" i="5"/>
  <c r="DV241" i="2"/>
  <c r="BF244" i="2"/>
  <c r="BF243" i="2"/>
  <c r="BF242" i="2"/>
  <c r="CR122" i="2"/>
  <c r="CS119" i="2"/>
  <c r="O115" i="3"/>
  <c r="O131" i="3" s="1"/>
  <c r="AS93" i="5"/>
  <c r="AR95" i="5"/>
  <c r="AR94" i="5"/>
  <c r="EF54" i="3"/>
  <c r="ED49" i="2" s="1"/>
  <c r="CL49" i="2"/>
  <c r="V131" i="3"/>
  <c r="U17" i="2"/>
  <c r="AN54" i="2"/>
  <c r="AN53" i="2"/>
  <c r="AR54" i="2"/>
  <c r="L42" i="2"/>
  <c r="L41" i="2"/>
  <c r="L43" i="2"/>
  <c r="BI50" i="2"/>
  <c r="DW86" i="2"/>
  <c r="AG54" i="3"/>
  <c r="AG44" i="3"/>
  <c r="AG51" i="3"/>
  <c r="DT15" i="2"/>
  <c r="AL8" i="6" l="1"/>
  <c r="AM72" i="5"/>
  <c r="AN71" i="5"/>
  <c r="AM71" i="5"/>
  <c r="AS85" i="5"/>
  <c r="BU87" i="2" s="1"/>
  <c r="CP37" i="5"/>
  <c r="CP39" i="5" s="1"/>
  <c r="CU40" i="4"/>
  <c r="BQ38" i="4"/>
  <c r="BQ40" i="4"/>
  <c r="BQ98" i="4"/>
  <c r="BQ100" i="4" s="1"/>
  <c r="BQ39" i="4"/>
  <c r="CV111" i="4"/>
  <c r="BW111" i="4"/>
  <c r="BW110" i="4"/>
  <c r="AT56" i="2"/>
  <c r="M158" i="3"/>
  <c r="M152" i="3"/>
  <c r="EI158" i="3"/>
  <c r="CR58" i="2" s="1"/>
  <c r="EI152" i="3"/>
  <c r="DN18" i="2"/>
  <c r="DN17" i="2"/>
  <c r="CR57" i="2"/>
  <c r="BO51" i="2"/>
  <c r="BO57" i="2"/>
  <c r="BC35" i="3"/>
  <c r="BD32" i="3"/>
  <c r="BD35" i="3" s="1"/>
  <c r="BC37" i="3"/>
  <c r="DO17" i="2"/>
  <c r="Z49" i="2"/>
  <c r="AC43" i="2"/>
  <c r="DN40" i="2"/>
  <c r="DO42" i="2" s="1"/>
  <c r="AD41" i="2"/>
  <c r="AC41" i="2"/>
  <c r="DE158" i="3"/>
  <c r="BT58" i="2" s="1"/>
  <c r="BU59" i="2" s="1"/>
  <c r="DE152" i="3"/>
  <c r="BD23" i="3"/>
  <c r="BD56" i="3"/>
  <c r="BD24" i="3"/>
  <c r="AZ115" i="3"/>
  <c r="AZ131" i="3" s="1"/>
  <c r="AZ58" i="3"/>
  <c r="Z55" i="2" s="1"/>
  <c r="DZ54" i="2"/>
  <c r="CK51" i="2"/>
  <c r="EA47" i="2"/>
  <c r="EA46" i="2"/>
  <c r="EA54" i="2"/>
  <c r="DV48" i="3"/>
  <c r="DV49" i="3" s="1"/>
  <c r="AW51" i="2"/>
  <c r="EC46" i="2"/>
  <c r="EB46" i="2"/>
  <c r="EB47" i="2"/>
  <c r="AD49" i="2"/>
  <c r="DB30" i="2"/>
  <c r="EV19" i="3" s="1"/>
  <c r="AG53" i="3"/>
  <c r="K52" i="2" s="1"/>
  <c r="K54" i="2" s="1"/>
  <c r="CH56" i="2"/>
  <c r="AH54" i="2"/>
  <c r="AE53" i="2"/>
  <c r="AD54" i="2"/>
  <c r="BE115" i="3"/>
  <c r="BE131" i="3" s="1"/>
  <c r="BE58" i="3"/>
  <c r="AD55" i="2" s="1"/>
  <c r="DU52" i="2"/>
  <c r="DV54" i="2" s="1"/>
  <c r="AK50" i="2"/>
  <c r="CA51" i="2"/>
  <c r="CK57" i="2"/>
  <c r="ET19" i="3"/>
  <c r="BU57" i="2"/>
  <c r="CN152" i="3"/>
  <c r="DG115" i="3"/>
  <c r="S49" i="2"/>
  <c r="S51" i="2" s="1"/>
  <c r="W54" i="2"/>
  <c r="AQ115" i="3"/>
  <c r="AQ131" i="3" s="1"/>
  <c r="AQ152" i="3" s="1"/>
  <c r="AQ58" i="3"/>
  <c r="S55" i="2" s="1"/>
  <c r="S57" i="2" s="1"/>
  <c r="AP53" i="2"/>
  <c r="CH50" i="2"/>
  <c r="AS54" i="2"/>
  <c r="CA57" i="2"/>
  <c r="BP50" i="2"/>
  <c r="EB55" i="2"/>
  <c r="AO53" i="2"/>
  <c r="DB11" i="2"/>
  <c r="DA12" i="2"/>
  <c r="DA13" i="2"/>
  <c r="EG11" i="2"/>
  <c r="EG13" i="2" s="1"/>
  <c r="ET11" i="3"/>
  <c r="ET116" i="3" s="1"/>
  <c r="EU116" i="3" s="1"/>
  <c r="DQ52" i="2"/>
  <c r="DQ54" i="2" s="1"/>
  <c r="BJ51" i="2"/>
  <c r="DQ115" i="3"/>
  <c r="S53" i="2"/>
  <c r="EB54" i="2"/>
  <c r="BC258" i="3"/>
  <c r="CT131" i="3"/>
  <c r="CV115" i="3"/>
  <c r="AJ41" i="3"/>
  <c r="AR53" i="3"/>
  <c r="T52" i="2" s="1"/>
  <c r="AR54" i="3"/>
  <c r="AR44" i="3"/>
  <c r="AR59" i="2"/>
  <c r="AR61" i="2"/>
  <c r="EM158" i="3"/>
  <c r="CU58" i="2" s="1"/>
  <c r="CU61" i="2" s="1"/>
  <c r="EM152" i="3"/>
  <c r="BM152" i="3"/>
  <c r="DU153" i="2"/>
  <c r="DV152" i="2"/>
  <c r="DU165" i="2"/>
  <c r="DV164" i="2"/>
  <c r="DU152" i="3"/>
  <c r="DU158" i="3"/>
  <c r="CG58" i="2" s="1"/>
  <c r="CK60" i="2" s="1"/>
  <c r="DU141" i="2"/>
  <c r="DV140" i="2"/>
  <c r="AM50" i="2"/>
  <c r="AQ51" i="2"/>
  <c r="CB56" i="2"/>
  <c r="AO49" i="2"/>
  <c r="AO51" i="2" s="1"/>
  <c r="BC49" i="2"/>
  <c r="BG51" i="2" s="1"/>
  <c r="CM54" i="3"/>
  <c r="AX39" i="3"/>
  <c r="AY39" i="3" s="1"/>
  <c r="AY34" i="3"/>
  <c r="AY35" i="3" s="1"/>
  <c r="DI158" i="3"/>
  <c r="BW58" i="2" s="1"/>
  <c r="BW61" i="2" s="1"/>
  <c r="DI152" i="3"/>
  <c r="AK56" i="2"/>
  <c r="EK48" i="3"/>
  <c r="EK49" i="3" s="1"/>
  <c r="DU169" i="2"/>
  <c r="DV168" i="2"/>
  <c r="DU47" i="2"/>
  <c r="DV46" i="2"/>
  <c r="BD53" i="2"/>
  <c r="BC53" i="2"/>
  <c r="AX37" i="3"/>
  <c r="BR115" i="3"/>
  <c r="BR131" i="3" s="1"/>
  <c r="BR158" i="3" s="1"/>
  <c r="AO58" i="2" s="1"/>
  <c r="AS60" i="2" s="1"/>
  <c r="BR58" i="3"/>
  <c r="AO55" i="2" s="1"/>
  <c r="AO57" i="2" s="1"/>
  <c r="BC175" i="2"/>
  <c r="BD175" i="2"/>
  <c r="BC177" i="2"/>
  <c r="DU174" i="2"/>
  <c r="DU177" i="2" s="1"/>
  <c r="DO158" i="3"/>
  <c r="CB58" i="2" s="1"/>
  <c r="CB59" i="2" s="1"/>
  <c r="DO152" i="3"/>
  <c r="CM44" i="3"/>
  <c r="CM58" i="3" s="1"/>
  <c r="CJ58" i="3"/>
  <c r="BC55" i="2" s="1"/>
  <c r="CJ115" i="3"/>
  <c r="CJ131" i="3" s="1"/>
  <c r="CM131" i="3" s="1"/>
  <c r="DU157" i="2"/>
  <c r="DV156" i="2"/>
  <c r="CY158" i="3"/>
  <c r="BO58" i="2" s="1"/>
  <c r="CY152" i="3"/>
  <c r="AQ57" i="2"/>
  <c r="AM56" i="2"/>
  <c r="EA169" i="2"/>
  <c r="EA168" i="2"/>
  <c r="DZ51" i="2"/>
  <c r="DV243" i="2"/>
  <c r="DJ42" i="2"/>
  <c r="BU51" i="2"/>
  <c r="CN51" i="2"/>
  <c r="DW145" i="2"/>
  <c r="CN57" i="2"/>
  <c r="ED54" i="2"/>
  <c r="DW49" i="2"/>
  <c r="DX51" i="2" s="1"/>
  <c r="CK56" i="2"/>
  <c r="BP51" i="2"/>
  <c r="BM56" i="2"/>
  <c r="BL246" i="2"/>
  <c r="BL247" i="2" s="1"/>
  <c r="DX54" i="2"/>
  <c r="EE54" i="2"/>
  <c r="DW54" i="2"/>
  <c r="EE117" i="2"/>
  <c r="EE118" i="2"/>
  <c r="DT42" i="2"/>
  <c r="DT44" i="2"/>
  <c r="DT43" i="2"/>
  <c r="DU42" i="2"/>
  <c r="CX44" i="5"/>
  <c r="CK61" i="2"/>
  <c r="CC96" i="3"/>
  <c r="DS62" i="2" s="1"/>
  <c r="CD96" i="3"/>
  <c r="CE96" i="3" s="1"/>
  <c r="CF96" i="3" s="1"/>
  <c r="DG84" i="3"/>
  <c r="DC159" i="2"/>
  <c r="DC160" i="2"/>
  <c r="BI61" i="5"/>
  <c r="BI60" i="5"/>
  <c r="BI63" i="5"/>
  <c r="BI62" i="5"/>
  <c r="DS43" i="2"/>
  <c r="DS42" i="2"/>
  <c r="DS44" i="2"/>
  <c r="BZ71" i="4"/>
  <c r="CT119" i="2"/>
  <c r="CS122" i="2"/>
  <c r="BL141" i="2"/>
  <c r="BL139" i="2"/>
  <c r="BL140" i="2"/>
  <c r="CQ53" i="2"/>
  <c r="CQ54" i="2"/>
  <c r="CR53" i="2"/>
  <c r="CU54" i="2"/>
  <c r="DG131" i="3"/>
  <c r="DC158" i="3"/>
  <c r="DC152" i="3"/>
  <c r="AN246" i="3"/>
  <c r="AP33" i="5"/>
  <c r="AP21" i="5"/>
  <c r="AP32" i="5"/>
  <c r="DZ152" i="2"/>
  <c r="DZ153" i="2"/>
  <c r="BK131" i="3"/>
  <c r="BN115" i="3"/>
  <c r="CO26" i="5"/>
  <c r="CO27" i="5"/>
  <c r="BG56" i="2"/>
  <c r="DV55" i="2"/>
  <c r="BK57" i="2"/>
  <c r="BW62" i="4"/>
  <c r="CY154" i="2"/>
  <c r="CY100" i="2"/>
  <c r="CY101" i="2"/>
  <c r="CY95" i="2"/>
  <c r="AS94" i="5"/>
  <c r="AT93" i="5"/>
  <c r="AS95" i="5"/>
  <c r="DW81" i="2"/>
  <c r="DW82" i="2"/>
  <c r="BS32" i="4"/>
  <c r="BS101" i="4" s="1"/>
  <c r="DK18" i="2"/>
  <c r="DK17" i="2"/>
  <c r="EF152" i="2"/>
  <c r="EF153" i="2"/>
  <c r="AS64" i="5"/>
  <c r="AS14" i="5"/>
  <c r="AS9" i="5"/>
  <c r="CP9" i="5" s="1"/>
  <c r="CP11" i="5" s="1"/>
  <c r="AT12" i="5"/>
  <c r="AT37" i="5" s="1"/>
  <c r="AN50" i="2"/>
  <c r="AN51" i="2"/>
  <c r="AR51" i="2"/>
  <c r="AM17" i="6"/>
  <c r="AN5" i="6"/>
  <c r="AM7" i="6"/>
  <c r="K49" i="2"/>
  <c r="CL51" i="2"/>
  <c r="CL50" i="2"/>
  <c r="CM50" i="2"/>
  <c r="CP51" i="2"/>
  <c r="AB51" i="2"/>
  <c r="AF51" i="2"/>
  <c r="AR76" i="5"/>
  <c r="BT87" i="2"/>
  <c r="AZ47" i="2"/>
  <c r="AZ45" i="2"/>
  <c r="AZ46" i="2"/>
  <c r="BD46" i="2"/>
  <c r="AQ78" i="5"/>
  <c r="AQ77" i="5"/>
  <c r="BX57" i="2"/>
  <c r="BX56" i="2"/>
  <c r="BY56" i="2"/>
  <c r="CB57" i="2"/>
  <c r="AT29" i="5"/>
  <c r="AU28" i="5"/>
  <c r="AT30" i="5"/>
  <c r="EA51" i="2"/>
  <c r="AW158" i="3"/>
  <c r="X58" i="2" s="1"/>
  <c r="AW152" i="3"/>
  <c r="DB159" i="2"/>
  <c r="DB160" i="2"/>
  <c r="EF97" i="2"/>
  <c r="BD86" i="3"/>
  <c r="DP100" i="3"/>
  <c r="DQ93" i="3"/>
  <c r="BY43" i="4"/>
  <c r="CW43" i="4" s="1"/>
  <c r="AH58" i="2"/>
  <c r="EC49" i="2"/>
  <c r="EC51" i="2" s="1"/>
  <c r="EA48" i="3"/>
  <c r="AB57" i="2"/>
  <c r="AF57" i="2"/>
  <c r="BL95" i="3"/>
  <c r="BK100" i="3"/>
  <c r="BK104" i="3" s="1"/>
  <c r="EG37" i="2"/>
  <c r="AP57" i="2"/>
  <c r="DR55" i="2"/>
  <c r="AQ56" i="2"/>
  <c r="AH44" i="3"/>
  <c r="AH53" i="3"/>
  <c r="L52" i="2" s="1"/>
  <c r="AH54" i="3"/>
  <c r="AJ37" i="3"/>
  <c r="AQ31" i="5"/>
  <c r="AQ35" i="5"/>
  <c r="AQ36" i="5"/>
  <c r="AQ82" i="5"/>
  <c r="BV48" i="4"/>
  <c r="BW47" i="4"/>
  <c r="BM238" i="2"/>
  <c r="BM240" i="2"/>
  <c r="BM245" i="2"/>
  <c r="BM239" i="2"/>
  <c r="BM123" i="2"/>
  <c r="BQ131" i="3"/>
  <c r="AP84" i="5"/>
  <c r="AP83" i="5"/>
  <c r="AP79" i="5"/>
  <c r="AP73" i="5"/>
  <c r="BR37" i="4"/>
  <c r="BR98" i="4" s="1"/>
  <c r="EW143" i="3"/>
  <c r="AO74" i="5"/>
  <c r="AO75" i="5"/>
  <c r="BO19" i="6"/>
  <c r="BO14" i="6"/>
  <c r="BQ144" i="3"/>
  <c r="BP148" i="3"/>
  <c r="BP152" i="3" s="1"/>
  <c r="AM102" i="5"/>
  <c r="AM103" i="5"/>
  <c r="AW61" i="2"/>
  <c r="AW60" i="2"/>
  <c r="BG50" i="2"/>
  <c r="BK51" i="2"/>
  <c r="DV49" i="2"/>
  <c r="DW55" i="2"/>
  <c r="CG118" i="2"/>
  <c r="CG117" i="2"/>
  <c r="CK117" i="2"/>
  <c r="CG116" i="2"/>
  <c r="EB115" i="2"/>
  <c r="N158" i="3"/>
  <c r="N152" i="3"/>
  <c r="AV158" i="3"/>
  <c r="W58" i="2" s="1"/>
  <c r="W61" i="2" s="1"/>
  <c r="AV152" i="3"/>
  <c r="BE74" i="5"/>
  <c r="BE75" i="5"/>
  <c r="BT21" i="4"/>
  <c r="BS26" i="4"/>
  <c r="CE50" i="2"/>
  <c r="CE51" i="2"/>
  <c r="CF50" i="2"/>
  <c r="CI51" i="2"/>
  <c r="CS158" i="3"/>
  <c r="CS152" i="3"/>
  <c r="BQ50" i="2"/>
  <c r="BQ51" i="2"/>
  <c r="Q131" i="3"/>
  <c r="I53" i="2"/>
  <c r="I54" i="2"/>
  <c r="DI52" i="2"/>
  <c r="DI54" i="2" s="1"/>
  <c r="BY15" i="4"/>
  <c r="CW15" i="4" s="1"/>
  <c r="BX18" i="4"/>
  <c r="BX17" i="4"/>
  <c r="CZ99" i="2"/>
  <c r="AA53" i="2"/>
  <c r="AA54" i="2"/>
  <c r="AE54" i="2"/>
  <c r="AR66" i="5"/>
  <c r="AR65" i="5"/>
  <c r="AB115" i="3"/>
  <c r="AE44" i="3"/>
  <c r="AE58" i="3" s="1"/>
  <c r="AM13" i="6"/>
  <c r="AN11" i="6"/>
  <c r="AL19" i="6"/>
  <c r="AL18" i="6"/>
  <c r="DB115" i="3"/>
  <c r="CX131" i="3"/>
  <c r="CC57" i="2"/>
  <c r="CC56" i="2"/>
  <c r="EA55" i="2"/>
  <c r="EB57" i="2" s="1"/>
  <c r="CG57" i="2"/>
  <c r="BZ115" i="3"/>
  <c r="BZ131" i="3" s="1"/>
  <c r="BZ58" i="3"/>
  <c r="AU55" i="2" s="1"/>
  <c r="DR158" i="3"/>
  <c r="DV131" i="3"/>
  <c r="DR152" i="3"/>
  <c r="DD103" i="2"/>
  <c r="DD158" i="2" s="1"/>
  <c r="DC105" i="2"/>
  <c r="CX97" i="2"/>
  <c r="CX96" i="2"/>
  <c r="BS57" i="2"/>
  <c r="BS56" i="2"/>
  <c r="BT56" i="2"/>
  <c r="BW57" i="2"/>
  <c r="W158" i="3"/>
  <c r="C58" i="2" s="1"/>
  <c r="W152" i="3"/>
  <c r="DK43" i="2"/>
  <c r="DK42" i="2"/>
  <c r="BN142" i="2"/>
  <c r="BN82" i="2"/>
  <c r="BN80" i="2"/>
  <c r="BN81" i="2"/>
  <c r="BN237" i="2"/>
  <c r="CA53" i="3"/>
  <c r="AV52" i="2" s="1"/>
  <c r="DS52" i="2" s="1"/>
  <c r="DS54" i="2" s="1"/>
  <c r="CA54" i="3"/>
  <c r="CA44" i="3"/>
  <c r="CW72" i="4"/>
  <c r="AC115" i="3"/>
  <c r="AC131" i="3" s="1"/>
  <c r="DY158" i="3"/>
  <c r="CJ58" i="2" s="1"/>
  <c r="CJ61" i="2" s="1"/>
  <c r="DY152" i="3"/>
  <c r="EL158" i="3"/>
  <c r="EL152" i="3"/>
  <c r="CL57" i="2"/>
  <c r="CL56" i="2"/>
  <c r="ED55" i="2"/>
  <c r="ED57" i="2" s="1"/>
  <c r="CM56" i="2"/>
  <c r="CP57" i="2"/>
  <c r="CZ153" i="2"/>
  <c r="CY150" i="2"/>
  <c r="CK158" i="2"/>
  <c r="CO105" i="2"/>
  <c r="CL104" i="2"/>
  <c r="CK99" i="2"/>
  <c r="EC99" i="2" s="1"/>
  <c r="CK105" i="2"/>
  <c r="BH15" i="4"/>
  <c r="CJ154" i="2"/>
  <c r="CJ100" i="2"/>
  <c r="CJ101" i="2"/>
  <c r="CN101" i="2"/>
  <c r="DR49" i="2"/>
  <c r="AP51" i="2"/>
  <c r="AQ50" i="2"/>
  <c r="BR29" i="4"/>
  <c r="CC50" i="2"/>
  <c r="CC51" i="2"/>
  <c r="CG51" i="2"/>
  <c r="AN35" i="3"/>
  <c r="AN41" i="3" s="1"/>
  <c r="AO41" i="3" s="1"/>
  <c r="AN37" i="3"/>
  <c r="AO37" i="3" s="1"/>
  <c r="J53" i="2"/>
  <c r="J54" i="2"/>
  <c r="N54" i="2"/>
  <c r="AT41" i="3"/>
  <c r="AK158" i="3"/>
  <c r="AK152" i="3"/>
  <c r="CO50" i="2"/>
  <c r="CO51" i="2"/>
  <c r="CS51" i="2"/>
  <c r="CP50" i="2"/>
  <c r="BX115" i="3"/>
  <c r="BX58" i="3"/>
  <c r="EU17" i="3"/>
  <c r="BI104" i="3"/>
  <c r="CO131" i="3"/>
  <c r="CR115" i="3"/>
  <c r="CN59" i="2"/>
  <c r="CN61" i="2"/>
  <c r="CR60" i="2"/>
  <c r="DX55" i="2"/>
  <c r="BN57" i="2"/>
  <c r="BN56" i="2"/>
  <c r="BO56" i="2"/>
  <c r="CC37" i="3"/>
  <c r="CS50" i="5"/>
  <c r="CS27" i="5"/>
  <c r="BH53" i="3"/>
  <c r="AG52" i="2" s="1"/>
  <c r="BH54" i="3"/>
  <c r="BH44" i="3"/>
  <c r="BI37" i="3"/>
  <c r="BS50" i="2"/>
  <c r="BS51" i="2"/>
  <c r="BT50" i="2"/>
  <c r="BW51" i="2"/>
  <c r="Q43" i="2"/>
  <c r="Q42" i="2"/>
  <c r="Q41" i="2"/>
  <c r="R41" i="2"/>
  <c r="AI44" i="3"/>
  <c r="AI53" i="3"/>
  <c r="M52" i="2" s="1"/>
  <c r="AI54" i="3"/>
  <c r="AT58" i="2"/>
  <c r="O158" i="3"/>
  <c r="O152" i="3"/>
  <c r="DT81" i="3"/>
  <c r="DS84" i="3"/>
  <c r="DY51" i="2"/>
  <c r="DR93" i="3"/>
  <c r="DR100" i="3" s="1"/>
  <c r="DR104" i="3" s="1"/>
  <c r="DS88" i="3"/>
  <c r="CO93" i="3"/>
  <c r="CP88" i="3"/>
  <c r="AY49" i="2"/>
  <c r="BT158" i="3"/>
  <c r="BX131" i="3"/>
  <c r="ES120" i="3"/>
  <c r="BH171" i="2"/>
  <c r="BH172" i="2"/>
  <c r="BH174" i="2"/>
  <c r="BM143" i="2"/>
  <c r="BM138" i="2"/>
  <c r="DW138" i="2" s="1"/>
  <c r="AN57" i="2"/>
  <c r="AN56" i="2"/>
  <c r="DQ55" i="2"/>
  <c r="AR57" i="2"/>
  <c r="AF131" i="3"/>
  <c r="DU106" i="3"/>
  <c r="DV96" i="3"/>
  <c r="DV106" i="3" s="1"/>
  <c r="DW96" i="3"/>
  <c r="BK243" i="2"/>
  <c r="BO243" i="2"/>
  <c r="BK244" i="2"/>
  <c r="BK242" i="2"/>
  <c r="BL242" i="2"/>
  <c r="DW241" i="2"/>
  <c r="DA23" i="2"/>
  <c r="DA22" i="2"/>
  <c r="DA25" i="2"/>
  <c r="EG25" i="2" s="1"/>
  <c r="V49" i="2"/>
  <c r="W50" i="2" s="1"/>
  <c r="R57" i="2"/>
  <c r="BI31" i="5"/>
  <c r="BI35" i="5"/>
  <c r="BI36" i="5"/>
  <c r="CT34" i="5"/>
  <c r="EE51" i="2"/>
  <c r="BE50" i="2"/>
  <c r="BF50" i="2"/>
  <c r="BI51" i="2"/>
  <c r="CJ131" i="2"/>
  <c r="ET28" i="3"/>
  <c r="EU28" i="3" s="1"/>
  <c r="EV26" i="3"/>
  <c r="EC54" i="2"/>
  <c r="BR101" i="4"/>
  <c r="AA158" i="3"/>
  <c r="AA152" i="3"/>
  <c r="CF143" i="2"/>
  <c r="CJ51" i="2"/>
  <c r="CJ50" i="2"/>
  <c r="BF58" i="2"/>
  <c r="BE158" i="3"/>
  <c r="BE152" i="3"/>
  <c r="BA58" i="3"/>
  <c r="AA55" i="2" s="1"/>
  <c r="BA115" i="3"/>
  <c r="BH51" i="5"/>
  <c r="BH54" i="5" s="1"/>
  <c r="BH50" i="5"/>
  <c r="BI48" i="5"/>
  <c r="BH27" i="5"/>
  <c r="U42" i="2"/>
  <c r="BW60" i="4"/>
  <c r="BW61" i="4"/>
  <c r="CE57" i="2"/>
  <c r="CE56" i="2"/>
  <c r="CF56" i="2"/>
  <c r="CI57" i="2"/>
  <c r="BQ57" i="2"/>
  <c r="BQ56" i="2"/>
  <c r="DP158" i="3"/>
  <c r="CC58" i="2" s="1"/>
  <c r="DP152" i="3"/>
  <c r="BX47" i="5"/>
  <c r="BX46" i="5"/>
  <c r="BH60" i="2"/>
  <c r="BH61" i="2"/>
  <c r="BI59" i="2"/>
  <c r="BL60" i="2"/>
  <c r="AU49" i="2"/>
  <c r="BZ58" i="4"/>
  <c r="DV115" i="3"/>
  <c r="EX91" i="3"/>
  <c r="CK84" i="3"/>
  <c r="CL82" i="3"/>
  <c r="BV84" i="4"/>
  <c r="BV73" i="4"/>
  <c r="BV62" i="4"/>
  <c r="DW237" i="2"/>
  <c r="DW239" i="2" s="1"/>
  <c r="V158" i="3"/>
  <c r="Z131" i="3"/>
  <c r="V152" i="3"/>
  <c r="CP58" i="2"/>
  <c r="ER146" i="3"/>
  <c r="ER148" i="3" s="1"/>
  <c r="AS54" i="3"/>
  <c r="AS44" i="3"/>
  <c r="AS53" i="3"/>
  <c r="U52" i="2" s="1"/>
  <c r="AT37" i="3"/>
  <c r="CF53" i="3"/>
  <c r="AZ52" i="2" s="1"/>
  <c r="CF54" i="3"/>
  <c r="CF44" i="3"/>
  <c r="BQ102" i="4"/>
  <c r="BQ103" i="4"/>
  <c r="BQ57" i="4"/>
  <c r="BQ46" i="4"/>
  <c r="CU101" i="4"/>
  <c r="BQ24" i="4"/>
  <c r="EE158" i="3"/>
  <c r="CO58" i="2" s="1"/>
  <c r="EE152" i="3"/>
  <c r="CI155" i="2"/>
  <c r="CI156" i="2"/>
  <c r="CM156" i="2"/>
  <c r="CS116" i="2"/>
  <c r="CS118" i="2"/>
  <c r="CS117" i="2"/>
  <c r="AR59" i="5"/>
  <c r="AR34" i="5"/>
  <c r="AR11" i="5"/>
  <c r="AR10" i="5"/>
  <c r="BZ42" i="5"/>
  <c r="BY44" i="5"/>
  <c r="DY55" i="2"/>
  <c r="CX156" i="2"/>
  <c r="CX155" i="2"/>
  <c r="BA43" i="2"/>
  <c r="BA42" i="2"/>
  <c r="BA41" i="2"/>
  <c r="BA44" i="2"/>
  <c r="BB41" i="2"/>
  <c r="BE42" i="2"/>
  <c r="AG115" i="3"/>
  <c r="AG131" i="3" s="1"/>
  <c r="AG58" i="3"/>
  <c r="K55" i="2" s="1"/>
  <c r="K56" i="2" s="1"/>
  <c r="Z115" i="3"/>
  <c r="DD158" i="3"/>
  <c r="BS58" i="2" s="1"/>
  <c r="DD152" i="3"/>
  <c r="CK155" i="3"/>
  <c r="CL154" i="3"/>
  <c r="CK64" i="3"/>
  <c r="CK74" i="3" s="1"/>
  <c r="CT28" i="5"/>
  <c r="EF115" i="3"/>
  <c r="EB131" i="3"/>
  <c r="BO152" i="3"/>
  <c r="J51" i="2"/>
  <c r="J50" i="2"/>
  <c r="EB126" i="2"/>
  <c r="EB125" i="2"/>
  <c r="CG142" i="2"/>
  <c r="CG82" i="2"/>
  <c r="CG80" i="2"/>
  <c r="CG81" i="2"/>
  <c r="BH33" i="5"/>
  <c r="BH21" i="5"/>
  <c r="BH32" i="5"/>
  <c r="AA49" i="2"/>
  <c r="AB50" i="2" s="1"/>
  <c r="BK168" i="2"/>
  <c r="BK167" i="2"/>
  <c r="BO168" i="2"/>
  <c r="BL167" i="2"/>
  <c r="DW166" i="2"/>
  <c r="CI97" i="3"/>
  <c r="CJ97" i="3" s="1"/>
  <c r="CH97" i="3"/>
  <c r="DT62" i="2" s="1"/>
  <c r="CM115" i="3"/>
  <c r="AO32" i="3"/>
  <c r="AO35" i="3" s="1"/>
  <c r="AZ158" i="3"/>
  <c r="AZ152" i="3"/>
  <c r="CI158" i="3"/>
  <c r="CI152" i="3"/>
  <c r="CO21" i="5"/>
  <c r="CO23" i="5" s="1"/>
  <c r="CO33" i="5"/>
  <c r="AM54" i="3"/>
  <c r="AM44" i="3"/>
  <c r="AM53" i="3"/>
  <c r="P52" i="2" s="1"/>
  <c r="EC57" i="2"/>
  <c r="DJ158" i="3"/>
  <c r="BX58" i="2" s="1"/>
  <c r="DJ152" i="3"/>
  <c r="DC166" i="2"/>
  <c r="DC113" i="2"/>
  <c r="DD111" i="2"/>
  <c r="CS70" i="5"/>
  <c r="DH158" i="3"/>
  <c r="DL131" i="3"/>
  <c r="DH152" i="3"/>
  <c r="BL158" i="3"/>
  <c r="AJ58" i="2" s="1"/>
  <c r="BL152" i="3"/>
  <c r="BJ59" i="5"/>
  <c r="BJ11" i="5"/>
  <c r="BJ10" i="5"/>
  <c r="BJ34" i="5"/>
  <c r="BB158" i="3"/>
  <c r="AB58" i="2" s="1"/>
  <c r="BB152" i="3"/>
  <c r="BL126" i="2"/>
  <c r="BL125" i="2"/>
  <c r="BL124" i="2"/>
  <c r="DT17" i="2"/>
  <c r="DT18" i="2"/>
  <c r="DT19" i="2"/>
  <c r="DU17" i="2"/>
  <c r="CT59" i="5"/>
  <c r="AO22" i="5"/>
  <c r="AO23" i="5"/>
  <c r="R51" i="2"/>
  <c r="BE56" i="2"/>
  <c r="BF56" i="2"/>
  <c r="BI57" i="2"/>
  <c r="DR86" i="3"/>
  <c r="CT76" i="5"/>
  <c r="CT78" i="5" s="1"/>
  <c r="CT87" i="5"/>
  <c r="BL51" i="2"/>
  <c r="BL50" i="2"/>
  <c r="EQ148" i="3"/>
  <c r="BN147" i="2"/>
  <c r="BD71" i="5"/>
  <c r="EU19" i="3"/>
  <c r="DL115" i="3"/>
  <c r="BK64" i="5"/>
  <c r="BL12" i="5"/>
  <c r="BK9" i="5"/>
  <c r="BK37" i="5"/>
  <c r="BK85" i="5" s="1"/>
  <c r="BB77" i="3"/>
  <c r="BA76" i="3"/>
  <c r="AY53" i="2"/>
  <c r="AY54" i="2"/>
  <c r="BC54" i="2"/>
  <c r="S115" i="3"/>
  <c r="S131" i="3" s="1"/>
  <c r="CZ39" i="2"/>
  <c r="CT91" i="3"/>
  <c r="CD158" i="3"/>
  <c r="CD152" i="3"/>
  <c r="H51" i="2"/>
  <c r="H50" i="2"/>
  <c r="AQ61" i="5"/>
  <c r="AQ60" i="5"/>
  <c r="AQ63" i="5"/>
  <c r="AQ62" i="5"/>
  <c r="BI170" i="2"/>
  <c r="BJ173" i="2"/>
  <c r="BX50" i="2"/>
  <c r="BX51" i="2"/>
  <c r="BY50" i="2"/>
  <c r="CB51" i="2"/>
  <c r="AT57" i="2"/>
  <c r="R158" i="3"/>
  <c r="R152" i="3"/>
  <c r="CL54" i="2"/>
  <c r="CL53" i="2"/>
  <c r="CM53" i="2"/>
  <c r="CP54" i="2"/>
  <c r="EG21" i="2"/>
  <c r="BY54" i="4"/>
  <c r="BI154" i="3"/>
  <c r="S50" i="2"/>
  <c r="E61" i="2"/>
  <c r="I60" i="2"/>
  <c r="V54" i="2"/>
  <c r="Z54" i="2"/>
  <c r="AO80" i="5"/>
  <c r="AO70" i="5"/>
  <c r="AO81" i="5"/>
  <c r="CO79" i="5"/>
  <c r="CQ50" i="2"/>
  <c r="CQ51" i="2"/>
  <c r="CR50" i="2"/>
  <c r="CU51" i="2"/>
  <c r="AE61" i="2"/>
  <c r="AV47" i="2"/>
  <c r="AV45" i="2"/>
  <c r="AV46" i="2"/>
  <c r="AW45" i="2"/>
  <c r="BG17" i="4"/>
  <c r="BG16" i="4"/>
  <c r="BG18" i="4"/>
  <c r="BK17" i="4"/>
  <c r="CI123" i="2"/>
  <c r="EC123" i="2" s="1"/>
  <c r="CH115" i="2"/>
  <c r="CH126" i="2"/>
  <c r="CH124" i="2"/>
  <c r="CH125" i="2"/>
  <c r="CL125" i="2"/>
  <c r="EA115" i="3"/>
  <c r="BO26" i="5"/>
  <c r="BP24" i="5"/>
  <c r="AS50" i="2"/>
  <c r="AS51" i="2"/>
  <c r="BE81" i="5"/>
  <c r="BE70" i="5"/>
  <c r="BE80" i="5"/>
  <c r="O56" i="2"/>
  <c r="EW57" i="3"/>
  <c r="CQ57" i="2"/>
  <c r="CQ56" i="2"/>
  <c r="CR56" i="2"/>
  <c r="EE55" i="2"/>
  <c r="CU57" i="2"/>
  <c r="CT115" i="2"/>
  <c r="CT126" i="2"/>
  <c r="CT124" i="2"/>
  <c r="CU123" i="2"/>
  <c r="CT125" i="2"/>
  <c r="CX125" i="2"/>
  <c r="CA150" i="2"/>
  <c r="CB153" i="2"/>
  <c r="CP12" i="5"/>
  <c r="CP14" i="5" s="1"/>
  <c r="AS56" i="2"/>
  <c r="DS158" i="3"/>
  <c r="CE58" i="2" s="1"/>
  <c r="DS152" i="3"/>
  <c r="BV25" i="4"/>
  <c r="L131" i="3"/>
  <c r="P115" i="3"/>
  <c r="DA158" i="3"/>
  <c r="BQ58" i="2" s="1"/>
  <c r="DA152" i="3"/>
  <c r="I50" i="2"/>
  <c r="AU53" i="2"/>
  <c r="AU54" i="2"/>
  <c r="BX59" i="4"/>
  <c r="CG37" i="3"/>
  <c r="CG35" i="3"/>
  <c r="CH32" i="3"/>
  <c r="CH35" i="3" s="1"/>
  <c r="BG177" i="2"/>
  <c r="BG175" i="2"/>
  <c r="BG176" i="2"/>
  <c r="DQ131" i="3"/>
  <c r="BH56" i="2"/>
  <c r="CO84" i="5"/>
  <c r="CO73" i="5"/>
  <c r="CO75" i="5" s="1"/>
  <c r="CS73" i="5"/>
  <c r="G51" i="2"/>
  <c r="G50" i="2"/>
  <c r="DI49" i="2"/>
  <c r="DI51" i="2" s="1"/>
  <c r="AN98" i="5"/>
  <c r="AN97" i="5"/>
  <c r="AN101" i="5"/>
  <c r="BP83" i="2"/>
  <c r="AT51" i="2"/>
  <c r="CU28" i="4"/>
  <c r="CU25" i="4"/>
  <c r="CU29" i="4"/>
  <c r="BT36" i="4"/>
  <c r="AL58" i="2"/>
  <c r="BO146" i="2"/>
  <c r="BO85" i="2"/>
  <c r="BO84" i="2"/>
  <c r="BO86" i="2"/>
  <c r="BO79" i="2"/>
  <c r="CA67" i="4"/>
  <c r="CB65" i="4"/>
  <c r="CA70" i="4"/>
  <c r="EE119" i="2"/>
  <c r="EE122" i="2" s="1"/>
  <c r="DC91" i="2"/>
  <c r="DB93" i="2"/>
  <c r="CL158" i="3"/>
  <c r="BE58" i="2" s="1"/>
  <c r="CL152" i="3"/>
  <c r="DS74" i="3"/>
  <c r="DT63" i="3"/>
  <c r="AO91" i="5"/>
  <c r="AO96" i="5"/>
  <c r="AP90" i="5"/>
  <c r="AO92" i="5"/>
  <c r="CK88" i="2"/>
  <c r="N51" i="2"/>
  <c r="DB168" i="2"/>
  <c r="DB167" i="2"/>
  <c r="BJ85" i="5"/>
  <c r="CE115" i="3"/>
  <c r="CE58" i="3"/>
  <c r="AY55" i="2" s="1"/>
  <c r="BL57" i="2"/>
  <c r="BL56" i="2"/>
  <c r="DA34" i="2"/>
  <c r="EG34" i="2" s="1"/>
  <c r="DB29" i="2"/>
  <c r="ET42" i="3"/>
  <c r="ET41" i="3" s="1"/>
  <c r="EU41" i="3" s="1"/>
  <c r="ES48" i="3"/>
  <c r="ER49" i="3"/>
  <c r="DY54" i="2"/>
  <c r="CJ57" i="2"/>
  <c r="CJ56" i="2"/>
  <c r="CZ26" i="2"/>
  <c r="CZ27" i="2"/>
  <c r="BP105" i="4"/>
  <c r="BP106" i="4"/>
  <c r="BU61" i="2"/>
  <c r="BY60" i="2"/>
  <c r="BF83" i="5"/>
  <c r="BF79" i="5"/>
  <c r="BF73" i="5"/>
  <c r="BF84" i="5"/>
  <c r="CH79" i="2"/>
  <c r="AI50" i="2"/>
  <c r="AI51" i="2"/>
  <c r="AM51" i="2"/>
  <c r="DP49" i="2"/>
  <c r="AU115" i="3"/>
  <c r="AU58" i="3"/>
  <c r="V55" i="2" s="1"/>
  <c r="DZ55" i="2"/>
  <c r="DE161" i="2"/>
  <c r="BN54" i="2"/>
  <c r="BN53" i="2"/>
  <c r="BO53" i="2"/>
  <c r="O50" i="2"/>
  <c r="CO57" i="2"/>
  <c r="CO56" i="2"/>
  <c r="CP56" i="2"/>
  <c r="CS57" i="2"/>
  <c r="S56" i="2"/>
  <c r="CX152" i="2"/>
  <c r="CX151" i="2"/>
  <c r="DO43" i="2"/>
  <c r="DP42" i="2"/>
  <c r="EV17" i="3"/>
  <c r="DB37" i="2"/>
  <c r="DC35" i="2"/>
  <c r="EC103" i="2"/>
  <c r="CJ160" i="2"/>
  <c r="CJ159" i="2"/>
  <c r="CN160" i="2"/>
  <c r="DW158" i="3"/>
  <c r="EA131" i="3"/>
  <c r="DW152" i="3"/>
  <c r="AI57" i="2"/>
  <c r="AI56" i="2"/>
  <c r="AM57" i="2"/>
  <c r="DP55" i="2"/>
  <c r="DL17" i="2"/>
  <c r="EB79" i="2"/>
  <c r="BN50" i="2"/>
  <c r="BN51" i="2"/>
  <c r="BO50" i="2"/>
  <c r="AL158" i="3"/>
  <c r="O58" i="2" s="1"/>
  <c r="AL152" i="3"/>
  <c r="EH131" i="3"/>
  <c r="EK115" i="3"/>
  <c r="X158" i="3"/>
  <c r="D58" i="2" s="1"/>
  <c r="X152" i="3"/>
  <c r="AO24" i="3"/>
  <c r="AO23" i="3"/>
  <c r="AO56" i="3"/>
  <c r="T52" i="3"/>
  <c r="T54" i="3"/>
  <c r="T51" i="3"/>
  <c r="T44" i="3"/>
  <c r="U37" i="3"/>
  <c r="BG23" i="5"/>
  <c r="BG22" i="5"/>
  <c r="EB51" i="2"/>
  <c r="CV48" i="4"/>
  <c r="BZ152" i="2"/>
  <c r="BZ151" i="2"/>
  <c r="AE53" i="3"/>
  <c r="AE54" i="3"/>
  <c r="BG82" i="5"/>
  <c r="BG53" i="5"/>
  <c r="BG52" i="5"/>
  <c r="DL43" i="2"/>
  <c r="DL42" i="2"/>
  <c r="AS61" i="2"/>
  <c r="AS59" i="2"/>
  <c r="AO56" i="2"/>
  <c r="CH56" i="3"/>
  <c r="CH23" i="3"/>
  <c r="CH24" i="3"/>
  <c r="CM24" i="3"/>
  <c r="BR54" i="2"/>
  <c r="CA61" i="2"/>
  <c r="BZ58" i="2"/>
  <c r="CP85" i="5" l="1"/>
  <c r="AS76" i="5"/>
  <c r="CP64" i="5"/>
  <c r="CP66" i="5" s="1"/>
  <c r="CP28" i="5"/>
  <c r="BQ99" i="4"/>
  <c r="CU98" i="4"/>
  <c r="CU104" i="4" s="1"/>
  <c r="BQ104" i="4"/>
  <c r="BX111" i="4"/>
  <c r="BX110" i="4"/>
  <c r="BS37" i="4"/>
  <c r="BS98" i="4" s="1"/>
  <c r="DQ49" i="2"/>
  <c r="K53" i="2"/>
  <c r="DB21" i="2"/>
  <c r="DB23" i="2" s="1"/>
  <c r="AQ158" i="3"/>
  <c r="O54" i="2"/>
  <c r="DN43" i="2"/>
  <c r="DN42" i="2"/>
  <c r="DC30" i="2"/>
  <c r="DC21" i="2" s="1"/>
  <c r="BT61" i="2"/>
  <c r="BT60" i="2"/>
  <c r="CR61" i="2"/>
  <c r="CS59" i="2"/>
  <c r="DB32" i="2"/>
  <c r="W57" i="2"/>
  <c r="EK58" i="3"/>
  <c r="W51" i="2"/>
  <c r="BC44" i="3"/>
  <c r="BD37" i="3"/>
  <c r="BC53" i="3"/>
  <c r="AC52" i="2" s="1"/>
  <c r="BC54" i="3"/>
  <c r="AP50" i="2"/>
  <c r="AO50" i="2"/>
  <c r="BS115" i="3"/>
  <c r="DV58" i="3"/>
  <c r="AS57" i="2"/>
  <c r="DQ158" i="3"/>
  <c r="DQ160" i="3" s="1"/>
  <c r="CA60" i="2"/>
  <c r="AP56" i="2"/>
  <c r="AH51" i="2"/>
  <c r="AD51" i="2"/>
  <c r="AE50" i="2"/>
  <c r="AH57" i="2"/>
  <c r="AE56" i="2"/>
  <c r="AD57" i="2"/>
  <c r="X54" i="2"/>
  <c r="T53" i="2"/>
  <c r="CT158" i="3"/>
  <c r="BK58" i="2" s="1"/>
  <c r="CT152" i="3"/>
  <c r="DR54" i="2"/>
  <c r="AR58" i="3"/>
  <c r="T55" i="2" s="1"/>
  <c r="AR115" i="3"/>
  <c r="AR131" i="3" s="1"/>
  <c r="EU11" i="3"/>
  <c r="T49" i="2"/>
  <c r="CV131" i="3"/>
  <c r="CW115" i="3"/>
  <c r="DC11" i="2"/>
  <c r="DB13" i="2"/>
  <c r="DB12" i="2"/>
  <c r="EV11" i="3"/>
  <c r="EV116" i="3" s="1"/>
  <c r="BD56" i="2"/>
  <c r="BC56" i="2"/>
  <c r="CG59" i="2"/>
  <c r="CG61" i="2"/>
  <c r="CK86" i="3"/>
  <c r="CL62" i="3"/>
  <c r="CN154" i="3" s="1"/>
  <c r="CR154" i="3" s="1"/>
  <c r="BP59" i="2"/>
  <c r="BO61" i="2"/>
  <c r="AX53" i="3"/>
  <c r="Y52" i="2" s="1"/>
  <c r="Y54" i="2" s="1"/>
  <c r="AX54" i="3"/>
  <c r="AX44" i="3"/>
  <c r="AY37" i="3"/>
  <c r="DU55" i="2"/>
  <c r="DV57" i="2" s="1"/>
  <c r="BD50" i="2"/>
  <c r="BC50" i="2"/>
  <c r="BG57" i="2"/>
  <c r="CF60" i="2"/>
  <c r="CB61" i="2"/>
  <c r="AO60" i="2"/>
  <c r="AO61" i="2"/>
  <c r="CJ158" i="3"/>
  <c r="BC58" i="2" s="1"/>
  <c r="CJ152" i="3"/>
  <c r="CM152" i="3" s="1"/>
  <c r="DU49" i="2"/>
  <c r="DV51" i="2" s="1"/>
  <c r="DW57" i="2"/>
  <c r="DJ52" i="2"/>
  <c r="DJ54" i="2" s="1"/>
  <c r="DY57" i="2"/>
  <c r="ED51" i="2"/>
  <c r="DZ57" i="2"/>
  <c r="DA39" i="2"/>
  <c r="EG39" i="2" s="1"/>
  <c r="DQ57" i="2"/>
  <c r="DQ51" i="2"/>
  <c r="CK131" i="2"/>
  <c r="EE57" i="2"/>
  <c r="BM246" i="2"/>
  <c r="BM247" i="2" s="1"/>
  <c r="CW17" i="4"/>
  <c r="CW18" i="4"/>
  <c r="CW95" i="4"/>
  <c r="CW84" i="4"/>
  <c r="CW73" i="4"/>
  <c r="U54" i="3"/>
  <c r="U53" i="3"/>
  <c r="BZ54" i="4"/>
  <c r="BZ59" i="4" s="1"/>
  <c r="CW54" i="4"/>
  <c r="EW19" i="3"/>
  <c r="DC32" i="2"/>
  <c r="DD30" i="2"/>
  <c r="AO97" i="5"/>
  <c r="AO98" i="5"/>
  <c r="AO101" i="5"/>
  <c r="CO101" i="5" s="1"/>
  <c r="BQ83" i="2"/>
  <c r="BO142" i="2"/>
  <c r="BO82" i="2"/>
  <c r="BO80" i="2"/>
  <c r="BO81" i="2"/>
  <c r="BO237" i="2"/>
  <c r="BU90" i="2"/>
  <c r="BU89" i="2"/>
  <c r="BE71" i="5"/>
  <c r="BE72" i="5"/>
  <c r="CU100" i="4"/>
  <c r="DW169" i="2"/>
  <c r="DW168" i="2"/>
  <c r="DX168" i="2"/>
  <c r="BA46" i="2"/>
  <c r="BA47" i="2"/>
  <c r="BA45" i="2"/>
  <c r="BB45" i="2"/>
  <c r="BE46" i="2"/>
  <c r="CO61" i="2"/>
  <c r="CO60" i="2"/>
  <c r="CO59" i="2"/>
  <c r="CS60" i="2"/>
  <c r="BY59" i="4"/>
  <c r="CW59" i="4" s="1"/>
  <c r="BI33" i="5"/>
  <c r="BI21" i="5"/>
  <c r="BI32" i="5"/>
  <c r="DW243" i="2"/>
  <c r="DX243" i="2"/>
  <c r="AF158" i="3"/>
  <c r="AF152" i="3"/>
  <c r="BX158" i="3"/>
  <c r="AP58" i="2"/>
  <c r="DU81" i="3"/>
  <c r="DT84" i="3"/>
  <c r="CC54" i="3"/>
  <c r="CC44" i="3"/>
  <c r="CC53" i="3"/>
  <c r="BS103" i="4"/>
  <c r="BS102" i="4"/>
  <c r="BS68" i="4"/>
  <c r="BS46" i="4"/>
  <c r="BS57" i="4"/>
  <c r="BM95" i="3"/>
  <c r="BL100" i="3"/>
  <c r="BL104" i="3" s="1"/>
  <c r="AH61" i="2"/>
  <c r="AM19" i="6"/>
  <c r="AM18" i="6"/>
  <c r="AS59" i="5"/>
  <c r="CP59" i="5" s="1"/>
  <c r="AS34" i="5"/>
  <c r="CP34" i="5" s="1"/>
  <c r="AS11" i="5"/>
  <c r="AS10" i="5"/>
  <c r="BU36" i="4"/>
  <c r="BQ59" i="2"/>
  <c r="BQ61" i="2"/>
  <c r="AX58" i="2"/>
  <c r="AR63" i="5"/>
  <c r="AR61" i="5"/>
  <c r="AR62" i="5"/>
  <c r="AR60" i="5"/>
  <c r="U53" i="2"/>
  <c r="DL52" i="2"/>
  <c r="BA131" i="3"/>
  <c r="CK159" i="2"/>
  <c r="CK160" i="2"/>
  <c r="CO160" i="2"/>
  <c r="CL159" i="2"/>
  <c r="DV158" i="3"/>
  <c r="CD58" i="2"/>
  <c r="CE59" i="2" s="1"/>
  <c r="EB118" i="2"/>
  <c r="EB117" i="2"/>
  <c r="AT85" i="5"/>
  <c r="K50" i="2"/>
  <c r="K51" i="2"/>
  <c r="AT94" i="5"/>
  <c r="AT95" i="5"/>
  <c r="AU93" i="5"/>
  <c r="CT122" i="2"/>
  <c r="CU119" i="2"/>
  <c r="DS46" i="2"/>
  <c r="DS47" i="2"/>
  <c r="CV51" i="4"/>
  <c r="CV50" i="4"/>
  <c r="CV47" i="4"/>
  <c r="EA152" i="3"/>
  <c r="V57" i="2"/>
  <c r="Z57" i="2"/>
  <c r="DC29" i="2"/>
  <c r="DB34" i="2"/>
  <c r="DB39" i="2" s="1"/>
  <c r="EV42" i="3"/>
  <c r="AY57" i="2"/>
  <c r="AY56" i="2"/>
  <c r="BC57" i="2"/>
  <c r="DT74" i="3"/>
  <c r="DU63" i="3"/>
  <c r="DD91" i="2"/>
  <c r="DC93" i="2"/>
  <c r="CE61" i="2"/>
  <c r="CE60" i="2"/>
  <c r="CF59" i="2"/>
  <c r="CI60" i="2"/>
  <c r="CU124" i="2"/>
  <c r="CV123" i="2"/>
  <c r="CU126" i="2"/>
  <c r="CU125" i="2"/>
  <c r="CY125" i="2"/>
  <c r="CO81" i="5"/>
  <c r="CO70" i="5"/>
  <c r="CO72" i="5" s="1"/>
  <c r="V53" i="2"/>
  <c r="EG23" i="2"/>
  <c r="BK173" i="2"/>
  <c r="BJ170" i="2"/>
  <c r="CU91" i="3"/>
  <c r="BC77" i="3"/>
  <c r="BB76" i="3"/>
  <c r="DL152" i="3"/>
  <c r="DW245" i="2"/>
  <c r="BX61" i="2"/>
  <c r="BX60" i="2"/>
  <c r="BX59" i="2"/>
  <c r="BY59" i="2"/>
  <c r="CB60" i="2"/>
  <c r="AM115" i="3"/>
  <c r="AM58" i="3"/>
  <c r="P55" i="2" s="1"/>
  <c r="CU103" i="4"/>
  <c r="CU46" i="4"/>
  <c r="CU79" i="4"/>
  <c r="CU68" i="4"/>
  <c r="CU57" i="4"/>
  <c r="CU24" i="4"/>
  <c r="CU35" i="4"/>
  <c r="AS115" i="3"/>
  <c r="AS58" i="3"/>
  <c r="U55" i="2" s="1"/>
  <c r="AT44" i="3"/>
  <c r="AT58" i="3" s="1"/>
  <c r="CP61" i="2"/>
  <c r="CP59" i="2"/>
  <c r="EY91" i="3"/>
  <c r="CC59" i="2"/>
  <c r="CC61" i="2"/>
  <c r="CC60" i="2"/>
  <c r="EA58" i="2"/>
  <c r="CG60" i="2"/>
  <c r="AA57" i="2"/>
  <c r="AA56" i="2"/>
  <c r="AE57" i="2"/>
  <c r="EV28" i="3"/>
  <c r="EW26" i="3"/>
  <c r="DW106" i="3"/>
  <c r="DX96" i="3"/>
  <c r="AY50" i="2"/>
  <c r="AY51" i="2"/>
  <c r="BC51" i="2"/>
  <c r="AI115" i="3"/>
  <c r="AI131" i="3" s="1"/>
  <c r="AI58" i="3"/>
  <c r="M55" i="2" s="1"/>
  <c r="AG53" i="2"/>
  <c r="AG54" i="2"/>
  <c r="AH53" i="2"/>
  <c r="AK54" i="2"/>
  <c r="DO52" i="2"/>
  <c r="AN44" i="3"/>
  <c r="AO44" i="3" s="1"/>
  <c r="AO58" i="3" s="1"/>
  <c r="AN54" i="3"/>
  <c r="AN53" i="3"/>
  <c r="Q52" i="2" s="1"/>
  <c r="U54" i="2" s="1"/>
  <c r="BI15" i="4"/>
  <c r="CK101" i="2"/>
  <c r="CK154" i="2"/>
  <c r="EC154" i="2" s="1"/>
  <c r="CK100" i="2"/>
  <c r="CO101" i="2"/>
  <c r="CL100" i="2"/>
  <c r="CY151" i="2"/>
  <c r="CY152" i="2"/>
  <c r="AV54" i="2"/>
  <c r="AV53" i="2"/>
  <c r="AW53" i="2"/>
  <c r="AU57" i="2"/>
  <c r="AU56" i="2"/>
  <c r="AB56" i="2"/>
  <c r="CW45" i="4"/>
  <c r="AS66" i="5"/>
  <c r="AS65" i="5"/>
  <c r="DG152" i="3"/>
  <c r="DT47" i="2"/>
  <c r="DT46" i="2"/>
  <c r="DU46" i="2"/>
  <c r="BG79" i="5"/>
  <c r="BG83" i="5"/>
  <c r="BG73" i="5"/>
  <c r="BG84" i="5"/>
  <c r="CI79" i="2"/>
  <c r="BP146" i="2"/>
  <c r="BP84" i="2"/>
  <c r="BP86" i="2"/>
  <c r="BP79" i="2"/>
  <c r="BP85" i="2"/>
  <c r="EC125" i="2"/>
  <c r="ED125" i="2"/>
  <c r="AB61" i="2"/>
  <c r="AB60" i="2"/>
  <c r="DC167" i="2"/>
  <c r="DC168" i="2"/>
  <c r="Z58" i="2"/>
  <c r="CL84" i="3"/>
  <c r="CN82" i="3"/>
  <c r="CM82" i="3"/>
  <c r="CJ133" i="2"/>
  <c r="CJ126" i="2"/>
  <c r="CJ134" i="2"/>
  <c r="CJ110" i="2"/>
  <c r="CJ78" i="2"/>
  <c r="CJ98" i="2"/>
  <c r="CJ122" i="2"/>
  <c r="CJ114" i="2"/>
  <c r="CJ94" i="2"/>
  <c r="CJ132" i="2"/>
  <c r="CN133" i="2"/>
  <c r="CJ118" i="2"/>
  <c r="CJ90" i="2"/>
  <c r="CJ106" i="2"/>
  <c r="BQ106" i="4"/>
  <c r="BQ105" i="4"/>
  <c r="CK134" i="2"/>
  <c r="CK98" i="2"/>
  <c r="CL132" i="2"/>
  <c r="AC158" i="3"/>
  <c r="H58" i="2" s="1"/>
  <c r="AC152" i="3"/>
  <c r="AO11" i="6"/>
  <c r="BP11" i="6" s="1"/>
  <c r="AN13" i="6"/>
  <c r="DP104" i="3"/>
  <c r="DQ100" i="3"/>
  <c r="BZ59" i="2"/>
  <c r="BZ61" i="2"/>
  <c r="BF81" i="5"/>
  <c r="BF80" i="5"/>
  <c r="BF70" i="5"/>
  <c r="CC65" i="4"/>
  <c r="CB70" i="4"/>
  <c r="AN102" i="5"/>
  <c r="AN103" i="5"/>
  <c r="DW141" i="2"/>
  <c r="DW140" i="2"/>
  <c r="CT61" i="5"/>
  <c r="CT62" i="5"/>
  <c r="CT63" i="5"/>
  <c r="AJ61" i="2"/>
  <c r="AK59" i="2"/>
  <c r="AU50" i="2"/>
  <c r="AU51" i="2"/>
  <c r="BF61" i="2"/>
  <c r="BF59" i="2"/>
  <c r="AG49" i="2"/>
  <c r="BR99" i="4"/>
  <c r="BR100" i="4"/>
  <c r="BR104" i="4"/>
  <c r="CT58" i="2"/>
  <c r="AV49" i="2"/>
  <c r="EC105" i="2"/>
  <c r="ED105" i="2"/>
  <c r="CA59" i="2"/>
  <c r="EW17" i="3"/>
  <c r="DC37" i="2"/>
  <c r="DD35" i="2"/>
  <c r="CH142" i="2"/>
  <c r="CH81" i="2"/>
  <c r="CH82" i="2"/>
  <c r="CH80" i="2"/>
  <c r="ET48" i="3"/>
  <c r="ES49" i="3"/>
  <c r="CE131" i="3"/>
  <c r="L158" i="3"/>
  <c r="P158" i="3" s="1"/>
  <c r="P131" i="3"/>
  <c r="L152" i="3"/>
  <c r="CC153" i="2"/>
  <c r="CB150" i="2"/>
  <c r="BI174" i="2"/>
  <c r="DV174" i="2" s="1"/>
  <c r="BI172" i="2"/>
  <c r="BI171" i="2"/>
  <c r="DV170" i="2"/>
  <c r="DD166" i="2"/>
  <c r="DE111" i="2"/>
  <c r="DD113" i="2"/>
  <c r="P49" i="2"/>
  <c r="BB58" i="2"/>
  <c r="BF60" i="2" s="1"/>
  <c r="CG144" i="2"/>
  <c r="CG143" i="2"/>
  <c r="EB142" i="2"/>
  <c r="EB158" i="3"/>
  <c r="EF131" i="3"/>
  <c r="EB152" i="3"/>
  <c r="BY47" i="5"/>
  <c r="BY46" i="5"/>
  <c r="CX45" i="5"/>
  <c r="CF115" i="3"/>
  <c r="CF131" i="3" s="1"/>
  <c r="CF58" i="3"/>
  <c r="AZ55" i="2" s="1"/>
  <c r="U49" i="2"/>
  <c r="V50" i="2" s="1"/>
  <c r="BI51" i="5"/>
  <c r="BI50" i="5"/>
  <c r="BJ48" i="5"/>
  <c r="BI27" i="5"/>
  <c r="CT36" i="5"/>
  <c r="CT24" i="5"/>
  <c r="DA27" i="2"/>
  <c r="DA26" i="2"/>
  <c r="BM141" i="2"/>
  <c r="BM139" i="2"/>
  <c r="BM140" i="2"/>
  <c r="DR51" i="2"/>
  <c r="CJ155" i="2"/>
  <c r="CJ156" i="2"/>
  <c r="CN156" i="2"/>
  <c r="DA153" i="2"/>
  <c r="CZ150" i="2"/>
  <c r="BZ158" i="3"/>
  <c r="BX62" i="4"/>
  <c r="CZ101" i="2"/>
  <c r="CZ154" i="2"/>
  <c r="CZ100" i="2"/>
  <c r="CZ95" i="2"/>
  <c r="BS29" i="4"/>
  <c r="BR144" i="3"/>
  <c r="BS144" i="3" s="1"/>
  <c r="BQ148" i="3"/>
  <c r="BR40" i="4"/>
  <c r="BR39" i="4"/>
  <c r="BR38" i="4"/>
  <c r="AQ33" i="5"/>
  <c r="AQ21" i="5"/>
  <c r="AQ32" i="5"/>
  <c r="AV28" i="5"/>
  <c r="AU30" i="5"/>
  <c r="AU29" i="5"/>
  <c r="CP76" i="5"/>
  <c r="CP78" i="5" s="1"/>
  <c r="CP87" i="5"/>
  <c r="BS35" i="4"/>
  <c r="BT32" i="4"/>
  <c r="BT101" i="4" s="1"/>
  <c r="BT24" i="4" s="1"/>
  <c r="CY97" i="2"/>
  <c r="CY96" i="2"/>
  <c r="BW84" i="4"/>
  <c r="BW73" i="4"/>
  <c r="DG158" i="3"/>
  <c r="BR58" i="2"/>
  <c r="EX57" i="3"/>
  <c r="CA42" i="5"/>
  <c r="BZ44" i="5"/>
  <c r="Z158" i="3"/>
  <c r="B58" i="2"/>
  <c r="C59" i="2" s="1"/>
  <c r="AD58" i="2"/>
  <c r="DT88" i="3"/>
  <c r="DS93" i="3"/>
  <c r="DS100" i="3" s="1"/>
  <c r="DS104" i="3" s="1"/>
  <c r="BH115" i="3"/>
  <c r="BH58" i="3"/>
  <c r="AG55" i="2" s="1"/>
  <c r="BI44" i="3"/>
  <c r="BI58" i="3" s="1"/>
  <c r="CA115" i="3"/>
  <c r="CA131" i="3" s="1"/>
  <c r="CA158" i="3" s="1"/>
  <c r="AV58" i="2" s="1"/>
  <c r="CA58" i="3"/>
  <c r="AV55" i="2" s="1"/>
  <c r="DS55" i="2" s="1"/>
  <c r="DS57" i="2" s="1"/>
  <c r="AQ79" i="5"/>
  <c r="AQ73" i="5"/>
  <c r="AQ83" i="5"/>
  <c r="AQ84" i="5"/>
  <c r="T115" i="3"/>
  <c r="T131" i="3" s="1"/>
  <c r="U131" i="3" s="1"/>
  <c r="U44" i="3"/>
  <c r="U58" i="3" s="1"/>
  <c r="DB22" i="2"/>
  <c r="DB25" i="2"/>
  <c r="EG27" i="2"/>
  <c r="S58" i="2"/>
  <c r="AS78" i="5"/>
  <c r="AS77" i="5"/>
  <c r="BJ35" i="5"/>
  <c r="BJ36" i="5"/>
  <c r="BJ31" i="5"/>
  <c r="AG158" i="3"/>
  <c r="K58" i="2" s="1"/>
  <c r="O60" i="2" s="1"/>
  <c r="AG152" i="3"/>
  <c r="M54" i="2"/>
  <c r="M53" i="2"/>
  <c r="N53" i="2"/>
  <c r="CO158" i="3"/>
  <c r="CO152" i="3"/>
  <c r="CR152" i="3" s="1"/>
  <c r="CR131" i="3"/>
  <c r="BN239" i="2"/>
  <c r="BN240" i="2"/>
  <c r="BN245" i="2"/>
  <c r="BN238" i="2"/>
  <c r="BN123" i="2"/>
  <c r="EA57" i="2"/>
  <c r="EX143" i="3"/>
  <c r="AH58" i="3"/>
  <c r="L55" i="2" s="1"/>
  <c r="AH115" i="3"/>
  <c r="AH131" i="3" s="1"/>
  <c r="CY155" i="2"/>
  <c r="CY156" i="2"/>
  <c r="D61" i="2"/>
  <c r="D59" i="2"/>
  <c r="AU131" i="3"/>
  <c r="O57" i="2"/>
  <c r="BK76" i="5"/>
  <c r="CM87" i="2"/>
  <c r="EA158" i="3"/>
  <c r="CH58" i="2"/>
  <c r="DD159" i="2"/>
  <c r="DD160" i="2"/>
  <c r="BJ76" i="5"/>
  <c r="CL87" i="2"/>
  <c r="BO147" i="2"/>
  <c r="BO148" i="2"/>
  <c r="CG53" i="3"/>
  <c r="BA52" i="2" s="1"/>
  <c r="CG54" i="3"/>
  <c r="CG44" i="3"/>
  <c r="CA151" i="2"/>
  <c r="CA152" i="2"/>
  <c r="CH116" i="2"/>
  <c r="CH118" i="2"/>
  <c r="CH117" i="2"/>
  <c r="CL117" i="2"/>
  <c r="AO72" i="5"/>
  <c r="AO71" i="5"/>
  <c r="BN154" i="3"/>
  <c r="BK59" i="5"/>
  <c r="BK11" i="5"/>
  <c r="BK10" i="5"/>
  <c r="BK34" i="5"/>
  <c r="DW51" i="2"/>
  <c r="DL158" i="3"/>
  <c r="BV58" i="2"/>
  <c r="BZ60" i="2" s="1"/>
  <c r="BH23" i="5"/>
  <c r="BH22" i="5"/>
  <c r="W56" i="2"/>
  <c r="AZ49" i="2"/>
  <c r="Z152" i="3"/>
  <c r="V51" i="2"/>
  <c r="Z51" i="2"/>
  <c r="CP93" i="3"/>
  <c r="CQ88" i="3"/>
  <c r="AT61" i="2"/>
  <c r="DX57" i="2"/>
  <c r="N58" i="2"/>
  <c r="O59" i="2" s="1"/>
  <c r="CJ102" i="2"/>
  <c r="C61" i="2"/>
  <c r="DD105" i="2"/>
  <c r="DE103" i="2"/>
  <c r="DE158" i="2" s="1"/>
  <c r="CX158" i="3"/>
  <c r="DB131" i="3"/>
  <c r="DB152" i="3" s="1"/>
  <c r="CX152" i="3"/>
  <c r="EU42" i="3"/>
  <c r="BJ58" i="2"/>
  <c r="BS24" i="4"/>
  <c r="AP75" i="5"/>
  <c r="AP74" i="5"/>
  <c r="BQ158" i="3"/>
  <c r="BS131" i="3"/>
  <c r="BX47" i="4"/>
  <c r="BW48" i="4"/>
  <c r="BW51" i="4" s="1"/>
  <c r="AJ53" i="3"/>
  <c r="AJ54" i="3"/>
  <c r="DR57" i="2"/>
  <c r="EA49" i="3"/>
  <c r="EA50" i="3"/>
  <c r="EA58" i="3"/>
  <c r="BZ43" i="4"/>
  <c r="BT90" i="2"/>
  <c r="BT89" i="2"/>
  <c r="DY87" i="2"/>
  <c r="AN17" i="6"/>
  <c r="AN14" i="6" s="1"/>
  <c r="AN7" i="6"/>
  <c r="AO5" i="6"/>
  <c r="AP22" i="5"/>
  <c r="AP23" i="5"/>
  <c r="CT31" i="5"/>
  <c r="AO53" i="3"/>
  <c r="AO54" i="3"/>
  <c r="AR35" i="5"/>
  <c r="AR36" i="5"/>
  <c r="AR31" i="5"/>
  <c r="AR82" i="5"/>
  <c r="AT53" i="3"/>
  <c r="AT54" i="3"/>
  <c r="BR102" i="4"/>
  <c r="BR103" i="4"/>
  <c r="BR46" i="4"/>
  <c r="BR57" i="4"/>
  <c r="BR24" i="4"/>
  <c r="M49" i="2"/>
  <c r="BN144" i="2"/>
  <c r="BN138" i="2"/>
  <c r="BN143" i="2"/>
  <c r="BY17" i="4"/>
  <c r="BY18" i="4"/>
  <c r="BZ15" i="4"/>
  <c r="DA99" i="2"/>
  <c r="L54" i="2"/>
  <c r="L53" i="2"/>
  <c r="O61" i="2"/>
  <c r="ET120" i="3"/>
  <c r="EU120" i="3" s="1"/>
  <c r="BQ24" i="5"/>
  <c r="BP26" i="5"/>
  <c r="P53" i="2"/>
  <c r="P54" i="2"/>
  <c r="T54" i="2"/>
  <c r="EH158" i="3"/>
  <c r="EH152" i="3"/>
  <c r="EK131" i="3"/>
  <c r="EB82" i="2"/>
  <c r="O51" i="2"/>
  <c r="BF74" i="5"/>
  <c r="BF75" i="5"/>
  <c r="BU60" i="2"/>
  <c r="AP92" i="5"/>
  <c r="AP91" i="5"/>
  <c r="AP96" i="5"/>
  <c r="AQ90" i="5"/>
  <c r="BE59" i="2"/>
  <c r="BE61" i="2"/>
  <c r="BI60" i="2"/>
  <c r="CA71" i="4"/>
  <c r="AL61" i="2"/>
  <c r="CO96" i="5"/>
  <c r="BX61" i="4"/>
  <c r="BX60" i="4"/>
  <c r="BW25" i="4"/>
  <c r="CT118" i="2"/>
  <c r="CT117" i="2"/>
  <c r="CT116" i="2"/>
  <c r="CU115" i="2"/>
  <c r="CI124" i="2"/>
  <c r="CI126" i="2"/>
  <c r="CJ124" i="2"/>
  <c r="CI115" i="2"/>
  <c r="EC115" i="2" s="1"/>
  <c r="CI125" i="2"/>
  <c r="CM125" i="2"/>
  <c r="E59" i="2"/>
  <c r="AJ44" i="3"/>
  <c r="AJ58" i="3" s="1"/>
  <c r="S158" i="3"/>
  <c r="S152" i="3"/>
  <c r="BL64" i="5"/>
  <c r="BL37" i="5"/>
  <c r="BM12" i="5"/>
  <c r="CU12" i="5" s="1"/>
  <c r="BL9" i="5"/>
  <c r="BJ63" i="5"/>
  <c r="BJ61" i="5"/>
  <c r="BJ62" i="5"/>
  <c r="BJ60" i="5"/>
  <c r="CJ106" i="3"/>
  <c r="CK97" i="3"/>
  <c r="AA50" i="2"/>
  <c r="AA51" i="2"/>
  <c r="AE51" i="2"/>
  <c r="BS61" i="2"/>
  <c r="BS60" i="2"/>
  <c r="BT59" i="2"/>
  <c r="BW60" i="2"/>
  <c r="AZ53" i="2"/>
  <c r="AZ54" i="2"/>
  <c r="BD54" i="2"/>
  <c r="ES46" i="3"/>
  <c r="DQ152" i="3"/>
  <c r="CA58" i="4"/>
  <c r="BH82" i="5"/>
  <c r="BH53" i="5"/>
  <c r="BH52" i="5"/>
  <c r="F58" i="2"/>
  <c r="BH176" i="2"/>
  <c r="BH177" i="2"/>
  <c r="BH175" i="2"/>
  <c r="DS86" i="3"/>
  <c r="BI53" i="3"/>
  <c r="BI54" i="3"/>
  <c r="EC101" i="2"/>
  <c r="ED101" i="2"/>
  <c r="BH16" i="4"/>
  <c r="BH18" i="4"/>
  <c r="BH17" i="4"/>
  <c r="BL17" i="4"/>
  <c r="CK106" i="2"/>
  <c r="DV152" i="3"/>
  <c r="AM14" i="6"/>
  <c r="AB131" i="3"/>
  <c r="AE115" i="3"/>
  <c r="Q158" i="3"/>
  <c r="Q152" i="3"/>
  <c r="BU21" i="4"/>
  <c r="BT26" i="4"/>
  <c r="AP81" i="5"/>
  <c r="AP70" i="5"/>
  <c r="AP80" i="5"/>
  <c r="BM124" i="2"/>
  <c r="BM125" i="2"/>
  <c r="BM126" i="2"/>
  <c r="DW123" i="2"/>
  <c r="BV51" i="4"/>
  <c r="L49" i="2"/>
  <c r="X61" i="2"/>
  <c r="AR77" i="5"/>
  <c r="AR78" i="5"/>
  <c r="AM8" i="6"/>
  <c r="AT64" i="5"/>
  <c r="AU12" i="5"/>
  <c r="AU37" i="5" s="1"/>
  <c r="AU85" i="5" s="1"/>
  <c r="AT14" i="5"/>
  <c r="AT9" i="5"/>
  <c r="BR35" i="4"/>
  <c r="BK158" i="3"/>
  <c r="BK152" i="3"/>
  <c r="BN131" i="3"/>
  <c r="EC158" i="2"/>
  <c r="CH37" i="3"/>
  <c r="CH53" i="3" s="1"/>
  <c r="BS38" i="4" l="1"/>
  <c r="BS39" i="4"/>
  <c r="BS40" i="4"/>
  <c r="CW111" i="4"/>
  <c r="BY110" i="4"/>
  <c r="BY111" i="4"/>
  <c r="BD53" i="3"/>
  <c r="BD54" i="3"/>
  <c r="AJ131" i="3"/>
  <c r="AC49" i="2"/>
  <c r="AG51" i="2" s="1"/>
  <c r="BC115" i="3"/>
  <c r="BC58" i="3"/>
  <c r="AC55" i="2" s="1"/>
  <c r="AG57" i="2" s="1"/>
  <c r="BD44" i="3"/>
  <c r="BD58" i="3" s="1"/>
  <c r="AC53" i="2"/>
  <c r="AD53" i="2"/>
  <c r="DN52" i="2"/>
  <c r="CL64" i="3"/>
  <c r="CM64" i="3" s="1"/>
  <c r="CL155" i="3"/>
  <c r="CN62" i="3"/>
  <c r="CO62" i="3" s="1"/>
  <c r="AJ115" i="3"/>
  <c r="CM62" i="3"/>
  <c r="CV158" i="3"/>
  <c r="CV152" i="3"/>
  <c r="CW152" i="3" s="1"/>
  <c r="X57" i="2"/>
  <c r="T56" i="2"/>
  <c r="U115" i="3"/>
  <c r="CM158" i="3"/>
  <c r="CM160" i="3" s="1"/>
  <c r="X51" i="2"/>
  <c r="T50" i="2"/>
  <c r="CW131" i="3"/>
  <c r="BO60" i="2"/>
  <c r="BL59" i="2"/>
  <c r="BK61" i="2"/>
  <c r="CR155" i="3"/>
  <c r="EW11" i="3"/>
  <c r="EW116" i="3" s="1"/>
  <c r="DC13" i="2"/>
  <c r="DC12" i="2"/>
  <c r="DD11" i="2"/>
  <c r="AR158" i="3"/>
  <c r="T58" i="2" s="1"/>
  <c r="T59" i="2" s="1"/>
  <c r="AR152" i="3"/>
  <c r="BD59" i="2"/>
  <c r="BC61" i="2"/>
  <c r="Y53" i="2"/>
  <c r="Z53" i="2"/>
  <c r="DM52" i="2"/>
  <c r="DN54" i="2" s="1"/>
  <c r="AC54" i="2"/>
  <c r="AY54" i="3"/>
  <c r="AY53" i="3"/>
  <c r="AX58" i="3"/>
  <c r="Y55" i="2" s="1"/>
  <c r="Y57" i="2" s="1"/>
  <c r="AX115" i="3"/>
  <c r="AY44" i="3"/>
  <c r="AY58" i="3" s="1"/>
  <c r="Y49" i="2"/>
  <c r="Y51" i="2" s="1"/>
  <c r="CS15" i="4"/>
  <c r="CS18" i="4" s="1"/>
  <c r="DK52" i="2"/>
  <c r="DK54" i="2" s="1"/>
  <c r="CK90" i="2"/>
  <c r="CK78" i="2"/>
  <c r="CK114" i="2"/>
  <c r="CK126" i="2"/>
  <c r="CK122" i="2"/>
  <c r="CK102" i="2"/>
  <c r="CK118" i="2"/>
  <c r="CK132" i="2"/>
  <c r="CK133" i="2"/>
  <c r="CK110" i="2"/>
  <c r="EC131" i="2"/>
  <c r="EC106" i="2" s="1"/>
  <c r="CO133" i="2"/>
  <c r="CK94" i="2"/>
  <c r="EH103" i="2"/>
  <c r="EH105" i="2" s="1"/>
  <c r="BZ60" i="4"/>
  <c r="BZ61" i="4"/>
  <c r="DE160" i="2"/>
  <c r="DE159" i="2"/>
  <c r="EH158" i="2"/>
  <c r="DV177" i="2"/>
  <c r="DV176" i="2"/>
  <c r="CL97" i="3"/>
  <c r="CK106" i="3"/>
  <c r="BL85" i="5"/>
  <c r="BJ59" i="2"/>
  <c r="BJ61" i="2"/>
  <c r="BJ60" i="2"/>
  <c r="BK59" i="2"/>
  <c r="DL159" i="3"/>
  <c r="DL160" i="3"/>
  <c r="BA49" i="2"/>
  <c r="CH54" i="3"/>
  <c r="AU158" i="3"/>
  <c r="AU152" i="3"/>
  <c r="BX84" i="4"/>
  <c r="BX73" i="4"/>
  <c r="BI82" i="5"/>
  <c r="BI52" i="5"/>
  <c r="BI53" i="5"/>
  <c r="CE158" i="3"/>
  <c r="CE152" i="3"/>
  <c r="BR106" i="4"/>
  <c r="BR105" i="4"/>
  <c r="CC70" i="4"/>
  <c r="Q49" i="2"/>
  <c r="DK49" i="2" s="1"/>
  <c r="DD29" i="2"/>
  <c r="DC34" i="2"/>
  <c r="EW42" i="3"/>
  <c r="EW41" i="3" s="1"/>
  <c r="CV119" i="2"/>
  <c r="CU122" i="2"/>
  <c r="CD61" i="2"/>
  <c r="CD60" i="2"/>
  <c r="EB58" i="2"/>
  <c r="CD59" i="2"/>
  <c r="BV36" i="4"/>
  <c r="BO95" i="3"/>
  <c r="BN95" i="3"/>
  <c r="BM100" i="3"/>
  <c r="BN152" i="3"/>
  <c r="DW126" i="2"/>
  <c r="DW125" i="2"/>
  <c r="AB158" i="3"/>
  <c r="AB152" i="3"/>
  <c r="AE131" i="3"/>
  <c r="F59" i="2"/>
  <c r="F60" i="2"/>
  <c r="F61" i="2"/>
  <c r="DY89" i="2"/>
  <c r="DY90" i="2"/>
  <c r="DB158" i="3"/>
  <c r="DG159" i="3" s="1"/>
  <c r="BN58" i="2"/>
  <c r="BR61" i="2"/>
  <c r="DY58" i="2"/>
  <c r="BR59" i="2"/>
  <c r="EB145" i="2"/>
  <c r="CI142" i="2"/>
  <c r="CI81" i="2"/>
  <c r="CI82" i="2"/>
  <c r="CI80" i="2"/>
  <c r="CK156" i="2"/>
  <c r="CK155" i="2"/>
  <c r="CO156" i="2"/>
  <c r="CL155" i="2"/>
  <c r="EX26" i="3"/>
  <c r="EW28" i="3"/>
  <c r="EZ91" i="3"/>
  <c r="DV159" i="3"/>
  <c r="DV160" i="3"/>
  <c r="BA158" i="3"/>
  <c r="BA152" i="3"/>
  <c r="CC115" i="3"/>
  <c r="CC58" i="3"/>
  <c r="BI23" i="5"/>
  <c r="BI22" i="5"/>
  <c r="BO144" i="2"/>
  <c r="BO138" i="2"/>
  <c r="BO143" i="2"/>
  <c r="EX19" i="3"/>
  <c r="DD21" i="2"/>
  <c r="DE30" i="2"/>
  <c r="DD32" i="2"/>
  <c r="AI58" i="2"/>
  <c r="BN158" i="3"/>
  <c r="BT102" i="4"/>
  <c r="BT103" i="4"/>
  <c r="BT68" i="4"/>
  <c r="BT57" i="4"/>
  <c r="BT46" i="4"/>
  <c r="CO98" i="5"/>
  <c r="CO93" i="5"/>
  <c r="CO95" i="5" s="1"/>
  <c r="EK152" i="3"/>
  <c r="BK61" i="5"/>
  <c r="BK62" i="5"/>
  <c r="BK60" i="5"/>
  <c r="BK63" i="5"/>
  <c r="EA159" i="3"/>
  <c r="EA160" i="3"/>
  <c r="EY143" i="3"/>
  <c r="EZ143" i="3" s="1"/>
  <c r="BN124" i="2"/>
  <c r="BN126" i="2"/>
  <c r="BN125" i="2"/>
  <c r="AD61" i="2"/>
  <c r="DG160" i="3"/>
  <c r="BT35" i="4"/>
  <c r="BU32" i="4"/>
  <c r="BU37" i="4" s="1"/>
  <c r="BU40" i="4" s="1"/>
  <c r="BQ152" i="3"/>
  <c r="CZ155" i="2"/>
  <c r="CZ156" i="2"/>
  <c r="AU58" i="2"/>
  <c r="AV59" i="2" s="1"/>
  <c r="CC158" i="3"/>
  <c r="CC159" i="3" s="1"/>
  <c r="CX47" i="5"/>
  <c r="DV172" i="2"/>
  <c r="DV173" i="2"/>
  <c r="P152" i="3"/>
  <c r="ET49" i="3"/>
  <c r="EV48" i="3"/>
  <c r="CH144" i="2"/>
  <c r="CH143" i="2"/>
  <c r="AV50" i="2"/>
  <c r="AV51" i="2"/>
  <c r="AW50" i="2"/>
  <c r="BF72" i="5"/>
  <c r="BF71" i="5"/>
  <c r="U56" i="2"/>
  <c r="DL55" i="2"/>
  <c r="P57" i="2"/>
  <c r="P56" i="2"/>
  <c r="T57" i="2"/>
  <c r="CV125" i="2"/>
  <c r="CV124" i="2"/>
  <c r="CW123" i="2"/>
  <c r="CZ125" i="2"/>
  <c r="DE91" i="2"/>
  <c r="EH91" i="2" s="1"/>
  <c r="DD93" i="2"/>
  <c r="EA155" i="3"/>
  <c r="CP61" i="5"/>
  <c r="CP63" i="5"/>
  <c r="CP62" i="5"/>
  <c r="CM155" i="3"/>
  <c r="BQ146" i="2"/>
  <c r="DX146" i="2" s="1"/>
  <c r="BQ86" i="2"/>
  <c r="BQ79" i="2"/>
  <c r="BQ85" i="2"/>
  <c r="BQ84" i="2"/>
  <c r="DC25" i="2"/>
  <c r="DC22" i="2"/>
  <c r="DC23" i="2"/>
  <c r="EC161" i="2"/>
  <c r="EC160" i="2"/>
  <c r="ED160" i="2"/>
  <c r="AT66" i="5"/>
  <c r="AT65" i="5"/>
  <c r="L50" i="2"/>
  <c r="L51" i="2"/>
  <c r="CT51" i="5"/>
  <c r="BS59" i="2"/>
  <c r="BX25" i="4"/>
  <c r="CQ58" i="2"/>
  <c r="EK158" i="3"/>
  <c r="DA101" i="2"/>
  <c r="DA154" i="2"/>
  <c r="DA100" i="2"/>
  <c r="DA95" i="2"/>
  <c r="EG95" i="2" s="1"/>
  <c r="EG99" i="2"/>
  <c r="AO7" i="6"/>
  <c r="AO17" i="6"/>
  <c r="AO8" i="6" s="1"/>
  <c r="AP5" i="6"/>
  <c r="BP5" i="6"/>
  <c r="BN155" i="3"/>
  <c r="BS154" i="3"/>
  <c r="CM90" i="2"/>
  <c r="K61" i="2"/>
  <c r="AQ75" i="5"/>
  <c r="AQ74" i="5"/>
  <c r="AG56" i="2"/>
  <c r="AK57" i="2"/>
  <c r="AH56" i="2"/>
  <c r="DO55" i="2"/>
  <c r="BZ46" i="5"/>
  <c r="BZ47" i="5"/>
  <c r="AV29" i="5"/>
  <c r="AV30" i="5"/>
  <c r="BT144" i="3"/>
  <c r="BR148" i="3"/>
  <c r="BR152" i="3" s="1"/>
  <c r="U50" i="2"/>
  <c r="DL49" i="2"/>
  <c r="EF152" i="3"/>
  <c r="CN84" i="3"/>
  <c r="CO82" i="3"/>
  <c r="BG74" i="5"/>
  <c r="BG75" i="5"/>
  <c r="BI17" i="4"/>
  <c r="BI16" i="4"/>
  <c r="BI18" i="4"/>
  <c r="BM17" i="4"/>
  <c r="BJ16" i="4"/>
  <c r="EA61" i="2"/>
  <c r="AS131" i="3"/>
  <c r="AT115" i="3"/>
  <c r="DQ159" i="3"/>
  <c r="AU95" i="5"/>
  <c r="AU94" i="5"/>
  <c r="AV93" i="5"/>
  <c r="AT76" i="5"/>
  <c r="BV87" i="2"/>
  <c r="AX59" i="2"/>
  <c r="AX61" i="2"/>
  <c r="AS36" i="5"/>
  <c r="AS35" i="5"/>
  <c r="AS31" i="5"/>
  <c r="AS82" i="5"/>
  <c r="CP82" i="5" s="1"/>
  <c r="DT86" i="3"/>
  <c r="J58" i="2"/>
  <c r="N60" i="2" s="1"/>
  <c r="BY61" i="4"/>
  <c r="BY60" i="4"/>
  <c r="CU106" i="4"/>
  <c r="BO245" i="2"/>
  <c r="BO240" i="2"/>
  <c r="BO123" i="2"/>
  <c r="BO239" i="2"/>
  <c r="BO238" i="2"/>
  <c r="AO102" i="5"/>
  <c r="AO103" i="5"/>
  <c r="M51" i="2"/>
  <c r="M50" i="2"/>
  <c r="N50" i="2"/>
  <c r="N61" i="2"/>
  <c r="R60" i="2"/>
  <c r="CL90" i="2"/>
  <c r="AV60" i="2"/>
  <c r="AV61" i="2"/>
  <c r="AW59" i="2"/>
  <c r="CA44" i="5"/>
  <c r="CB42" i="5"/>
  <c r="DB153" i="2"/>
  <c r="DA150" i="2"/>
  <c r="EG150" i="2" s="1"/>
  <c r="AZ57" i="2"/>
  <c r="AZ56" i="2"/>
  <c r="BD57" i="2"/>
  <c r="CA54" i="4"/>
  <c r="AP71" i="5"/>
  <c r="AP72" i="5"/>
  <c r="BA53" i="2"/>
  <c r="BA54" i="2"/>
  <c r="BB53" i="2"/>
  <c r="BE54" i="2"/>
  <c r="DT52" i="2"/>
  <c r="BP13" i="6"/>
  <c r="DT93" i="3"/>
  <c r="DT100" i="3" s="1"/>
  <c r="DT104" i="3" s="1"/>
  <c r="DU88" i="3"/>
  <c r="BW87" i="2"/>
  <c r="EC157" i="2"/>
  <c r="EC156" i="2"/>
  <c r="ED156" i="2"/>
  <c r="CF158" i="3"/>
  <c r="AZ58" i="2" s="1"/>
  <c r="CF152" i="3"/>
  <c r="P51" i="2"/>
  <c r="P50" i="2"/>
  <c r="T51" i="2"/>
  <c r="BP142" i="2"/>
  <c r="BP81" i="2"/>
  <c r="BP82" i="2"/>
  <c r="BP80" i="2"/>
  <c r="BP237" i="2"/>
  <c r="AN115" i="3"/>
  <c r="AN131" i="3" s="1"/>
  <c r="AN58" i="3"/>
  <c r="Q55" i="2" s="1"/>
  <c r="U57" i="2" s="1"/>
  <c r="CX65" i="4"/>
  <c r="BH84" i="5"/>
  <c r="BH83" i="5"/>
  <c r="BH73" i="5"/>
  <c r="BH79" i="5"/>
  <c r="CJ79" i="2"/>
  <c r="AP97" i="5"/>
  <c r="AP98" i="5"/>
  <c r="AP101" i="5"/>
  <c r="BR83" i="2"/>
  <c r="BI54" i="5"/>
  <c r="CB58" i="4"/>
  <c r="BL59" i="5"/>
  <c r="BL11" i="5"/>
  <c r="BL10" i="5"/>
  <c r="BL34" i="5"/>
  <c r="CP24" i="5"/>
  <c r="CP36" i="5"/>
  <c r="BZ18" i="4"/>
  <c r="BZ17" i="4"/>
  <c r="CA15" i="4"/>
  <c r="DB99" i="2"/>
  <c r="AR84" i="5"/>
  <c r="AR79" i="5"/>
  <c r="AR73" i="5"/>
  <c r="AR83" i="5"/>
  <c r="CT33" i="5"/>
  <c r="CT21" i="5"/>
  <c r="CT23" i="5" s="1"/>
  <c r="BX48" i="4"/>
  <c r="BY47" i="4"/>
  <c r="BN246" i="2"/>
  <c r="BN247" i="2" s="1"/>
  <c r="BG58" i="2"/>
  <c r="CR158" i="3"/>
  <c r="DB27" i="2"/>
  <c r="DB26" i="2"/>
  <c r="T158" i="3"/>
  <c r="U158" i="3" s="1"/>
  <c r="T152" i="3"/>
  <c r="U152" i="3" s="1"/>
  <c r="AQ80" i="5"/>
  <c r="AQ81" i="5"/>
  <c r="AQ70" i="5"/>
  <c r="BH131" i="3"/>
  <c r="BI115" i="3"/>
  <c r="DH58" i="2"/>
  <c r="DH61" i="2" s="1"/>
  <c r="B61" i="2"/>
  <c r="CN155" i="3"/>
  <c r="CO154" i="3"/>
  <c r="CN64" i="3"/>
  <c r="CN74" i="3" s="1"/>
  <c r="BS104" i="4"/>
  <c r="BS99" i="4"/>
  <c r="BS100" i="4"/>
  <c r="CT26" i="5"/>
  <c r="BJ50" i="5"/>
  <c r="BK48" i="5"/>
  <c r="BJ51" i="5"/>
  <c r="BJ27" i="5"/>
  <c r="DE113" i="2"/>
  <c r="DE166" i="2"/>
  <c r="EH111" i="2"/>
  <c r="EX17" i="3"/>
  <c r="DD37" i="2"/>
  <c r="DE35" i="2"/>
  <c r="EH35" i="2" s="1"/>
  <c r="CT61" i="2"/>
  <c r="CT60" i="2"/>
  <c r="CT59" i="2"/>
  <c r="CU59" i="2"/>
  <c r="CO103" i="5"/>
  <c r="CB71" i="4"/>
  <c r="CB72" i="4"/>
  <c r="CM84" i="3"/>
  <c r="DX83" i="2"/>
  <c r="BP148" i="2"/>
  <c r="BP147" i="2"/>
  <c r="M56" i="2"/>
  <c r="N56" i="2"/>
  <c r="AM131" i="3"/>
  <c r="BJ174" i="2"/>
  <c r="BJ172" i="2"/>
  <c r="BJ171" i="2"/>
  <c r="DU74" i="3"/>
  <c r="DV74" i="3" s="1"/>
  <c r="DV63" i="3"/>
  <c r="EB62" i="2" s="1"/>
  <c r="DW63" i="3"/>
  <c r="EV41" i="3"/>
  <c r="AS61" i="5"/>
  <c r="AS62" i="5"/>
  <c r="AS63" i="5"/>
  <c r="AS60" i="5"/>
  <c r="DU84" i="3"/>
  <c r="DW81" i="3"/>
  <c r="DV81" i="3"/>
  <c r="ET46" i="3"/>
  <c r="EU46" i="3" s="1"/>
  <c r="ES146" i="3"/>
  <c r="AQ96" i="5"/>
  <c r="AQ92" i="5"/>
  <c r="AR90" i="5"/>
  <c r="AQ91" i="5"/>
  <c r="AN19" i="6"/>
  <c r="AN18" i="6"/>
  <c r="AN58" i="2"/>
  <c r="BS158" i="3"/>
  <c r="BX159" i="3" s="1"/>
  <c r="CR88" i="3"/>
  <c r="CQ93" i="3"/>
  <c r="CS88" i="3"/>
  <c r="L56" i="2"/>
  <c r="DJ55" i="2"/>
  <c r="CZ97" i="2"/>
  <c r="CZ96" i="2"/>
  <c r="DJ49" i="2"/>
  <c r="DJ51" i="2" s="1"/>
  <c r="CB151" i="2"/>
  <c r="CB152" i="2"/>
  <c r="CW62" i="4"/>
  <c r="CW61" i="4"/>
  <c r="BV21" i="4"/>
  <c r="BU26" i="4"/>
  <c r="BR24" i="5"/>
  <c r="BQ26" i="5"/>
  <c r="CA43" i="4"/>
  <c r="AZ51" i="2"/>
  <c r="AZ50" i="2"/>
  <c r="BD51" i="2"/>
  <c r="EC117" i="2"/>
  <c r="ED117" i="2"/>
  <c r="EC58" i="2"/>
  <c r="CH59" i="2"/>
  <c r="CH61" i="2"/>
  <c r="CH60" i="2"/>
  <c r="CI59" i="2"/>
  <c r="AQ23" i="5"/>
  <c r="AQ22" i="5"/>
  <c r="CC131" i="3"/>
  <c r="CD153" i="2"/>
  <c r="CC150" i="2"/>
  <c r="EA150" i="2" s="1"/>
  <c r="AP11" i="6"/>
  <c r="AO13" i="6"/>
  <c r="BE77" i="3"/>
  <c r="BD77" i="3"/>
  <c r="BC76" i="3"/>
  <c r="BD76" i="3" s="1"/>
  <c r="AU64" i="5"/>
  <c r="AU76" i="5" s="1"/>
  <c r="AV12" i="5"/>
  <c r="AU9" i="5"/>
  <c r="BN139" i="2"/>
  <c r="BN140" i="2"/>
  <c r="BN141" i="2"/>
  <c r="AT59" i="5"/>
  <c r="AT34" i="5"/>
  <c r="AT11" i="5"/>
  <c r="AT10" i="5"/>
  <c r="BT29" i="4"/>
  <c r="DV155" i="3"/>
  <c r="DQ155" i="3"/>
  <c r="BM64" i="5"/>
  <c r="CU64" i="5" s="1"/>
  <c r="CU66" i="5" s="1"/>
  <c r="BM37" i="5"/>
  <c r="BM85" i="5" s="1"/>
  <c r="BN12" i="5"/>
  <c r="BM9" i="5"/>
  <c r="CI117" i="2"/>
  <c r="CI116" i="2"/>
  <c r="CI118" i="2"/>
  <c r="CJ116" i="2"/>
  <c r="CM117" i="2"/>
  <c r="CU117" i="2"/>
  <c r="CU118" i="2"/>
  <c r="CV115" i="2"/>
  <c r="AR33" i="5"/>
  <c r="AR21" i="5"/>
  <c r="AR32" i="5"/>
  <c r="AN8" i="6"/>
  <c r="DE105" i="2"/>
  <c r="Z155" i="3"/>
  <c r="BV59" i="2"/>
  <c r="BV60" i="2"/>
  <c r="DZ58" i="2"/>
  <c r="BV61" i="2"/>
  <c r="BW59" i="2"/>
  <c r="BK36" i="5"/>
  <c r="BK35" i="5"/>
  <c r="BK31" i="5"/>
  <c r="CG115" i="3"/>
  <c r="CG131" i="3" s="1"/>
  <c r="CG58" i="3"/>
  <c r="BA55" i="2" s="1"/>
  <c r="CH44" i="3"/>
  <c r="CH58" i="3" s="1"/>
  <c r="AH158" i="3"/>
  <c r="L58" i="2" s="1"/>
  <c r="AH152" i="3"/>
  <c r="BJ33" i="5"/>
  <c r="BJ21" i="5"/>
  <c r="BJ32" i="5"/>
  <c r="S61" i="2"/>
  <c r="S59" i="2"/>
  <c r="S60" i="2"/>
  <c r="AV57" i="2"/>
  <c r="AV56" i="2"/>
  <c r="AW56" i="2"/>
  <c r="EY57" i="3"/>
  <c r="CZ151" i="2"/>
  <c r="CZ152" i="2"/>
  <c r="EF158" i="3"/>
  <c r="CL58" i="2"/>
  <c r="BB60" i="2"/>
  <c r="DU58" i="2"/>
  <c r="BB61" i="2"/>
  <c r="BC59" i="2"/>
  <c r="DD168" i="2"/>
  <c r="DD167" i="2"/>
  <c r="BI175" i="2"/>
  <c r="BI177" i="2"/>
  <c r="BI176" i="2"/>
  <c r="AG50" i="2"/>
  <c r="AK51" i="2"/>
  <c r="AH50" i="2"/>
  <c r="DO49" i="2"/>
  <c r="DS49" i="2"/>
  <c r="DS51" i="2" s="1"/>
  <c r="DQ104" i="3"/>
  <c r="H60" i="2"/>
  <c r="H61" i="2"/>
  <c r="I59" i="2"/>
  <c r="EC94" i="2"/>
  <c r="EC98" i="2"/>
  <c r="Z61" i="2"/>
  <c r="BG80" i="5"/>
  <c r="BG70" i="5"/>
  <c r="BG81" i="5"/>
  <c r="Q53" i="2"/>
  <c r="Q54" i="2"/>
  <c r="R53" i="2"/>
  <c r="DO54" i="2"/>
  <c r="DP54" i="2"/>
  <c r="AI158" i="3"/>
  <c r="M58" i="2" s="1"/>
  <c r="N59" i="2" s="1"/>
  <c r="AI152" i="3"/>
  <c r="DY96" i="3"/>
  <c r="DX106" i="3"/>
  <c r="BK170" i="2"/>
  <c r="BL173" i="2"/>
  <c r="V56" i="2"/>
  <c r="BT37" i="4"/>
  <c r="AP59" i="2"/>
  <c r="DR58" i="2"/>
  <c r="AP61" i="2"/>
  <c r="AQ59" i="2"/>
  <c r="CW56" i="4"/>
  <c r="CU37" i="5" l="1"/>
  <c r="BZ110" i="4"/>
  <c r="BZ111" i="4"/>
  <c r="CS17" i="4"/>
  <c r="CT17" i="4"/>
  <c r="BU101" i="4"/>
  <c r="BU24" i="4" s="1"/>
  <c r="CL74" i="3"/>
  <c r="CM74" i="3" s="1"/>
  <c r="BD115" i="3"/>
  <c r="BC131" i="3"/>
  <c r="AC50" i="2"/>
  <c r="DN49" i="2"/>
  <c r="DO51" i="2" s="1"/>
  <c r="AD50" i="2"/>
  <c r="AC56" i="2"/>
  <c r="AD56" i="2"/>
  <c r="DN55" i="2"/>
  <c r="CL86" i="3"/>
  <c r="CM86" i="3" s="1"/>
  <c r="DM54" i="2"/>
  <c r="DL54" i="2"/>
  <c r="U51" i="2"/>
  <c r="EX11" i="3"/>
  <c r="EX116" i="3" s="1"/>
  <c r="DE11" i="2"/>
  <c r="EH11" i="2" s="1"/>
  <c r="EH13" i="2" s="1"/>
  <c r="DD12" i="2"/>
  <c r="DD13" i="2"/>
  <c r="CH115" i="3"/>
  <c r="AO115" i="3"/>
  <c r="X60" i="2"/>
  <c r="T61" i="2"/>
  <c r="BM58" i="2"/>
  <c r="BN59" i="2" s="1"/>
  <c r="CW158" i="3"/>
  <c r="DB159" i="3" s="1"/>
  <c r="AX131" i="3"/>
  <c r="AY115" i="3"/>
  <c r="Z50" i="2"/>
  <c r="Y50" i="2"/>
  <c r="DM49" i="2"/>
  <c r="AC51" i="2"/>
  <c r="AC57" i="2"/>
  <c r="Y56" i="2"/>
  <c r="Z56" i="2"/>
  <c r="DM55" i="2"/>
  <c r="AJ158" i="3"/>
  <c r="DK55" i="2"/>
  <c r="DK57" i="2" s="1"/>
  <c r="EC133" i="2"/>
  <c r="EC110" i="2"/>
  <c r="EC118" i="2"/>
  <c r="EC102" i="2"/>
  <c r="EC78" i="2"/>
  <c r="EC122" i="2"/>
  <c r="EC126" i="2"/>
  <c r="EC90" i="2"/>
  <c r="ED133" i="2"/>
  <c r="EC114" i="2"/>
  <c r="DK51" i="2"/>
  <c r="BY62" i="4"/>
  <c r="BO246" i="2"/>
  <c r="BO247" i="2" s="1"/>
  <c r="AU78" i="5"/>
  <c r="AU77" i="5"/>
  <c r="EA153" i="2"/>
  <c r="EA152" i="2"/>
  <c r="EH37" i="2"/>
  <c r="BN37" i="5"/>
  <c r="BN64" i="5"/>
  <c r="BO12" i="5"/>
  <c r="BN9" i="5"/>
  <c r="BW21" i="4"/>
  <c r="BV26" i="4"/>
  <c r="CT88" i="3"/>
  <c r="CS93" i="3"/>
  <c r="BJ175" i="2"/>
  <c r="BJ176" i="2"/>
  <c r="BJ177" i="2"/>
  <c r="BL62" i="5"/>
  <c r="BL61" i="5"/>
  <c r="BL63" i="5"/>
  <c r="BL60" i="5"/>
  <c r="K59" i="2"/>
  <c r="BQ142" i="2"/>
  <c r="BQ81" i="2"/>
  <c r="BQ82" i="2"/>
  <c r="BQ80" i="2"/>
  <c r="BQ237" i="2"/>
  <c r="DX237" i="2" s="1"/>
  <c r="DX239" i="2" s="1"/>
  <c r="DX79" i="2"/>
  <c r="BN61" i="2"/>
  <c r="BN60" i="2"/>
  <c r="DX58" i="2"/>
  <c r="DY60" i="2" s="1"/>
  <c r="BO59" i="2"/>
  <c r="EB61" i="2"/>
  <c r="EB60" i="2"/>
  <c r="CU28" i="5"/>
  <c r="CU39" i="5"/>
  <c r="CR93" i="3"/>
  <c r="BH158" i="3"/>
  <c r="BH152" i="3"/>
  <c r="BI131" i="3"/>
  <c r="AV95" i="5"/>
  <c r="AW93" i="5"/>
  <c r="AV94" i="5"/>
  <c r="BX154" i="3"/>
  <c r="BA57" i="2"/>
  <c r="BA56" i="2"/>
  <c r="BB56" i="2"/>
  <c r="BE57" i="2"/>
  <c r="CV117" i="2"/>
  <c r="CW115" i="2"/>
  <c r="EF115" i="2" s="1"/>
  <c r="DW84" i="3"/>
  <c r="DX81" i="3"/>
  <c r="AM158" i="3"/>
  <c r="AM152" i="3"/>
  <c r="AO131" i="3"/>
  <c r="BK51" i="5"/>
  <c r="BL48" i="5"/>
  <c r="BK50" i="5"/>
  <c r="BK27" i="5"/>
  <c r="DB154" i="2"/>
  <c r="DB100" i="2"/>
  <c r="DB101" i="2"/>
  <c r="DB95" i="2"/>
  <c r="EF155" i="3"/>
  <c r="U155" i="3"/>
  <c r="BQ148" i="2"/>
  <c r="BQ147" i="2"/>
  <c r="DR61" i="2"/>
  <c r="BK172" i="2"/>
  <c r="BK171" i="2"/>
  <c r="BK174" i="2"/>
  <c r="BJ23" i="5"/>
  <c r="BJ22" i="5"/>
  <c r="AV64" i="5"/>
  <c r="AW12" i="5"/>
  <c r="CQ12" i="5" s="1"/>
  <c r="CQ14" i="5" s="1"/>
  <c r="AV9" i="5"/>
  <c r="EG97" i="2"/>
  <c r="BG61" i="2"/>
  <c r="BG60" i="2"/>
  <c r="BG59" i="2"/>
  <c r="BK60" i="2"/>
  <c r="BH59" i="2"/>
  <c r="DV58" i="2"/>
  <c r="BX51" i="4"/>
  <c r="DU93" i="3"/>
  <c r="DW88" i="3"/>
  <c r="DV88" i="3"/>
  <c r="AP17" i="6"/>
  <c r="AP8" i="6" s="1"/>
  <c r="AQ5" i="6"/>
  <c r="AP7" i="6"/>
  <c r="EY19" i="3"/>
  <c r="DE21" i="2"/>
  <c r="EH21" i="2" s="1"/>
  <c r="DE32" i="2"/>
  <c r="EW120" i="3"/>
  <c r="CE153" i="2"/>
  <c r="CD150" i="2"/>
  <c r="BR26" i="5"/>
  <c r="BS24" i="5"/>
  <c r="BJ82" i="5"/>
  <c r="BJ52" i="5"/>
  <c r="BJ53" i="5"/>
  <c r="BK54" i="5"/>
  <c r="CB54" i="4"/>
  <c r="CB59" i="4" s="1"/>
  <c r="DA155" i="2"/>
  <c r="DA156" i="2"/>
  <c r="EG154" i="2"/>
  <c r="CQ61" i="2"/>
  <c r="CQ59" i="2"/>
  <c r="CQ60" i="2"/>
  <c r="CR59" i="2"/>
  <c r="CU60" i="2"/>
  <c r="EE58" i="2"/>
  <c r="BS148" i="3"/>
  <c r="DD25" i="2"/>
  <c r="DD23" i="2"/>
  <c r="DD22" i="2"/>
  <c r="CI143" i="2"/>
  <c r="CI144" i="2"/>
  <c r="DY61" i="2"/>
  <c r="DB160" i="3"/>
  <c r="BI73" i="5"/>
  <c r="BI83" i="5"/>
  <c r="BI84" i="5"/>
  <c r="BI79" i="5"/>
  <c r="CK79" i="2"/>
  <c r="BA50" i="2"/>
  <c r="BA51" i="2"/>
  <c r="BB50" i="2"/>
  <c r="BE51" i="2"/>
  <c r="BT40" i="4"/>
  <c r="CV37" i="4"/>
  <c r="AR23" i="5"/>
  <c r="AR22" i="5"/>
  <c r="CB43" i="4"/>
  <c r="ES148" i="3"/>
  <c r="EH113" i="2"/>
  <c r="AQ71" i="5"/>
  <c r="AQ72" i="5"/>
  <c r="CP26" i="5"/>
  <c r="CP27" i="5"/>
  <c r="CC58" i="4"/>
  <c r="CX67" i="4"/>
  <c r="BW90" i="2"/>
  <c r="DA151" i="2"/>
  <c r="DA152" i="2"/>
  <c r="BU144" i="3"/>
  <c r="BT148" i="3"/>
  <c r="AO18" i="6"/>
  <c r="AO19" i="6"/>
  <c r="DC27" i="2"/>
  <c r="DC26" i="2"/>
  <c r="BS152" i="3"/>
  <c r="BR60" i="2"/>
  <c r="BP95" i="3"/>
  <c r="BO100" i="3"/>
  <c r="BO104" i="3" s="1"/>
  <c r="DE29" i="2"/>
  <c r="DD34" i="2"/>
  <c r="DD39" i="2" s="1"/>
  <c r="EX42" i="3"/>
  <c r="EX41" i="3" s="1"/>
  <c r="EZ57" i="3"/>
  <c r="EH161" i="2"/>
  <c r="EH160" i="2"/>
  <c r="DY106" i="3"/>
  <c r="DZ96" i="3"/>
  <c r="DU61" i="2"/>
  <c r="CG158" i="3"/>
  <c r="BA58" i="2" s="1"/>
  <c r="CG152" i="3"/>
  <c r="CH152" i="3" s="1"/>
  <c r="AT36" i="5"/>
  <c r="AT31" i="5"/>
  <c r="AT35" i="5"/>
  <c r="AT82" i="5"/>
  <c r="AO14" i="6"/>
  <c r="BU98" i="4"/>
  <c r="BU29" i="4"/>
  <c r="EV46" i="3"/>
  <c r="ET146" i="3"/>
  <c r="ET148" i="3" s="1"/>
  <c r="DU86" i="3"/>
  <c r="DV86" i="3" s="1"/>
  <c r="DV84" i="3"/>
  <c r="BS105" i="4"/>
  <c r="BS106" i="4"/>
  <c r="EH30" i="2"/>
  <c r="CA17" i="4"/>
  <c r="CA18" i="4"/>
  <c r="CB15" i="4"/>
  <c r="DC99" i="2"/>
  <c r="BL36" i="5"/>
  <c r="BL31" i="5"/>
  <c r="BL35" i="5"/>
  <c r="CA59" i="4"/>
  <c r="BR146" i="2"/>
  <c r="BR79" i="2"/>
  <c r="BR85" i="2"/>
  <c r="BR84" i="2"/>
  <c r="BR86" i="2"/>
  <c r="CJ81" i="2"/>
  <c r="CJ142" i="2"/>
  <c r="CJ82" i="2"/>
  <c r="CJ80" i="2"/>
  <c r="Q57" i="2"/>
  <c r="Q56" i="2"/>
  <c r="R56" i="2"/>
  <c r="DC153" i="2"/>
  <c r="DB150" i="2"/>
  <c r="CA46" i="5"/>
  <c r="CA47" i="5"/>
  <c r="AS83" i="5"/>
  <c r="AS84" i="5"/>
  <c r="AS79" i="5"/>
  <c r="CP79" i="5" s="1"/>
  <c r="AS73" i="5"/>
  <c r="CP82" i="3"/>
  <c r="CO84" i="3"/>
  <c r="DL51" i="2"/>
  <c r="BY25" i="4"/>
  <c r="DE93" i="2"/>
  <c r="BV32" i="4"/>
  <c r="BV101" i="4" s="1"/>
  <c r="CV32" i="4"/>
  <c r="AI61" i="2"/>
  <c r="AI60" i="2"/>
  <c r="AI59" i="2"/>
  <c r="AJ59" i="2"/>
  <c r="DP58" i="2"/>
  <c r="AA58" i="2"/>
  <c r="BW36" i="4"/>
  <c r="DC39" i="2"/>
  <c r="BJ54" i="5"/>
  <c r="CN97" i="3"/>
  <c r="CM97" i="3"/>
  <c r="CL106" i="3"/>
  <c r="DT49" i="2"/>
  <c r="AQ101" i="5"/>
  <c r="AQ98" i="5"/>
  <c r="AQ97" i="5"/>
  <c r="BS83" i="2"/>
  <c r="EK159" i="3"/>
  <c r="EK160" i="3"/>
  <c r="BN100" i="3"/>
  <c r="BM104" i="3"/>
  <c r="CC72" i="4"/>
  <c r="CC71" i="4"/>
  <c r="EF159" i="3"/>
  <c r="EF160" i="3"/>
  <c r="BM76" i="5"/>
  <c r="CO87" i="2"/>
  <c r="CP73" i="5"/>
  <c r="CP75" i="5" s="1"/>
  <c r="CP84" i="5"/>
  <c r="EG153" i="2"/>
  <c r="EG152" i="2"/>
  <c r="CX70" i="4"/>
  <c r="L61" i="2"/>
  <c r="L60" i="2"/>
  <c r="L59" i="2"/>
  <c r="DZ60" i="2"/>
  <c r="DZ61" i="2"/>
  <c r="BT98" i="4"/>
  <c r="AT62" i="5"/>
  <c r="AT63" i="5"/>
  <c r="AT60" i="5"/>
  <c r="AT61" i="5"/>
  <c r="EC61" i="2"/>
  <c r="EC60" i="2"/>
  <c r="AN61" i="2"/>
  <c r="AN60" i="2"/>
  <c r="AR60" i="2"/>
  <c r="AO59" i="2"/>
  <c r="DQ58" i="2"/>
  <c r="AR96" i="5"/>
  <c r="AS90" i="5"/>
  <c r="AR92" i="5"/>
  <c r="CT82" i="5"/>
  <c r="DX86" i="2"/>
  <c r="DX85" i="2"/>
  <c r="DE168" i="2"/>
  <c r="DE167" i="2"/>
  <c r="EH166" i="2"/>
  <c r="CO155" i="3"/>
  <c r="CP154" i="3"/>
  <c r="CO64" i="3"/>
  <c r="CO74" i="3" s="1"/>
  <c r="CP62" i="3"/>
  <c r="EH93" i="2"/>
  <c r="AR74" i="5"/>
  <c r="AR75" i="5"/>
  <c r="BH81" i="5"/>
  <c r="BH70" i="5"/>
  <c r="BH80" i="5"/>
  <c r="CT79" i="5"/>
  <c r="AN158" i="3"/>
  <c r="Q58" i="2" s="1"/>
  <c r="AN152" i="3"/>
  <c r="BP144" i="2"/>
  <c r="BP138" i="2"/>
  <c r="BP143" i="2"/>
  <c r="AZ61" i="2"/>
  <c r="AZ60" i="2"/>
  <c r="BD60" i="2"/>
  <c r="BO125" i="2"/>
  <c r="BO126" i="2"/>
  <c r="BO124" i="2"/>
  <c r="AS32" i="5"/>
  <c r="AS21" i="5"/>
  <c r="AS33" i="5"/>
  <c r="BV90" i="2"/>
  <c r="BV89" i="2"/>
  <c r="AS158" i="3"/>
  <c r="AS152" i="3"/>
  <c r="AT131" i="3"/>
  <c r="CN86" i="3"/>
  <c r="DO57" i="2"/>
  <c r="DP57" i="2"/>
  <c r="EG101" i="2"/>
  <c r="P155" i="3"/>
  <c r="AU61" i="2"/>
  <c r="AU60" i="2"/>
  <c r="DS58" i="2"/>
  <c r="EK155" i="3"/>
  <c r="BO140" i="2"/>
  <c r="BO139" i="2"/>
  <c r="BO141" i="2"/>
  <c r="BO174" i="2"/>
  <c r="AJ152" i="3"/>
  <c r="EY26" i="3"/>
  <c r="EX28" i="3"/>
  <c r="AE152" i="3"/>
  <c r="Q50" i="2"/>
  <c r="Q51" i="2"/>
  <c r="R50" i="2"/>
  <c r="CH131" i="3"/>
  <c r="V58" i="2"/>
  <c r="BG72" i="5"/>
  <c r="BG71" i="5"/>
  <c r="CL60" i="2"/>
  <c r="ED58" i="2"/>
  <c r="CL61" i="2"/>
  <c r="CL59" i="2"/>
  <c r="CM59" i="2"/>
  <c r="CP60" i="2"/>
  <c r="CC151" i="2"/>
  <c r="CC152" i="2"/>
  <c r="CG152" i="2"/>
  <c r="DW74" i="3"/>
  <c r="DX63" i="3"/>
  <c r="BP238" i="2"/>
  <c r="BP240" i="2"/>
  <c r="BP245" i="2"/>
  <c r="BP239" i="2"/>
  <c r="BP123" i="2"/>
  <c r="J61" i="2"/>
  <c r="DJ58" i="2"/>
  <c r="J59" i="2"/>
  <c r="J60" i="2"/>
  <c r="AY58" i="2"/>
  <c r="AU65" i="5"/>
  <c r="AU66" i="5"/>
  <c r="DX149" i="2"/>
  <c r="DX148" i="2"/>
  <c r="CW124" i="2"/>
  <c r="CW125" i="2"/>
  <c r="CX124" i="2"/>
  <c r="DA125" i="2"/>
  <c r="BL76" i="5"/>
  <c r="CN87" i="2"/>
  <c r="CU85" i="5"/>
  <c r="BL170" i="2"/>
  <c r="BM173" i="2"/>
  <c r="M61" i="2"/>
  <c r="M60" i="2"/>
  <c r="M59" i="2"/>
  <c r="DP51" i="2"/>
  <c r="BK32" i="5"/>
  <c r="BK21" i="5"/>
  <c r="BK33" i="5"/>
  <c r="BM59" i="5"/>
  <c r="CU59" i="5" s="1"/>
  <c r="BM11" i="5"/>
  <c r="BM10" i="5"/>
  <c r="BM34" i="5"/>
  <c r="CU34" i="5" s="1"/>
  <c r="CU9" i="5"/>
  <c r="CU11" i="5" s="1"/>
  <c r="AU59" i="5"/>
  <c r="AU34" i="5"/>
  <c r="AU11" i="5"/>
  <c r="AU10" i="5"/>
  <c r="BE76" i="3"/>
  <c r="BF77" i="3"/>
  <c r="AP13" i="6"/>
  <c r="AQ11" i="6"/>
  <c r="EV120" i="3"/>
  <c r="EY17" i="3"/>
  <c r="DE37" i="2"/>
  <c r="CR159" i="3"/>
  <c r="CR160" i="3"/>
  <c r="BY48" i="4"/>
  <c r="BY51" i="4" s="1"/>
  <c r="BZ47" i="4"/>
  <c r="AR80" i="5"/>
  <c r="AR81" i="5"/>
  <c r="AR70" i="5"/>
  <c r="AP103" i="5"/>
  <c r="AP102" i="5"/>
  <c r="BH75" i="5"/>
  <c r="BH74" i="5"/>
  <c r="DT54" i="2"/>
  <c r="DU54" i="2"/>
  <c r="CB44" i="5"/>
  <c r="CC42" i="5"/>
  <c r="AT78" i="5"/>
  <c r="AT77" i="5"/>
  <c r="EA60" i="2"/>
  <c r="AV37" i="5"/>
  <c r="BP17" i="6"/>
  <c r="BP7" i="6"/>
  <c r="DA96" i="2"/>
  <c r="DA97" i="2"/>
  <c r="BY84" i="4"/>
  <c r="BY73" i="4"/>
  <c r="CT53" i="5"/>
  <c r="CT48" i="5"/>
  <c r="EF123" i="2"/>
  <c r="EW48" i="3"/>
  <c r="EV49" i="3"/>
  <c r="G58" i="2"/>
  <c r="AE158" i="3"/>
  <c r="CW119" i="2"/>
  <c r="DT55" i="2"/>
  <c r="CP31" i="5"/>
  <c r="AP14" i="6" l="1"/>
  <c r="BU103" i="4"/>
  <c r="BU57" i="4"/>
  <c r="BU46" i="4"/>
  <c r="BU102" i="4"/>
  <c r="BU35" i="4"/>
  <c r="CA111" i="4"/>
  <c r="CA110" i="4"/>
  <c r="CV101" i="4"/>
  <c r="BU68" i="4"/>
  <c r="BV37" i="4"/>
  <c r="BV40" i="4" s="1"/>
  <c r="DN51" i="2"/>
  <c r="BD131" i="3"/>
  <c r="BC158" i="3"/>
  <c r="BC152" i="3"/>
  <c r="BD152" i="3" s="1"/>
  <c r="BD155" i="3" s="1"/>
  <c r="DN57" i="2"/>
  <c r="CW160" i="3"/>
  <c r="CW159" i="3"/>
  <c r="DE13" i="2"/>
  <c r="DE12" i="2"/>
  <c r="EY11" i="3"/>
  <c r="DL57" i="2"/>
  <c r="DM51" i="2"/>
  <c r="DM57" i="2"/>
  <c r="BM60" i="2"/>
  <c r="BM59" i="2"/>
  <c r="BM61" i="2"/>
  <c r="BQ60" i="2"/>
  <c r="DW58" i="2"/>
  <c r="DW61" i="2" s="1"/>
  <c r="CO86" i="3"/>
  <c r="AX158" i="3"/>
  <c r="AX152" i="3"/>
  <c r="AY131" i="3"/>
  <c r="CU61" i="5"/>
  <c r="CU62" i="5"/>
  <c r="CU63" i="5"/>
  <c r="CU36" i="5"/>
  <c r="CU24" i="5"/>
  <c r="BP126" i="2"/>
  <c r="BP124" i="2"/>
  <c r="BP125" i="2"/>
  <c r="CT70" i="5"/>
  <c r="CT72" i="5" s="1"/>
  <c r="CT81" i="5"/>
  <c r="BL32" i="5"/>
  <c r="BL33" i="5"/>
  <c r="BL21" i="5"/>
  <c r="BA61" i="2"/>
  <c r="BA60" i="2"/>
  <c r="BA59" i="2"/>
  <c r="BE60" i="2"/>
  <c r="BB59" i="2"/>
  <c r="DE34" i="2"/>
  <c r="EH34" i="2" s="1"/>
  <c r="EY42" i="3"/>
  <c r="EY41" i="3" s="1"/>
  <c r="EH29" i="2"/>
  <c r="BJ84" i="5"/>
  <c r="BJ73" i="5"/>
  <c r="BJ83" i="5"/>
  <c r="BJ79" i="5"/>
  <c r="CL79" i="2"/>
  <c r="DY81" i="3"/>
  <c r="DX84" i="3"/>
  <c r="AG58" i="2"/>
  <c r="BI158" i="3"/>
  <c r="BQ138" i="2"/>
  <c r="DX138" i="2" s="1"/>
  <c r="BQ143" i="2"/>
  <c r="BQ144" i="2"/>
  <c r="DX142" i="2"/>
  <c r="BN85" i="5"/>
  <c r="G61" i="2"/>
  <c r="G59" i="2"/>
  <c r="G60" i="2"/>
  <c r="DI58" i="2"/>
  <c r="K60" i="2"/>
  <c r="H59" i="2"/>
  <c r="AR11" i="6"/>
  <c r="AQ13" i="6"/>
  <c r="DQ61" i="2"/>
  <c r="DQ60" i="2"/>
  <c r="BT100" i="4"/>
  <c r="BT99" i="4"/>
  <c r="BT104" i="4"/>
  <c r="CV98" i="4"/>
  <c r="BS146" i="2"/>
  <c r="BS85" i="2"/>
  <c r="BS84" i="2"/>
  <c r="BS86" i="2"/>
  <c r="BS79" i="2"/>
  <c r="CM106" i="3"/>
  <c r="DU62" i="2"/>
  <c r="CP84" i="3"/>
  <c r="CQ82" i="3"/>
  <c r="CJ143" i="2"/>
  <c r="CJ144" i="2"/>
  <c r="EW46" i="3"/>
  <c r="EV146" i="3"/>
  <c r="EU146" i="3"/>
  <c r="CV39" i="4"/>
  <c r="CV40" i="4"/>
  <c r="CK81" i="2"/>
  <c r="CK142" i="2"/>
  <c r="CK82" i="2"/>
  <c r="CK80" i="2"/>
  <c r="EE60" i="2"/>
  <c r="EE61" i="2"/>
  <c r="EG157" i="2"/>
  <c r="EG156" i="2"/>
  <c r="BS26" i="5"/>
  <c r="BT24" i="5"/>
  <c r="DX88" i="3"/>
  <c r="DW93" i="3"/>
  <c r="DW100" i="3" s="1"/>
  <c r="DW104" i="3" s="1"/>
  <c r="BK177" i="2"/>
  <c r="BK176" i="2"/>
  <c r="BK175" i="2"/>
  <c r="DB155" i="2"/>
  <c r="DB156" i="2"/>
  <c r="BL51" i="5"/>
  <c r="BL50" i="5"/>
  <c r="BM48" i="5"/>
  <c r="BL27" i="5"/>
  <c r="DW86" i="3"/>
  <c r="DX81" i="2"/>
  <c r="DX82" i="2"/>
  <c r="BV103" i="4"/>
  <c r="BV102" i="4"/>
  <c r="BV68" i="4"/>
  <c r="BV46" i="4"/>
  <c r="BV57" i="4"/>
  <c r="CT50" i="5"/>
  <c r="CT27" i="5"/>
  <c r="EH23" i="2"/>
  <c r="BN173" i="2"/>
  <c r="BN170" i="2" s="1"/>
  <c r="BM170" i="2"/>
  <c r="CH158" i="3"/>
  <c r="BP246" i="2"/>
  <c r="BP247" i="2" s="1"/>
  <c r="EF117" i="2"/>
  <c r="BP140" i="2"/>
  <c r="BP141" i="2"/>
  <c r="BP139" i="2"/>
  <c r="BP174" i="2"/>
  <c r="BH71" i="5"/>
  <c r="BH72" i="5"/>
  <c r="CO90" i="2"/>
  <c r="CO97" i="3"/>
  <c r="CN106" i="3"/>
  <c r="BZ25" i="4"/>
  <c r="AS74" i="5"/>
  <c r="AS75" i="5"/>
  <c r="BR81" i="2"/>
  <c r="BR142" i="2"/>
  <c r="BR82" i="2"/>
  <c r="BR80" i="2"/>
  <c r="BR237" i="2"/>
  <c r="CA62" i="4"/>
  <c r="DC101" i="2"/>
  <c r="DC154" i="2"/>
  <c r="DC100" i="2"/>
  <c r="DC95" i="2"/>
  <c r="EZ19" i="3"/>
  <c r="EU148" i="3"/>
  <c r="BI80" i="5"/>
  <c r="BI81" i="5"/>
  <c r="BI70" i="5"/>
  <c r="DU100" i="3"/>
  <c r="DV93" i="3"/>
  <c r="AV59" i="5"/>
  <c r="AV11" i="5"/>
  <c r="AV10" i="5"/>
  <c r="AV34" i="5"/>
  <c r="BK82" i="5"/>
  <c r="BK52" i="5"/>
  <c r="BK53" i="5"/>
  <c r="BL54" i="5"/>
  <c r="CX115" i="2"/>
  <c r="CW117" i="2"/>
  <c r="AX93" i="5"/>
  <c r="AW95" i="5"/>
  <c r="BQ239" i="2"/>
  <c r="BQ245" i="2"/>
  <c r="BQ238" i="2"/>
  <c r="BQ123" i="2"/>
  <c r="BQ240" i="2"/>
  <c r="BN59" i="5"/>
  <c r="BN11" i="5"/>
  <c r="BN10" i="5"/>
  <c r="BN34" i="5"/>
  <c r="CU87" i="5"/>
  <c r="CU76" i="5"/>
  <c r="CU78" i="5" s="1"/>
  <c r="CF153" i="2"/>
  <c r="CF150" i="2" s="1"/>
  <c r="CE150" i="2"/>
  <c r="BX21" i="4"/>
  <c r="BW26" i="4"/>
  <c r="BZ48" i="4"/>
  <c r="CA47" i="4"/>
  <c r="BM36" i="5"/>
  <c r="BM35" i="5"/>
  <c r="BM31" i="5"/>
  <c r="CN90" i="2"/>
  <c r="ED87" i="2"/>
  <c r="CX119" i="2"/>
  <c r="EF119" i="2"/>
  <c r="EX48" i="3"/>
  <c r="EW49" i="3"/>
  <c r="AV85" i="5"/>
  <c r="CC44" i="5"/>
  <c r="CY42" i="5"/>
  <c r="CP81" i="5"/>
  <c r="CP70" i="5"/>
  <c r="CP72" i="5" s="1"/>
  <c r="BL174" i="2"/>
  <c r="BL172" i="2"/>
  <c r="BL171" i="2"/>
  <c r="AY59" i="2"/>
  <c r="AY61" i="2"/>
  <c r="AY60" i="2"/>
  <c r="BC60" i="2"/>
  <c r="DT58" i="2"/>
  <c r="ED60" i="2"/>
  <c r="ED61" i="2"/>
  <c r="EY28" i="3"/>
  <c r="EZ28" i="3" s="1"/>
  <c r="EZ26" i="3"/>
  <c r="AT152" i="3"/>
  <c r="CT84" i="5"/>
  <c r="CT73" i="5"/>
  <c r="CT75" i="5" s="1"/>
  <c r="CX72" i="4"/>
  <c r="BN104" i="3"/>
  <c r="AA61" i="2"/>
  <c r="AA59" i="2"/>
  <c r="AE60" i="2"/>
  <c r="AB59" i="2"/>
  <c r="AS80" i="5"/>
  <c r="AS81" i="5"/>
  <c r="AS70" i="5"/>
  <c r="DB151" i="2"/>
  <c r="DB152" i="2"/>
  <c r="BR148" i="2"/>
  <c r="BR147" i="2"/>
  <c r="CB18" i="4"/>
  <c r="CB17" i="4"/>
  <c r="CC15" i="4"/>
  <c r="CX15" i="4" s="1"/>
  <c r="CX73" i="4" s="1"/>
  <c r="DD99" i="2"/>
  <c r="DW170" i="2"/>
  <c r="BU104" i="4"/>
  <c r="BU99" i="4"/>
  <c r="BU100" i="4"/>
  <c r="AT32" i="5"/>
  <c r="AT33" i="5"/>
  <c r="AT21" i="5"/>
  <c r="BQ95" i="3"/>
  <c r="BP100" i="3"/>
  <c r="BP104" i="3" s="1"/>
  <c r="CC43" i="4"/>
  <c r="CW48" i="4"/>
  <c r="AW64" i="5"/>
  <c r="AW37" i="5"/>
  <c r="AW85" i="5" s="1"/>
  <c r="AW9" i="5"/>
  <c r="AX12" i="5"/>
  <c r="DB96" i="2"/>
  <c r="DB97" i="2"/>
  <c r="BS155" i="3"/>
  <c r="DX61" i="2"/>
  <c r="CT93" i="3"/>
  <c r="CU88" i="3"/>
  <c r="BO64" i="5"/>
  <c r="BO37" i="5"/>
  <c r="BO85" i="5" s="1"/>
  <c r="BP12" i="5"/>
  <c r="BO9" i="5"/>
  <c r="CH155" i="3"/>
  <c r="DJ61" i="2"/>
  <c r="DJ60" i="2"/>
  <c r="CQ154" i="3"/>
  <c r="CP64" i="3"/>
  <c r="CP74" i="3" s="1"/>
  <c r="CP155" i="3"/>
  <c r="CQ62" i="3"/>
  <c r="AR101" i="5"/>
  <c r="AR98" i="5"/>
  <c r="AR97" i="5"/>
  <c r="BT83" i="2"/>
  <c r="AR71" i="5"/>
  <c r="AR72" i="5"/>
  <c r="AU36" i="5"/>
  <c r="AU35" i="5"/>
  <c r="AU31" i="5"/>
  <c r="AU82" i="5"/>
  <c r="BM60" i="5"/>
  <c r="BM62" i="5"/>
  <c r="BM63" i="5"/>
  <c r="BM61" i="5"/>
  <c r="AJ155" i="3"/>
  <c r="U58" i="2"/>
  <c r="V59" i="2" s="1"/>
  <c r="AT158" i="3"/>
  <c r="AS22" i="5"/>
  <c r="AS23" i="5"/>
  <c r="AZ59" i="2"/>
  <c r="AQ103" i="5"/>
  <c r="AQ102" i="5"/>
  <c r="BX36" i="4"/>
  <c r="DP61" i="2"/>
  <c r="CV35" i="4"/>
  <c r="CV34" i="4"/>
  <c r="DD153" i="2"/>
  <c r="DC150" i="2"/>
  <c r="EC79" i="2"/>
  <c r="CA60" i="4"/>
  <c r="CA61" i="4"/>
  <c r="EX120" i="3"/>
  <c r="BT152" i="3"/>
  <c r="DD26" i="2"/>
  <c r="DD27" i="2"/>
  <c r="CC54" i="4"/>
  <c r="CC59" i="4" s="1"/>
  <c r="CX59" i="4" s="1"/>
  <c r="DE23" i="2"/>
  <c r="DE22" i="2"/>
  <c r="DE25" i="2"/>
  <c r="AQ7" i="6"/>
  <c r="AQ17" i="6"/>
  <c r="AQ14" i="6" s="1"/>
  <c r="AR5" i="6"/>
  <c r="AV66" i="5"/>
  <c r="AV65" i="5"/>
  <c r="BZ84" i="4"/>
  <c r="BZ73" i="4"/>
  <c r="BZ62" i="4"/>
  <c r="AO152" i="3"/>
  <c r="BV29" i="4"/>
  <c r="BV98" i="4"/>
  <c r="BG77" i="3"/>
  <c r="BF76" i="3"/>
  <c r="CV103" i="4"/>
  <c r="CV79" i="4"/>
  <c r="CV68" i="4"/>
  <c r="CV57" i="4"/>
  <c r="CV46" i="4"/>
  <c r="EH32" i="2"/>
  <c r="AT83" i="5"/>
  <c r="AT84" i="5"/>
  <c r="AT79" i="5"/>
  <c r="AT73" i="5"/>
  <c r="CB60" i="4"/>
  <c r="CB61" i="4"/>
  <c r="BP19" i="6"/>
  <c r="BP14" i="6"/>
  <c r="BK23" i="5"/>
  <c r="BK22" i="5"/>
  <c r="DS60" i="2"/>
  <c r="DS61" i="2"/>
  <c r="CP33" i="5"/>
  <c r="CP21" i="5"/>
  <c r="CP23" i="5" s="1"/>
  <c r="DT57" i="2"/>
  <c r="DU57" i="2"/>
  <c r="EF125" i="2"/>
  <c r="EG125" i="2"/>
  <c r="BP8" i="6"/>
  <c r="CB47" i="5"/>
  <c r="CB46" i="5"/>
  <c r="AU60" i="5"/>
  <c r="AU62" i="5"/>
  <c r="AU63" i="5"/>
  <c r="AU61" i="5"/>
  <c r="DX74" i="3"/>
  <c r="DY63" i="3"/>
  <c r="V61" i="2"/>
  <c r="V60" i="2"/>
  <c r="Z60" i="2"/>
  <c r="AE155" i="3"/>
  <c r="BO176" i="2"/>
  <c r="BO177" i="2"/>
  <c r="Q61" i="2"/>
  <c r="Q60" i="2"/>
  <c r="R59" i="2"/>
  <c r="EH169" i="2"/>
  <c r="EH168" i="2"/>
  <c r="AT90" i="5"/>
  <c r="AS96" i="5"/>
  <c r="AS92" i="5"/>
  <c r="CP90" i="5"/>
  <c r="CP92" i="5" s="1"/>
  <c r="DT51" i="2"/>
  <c r="DU51" i="2"/>
  <c r="BW32" i="4"/>
  <c r="BV35" i="4"/>
  <c r="DZ106" i="3"/>
  <c r="EA96" i="3"/>
  <c r="BU148" i="3"/>
  <c r="BU152" i="3" s="1"/>
  <c r="BV144" i="3"/>
  <c r="BI75" i="5"/>
  <c r="BI74" i="5"/>
  <c r="CD151" i="2"/>
  <c r="CD152" i="2"/>
  <c r="CH152" i="2"/>
  <c r="AP18" i="6"/>
  <c r="AP19" i="6"/>
  <c r="DV61" i="2"/>
  <c r="DV60" i="2"/>
  <c r="DR60" i="2"/>
  <c r="P58" i="2"/>
  <c r="Q59" i="2" s="1"/>
  <c r="AO158" i="3"/>
  <c r="BI152" i="3"/>
  <c r="BV24" i="4"/>
  <c r="EZ17" i="3"/>
  <c r="AQ8" i="6" l="1"/>
  <c r="CQ37" i="5"/>
  <c r="CY45" i="5"/>
  <c r="CY47" i="5" s="1"/>
  <c r="CB110" i="4"/>
  <c r="CB111" i="4"/>
  <c r="EZ42" i="3"/>
  <c r="DX60" i="2"/>
  <c r="AC58" i="2"/>
  <c r="BD158" i="3"/>
  <c r="EY116" i="3"/>
  <c r="EZ116" i="3" s="1"/>
  <c r="EZ11" i="3"/>
  <c r="DW60" i="2"/>
  <c r="AY152" i="3"/>
  <c r="CP86" i="3"/>
  <c r="Y58" i="2"/>
  <c r="Y60" i="2" s="1"/>
  <c r="AY158" i="3"/>
  <c r="EB150" i="2"/>
  <c r="EB152" i="2" s="1"/>
  <c r="EB153" i="2"/>
  <c r="EC152" i="2"/>
  <c r="CX62" i="4"/>
  <c r="CX61" i="4"/>
  <c r="BX32" i="4"/>
  <c r="BX37" i="4" s="1"/>
  <c r="BX40" i="4" s="1"/>
  <c r="AU33" i="5"/>
  <c r="AU32" i="5"/>
  <c r="AU21" i="5"/>
  <c r="AX64" i="5"/>
  <c r="AX37" i="5"/>
  <c r="AY12" i="5"/>
  <c r="AX9" i="5"/>
  <c r="BM33" i="5"/>
  <c r="BM32" i="5"/>
  <c r="BM21" i="5"/>
  <c r="AV31" i="5"/>
  <c r="AV35" i="5"/>
  <c r="AV36" i="5"/>
  <c r="AV82" i="5"/>
  <c r="DC97" i="2"/>
  <c r="DC96" i="2"/>
  <c r="BN171" i="2"/>
  <c r="DX170" i="2"/>
  <c r="BN172" i="2"/>
  <c r="BN174" i="2"/>
  <c r="CQ84" i="3"/>
  <c r="CR82" i="3"/>
  <c r="CS82" i="3"/>
  <c r="AS11" i="6"/>
  <c r="BQ11" i="6" s="1"/>
  <c r="AR13" i="6"/>
  <c r="DY84" i="3"/>
  <c r="DZ81" i="3"/>
  <c r="DE153" i="2"/>
  <c r="DE150" i="2" s="1"/>
  <c r="DD150" i="2"/>
  <c r="BT85" i="2"/>
  <c r="BT84" i="2"/>
  <c r="BT86" i="2"/>
  <c r="BT79" i="2"/>
  <c r="BT146" i="2"/>
  <c r="CV88" i="3"/>
  <c r="CU93" i="3"/>
  <c r="AW59" i="5"/>
  <c r="AW34" i="5"/>
  <c r="AW11" i="5"/>
  <c r="AW10" i="5"/>
  <c r="BA11" i="5"/>
  <c r="DD154" i="2"/>
  <c r="DD100" i="2"/>
  <c r="DD101" i="2"/>
  <c r="DD95" i="2"/>
  <c r="BL175" i="2"/>
  <c r="BL176" i="2"/>
  <c r="BL177" i="2"/>
  <c r="CQ39" i="5"/>
  <c r="CQ28" i="5"/>
  <c r="CY119" i="2"/>
  <c r="EH119" i="2" s="1"/>
  <c r="BW101" i="4"/>
  <c r="BW35" i="4" s="1"/>
  <c r="BR245" i="2"/>
  <c r="BR240" i="2"/>
  <c r="BR239" i="2"/>
  <c r="BR238" i="2"/>
  <c r="BR123" i="2"/>
  <c r="CP97" i="3"/>
  <c r="CO106" i="3"/>
  <c r="DX141" i="2"/>
  <c r="DX140" i="2"/>
  <c r="EX46" i="3"/>
  <c r="EW146" i="3"/>
  <c r="EW148" i="3" s="1"/>
  <c r="BS148" i="2"/>
  <c r="BS147" i="2"/>
  <c r="EG119" i="2"/>
  <c r="BW144" i="3"/>
  <c r="BV148" i="3"/>
  <c r="BV152" i="3" s="1"/>
  <c r="AT96" i="5"/>
  <c r="AT92" i="5"/>
  <c r="AU90" i="5"/>
  <c r="AT74" i="5"/>
  <c r="AT75" i="5"/>
  <c r="AR17" i="6"/>
  <c r="AR8" i="6" s="1"/>
  <c r="AS5" i="6"/>
  <c r="AR7" i="6"/>
  <c r="AW76" i="5"/>
  <c r="BY87" i="2"/>
  <c r="BR95" i="3"/>
  <c r="BQ100" i="3"/>
  <c r="BQ104" i="3" s="1"/>
  <c r="CC18" i="4"/>
  <c r="CC17" i="4"/>
  <c r="DE99" i="2"/>
  <c r="AV76" i="5"/>
  <c r="BX87" i="2"/>
  <c r="CQ85" i="5"/>
  <c r="BN31" i="5"/>
  <c r="BN35" i="5"/>
  <c r="BN36" i="5"/>
  <c r="AX95" i="5"/>
  <c r="AY93" i="5"/>
  <c r="BP177" i="2"/>
  <c r="BP175" i="2"/>
  <c r="BP176" i="2"/>
  <c r="BL82" i="5"/>
  <c r="BL52" i="5"/>
  <c r="BL53" i="5"/>
  <c r="BT26" i="5"/>
  <c r="BU24" i="5"/>
  <c r="CV104" i="4"/>
  <c r="CV100" i="4"/>
  <c r="BQ141" i="2"/>
  <c r="BQ139" i="2"/>
  <c r="BQ140" i="2"/>
  <c r="BQ174" i="2"/>
  <c r="CL142" i="2"/>
  <c r="CL82" i="2"/>
  <c r="CL80" i="2"/>
  <c r="CL81" i="2"/>
  <c r="EB96" i="3"/>
  <c r="EA106" i="3"/>
  <c r="DC152" i="2"/>
  <c r="DC151" i="2"/>
  <c r="U60" i="2"/>
  <c r="U59" i="2"/>
  <c r="U61" i="2"/>
  <c r="DL58" i="2"/>
  <c r="CS154" i="3"/>
  <c r="CW154" i="3" s="1"/>
  <c r="CW155" i="3" s="1"/>
  <c r="CQ155" i="3"/>
  <c r="CS62" i="3"/>
  <c r="CR62" i="3"/>
  <c r="CQ64" i="3"/>
  <c r="CR64" i="3" s="1"/>
  <c r="DT60" i="2"/>
  <c r="DT61" i="2"/>
  <c r="DU60" i="2"/>
  <c r="BX101" i="4"/>
  <c r="BY21" i="4"/>
  <c r="BX26" i="4"/>
  <c r="CA84" i="4"/>
  <c r="CA73" i="4"/>
  <c r="BM51" i="5"/>
  <c r="CU51" i="5" s="1"/>
  <c r="BM50" i="5"/>
  <c r="BN48" i="5"/>
  <c r="BM27" i="5"/>
  <c r="BL22" i="5"/>
  <c r="BL23" i="5"/>
  <c r="CC60" i="4"/>
  <c r="CC61" i="4"/>
  <c r="AT81" i="5"/>
  <c r="AT80" i="5"/>
  <c r="AT70" i="5"/>
  <c r="AO155" i="3"/>
  <c r="BO59" i="5"/>
  <c r="BO11" i="5"/>
  <c r="BO34" i="5"/>
  <c r="AW65" i="5"/>
  <c r="AW66" i="5"/>
  <c r="BA66" i="5"/>
  <c r="CQ64" i="5"/>
  <c r="CQ66" i="5" s="1"/>
  <c r="AT22" i="5"/>
  <c r="AT23" i="5"/>
  <c r="ED90" i="2"/>
  <c r="CA48" i="4"/>
  <c r="CA51" i="4" s="1"/>
  <c r="CB47" i="4"/>
  <c r="BQ124" i="2"/>
  <c r="BQ125" i="2"/>
  <c r="BQ126" i="2"/>
  <c r="AV63" i="5"/>
  <c r="AV62" i="5"/>
  <c r="AV60" i="5"/>
  <c r="AV61" i="5"/>
  <c r="DC156" i="2"/>
  <c r="DC155" i="2"/>
  <c r="BS81" i="2"/>
  <c r="BS142" i="2"/>
  <c r="BS82" i="2"/>
  <c r="BS80" i="2"/>
  <c r="BS237" i="2"/>
  <c r="BT106" i="4"/>
  <c r="BT105" i="4"/>
  <c r="BJ80" i="5"/>
  <c r="BJ81" i="5"/>
  <c r="BJ70" i="5"/>
  <c r="EY120" i="3"/>
  <c r="EZ120" i="3" s="1"/>
  <c r="EZ41" i="3"/>
  <c r="CU26" i="5"/>
  <c r="BV100" i="4"/>
  <c r="BV104" i="4"/>
  <c r="BV99" i="4"/>
  <c r="P61" i="2"/>
  <c r="P60" i="2"/>
  <c r="P59" i="2"/>
  <c r="T60" i="2"/>
  <c r="DK58" i="2"/>
  <c r="DY74" i="3"/>
  <c r="DZ63" i="3"/>
  <c r="BG76" i="3"/>
  <c r="BH77" i="3"/>
  <c r="AQ19" i="6"/>
  <c r="AQ18" i="6"/>
  <c r="CX54" i="4"/>
  <c r="BY36" i="4"/>
  <c r="AR103" i="5"/>
  <c r="AR102" i="5"/>
  <c r="BP64" i="5"/>
  <c r="BP37" i="5"/>
  <c r="BP85" i="5" s="1"/>
  <c r="BQ12" i="5"/>
  <c r="BP9" i="5"/>
  <c r="CW51" i="4"/>
  <c r="CW50" i="4"/>
  <c r="CW47" i="4"/>
  <c r="BU105" i="4"/>
  <c r="BU106" i="4"/>
  <c r="CC47" i="5"/>
  <c r="CC46" i="5"/>
  <c r="EY48" i="3"/>
  <c r="EX49" i="3"/>
  <c r="BZ51" i="4"/>
  <c r="BK83" i="5"/>
  <c r="BK84" i="5"/>
  <c r="BK79" i="5"/>
  <c r="BK73" i="5"/>
  <c r="CM79" i="2"/>
  <c r="CA25" i="4"/>
  <c r="CH159" i="3"/>
  <c r="CH160" i="3"/>
  <c r="CM159" i="3"/>
  <c r="BN76" i="5"/>
  <c r="CP87" i="2"/>
  <c r="AG61" i="2"/>
  <c r="DO58" i="2"/>
  <c r="DE39" i="2"/>
  <c r="EH39" i="2" s="1"/>
  <c r="DE26" i="2"/>
  <c r="DE27" i="2"/>
  <c r="EH25" i="2"/>
  <c r="CX18" i="4"/>
  <c r="CX17" i="4"/>
  <c r="CX84" i="4"/>
  <c r="CX95" i="4"/>
  <c r="CF152" i="2"/>
  <c r="CG151" i="2"/>
  <c r="CF151" i="2"/>
  <c r="CJ152" i="2"/>
  <c r="BN63" i="5"/>
  <c r="BN62" i="5"/>
  <c r="BN60" i="5"/>
  <c r="BN61" i="5"/>
  <c r="BI71" i="5"/>
  <c r="BI72" i="5"/>
  <c r="DX93" i="3"/>
  <c r="DX100" i="3" s="1"/>
  <c r="DX104" i="3" s="1"/>
  <c r="DY88" i="3"/>
  <c r="AS98" i="5"/>
  <c r="AS97" i="5"/>
  <c r="AS101" i="5"/>
  <c r="BU83" i="2"/>
  <c r="DY83" i="2" s="1"/>
  <c r="BI155" i="3"/>
  <c r="EC81" i="2"/>
  <c r="EC82" i="2"/>
  <c r="BW37" i="4"/>
  <c r="BW98" i="4" s="1"/>
  <c r="CP96" i="5"/>
  <c r="AU79" i="5"/>
  <c r="AU84" i="5"/>
  <c r="AU73" i="5"/>
  <c r="AU83" i="5"/>
  <c r="BO76" i="5"/>
  <c r="CQ87" i="2"/>
  <c r="CX43" i="4"/>
  <c r="DW173" i="2"/>
  <c r="DW172" i="2"/>
  <c r="AS71" i="5"/>
  <c r="AS72" i="5"/>
  <c r="AT155" i="3"/>
  <c r="CY44" i="5"/>
  <c r="BW29" i="4"/>
  <c r="CE152" i="2"/>
  <c r="CE151" i="2"/>
  <c r="CI152" i="2"/>
  <c r="BQ246" i="2"/>
  <c r="BQ247" i="2" s="1"/>
  <c r="DX245" i="2"/>
  <c r="CX117" i="2"/>
  <c r="CY115" i="2"/>
  <c r="EG115" i="2"/>
  <c r="CQ9" i="5"/>
  <c r="CQ11" i="5" s="1"/>
  <c r="DU104" i="3"/>
  <c r="DV100" i="3"/>
  <c r="BR143" i="2"/>
  <c r="BR138" i="2"/>
  <c r="BR144" i="2"/>
  <c r="BM172" i="2"/>
  <c r="BM171" i="2"/>
  <c r="BM174" i="2"/>
  <c r="DW174" i="2" s="1"/>
  <c r="CK144" i="2"/>
  <c r="CK143" i="2"/>
  <c r="EC142" i="2"/>
  <c r="EV148" i="3"/>
  <c r="DI61" i="2"/>
  <c r="DI60" i="2"/>
  <c r="DX144" i="2"/>
  <c r="DX145" i="2"/>
  <c r="DX86" i="3"/>
  <c r="BJ74" i="5"/>
  <c r="BJ75" i="5"/>
  <c r="CU31" i="5"/>
  <c r="DX123" i="2"/>
  <c r="EH99" i="2" l="1"/>
  <c r="EH101" i="2" s="1"/>
  <c r="AC59" i="2"/>
  <c r="AC61" i="2"/>
  <c r="DN58" i="2"/>
  <c r="DN61" i="2" s="1"/>
  <c r="CQ74" i="3"/>
  <c r="CR74" i="3" s="1"/>
  <c r="Y61" i="2"/>
  <c r="Y59" i="2"/>
  <c r="Z59" i="2"/>
  <c r="AC60" i="2"/>
  <c r="DM58" i="2"/>
  <c r="AY155" i="3"/>
  <c r="BW104" i="4"/>
  <c r="BW99" i="4"/>
  <c r="BW100" i="4"/>
  <c r="DY85" i="2"/>
  <c r="DY86" i="2"/>
  <c r="CU53" i="5"/>
  <c r="CU48" i="5"/>
  <c r="AU74" i="5"/>
  <c r="AU75" i="5"/>
  <c r="BO61" i="5"/>
  <c r="BO60" i="5"/>
  <c r="BO63" i="5"/>
  <c r="BO62" i="5"/>
  <c r="BX79" i="4"/>
  <c r="BX102" i="4"/>
  <c r="BX103" i="4"/>
  <c r="BX68" i="4"/>
  <c r="BX46" i="4"/>
  <c r="BX57" i="4"/>
  <c r="BU26" i="5"/>
  <c r="BV24" i="5"/>
  <c r="BY90" i="2"/>
  <c r="BR126" i="2"/>
  <c r="BR125" i="2"/>
  <c r="BR124" i="2"/>
  <c r="DW176" i="2"/>
  <c r="DW177" i="2"/>
  <c r="CB84" i="4"/>
  <c r="CB95" i="4"/>
  <c r="CB73" i="4"/>
  <c r="CB62" i="4"/>
  <c r="AW61" i="5"/>
  <c r="AW60" i="5"/>
  <c r="AW63" i="5"/>
  <c r="AW62" i="5"/>
  <c r="BA61" i="5"/>
  <c r="CQ59" i="5"/>
  <c r="DX172" i="2"/>
  <c r="DX173" i="2"/>
  <c r="DV104" i="3"/>
  <c r="BP59" i="5"/>
  <c r="BP11" i="5"/>
  <c r="BP34" i="5"/>
  <c r="DK61" i="2"/>
  <c r="DK60" i="2"/>
  <c r="BV105" i="4"/>
  <c r="BV106" i="4"/>
  <c r="CT154" i="3"/>
  <c r="CS155" i="3"/>
  <c r="CS64" i="3"/>
  <c r="CS74" i="3" s="1"/>
  <c r="CT62" i="3"/>
  <c r="EB106" i="3"/>
  <c r="EC96" i="3"/>
  <c r="BQ177" i="2"/>
  <c r="BQ176" i="2"/>
  <c r="BQ175" i="2"/>
  <c r="CV106" i="4"/>
  <c r="BL83" i="5"/>
  <c r="BL84" i="5"/>
  <c r="BL79" i="5"/>
  <c r="BL73" i="5"/>
  <c r="CN79" i="2"/>
  <c r="BN32" i="5"/>
  <c r="BN21" i="5"/>
  <c r="BN33" i="5"/>
  <c r="DE154" i="2"/>
  <c r="DE100" i="2"/>
  <c r="DE101" i="2"/>
  <c r="DE95" i="2"/>
  <c r="EH95" i="2" s="1"/>
  <c r="AW78" i="5"/>
  <c r="AW77" i="5"/>
  <c r="BA78" i="5"/>
  <c r="AS17" i="6"/>
  <c r="AT5" i="6"/>
  <c r="AS7" i="6"/>
  <c r="EY46" i="3"/>
  <c r="EY146" i="3" s="1"/>
  <c r="EY148" i="3" s="1"/>
  <c r="EX146" i="3"/>
  <c r="EX148" i="3" s="1"/>
  <c r="DD97" i="2"/>
  <c r="DD96" i="2"/>
  <c r="EA81" i="3"/>
  <c r="EB81" i="3" s="1"/>
  <c r="DZ84" i="3"/>
  <c r="CS84" i="3"/>
  <c r="CT82" i="3"/>
  <c r="AX59" i="5"/>
  <c r="AX34" i="5"/>
  <c r="AX11" i="5"/>
  <c r="AX10" i="5"/>
  <c r="BB11" i="5"/>
  <c r="CU33" i="5"/>
  <c r="CU21" i="5"/>
  <c r="CU23" i="5" s="1"/>
  <c r="BR141" i="2"/>
  <c r="BR139" i="2"/>
  <c r="BR140" i="2"/>
  <c r="BR174" i="2"/>
  <c r="AU80" i="5"/>
  <c r="AU81" i="5"/>
  <c r="AU70" i="5"/>
  <c r="DZ88" i="3"/>
  <c r="DY93" i="3"/>
  <c r="DY100" i="3" s="1"/>
  <c r="DY104" i="3" s="1"/>
  <c r="DO61" i="2"/>
  <c r="DO60" i="2"/>
  <c r="DP60" i="2"/>
  <c r="BQ64" i="5"/>
  <c r="CV64" i="5" s="1"/>
  <c r="CV66" i="5" s="1"/>
  <c r="BR12" i="5"/>
  <c r="BQ9" i="5"/>
  <c r="BQ37" i="5"/>
  <c r="BQ85" i="5" s="1"/>
  <c r="CV12" i="5"/>
  <c r="CX56" i="4"/>
  <c r="BS144" i="2"/>
  <c r="BS143" i="2"/>
  <c r="BS138" i="2"/>
  <c r="BQ13" i="6"/>
  <c r="AT72" i="5"/>
  <c r="AT71" i="5"/>
  <c r="BN51" i="5"/>
  <c r="BN54" i="5" s="1"/>
  <c r="BN50" i="5"/>
  <c r="BO48" i="5"/>
  <c r="BN27" i="5"/>
  <c r="BM54" i="5"/>
  <c r="AZ93" i="5"/>
  <c r="AY95" i="5"/>
  <c r="CQ76" i="5"/>
  <c r="CQ78" i="5" s="1"/>
  <c r="CQ87" i="5"/>
  <c r="CZ119" i="2"/>
  <c r="CV93" i="3"/>
  <c r="CW88" i="3"/>
  <c r="DY86" i="3"/>
  <c r="AY64" i="5"/>
  <c r="AY9" i="5"/>
  <c r="AY37" i="5"/>
  <c r="AZ12" i="5"/>
  <c r="BW40" i="4"/>
  <c r="BY144" i="3"/>
  <c r="BW148" i="3"/>
  <c r="CX45" i="4"/>
  <c r="CB25" i="4"/>
  <c r="EG117" i="2"/>
  <c r="CQ90" i="2"/>
  <c r="EH27" i="2"/>
  <c r="CM142" i="2"/>
  <c r="CM82" i="2"/>
  <c r="CM80" i="2"/>
  <c r="CM81" i="2"/>
  <c r="BP76" i="5"/>
  <c r="CR87" i="2"/>
  <c r="BJ77" i="3"/>
  <c r="BH76" i="3"/>
  <c r="BI76" i="3" s="1"/>
  <c r="BI77" i="3"/>
  <c r="BX98" i="4"/>
  <c r="BX29" i="4"/>
  <c r="BX90" i="2"/>
  <c r="DZ87" i="2"/>
  <c r="AR19" i="6"/>
  <c r="AR18" i="6"/>
  <c r="AT98" i="5"/>
  <c r="AT97" i="5"/>
  <c r="AT101" i="5"/>
  <c r="BV83" i="2"/>
  <c r="DD152" i="2"/>
  <c r="DD151" i="2"/>
  <c r="CR84" i="3"/>
  <c r="AV32" i="5"/>
  <c r="AV21" i="5"/>
  <c r="AV33" i="5"/>
  <c r="BX35" i="4"/>
  <c r="BY32" i="4"/>
  <c r="BY101" i="4" s="1"/>
  <c r="BY24" i="4" s="1"/>
  <c r="EC144" i="2"/>
  <c r="EC145" i="2"/>
  <c r="AU22" i="5"/>
  <c r="AU23" i="5"/>
  <c r="BM175" i="2"/>
  <c r="BM176" i="2"/>
  <c r="BM177" i="2"/>
  <c r="CZ115" i="2"/>
  <c r="CY117" i="2"/>
  <c r="BU85" i="2"/>
  <c r="BU84" i="2"/>
  <c r="BU86" i="2"/>
  <c r="BU79" i="2"/>
  <c r="BU146" i="2"/>
  <c r="DY146" i="2" s="1"/>
  <c r="CP90" i="2"/>
  <c r="BK74" i="5"/>
  <c r="BK75" i="5"/>
  <c r="BJ71" i="5"/>
  <c r="BJ72" i="5"/>
  <c r="BO31" i="5"/>
  <c r="BO35" i="5"/>
  <c r="BO36" i="5"/>
  <c r="BM82" i="5"/>
  <c r="BM53" i="5"/>
  <c r="BM52" i="5"/>
  <c r="BX24" i="4"/>
  <c r="AV78" i="5"/>
  <c r="AV77" i="5"/>
  <c r="BX144" i="3"/>
  <c r="BX160" i="3" s="1"/>
  <c r="DD156" i="2"/>
  <c r="DD155" i="2"/>
  <c r="BT148" i="2"/>
  <c r="BT147" i="2"/>
  <c r="DE151" i="2"/>
  <c r="DE152" i="2"/>
  <c r="AR14" i="6"/>
  <c r="BN176" i="2"/>
  <c r="BN177" i="2"/>
  <c r="DX174" i="2"/>
  <c r="BN175" i="2"/>
  <c r="BO175" i="2"/>
  <c r="BM22" i="5"/>
  <c r="BM23" i="5"/>
  <c r="AX85" i="5"/>
  <c r="EH150" i="2"/>
  <c r="CL144" i="2"/>
  <c r="CL143" i="2"/>
  <c r="AU92" i="5"/>
  <c r="AV90" i="5"/>
  <c r="AU96" i="5"/>
  <c r="BW102" i="4"/>
  <c r="BW103" i="4"/>
  <c r="BW68" i="4"/>
  <c r="BW57" i="4"/>
  <c r="BW46" i="4"/>
  <c r="BW24" i="4"/>
  <c r="AV84" i="5"/>
  <c r="AV83" i="5"/>
  <c r="AV73" i="5"/>
  <c r="AV79" i="5"/>
  <c r="DX126" i="2"/>
  <c r="DX125" i="2"/>
  <c r="CP93" i="5"/>
  <c r="CP95" i="5" s="1"/>
  <c r="CP98" i="5"/>
  <c r="AS103" i="5"/>
  <c r="AS102" i="5"/>
  <c r="BK80" i="5"/>
  <c r="BK81" i="5"/>
  <c r="BK70" i="5"/>
  <c r="EY49" i="3"/>
  <c r="CP101" i="5"/>
  <c r="BZ36" i="4"/>
  <c r="DZ74" i="3"/>
  <c r="EA74" i="3" s="1"/>
  <c r="EA63" i="3"/>
  <c r="BS238" i="2"/>
  <c r="BS123" i="2"/>
  <c r="BS240" i="2"/>
  <c r="BS239" i="2"/>
  <c r="BS245" i="2"/>
  <c r="CB48" i="4"/>
  <c r="CB51" i="4" s="1"/>
  <c r="CC47" i="4"/>
  <c r="CC48" i="4" s="1"/>
  <c r="CC51" i="4" s="1"/>
  <c r="BZ21" i="4"/>
  <c r="BY26" i="4"/>
  <c r="DL60" i="2"/>
  <c r="DL61" i="2"/>
  <c r="BT95" i="3"/>
  <c r="BS95" i="3"/>
  <c r="BR100" i="3"/>
  <c r="BQ5" i="6"/>
  <c r="CQ97" i="3"/>
  <c r="CP106" i="3"/>
  <c r="BR246" i="2"/>
  <c r="BR247" i="2" s="1"/>
  <c r="AW31" i="5"/>
  <c r="AW35" i="5"/>
  <c r="AW36" i="5"/>
  <c r="BA36" i="5"/>
  <c r="AW82" i="5"/>
  <c r="CQ82" i="5" s="1"/>
  <c r="BT142" i="2"/>
  <c r="BT82" i="2"/>
  <c r="BT80" i="2"/>
  <c r="BT81" i="2"/>
  <c r="BT237" i="2"/>
  <c r="AS13" i="6"/>
  <c r="AT11" i="6"/>
  <c r="CQ34" i="5"/>
  <c r="AX66" i="5"/>
  <c r="AX65" i="5"/>
  <c r="BB66" i="5"/>
  <c r="CC111" i="4" l="1"/>
  <c r="CC110" i="4"/>
  <c r="CX111" i="4"/>
  <c r="BY37" i="4"/>
  <c r="BY40" i="4" s="1"/>
  <c r="CQ86" i="3"/>
  <c r="CR86" i="3" s="1"/>
  <c r="DM61" i="2"/>
  <c r="DN60" i="2"/>
  <c r="DM60" i="2"/>
  <c r="EZ46" i="3"/>
  <c r="EZ148" i="3"/>
  <c r="CA21" i="4"/>
  <c r="BZ26" i="4"/>
  <c r="AV81" i="5"/>
  <c r="AV70" i="5"/>
  <c r="AV80" i="5"/>
  <c r="AY85" i="5"/>
  <c r="BN22" i="5"/>
  <c r="BN23" i="5"/>
  <c r="CQ61" i="5"/>
  <c r="CQ62" i="5"/>
  <c r="CQ63" i="5"/>
  <c r="AT13" i="6"/>
  <c r="AU11" i="6"/>
  <c r="BY103" i="4"/>
  <c r="BY102" i="4"/>
  <c r="BY79" i="4"/>
  <c r="BY68" i="4"/>
  <c r="BY57" i="4"/>
  <c r="BY46" i="4"/>
  <c r="CP103" i="5"/>
  <c r="BX99" i="4"/>
  <c r="BX104" i="4"/>
  <c r="BX100" i="4"/>
  <c r="BW152" i="3"/>
  <c r="BX148" i="3"/>
  <c r="AX35" i="5"/>
  <c r="AX36" i="5"/>
  <c r="AX31" i="5"/>
  <c r="AX82" i="5"/>
  <c r="BB36" i="5"/>
  <c r="BP63" i="5"/>
  <c r="BP60" i="5"/>
  <c r="BP62" i="5"/>
  <c r="BP61" i="5"/>
  <c r="AV92" i="5"/>
  <c r="AV96" i="5"/>
  <c r="AW90" i="5"/>
  <c r="BM79" i="5"/>
  <c r="CU79" i="5" s="1"/>
  <c r="BM84" i="5"/>
  <c r="BM73" i="5"/>
  <c r="BM83" i="5"/>
  <c r="CO79" i="2"/>
  <c r="AS19" i="6"/>
  <c r="AS18" i="6"/>
  <c r="BQ17" i="6"/>
  <c r="BQ8" i="6" s="1"/>
  <c r="CU50" i="5"/>
  <c r="CU27" i="5"/>
  <c r="BS124" i="2"/>
  <c r="BS125" i="2"/>
  <c r="BS126" i="2"/>
  <c r="AV75" i="5"/>
  <c r="AV74" i="5"/>
  <c r="AX76" i="5"/>
  <c r="BZ87" i="2"/>
  <c r="DX176" i="2"/>
  <c r="DX177" i="2"/>
  <c r="CX48" i="4"/>
  <c r="AY59" i="5"/>
  <c r="AY11" i="5"/>
  <c r="AY10" i="5"/>
  <c r="AY34" i="5"/>
  <c r="BC11" i="5"/>
  <c r="DA119" i="2"/>
  <c r="BQ59" i="5"/>
  <c r="BQ11" i="5"/>
  <c r="BQ34" i="5"/>
  <c r="CV34" i="5" s="1"/>
  <c r="AS14" i="6"/>
  <c r="AW33" i="5"/>
  <c r="AW32" i="5"/>
  <c r="AW21" i="5"/>
  <c r="BA33" i="5"/>
  <c r="CQ31" i="5"/>
  <c r="EZ146" i="3"/>
  <c r="DY148" i="2"/>
  <c r="DY149" i="2"/>
  <c r="BU147" i="2"/>
  <c r="BU148" i="2"/>
  <c r="AV22" i="5"/>
  <c r="AV23" i="5"/>
  <c r="DZ89" i="2"/>
  <c r="DZ90" i="2"/>
  <c r="CC25" i="4"/>
  <c r="BZ144" i="3"/>
  <c r="BY148" i="3"/>
  <c r="AY66" i="5"/>
  <c r="AY65" i="5"/>
  <c r="BC66" i="5"/>
  <c r="EH97" i="2"/>
  <c r="BR64" i="5"/>
  <c r="BR37" i="5"/>
  <c r="BS12" i="5"/>
  <c r="BR9" i="5"/>
  <c r="BR175" i="2"/>
  <c r="BR177" i="2"/>
  <c r="BR176" i="2"/>
  <c r="AX63" i="5"/>
  <c r="AX60" i="5"/>
  <c r="AX62" i="5"/>
  <c r="AX61" i="5"/>
  <c r="BB61" i="5"/>
  <c r="DE155" i="2"/>
  <c r="DE156" i="2"/>
  <c r="EH154" i="2"/>
  <c r="BW24" i="5"/>
  <c r="BV26" i="5"/>
  <c r="BU95" i="3"/>
  <c r="BT100" i="3"/>
  <c r="BT104" i="3" s="1"/>
  <c r="BS141" i="2"/>
  <c r="BS139" i="2"/>
  <c r="BS140" i="2"/>
  <c r="BS174" i="2"/>
  <c r="EC81" i="3"/>
  <c r="EB84" i="3"/>
  <c r="BL81" i="5"/>
  <c r="BL80" i="5"/>
  <c r="BL70" i="5"/>
  <c r="BT144" i="2"/>
  <c r="BT138" i="2"/>
  <c r="BT143" i="2"/>
  <c r="BO33" i="5"/>
  <c r="BO32" i="5"/>
  <c r="BO21" i="5"/>
  <c r="BU142" i="2"/>
  <c r="BU82" i="2"/>
  <c r="BU80" i="2"/>
  <c r="BU81" i="2"/>
  <c r="BU237" i="2"/>
  <c r="DY79" i="2"/>
  <c r="BV146" i="2"/>
  <c r="BV84" i="2"/>
  <c r="BV86" i="2"/>
  <c r="BV79" i="2"/>
  <c r="BV85" i="2"/>
  <c r="BO51" i="5"/>
  <c r="BO54" i="5" s="1"/>
  <c r="BO50" i="5"/>
  <c r="BP48" i="5"/>
  <c r="BO27" i="5"/>
  <c r="CV37" i="5"/>
  <c r="CT84" i="3"/>
  <c r="CU82" i="3"/>
  <c r="CU82" i="5"/>
  <c r="CR97" i="3"/>
  <c r="CS97" i="3"/>
  <c r="CQ106" i="3"/>
  <c r="BQ76" i="5"/>
  <c r="CS87" i="2"/>
  <c r="CV85" i="5"/>
  <c r="CT155" i="3"/>
  <c r="CU154" i="3"/>
  <c r="CT64" i="3"/>
  <c r="CT74" i="3" s="1"/>
  <c r="CU62" i="3"/>
  <c r="BQ7" i="6"/>
  <c r="EB63" i="3"/>
  <c r="EC62" i="2"/>
  <c r="AW73" i="5"/>
  <c r="AW79" i="5"/>
  <c r="CQ79" i="5" s="1"/>
  <c r="AW83" i="5"/>
  <c r="AW84" i="5"/>
  <c r="BA84" i="5"/>
  <c r="BR104" i="3"/>
  <c r="BS100" i="3"/>
  <c r="BY29" i="4"/>
  <c r="BS246" i="2"/>
  <c r="BS247" i="2" s="1"/>
  <c r="BK71" i="5"/>
  <c r="BK72" i="5"/>
  <c r="CW101" i="4"/>
  <c r="AT102" i="5"/>
  <c r="AT103" i="5"/>
  <c r="BK77" i="3"/>
  <c r="BJ76" i="3"/>
  <c r="DZ93" i="3"/>
  <c r="EA88" i="3"/>
  <c r="EB88" i="3" s="1"/>
  <c r="CS86" i="3"/>
  <c r="AT17" i="6"/>
  <c r="AT8" i="6"/>
  <c r="AT7" i="6"/>
  <c r="AU5" i="6"/>
  <c r="DE97" i="2"/>
  <c r="DE96" i="2"/>
  <c r="CC84" i="4"/>
  <c r="CC95" i="4"/>
  <c r="CC73" i="4"/>
  <c r="CC62" i="4"/>
  <c r="CN142" i="2"/>
  <c r="CN81" i="2"/>
  <c r="CN82" i="2"/>
  <c r="CN80" i="2"/>
  <c r="EC106" i="3"/>
  <c r="ED96" i="3"/>
  <c r="BW105" i="4"/>
  <c r="BW106" i="4"/>
  <c r="CQ24" i="5"/>
  <c r="CQ36" i="5"/>
  <c r="BA93" i="5"/>
  <c r="AZ95" i="5"/>
  <c r="BT239" i="2"/>
  <c r="BT238" i="2"/>
  <c r="BT240" i="2"/>
  <c r="BT123" i="2"/>
  <c r="BT245" i="2"/>
  <c r="CA36" i="4"/>
  <c r="CQ84" i="5"/>
  <c r="CQ73" i="5"/>
  <c r="CQ75" i="5" s="1"/>
  <c r="AU101" i="5"/>
  <c r="AU97" i="5"/>
  <c r="AU98" i="5"/>
  <c r="BW83" i="2"/>
  <c r="EH153" i="2"/>
  <c r="EH152" i="2"/>
  <c r="CZ117" i="2"/>
  <c r="DA115" i="2"/>
  <c r="BY35" i="4"/>
  <c r="BZ32" i="4"/>
  <c r="BZ101" i="4" s="1"/>
  <c r="CW32" i="4"/>
  <c r="CR90" i="2"/>
  <c r="CM144" i="2"/>
  <c r="CM143" i="2"/>
  <c r="AZ64" i="5"/>
  <c r="AZ37" i="5"/>
  <c r="AZ9" i="5"/>
  <c r="CR12" i="5"/>
  <c r="CW93" i="3"/>
  <c r="BN82" i="5"/>
  <c r="BN53" i="5"/>
  <c r="BN52" i="5"/>
  <c r="CV9" i="5"/>
  <c r="CV11" i="5" s="1"/>
  <c r="AU72" i="5"/>
  <c r="AU71" i="5"/>
  <c r="DZ86" i="3"/>
  <c r="EA86" i="3" s="1"/>
  <c r="EA84" i="3"/>
  <c r="AS8" i="6"/>
  <c r="BL74" i="5"/>
  <c r="BL75" i="5"/>
  <c r="BP35" i="5"/>
  <c r="BP36" i="5"/>
  <c r="BP31" i="5"/>
  <c r="BY98" i="4" l="1"/>
  <c r="CW37" i="4"/>
  <c r="BZ102" i="4"/>
  <c r="BZ103" i="4"/>
  <c r="BZ79" i="4"/>
  <c r="BZ68" i="4"/>
  <c r="BZ46" i="4"/>
  <c r="BZ57" i="4"/>
  <c r="BZ24" i="4"/>
  <c r="CA144" i="3"/>
  <c r="CA148" i="3" s="1"/>
  <c r="CA152" i="3" s="1"/>
  <c r="BZ148" i="3"/>
  <c r="BZ152" i="3" s="1"/>
  <c r="CU84" i="5"/>
  <c r="CU73" i="5"/>
  <c r="CU75" i="5" s="1"/>
  <c r="BO23" i="5"/>
  <c r="BO22" i="5"/>
  <c r="BQ61" i="5"/>
  <c r="BQ60" i="5"/>
  <c r="BQ63" i="5"/>
  <c r="BQ62" i="5"/>
  <c r="CO142" i="2"/>
  <c r="ED142" i="2" s="1"/>
  <c r="CO81" i="2"/>
  <c r="CO82" i="2"/>
  <c r="CO80" i="2"/>
  <c r="BX106" i="4"/>
  <c r="BX105" i="4"/>
  <c r="BT126" i="2"/>
  <c r="BT125" i="2"/>
  <c r="BT124" i="2"/>
  <c r="BL77" i="3"/>
  <c r="BK76" i="3"/>
  <c r="CV82" i="3"/>
  <c r="CU84" i="3"/>
  <c r="BV142" i="2"/>
  <c r="BV81" i="2"/>
  <c r="BV82" i="2"/>
  <c r="BV80" i="2"/>
  <c r="BV237" i="2"/>
  <c r="BU245" i="2"/>
  <c r="BU240" i="2"/>
  <c r="BU123" i="2"/>
  <c r="DY123" i="2" s="1"/>
  <c r="BU238" i="2"/>
  <c r="BU239" i="2"/>
  <c r="BT139" i="2"/>
  <c r="BT140" i="2"/>
  <c r="BT174" i="2"/>
  <c r="BT141" i="2"/>
  <c r="BX24" i="5"/>
  <c r="BW26" i="5"/>
  <c r="BR59" i="5"/>
  <c r="BR11" i="5"/>
  <c r="BS9" i="5"/>
  <c r="BR34" i="5"/>
  <c r="DB119" i="2"/>
  <c r="AY61" i="5"/>
  <c r="AY60" i="5"/>
  <c r="AY62" i="5"/>
  <c r="AY63" i="5"/>
  <c r="BC61" i="5"/>
  <c r="BQ19" i="6"/>
  <c r="BQ14" i="6"/>
  <c r="CW35" i="4"/>
  <c r="CW34" i="4"/>
  <c r="ED106" i="3"/>
  <c r="EE96" i="3"/>
  <c r="BU144" i="2"/>
  <c r="BU138" i="2"/>
  <c r="BU143" i="2"/>
  <c r="AW96" i="5"/>
  <c r="CQ96" i="5" s="1"/>
  <c r="AW92" i="5"/>
  <c r="AX90" i="5"/>
  <c r="BT246" i="2"/>
  <c r="BT247" i="2" s="1"/>
  <c r="AT19" i="6"/>
  <c r="AT18" i="6"/>
  <c r="BP50" i="5"/>
  <c r="BQ48" i="5"/>
  <c r="BP51" i="5"/>
  <c r="BP27" i="5"/>
  <c r="DY82" i="2"/>
  <c r="DY81" i="2"/>
  <c r="AW23" i="5"/>
  <c r="AW22" i="5"/>
  <c r="BA23" i="5"/>
  <c r="AV101" i="5"/>
  <c r="AV97" i="5"/>
  <c r="AV98" i="5"/>
  <c r="BX83" i="2"/>
  <c r="CQ70" i="5"/>
  <c r="CQ72" i="5" s="1"/>
  <c r="CQ81" i="5"/>
  <c r="AU99" i="5"/>
  <c r="BW146" i="2"/>
  <c r="BW86" i="2"/>
  <c r="BW79" i="2"/>
  <c r="BW85" i="2"/>
  <c r="BW84" i="2"/>
  <c r="ED79" i="2"/>
  <c r="AZ59" i="5"/>
  <c r="AZ34" i="5"/>
  <c r="AZ11" i="5"/>
  <c r="AZ10" i="5"/>
  <c r="BA10" i="5"/>
  <c r="BD11" i="5"/>
  <c r="DA117" i="2"/>
  <c r="DB115" i="2"/>
  <c r="CQ27" i="5"/>
  <c r="CQ26" i="5"/>
  <c r="AU17" i="6"/>
  <c r="AU8" i="6" s="1"/>
  <c r="AU7" i="6"/>
  <c r="AV5" i="6"/>
  <c r="CR9" i="5"/>
  <c r="CT86" i="3"/>
  <c r="BO82" i="5"/>
  <c r="BO52" i="5"/>
  <c r="BO53" i="5"/>
  <c r="EC84" i="3"/>
  <c r="ED81" i="3"/>
  <c r="BV95" i="3"/>
  <c r="BU100" i="3"/>
  <c r="BU104" i="3" s="1"/>
  <c r="EH157" i="2"/>
  <c r="EH156" i="2"/>
  <c r="BS64" i="5"/>
  <c r="BS37" i="5"/>
  <c r="BS85" i="5" s="1"/>
  <c r="BT12" i="5"/>
  <c r="CX51" i="4"/>
  <c r="CX50" i="4"/>
  <c r="CX47" i="4"/>
  <c r="BZ90" i="2"/>
  <c r="BM74" i="5"/>
  <c r="BM75" i="5"/>
  <c r="AV71" i="5"/>
  <c r="AV72" i="5"/>
  <c r="DY237" i="2"/>
  <c r="DY239" i="2" s="1"/>
  <c r="CS90" i="2"/>
  <c r="EE87" i="2"/>
  <c r="BV148" i="2"/>
  <c r="BV147" i="2"/>
  <c r="BZ35" i="4"/>
  <c r="CA32" i="4"/>
  <c r="CA37" i="4" s="1"/>
  <c r="CA40" i="4" s="1"/>
  <c r="AV11" i="6"/>
  <c r="AU13" i="6"/>
  <c r="AZ85" i="5"/>
  <c r="CR37" i="5"/>
  <c r="CR28" i="5" s="1"/>
  <c r="BY104" i="4"/>
  <c r="BY99" i="4"/>
  <c r="BY100" i="4"/>
  <c r="AW81" i="5"/>
  <c r="AW80" i="5"/>
  <c r="AW70" i="5"/>
  <c r="BA81" i="5"/>
  <c r="CU81" i="5"/>
  <c r="CU70" i="5"/>
  <c r="CU72" i="5" s="1"/>
  <c r="BS175" i="2"/>
  <c r="BS176" i="2"/>
  <c r="BS177" i="2"/>
  <c r="CQ90" i="5"/>
  <c r="CQ92" i="5" s="1"/>
  <c r="BR85" i="5"/>
  <c r="CV59" i="5"/>
  <c r="AX84" i="5"/>
  <c r="AX73" i="5"/>
  <c r="AX79" i="5"/>
  <c r="AX83" i="5"/>
  <c r="BZ79" i="2"/>
  <c r="BB84" i="5"/>
  <c r="BX152" i="3"/>
  <c r="CB36" i="4"/>
  <c r="EA93" i="3"/>
  <c r="DZ100" i="3"/>
  <c r="BS104" i="3"/>
  <c r="CR106" i="3"/>
  <c r="DV62" i="2"/>
  <c r="DY142" i="2"/>
  <c r="AY76" i="5"/>
  <c r="CA87" i="2"/>
  <c r="BA95" i="5"/>
  <c r="BB93" i="5"/>
  <c r="EB74" i="3"/>
  <c r="EB86" i="3" s="1"/>
  <c r="EC63" i="3"/>
  <c r="CB21" i="4"/>
  <c r="CA26" i="4"/>
  <c r="CV24" i="5"/>
  <c r="CV36" i="5"/>
  <c r="BP33" i="5"/>
  <c r="BP21" i="5"/>
  <c r="BP32" i="5"/>
  <c r="BN84" i="5"/>
  <c r="BN83" i="5"/>
  <c r="BN79" i="5"/>
  <c r="BN73" i="5"/>
  <c r="CP79" i="2"/>
  <c r="AZ66" i="5"/>
  <c r="AZ65" i="5"/>
  <c r="BD66" i="5"/>
  <c r="BA65" i="5"/>
  <c r="CR64" i="5"/>
  <c r="AU102" i="5"/>
  <c r="AU103" i="5"/>
  <c r="BZ37" i="4"/>
  <c r="BZ98" i="4" s="1"/>
  <c r="CN144" i="2"/>
  <c r="CN143" i="2"/>
  <c r="EB93" i="3"/>
  <c r="EB100" i="3" s="1"/>
  <c r="EB104" i="3" s="1"/>
  <c r="EC88" i="3"/>
  <c r="CW103" i="4"/>
  <c r="CW90" i="4"/>
  <c r="CW79" i="4"/>
  <c r="CW68" i="4"/>
  <c r="CW46" i="4"/>
  <c r="CW57" i="4"/>
  <c r="AW75" i="5"/>
  <c r="AW74" i="5"/>
  <c r="BA75" i="5"/>
  <c r="CU155" i="3"/>
  <c r="CV154" i="3"/>
  <c r="CU64" i="3"/>
  <c r="CU106" i="3" s="1"/>
  <c r="CV62" i="3"/>
  <c r="CV76" i="5"/>
  <c r="CV78" i="5" s="1"/>
  <c r="CV87" i="5"/>
  <c r="CT97" i="3"/>
  <c r="CT106" i="3" s="1"/>
  <c r="CS106" i="3"/>
  <c r="CV39" i="5"/>
  <c r="CV28" i="5"/>
  <c r="BL72" i="5"/>
  <c r="BL71" i="5"/>
  <c r="BY152" i="3"/>
  <c r="CQ33" i="5"/>
  <c r="CQ21" i="5"/>
  <c r="CQ23" i="5" s="1"/>
  <c r="BQ36" i="5"/>
  <c r="BQ35" i="5"/>
  <c r="BQ31" i="5"/>
  <c r="AY36" i="5"/>
  <c r="AY35" i="5"/>
  <c r="AY31" i="5"/>
  <c r="AY82" i="5"/>
  <c r="BC36" i="5"/>
  <c r="AX77" i="5"/>
  <c r="AX78" i="5"/>
  <c r="BB78" i="5"/>
  <c r="BM80" i="5"/>
  <c r="BM81" i="5"/>
  <c r="BM70" i="5"/>
  <c r="AX33" i="5"/>
  <c r="AX21" i="5"/>
  <c r="AX32" i="5"/>
  <c r="BB33" i="5"/>
  <c r="AT14" i="6"/>
  <c r="CS37" i="5"/>
  <c r="BZ29" i="4"/>
  <c r="AU14" i="6" l="1"/>
  <c r="CW98" i="4"/>
  <c r="CA101" i="4"/>
  <c r="CA24" i="4" s="1"/>
  <c r="CU74" i="3"/>
  <c r="CC148" i="3"/>
  <c r="BU246" i="2"/>
  <c r="BU247" i="2" s="1"/>
  <c r="BZ100" i="4"/>
  <c r="BZ99" i="4"/>
  <c r="BZ104" i="4"/>
  <c r="BQ32" i="5"/>
  <c r="BQ21" i="5"/>
  <c r="BQ33" i="5"/>
  <c r="DY145" i="2"/>
  <c r="DY144" i="2"/>
  <c r="AZ76" i="5"/>
  <c r="CB87" i="2"/>
  <c r="EA87" i="2" s="1"/>
  <c r="CP142" i="2"/>
  <c r="CP81" i="2"/>
  <c r="CP82" i="2"/>
  <c r="CP80" i="2"/>
  <c r="CV26" i="5"/>
  <c r="BZ142" i="2"/>
  <c r="BZ82" i="2"/>
  <c r="BZ81" i="2"/>
  <c r="CD81" i="2"/>
  <c r="BW142" i="2"/>
  <c r="BW81" i="2"/>
  <c r="BW82" i="2"/>
  <c r="BW80" i="2"/>
  <c r="AX96" i="5"/>
  <c r="AX92" i="5"/>
  <c r="AY90" i="5"/>
  <c r="BY24" i="5"/>
  <c r="BX26" i="5"/>
  <c r="BV144" i="2"/>
  <c r="BV138" i="2"/>
  <c r="BV143" i="2"/>
  <c r="CV155" i="3"/>
  <c r="CX154" i="3"/>
  <c r="DB154" i="3" s="1"/>
  <c r="DB155" i="3" s="1"/>
  <c r="CV64" i="3"/>
  <c r="CW64" i="3" s="1"/>
  <c r="CX62" i="3"/>
  <c r="CW62" i="3"/>
  <c r="CR66" i="5"/>
  <c r="CS66" i="5"/>
  <c r="BB95" i="5"/>
  <c r="BC93" i="5"/>
  <c r="CV61" i="5"/>
  <c r="CV63" i="5"/>
  <c r="CV62" i="5"/>
  <c r="AW71" i="5"/>
  <c r="AW72" i="5"/>
  <c r="BA72" i="5"/>
  <c r="BP54" i="5"/>
  <c r="AU18" i="6"/>
  <c r="AU19" i="6"/>
  <c r="ED81" i="2"/>
  <c r="ED82" i="2"/>
  <c r="BT9" i="5"/>
  <c r="BS5" i="5"/>
  <c r="BS11" i="5"/>
  <c r="BS59" i="5"/>
  <c r="BS34" i="5"/>
  <c r="BV238" i="2"/>
  <c r="BV240" i="2"/>
  <c r="BV245" i="2"/>
  <c r="BV239" i="2"/>
  <c r="BV123" i="2"/>
  <c r="BW237" i="2"/>
  <c r="CU86" i="3"/>
  <c r="CO143" i="2"/>
  <c r="CO144" i="2"/>
  <c r="CR85" i="5"/>
  <c r="EC74" i="3"/>
  <c r="EC86" i="3" s="1"/>
  <c r="ED63" i="3"/>
  <c r="BO73" i="5"/>
  <c r="BO83" i="5"/>
  <c r="BO79" i="5"/>
  <c r="BO84" i="5"/>
  <c r="CQ79" i="2"/>
  <c r="AZ36" i="5"/>
  <c r="AZ35" i="5"/>
  <c r="AZ31" i="5"/>
  <c r="BA35" i="5"/>
  <c r="AZ82" i="5"/>
  <c r="BD36" i="5"/>
  <c r="CR34" i="5"/>
  <c r="DY125" i="2"/>
  <c r="DY126" i="2"/>
  <c r="ED88" i="3"/>
  <c r="EC93" i="3"/>
  <c r="EC100" i="3" s="1"/>
  <c r="EC104" i="3" s="1"/>
  <c r="AZ62" i="5"/>
  <c r="AZ61" i="5"/>
  <c r="AZ63" i="5"/>
  <c r="AZ60" i="5"/>
  <c r="BA60" i="5"/>
  <c r="BD61" i="5"/>
  <c r="CR59" i="5"/>
  <c r="BQ51" i="5"/>
  <c r="CV51" i="5" s="1"/>
  <c r="BR48" i="5"/>
  <c r="BQ50" i="5"/>
  <c r="BQ27" i="5"/>
  <c r="BR36" i="5"/>
  <c r="BR35" i="5"/>
  <c r="BR31" i="5"/>
  <c r="CC144" i="3"/>
  <c r="CC160" i="3" s="1"/>
  <c r="AY79" i="5"/>
  <c r="AY83" i="5"/>
  <c r="AY84" i="5"/>
  <c r="AY73" i="5"/>
  <c r="CA79" i="2"/>
  <c r="BC84" i="5"/>
  <c r="BP23" i="5"/>
  <c r="BP22" i="5"/>
  <c r="CA98" i="4"/>
  <c r="CA29" i="4"/>
  <c r="BY105" i="4"/>
  <c r="BY106" i="4"/>
  <c r="AX23" i="5"/>
  <c r="AX22" i="5"/>
  <c r="BB23" i="5"/>
  <c r="AY32" i="5"/>
  <c r="AY21" i="5"/>
  <c r="AY33" i="5"/>
  <c r="BC33" i="5"/>
  <c r="ED144" i="2"/>
  <c r="ED145" i="2"/>
  <c r="BN75" i="5"/>
  <c r="BN74" i="5"/>
  <c r="BX155" i="3"/>
  <c r="AX80" i="5"/>
  <c r="AX70" i="5"/>
  <c r="AX81" i="5"/>
  <c r="BB81" i="5"/>
  <c r="BT64" i="5"/>
  <c r="BT37" i="5"/>
  <c r="BU12" i="5"/>
  <c r="CW12" i="5" s="1"/>
  <c r="BW148" i="2"/>
  <c r="BW147" i="2"/>
  <c r="AW101" i="5"/>
  <c r="AW97" i="5"/>
  <c r="AW98" i="5"/>
  <c r="BY83" i="2"/>
  <c r="CV84" i="3"/>
  <c r="CW82" i="3"/>
  <c r="CV31" i="5"/>
  <c r="BP82" i="5"/>
  <c r="BP52" i="5"/>
  <c r="BP53" i="5"/>
  <c r="BQ54" i="5"/>
  <c r="BZ40" i="4"/>
  <c r="BN81" i="5"/>
  <c r="BN70" i="5"/>
  <c r="BN80" i="5"/>
  <c r="CC21" i="4"/>
  <c r="CB26" i="4"/>
  <c r="CA90" i="2"/>
  <c r="AX74" i="5"/>
  <c r="AX75" i="5"/>
  <c r="BB75" i="5"/>
  <c r="BR76" i="5"/>
  <c r="CT87" i="2"/>
  <c r="AV13" i="6"/>
  <c r="AW11" i="6"/>
  <c r="BS76" i="5"/>
  <c r="CU87" i="2"/>
  <c r="BV100" i="3"/>
  <c r="BV104" i="3" s="1"/>
  <c r="BW95" i="3"/>
  <c r="CR11" i="5"/>
  <c r="CS11" i="5"/>
  <c r="AV103" i="5"/>
  <c r="AV102" i="5"/>
  <c r="DC119" i="2"/>
  <c r="BT176" i="2"/>
  <c r="BT177" i="2"/>
  <c r="BT175" i="2"/>
  <c r="CQ93" i="5"/>
  <c r="CQ95" i="5" s="1"/>
  <c r="CQ98" i="5"/>
  <c r="CC36" i="4"/>
  <c r="BX146" i="2"/>
  <c r="BX79" i="2"/>
  <c r="BX85" i="2"/>
  <c r="BX84" i="2"/>
  <c r="BX86" i="2"/>
  <c r="EE106" i="3"/>
  <c r="EF96" i="3"/>
  <c r="CS28" i="5"/>
  <c r="CT39" i="5"/>
  <c r="BM72" i="5"/>
  <c r="BM71" i="5"/>
  <c r="CC152" i="3"/>
  <c r="AY78" i="5"/>
  <c r="AY77" i="5"/>
  <c r="BC78" i="5"/>
  <c r="DZ104" i="3"/>
  <c r="EA100" i="3"/>
  <c r="CR82" i="5"/>
  <c r="CB32" i="4"/>
  <c r="CB37" i="4" s="1"/>
  <c r="EE90" i="2"/>
  <c r="EE81" i="3"/>
  <c r="ED84" i="3"/>
  <c r="AV17" i="6"/>
  <c r="AV14" i="6" s="1"/>
  <c r="AW5" i="6"/>
  <c r="BR5" i="6" s="1"/>
  <c r="AV7" i="6"/>
  <c r="DB117" i="2"/>
  <c r="DC115" i="2"/>
  <c r="DY245" i="2"/>
  <c r="BU140" i="2"/>
  <c r="BU139" i="2"/>
  <c r="BU141" i="2"/>
  <c r="BU174" i="2"/>
  <c r="DY174" i="2" s="1"/>
  <c r="DY138" i="2"/>
  <c r="BR62" i="5"/>
  <c r="BR61" i="5"/>
  <c r="BR63" i="5"/>
  <c r="BR60" i="5"/>
  <c r="BU125" i="2"/>
  <c r="BU126" i="2"/>
  <c r="BU124" i="2"/>
  <c r="BM77" i="3"/>
  <c r="BL76" i="3"/>
  <c r="CA102" i="4" l="1"/>
  <c r="CA35" i="4"/>
  <c r="CA46" i="4"/>
  <c r="CA103" i="4"/>
  <c r="CA79" i="4"/>
  <c r="CW104" i="4"/>
  <c r="CW100" i="4"/>
  <c r="CA57" i="4"/>
  <c r="CA68" i="4"/>
  <c r="CV106" i="3"/>
  <c r="CV74" i="3"/>
  <c r="CW74" i="3" s="1"/>
  <c r="EA90" i="2"/>
  <c r="DY177" i="2"/>
  <c r="DY176" i="2"/>
  <c r="CB40" i="4"/>
  <c r="BX237" i="2"/>
  <c r="BX142" i="2"/>
  <c r="BX81" i="2"/>
  <c r="BX82" i="2"/>
  <c r="BX80" i="2"/>
  <c r="CV33" i="5"/>
  <c r="CV21" i="5"/>
  <c r="CV23" i="5" s="1"/>
  <c r="BO75" i="5"/>
  <c r="BO74" i="5"/>
  <c r="BW138" i="2"/>
  <c r="BW143" i="2"/>
  <c r="BW144" i="2"/>
  <c r="BT85" i="5"/>
  <c r="AY74" i="5"/>
  <c r="AY75" i="5"/>
  <c r="BC75" i="5"/>
  <c r="CR36" i="5"/>
  <c r="CR24" i="5"/>
  <c r="CS36" i="5"/>
  <c r="BS62" i="5"/>
  <c r="BS7" i="5"/>
  <c r="BS6" i="5"/>
  <c r="BS56" i="5"/>
  <c r="BD93" i="5"/>
  <c r="BC95" i="5"/>
  <c r="AZ78" i="5"/>
  <c r="AZ77" i="5"/>
  <c r="BA77" i="5"/>
  <c r="BD78" i="5"/>
  <c r="EG96" i="3"/>
  <c r="EF106" i="3"/>
  <c r="AW103" i="5"/>
  <c r="AW102" i="5"/>
  <c r="CQ101" i="5"/>
  <c r="CB90" i="2"/>
  <c r="BR7" i="6"/>
  <c r="BX148" i="2"/>
  <c r="BX147" i="2"/>
  <c r="AX71" i="5"/>
  <c r="AX72" i="5"/>
  <c r="BB72" i="5"/>
  <c r="BQ82" i="5"/>
  <c r="CV82" i="5" s="1"/>
  <c r="BQ52" i="5"/>
  <c r="BQ53" i="5"/>
  <c r="AV8" i="6"/>
  <c r="EA104" i="3"/>
  <c r="CB29" i="4"/>
  <c r="CB98" i="4"/>
  <c r="BN71" i="5"/>
  <c r="BN72" i="5"/>
  <c r="CV86" i="3"/>
  <c r="CW86" i="3" s="1"/>
  <c r="CW84" i="3"/>
  <c r="CA104" i="4"/>
  <c r="CA100" i="4"/>
  <c r="CA99" i="4"/>
  <c r="CR61" i="5"/>
  <c r="CR62" i="5"/>
  <c r="CR63" i="5"/>
  <c r="CS61" i="5"/>
  <c r="CQ81" i="2"/>
  <c r="CQ82" i="2"/>
  <c r="CQ80" i="2"/>
  <c r="CQ142" i="2"/>
  <c r="EE63" i="3"/>
  <c r="ED74" i="3"/>
  <c r="ED86" i="3" s="1"/>
  <c r="BT11" i="5"/>
  <c r="BU9" i="5"/>
  <c r="BT5" i="5"/>
  <c r="BT59" i="5"/>
  <c r="BT34" i="5"/>
  <c r="DW62" i="2"/>
  <c r="CW106" i="3"/>
  <c r="BZ24" i="5"/>
  <c r="BY26" i="5"/>
  <c r="AX101" i="5"/>
  <c r="AX97" i="5"/>
  <c r="AX98" i="5"/>
  <c r="BZ83" i="2"/>
  <c r="BZ144" i="2"/>
  <c r="CD144" i="2"/>
  <c r="BZ106" i="4"/>
  <c r="BZ105" i="4"/>
  <c r="CR84" i="5"/>
  <c r="CR73" i="5"/>
  <c r="CS84" i="5"/>
  <c r="CT90" i="2"/>
  <c r="CV48" i="5"/>
  <c r="CV53" i="5"/>
  <c r="CA142" i="2"/>
  <c r="CA82" i="2"/>
  <c r="CA80" i="2"/>
  <c r="CA81" i="2"/>
  <c r="CE81" i="2"/>
  <c r="BR32" i="5"/>
  <c r="BR33" i="5"/>
  <c r="BR21" i="5"/>
  <c r="BV246" i="2"/>
  <c r="BV247" i="2" s="1"/>
  <c r="AZ90" i="5"/>
  <c r="AY96" i="5"/>
  <c r="AY92" i="5"/>
  <c r="DY140" i="2"/>
  <c r="DY141" i="2"/>
  <c r="DD115" i="2"/>
  <c r="DC117" i="2"/>
  <c r="DD119" i="2"/>
  <c r="AX11" i="6"/>
  <c r="AW13" i="6"/>
  <c r="BY146" i="2"/>
  <c r="DZ146" i="2" s="1"/>
  <c r="BY85" i="2"/>
  <c r="BY84" i="2"/>
  <c r="BY86" i="2"/>
  <c r="BY79" i="2"/>
  <c r="DZ83" i="2"/>
  <c r="AZ83" i="5"/>
  <c r="AZ84" i="5"/>
  <c r="AZ73" i="5"/>
  <c r="AZ79" i="5"/>
  <c r="CB79" i="2"/>
  <c r="EA79" i="2" s="1"/>
  <c r="BA83" i="5"/>
  <c r="BD84" i="5"/>
  <c r="BW239" i="2"/>
  <c r="BW240" i="2"/>
  <c r="BW245" i="2"/>
  <c r="BW238" i="2"/>
  <c r="BW123" i="2"/>
  <c r="CX155" i="3"/>
  <c r="CY154" i="3"/>
  <c r="CY62" i="3"/>
  <c r="CX64" i="3"/>
  <c r="CX74" i="3" s="1"/>
  <c r="CX86" i="3" s="1"/>
  <c r="CP143" i="2"/>
  <c r="CP144" i="2"/>
  <c r="AY23" i="5"/>
  <c r="AY22" i="5"/>
  <c r="BC23" i="5"/>
  <c r="CC32" i="4"/>
  <c r="CC37" i="4" s="1"/>
  <c r="CC40" i="4" s="1"/>
  <c r="BX95" i="3"/>
  <c r="BY95" i="3"/>
  <c r="BW100" i="3"/>
  <c r="CC26" i="4"/>
  <c r="AY80" i="5"/>
  <c r="AY70" i="5"/>
  <c r="AY81" i="5"/>
  <c r="BC81" i="5"/>
  <c r="ED93" i="3"/>
  <c r="ED100" i="3" s="1"/>
  <c r="ED104" i="3" s="1"/>
  <c r="EE88" i="3"/>
  <c r="BO81" i="5"/>
  <c r="BO80" i="5"/>
  <c r="BO70" i="5"/>
  <c r="CR87" i="5"/>
  <c r="CR76" i="5"/>
  <c r="CS87" i="5"/>
  <c r="BV126" i="2"/>
  <c r="BV124" i="2"/>
  <c r="BV125" i="2"/>
  <c r="BZ125" i="2"/>
  <c r="BS35" i="5"/>
  <c r="BS31" i="5"/>
  <c r="BS36" i="5"/>
  <c r="CU90" i="2"/>
  <c r="BU37" i="5"/>
  <c r="BU85" i="5" s="1"/>
  <c r="BU64" i="5"/>
  <c r="CW64" i="5" s="1"/>
  <c r="CW66" i="5" s="1"/>
  <c r="BV12" i="5"/>
  <c r="CX12" i="5" s="1"/>
  <c r="BR51" i="5"/>
  <c r="BR50" i="5"/>
  <c r="BS48" i="5"/>
  <c r="BR27" i="5"/>
  <c r="EF81" i="3"/>
  <c r="EG81" i="3" s="1"/>
  <c r="EE84" i="3"/>
  <c r="BU175" i="2"/>
  <c r="BU176" i="2"/>
  <c r="BU177" i="2"/>
  <c r="AW17" i="6"/>
  <c r="AW8" i="6" s="1"/>
  <c r="AW7" i="6"/>
  <c r="AX5" i="6"/>
  <c r="BN77" i="3"/>
  <c r="BM76" i="3"/>
  <c r="BN76" i="3" s="1"/>
  <c r="BO77" i="3"/>
  <c r="AV19" i="6"/>
  <c r="AV18" i="6"/>
  <c r="CV107" i="2"/>
  <c r="CB101" i="4"/>
  <c r="CB35" i="4" s="1"/>
  <c r="BP84" i="5"/>
  <c r="BP73" i="5"/>
  <c r="BP83" i="5"/>
  <c r="BP79" i="5"/>
  <c r="CR79" i="2"/>
  <c r="AZ32" i="5"/>
  <c r="AZ33" i="5"/>
  <c r="AZ21" i="5"/>
  <c r="BA32" i="5"/>
  <c r="BD33" i="5"/>
  <c r="CR31" i="5"/>
  <c r="BS60" i="5"/>
  <c r="BS61" i="5"/>
  <c r="BS63" i="5"/>
  <c r="BV140" i="2"/>
  <c r="BV141" i="2"/>
  <c r="BV139" i="2"/>
  <c r="BV174" i="2"/>
  <c r="BQ23" i="5"/>
  <c r="BQ22" i="5"/>
  <c r="BR11" i="6"/>
  <c r="CW37" i="5" l="1"/>
  <c r="CW106" i="4"/>
  <c r="CC101" i="4"/>
  <c r="CC24" i="4" s="1"/>
  <c r="CX32" i="4"/>
  <c r="CX34" i="4" s="1"/>
  <c r="CX106" i="3"/>
  <c r="DZ148" i="2"/>
  <c r="DZ149" i="2"/>
  <c r="CV73" i="5"/>
  <c r="CV75" i="5" s="1"/>
  <c r="CV84" i="5"/>
  <c r="BP80" i="5"/>
  <c r="BP70" i="5"/>
  <c r="BP81" i="5"/>
  <c r="AZ74" i="5"/>
  <c r="AZ75" i="5"/>
  <c r="BA74" i="5"/>
  <c r="BD75" i="5"/>
  <c r="CV50" i="5"/>
  <c r="CV27" i="5"/>
  <c r="BV175" i="2"/>
  <c r="BV176" i="2"/>
  <c r="BV177" i="2"/>
  <c r="AV22" i="6"/>
  <c r="CV162" i="2"/>
  <c r="CV109" i="2"/>
  <c r="CV108" i="2"/>
  <c r="EF84" i="3"/>
  <c r="CQ144" i="2"/>
  <c r="CQ143" i="2"/>
  <c r="BT76" i="5"/>
  <c r="CV87" i="2"/>
  <c r="CW85" i="5"/>
  <c r="AX102" i="5"/>
  <c r="AX103" i="5"/>
  <c r="BT62" i="5"/>
  <c r="BT6" i="5"/>
  <c r="BT7" i="5"/>
  <c r="BT56" i="5"/>
  <c r="CQ103" i="5"/>
  <c r="BR82" i="5"/>
  <c r="BR52" i="5"/>
  <c r="BR53" i="5"/>
  <c r="CC98" i="4"/>
  <c r="CC29" i="4"/>
  <c r="DE115" i="2"/>
  <c r="DD117" i="2"/>
  <c r="CA106" i="4"/>
  <c r="CA105" i="4"/>
  <c r="AZ23" i="5"/>
  <c r="AZ22" i="5"/>
  <c r="BA22" i="5"/>
  <c r="BD23" i="5"/>
  <c r="BP74" i="5"/>
  <c r="BP75" i="5"/>
  <c r="EG84" i="3"/>
  <c r="EH81" i="3"/>
  <c r="BY237" i="2"/>
  <c r="BY81" i="2"/>
  <c r="BY82" i="2"/>
  <c r="BY80" i="2"/>
  <c r="BY142" i="2"/>
  <c r="CC81" i="2"/>
  <c r="DZ79" i="2"/>
  <c r="BZ80" i="2"/>
  <c r="BR23" i="5"/>
  <c r="BR22" i="5"/>
  <c r="BO71" i="5"/>
  <c r="BO72" i="5"/>
  <c r="CA125" i="2"/>
  <c r="BW124" i="2"/>
  <c r="BW126" i="2"/>
  <c r="BW125" i="2"/>
  <c r="AY11" i="6"/>
  <c r="AX13" i="6"/>
  <c r="BU5" i="5"/>
  <c r="CW5" i="5" s="1"/>
  <c r="BU11" i="5"/>
  <c r="BV9" i="5"/>
  <c r="BU59" i="5"/>
  <c r="CW59" i="5" s="1"/>
  <c r="BU34" i="5"/>
  <c r="CW34" i="5" s="1"/>
  <c r="CW9" i="5"/>
  <c r="CW11" i="5" s="1"/>
  <c r="BQ83" i="5"/>
  <c r="BQ79" i="5"/>
  <c r="BQ84" i="5"/>
  <c r="BQ73" i="5"/>
  <c r="CS79" i="2"/>
  <c r="EG106" i="3"/>
  <c r="EH96" i="3"/>
  <c r="BX143" i="2"/>
  <c r="BX138" i="2"/>
  <c r="BX144" i="2"/>
  <c r="CX37" i="4"/>
  <c r="EF88" i="3"/>
  <c r="EG88" i="3" s="1"/>
  <c r="EE93" i="3"/>
  <c r="DZ85" i="2"/>
  <c r="DZ86" i="2"/>
  <c r="DE119" i="2"/>
  <c r="EF63" i="3"/>
  <c r="EE74" i="3"/>
  <c r="EF74" i="3" s="1"/>
  <c r="CW28" i="5"/>
  <c r="CW39" i="5"/>
  <c r="CR78" i="5"/>
  <c r="CS78" i="5"/>
  <c r="BR54" i="5"/>
  <c r="BT60" i="5"/>
  <c r="BT61" i="5"/>
  <c r="BT63" i="5"/>
  <c r="AX17" i="6"/>
  <c r="AX14" i="6" s="1"/>
  <c r="AX7" i="6"/>
  <c r="AY5" i="6"/>
  <c r="BV64" i="5"/>
  <c r="BV37" i="5"/>
  <c r="BW12" i="5"/>
  <c r="CY12" i="5" s="1"/>
  <c r="BX100" i="3"/>
  <c r="BW104" i="3"/>
  <c r="CR33" i="5"/>
  <c r="CR21" i="5"/>
  <c r="CS33" i="5"/>
  <c r="CB102" i="4"/>
  <c r="CB90" i="4"/>
  <c r="CB103" i="4"/>
  <c r="CB79" i="4"/>
  <c r="CB68" i="4"/>
  <c r="CB57" i="4"/>
  <c r="CB46" i="4"/>
  <c r="CB24" i="4"/>
  <c r="BS51" i="5"/>
  <c r="BS54" i="5" s="1"/>
  <c r="BS50" i="5"/>
  <c r="BT48" i="5"/>
  <c r="BS27" i="5"/>
  <c r="BU76" i="5"/>
  <c r="CW87" i="2"/>
  <c r="AY71" i="5"/>
  <c r="AY72" i="5"/>
  <c r="BC72" i="5"/>
  <c r="BZ95" i="3"/>
  <c r="BY100" i="3"/>
  <c r="BY104" i="3" s="1"/>
  <c r="CB142" i="2"/>
  <c r="CB81" i="2"/>
  <c r="CB82" i="2"/>
  <c r="CB80" i="2"/>
  <c r="CC80" i="2"/>
  <c r="CF81" i="2"/>
  <c r="AY98" i="5"/>
  <c r="AY97" i="5"/>
  <c r="AY101" i="5"/>
  <c r="CA83" i="2"/>
  <c r="CA144" i="2"/>
  <c r="CA143" i="2"/>
  <c r="CE144" i="2"/>
  <c r="BZ85" i="2"/>
  <c r="BZ84" i="2"/>
  <c r="BZ146" i="2"/>
  <c r="BZ86" i="2"/>
  <c r="BD95" i="5"/>
  <c r="BE93" i="5"/>
  <c r="BS20" i="5"/>
  <c r="BS19" i="5"/>
  <c r="BS67" i="5"/>
  <c r="BW141" i="2"/>
  <c r="BW139" i="2"/>
  <c r="BW140" i="2"/>
  <c r="BW174" i="2"/>
  <c r="BX245" i="2"/>
  <c r="BX240" i="2"/>
  <c r="BX239" i="2"/>
  <c r="BX238" i="2"/>
  <c r="BX123" i="2"/>
  <c r="BY148" i="2"/>
  <c r="BY147" i="2"/>
  <c r="BT31" i="5"/>
  <c r="BT36" i="5"/>
  <c r="BT35" i="5"/>
  <c r="BR13" i="6"/>
  <c r="CR27" i="5"/>
  <c r="CR26" i="5"/>
  <c r="CS26" i="5"/>
  <c r="EA82" i="2"/>
  <c r="EB81" i="2"/>
  <c r="CR142" i="2"/>
  <c r="CR82" i="2"/>
  <c r="CR80" i="2"/>
  <c r="CR81" i="2"/>
  <c r="BO76" i="3"/>
  <c r="BP77" i="3"/>
  <c r="AW18" i="6"/>
  <c r="AW19" i="6"/>
  <c r="CW107" i="2"/>
  <c r="EF107" i="2" s="1"/>
  <c r="BR17" i="6"/>
  <c r="BS33" i="5"/>
  <c r="BS32" i="5"/>
  <c r="BS21" i="5"/>
  <c r="CZ154" i="3"/>
  <c r="CY155" i="3"/>
  <c r="CY64" i="3"/>
  <c r="CY74" i="3" s="1"/>
  <c r="CY86" i="3" s="1"/>
  <c r="CZ62" i="3"/>
  <c r="BW246" i="2"/>
  <c r="BW247" i="2" s="1"/>
  <c r="AZ81" i="5"/>
  <c r="AZ80" i="5"/>
  <c r="AZ70" i="5"/>
  <c r="BA80" i="5"/>
  <c r="BD81" i="5"/>
  <c r="AW14" i="6"/>
  <c r="AZ96" i="5"/>
  <c r="AZ92" i="5"/>
  <c r="BA90" i="5"/>
  <c r="CR75" i="5"/>
  <c r="CS75" i="5"/>
  <c r="BZ26" i="5"/>
  <c r="CA24" i="5"/>
  <c r="CB100" i="4"/>
  <c r="CB104" i="4"/>
  <c r="CB99" i="4"/>
  <c r="BS58" i="5"/>
  <c r="BS57" i="5"/>
  <c r="CR79" i="5"/>
  <c r="AX8" i="6" l="1"/>
  <c r="CC68" i="4"/>
  <c r="CC79" i="4"/>
  <c r="CC90" i="4"/>
  <c r="CX101" i="4"/>
  <c r="CX79" i="4" s="1"/>
  <c r="CC103" i="4"/>
  <c r="CC35" i="4"/>
  <c r="CC46" i="4"/>
  <c r="CC102" i="4"/>
  <c r="CC57" i="4"/>
  <c r="EF109" i="2"/>
  <c r="BW9" i="5"/>
  <c r="BV11" i="5"/>
  <c r="BV5" i="5"/>
  <c r="BV59" i="5"/>
  <c r="BV34" i="5"/>
  <c r="DE117" i="2"/>
  <c r="CA85" i="2"/>
  <c r="CA84" i="2"/>
  <c r="CA146" i="2"/>
  <c r="CA86" i="2"/>
  <c r="EE100" i="3"/>
  <c r="EF93" i="3"/>
  <c r="BR83" i="5"/>
  <c r="BR79" i="5"/>
  <c r="BR84" i="5"/>
  <c r="BR73" i="5"/>
  <c r="CT79" i="2"/>
  <c r="CR144" i="2"/>
  <c r="CR143" i="2"/>
  <c r="BW177" i="2"/>
  <c r="BW176" i="2"/>
  <c r="BW175" i="2"/>
  <c r="AY102" i="5"/>
  <c r="AY103" i="5"/>
  <c r="CA95" i="3"/>
  <c r="BZ100" i="3"/>
  <c r="BZ104" i="3" s="1"/>
  <c r="CW61" i="5"/>
  <c r="CW63" i="5"/>
  <c r="EG93" i="3"/>
  <c r="EG100" i="3" s="1"/>
  <c r="EG104" i="3" s="1"/>
  <c r="EH88" i="3"/>
  <c r="EI96" i="3"/>
  <c r="EH106" i="3"/>
  <c r="BU62" i="5"/>
  <c r="BU7" i="5"/>
  <c r="BU6" i="5"/>
  <c r="BU56" i="5"/>
  <c r="CW56" i="5" s="1"/>
  <c r="CC104" i="4"/>
  <c r="CC99" i="4"/>
  <c r="CC100" i="4"/>
  <c r="CX98" i="4"/>
  <c r="BT20" i="5"/>
  <c r="BT19" i="5"/>
  <c r="BT67" i="5"/>
  <c r="EF87" i="2"/>
  <c r="EE86" i="3"/>
  <c r="EF86" i="3" s="1"/>
  <c r="AV23" i="6"/>
  <c r="AV24" i="6"/>
  <c r="CB144" i="2"/>
  <c r="CB143" i="2"/>
  <c r="CC143" i="2"/>
  <c r="CF144" i="2"/>
  <c r="EA142" i="2"/>
  <c r="BT58" i="5"/>
  <c r="BT57" i="5"/>
  <c r="AX19" i="6"/>
  <c r="AX18" i="6"/>
  <c r="CX107" i="2"/>
  <c r="CW7" i="5"/>
  <c r="CW62" i="5"/>
  <c r="CY106" i="3"/>
  <c r="BT51" i="5"/>
  <c r="BT50" i="5"/>
  <c r="BU48" i="5"/>
  <c r="BT27" i="5"/>
  <c r="AY17" i="6"/>
  <c r="AY8" i="6"/>
  <c r="AZ5" i="6"/>
  <c r="AY7" i="6"/>
  <c r="AY13" i="6"/>
  <c r="AZ11" i="6"/>
  <c r="AY14" i="6"/>
  <c r="BY144" i="2"/>
  <c r="BY143" i="2"/>
  <c r="BY138" i="2"/>
  <c r="DZ138" i="2" s="1"/>
  <c r="CC144" i="2"/>
  <c r="DZ142" i="2"/>
  <c r="BZ143" i="2"/>
  <c r="EH115" i="2"/>
  <c r="BP71" i="5"/>
  <c r="BP72" i="5"/>
  <c r="BS68" i="5"/>
  <c r="BS69" i="5"/>
  <c r="BQ77" i="3"/>
  <c r="BP76" i="3"/>
  <c r="BX104" i="3"/>
  <c r="BQ80" i="5"/>
  <c r="BQ70" i="5"/>
  <c r="BQ81" i="5"/>
  <c r="BY238" i="2"/>
  <c r="BY240" i="2"/>
  <c r="BY245" i="2"/>
  <c r="BY239" i="2"/>
  <c r="BY123" i="2"/>
  <c r="DZ237" i="2"/>
  <c r="DZ239" i="2" s="1"/>
  <c r="CW76" i="5"/>
  <c r="CW78" i="5" s="1"/>
  <c r="CW87" i="5"/>
  <c r="CV164" i="2"/>
  <c r="CV163" i="2"/>
  <c r="CS142" i="2"/>
  <c r="CS82" i="2"/>
  <c r="CS80" i="2"/>
  <c r="CS81" i="2"/>
  <c r="BU31" i="5"/>
  <c r="BU35" i="5"/>
  <c r="BU36" i="5"/>
  <c r="EI81" i="3"/>
  <c r="EH84" i="3"/>
  <c r="CW24" i="5"/>
  <c r="CW36" i="5"/>
  <c r="CX103" i="4"/>
  <c r="CX57" i="4"/>
  <c r="BW64" i="5"/>
  <c r="BX12" i="5"/>
  <c r="BW37" i="5"/>
  <c r="BW85" i="5" s="1"/>
  <c r="AZ98" i="5"/>
  <c r="AZ97" i="5"/>
  <c r="AZ101" i="5"/>
  <c r="CB83" i="2"/>
  <c r="BX246" i="2"/>
  <c r="BX247" i="2" s="1"/>
  <c r="BV85" i="5"/>
  <c r="EG63" i="3"/>
  <c r="ED62" i="2"/>
  <c r="DZ82" i="2"/>
  <c r="DZ81" i="2"/>
  <c r="CV79" i="5"/>
  <c r="CR70" i="5"/>
  <c r="CR81" i="5"/>
  <c r="CS81" i="5"/>
  <c r="CB105" i="4"/>
  <c r="CB106" i="4"/>
  <c r="BR19" i="6"/>
  <c r="BR8" i="6"/>
  <c r="AW22" i="6"/>
  <c r="BR22" i="6" s="1"/>
  <c r="CW108" i="2"/>
  <c r="CW162" i="2"/>
  <c r="EF162" i="2" s="1"/>
  <c r="CW109" i="2"/>
  <c r="BT33" i="5"/>
  <c r="BT32" i="5"/>
  <c r="BT21" i="5"/>
  <c r="BX126" i="2"/>
  <c r="BX125" i="2"/>
  <c r="BX124" i="2"/>
  <c r="CB125" i="2"/>
  <c r="BE95" i="5"/>
  <c r="BF93" i="5"/>
  <c r="CA26" i="5"/>
  <c r="CB24" i="5"/>
  <c r="BA96" i="5"/>
  <c r="CR96" i="5" s="1"/>
  <c r="BA92" i="5"/>
  <c r="BB90" i="5"/>
  <c r="CR90" i="5"/>
  <c r="CR92" i="5" s="1"/>
  <c r="AZ72" i="5"/>
  <c r="AZ71" i="5"/>
  <c r="BA71" i="5"/>
  <c r="BD72" i="5"/>
  <c r="CZ155" i="3"/>
  <c r="DA154" i="3"/>
  <c r="CZ64" i="3"/>
  <c r="CZ106" i="3" s="1"/>
  <c r="DA62" i="3"/>
  <c r="BS22" i="5"/>
  <c r="BS23" i="5"/>
  <c r="EA81" i="2"/>
  <c r="BR14" i="6"/>
  <c r="BZ148" i="2"/>
  <c r="BZ147" i="2"/>
  <c r="BZ138" i="2"/>
  <c r="BS82" i="5"/>
  <c r="BS53" i="5"/>
  <c r="BS52" i="5"/>
  <c r="CR23" i="5"/>
  <c r="CS23" i="5"/>
  <c r="BX141" i="2"/>
  <c r="BX139" i="2"/>
  <c r="BX140" i="2"/>
  <c r="BX174" i="2"/>
  <c r="BQ74" i="5"/>
  <c r="BQ75" i="5"/>
  <c r="BU61" i="5"/>
  <c r="BU60" i="5"/>
  <c r="BU63" i="5"/>
  <c r="EE79" i="2"/>
  <c r="CX46" i="4" l="1"/>
  <c r="CX35" i="4"/>
  <c r="CX68" i="4"/>
  <c r="CX90" i="4"/>
  <c r="CZ74" i="3"/>
  <c r="CZ86" i="3" s="1"/>
  <c r="BR24" i="6"/>
  <c r="DZ140" i="2"/>
  <c r="DZ141" i="2"/>
  <c r="BT22" i="5"/>
  <c r="BT23" i="5"/>
  <c r="BY124" i="2"/>
  <c r="BY125" i="2"/>
  <c r="BZ124" i="2"/>
  <c r="BY126" i="2"/>
  <c r="CC125" i="2"/>
  <c r="CS144" i="2"/>
  <c r="CS143" i="2"/>
  <c r="BU51" i="5"/>
  <c r="CW51" i="5" s="1"/>
  <c r="BU50" i="5"/>
  <c r="BV48" i="5"/>
  <c r="BU27" i="5"/>
  <c r="EE142" i="2"/>
  <c r="AX22" i="6"/>
  <c r="CX109" i="2"/>
  <c r="CX108" i="2"/>
  <c r="CX162" i="2"/>
  <c r="CX104" i="4"/>
  <c r="CX106" i="4" s="1"/>
  <c r="CX100" i="4"/>
  <c r="BU58" i="5"/>
  <c r="BU57" i="5"/>
  <c r="CT142" i="2"/>
  <c r="CT81" i="2"/>
  <c r="CT82" i="2"/>
  <c r="CT80" i="2"/>
  <c r="BV60" i="5"/>
  <c r="BV61" i="5"/>
  <c r="BV63" i="5"/>
  <c r="DC154" i="3"/>
  <c r="DG154" i="3" s="1"/>
  <c r="DG155" i="3" s="1"/>
  <c r="DA155" i="3"/>
  <c r="DA64" i="3"/>
  <c r="DB64" i="3" s="1"/>
  <c r="DC62" i="3"/>
  <c r="DB62" i="3"/>
  <c r="CC24" i="5"/>
  <c r="CB26" i="5"/>
  <c r="BQ71" i="5"/>
  <c r="BQ72" i="5"/>
  <c r="BW5" i="5"/>
  <c r="BW11" i="5"/>
  <c r="BX9" i="5"/>
  <c r="BW59" i="5"/>
  <c r="BW34" i="5"/>
  <c r="BB92" i="5"/>
  <c r="BB96" i="5"/>
  <c r="BC90" i="5"/>
  <c r="EA144" i="2"/>
  <c r="EA145" i="2"/>
  <c r="EB144" i="2"/>
  <c r="BV35" i="5"/>
  <c r="BV31" i="5"/>
  <c r="BV36" i="5"/>
  <c r="BF95" i="5"/>
  <c r="BG93" i="5"/>
  <c r="EH63" i="3"/>
  <c r="EG74" i="3"/>
  <c r="EG86" i="3" s="1"/>
  <c r="BY246" i="2"/>
  <c r="BY247" i="2" s="1"/>
  <c r="EH117" i="2"/>
  <c r="BU33" i="5"/>
  <c r="BU32" i="5"/>
  <c r="BU21" i="5"/>
  <c r="CW31" i="5"/>
  <c r="AZ17" i="6"/>
  <c r="AZ8" i="6" s="1"/>
  <c r="AZ7" i="6"/>
  <c r="BA5" i="6"/>
  <c r="BT82" i="5"/>
  <c r="BT53" i="5"/>
  <c r="BT52" i="5"/>
  <c r="EI106" i="3"/>
  <c r="EJ96" i="3"/>
  <c r="BR74" i="5"/>
  <c r="BR75" i="5"/>
  <c r="EF100" i="3"/>
  <c r="EE104" i="3"/>
  <c r="BT54" i="5"/>
  <c r="EF165" i="2"/>
  <c r="EF164" i="2"/>
  <c r="DZ123" i="2"/>
  <c r="CR93" i="5"/>
  <c r="CR95" i="5" s="1"/>
  <c r="CR98" i="5"/>
  <c r="BA98" i="5"/>
  <c r="BA101" i="5"/>
  <c r="BA97" i="5"/>
  <c r="CC83" i="2"/>
  <c r="EA83" i="2" s="1"/>
  <c r="CR72" i="5"/>
  <c r="CS72" i="5"/>
  <c r="AZ102" i="5"/>
  <c r="AZ103" i="5"/>
  <c r="CW164" i="2"/>
  <c r="CW163" i="2"/>
  <c r="BV76" i="5"/>
  <c r="CX87" i="2"/>
  <c r="EI84" i="3"/>
  <c r="EJ81" i="3"/>
  <c r="CW58" i="5"/>
  <c r="DZ144" i="2"/>
  <c r="DZ145" i="2"/>
  <c r="AZ13" i="6"/>
  <c r="BA11" i="6"/>
  <c r="BW76" i="5"/>
  <c r="CY87" i="2"/>
  <c r="CW26" i="5"/>
  <c r="BY141" i="2"/>
  <c r="BY139" i="2"/>
  <c r="BY140" i="2"/>
  <c r="BY174" i="2"/>
  <c r="CA147" i="2"/>
  <c r="CA148" i="2"/>
  <c r="CA138" i="2"/>
  <c r="AW24" i="6"/>
  <c r="AW23" i="6"/>
  <c r="BX64" i="5"/>
  <c r="BX37" i="5"/>
  <c r="BX85" i="5" s="1"/>
  <c r="BY12" i="5"/>
  <c r="CB146" i="2"/>
  <c r="CB84" i="2"/>
  <c r="CB86" i="2"/>
  <c r="CB85" i="2"/>
  <c r="EE82" i="2"/>
  <c r="EE81" i="2"/>
  <c r="BS79" i="5"/>
  <c r="BS83" i="5"/>
  <c r="BS84" i="5"/>
  <c r="BS73" i="5"/>
  <c r="CU79" i="2"/>
  <c r="BZ139" i="2"/>
  <c r="BZ140" i="2"/>
  <c r="BZ141" i="2"/>
  <c r="BZ174" i="2"/>
  <c r="CV81" i="5"/>
  <c r="CV70" i="5"/>
  <c r="CV72" i="5" s="1"/>
  <c r="BU19" i="5"/>
  <c r="BU20" i="5"/>
  <c r="BU67" i="5"/>
  <c r="CW18" i="5"/>
  <c r="EH93" i="3"/>
  <c r="EH100" i="3" s="1"/>
  <c r="EH104" i="3" s="1"/>
  <c r="EI88" i="3"/>
  <c r="BV62" i="5"/>
  <c r="BV7" i="5"/>
  <c r="BV6" i="5"/>
  <c r="BV56" i="5"/>
  <c r="BX175" i="2"/>
  <c r="BX176" i="2"/>
  <c r="BX177" i="2"/>
  <c r="DZ245" i="2"/>
  <c r="BQ76" i="3"/>
  <c r="BR77" i="3"/>
  <c r="AY19" i="6"/>
  <c r="AY18" i="6"/>
  <c r="CY107" i="2"/>
  <c r="BT69" i="5"/>
  <c r="BT68" i="5"/>
  <c r="CC105" i="4"/>
  <c r="CC106" i="4"/>
  <c r="CB95" i="3"/>
  <c r="CA100" i="3"/>
  <c r="CA104" i="3" s="1"/>
  <c r="BR81" i="5"/>
  <c r="BR80" i="5"/>
  <c r="BR70" i="5"/>
  <c r="AZ14" i="6" l="1"/>
  <c r="DA74" i="3"/>
  <c r="CW48" i="5"/>
  <c r="CW53" i="5"/>
  <c r="EJ88" i="3"/>
  <c r="EI93" i="3"/>
  <c r="EI100" i="3" s="1"/>
  <c r="EI104" i="3" s="1"/>
  <c r="BG95" i="5"/>
  <c r="BH93" i="5"/>
  <c r="DB74" i="3"/>
  <c r="DA86" i="3"/>
  <c r="AY22" i="6"/>
  <c r="CY162" i="2"/>
  <c r="CY109" i="2"/>
  <c r="CY108" i="2"/>
  <c r="BA102" i="5"/>
  <c r="BA103" i="5"/>
  <c r="AZ19" i="6"/>
  <c r="AZ18" i="6"/>
  <c r="CZ107" i="2"/>
  <c r="BW36" i="5"/>
  <c r="BW35" i="5"/>
  <c r="BW31" i="5"/>
  <c r="DX62" i="2"/>
  <c r="DB106" i="3"/>
  <c r="AX24" i="6"/>
  <c r="AX23" i="6"/>
  <c r="BB11" i="6"/>
  <c r="BA13" i="6"/>
  <c r="CR101" i="5"/>
  <c r="BT84" i="5"/>
  <c r="BT83" i="5"/>
  <c r="BT79" i="5"/>
  <c r="BT73" i="5"/>
  <c r="CV79" i="2"/>
  <c r="BU23" i="5"/>
  <c r="BU22" i="5"/>
  <c r="BV33" i="5"/>
  <c r="BV32" i="5"/>
  <c r="BV21" i="5"/>
  <c r="BC96" i="5"/>
  <c r="BC92" i="5"/>
  <c r="BD90" i="5"/>
  <c r="BX11" i="5"/>
  <c r="BY9" i="5"/>
  <c r="BX5" i="5"/>
  <c r="BX59" i="5"/>
  <c r="BX34" i="5"/>
  <c r="CX163" i="2"/>
  <c r="CX164" i="2"/>
  <c r="BZ176" i="2"/>
  <c r="BZ177" i="2"/>
  <c r="BZ175" i="2"/>
  <c r="BS80" i="5"/>
  <c r="BS81" i="5"/>
  <c r="BS70" i="5"/>
  <c r="EF104" i="3"/>
  <c r="BA7" i="6"/>
  <c r="BB5" i="6"/>
  <c r="BA17" i="6"/>
  <c r="BA8" i="6" s="1"/>
  <c r="BS5" i="6"/>
  <c r="DA106" i="3"/>
  <c r="EE145" i="2"/>
  <c r="EE144" i="2"/>
  <c r="CU142" i="2"/>
  <c r="CU81" i="2"/>
  <c r="CU82" i="2"/>
  <c r="CU80" i="2"/>
  <c r="BY177" i="2"/>
  <c r="BY175" i="2"/>
  <c r="BY176" i="2"/>
  <c r="DZ174" i="2"/>
  <c r="BV50" i="5"/>
  <c r="BW48" i="5"/>
  <c r="BV51" i="5"/>
  <c r="BV54" i="5" s="1"/>
  <c r="BV27" i="5"/>
  <c r="CD95" i="3"/>
  <c r="CC95" i="3"/>
  <c r="CB100" i="3"/>
  <c r="BS74" i="5"/>
  <c r="BS75" i="5"/>
  <c r="CB147" i="2"/>
  <c r="CB148" i="2"/>
  <c r="CB138" i="2"/>
  <c r="BR72" i="5"/>
  <c r="BR71" i="5"/>
  <c r="CW20" i="5"/>
  <c r="BY64" i="5"/>
  <c r="CX64" i="5" s="1"/>
  <c r="CX66" i="5" s="1"/>
  <c r="BZ12" i="5"/>
  <c r="BY37" i="5"/>
  <c r="BY85" i="5" s="1"/>
  <c r="BS11" i="6"/>
  <c r="EK96" i="3"/>
  <c r="EJ106" i="3"/>
  <c r="CW33" i="5"/>
  <c r="CW21" i="5"/>
  <c r="CW23" i="5" s="1"/>
  <c r="BW61" i="5"/>
  <c r="BW60" i="5"/>
  <c r="BW63" i="5"/>
  <c r="DC155" i="3"/>
  <c r="DD62" i="3"/>
  <c r="DC64" i="3"/>
  <c r="DC106" i="3" s="1"/>
  <c r="DD154" i="3"/>
  <c r="BU82" i="5"/>
  <c r="BU52" i="5"/>
  <c r="BU53" i="5"/>
  <c r="BV19" i="5"/>
  <c r="BV20" i="5"/>
  <c r="BV67" i="5"/>
  <c r="BU69" i="5"/>
  <c r="BU68" i="5"/>
  <c r="CW67" i="5"/>
  <c r="BX76" i="5"/>
  <c r="CZ87" i="2"/>
  <c r="CA140" i="2"/>
  <c r="CA139" i="2"/>
  <c r="CA141" i="2"/>
  <c r="CA174" i="2"/>
  <c r="EA85" i="2"/>
  <c r="EA86" i="2"/>
  <c r="BS77" i="3"/>
  <c r="BR76" i="3"/>
  <c r="BS76" i="3" s="1"/>
  <c r="BT77" i="3"/>
  <c r="BV57" i="5"/>
  <c r="BV58" i="5"/>
  <c r="EJ84" i="3"/>
  <c r="EK81" i="3"/>
  <c r="EL81" i="3" s="1"/>
  <c r="CC146" i="2"/>
  <c r="EA146" i="2" s="1"/>
  <c r="CC86" i="2"/>
  <c r="CC85" i="2"/>
  <c r="CC84" i="2"/>
  <c r="DZ125" i="2"/>
  <c r="DZ126" i="2"/>
  <c r="EA125" i="2"/>
  <c r="BU54" i="5"/>
  <c r="EI63" i="3"/>
  <c r="EH74" i="3"/>
  <c r="EH86" i="3" s="1"/>
  <c r="BB98" i="5"/>
  <c r="BB101" i="5"/>
  <c r="BB97" i="5"/>
  <c r="CD83" i="2"/>
  <c r="BW62" i="5"/>
  <c r="BW6" i="5"/>
  <c r="BW7" i="5"/>
  <c r="BW56" i="5"/>
  <c r="CC26" i="5"/>
  <c r="CT144" i="2"/>
  <c r="CT143" i="2"/>
  <c r="CX37" i="5" l="1"/>
  <c r="DC74" i="3"/>
  <c r="DC86" i="3" s="1"/>
  <c r="EA148" i="2"/>
  <c r="EA149" i="2"/>
  <c r="CB140" i="2"/>
  <c r="CB141" i="2"/>
  <c r="CB139" i="2"/>
  <c r="CB174" i="2"/>
  <c r="BD96" i="5"/>
  <c r="BE90" i="5"/>
  <c r="CS90" i="5" s="1"/>
  <c r="CS92" i="5" s="1"/>
  <c r="BD92" i="5"/>
  <c r="CY163" i="2"/>
  <c r="CY164" i="2"/>
  <c r="BX60" i="5"/>
  <c r="BX61" i="5"/>
  <c r="BX63" i="5"/>
  <c r="BS13" i="6"/>
  <c r="CW50" i="5"/>
  <c r="CW27" i="5"/>
  <c r="CB104" i="3"/>
  <c r="CC100" i="3"/>
  <c r="BW32" i="5"/>
  <c r="BW33" i="5"/>
  <c r="BW21" i="5"/>
  <c r="CC148" i="2"/>
  <c r="CC147" i="2"/>
  <c r="CC138" i="2"/>
  <c r="BV68" i="5"/>
  <c r="BV69" i="5"/>
  <c r="DZ176" i="2"/>
  <c r="DZ177" i="2"/>
  <c r="BA18" i="6"/>
  <c r="BA19" i="6"/>
  <c r="DA107" i="2"/>
  <c r="BX36" i="5"/>
  <c r="BX35" i="5"/>
  <c r="BX31" i="5"/>
  <c r="BB13" i="6"/>
  <c r="BC11" i="6"/>
  <c r="EM81" i="3"/>
  <c r="EL84" i="3"/>
  <c r="CE95" i="3"/>
  <c r="CD100" i="3"/>
  <c r="CD104" i="3" s="1"/>
  <c r="BB17" i="6"/>
  <c r="BB14" i="6" s="1"/>
  <c r="BC5" i="6"/>
  <c r="BB7" i="6"/>
  <c r="BC101" i="5"/>
  <c r="BC97" i="5"/>
  <c r="BC98" i="5"/>
  <c r="CE83" i="2"/>
  <c r="AY23" i="6"/>
  <c r="AY24" i="6"/>
  <c r="BU83" i="5"/>
  <c r="BU79" i="5"/>
  <c r="BU84" i="5"/>
  <c r="BU73" i="5"/>
  <c r="CW79" i="2"/>
  <c r="BX62" i="5"/>
  <c r="BX7" i="5"/>
  <c r="BX6" i="5"/>
  <c r="BX56" i="5"/>
  <c r="CW82" i="5"/>
  <c r="CR103" i="5"/>
  <c r="BS17" i="6"/>
  <c r="BS14" i="6" s="1"/>
  <c r="DB86" i="3"/>
  <c r="BW57" i="5"/>
  <c r="BW58" i="5"/>
  <c r="CD146" i="2"/>
  <c r="CD85" i="2"/>
  <c r="CD84" i="2"/>
  <c r="CD86" i="2"/>
  <c r="EI74" i="3"/>
  <c r="EI86" i="3" s="1"/>
  <c r="EJ63" i="3"/>
  <c r="CX39" i="5"/>
  <c r="CX28" i="5"/>
  <c r="BU77" i="3"/>
  <c r="BT76" i="3"/>
  <c r="CA175" i="2"/>
  <c r="CA177" i="2"/>
  <c r="CA176" i="2"/>
  <c r="CW69" i="5"/>
  <c r="BY76" i="5"/>
  <c r="DA87" i="2"/>
  <c r="EG87" i="2" s="1"/>
  <c r="BV82" i="5"/>
  <c r="BV52" i="5"/>
  <c r="BV53" i="5"/>
  <c r="CU143" i="2"/>
  <c r="CU144" i="2"/>
  <c r="BZ9" i="5"/>
  <c r="BY5" i="5"/>
  <c r="BY11" i="5"/>
  <c r="BY59" i="5"/>
  <c r="BY34" i="5"/>
  <c r="CX9" i="5"/>
  <c r="CX11" i="5" s="1"/>
  <c r="BV23" i="5"/>
  <c r="BV22" i="5"/>
  <c r="CV81" i="2"/>
  <c r="CV80" i="2"/>
  <c r="CV142" i="2"/>
  <c r="AZ22" i="6"/>
  <c r="CZ108" i="2"/>
  <c r="CZ162" i="2"/>
  <c r="CZ109" i="2"/>
  <c r="DD155" i="3"/>
  <c r="DE154" i="3"/>
  <c r="DE62" i="3"/>
  <c r="DD64" i="3"/>
  <c r="DD74" i="3" s="1"/>
  <c r="DD86" i="3" s="1"/>
  <c r="EL96" i="3"/>
  <c r="EK106" i="3"/>
  <c r="BT81" i="5"/>
  <c r="BT70" i="5"/>
  <c r="BT80" i="5"/>
  <c r="EJ93" i="3"/>
  <c r="EK88" i="3"/>
  <c r="EL88" i="3" s="1"/>
  <c r="BB103" i="5"/>
  <c r="BB102" i="5"/>
  <c r="BW20" i="5"/>
  <c r="BW19" i="5"/>
  <c r="BW67" i="5"/>
  <c r="BS72" i="5"/>
  <c r="BS71" i="5"/>
  <c r="EK84" i="3"/>
  <c r="BZ64" i="5"/>
  <c r="BZ37" i="5"/>
  <c r="CA12" i="5"/>
  <c r="BW51" i="5"/>
  <c r="BX48" i="5"/>
  <c r="BW50" i="5"/>
  <c r="BW27" i="5"/>
  <c r="BS7" i="6"/>
  <c r="BT75" i="5"/>
  <c r="BT74" i="5"/>
  <c r="BA14" i="6"/>
  <c r="BH95" i="5"/>
  <c r="BI93" i="5"/>
  <c r="CX85" i="5"/>
  <c r="BB8" i="6" l="1"/>
  <c r="DD106" i="3"/>
  <c r="BZ85" i="5"/>
  <c r="DE155" i="3"/>
  <c r="DF154" i="3"/>
  <c r="DE64" i="3"/>
  <c r="DE74" i="3" s="1"/>
  <c r="DE86" i="3" s="1"/>
  <c r="DF62" i="3"/>
  <c r="CZ164" i="2"/>
  <c r="CZ163" i="2"/>
  <c r="CX76" i="5"/>
  <c r="CX78" i="5" s="1"/>
  <c r="CX87" i="5"/>
  <c r="BU80" i="5"/>
  <c r="BU81" i="5"/>
  <c r="BU70" i="5"/>
  <c r="CE146" i="2"/>
  <c r="CE85" i="2"/>
  <c r="CE84" i="2"/>
  <c r="CE86" i="2"/>
  <c r="CC141" i="2"/>
  <c r="CC139" i="2"/>
  <c r="CC140" i="2"/>
  <c r="CC174" i="2"/>
  <c r="EA174" i="2" s="1"/>
  <c r="BF90" i="5"/>
  <c r="BE92" i="5"/>
  <c r="BE96" i="5"/>
  <c r="BY35" i="5"/>
  <c r="BY31" i="5"/>
  <c r="BY36" i="5"/>
  <c r="BU75" i="5"/>
  <c r="BU74" i="5"/>
  <c r="CF95" i="3"/>
  <c r="CE100" i="3"/>
  <c r="CE104" i="3" s="1"/>
  <c r="CD148" i="2"/>
  <c r="CD147" i="2"/>
  <c r="CD138" i="2"/>
  <c r="BX20" i="5"/>
  <c r="BX19" i="5"/>
  <c r="BX67" i="5"/>
  <c r="BW82" i="5"/>
  <c r="BW52" i="5"/>
  <c r="BW53" i="5"/>
  <c r="BW69" i="5"/>
  <c r="BW68" i="5"/>
  <c r="BV84" i="5"/>
  <c r="BV73" i="5"/>
  <c r="BV79" i="5"/>
  <c r="BV83" i="5"/>
  <c r="CX79" i="2"/>
  <c r="CW79" i="5"/>
  <c r="AZ23" i="6"/>
  <c r="AZ24" i="6"/>
  <c r="BY62" i="5"/>
  <c r="BY6" i="5"/>
  <c r="BY7" i="5"/>
  <c r="BY56" i="5"/>
  <c r="CX56" i="5" s="1"/>
  <c r="BW54" i="5"/>
  <c r="BV77" i="3"/>
  <c r="BU76" i="3"/>
  <c r="CX5" i="5"/>
  <c r="BC7" i="6"/>
  <c r="BC17" i="6"/>
  <c r="BC8" i="6" s="1"/>
  <c r="BD5" i="6"/>
  <c r="EM84" i="3"/>
  <c r="EN81" i="3"/>
  <c r="BX32" i="5"/>
  <c r="BX21" i="5"/>
  <c r="BX33" i="5"/>
  <c r="CC104" i="3"/>
  <c r="BD101" i="5"/>
  <c r="BD97" i="5"/>
  <c r="BD98" i="5"/>
  <c r="CF83" i="2"/>
  <c r="BA22" i="6"/>
  <c r="DA162" i="2"/>
  <c r="DA109" i="2"/>
  <c r="DA108" i="2"/>
  <c r="EG107" i="2"/>
  <c r="BX51" i="5"/>
  <c r="BX50" i="5"/>
  <c r="BY48" i="5"/>
  <c r="BX27" i="5"/>
  <c r="EL93" i="3"/>
  <c r="EL100" i="3" s="1"/>
  <c r="EL104" i="3" s="1"/>
  <c r="EM88" i="3"/>
  <c r="BY60" i="5"/>
  <c r="BY61" i="5"/>
  <c r="BY63" i="5"/>
  <c r="BS19" i="6"/>
  <c r="EJ100" i="3"/>
  <c r="EK93" i="3"/>
  <c r="BS8" i="6"/>
  <c r="BZ11" i="5"/>
  <c r="CA9" i="5"/>
  <c r="BZ5" i="5"/>
  <c r="BZ59" i="5"/>
  <c r="BZ34" i="5"/>
  <c r="BB19" i="6"/>
  <c r="BB18" i="6"/>
  <c r="DB107" i="2"/>
  <c r="BC14" i="6"/>
  <c r="BC13" i="6"/>
  <c r="BD11" i="6"/>
  <c r="CX59" i="5"/>
  <c r="EA138" i="2"/>
  <c r="EK63" i="3"/>
  <c r="EJ74" i="3"/>
  <c r="CW84" i="5"/>
  <c r="CW73" i="5"/>
  <c r="CW75" i="5" s="1"/>
  <c r="EL106" i="3"/>
  <c r="EM96" i="3"/>
  <c r="BJ93" i="5"/>
  <c r="BI95" i="5"/>
  <c r="BX57" i="5"/>
  <c r="BX58" i="5"/>
  <c r="CA64" i="5"/>
  <c r="CA37" i="5"/>
  <c r="CA85" i="5" s="1"/>
  <c r="CB12" i="5"/>
  <c r="BT71" i="5"/>
  <c r="BT72" i="5"/>
  <c r="CV143" i="2"/>
  <c r="CV144" i="2"/>
  <c r="CX34" i="5"/>
  <c r="CW81" i="2"/>
  <c r="CW80" i="2"/>
  <c r="CW142" i="2"/>
  <c r="EF142" i="2" s="1"/>
  <c r="EF79" i="2"/>
  <c r="BC103" i="5"/>
  <c r="BC102" i="5"/>
  <c r="BW23" i="5"/>
  <c r="BW22" i="5"/>
  <c r="CB175" i="2"/>
  <c r="CB176" i="2"/>
  <c r="CB177" i="2"/>
  <c r="CB64" i="5" l="1"/>
  <c r="CB37" i="5"/>
  <c r="CB85" i="5" s="1"/>
  <c r="CC12" i="5"/>
  <c r="CA11" i="5"/>
  <c r="CB9" i="5"/>
  <c r="CA5" i="5"/>
  <c r="CA59" i="5"/>
  <c r="CA34" i="5"/>
  <c r="BE98" i="5"/>
  <c r="BE101" i="5"/>
  <c r="CS101" i="5" s="1"/>
  <c r="CG83" i="2"/>
  <c r="CW144" i="2"/>
  <c r="CW143" i="2"/>
  <c r="CA76" i="5"/>
  <c r="DC87" i="2"/>
  <c r="EA140" i="2"/>
  <c r="EA141" i="2"/>
  <c r="BY51" i="5"/>
  <c r="BY54" i="5" s="1"/>
  <c r="BY50" i="5"/>
  <c r="BZ48" i="5"/>
  <c r="BY27" i="5"/>
  <c r="CS96" i="5"/>
  <c r="BD17" i="6"/>
  <c r="BE5" i="6"/>
  <c r="BT5" i="6" s="1"/>
  <c r="BD7" i="6"/>
  <c r="BY57" i="5"/>
  <c r="BY58" i="5"/>
  <c r="CX142" i="2"/>
  <c r="CX80" i="2"/>
  <c r="CX81" i="2"/>
  <c r="BW84" i="5"/>
  <c r="BW83" i="5"/>
  <c r="BW79" i="5"/>
  <c r="BW73" i="5"/>
  <c r="CY79" i="2"/>
  <c r="DF155" i="3"/>
  <c r="DH154" i="3"/>
  <c r="DL154" i="3" s="1"/>
  <c r="DL155" i="3" s="1"/>
  <c r="DF64" i="3"/>
  <c r="DG64" i="3" s="1"/>
  <c r="DH62" i="3"/>
  <c r="DG62" i="3"/>
  <c r="DE106" i="3"/>
  <c r="BD13" i="6"/>
  <c r="BE11" i="6"/>
  <c r="CW81" i="5"/>
  <c r="CW70" i="5"/>
  <c r="CW72" i="5" s="1"/>
  <c r="CD141" i="2"/>
  <c r="CD139" i="2"/>
  <c r="CD140" i="2"/>
  <c r="CD174" i="2"/>
  <c r="CX61" i="5"/>
  <c r="CX63" i="5"/>
  <c r="BZ31" i="5"/>
  <c r="BZ35" i="5"/>
  <c r="BZ36" i="5"/>
  <c r="DA164" i="2"/>
  <c r="DA163" i="2"/>
  <c r="EG162" i="2"/>
  <c r="CF146" i="2"/>
  <c r="CF85" i="2"/>
  <c r="CF84" i="2"/>
  <c r="CF86" i="2"/>
  <c r="BC19" i="6"/>
  <c r="BC18" i="6"/>
  <c r="DC107" i="2"/>
  <c r="BX69" i="5"/>
  <c r="BX68" i="5"/>
  <c r="BF96" i="5"/>
  <c r="BG90" i="5"/>
  <c r="BF92" i="5"/>
  <c r="CE148" i="2"/>
  <c r="CE147" i="2"/>
  <c r="CE138" i="2"/>
  <c r="EM106" i="3"/>
  <c r="EN96" i="3"/>
  <c r="BD102" i="5"/>
  <c r="BD103" i="5"/>
  <c r="CX62" i="5"/>
  <c r="CX7" i="5"/>
  <c r="BY20" i="5"/>
  <c r="BY19" i="5"/>
  <c r="BY67" i="5"/>
  <c r="CX36" i="5"/>
  <c r="CX24" i="5"/>
  <c r="CX58" i="5"/>
  <c r="EK74" i="3"/>
  <c r="EJ86" i="3"/>
  <c r="EK86" i="3" s="1"/>
  <c r="BB22" i="6"/>
  <c r="DB162" i="2"/>
  <c r="DB109" i="2"/>
  <c r="DB108" i="2"/>
  <c r="BZ60" i="5"/>
  <c r="BZ61" i="5"/>
  <c r="BZ63" i="5"/>
  <c r="BX82" i="5"/>
  <c r="BX52" i="5"/>
  <c r="BX53" i="5"/>
  <c r="BA23" i="6"/>
  <c r="BA24" i="6"/>
  <c r="BS22" i="6"/>
  <c r="BX23" i="5"/>
  <c r="BX22" i="5"/>
  <c r="BW77" i="3"/>
  <c r="BV76" i="3"/>
  <c r="BV80" i="5"/>
  <c r="BV81" i="5"/>
  <c r="BV70" i="5"/>
  <c r="BX54" i="5"/>
  <c r="CC177" i="2"/>
  <c r="CC176" i="2"/>
  <c r="CC175" i="2"/>
  <c r="BU71" i="5"/>
  <c r="BU72" i="5"/>
  <c r="EF81" i="2"/>
  <c r="EO81" i="3"/>
  <c r="EN84" i="3"/>
  <c r="BV74" i="5"/>
  <c r="BV75" i="5"/>
  <c r="CG95" i="3"/>
  <c r="CF100" i="3"/>
  <c r="CF104" i="3" s="1"/>
  <c r="CX18" i="5"/>
  <c r="CX20" i="5" s="1"/>
  <c r="EA176" i="2"/>
  <c r="EA177" i="2"/>
  <c r="EF145" i="2"/>
  <c r="EF144" i="2"/>
  <c r="BK93" i="5"/>
  <c r="BJ95" i="5"/>
  <c r="EL63" i="3"/>
  <c r="EE62" i="2"/>
  <c r="BZ62" i="5"/>
  <c r="BZ6" i="5"/>
  <c r="BZ7" i="5"/>
  <c r="BZ56" i="5"/>
  <c r="EJ104" i="3"/>
  <c r="EK100" i="3"/>
  <c r="EM93" i="3"/>
  <c r="EM100" i="3" s="1"/>
  <c r="EM104" i="3" s="1"/>
  <c r="EN88" i="3"/>
  <c r="EG109" i="2"/>
  <c r="BY32" i="5"/>
  <c r="BY33" i="5"/>
  <c r="BY21" i="5"/>
  <c r="CX31" i="5"/>
  <c r="BZ76" i="5"/>
  <c r="DB87" i="2"/>
  <c r="CY85" i="5"/>
  <c r="DF106" i="3" l="1"/>
  <c r="BT7" i="6"/>
  <c r="DB164" i="2"/>
  <c r="DB163" i="2"/>
  <c r="CS103" i="5"/>
  <c r="EO96" i="3"/>
  <c r="CY142" i="2"/>
  <c r="CY80" i="2"/>
  <c r="CY81" i="2"/>
  <c r="BD19" i="6"/>
  <c r="BD18" i="6"/>
  <c r="DD107" i="2"/>
  <c r="CA61" i="5"/>
  <c r="CA60" i="5"/>
  <c r="CA63" i="5"/>
  <c r="BB23" i="6"/>
  <c r="BB24" i="6"/>
  <c r="BW74" i="5"/>
  <c r="BW75" i="5"/>
  <c r="CS98" i="5"/>
  <c r="CS93" i="5"/>
  <c r="CS95" i="5" s="1"/>
  <c r="CA7" i="5"/>
  <c r="CA62" i="5"/>
  <c r="CA6" i="5"/>
  <c r="CA56" i="5"/>
  <c r="CY87" i="5"/>
  <c r="BL93" i="5"/>
  <c r="BK95" i="5"/>
  <c r="CX26" i="5"/>
  <c r="CE141" i="2"/>
  <c r="CE139" i="2"/>
  <c r="CE140" i="2"/>
  <c r="CE174" i="2"/>
  <c r="BG96" i="5"/>
  <c r="BH90" i="5"/>
  <c r="BG92" i="5"/>
  <c r="BC22" i="6"/>
  <c r="DC162" i="2"/>
  <c r="DC108" i="2"/>
  <c r="DC109" i="2"/>
  <c r="DF74" i="3"/>
  <c r="BW81" i="5"/>
  <c r="BW70" i="5"/>
  <c r="BW80" i="5"/>
  <c r="CG146" i="2"/>
  <c r="EB146" i="2" s="1"/>
  <c r="CG85" i="2"/>
  <c r="CG84" i="2"/>
  <c r="CG86" i="2"/>
  <c r="CC9" i="5"/>
  <c r="CY9" i="5" s="1"/>
  <c r="CY11" i="5" s="1"/>
  <c r="CB11" i="5"/>
  <c r="CB5" i="5"/>
  <c r="CB59" i="5"/>
  <c r="CB34" i="5"/>
  <c r="EO88" i="3"/>
  <c r="BY77" i="3"/>
  <c r="BW76" i="3"/>
  <c r="BX76" i="3" s="1"/>
  <c r="BX77" i="3"/>
  <c r="BX83" i="5"/>
  <c r="BX79" i="5"/>
  <c r="BX73" i="5"/>
  <c r="BX84" i="5"/>
  <c r="CZ79" i="2"/>
  <c r="BF98" i="5"/>
  <c r="BF97" i="5"/>
  <c r="BF101" i="5"/>
  <c r="CH83" i="2"/>
  <c r="CD175" i="2"/>
  <c r="CD176" i="2"/>
  <c r="CD177" i="2"/>
  <c r="DY62" i="2"/>
  <c r="DG106" i="3"/>
  <c r="BZ51" i="5"/>
  <c r="BZ54" i="5" s="1"/>
  <c r="BZ50" i="5"/>
  <c r="CA48" i="5"/>
  <c r="BZ27" i="5"/>
  <c r="BE102" i="5"/>
  <c r="BE103" i="5"/>
  <c r="BY23" i="5"/>
  <c r="BY22" i="5"/>
  <c r="EH87" i="2"/>
  <c r="EK104" i="3"/>
  <c r="BZ57" i="5"/>
  <c r="BZ58" i="5"/>
  <c r="CH95" i="3"/>
  <c r="CI95" i="3"/>
  <c r="CG100" i="3"/>
  <c r="EO84" i="3"/>
  <c r="EQ81" i="3"/>
  <c r="EP81" i="3"/>
  <c r="BV71" i="5"/>
  <c r="BV72" i="5"/>
  <c r="CF148" i="2"/>
  <c r="CF147" i="2"/>
  <c r="CF138" i="2"/>
  <c r="BD14" i="6"/>
  <c r="DI154" i="3"/>
  <c r="DH64" i="3"/>
  <c r="DH74" i="3" s="1"/>
  <c r="DH86" i="3" s="1"/>
  <c r="DI62" i="3"/>
  <c r="DH155" i="3"/>
  <c r="CX144" i="2"/>
  <c r="CX143" i="2"/>
  <c r="BE17" i="6"/>
  <c r="BT17" i="6" s="1"/>
  <c r="BE7" i="6"/>
  <c r="CC64" i="5"/>
  <c r="CY64" i="5" s="1"/>
  <c r="CC37" i="5"/>
  <c r="EM63" i="3"/>
  <c r="EL74" i="3"/>
  <c r="EL86" i="3" s="1"/>
  <c r="BS24" i="6"/>
  <c r="BY68" i="5"/>
  <c r="BY69" i="5"/>
  <c r="CX33" i="5"/>
  <c r="CX21" i="5"/>
  <c r="CX23" i="5" s="1"/>
  <c r="BZ20" i="5"/>
  <c r="BZ19" i="5"/>
  <c r="BZ67" i="5"/>
  <c r="CX67" i="5"/>
  <c r="EG164" i="2"/>
  <c r="EG165" i="2"/>
  <c r="BZ33" i="5"/>
  <c r="BZ21" i="5"/>
  <c r="BZ32" i="5"/>
  <c r="BE13" i="6"/>
  <c r="BT11" i="6"/>
  <c r="BD8" i="6"/>
  <c r="BY82" i="5"/>
  <c r="CX82" i="5" s="1"/>
  <c r="BY53" i="5"/>
  <c r="BY52" i="5"/>
  <c r="CX51" i="5"/>
  <c r="CA31" i="5"/>
  <c r="CA35" i="5"/>
  <c r="CA36" i="5"/>
  <c r="CB76" i="5"/>
  <c r="DD87" i="2"/>
  <c r="EB83" i="2"/>
  <c r="BE14" i="6" l="1"/>
  <c r="BE8" i="6"/>
  <c r="CY66" i="5"/>
  <c r="CY76" i="5"/>
  <c r="CY78" i="5" s="1"/>
  <c r="EB148" i="2"/>
  <c r="EB149" i="2"/>
  <c r="CC85" i="5"/>
  <c r="CY37" i="5"/>
  <c r="BZ82" i="5"/>
  <c r="BZ53" i="5"/>
  <c r="BZ52" i="5"/>
  <c r="CX53" i="5"/>
  <c r="CX48" i="5"/>
  <c r="EQ84" i="3"/>
  <c r="ER81" i="3"/>
  <c r="CE175" i="2"/>
  <c r="CE176" i="2"/>
  <c r="CE177" i="2"/>
  <c r="CA19" i="5"/>
  <c r="CA20" i="5"/>
  <c r="CA67" i="5"/>
  <c r="BF102" i="5"/>
  <c r="BF103" i="5"/>
  <c r="CZ142" i="2"/>
  <c r="CZ81" i="2"/>
  <c r="CZ80" i="2"/>
  <c r="BW71" i="5"/>
  <c r="BW72" i="5"/>
  <c r="DC164" i="2"/>
  <c r="DC163" i="2"/>
  <c r="BL95" i="5"/>
  <c r="BM93" i="5"/>
  <c r="EB85" i="2"/>
  <c r="EB86" i="2"/>
  <c r="BX81" i="5"/>
  <c r="BX80" i="5"/>
  <c r="BX70" i="5"/>
  <c r="CB62" i="5"/>
  <c r="CB7" i="5"/>
  <c r="CB6" i="5"/>
  <c r="CB56" i="5"/>
  <c r="BH92" i="5"/>
  <c r="BH96" i="5"/>
  <c r="BI90" i="5"/>
  <c r="CA58" i="5"/>
  <c r="CA57" i="5"/>
  <c r="EP96" i="3"/>
  <c r="EQ96" i="3"/>
  <c r="CH146" i="2"/>
  <c r="CH84" i="2"/>
  <c r="CH86" i="2"/>
  <c r="CH85" i="2"/>
  <c r="EP88" i="3"/>
  <c r="EQ88" i="3"/>
  <c r="BG97" i="5"/>
  <c r="BG98" i="5"/>
  <c r="BG101" i="5"/>
  <c r="CI83" i="2"/>
  <c r="BT19" i="6"/>
  <c r="EP84" i="3"/>
  <c r="CX84" i="5"/>
  <c r="CX73" i="5"/>
  <c r="CX75" i="5" s="1"/>
  <c r="BD22" i="6"/>
  <c r="DD109" i="2"/>
  <c r="DD108" i="2"/>
  <c r="DD162" i="2"/>
  <c r="DH106" i="3"/>
  <c r="CF139" i="2"/>
  <c r="CF140" i="2"/>
  <c r="CF141" i="2"/>
  <c r="CF174" i="2"/>
  <c r="CG104" i="3"/>
  <c r="CH100" i="3"/>
  <c r="BE18" i="6"/>
  <c r="BE19" i="6"/>
  <c r="DE107" i="2"/>
  <c r="EH107" i="2" s="1"/>
  <c r="CJ95" i="3"/>
  <c r="CI100" i="3"/>
  <c r="CI104" i="3" s="1"/>
  <c r="CA51" i="5"/>
  <c r="CA50" i="5"/>
  <c r="CB48" i="5"/>
  <c r="CA27" i="5"/>
  <c r="BY76" i="3"/>
  <c r="BZ77" i="3"/>
  <c r="CB35" i="5"/>
  <c r="CB36" i="5"/>
  <c r="CB31" i="5"/>
  <c r="BC24" i="6"/>
  <c r="BC23" i="6"/>
  <c r="CY144" i="2"/>
  <c r="CY143" i="2"/>
  <c r="BT8" i="6"/>
  <c r="BZ23" i="5"/>
  <c r="BZ22" i="5"/>
  <c r="DJ154" i="3"/>
  <c r="DI155" i="3"/>
  <c r="DJ62" i="3"/>
  <c r="DI64" i="3"/>
  <c r="DI106" i="3" s="1"/>
  <c r="BT14" i="6"/>
  <c r="BT13" i="6"/>
  <c r="CG147" i="2"/>
  <c r="CG148" i="2"/>
  <c r="CG138" i="2"/>
  <c r="CC5" i="5"/>
  <c r="CC11" i="5"/>
  <c r="CC59" i="5"/>
  <c r="CC34" i="5"/>
  <c r="CA33" i="5"/>
  <c r="CA21" i="5"/>
  <c r="CA32" i="5"/>
  <c r="BY79" i="5"/>
  <c r="CX79" i="5" s="1"/>
  <c r="BY83" i="5"/>
  <c r="BY73" i="5"/>
  <c r="BY84" i="5"/>
  <c r="DA79" i="2"/>
  <c r="CX69" i="5"/>
  <c r="BZ69" i="5"/>
  <c r="BZ68" i="5"/>
  <c r="EN63" i="3"/>
  <c r="EO63" i="3" s="1"/>
  <c r="EM74" i="3"/>
  <c r="EM86" i="3" s="1"/>
  <c r="BX74" i="5"/>
  <c r="BX75" i="5"/>
  <c r="CB61" i="5"/>
  <c r="CB60" i="5"/>
  <c r="CB63" i="5"/>
  <c r="DG74" i="3"/>
  <c r="DF86" i="3"/>
  <c r="DI74" i="3" l="1"/>
  <c r="DI86" i="3" s="1"/>
  <c r="CX81" i="5"/>
  <c r="CX70" i="5"/>
  <c r="CX72" i="5" s="1"/>
  <c r="DD163" i="2"/>
  <c r="DD164" i="2"/>
  <c r="BG102" i="5"/>
  <c r="BG103" i="5"/>
  <c r="BH97" i="5"/>
  <c r="BH98" i="5"/>
  <c r="BH101" i="5"/>
  <c r="CJ83" i="2"/>
  <c r="CB19" i="5"/>
  <c r="CB20" i="5"/>
  <c r="CB67" i="5"/>
  <c r="DJ155" i="3"/>
  <c r="DK154" i="3"/>
  <c r="DJ64" i="3"/>
  <c r="DJ106" i="3" s="1"/>
  <c r="CH148" i="2"/>
  <c r="CH147" i="2"/>
  <c r="CH138" i="2"/>
  <c r="ER96" i="3"/>
  <c r="DA142" i="2"/>
  <c r="EG142" i="2" s="1"/>
  <c r="DA81" i="2"/>
  <c r="DA80" i="2"/>
  <c r="EG79" i="2"/>
  <c r="ES81" i="3"/>
  <c r="ER84" i="3"/>
  <c r="CC62" i="5"/>
  <c r="CY18" i="5"/>
  <c r="CY20" i="5" s="1"/>
  <c r="CC6" i="5"/>
  <c r="CC7" i="5"/>
  <c r="CC56" i="5"/>
  <c r="CY56" i="5" s="1"/>
  <c r="CF176" i="2"/>
  <c r="CF177" i="2"/>
  <c r="CF175" i="2"/>
  <c r="EQ63" i="3"/>
  <c r="ER63" i="3" s="1"/>
  <c r="ES63" i="3" s="1"/>
  <c r="ET63" i="3" s="1"/>
  <c r="EP63" i="3"/>
  <c r="BY74" i="5"/>
  <c r="BY75" i="5"/>
  <c r="CG140" i="2"/>
  <c r="CG139" i="2"/>
  <c r="CG141" i="2"/>
  <c r="CG174" i="2"/>
  <c r="CA77" i="3"/>
  <c r="BZ76" i="3"/>
  <c r="CY5" i="5"/>
  <c r="CZ144" i="2"/>
  <c r="CZ143" i="2"/>
  <c r="BZ84" i="5"/>
  <c r="BZ83" i="5"/>
  <c r="BZ79" i="5"/>
  <c r="BZ73" i="5"/>
  <c r="DB79" i="2"/>
  <c r="CB33" i="5"/>
  <c r="CB21" i="5"/>
  <c r="CB32" i="5"/>
  <c r="EH109" i="2"/>
  <c r="BI96" i="5"/>
  <c r="BI92" i="5"/>
  <c r="BJ90" i="5"/>
  <c r="CA23" i="5"/>
  <c r="CA22" i="5"/>
  <c r="CA82" i="5"/>
  <c r="CA52" i="5"/>
  <c r="CA53" i="5"/>
  <c r="CC36" i="5"/>
  <c r="CC35" i="5"/>
  <c r="CC31" i="5"/>
  <c r="CY31" i="5" s="1"/>
  <c r="CC61" i="5"/>
  <c r="CC60" i="5"/>
  <c r="CC63" i="5"/>
  <c r="CY59" i="5"/>
  <c r="CK95" i="3"/>
  <c r="CJ100" i="3"/>
  <c r="CJ104" i="3" s="1"/>
  <c r="CH104" i="3"/>
  <c r="ER88" i="3"/>
  <c r="CB58" i="5"/>
  <c r="CB57" i="5"/>
  <c r="BM95" i="5"/>
  <c r="BN93" i="5"/>
  <c r="CA69" i="5"/>
  <c r="CA68" i="5"/>
  <c r="CX50" i="5"/>
  <c r="CX27" i="5"/>
  <c r="CA54" i="5"/>
  <c r="CY39" i="5"/>
  <c r="CY28" i="5"/>
  <c r="CB50" i="5"/>
  <c r="CC48" i="5"/>
  <c r="CB51" i="5"/>
  <c r="CB54" i="5" s="1"/>
  <c r="CB27" i="5"/>
  <c r="CI146" i="2"/>
  <c r="CI86" i="2"/>
  <c r="CI85" i="2"/>
  <c r="CI84" i="2"/>
  <c r="DG86" i="3"/>
  <c r="BY80" i="5"/>
  <c r="BY70" i="5"/>
  <c r="BY81" i="5"/>
  <c r="CY34" i="5"/>
  <c r="BE22" i="6"/>
  <c r="DE109" i="2"/>
  <c r="DE108" i="2"/>
  <c r="DE162" i="2"/>
  <c r="EH162" i="2" s="1"/>
  <c r="EB138" i="2"/>
  <c r="BD24" i="6"/>
  <c r="BD23" i="6"/>
  <c r="CT90" i="5"/>
  <c r="CT92" i="5" s="1"/>
  <c r="BX72" i="5"/>
  <c r="BX71" i="5"/>
  <c r="CC76" i="5"/>
  <c r="DE87" i="2"/>
  <c r="EH165" i="2" l="1"/>
  <c r="EH164" i="2"/>
  <c r="BN95" i="5"/>
  <c r="BO93" i="5"/>
  <c r="CY61" i="5"/>
  <c r="CY63" i="5"/>
  <c r="BZ81" i="5"/>
  <c r="BZ70" i="5"/>
  <c r="BZ80" i="5"/>
  <c r="CJ146" i="2"/>
  <c r="CJ85" i="2"/>
  <c r="CJ84" i="2"/>
  <c r="CJ86" i="2"/>
  <c r="ES88" i="3"/>
  <c r="BJ96" i="5"/>
  <c r="BJ92" i="5"/>
  <c r="BK90" i="5"/>
  <c r="EG144" i="2"/>
  <c r="EG145" i="2"/>
  <c r="BH103" i="5"/>
  <c r="BH102" i="5"/>
  <c r="EB140" i="2"/>
  <c r="EB141" i="2"/>
  <c r="CY36" i="5"/>
  <c r="CY24" i="5"/>
  <c r="CB52" i="5"/>
  <c r="CB82" i="5"/>
  <c r="CB53" i="5"/>
  <c r="CB23" i="5"/>
  <c r="CB22" i="5"/>
  <c r="CG175" i="2"/>
  <c r="CG176" i="2"/>
  <c r="CG177" i="2"/>
  <c r="ES96" i="3"/>
  <c r="CC51" i="5"/>
  <c r="CC54" i="5" s="1"/>
  <c r="CC50" i="5"/>
  <c r="CC27" i="5"/>
  <c r="CH140" i="2"/>
  <c r="CH141" i="2"/>
  <c r="CH139" i="2"/>
  <c r="CH174" i="2"/>
  <c r="CB69" i="5"/>
  <c r="CB68" i="5"/>
  <c r="BY72" i="5"/>
  <c r="BY71" i="5"/>
  <c r="CA79" i="5"/>
  <c r="CA73" i="5"/>
  <c r="CA83" i="5"/>
  <c r="CA84" i="5"/>
  <c r="DC79" i="2"/>
  <c r="DB81" i="2"/>
  <c r="DB142" i="2"/>
  <c r="DB80" i="2"/>
  <c r="EB174" i="2"/>
  <c r="CC58" i="5"/>
  <c r="CC57" i="5"/>
  <c r="DA143" i="2"/>
  <c r="DA144" i="2"/>
  <c r="CI148" i="2"/>
  <c r="CI147" i="2"/>
  <c r="CI138" i="2"/>
  <c r="CY21" i="5"/>
  <c r="CY23" i="5" s="1"/>
  <c r="CY33" i="5"/>
  <c r="BE23" i="6"/>
  <c r="BE24" i="6"/>
  <c r="CB77" i="3"/>
  <c r="CA76" i="3"/>
  <c r="BT22" i="6"/>
  <c r="CY58" i="5"/>
  <c r="CC20" i="5"/>
  <c r="CC19" i="5"/>
  <c r="CC67" i="5"/>
  <c r="DJ74" i="3"/>
  <c r="DJ86" i="3" s="1"/>
  <c r="DE163" i="2"/>
  <c r="DE164" i="2"/>
  <c r="BI101" i="5"/>
  <c r="CT101" i="5" s="1"/>
  <c r="BI97" i="5"/>
  <c r="BI98" i="5"/>
  <c r="CK83" i="2"/>
  <c r="CT96" i="5"/>
  <c r="EV63" i="3"/>
  <c r="EW63" i="3" s="1"/>
  <c r="EX63" i="3" s="1"/>
  <c r="EY63" i="3" s="1"/>
  <c r="EZ63" i="3" s="1"/>
  <c r="EU63" i="3"/>
  <c r="CL95" i="3"/>
  <c r="CK100" i="3"/>
  <c r="CK104" i="3" s="1"/>
  <c r="CC32" i="5"/>
  <c r="CC21" i="5"/>
  <c r="CC33" i="5"/>
  <c r="BZ75" i="5"/>
  <c r="BZ74" i="5"/>
  <c r="CY62" i="5"/>
  <c r="CY7" i="5"/>
  <c r="ES84" i="3"/>
  <c r="ET81" i="3"/>
  <c r="EG81" i="2"/>
  <c r="CT98" i="5" l="1"/>
  <c r="CT93" i="5"/>
  <c r="CT95" i="5" s="1"/>
  <c r="CA80" i="5"/>
  <c r="CA81" i="5"/>
  <c r="CA70" i="5"/>
  <c r="CK146" i="2"/>
  <c r="CK85" i="2"/>
  <c r="CK84" i="2"/>
  <c r="CK86" i="2"/>
  <c r="CH177" i="2"/>
  <c r="CH175" i="2"/>
  <c r="CH176" i="2"/>
  <c r="BJ101" i="5"/>
  <c r="BJ98" i="5"/>
  <c r="BJ97" i="5"/>
  <c r="CL83" i="2"/>
  <c r="CC82" i="5"/>
  <c r="CY82" i="5" s="1"/>
  <c r="CC52" i="5"/>
  <c r="CC53" i="5"/>
  <c r="CB84" i="5"/>
  <c r="CB79" i="5"/>
  <c r="CB73" i="5"/>
  <c r="CB83" i="5"/>
  <c r="DD79" i="2"/>
  <c r="ET88" i="3"/>
  <c r="BZ71" i="5"/>
  <c r="BZ72" i="5"/>
  <c r="EU81" i="3"/>
  <c r="EV81" i="3"/>
  <c r="ET84" i="3"/>
  <c r="EC83" i="2"/>
  <c r="CT103" i="5"/>
  <c r="CY51" i="5"/>
  <c r="CC69" i="5"/>
  <c r="CC68" i="5"/>
  <c r="BI103" i="5"/>
  <c r="BI102" i="5"/>
  <c r="CC77" i="3"/>
  <c r="CB76" i="3"/>
  <c r="CC76" i="3" s="1"/>
  <c r="CD77" i="3"/>
  <c r="CY67" i="5"/>
  <c r="ET96" i="3"/>
  <c r="CY26" i="5"/>
  <c r="CJ148" i="2"/>
  <c r="CJ147" i="2"/>
  <c r="CJ138" i="2"/>
  <c r="BP93" i="5"/>
  <c r="BO95" i="5"/>
  <c r="CN95" i="3"/>
  <c r="CM95" i="3"/>
  <c r="CL100" i="3"/>
  <c r="BT24" i="6"/>
  <c r="DC81" i="2"/>
  <c r="DC142" i="2"/>
  <c r="DC80" i="2"/>
  <c r="CC23" i="5"/>
  <c r="CC22" i="5"/>
  <c r="CI141" i="2"/>
  <c r="CI139" i="2"/>
  <c r="CI140" i="2"/>
  <c r="CI174" i="2"/>
  <c r="EB177" i="2"/>
  <c r="EB176" i="2"/>
  <c r="DB143" i="2"/>
  <c r="DB144" i="2"/>
  <c r="CA75" i="5"/>
  <c r="CA74" i="5"/>
  <c r="BL90" i="5"/>
  <c r="BK96" i="5"/>
  <c r="BK92" i="5"/>
  <c r="BL96" i="5" l="1"/>
  <c r="BL92" i="5"/>
  <c r="BM90" i="5"/>
  <c r="CE77" i="3"/>
  <c r="CD76" i="3"/>
  <c r="EW81" i="3"/>
  <c r="EV84" i="3"/>
  <c r="CY73" i="5"/>
  <c r="CY75" i="5" s="1"/>
  <c r="CY84" i="5"/>
  <c r="CY53" i="5"/>
  <c r="CY48" i="5"/>
  <c r="DD142" i="2"/>
  <c r="DD80" i="2"/>
  <c r="DD81" i="2"/>
  <c r="BJ103" i="5"/>
  <c r="BJ102" i="5"/>
  <c r="DC144" i="2"/>
  <c r="DC143" i="2"/>
  <c r="CO95" i="3"/>
  <c r="CN100" i="3"/>
  <c r="CN104" i="3" s="1"/>
  <c r="CC83" i="5"/>
  <c r="CC84" i="5"/>
  <c r="CC79" i="5"/>
  <c r="CY79" i="5" s="1"/>
  <c r="CC73" i="5"/>
  <c r="DE79" i="2"/>
  <c r="CK148" i="2"/>
  <c r="CK147" i="2"/>
  <c r="CK138" i="2"/>
  <c r="EC146" i="2"/>
  <c r="BK98" i="5"/>
  <c r="BK101" i="5"/>
  <c r="BK97" i="5"/>
  <c r="CM83" i="2"/>
  <c r="EU84" i="3"/>
  <c r="CJ141" i="2"/>
  <c r="CJ139" i="2"/>
  <c r="CJ140" i="2"/>
  <c r="CJ174" i="2"/>
  <c r="EV96" i="3"/>
  <c r="EU96" i="3"/>
  <c r="CB74" i="5"/>
  <c r="CB75" i="5"/>
  <c r="CL85" i="2"/>
  <c r="CL84" i="2"/>
  <c r="CL86" i="2"/>
  <c r="CL146" i="2"/>
  <c r="CA71" i="5"/>
  <c r="CA72" i="5"/>
  <c r="CL104" i="3"/>
  <c r="CM100" i="3"/>
  <c r="CI177" i="2"/>
  <c r="CI176" i="2"/>
  <c r="CI175" i="2"/>
  <c r="BP95" i="5"/>
  <c r="BQ93" i="5"/>
  <c r="CY69" i="5"/>
  <c r="EC85" i="2"/>
  <c r="EC86" i="2"/>
  <c r="EV88" i="3"/>
  <c r="EU88" i="3"/>
  <c r="CB80" i="5"/>
  <c r="CB81" i="5"/>
  <c r="CB70" i="5"/>
  <c r="CY81" i="5" l="1"/>
  <c r="CY70" i="5"/>
  <c r="CY72" i="5" s="1"/>
  <c r="EW96" i="3"/>
  <c r="CK141" i="2"/>
  <c r="CK139" i="2"/>
  <c r="CK140" i="2"/>
  <c r="CK174" i="2"/>
  <c r="EC174" i="2" s="1"/>
  <c r="CL148" i="2"/>
  <c r="CL147" i="2"/>
  <c r="CL138" i="2"/>
  <c r="EC138" i="2"/>
  <c r="BK103" i="5"/>
  <c r="BK102" i="5"/>
  <c r="BN90" i="5"/>
  <c r="BM92" i="5"/>
  <c r="BM96" i="5"/>
  <c r="CU96" i="5" s="1"/>
  <c r="CJ175" i="2"/>
  <c r="CJ177" i="2"/>
  <c r="CJ176" i="2"/>
  <c r="CB71" i="5"/>
  <c r="CB72" i="5"/>
  <c r="BL98" i="5"/>
  <c r="BL97" i="5"/>
  <c r="BL101" i="5"/>
  <c r="CN83" i="2"/>
  <c r="BR93" i="5"/>
  <c r="BQ95" i="5"/>
  <c r="DD144" i="2"/>
  <c r="DD143" i="2"/>
  <c r="EX81" i="3"/>
  <c r="EW84" i="3"/>
  <c r="CC74" i="5"/>
  <c r="CC75" i="5"/>
  <c r="CF77" i="3"/>
  <c r="CE76" i="3"/>
  <c r="CC80" i="5"/>
  <c r="CC81" i="5"/>
  <c r="CC70" i="5"/>
  <c r="CU90" i="5"/>
  <c r="CU92" i="5" s="1"/>
  <c r="EW88" i="3"/>
  <c r="CM104" i="3"/>
  <c r="CM85" i="2"/>
  <c r="CM84" i="2"/>
  <c r="CM86" i="2"/>
  <c r="CM146" i="2"/>
  <c r="EC149" i="2"/>
  <c r="EC148" i="2"/>
  <c r="DE142" i="2"/>
  <c r="DE80" i="2"/>
  <c r="DE81" i="2"/>
  <c r="CP95" i="3"/>
  <c r="CO100" i="3"/>
  <c r="CO104" i="3" s="1"/>
  <c r="EH79" i="2"/>
  <c r="CY50" i="5"/>
  <c r="CY27" i="5"/>
  <c r="EX88" i="3" l="1"/>
  <c r="BL102" i="5"/>
  <c r="BL103" i="5"/>
  <c r="CU98" i="5"/>
  <c r="CU93" i="5"/>
  <c r="CU95" i="5" s="1"/>
  <c r="CM147" i="2"/>
  <c r="CM148" i="2"/>
  <c r="CM138" i="2"/>
  <c r="CC71" i="5"/>
  <c r="CC72" i="5"/>
  <c r="CF76" i="3"/>
  <c r="CG77" i="3"/>
  <c r="EC176" i="2"/>
  <c r="EC177" i="2"/>
  <c r="BM97" i="5"/>
  <c r="BM101" i="5"/>
  <c r="BM98" i="5"/>
  <c r="CO83" i="2"/>
  <c r="ED83" i="2" s="1"/>
  <c r="EX96" i="3"/>
  <c r="EH81" i="2"/>
  <c r="EY81" i="3"/>
  <c r="EX84" i="3"/>
  <c r="BS93" i="5"/>
  <c r="BR95" i="5"/>
  <c r="CK175" i="2"/>
  <c r="CK176" i="2"/>
  <c r="CK177" i="2"/>
  <c r="CQ95" i="3"/>
  <c r="CP100" i="3"/>
  <c r="CP104" i="3" s="1"/>
  <c r="CL139" i="2"/>
  <c r="CL140" i="2"/>
  <c r="CL141" i="2"/>
  <c r="CL174" i="2"/>
  <c r="DE144" i="2"/>
  <c r="DE143" i="2"/>
  <c r="EH142" i="2"/>
  <c r="CN146" i="2"/>
  <c r="CN84" i="2"/>
  <c r="CN86" i="2"/>
  <c r="CN85" i="2"/>
  <c r="BN92" i="5"/>
  <c r="BN96" i="5"/>
  <c r="BO90" i="5"/>
  <c r="EC141" i="2"/>
  <c r="EC140" i="2"/>
  <c r="BS95" i="5" l="1"/>
  <c r="BT93" i="5"/>
  <c r="EY96" i="3"/>
  <c r="CS95" i="3"/>
  <c r="CR95" i="3"/>
  <c r="CQ100" i="3"/>
  <c r="CO146" i="2"/>
  <c r="CO86" i="2"/>
  <c r="CO85" i="2"/>
  <c r="CO84" i="2"/>
  <c r="EY84" i="3"/>
  <c r="EZ81" i="3"/>
  <c r="BO96" i="5"/>
  <c r="BO92" i="5"/>
  <c r="BP90" i="5"/>
  <c r="EH144" i="2"/>
  <c r="EH145" i="2"/>
  <c r="BM102" i="5"/>
  <c r="BM103" i="5"/>
  <c r="CM140" i="2"/>
  <c r="CM139" i="2"/>
  <c r="CM141" i="2"/>
  <c r="CM174" i="2"/>
  <c r="CU101" i="5"/>
  <c r="CN148" i="2"/>
  <c r="CN147" i="2"/>
  <c r="CN138" i="2"/>
  <c r="ED146" i="2"/>
  <c r="ED86" i="2"/>
  <c r="ED85" i="2"/>
  <c r="BN101" i="5"/>
  <c r="BN97" i="5"/>
  <c r="BN98" i="5"/>
  <c r="CP83" i="2"/>
  <c r="CL176" i="2"/>
  <c r="CL177" i="2"/>
  <c r="CL175" i="2"/>
  <c r="CI77" i="3"/>
  <c r="CG76" i="3"/>
  <c r="CH76" i="3" s="1"/>
  <c r="CH77" i="3"/>
  <c r="EY88" i="3"/>
  <c r="EZ96" i="3" l="1"/>
  <c r="CJ77" i="3"/>
  <c r="CI76" i="3"/>
  <c r="CN140" i="2"/>
  <c r="CN141" i="2"/>
  <c r="CN139" i="2"/>
  <c r="CN174" i="2"/>
  <c r="EZ84" i="3"/>
  <c r="CM175" i="2"/>
  <c r="CM176" i="2"/>
  <c r="CM177" i="2"/>
  <c r="CP146" i="2"/>
  <c r="CP85" i="2"/>
  <c r="CP84" i="2"/>
  <c r="CP86" i="2"/>
  <c r="CU103" i="5"/>
  <c r="BP96" i="5"/>
  <c r="BP92" i="5"/>
  <c r="BQ90" i="5"/>
  <c r="CO148" i="2"/>
  <c r="CO147" i="2"/>
  <c r="CO138" i="2"/>
  <c r="ED138" i="2" s="1"/>
  <c r="BT95" i="5"/>
  <c r="BU93" i="5"/>
  <c r="BN103" i="5"/>
  <c r="BN102" i="5"/>
  <c r="CT95" i="3"/>
  <c r="CS100" i="3"/>
  <c r="CS104" i="3" s="1"/>
  <c r="EZ88" i="3"/>
  <c r="ED149" i="2"/>
  <c r="ED148" i="2"/>
  <c r="BO101" i="5"/>
  <c r="BO97" i="5"/>
  <c r="BO98" i="5"/>
  <c r="CQ83" i="2"/>
  <c r="CQ104" i="3"/>
  <c r="CR100" i="3"/>
  <c r="CN175" i="2" l="1"/>
  <c r="CN176" i="2"/>
  <c r="CN177" i="2"/>
  <c r="BP101" i="5"/>
  <c r="BP97" i="5"/>
  <c r="BP98" i="5"/>
  <c r="CR83" i="2"/>
  <c r="BO103" i="5"/>
  <c r="BO102" i="5"/>
  <c r="BV93" i="5"/>
  <c r="BU95" i="5"/>
  <c r="ED141" i="2"/>
  <c r="ED140" i="2"/>
  <c r="CK77" i="3"/>
  <c r="CJ76" i="3"/>
  <c r="CR104" i="3"/>
  <c r="BQ92" i="5"/>
  <c r="BR90" i="5"/>
  <c r="BQ96" i="5"/>
  <c r="CV96" i="5" s="1"/>
  <c r="CV90" i="5"/>
  <c r="CV92" i="5" s="1"/>
  <c r="CP148" i="2"/>
  <c r="CP147" i="2"/>
  <c r="CP138" i="2"/>
  <c r="CQ146" i="2"/>
  <c r="CQ85" i="2"/>
  <c r="CQ84" i="2"/>
  <c r="CQ86" i="2"/>
  <c r="CU95" i="3"/>
  <c r="CT100" i="3"/>
  <c r="CT104" i="3" s="1"/>
  <c r="CO141" i="2"/>
  <c r="CO139" i="2"/>
  <c r="CO140" i="2"/>
  <c r="CO174" i="2"/>
  <c r="ED174" i="2" s="1"/>
  <c r="CV93" i="5" l="1"/>
  <c r="CV95" i="5" s="1"/>
  <c r="CV98" i="5"/>
  <c r="CV95" i="3"/>
  <c r="CU100" i="3"/>
  <c r="CU104" i="3" s="1"/>
  <c r="CP141" i="2"/>
  <c r="CP139" i="2"/>
  <c r="CP140" i="2"/>
  <c r="CP174" i="2"/>
  <c r="BR96" i="5"/>
  <c r="BS90" i="5"/>
  <c r="BR92" i="5"/>
  <c r="BV95" i="5"/>
  <c r="BW93" i="5"/>
  <c r="CO177" i="2"/>
  <c r="CO176" i="2"/>
  <c r="CO175" i="2"/>
  <c r="CL77" i="3"/>
  <c r="CK76" i="3"/>
  <c r="ED176" i="2"/>
  <c r="ED177" i="2"/>
  <c r="CQ148" i="2"/>
  <c r="CQ147" i="2"/>
  <c r="CQ138" i="2"/>
  <c r="BQ98" i="5"/>
  <c r="BQ97" i="5"/>
  <c r="BQ101" i="5"/>
  <c r="CS83" i="2"/>
  <c r="EE83" i="2" s="1"/>
  <c r="BP102" i="5"/>
  <c r="BP103" i="5"/>
  <c r="CR85" i="2"/>
  <c r="CR84" i="2"/>
  <c r="CR146" i="2"/>
  <c r="CR86" i="2"/>
  <c r="CW95" i="3" l="1"/>
  <c r="CV100" i="3"/>
  <c r="CR148" i="2"/>
  <c r="CR147" i="2"/>
  <c r="CR138" i="2"/>
  <c r="BS96" i="5"/>
  <c r="BS92" i="5"/>
  <c r="BT90" i="5"/>
  <c r="CP175" i="2"/>
  <c r="CP176" i="2"/>
  <c r="CP177" i="2"/>
  <c r="CS85" i="2"/>
  <c r="CS84" i="2"/>
  <c r="CS146" i="2"/>
  <c r="EE146" i="2" s="1"/>
  <c r="CS86" i="2"/>
  <c r="BQ102" i="5"/>
  <c r="BQ103" i="5"/>
  <c r="EE85" i="2"/>
  <c r="EE86" i="2"/>
  <c r="BW95" i="5"/>
  <c r="BX93" i="5"/>
  <c r="CN77" i="3"/>
  <c r="CM77" i="3"/>
  <c r="CL76" i="3"/>
  <c r="CM76" i="3" s="1"/>
  <c r="CV101" i="5"/>
  <c r="CQ141" i="2"/>
  <c r="CQ139" i="2"/>
  <c r="CQ140" i="2"/>
  <c r="CQ174" i="2"/>
  <c r="BR98" i="5"/>
  <c r="BR97" i="5"/>
  <c r="BR101" i="5"/>
  <c r="CT83" i="2"/>
  <c r="EE148" i="2" l="1"/>
  <c r="EE149" i="2"/>
  <c r="BR102" i="5"/>
  <c r="BR103" i="5"/>
  <c r="BX95" i="5"/>
  <c r="BY93" i="5"/>
  <c r="CT146" i="2"/>
  <c r="CT84" i="2"/>
  <c r="CT86" i="2"/>
  <c r="CT85" i="2"/>
  <c r="CV103" i="5"/>
  <c r="BT92" i="5"/>
  <c r="BT96" i="5"/>
  <c r="BU90" i="5"/>
  <c r="CW90" i="5" s="1"/>
  <c r="CW92" i="5" s="1"/>
  <c r="CV104" i="3"/>
  <c r="CW100" i="3"/>
  <c r="CQ177" i="2"/>
  <c r="CQ175" i="2"/>
  <c r="CQ176" i="2"/>
  <c r="CS147" i="2"/>
  <c r="CS148" i="2"/>
  <c r="CS138" i="2"/>
  <c r="BS97" i="5"/>
  <c r="BS98" i="5"/>
  <c r="BS101" i="5"/>
  <c r="CU83" i="2"/>
  <c r="CO77" i="3"/>
  <c r="CN76" i="3"/>
  <c r="CR139" i="2"/>
  <c r="CR140" i="2"/>
  <c r="CR141" i="2"/>
  <c r="CR174" i="2"/>
  <c r="CR176" i="2" l="1"/>
  <c r="CR177" i="2"/>
  <c r="CR175" i="2"/>
  <c r="CS140" i="2"/>
  <c r="CS139" i="2"/>
  <c r="CS141" i="2"/>
  <c r="CS174" i="2"/>
  <c r="EE174" i="2" s="1"/>
  <c r="CU146" i="2"/>
  <c r="CU86" i="2"/>
  <c r="CU85" i="2"/>
  <c r="CU84" i="2"/>
  <c r="BY95" i="5"/>
  <c r="BZ93" i="5"/>
  <c r="CO76" i="3"/>
  <c r="CP77" i="3"/>
  <c r="BS102" i="5"/>
  <c r="BS103" i="5"/>
  <c r="CW104" i="3"/>
  <c r="BT98" i="5"/>
  <c r="BT101" i="5"/>
  <c r="BT97" i="5"/>
  <c r="CV83" i="2"/>
  <c r="CT147" i="2"/>
  <c r="CT148" i="2"/>
  <c r="CT138" i="2"/>
  <c r="EE138" i="2"/>
  <c r="BU96" i="5"/>
  <c r="BU92" i="5"/>
  <c r="BV90" i="5"/>
  <c r="BZ95" i="5" l="1"/>
  <c r="CA93" i="5"/>
  <c r="BU101" i="5"/>
  <c r="BU97" i="5"/>
  <c r="BU98" i="5"/>
  <c r="CW83" i="2"/>
  <c r="EE177" i="2"/>
  <c r="EE176" i="2"/>
  <c r="CQ77" i="3"/>
  <c r="CP76" i="3"/>
  <c r="CW96" i="5"/>
  <c r="CS175" i="2"/>
  <c r="CS177" i="2"/>
  <c r="CS176" i="2"/>
  <c r="EE140" i="2"/>
  <c r="EE141" i="2"/>
  <c r="CV146" i="2"/>
  <c r="CV85" i="2"/>
  <c r="CV84" i="2"/>
  <c r="CV75" i="2"/>
  <c r="BT103" i="5"/>
  <c r="BT102" i="5"/>
  <c r="CU148" i="2"/>
  <c r="CU147" i="2"/>
  <c r="CU138" i="2"/>
  <c r="BV96" i="5"/>
  <c r="BV92" i="5"/>
  <c r="BW90" i="5"/>
  <c r="CT140" i="2"/>
  <c r="CT141" i="2"/>
  <c r="CT139" i="2"/>
  <c r="CT174" i="2"/>
  <c r="BX90" i="5" l="1"/>
  <c r="BW92" i="5"/>
  <c r="BW96" i="5"/>
  <c r="CW93" i="5"/>
  <c r="CW95" i="5" s="1"/>
  <c r="CW98" i="5"/>
  <c r="CT175" i="2"/>
  <c r="CT176" i="2"/>
  <c r="CT177" i="2"/>
  <c r="BU103" i="5"/>
  <c r="BU102" i="5"/>
  <c r="CW146" i="2"/>
  <c r="CW85" i="2"/>
  <c r="CW84" i="2"/>
  <c r="CW75" i="2"/>
  <c r="EF75" i="2" s="1"/>
  <c r="EF83" i="2"/>
  <c r="CW101" i="5"/>
  <c r="CU141" i="2"/>
  <c r="CU139" i="2"/>
  <c r="CU140" i="2"/>
  <c r="CU174" i="2"/>
  <c r="CQ76" i="3"/>
  <c r="CR76" i="3" s="1"/>
  <c r="CS77" i="3"/>
  <c r="CR77" i="3"/>
  <c r="CV148" i="2"/>
  <c r="CV147" i="2"/>
  <c r="CV138" i="2"/>
  <c r="CB93" i="5"/>
  <c r="CA95" i="5"/>
  <c r="BV101" i="5"/>
  <c r="BV97" i="5"/>
  <c r="BV98" i="5"/>
  <c r="CX83" i="2"/>
  <c r="CV131" i="2"/>
  <c r="CV78" i="2" s="1"/>
  <c r="CV76" i="2"/>
  <c r="CV77" i="2"/>
  <c r="CX146" i="2" l="1"/>
  <c r="CX85" i="2"/>
  <c r="CX84" i="2"/>
  <c r="CX75" i="2"/>
  <c r="CC93" i="5"/>
  <c r="CC95" i="5" s="1"/>
  <c r="CB95" i="5"/>
  <c r="CW148" i="2"/>
  <c r="CW147" i="2"/>
  <c r="CW138" i="2"/>
  <c r="EF138" i="2" s="1"/>
  <c r="BW98" i="5"/>
  <c r="BW101" i="5"/>
  <c r="BW97" i="5"/>
  <c r="CY83" i="2"/>
  <c r="CV141" i="2"/>
  <c r="CV139" i="2"/>
  <c r="CV140" i="2"/>
  <c r="CV174" i="2"/>
  <c r="BX92" i="5"/>
  <c r="BX96" i="5"/>
  <c r="BY90" i="5"/>
  <c r="EF85" i="2"/>
  <c r="EF77" i="2"/>
  <c r="CW131" i="2"/>
  <c r="EF131" i="2" s="1"/>
  <c r="CW76" i="2"/>
  <c r="CW77" i="2"/>
  <c r="CT77" i="3"/>
  <c r="CS76" i="3"/>
  <c r="EF146" i="2"/>
  <c r="CV133" i="2"/>
  <c r="CV134" i="2"/>
  <c r="CV114" i="2"/>
  <c r="CV132" i="2"/>
  <c r="CV5" i="2"/>
  <c r="CV94" i="2"/>
  <c r="CV106" i="2"/>
  <c r="CV102" i="2"/>
  <c r="CV98" i="2"/>
  <c r="CV126" i="2"/>
  <c r="CV122" i="2"/>
  <c r="CV118" i="2"/>
  <c r="CV110" i="2"/>
  <c r="CV90" i="2"/>
  <c r="CV82" i="2"/>
  <c r="CV86" i="2"/>
  <c r="BV102" i="5"/>
  <c r="BV103" i="5"/>
  <c r="CU177" i="2"/>
  <c r="CU176" i="2"/>
  <c r="CU175" i="2"/>
  <c r="CW103" i="5"/>
  <c r="EF133" i="2" l="1"/>
  <c r="EF106" i="2"/>
  <c r="EF114" i="2"/>
  <c r="EF94" i="2"/>
  <c r="EF102" i="2"/>
  <c r="EF98" i="2"/>
  <c r="EF126" i="2"/>
  <c r="EF118" i="2"/>
  <c r="EF122" i="2"/>
  <c r="EF110" i="2"/>
  <c r="EF90" i="2"/>
  <c r="EF82" i="2"/>
  <c r="EF86" i="2"/>
  <c r="EF78" i="2"/>
  <c r="CV175" i="2"/>
  <c r="CV176" i="2"/>
  <c r="CV177" i="2"/>
  <c r="CV15" i="2"/>
  <c r="BW102" i="5"/>
  <c r="BW103" i="5"/>
  <c r="BY92" i="5"/>
  <c r="BY96" i="5"/>
  <c r="BZ90" i="5"/>
  <c r="CX90" i="5"/>
  <c r="CX92" i="5" s="1"/>
  <c r="EN7" i="3"/>
  <c r="CV7" i="2"/>
  <c r="CV6" i="2"/>
  <c r="CV14" i="2"/>
  <c r="CV33" i="2"/>
  <c r="CV38" i="2"/>
  <c r="CV24" i="2"/>
  <c r="CV28" i="2"/>
  <c r="EF148" i="2"/>
  <c r="EF149" i="2"/>
  <c r="BX98" i="5"/>
  <c r="BX97" i="5"/>
  <c r="BX101" i="5"/>
  <c r="CZ83" i="2"/>
  <c r="CX148" i="2"/>
  <c r="CX147" i="2"/>
  <c r="CX138" i="2"/>
  <c r="EF140" i="2"/>
  <c r="EF141" i="2"/>
  <c r="CW134" i="2"/>
  <c r="CW132" i="2"/>
  <c r="CW133" i="2"/>
  <c r="CW5" i="2"/>
  <c r="CW114" i="2"/>
  <c r="CW106" i="2"/>
  <c r="CW94" i="2"/>
  <c r="CW102" i="2"/>
  <c r="CW98" i="2"/>
  <c r="CW126" i="2"/>
  <c r="CW118" i="2"/>
  <c r="CW122" i="2"/>
  <c r="CW90" i="2"/>
  <c r="CW110" i="2"/>
  <c r="CW82" i="2"/>
  <c r="CW86" i="2"/>
  <c r="CX131" i="2"/>
  <c r="CX78" i="2" s="1"/>
  <c r="CX77" i="2"/>
  <c r="CX76" i="2"/>
  <c r="CU77" i="3"/>
  <c r="CT76" i="3"/>
  <c r="CY146" i="2"/>
  <c r="CY85" i="2"/>
  <c r="CY84" i="2"/>
  <c r="CY75" i="2"/>
  <c r="CW141" i="2"/>
  <c r="CW139" i="2"/>
  <c r="CW140" i="2"/>
  <c r="CW174" i="2"/>
  <c r="EF174" i="2" s="1"/>
  <c r="CW78" i="2"/>
  <c r="EF5" i="2" l="1"/>
  <c r="EF177" i="2" s="1"/>
  <c r="EF176" i="2"/>
  <c r="EN65" i="3"/>
  <c r="EN9" i="3"/>
  <c r="EN8" i="3"/>
  <c r="EN20" i="3"/>
  <c r="EN18" i="3"/>
  <c r="EN13" i="3"/>
  <c r="CV40" i="2"/>
  <c r="CV18" i="2"/>
  <c r="CV16" i="2"/>
  <c r="CV17" i="2"/>
  <c r="CV19" i="2"/>
  <c r="CW175" i="2"/>
  <c r="CW176" i="2"/>
  <c r="CW177" i="2"/>
  <c r="CW15" i="2"/>
  <c r="EF15" i="2" s="1"/>
  <c r="CV8" i="2"/>
  <c r="BZ92" i="5"/>
  <c r="BZ96" i="5"/>
  <c r="CA90" i="5"/>
  <c r="CV77" i="3"/>
  <c r="CU76" i="3"/>
  <c r="EO7" i="3"/>
  <c r="EP7" i="3" s="1"/>
  <c r="CW7" i="2"/>
  <c r="CW6" i="2"/>
  <c r="CW14" i="2"/>
  <c r="CW33" i="2"/>
  <c r="CW38" i="2"/>
  <c r="CW24" i="2"/>
  <c r="CW28" i="2"/>
  <c r="CX139" i="2"/>
  <c r="CX140" i="2"/>
  <c r="CX141" i="2"/>
  <c r="CX174" i="2"/>
  <c r="CZ146" i="2"/>
  <c r="CZ84" i="2"/>
  <c r="CZ85" i="2"/>
  <c r="CZ75" i="2"/>
  <c r="BY97" i="5"/>
  <c r="BY98" i="5"/>
  <c r="BY101" i="5"/>
  <c r="CX101" i="5" s="1"/>
  <c r="DA83" i="2"/>
  <c r="EG83" i="2" s="1"/>
  <c r="CX96" i="5"/>
  <c r="CY131" i="2"/>
  <c r="CY77" i="2"/>
  <c r="CY76" i="2"/>
  <c r="CY147" i="2"/>
  <c r="CY148" i="2"/>
  <c r="CY138" i="2"/>
  <c r="CX132" i="2"/>
  <c r="CX134" i="2"/>
  <c r="CX133" i="2"/>
  <c r="CX126" i="2"/>
  <c r="CX5" i="2"/>
  <c r="CX114" i="2"/>
  <c r="CX106" i="2"/>
  <c r="CX94" i="2"/>
  <c r="CX102" i="2"/>
  <c r="CX98" i="2"/>
  <c r="CX118" i="2"/>
  <c r="CX122" i="2"/>
  <c r="CX110" i="2"/>
  <c r="CX90" i="2"/>
  <c r="CX82" i="2"/>
  <c r="CX86" i="2"/>
  <c r="BX102" i="5"/>
  <c r="BX103" i="5"/>
  <c r="EF28" i="2" l="1"/>
  <c r="EF14" i="2"/>
  <c r="EF38" i="2"/>
  <c r="EF7" i="2"/>
  <c r="EF33" i="2"/>
  <c r="EF24" i="2"/>
  <c r="EP9" i="3"/>
  <c r="EP18" i="3"/>
  <c r="EP20" i="3"/>
  <c r="EF17" i="2"/>
  <c r="EF18" i="2"/>
  <c r="EF19" i="2"/>
  <c r="CX103" i="5"/>
  <c r="CY140" i="2"/>
  <c r="CY139" i="2"/>
  <c r="CY141" i="2"/>
  <c r="CY174" i="2"/>
  <c r="CA96" i="5"/>
  <c r="CB90" i="5"/>
  <c r="CA92" i="5"/>
  <c r="EN22" i="3"/>
  <c r="EN15" i="3"/>
  <c r="EN14" i="3"/>
  <c r="CZ77" i="2"/>
  <c r="CZ131" i="2"/>
  <c r="CZ78" i="2" s="1"/>
  <c r="CZ76" i="2"/>
  <c r="BZ97" i="5"/>
  <c r="BZ98" i="5"/>
  <c r="BZ101" i="5"/>
  <c r="DB83" i="2"/>
  <c r="EN10" i="3"/>
  <c r="EO13" i="3"/>
  <c r="EP13" i="3" s="1"/>
  <c r="CW40" i="2"/>
  <c r="EF40" i="2" s="1"/>
  <c r="CW18" i="2"/>
  <c r="CW17" i="2"/>
  <c r="CW16" i="2"/>
  <c r="CW19" i="2"/>
  <c r="CY133" i="2"/>
  <c r="CY126" i="2"/>
  <c r="CY132" i="2"/>
  <c r="CY134" i="2"/>
  <c r="CY5" i="2"/>
  <c r="CY114" i="2"/>
  <c r="CY106" i="2"/>
  <c r="CY94" i="2"/>
  <c r="CY102" i="2"/>
  <c r="CY98" i="2"/>
  <c r="CY118" i="2"/>
  <c r="CY122" i="2"/>
  <c r="CY110" i="2"/>
  <c r="CY90" i="2"/>
  <c r="CY82" i="2"/>
  <c r="CY86" i="2"/>
  <c r="CW77" i="3"/>
  <c r="CV76" i="3"/>
  <c r="CW76" i="3" s="1"/>
  <c r="CX77" i="3"/>
  <c r="CV44" i="2"/>
  <c r="CV43" i="2"/>
  <c r="CV42" i="2"/>
  <c r="CV41" i="2"/>
  <c r="CZ148" i="2"/>
  <c r="CZ147" i="2"/>
  <c r="CZ138" i="2"/>
  <c r="CX176" i="2"/>
  <c r="CX177" i="2"/>
  <c r="CX175" i="2"/>
  <c r="CX15" i="2"/>
  <c r="CX8" i="2" s="1"/>
  <c r="EG85" i="2"/>
  <c r="EQ7" i="3"/>
  <c r="CX7" i="2"/>
  <c r="CX6" i="2"/>
  <c r="CX14" i="2"/>
  <c r="CX38" i="2"/>
  <c r="CX33" i="2"/>
  <c r="CX24" i="2"/>
  <c r="CX28" i="2"/>
  <c r="CX93" i="5"/>
  <c r="CX95" i="5" s="1"/>
  <c r="CX98" i="5"/>
  <c r="CY78" i="2"/>
  <c r="DA146" i="2"/>
  <c r="DA85" i="2"/>
  <c r="DA84" i="2"/>
  <c r="DA75" i="2"/>
  <c r="CW8" i="2"/>
  <c r="EF8" i="2" s="1"/>
  <c r="EF10" i="2" s="1"/>
  <c r="BY102" i="5"/>
  <c r="BY103" i="5"/>
  <c r="EO65" i="3"/>
  <c r="EO123" i="3" s="1"/>
  <c r="EO9" i="3"/>
  <c r="EO8" i="3"/>
  <c r="EO20" i="3"/>
  <c r="EO18" i="3"/>
  <c r="CV10" i="2"/>
  <c r="CV9" i="2"/>
  <c r="EN123" i="3"/>
  <c r="EO10" i="3" l="1"/>
  <c r="EO67" i="3" s="1"/>
  <c r="EP67" i="3" s="1"/>
  <c r="EP123" i="3"/>
  <c r="EP14" i="3"/>
  <c r="EP15" i="3"/>
  <c r="EP65" i="3"/>
  <c r="EQ13" i="3"/>
  <c r="EQ10" i="3" s="1"/>
  <c r="CX40" i="2"/>
  <c r="CX17" i="2"/>
  <c r="CX16" i="2"/>
  <c r="CX19" i="2"/>
  <c r="CX18" i="2"/>
  <c r="CB96" i="5"/>
  <c r="CB92" i="5"/>
  <c r="CC90" i="5"/>
  <c r="CZ140" i="2"/>
  <c r="CZ141" i="2"/>
  <c r="CZ139" i="2"/>
  <c r="CZ174" i="2"/>
  <c r="CX76" i="3"/>
  <c r="CY77" i="3"/>
  <c r="CX10" i="2"/>
  <c r="CX9" i="2"/>
  <c r="CV47" i="2"/>
  <c r="CV45" i="2"/>
  <c r="CV46" i="2"/>
  <c r="EN89" i="3"/>
  <c r="EN67" i="3"/>
  <c r="CA101" i="5"/>
  <c r="CA97" i="5"/>
  <c r="CA98" i="5"/>
  <c r="DC83" i="2"/>
  <c r="ER7" i="3"/>
  <c r="CY7" i="2"/>
  <c r="CY6" i="2"/>
  <c r="CY14" i="2"/>
  <c r="CY33" i="2"/>
  <c r="CY38" i="2"/>
  <c r="CY24" i="2"/>
  <c r="CY28" i="2"/>
  <c r="EQ9" i="3"/>
  <c r="EQ65" i="3"/>
  <c r="EQ123" i="3" s="1"/>
  <c r="EQ8" i="3"/>
  <c r="EQ18" i="3"/>
  <c r="EQ20" i="3"/>
  <c r="DB146" i="2"/>
  <c r="DB85" i="2"/>
  <c r="DB84" i="2"/>
  <c r="DB75" i="2"/>
  <c r="CY175" i="2"/>
  <c r="CY176" i="2"/>
  <c r="CY177" i="2"/>
  <c r="CY15" i="2"/>
  <c r="EF42" i="2"/>
  <c r="EF44" i="2"/>
  <c r="EF43" i="2"/>
  <c r="CW43" i="2"/>
  <c r="CW42" i="2"/>
  <c r="CW41" i="2"/>
  <c r="CW44" i="2"/>
  <c r="CZ132" i="2"/>
  <c r="CZ133" i="2"/>
  <c r="CZ134" i="2"/>
  <c r="CZ5" i="2"/>
  <c r="CZ126" i="2"/>
  <c r="CZ114" i="2"/>
  <c r="CZ106" i="2"/>
  <c r="CZ94" i="2"/>
  <c r="CZ102" i="2"/>
  <c r="CZ98" i="2"/>
  <c r="CZ118" i="2"/>
  <c r="CZ122" i="2"/>
  <c r="CZ110" i="2"/>
  <c r="CZ90" i="2"/>
  <c r="CZ82" i="2"/>
  <c r="CZ86" i="2"/>
  <c r="DA77" i="2"/>
  <c r="DA131" i="2"/>
  <c r="DA78" i="2" s="1"/>
  <c r="DA76" i="2"/>
  <c r="EG75" i="2"/>
  <c r="CW10" i="2"/>
  <c r="CW9" i="2"/>
  <c r="DA148" i="2"/>
  <c r="DA147" i="2"/>
  <c r="DA138" i="2"/>
  <c r="EO22" i="3"/>
  <c r="EP22" i="3" s="1"/>
  <c r="EO15" i="3"/>
  <c r="EO14" i="3"/>
  <c r="BZ103" i="5"/>
  <c r="BZ102" i="5"/>
  <c r="EN32" i="3"/>
  <c r="EN56" i="3"/>
  <c r="EN107" i="3" s="1"/>
  <c r="EN24" i="3"/>
  <c r="EN23" i="3"/>
  <c r="EG146" i="2"/>
  <c r="EP10" i="3" l="1"/>
  <c r="ER13" i="3"/>
  <c r="CY17" i="2"/>
  <c r="CY16" i="2"/>
  <c r="CY19" i="2"/>
  <c r="CY40" i="2"/>
  <c r="CY18" i="2"/>
  <c r="EQ67" i="3"/>
  <c r="EO124" i="3"/>
  <c r="EN124" i="3"/>
  <c r="EQ14" i="3"/>
  <c r="EQ22" i="3"/>
  <c r="EQ15" i="3"/>
  <c r="EG77" i="2"/>
  <c r="DC146" i="2"/>
  <c r="DC85" i="2"/>
  <c r="DC84" i="2"/>
  <c r="DC75" i="2"/>
  <c r="EO89" i="3"/>
  <c r="EN90" i="3"/>
  <c r="EN127" i="3"/>
  <c r="EN93" i="3"/>
  <c r="EN100" i="3" s="1"/>
  <c r="CZ177" i="2"/>
  <c r="CZ175" i="2"/>
  <c r="CZ176" i="2"/>
  <c r="CZ15" i="2"/>
  <c r="CB101" i="5"/>
  <c r="CB98" i="5"/>
  <c r="CB97" i="5"/>
  <c r="DD83" i="2"/>
  <c r="DA141" i="2"/>
  <c r="DA139" i="2"/>
  <c r="DA140" i="2"/>
  <c r="DA174" i="2"/>
  <c r="CY8" i="2"/>
  <c r="EG138" i="2"/>
  <c r="EO32" i="3"/>
  <c r="EO24" i="3"/>
  <c r="EO56" i="3"/>
  <c r="EO107" i="3" s="1"/>
  <c r="EO23" i="3"/>
  <c r="DB148" i="2"/>
  <c r="DB147" i="2"/>
  <c r="DB138" i="2"/>
  <c r="ES7" i="3"/>
  <c r="CZ7" i="2"/>
  <c r="CZ6" i="2"/>
  <c r="CZ14" i="2"/>
  <c r="CZ38" i="2"/>
  <c r="CZ33" i="2"/>
  <c r="CZ24" i="2"/>
  <c r="CZ28" i="2"/>
  <c r="CW46" i="2"/>
  <c r="CW47" i="2"/>
  <c r="CW45" i="2"/>
  <c r="EP56" i="3"/>
  <c r="EP107" i="3" s="1"/>
  <c r="EP23" i="3"/>
  <c r="EP24" i="3"/>
  <c r="DB131" i="2"/>
  <c r="DB76" i="2"/>
  <c r="DB77" i="2"/>
  <c r="EN34" i="3"/>
  <c r="EN37" i="3" s="1"/>
  <c r="ER65" i="3"/>
  <c r="ER10" i="3"/>
  <c r="ER67" i="3" s="1"/>
  <c r="ER8" i="3"/>
  <c r="ER9" i="3"/>
  <c r="ER18" i="3"/>
  <c r="ER20" i="3"/>
  <c r="CA103" i="5"/>
  <c r="CA102" i="5"/>
  <c r="EF47" i="2"/>
  <c r="EF46" i="2"/>
  <c r="EG148" i="2"/>
  <c r="EG149" i="2"/>
  <c r="DA134" i="2"/>
  <c r="DA133" i="2"/>
  <c r="DA132" i="2"/>
  <c r="DA5" i="2"/>
  <c r="EG5" i="2" s="1"/>
  <c r="DA126" i="2"/>
  <c r="DA114" i="2"/>
  <c r="DA106" i="2"/>
  <c r="DA94" i="2"/>
  <c r="DA102" i="2"/>
  <c r="DA98" i="2"/>
  <c r="DA118" i="2"/>
  <c r="DA122" i="2"/>
  <c r="DA110" i="2"/>
  <c r="DA90" i="2"/>
  <c r="DA82" i="2"/>
  <c r="DA86" i="2"/>
  <c r="EG131" i="2"/>
  <c r="CY76" i="3"/>
  <c r="CZ77" i="3"/>
  <c r="CC96" i="5"/>
  <c r="CC92" i="5"/>
  <c r="CY90" i="5"/>
  <c r="CY92" i="5" s="1"/>
  <c r="CX42" i="2"/>
  <c r="CX41" i="2"/>
  <c r="CX44" i="2"/>
  <c r="CX43" i="2"/>
  <c r="EP124" i="3" l="1"/>
  <c r="CZ8" i="2"/>
  <c r="CZ9" i="2" s="1"/>
  <c r="DB133" i="2"/>
  <c r="DB126" i="2"/>
  <c r="DB134" i="2"/>
  <c r="DB132" i="2"/>
  <c r="DB5" i="2"/>
  <c r="DB106" i="2"/>
  <c r="DB114" i="2"/>
  <c r="DB94" i="2"/>
  <c r="DB102" i="2"/>
  <c r="DB98" i="2"/>
  <c r="DB122" i="2"/>
  <c r="DB118" i="2"/>
  <c r="DB110" i="2"/>
  <c r="DB90" i="2"/>
  <c r="DB82" i="2"/>
  <c r="DB86" i="2"/>
  <c r="DB141" i="2"/>
  <c r="DB139" i="2"/>
  <c r="DB140" i="2"/>
  <c r="DB174" i="2"/>
  <c r="EO34" i="3"/>
  <c r="EP34" i="3" s="1"/>
  <c r="EQ56" i="3"/>
  <c r="EQ107" i="3" s="1"/>
  <c r="EQ32" i="3"/>
  <c r="EQ24" i="3"/>
  <c r="EQ23" i="3"/>
  <c r="EG140" i="2"/>
  <c r="EG141" i="2"/>
  <c r="DA177" i="2"/>
  <c r="DA176" i="2"/>
  <c r="DA175" i="2"/>
  <c r="DA15" i="2"/>
  <c r="DA8" i="2" s="1"/>
  <c r="EO127" i="3"/>
  <c r="EP127" i="3" s="1"/>
  <c r="EO90" i="3"/>
  <c r="EQ89" i="3"/>
  <c r="EP89" i="3"/>
  <c r="EO93" i="3"/>
  <c r="DC148" i="2"/>
  <c r="DC147" i="2"/>
  <c r="DC138" i="2"/>
  <c r="EG133" i="2"/>
  <c r="EG126" i="2"/>
  <c r="EG114" i="2"/>
  <c r="EG94" i="2"/>
  <c r="EG106" i="2"/>
  <c r="EG98" i="2"/>
  <c r="EG102" i="2"/>
  <c r="EG118" i="2"/>
  <c r="EG122" i="2"/>
  <c r="EG90" i="2"/>
  <c r="EG110" i="2"/>
  <c r="EG82" i="2"/>
  <c r="EG86" i="2"/>
  <c r="ER123" i="3"/>
  <c r="CY10" i="2"/>
  <c r="CY9" i="2"/>
  <c r="CB103" i="5"/>
  <c r="CB102" i="5"/>
  <c r="DC131" i="2"/>
  <c r="DC76" i="2"/>
  <c r="DC77" i="2"/>
  <c r="ER124" i="3"/>
  <c r="EQ124" i="3"/>
  <c r="ER14" i="3"/>
  <c r="ER22" i="3"/>
  <c r="ER15" i="3"/>
  <c r="CX47" i="2"/>
  <c r="CX45" i="2"/>
  <c r="CX46" i="2"/>
  <c r="CC98" i="5"/>
  <c r="CC101" i="5"/>
  <c r="CY101" i="5" s="1"/>
  <c r="CC97" i="5"/>
  <c r="DE83" i="2"/>
  <c r="EH83" i="2" s="1"/>
  <c r="CY96" i="5"/>
  <c r="ET7" i="3"/>
  <c r="EU7" i="3" s="1"/>
  <c r="DA7" i="2"/>
  <c r="DA6" i="2"/>
  <c r="DA14" i="2"/>
  <c r="DA38" i="2"/>
  <c r="DA33" i="2"/>
  <c r="DA24" i="2"/>
  <c r="DA28" i="2"/>
  <c r="EP32" i="3"/>
  <c r="CZ10" i="2"/>
  <c r="EG174" i="2"/>
  <c r="EN53" i="3"/>
  <c r="EN54" i="3"/>
  <c r="EN44" i="3"/>
  <c r="DD85" i="2"/>
  <c r="DD84" i="2"/>
  <c r="DD146" i="2"/>
  <c r="DD75" i="2"/>
  <c r="EG7" i="2"/>
  <c r="EG14" i="2"/>
  <c r="EG33" i="2"/>
  <c r="EG38" i="2"/>
  <c r="EG24" i="2"/>
  <c r="EG28" i="2"/>
  <c r="DA77" i="3"/>
  <c r="CZ76" i="3"/>
  <c r="DB78" i="2"/>
  <c r="ES65" i="3"/>
  <c r="ES123" i="3" s="1"/>
  <c r="ES8" i="3"/>
  <c r="ES9" i="3"/>
  <c r="ES20" i="3"/>
  <c r="ES18" i="3"/>
  <c r="ES13" i="3"/>
  <c r="ES10" i="3" s="1"/>
  <c r="ES67" i="3" s="1"/>
  <c r="ES124" i="3" s="1"/>
  <c r="CZ19" i="2"/>
  <c r="CZ18" i="2"/>
  <c r="CZ40" i="2"/>
  <c r="CZ17" i="2"/>
  <c r="CZ16" i="2"/>
  <c r="EG78" i="2"/>
  <c r="CY42" i="2"/>
  <c r="CY41" i="2"/>
  <c r="CY43" i="2"/>
  <c r="CY44" i="2"/>
  <c r="EG8" i="2" l="1"/>
  <c r="EG10" i="2" s="1"/>
  <c r="EO37" i="3"/>
  <c r="EO44" i="3" s="1"/>
  <c r="EP44" i="3" s="1"/>
  <c r="EP35" i="3"/>
  <c r="CY103" i="5"/>
  <c r="CY98" i="5"/>
  <c r="CY93" i="5"/>
  <c r="CY95" i="5" s="1"/>
  <c r="EG176" i="2"/>
  <c r="EG177" i="2"/>
  <c r="DE85" i="2"/>
  <c r="DE84" i="2"/>
  <c r="DE146" i="2"/>
  <c r="DE75" i="2"/>
  <c r="EH75" i="2" s="1"/>
  <c r="DC78" i="2"/>
  <c r="EQ127" i="3"/>
  <c r="EQ90" i="3"/>
  <c r="ER89" i="3"/>
  <c r="EQ93" i="3"/>
  <c r="EQ100" i="3" s="1"/>
  <c r="DB175" i="2"/>
  <c r="DB177" i="2"/>
  <c r="DB176" i="2"/>
  <c r="DB15" i="2"/>
  <c r="DD131" i="2"/>
  <c r="DD78" i="2" s="1"/>
  <c r="DD77" i="2"/>
  <c r="DD76" i="2"/>
  <c r="CZ44" i="2"/>
  <c r="CZ43" i="2"/>
  <c r="CZ42" i="2"/>
  <c r="CZ41" i="2"/>
  <c r="DD148" i="2"/>
  <c r="DD147" i="2"/>
  <c r="DD138" i="2"/>
  <c r="EP37" i="3"/>
  <c r="DA10" i="2"/>
  <c r="DA9" i="2"/>
  <c r="DC141" i="2"/>
  <c r="DC139" i="2"/>
  <c r="DC140" i="2"/>
  <c r="DC174" i="2"/>
  <c r="EQ34" i="3"/>
  <c r="EQ37" i="3" s="1"/>
  <c r="EU9" i="3"/>
  <c r="EU18" i="3"/>
  <c r="EU20" i="3"/>
  <c r="EN115" i="3"/>
  <c r="EN58" i="3"/>
  <c r="CV55" i="2" s="1"/>
  <c r="CC103" i="5"/>
  <c r="CC102" i="5"/>
  <c r="ER56" i="3"/>
  <c r="ER107" i="3" s="1"/>
  <c r="ER23" i="3"/>
  <c r="ER32" i="3"/>
  <c r="ER24" i="3"/>
  <c r="DC77" i="3"/>
  <c r="DB77" i="3"/>
  <c r="DA76" i="3"/>
  <c r="DB76" i="3" s="1"/>
  <c r="CV49" i="2"/>
  <c r="ET13" i="3"/>
  <c r="EU13" i="3" s="1"/>
  <c r="DA40" i="2"/>
  <c r="EG40" i="2" s="1"/>
  <c r="DA19" i="2"/>
  <c r="DA18" i="2"/>
  <c r="DA17" i="2"/>
  <c r="DA16" i="2"/>
  <c r="EG15" i="2"/>
  <c r="CY47" i="2"/>
  <c r="CY45" i="2"/>
  <c r="CY46" i="2"/>
  <c r="ES22" i="3"/>
  <c r="ES15" i="3"/>
  <c r="ES14" i="3"/>
  <c r="EH85" i="2"/>
  <c r="CV52" i="2"/>
  <c r="ET65" i="3"/>
  <c r="ET9" i="3"/>
  <c r="ET8" i="3"/>
  <c r="ET20" i="3"/>
  <c r="ET18" i="3"/>
  <c r="DC134" i="2"/>
  <c r="DC132" i="2"/>
  <c r="DC126" i="2"/>
  <c r="DC5" i="2"/>
  <c r="DC133" i="2"/>
  <c r="DC114" i="2"/>
  <c r="DC106" i="2"/>
  <c r="DC94" i="2"/>
  <c r="DC102" i="2"/>
  <c r="DC98" i="2"/>
  <c r="DC118" i="2"/>
  <c r="DC122" i="2"/>
  <c r="DC110" i="2"/>
  <c r="DC90" i="2"/>
  <c r="DC82" i="2"/>
  <c r="DC86" i="2"/>
  <c r="EP93" i="3"/>
  <c r="EO100" i="3"/>
  <c r="EP100" i="3" s="1"/>
  <c r="EV7" i="3"/>
  <c r="DB7" i="2"/>
  <c r="DB6" i="2"/>
  <c r="DB14" i="2"/>
  <c r="DB33" i="2"/>
  <c r="DB38" i="2"/>
  <c r="DB24" i="2"/>
  <c r="DB28" i="2"/>
  <c r="EO53" i="3" l="1"/>
  <c r="CW52" i="2" s="1"/>
  <c r="CW53" i="2" s="1"/>
  <c r="EO54" i="3"/>
  <c r="EP54" i="3" s="1"/>
  <c r="EF49" i="2" s="1"/>
  <c r="EF51" i="2" s="1"/>
  <c r="ET10" i="3"/>
  <c r="ET67" i="3" s="1"/>
  <c r="EU67" i="3" s="1"/>
  <c r="DB8" i="2"/>
  <c r="DB9" i="2" s="1"/>
  <c r="EU15" i="3"/>
  <c r="EU14" i="3"/>
  <c r="EU65" i="3"/>
  <c r="DC175" i="2"/>
  <c r="DC176" i="2"/>
  <c r="DC177" i="2"/>
  <c r="DC15" i="2"/>
  <c r="DE147" i="2"/>
  <c r="DE148" i="2"/>
  <c r="DE138" i="2"/>
  <c r="EV65" i="3"/>
  <c r="EV8" i="3"/>
  <c r="EV9" i="3"/>
  <c r="EV20" i="3"/>
  <c r="EV18" i="3"/>
  <c r="EW7" i="3"/>
  <c r="DC7" i="2"/>
  <c r="DC6" i="2"/>
  <c r="DC14" i="2"/>
  <c r="DC38" i="2"/>
  <c r="DC33" i="2"/>
  <c r="DC24" i="2"/>
  <c r="DC28" i="2"/>
  <c r="EN131" i="3"/>
  <c r="EN102" i="3"/>
  <c r="EH146" i="2"/>
  <c r="EV13" i="3"/>
  <c r="DB16" i="2"/>
  <c r="DB18" i="2"/>
  <c r="DB40" i="2"/>
  <c r="DB17" i="2"/>
  <c r="DB19" i="2"/>
  <c r="CV51" i="2"/>
  <c r="CV50" i="2"/>
  <c r="EH77" i="2"/>
  <c r="CV54" i="2"/>
  <c r="CV53" i="2"/>
  <c r="ER34" i="3"/>
  <c r="DD139" i="2"/>
  <c r="DD140" i="2"/>
  <c r="DD141" i="2"/>
  <c r="DD174" i="2"/>
  <c r="EU10" i="3"/>
  <c r="ET123" i="3"/>
  <c r="EU123" i="3" s="1"/>
  <c r="CV57" i="2"/>
  <c r="CV56" i="2"/>
  <c r="DA42" i="2"/>
  <c r="DA41" i="2"/>
  <c r="DA43" i="2"/>
  <c r="DA44" i="2"/>
  <c r="CZ46" i="2"/>
  <c r="CZ45" i="2"/>
  <c r="CZ47" i="2"/>
  <c r="EO115" i="3"/>
  <c r="EO131" i="3" s="1"/>
  <c r="EO58" i="3"/>
  <c r="CW55" i="2" s="1"/>
  <c r="ES32" i="3"/>
  <c r="ES24" i="3"/>
  <c r="ES23" i="3"/>
  <c r="ES56" i="3"/>
  <c r="ES107" i="3" s="1"/>
  <c r="EG18" i="2"/>
  <c r="EG19" i="2"/>
  <c r="EG17" i="2"/>
  <c r="ET22" i="3"/>
  <c r="EU22" i="3" s="1"/>
  <c r="ET15" i="3"/>
  <c r="ET14" i="3"/>
  <c r="DD77" i="3"/>
  <c r="DC76" i="3"/>
  <c r="EQ54" i="3"/>
  <c r="EQ44" i="3"/>
  <c r="EQ53" i="3"/>
  <c r="DE131" i="2"/>
  <c r="DE78" i="2" s="1"/>
  <c r="DE77" i="2"/>
  <c r="DE76" i="2"/>
  <c r="EG43" i="2"/>
  <c r="EG42" i="2"/>
  <c r="EG44" i="2"/>
  <c r="DD132" i="2"/>
  <c r="DD134" i="2"/>
  <c r="DD133" i="2"/>
  <c r="DD5" i="2"/>
  <c r="DD126" i="2"/>
  <c r="DD114" i="2"/>
  <c r="DD106" i="2"/>
  <c r="DD94" i="2"/>
  <c r="DD102" i="2"/>
  <c r="DD98" i="2"/>
  <c r="DD118" i="2"/>
  <c r="DD122" i="2"/>
  <c r="DD90" i="2"/>
  <c r="DD110" i="2"/>
  <c r="DD82" i="2"/>
  <c r="DD86" i="2"/>
  <c r="ES89" i="3"/>
  <c r="ER127" i="3"/>
  <c r="ER90" i="3"/>
  <c r="ER93" i="3"/>
  <c r="ER100" i="3" s="1"/>
  <c r="CW54" i="2"/>
  <c r="EP53" i="3" l="1"/>
  <c r="EF52" i="2" s="1"/>
  <c r="EF54" i="2" s="1"/>
  <c r="DB10" i="2"/>
  <c r="EP48" i="3"/>
  <c r="EP49" i="3" s="1"/>
  <c r="CW49" i="2"/>
  <c r="CW51" i="2" s="1"/>
  <c r="ET124" i="3"/>
  <c r="EU124" i="3" s="1"/>
  <c r="DC8" i="2"/>
  <c r="DC9" i="2" s="1"/>
  <c r="EH131" i="2"/>
  <c r="EH106" i="2" s="1"/>
  <c r="EU24" i="3"/>
  <c r="EU56" i="3"/>
  <c r="EU107" i="3" s="1"/>
  <c r="EU23" i="3"/>
  <c r="EN158" i="3"/>
  <c r="EN152" i="3"/>
  <c r="EP131" i="3"/>
  <c r="DE77" i="3"/>
  <c r="DD76" i="3"/>
  <c r="ER37" i="3"/>
  <c r="EV22" i="3"/>
  <c r="EV14" i="3"/>
  <c r="EV15" i="3"/>
  <c r="EW13" i="3"/>
  <c r="DC40" i="2"/>
  <c r="DC18" i="2"/>
  <c r="DC17" i="2"/>
  <c r="DC16" i="2"/>
  <c r="DC19" i="2"/>
  <c r="DD176" i="2"/>
  <c r="DD177" i="2"/>
  <c r="DD175" i="2"/>
  <c r="DD15" i="2"/>
  <c r="EH148" i="2"/>
  <c r="EH149" i="2"/>
  <c r="EV123" i="3"/>
  <c r="CX52" i="2"/>
  <c r="DA45" i="2"/>
  <c r="DA46" i="2"/>
  <c r="DA47" i="2"/>
  <c r="ES127" i="3"/>
  <c r="ET89" i="3"/>
  <c r="ES90" i="3"/>
  <c r="ES93" i="3"/>
  <c r="ES100" i="3" s="1"/>
  <c r="EG46" i="2"/>
  <c r="EG47" i="2"/>
  <c r="EQ115" i="3"/>
  <c r="EQ58" i="3"/>
  <c r="CX55" i="2" s="1"/>
  <c r="EW65" i="3"/>
  <c r="EW123" i="3" s="1"/>
  <c r="EW8" i="3"/>
  <c r="EW9" i="3"/>
  <c r="EW18" i="3"/>
  <c r="EW20" i="3"/>
  <c r="EV10" i="3"/>
  <c r="EX7" i="3"/>
  <c r="DD7" i="2"/>
  <c r="DD6" i="2"/>
  <c r="DD14" i="2"/>
  <c r="DD33" i="2"/>
  <c r="DD38" i="2"/>
  <c r="DD24" i="2"/>
  <c r="DD28" i="2"/>
  <c r="DE133" i="2"/>
  <c r="DE132" i="2"/>
  <c r="DE134" i="2"/>
  <c r="DE5" i="2"/>
  <c r="DE126" i="2"/>
  <c r="DE106" i="2"/>
  <c r="DE114" i="2"/>
  <c r="DE94" i="2"/>
  <c r="DE102" i="2"/>
  <c r="DE98" i="2"/>
  <c r="DE122" i="2"/>
  <c r="DE118" i="2"/>
  <c r="DE110" i="2"/>
  <c r="DE90" i="2"/>
  <c r="DE82" i="2"/>
  <c r="DE86" i="2"/>
  <c r="ET32" i="3"/>
  <c r="EU32" i="3" s="1"/>
  <c r="ET24" i="3"/>
  <c r="ET23" i="3"/>
  <c r="ET56" i="3"/>
  <c r="ET107" i="3" s="1"/>
  <c r="CW57" i="2"/>
  <c r="CW56" i="2"/>
  <c r="EF55" i="2"/>
  <c r="EF57" i="2" s="1"/>
  <c r="DB44" i="2"/>
  <c r="DB43" i="2"/>
  <c r="DB42" i="2"/>
  <c r="DB41" i="2"/>
  <c r="EP115" i="3"/>
  <c r="CX49" i="2"/>
  <c r="ES34" i="3"/>
  <c r="EO158" i="3"/>
  <c r="CW58" i="2" s="1"/>
  <c r="EO152" i="3"/>
  <c r="EN104" i="3"/>
  <c r="EO102" i="3"/>
  <c r="DE140" i="2"/>
  <c r="DE139" i="2"/>
  <c r="DE141" i="2"/>
  <c r="DE174" i="2"/>
  <c r="EH138" i="2"/>
  <c r="CW50" i="2" l="1"/>
  <c r="EP58" i="3"/>
  <c r="EH82" i="2"/>
  <c r="EH102" i="2"/>
  <c r="EH122" i="2"/>
  <c r="EH78" i="2"/>
  <c r="EH94" i="2"/>
  <c r="DC10" i="2"/>
  <c r="EH86" i="2"/>
  <c r="EH126" i="2"/>
  <c r="EH98" i="2"/>
  <c r="EH110" i="2"/>
  <c r="EH133" i="2"/>
  <c r="EH90" i="2"/>
  <c r="EH114" i="2"/>
  <c r="EH118" i="2"/>
  <c r="DE175" i="2"/>
  <c r="DE176" i="2"/>
  <c r="DE177" i="2"/>
  <c r="DE15" i="2"/>
  <c r="EH15" i="2" s="1"/>
  <c r="EH174" i="2"/>
  <c r="EW14" i="3"/>
  <c r="EW15" i="3"/>
  <c r="EW22" i="3"/>
  <c r="ES37" i="3"/>
  <c r="EY7" i="3"/>
  <c r="DE7" i="2"/>
  <c r="DE6" i="2"/>
  <c r="DE14" i="2"/>
  <c r="DE33" i="2"/>
  <c r="DE38" i="2"/>
  <c r="DE24" i="2"/>
  <c r="DE28" i="2"/>
  <c r="EH5" i="2"/>
  <c r="DB47" i="2"/>
  <c r="DB45" i="2"/>
  <c r="DB46" i="2"/>
  <c r="EW10" i="3"/>
  <c r="EW67" i="3" s="1"/>
  <c r="EQ131" i="3"/>
  <c r="EX13" i="3"/>
  <c r="EX10" i="3" s="1"/>
  <c r="EX67" i="3" s="1"/>
  <c r="DD18" i="2"/>
  <c r="DD17" i="2"/>
  <c r="DD16" i="2"/>
  <c r="DD40" i="2"/>
  <c r="DD19" i="2"/>
  <c r="EN62" i="3"/>
  <c r="EP152" i="3"/>
  <c r="CX57" i="2"/>
  <c r="CX56" i="2"/>
  <c r="CX54" i="2"/>
  <c r="CX53" i="2"/>
  <c r="ET34" i="3"/>
  <c r="EU34" i="3" s="1"/>
  <c r="EU35" i="3" s="1"/>
  <c r="EV67" i="3"/>
  <c r="ET90" i="3"/>
  <c r="EU89" i="3"/>
  <c r="EV89" i="3"/>
  <c r="ET127" i="3"/>
  <c r="EU127" i="3" s="1"/>
  <c r="ET93" i="3"/>
  <c r="CX50" i="2"/>
  <c r="CX51" i="2"/>
  <c r="EQ102" i="3"/>
  <c r="EO104" i="3"/>
  <c r="EP102" i="3"/>
  <c r="DD8" i="2"/>
  <c r="EV56" i="3"/>
  <c r="EV107" i="3" s="1"/>
  <c r="EV23" i="3"/>
  <c r="EV32" i="3"/>
  <c r="EV24" i="3"/>
  <c r="CV58" i="2"/>
  <c r="EP158" i="3"/>
  <c r="EH140" i="2"/>
  <c r="EH141" i="2"/>
  <c r="CW61" i="2"/>
  <c r="CW60" i="2"/>
  <c r="EX65" i="3"/>
  <c r="EX123" i="3" s="1"/>
  <c r="EX9" i="3"/>
  <c r="EX8" i="3"/>
  <c r="EX20" i="3"/>
  <c r="EX18" i="3"/>
  <c r="DC43" i="2"/>
  <c r="DC42" i="2"/>
  <c r="DC41" i="2"/>
  <c r="DC44" i="2"/>
  <c r="ER44" i="3"/>
  <c r="ER54" i="3"/>
  <c r="ER53" i="3"/>
  <c r="DF77" i="3"/>
  <c r="DE76" i="3"/>
  <c r="CY52" i="2" l="1"/>
  <c r="EP104" i="3"/>
  <c r="ES44" i="3"/>
  <c r="ES53" i="3"/>
  <c r="CZ52" i="2" s="1"/>
  <c r="ES54" i="3"/>
  <c r="EH177" i="2"/>
  <c r="EH176" i="2"/>
  <c r="CY49" i="2"/>
  <c r="EQ104" i="3"/>
  <c r="EV127" i="3"/>
  <c r="EW89" i="3"/>
  <c r="EV90" i="3"/>
  <c r="EV93" i="3"/>
  <c r="EV100" i="3" s="1"/>
  <c r="ET37" i="3"/>
  <c r="EH18" i="2"/>
  <c r="EH19" i="2"/>
  <c r="EH17" i="2"/>
  <c r="EX14" i="3"/>
  <c r="EX15" i="3"/>
  <c r="EX22" i="3"/>
  <c r="EY13" i="3"/>
  <c r="EY10" i="3" s="1"/>
  <c r="EY67" i="3" s="1"/>
  <c r="EZ67" i="3" s="1"/>
  <c r="DE17" i="2"/>
  <c r="DE16" i="2"/>
  <c r="DE40" i="2"/>
  <c r="EH40" i="2" s="1"/>
  <c r="DE19" i="2"/>
  <c r="DE18" i="2"/>
  <c r="ET100" i="3"/>
  <c r="EU100" i="3" s="1"/>
  <c r="EU93" i="3"/>
  <c r="EY65" i="3"/>
  <c r="EZ65" i="3" s="1"/>
  <c r="EY8" i="3"/>
  <c r="EY9" i="3"/>
  <c r="EY18" i="3"/>
  <c r="EY20" i="3"/>
  <c r="EZ7" i="3"/>
  <c r="ER115" i="3"/>
  <c r="ER58" i="3"/>
  <c r="CY55" i="2" s="1"/>
  <c r="EV34" i="3"/>
  <c r="EV37" i="3" s="1"/>
  <c r="DD10" i="2"/>
  <c r="DD9" i="2"/>
  <c r="EH7" i="2"/>
  <c r="EH14" i="2"/>
  <c r="EH38" i="2"/>
  <c r="EH33" i="2"/>
  <c r="EH24" i="2"/>
  <c r="EH28" i="2"/>
  <c r="CV61" i="2"/>
  <c r="CV59" i="2"/>
  <c r="CV60" i="2"/>
  <c r="EF58" i="2"/>
  <c r="DC46" i="2"/>
  <c r="DC47" i="2"/>
  <c r="DC45" i="2"/>
  <c r="CW59" i="2"/>
  <c r="EP155" i="3"/>
  <c r="DD42" i="2"/>
  <c r="DD41" i="2"/>
  <c r="DD44" i="2"/>
  <c r="DD43" i="2"/>
  <c r="EQ158" i="3"/>
  <c r="EQ152" i="3"/>
  <c r="EW56" i="3"/>
  <c r="EW107" i="3" s="1"/>
  <c r="EW32" i="3"/>
  <c r="EW24" i="3"/>
  <c r="EW23" i="3"/>
  <c r="EW124" i="3"/>
  <c r="EV124" i="3"/>
  <c r="DG77" i="3"/>
  <c r="DH77" i="3" s="1"/>
  <c r="DF76" i="3"/>
  <c r="DG76" i="3" s="1"/>
  <c r="EP159" i="3"/>
  <c r="EP160" i="3"/>
  <c r="EN155" i="3"/>
  <c r="EO154" i="3"/>
  <c r="EO62" i="3"/>
  <c r="EN74" i="3"/>
  <c r="EN106" i="3"/>
  <c r="EX124" i="3"/>
  <c r="DE8" i="2"/>
  <c r="EZ10" i="3" l="1"/>
  <c r="EY124" i="3"/>
  <c r="EZ124" i="3" s="1"/>
  <c r="EV53" i="3"/>
  <c r="EV54" i="3"/>
  <c r="EV44" i="3"/>
  <c r="EW34" i="3"/>
  <c r="DE10" i="2"/>
  <c r="DE9" i="2"/>
  <c r="EQ154" i="3"/>
  <c r="EU154" i="3" s="1"/>
  <c r="EO155" i="3"/>
  <c r="EP62" i="3"/>
  <c r="EO74" i="3"/>
  <c r="EP74" i="3" s="1"/>
  <c r="EQ62" i="3"/>
  <c r="EO106" i="3"/>
  <c r="DD47" i="2"/>
  <c r="DD45" i="2"/>
  <c r="DD46" i="2"/>
  <c r="EF60" i="2"/>
  <c r="EF61" i="2"/>
  <c r="DE42" i="2"/>
  <c r="DE41" i="2"/>
  <c r="DE43" i="2"/>
  <c r="DE44" i="2"/>
  <c r="DI77" i="3"/>
  <c r="DH76" i="3"/>
  <c r="ES58" i="3"/>
  <c r="CZ55" i="2" s="1"/>
  <c r="ES115" i="3"/>
  <c r="ES131" i="3" s="1"/>
  <c r="EH8" i="2"/>
  <c r="EH10" i="2" s="1"/>
  <c r="EZ9" i="3"/>
  <c r="EZ20" i="3"/>
  <c r="EZ18" i="3"/>
  <c r="ER131" i="3"/>
  <c r="ET53" i="3"/>
  <c r="DA52" i="2" s="1"/>
  <c r="ET54" i="3"/>
  <c r="ET44" i="3"/>
  <c r="EU44" i="3" s="1"/>
  <c r="EU37" i="3"/>
  <c r="EW127" i="3"/>
  <c r="EW90" i="3"/>
  <c r="EX89" i="3"/>
  <c r="EW93" i="3"/>
  <c r="EW100" i="3" s="1"/>
  <c r="EY123" i="3"/>
  <c r="EZ123" i="3" s="1"/>
  <c r="EX56" i="3"/>
  <c r="EX107" i="3" s="1"/>
  <c r="EX23" i="3"/>
  <c r="EX32" i="3"/>
  <c r="EX24" i="3"/>
  <c r="CX58" i="2"/>
  <c r="EY15" i="3"/>
  <c r="EY22" i="3"/>
  <c r="EY14" i="3"/>
  <c r="EZ13" i="3"/>
  <c r="CZ49" i="2"/>
  <c r="EH42" i="2"/>
  <c r="EH43" i="2"/>
  <c r="EH44" i="2"/>
  <c r="CY57" i="2"/>
  <c r="CY56" i="2"/>
  <c r="ER102" i="3"/>
  <c r="CY51" i="2"/>
  <c r="CY50" i="2"/>
  <c r="CZ53" i="2"/>
  <c r="CZ54" i="2"/>
  <c r="CY54" i="2"/>
  <c r="CY53" i="2"/>
  <c r="EU53" i="3" l="1"/>
  <c r="EG52" i="2" s="1"/>
  <c r="EG54" i="2" s="1"/>
  <c r="ER104" i="3"/>
  <c r="ES102" i="3"/>
  <c r="EH47" i="2"/>
  <c r="EH46" i="2"/>
  <c r="CZ50" i="2"/>
  <c r="CZ51" i="2"/>
  <c r="EX34" i="3"/>
  <c r="DA49" i="2"/>
  <c r="EU54" i="3"/>
  <c r="EG49" i="2" s="1"/>
  <c r="EG51" i="2" s="1"/>
  <c r="CZ57" i="2"/>
  <c r="CZ56" i="2"/>
  <c r="EW37" i="3"/>
  <c r="EY89" i="3"/>
  <c r="EX127" i="3"/>
  <c r="EX90" i="3"/>
  <c r="EX93" i="3"/>
  <c r="EX100" i="3" s="1"/>
  <c r="DA53" i="2"/>
  <c r="DA54" i="2"/>
  <c r="EQ155" i="3"/>
  <c r="ER154" i="3"/>
  <c r="EQ74" i="3"/>
  <c r="EQ106" i="3"/>
  <c r="EV115" i="3"/>
  <c r="EV58" i="3"/>
  <c r="DB55" i="2" s="1"/>
  <c r="ET115" i="3"/>
  <c r="ET131" i="3" s="1"/>
  <c r="EU131" i="3" s="1"/>
  <c r="ET58" i="3"/>
  <c r="DA55" i="2" s="1"/>
  <c r="DE46" i="2"/>
  <c r="DE47" i="2"/>
  <c r="DE45" i="2"/>
  <c r="CX60" i="2"/>
  <c r="CX61" i="2"/>
  <c r="CX59" i="2"/>
  <c r="ES158" i="3"/>
  <c r="CZ58" i="2" s="1"/>
  <c r="ES152" i="3"/>
  <c r="EZ15" i="3"/>
  <c r="EZ14" i="3"/>
  <c r="ER158" i="3"/>
  <c r="ER152" i="3"/>
  <c r="EF62" i="2"/>
  <c r="EP106" i="3"/>
  <c r="DB49" i="2"/>
  <c r="EY32" i="3"/>
  <c r="EY24" i="3"/>
  <c r="EY56" i="3"/>
  <c r="EY107" i="3" s="1"/>
  <c r="EY23" i="3"/>
  <c r="EZ22" i="3"/>
  <c r="DI76" i="3"/>
  <c r="DJ77" i="3"/>
  <c r="DB52" i="2"/>
  <c r="EU48" i="3" l="1"/>
  <c r="EU49" i="3" s="1"/>
  <c r="EU115" i="3"/>
  <c r="DB57" i="2"/>
  <c r="DB56" i="2"/>
  <c r="EZ56" i="3"/>
  <c r="EZ107" i="3" s="1"/>
  <c r="EZ24" i="3"/>
  <c r="EZ23" i="3"/>
  <c r="EX37" i="3"/>
  <c r="CY58" i="2"/>
  <c r="CZ59" i="2" s="1"/>
  <c r="ES104" i="3"/>
  <c r="ET102" i="3"/>
  <c r="DK77" i="3"/>
  <c r="DJ76" i="3"/>
  <c r="EV131" i="3"/>
  <c r="ER62" i="3"/>
  <c r="CZ61" i="2"/>
  <c r="CZ60" i="2"/>
  <c r="EY127" i="3"/>
  <c r="EZ127" i="3" s="1"/>
  <c r="EY90" i="3"/>
  <c r="EZ89" i="3"/>
  <c r="EY93" i="3"/>
  <c r="DA57" i="2"/>
  <c r="DA56" i="2"/>
  <c r="EG55" i="2"/>
  <c r="EG57" i="2" s="1"/>
  <c r="EU58" i="3"/>
  <c r="EY34" i="3"/>
  <c r="EZ34" i="3" s="1"/>
  <c r="EZ32" i="3"/>
  <c r="DB51" i="2"/>
  <c r="DB50" i="2"/>
  <c r="DB53" i="2"/>
  <c r="DB54" i="2"/>
  <c r="ET158" i="3"/>
  <c r="DA58" i="2" s="1"/>
  <c r="ET152" i="3"/>
  <c r="EU152" i="3" s="1"/>
  <c r="EW54" i="3"/>
  <c r="EW44" i="3"/>
  <c r="EW53" i="3"/>
  <c r="DA50" i="2"/>
  <c r="DA51" i="2"/>
  <c r="EU158" i="3" l="1"/>
  <c r="EU160" i="3" s="1"/>
  <c r="EZ35" i="3"/>
  <c r="EX44" i="3"/>
  <c r="EX53" i="3"/>
  <c r="DD52" i="2" s="1"/>
  <c r="EX54" i="3"/>
  <c r="EW115" i="3"/>
  <c r="EW58" i="3"/>
  <c r="DC55" i="2" s="1"/>
  <c r="EY37" i="3"/>
  <c r="ER155" i="3"/>
  <c r="ES154" i="3"/>
  <c r="ES62" i="3"/>
  <c r="ER74" i="3"/>
  <c r="ER106" i="3"/>
  <c r="EV102" i="3"/>
  <c r="ET104" i="3"/>
  <c r="EU102" i="3"/>
  <c r="DM77" i="3"/>
  <c r="DL77" i="3"/>
  <c r="DK76" i="3"/>
  <c r="DL76" i="3" s="1"/>
  <c r="DC52" i="2"/>
  <c r="EV158" i="3"/>
  <c r="EV152" i="3"/>
  <c r="DC49" i="2"/>
  <c r="EU155" i="3"/>
  <c r="DA61" i="2"/>
  <c r="DA60" i="2"/>
  <c r="DA59" i="2"/>
  <c r="EY100" i="3"/>
  <c r="EZ100" i="3" s="1"/>
  <c r="EZ93" i="3"/>
  <c r="CY60" i="2"/>
  <c r="CY61" i="2"/>
  <c r="CY59" i="2"/>
  <c r="EG58" i="2"/>
  <c r="EU159" i="3" l="1"/>
  <c r="EU104" i="3"/>
  <c r="DC57" i="2"/>
  <c r="DC56" i="2"/>
  <c r="EX115" i="3"/>
  <c r="EX131" i="3" s="1"/>
  <c r="EX58" i="3"/>
  <c r="DD55" i="2" s="1"/>
  <c r="DC53" i="2"/>
  <c r="DC54" i="2"/>
  <c r="EW131" i="3"/>
  <c r="ET154" i="3"/>
  <c r="ES74" i="3"/>
  <c r="ES155" i="3"/>
  <c r="ET62" i="3"/>
  <c r="ES106" i="3"/>
  <c r="EV104" i="3"/>
  <c r="EW102" i="3"/>
  <c r="DC50" i="2"/>
  <c r="DC51" i="2"/>
  <c r="DD49" i="2"/>
  <c r="EG61" i="2"/>
  <c r="EG60" i="2"/>
  <c r="DB58" i="2"/>
  <c r="DN77" i="3"/>
  <c r="DM76" i="3"/>
  <c r="EY44" i="3"/>
  <c r="EY53" i="3"/>
  <c r="EY54" i="3"/>
  <c r="EZ37" i="3"/>
  <c r="DD54" i="2"/>
  <c r="DD53" i="2"/>
  <c r="EY115" i="3" l="1"/>
  <c r="EY58" i="3"/>
  <c r="DE55" i="2" s="1"/>
  <c r="EW158" i="3"/>
  <c r="EW152" i="3"/>
  <c r="EZ44" i="3"/>
  <c r="DO77" i="3"/>
  <c r="DN76" i="3"/>
  <c r="DD57" i="2"/>
  <c r="DD56" i="2"/>
  <c r="DE52" i="2"/>
  <c r="EZ53" i="3"/>
  <c r="EH52" i="2" s="1"/>
  <c r="EH54" i="2" s="1"/>
  <c r="ET155" i="3"/>
  <c r="EV154" i="3"/>
  <c r="EZ154" i="3" s="1"/>
  <c r="EV62" i="3"/>
  <c r="EU62" i="3"/>
  <c r="ET74" i="3"/>
  <c r="EU74" i="3" s="1"/>
  <c r="ET106" i="3"/>
  <c r="DE49" i="2"/>
  <c r="EZ54" i="3"/>
  <c r="EH49" i="2" s="1"/>
  <c r="EH51" i="2" s="1"/>
  <c r="DB61" i="2"/>
  <c r="DB59" i="2"/>
  <c r="DB60" i="2"/>
  <c r="DD51" i="2"/>
  <c r="DD50" i="2"/>
  <c r="EW104" i="3"/>
  <c r="EX102" i="3"/>
  <c r="EX158" i="3"/>
  <c r="DD58" i="2" s="1"/>
  <c r="EX152" i="3"/>
  <c r="EZ48" i="3" l="1"/>
  <c r="EZ49" i="3" s="1"/>
  <c r="DD60" i="2"/>
  <c r="DD61" i="2"/>
  <c r="DC58" i="2"/>
  <c r="EV155" i="3"/>
  <c r="EW154" i="3"/>
  <c r="EV74" i="3"/>
  <c r="EW62" i="3"/>
  <c r="EV106" i="3"/>
  <c r="DP77" i="3"/>
  <c r="DO76" i="3"/>
  <c r="DE57" i="2"/>
  <c r="DE56" i="2"/>
  <c r="EH55" i="2"/>
  <c r="EH57" i="2" s="1"/>
  <c r="EG62" i="2"/>
  <c r="EU106" i="3"/>
  <c r="EY131" i="3"/>
  <c r="EZ115" i="3"/>
  <c r="DE51" i="2"/>
  <c r="DE50" i="2"/>
  <c r="EX104" i="3"/>
  <c r="EY102" i="3"/>
  <c r="DE54" i="2"/>
  <c r="DE53" i="2"/>
  <c r="EZ58" i="3"/>
  <c r="EY158" i="3" l="1"/>
  <c r="EY152" i="3"/>
  <c r="EZ152" i="3" s="1"/>
  <c r="EZ131" i="3"/>
  <c r="DC61" i="2"/>
  <c r="DC59" i="2"/>
  <c r="DC60" i="2"/>
  <c r="DP76" i="3"/>
  <c r="DQ76" i="3" s="1"/>
  <c r="DR77" i="3"/>
  <c r="DQ77" i="3"/>
  <c r="EY104" i="3"/>
  <c r="EZ102" i="3"/>
  <c r="DD59" i="2"/>
  <c r="EW155" i="3"/>
  <c r="EW74" i="3"/>
  <c r="EX154" i="3"/>
  <c r="EX62" i="3"/>
  <c r="EW106" i="3"/>
  <c r="EX155" i="3" l="1"/>
  <c r="EY154" i="3"/>
  <c r="EY62" i="3"/>
  <c r="EX74" i="3"/>
  <c r="EX106" i="3"/>
  <c r="EZ155" i="3"/>
  <c r="DE58" i="2"/>
  <c r="EZ158" i="3"/>
  <c r="EZ104" i="3"/>
  <c r="DS77" i="3"/>
  <c r="DR76" i="3"/>
  <c r="DE60" i="2" l="1"/>
  <c r="DE61" i="2"/>
  <c r="DE59" i="2"/>
  <c r="EH58" i="2"/>
  <c r="DT77" i="3"/>
  <c r="DS76" i="3"/>
  <c r="EY155" i="3"/>
  <c r="EY74" i="3"/>
  <c r="EZ74" i="3" s="1"/>
  <c r="EZ62" i="3"/>
  <c r="EY106" i="3"/>
  <c r="EZ159" i="3"/>
  <c r="EZ160" i="3"/>
  <c r="DU77" i="3" l="1"/>
  <c r="DT76" i="3"/>
  <c r="EH62" i="2"/>
  <c r="EZ106" i="3"/>
  <c r="EH61" i="2"/>
  <c r="EH60" i="2"/>
  <c r="DW77" i="3" l="1"/>
  <c r="DV77" i="3"/>
  <c r="DU76" i="3"/>
  <c r="DV76" i="3" s="1"/>
  <c r="DX77" i="3" l="1"/>
  <c r="DW76" i="3"/>
  <c r="DY77" i="3" l="1"/>
  <c r="DX76" i="3"/>
  <c r="DY76" i="3" l="1"/>
  <c r="DZ77" i="3"/>
  <c r="EA77" i="3" l="1"/>
  <c r="EB77" i="3" s="1"/>
  <c r="DZ76" i="3"/>
  <c r="EA76" i="3" s="1"/>
  <c r="EC77" i="3" l="1"/>
  <c r="EB76" i="3"/>
  <c r="ED77" i="3" l="1"/>
  <c r="EC76" i="3"/>
  <c r="EE77" i="3" l="1"/>
  <c r="ED76" i="3"/>
  <c r="EF77" i="3" l="1"/>
  <c r="EG77" i="3" s="1"/>
  <c r="EE76" i="3"/>
  <c r="EF76" i="3" s="1"/>
  <c r="EH77" i="3" l="1"/>
  <c r="EG76" i="3"/>
  <c r="EH76" i="3" l="1"/>
  <c r="EI77" i="3"/>
  <c r="EI76" i="3" l="1"/>
  <c r="EJ77" i="3"/>
  <c r="EK77" i="3" l="1"/>
  <c r="EL77" i="3" s="1"/>
  <c r="EJ76" i="3"/>
  <c r="EK76" i="3" s="1"/>
  <c r="EM77" i="3" l="1"/>
  <c r="EL76" i="3"/>
  <c r="EN77" i="3" l="1"/>
  <c r="EO77" i="3" s="1"/>
  <c r="EM76" i="3"/>
  <c r="EN76" i="3" s="1"/>
  <c r="EN78" i="3" l="1"/>
  <c r="EN86" i="3" s="1"/>
  <c r="EO76" i="3"/>
  <c r="EQ77" i="3"/>
  <c r="ER77" i="3" s="1"/>
  <c r="ES77" i="3" s="1"/>
  <c r="ET77" i="3" s="1"/>
  <c r="EP77" i="3"/>
  <c r="EV77" i="3" l="1"/>
  <c r="EW77" i="3" s="1"/>
  <c r="EX77" i="3" s="1"/>
  <c r="EY77" i="3" s="1"/>
  <c r="EZ77" i="3" s="1"/>
  <c r="EU77" i="3"/>
  <c r="EO78" i="3"/>
  <c r="EP76" i="3"/>
  <c r="EQ76" i="3"/>
  <c r="EQ78" i="3" l="1"/>
  <c r="EQ86" i="3" s="1"/>
  <c r="ER76" i="3"/>
  <c r="EP78" i="3"/>
  <c r="EO86" i="3"/>
  <c r="EP86" i="3" l="1"/>
  <c r="ES76" i="3"/>
  <c r="ER78" i="3"/>
  <c r="ER86" i="3" s="1"/>
  <c r="ES78" i="3" l="1"/>
  <c r="ES86" i="3" s="1"/>
  <c r="ET76" i="3"/>
  <c r="EV76" i="3" l="1"/>
  <c r="ET78" i="3"/>
  <c r="EU76" i="3"/>
  <c r="EU78" i="3" l="1"/>
  <c r="ET86" i="3"/>
  <c r="EV78" i="3"/>
  <c r="EV86" i="3" s="1"/>
  <c r="EW76" i="3"/>
  <c r="EW78" i="3" l="1"/>
  <c r="EW86" i="3" s="1"/>
  <c r="EX76" i="3"/>
  <c r="EU86" i="3"/>
  <c r="EX78" i="3" l="1"/>
  <c r="EX86" i="3" s="1"/>
  <c r="EY76" i="3"/>
  <c r="EZ76" i="3" l="1"/>
  <c r="EY78" i="3"/>
  <c r="EZ78" i="3" l="1"/>
  <c r="EY86" i="3"/>
  <c r="EZ86" i="3" l="1"/>
</calcChain>
</file>

<file path=xl/sharedStrings.xml><?xml version="1.0" encoding="utf-8"?>
<sst xmlns="http://schemas.openxmlformats.org/spreadsheetml/2006/main" count="2499" uniqueCount="557">
  <si>
    <t>Company1953 (Ticker0027)</t>
  </si>
  <si>
    <t>Semiconductors</t>
  </si>
  <si>
    <t>Last updated: 10/06/25</t>
  </si>
  <si>
    <t>Analyst 1</t>
  </si>
  <si>
    <t>person@example.com</t>
  </si>
  <si>
    <t>212-902-1000</t>
  </si>
  <si>
    <t>Analyst 2</t>
  </si>
  <si>
    <t>person@example.com</t>
  </si>
  <si>
    <t>212-902-1000</t>
  </si>
  <si>
    <t>Analyst 3</t>
  </si>
  <si>
    <t>person@example.com</t>
  </si>
  <si>
    <t>Analyst 4</t>
  </si>
  <si>
    <t>person@example.com</t>
  </si>
  <si>
    <t>Analyst 5</t>
  </si>
  <si>
    <t>person@example.com</t>
  </si>
  <si>
    <t>Analyst 6</t>
  </si>
  <si>
    <t>person@example.com</t>
  </si>
  <si>
    <t>FY2Q21</t>
  </si>
  <si>
    <t>FY3Q21</t>
  </si>
  <si>
    <t>FY4Q21</t>
  </si>
  <si>
    <t>FY1Q22</t>
  </si>
  <si>
    <t>FY2Q22</t>
  </si>
  <si>
    <t>FY3Q22</t>
  </si>
  <si>
    <t>FY4Q22</t>
  </si>
  <si>
    <t>FY1Q23</t>
  </si>
  <si>
    <t>FY2Q23</t>
  </si>
  <si>
    <t>FY3Q23</t>
  </si>
  <si>
    <t>FY4Q23</t>
  </si>
  <si>
    <t>FY1Q24</t>
  </si>
  <si>
    <t>FY2Q24</t>
  </si>
  <si>
    <t>FY3Q24</t>
  </si>
  <si>
    <t>FY4Q24</t>
  </si>
  <si>
    <t>FY1Q25</t>
  </si>
  <si>
    <t>FY2Q25</t>
  </si>
  <si>
    <t>FY3Q25</t>
  </si>
  <si>
    <t>FY4Q25</t>
  </si>
  <si>
    <t>FY1Q26</t>
  </si>
  <si>
    <t>FY2Q26</t>
  </si>
  <si>
    <t>FY3Q26E</t>
  </si>
  <si>
    <t>FY4Q26E</t>
  </si>
  <si>
    <t>FY1Q27E</t>
  </si>
  <si>
    <t>FY2Q27E</t>
  </si>
  <si>
    <t>FY3Q27E</t>
  </si>
  <si>
    <t>FY4Q27E</t>
  </si>
  <si>
    <t>FY1Q28E</t>
  </si>
  <si>
    <t>FY2Q28E</t>
  </si>
  <si>
    <t>FY3Q28E</t>
  </si>
  <si>
    <t>FY4Q28E</t>
  </si>
  <si>
    <t>FY15</t>
  </si>
  <si>
    <t>FY16</t>
  </si>
  <si>
    <t>FY17</t>
  </si>
  <si>
    <t>FY18</t>
  </si>
  <si>
    <t>FY19</t>
  </si>
  <si>
    <t>FY20</t>
  </si>
  <si>
    <t>FY21</t>
  </si>
  <si>
    <t>FY22</t>
  </si>
  <si>
    <t>FY23</t>
  </si>
  <si>
    <t>FY24</t>
  </si>
  <si>
    <t>FY25</t>
  </si>
  <si>
    <t>FY26E</t>
  </si>
  <si>
    <t>FY27E</t>
  </si>
  <si>
    <t>FY28E</t>
  </si>
  <si>
    <t>Company1719</t>
  </si>
  <si>
    <t>1Q01</t>
  </si>
  <si>
    <t>2Q01</t>
  </si>
  <si>
    <t>3Q01</t>
  </si>
  <si>
    <t>4Q01</t>
  </si>
  <si>
    <t>1Q02</t>
  </si>
  <si>
    <t>2Q02</t>
  </si>
  <si>
    <t>3Q02</t>
  </si>
  <si>
    <t>4Q02</t>
  </si>
  <si>
    <t>1Q03</t>
  </si>
  <si>
    <t>2Q03</t>
  </si>
  <si>
    <t>3Q03</t>
  </si>
  <si>
    <t>4Q03</t>
  </si>
  <si>
    <t>1Q04</t>
  </si>
  <si>
    <t>2Q04</t>
  </si>
  <si>
    <t>3Q04</t>
  </si>
  <si>
    <t>4Q04</t>
  </si>
  <si>
    <t>1Q05</t>
  </si>
  <si>
    <t>2Q05</t>
  </si>
  <si>
    <t>3Q05</t>
  </si>
  <si>
    <t>4Q05</t>
  </si>
  <si>
    <t>1Q06</t>
  </si>
  <si>
    <t>2Q06</t>
  </si>
  <si>
    <t>3Q06</t>
  </si>
  <si>
    <t>4Q06</t>
  </si>
  <si>
    <t>1Q07</t>
  </si>
  <si>
    <t>2Q07</t>
  </si>
  <si>
    <t>3Q07</t>
  </si>
  <si>
    <t>4Q07</t>
  </si>
  <si>
    <t>1Q08</t>
  </si>
  <si>
    <t>2Q08</t>
  </si>
  <si>
    <t>3Q08</t>
  </si>
  <si>
    <t>4Q08</t>
  </si>
  <si>
    <t>1Q09</t>
  </si>
  <si>
    <t>2Q09</t>
  </si>
  <si>
    <t>3Q09</t>
  </si>
  <si>
    <t>4Q09</t>
  </si>
  <si>
    <t>1Q10</t>
  </si>
  <si>
    <t>2Q10</t>
  </si>
  <si>
    <t>3Q10</t>
  </si>
  <si>
    <t>4Q10</t>
  </si>
  <si>
    <t>1Q11</t>
  </si>
  <si>
    <t>2Q11</t>
  </si>
  <si>
    <t>3Q11</t>
  </si>
  <si>
    <t>4Q11</t>
  </si>
  <si>
    <t>1Q12</t>
  </si>
  <si>
    <t>2Q12</t>
  </si>
  <si>
    <t>3Q12</t>
  </si>
  <si>
    <t>4Q12</t>
  </si>
  <si>
    <t>1Q13</t>
  </si>
  <si>
    <t>2Q13</t>
  </si>
  <si>
    <t>3Q13</t>
  </si>
  <si>
    <t>4Q13</t>
  </si>
  <si>
    <t>1Q14</t>
  </si>
  <si>
    <t>2Q14</t>
  </si>
  <si>
    <t>3Q14</t>
  </si>
  <si>
    <t>4Q14</t>
  </si>
  <si>
    <t>1Q15</t>
  </si>
  <si>
    <t>2Q15</t>
  </si>
  <si>
    <t>3Q15</t>
  </si>
  <si>
    <t>4Q15</t>
  </si>
  <si>
    <t>1Q16</t>
  </si>
  <si>
    <t>2Q16</t>
  </si>
  <si>
    <t>3Q16</t>
  </si>
  <si>
    <t>4Q16</t>
  </si>
  <si>
    <t>1Q17</t>
  </si>
  <si>
    <t>2Q17</t>
  </si>
  <si>
    <t>3Q17</t>
  </si>
  <si>
    <t>4Q17</t>
  </si>
  <si>
    <t>1Q18</t>
  </si>
  <si>
    <t>2Q18</t>
  </si>
  <si>
    <t>3Q18</t>
  </si>
  <si>
    <t>4Q18</t>
  </si>
  <si>
    <t>1Q19</t>
  </si>
  <si>
    <t>2Q19</t>
  </si>
  <si>
    <t>3Q19</t>
  </si>
  <si>
    <t>4Q19</t>
  </si>
  <si>
    <t>1Q20</t>
  </si>
  <si>
    <t>2Q20</t>
  </si>
  <si>
    <t>3Q20</t>
  </si>
  <si>
    <t>4Q20</t>
  </si>
  <si>
    <t>1Q21</t>
  </si>
  <si>
    <t>2Q21</t>
  </si>
  <si>
    <t>3Q21</t>
  </si>
  <si>
    <t>4Q21</t>
  </si>
  <si>
    <t>1Q22</t>
  </si>
  <si>
    <t>2Q22</t>
  </si>
  <si>
    <t>3Q22</t>
  </si>
  <si>
    <t>4Q22</t>
  </si>
  <si>
    <t>1Q23</t>
  </si>
  <si>
    <t>2Q23</t>
  </si>
  <si>
    <t>3Q23</t>
  </si>
  <si>
    <t>4Q23</t>
  </si>
  <si>
    <t>1Q24</t>
  </si>
  <si>
    <t>2Q24</t>
  </si>
  <si>
    <t>3Q24</t>
  </si>
  <si>
    <t>4Q24</t>
  </si>
  <si>
    <t>1Q25</t>
  </si>
  <si>
    <t>2Q25</t>
  </si>
  <si>
    <t>3Q25E</t>
  </si>
  <si>
    <t>4Q25E</t>
  </si>
  <si>
    <t>1Q26E</t>
  </si>
  <si>
    <t>2Q26E</t>
  </si>
  <si>
    <t>3Q26E</t>
  </si>
  <si>
    <t>4Q26E</t>
  </si>
  <si>
    <t>1Q27E</t>
  </si>
  <si>
    <t>2Q27E</t>
  </si>
  <si>
    <t>3Q27E</t>
  </si>
  <si>
    <t>4Q27E</t>
  </si>
  <si>
    <t>Calendar year</t>
  </si>
  <si>
    <t>Ticker0027</t>
  </si>
  <si>
    <t>4/31/2008</t>
  </si>
  <si>
    <t>4/31/2009</t>
  </si>
  <si>
    <t>4/31/2010</t>
  </si>
  <si>
    <t>4/31/2011</t>
  </si>
  <si>
    <t>4/31/2012</t>
  </si>
  <si>
    <t>4/31/2013</t>
  </si>
  <si>
    <t>4/31/14</t>
  </si>
  <si>
    <t>4/31/15</t>
  </si>
  <si>
    <t>4/31/16</t>
  </si>
  <si>
    <t>4/31/2017</t>
  </si>
  <si>
    <t>4/31/18</t>
  </si>
  <si>
    <t>4/31/19</t>
  </si>
  <si>
    <t>4/31/20</t>
  </si>
  <si>
    <t>4/31/21</t>
  </si>
  <si>
    <t>4/31/22</t>
  </si>
  <si>
    <t>4/31/23</t>
  </si>
  <si>
    <t>4/31/24</t>
  </si>
  <si>
    <t>4/31/25</t>
  </si>
  <si>
    <t>4/31/26</t>
  </si>
  <si>
    <t>2025E</t>
  </si>
  <si>
    <t>2026E</t>
  </si>
  <si>
    <t>2027E</t>
  </si>
  <si>
    <t>Revenue</t>
  </si>
  <si>
    <t>qoq</t>
  </si>
  <si>
    <t>--</t>
  </si>
  <si>
    <t>yoy</t>
  </si>
  <si>
    <t>COGS (incl D&amp;A)</t>
  </si>
  <si>
    <t>Depreciation</t>
  </si>
  <si>
    <t>as a % of revenue</t>
  </si>
  <si>
    <t>Gross profit</t>
  </si>
  <si>
    <t>as a % of revenue (ex SBC)</t>
  </si>
  <si>
    <t>SBC in GM</t>
  </si>
  <si>
    <t>Opex (incl SBC)</t>
  </si>
  <si>
    <t>Opex (ex SBC)</t>
  </si>
  <si>
    <t>SBC in opex</t>
  </si>
  <si>
    <t>R&amp;D</t>
  </si>
  <si>
    <t>SBC in R&amp;D</t>
  </si>
  <si>
    <t>SG&amp;A</t>
  </si>
  <si>
    <t>SBC in SGA</t>
  </si>
  <si>
    <t>Op profit (incl SBC)</t>
  </si>
  <si>
    <t>Op profit (ex SBC)</t>
  </si>
  <si>
    <t>Op EPS</t>
  </si>
  <si>
    <t>Op EPS (ex ESO)</t>
  </si>
  <si>
    <t>GAAP EPS</t>
  </si>
  <si>
    <t>FCF</t>
  </si>
  <si>
    <t>as a % of sales</t>
  </si>
  <si>
    <t>Net Cash</t>
  </si>
  <si>
    <t>Non-GAAP Dil Shares</t>
  </si>
  <si>
    <t>Inventory</t>
  </si>
  <si>
    <t>DOI (TTM)</t>
  </si>
  <si>
    <t>DOI (NTM)</t>
  </si>
  <si>
    <t>AR</t>
  </si>
  <si>
    <t>Segment Revenue</t>
  </si>
  <si>
    <t>Gaming</t>
  </si>
  <si>
    <t>% total</t>
  </si>
  <si>
    <t>Gaming GPU (ex Switch/Crypto)</t>
  </si>
  <si>
    <t>Switch</t>
  </si>
  <si>
    <t>Crypto</t>
  </si>
  <si>
    <t>Professional Visualization</t>
  </si>
  <si>
    <t>Data Center</t>
  </si>
  <si>
    <t>Classic Data Center (Compute)</t>
  </si>
  <si>
    <t>Classic Company1796 (Networking)</t>
  </si>
  <si>
    <t>Automotive</t>
  </si>
  <si>
    <t>OEM &amp; Other</t>
  </si>
  <si>
    <t>Non-Crypto GPU</t>
  </si>
  <si>
    <t>Crypto Mining Processor (CMP)</t>
  </si>
  <si>
    <t>`</t>
  </si>
  <si>
    <t>Product0409 Misc (tablet, home, IoT, etc)</t>
  </si>
  <si>
    <t>% of total</t>
  </si>
  <si>
    <t>IP</t>
  </si>
  <si>
    <t>Total</t>
  </si>
  <si>
    <t>OEM &amp; IP (REPORTED - KEEP)</t>
  </si>
  <si>
    <t>Check</t>
  </si>
  <si>
    <t>Gross margin breakout</t>
  </si>
  <si>
    <t>Gaming (Product0170)</t>
  </si>
  <si>
    <t>GM assumption</t>
  </si>
  <si>
    <t>Gaming GPU</t>
  </si>
  <si>
    <t>Pro Vis (Product0327)</t>
  </si>
  <si>
    <t>OEM</t>
  </si>
  <si>
    <t>GM%</t>
  </si>
  <si>
    <t>Revenue by geography (ship-to basis)</t>
  </si>
  <si>
    <t>Taiwan</t>
  </si>
  <si>
    <t>China (incl Hong Kong)</t>
  </si>
  <si>
    <t>Other APAC</t>
  </si>
  <si>
    <t>United States</t>
  </si>
  <si>
    <t>Europe</t>
  </si>
  <si>
    <t>Other countries</t>
  </si>
  <si>
    <t>Singapore</t>
  </si>
  <si>
    <t>as a % of total</t>
  </si>
  <si>
    <t>Euope</t>
  </si>
  <si>
    <t>Revenue by customer</t>
  </si>
  <si>
    <t>Direct Customers (ODMs, OEMs)</t>
  </si>
  <si>
    <t>Customer A</t>
  </si>
  <si>
    <t>Customer B</t>
  </si>
  <si>
    <t>Customer C</t>
  </si>
  <si>
    <t>Customer D</t>
  </si>
  <si>
    <t>Customer E</t>
  </si>
  <si>
    <t>End Customers</t>
  </si>
  <si>
    <t>Customer X</t>
  </si>
  <si>
    <t>Customer Y</t>
  </si>
  <si>
    <t>No of indirect customers (&gt;10%)</t>
  </si>
  <si>
    <t>Microsoft</t>
  </si>
  <si>
    <t>10-Q Details</t>
  </si>
  <si>
    <t>Fiscal Year</t>
  </si>
  <si>
    <t>2031 and thereafter</t>
  </si>
  <si>
    <t xml:space="preserve">Total </t>
  </si>
  <si>
    <t>Multi-year Cloud Service Agreements (incl in above)</t>
  </si>
  <si>
    <t>Short term Prepaid supply and capacity agreements</t>
  </si>
  <si>
    <t>NA</t>
  </si>
  <si>
    <t>Excess inventory purchase obligations</t>
  </si>
  <si>
    <t>Misc Breakout</t>
  </si>
  <si>
    <t>OEM GPU</t>
  </si>
  <si>
    <t>Product0409 Infotainment (auto)</t>
  </si>
  <si>
    <t>Gaming + OEM Gaming</t>
  </si>
  <si>
    <t>Graphics</t>
  </si>
  <si>
    <t>Compute &amp; Networking</t>
  </si>
  <si>
    <t>MISC - DON'T DELETE</t>
  </si>
  <si>
    <t>Product breakout</t>
  </si>
  <si>
    <t>Product0409</t>
  </si>
  <si>
    <t>GPU</t>
  </si>
  <si>
    <t>% of sales</t>
  </si>
  <si>
    <t>SGA</t>
  </si>
  <si>
    <t>Opex</t>
  </si>
  <si>
    <t>Company1953</t>
  </si>
  <si>
    <t>Q198</t>
  </si>
  <si>
    <t>Q298</t>
  </si>
  <si>
    <t>Q398</t>
  </si>
  <si>
    <t>Q498</t>
  </si>
  <si>
    <t>FY</t>
  </si>
  <si>
    <t>Q199</t>
  </si>
  <si>
    <t>Q299</t>
  </si>
  <si>
    <t>Q399</t>
  </si>
  <si>
    <t>Q499</t>
  </si>
  <si>
    <t>Q100</t>
  </si>
  <si>
    <t>Q200</t>
  </si>
  <si>
    <t>Q300</t>
  </si>
  <si>
    <t>Q400</t>
  </si>
  <si>
    <t>Q101</t>
  </si>
  <si>
    <t>Q201</t>
  </si>
  <si>
    <t>Q301</t>
  </si>
  <si>
    <t>Q401</t>
  </si>
  <si>
    <t>Q102</t>
  </si>
  <si>
    <t>Q202</t>
  </si>
  <si>
    <t>Q302</t>
  </si>
  <si>
    <t>Q402</t>
  </si>
  <si>
    <t>Q103</t>
  </si>
  <si>
    <t>Q203</t>
  </si>
  <si>
    <t>Q303</t>
  </si>
  <si>
    <t>Q403</t>
  </si>
  <si>
    <t>Q104</t>
  </si>
  <si>
    <t>Q204</t>
  </si>
  <si>
    <t>Q304</t>
  </si>
  <si>
    <t>Q404</t>
  </si>
  <si>
    <t>3Q25</t>
  </si>
  <si>
    <t>4Q25</t>
  </si>
  <si>
    <t>1Q26</t>
  </si>
  <si>
    <t>2Q26</t>
  </si>
  <si>
    <t>1Q28E</t>
  </si>
  <si>
    <t>2Q28E</t>
  </si>
  <si>
    <t>3Q28E</t>
  </si>
  <si>
    <t>4Q28E</t>
  </si>
  <si>
    <t>4/31/2014</t>
  </si>
  <si>
    <t>4/31/2015</t>
  </si>
  <si>
    <t>4/31/2016</t>
  </si>
  <si>
    <t>4/31/2018</t>
  </si>
  <si>
    <t>4/31/2019</t>
  </si>
  <si>
    <t>4/31/2020</t>
  </si>
  <si>
    <t>4/31/2021</t>
  </si>
  <si>
    <t>4/31/2022</t>
  </si>
  <si>
    <t>4/31/27</t>
  </si>
  <si>
    <t>Fiscal year ends January</t>
  </si>
  <si>
    <t>Nov</t>
  </si>
  <si>
    <t>Feb</t>
  </si>
  <si>
    <t>May</t>
  </si>
  <si>
    <t>Aug</t>
  </si>
  <si>
    <t>Company1953  Income Statement</t>
  </si>
  <si>
    <t xml:space="preserve">   % Growth qoq</t>
  </si>
  <si>
    <t xml:space="preserve">   % Growth  yoy</t>
  </si>
  <si>
    <t>COGS (ex. D&amp;A)</t>
  </si>
  <si>
    <t>D&amp;A</t>
  </si>
  <si>
    <t>Gross Profit</t>
  </si>
  <si>
    <t xml:space="preserve">  Gross Margin</t>
  </si>
  <si>
    <t xml:space="preserve">  Gross Margin Leverage</t>
  </si>
  <si>
    <t>Operating Income</t>
  </si>
  <si>
    <t xml:space="preserve">  Operating Margin</t>
  </si>
  <si>
    <t xml:space="preserve">  Operating Margin Leverage</t>
  </si>
  <si>
    <t>Interest Expense</t>
  </si>
  <si>
    <t>Interest (Income)</t>
  </si>
  <si>
    <t>Net Interest Expense/(Income)</t>
  </si>
  <si>
    <t>Other Expense</t>
  </si>
  <si>
    <t>EBT</t>
  </si>
  <si>
    <t>Total Taxes</t>
  </si>
  <si>
    <t>Tax Rate</t>
  </si>
  <si>
    <t>Net Income - Recurring</t>
  </si>
  <si>
    <t>Extraordinary Gain (Loss)</t>
  </si>
  <si>
    <t>Goodwill amortization</t>
  </si>
  <si>
    <t>ESO Expense (pre tax)</t>
  </si>
  <si>
    <t>ESO Expense (net of tax)</t>
  </si>
  <si>
    <t>Net Income - Reported (GAAP)</t>
  </si>
  <si>
    <t>Shares outstanding - basic (GAAP)</t>
  </si>
  <si>
    <t>Dilution impact from convertible note</t>
  </si>
  <si>
    <t>Shares outstanding - diluted (non-GAAP)</t>
  </si>
  <si>
    <t>Shares outstanding - diluted (GAAP)</t>
  </si>
  <si>
    <t>Diluted EPS - Recurring (as if convertible not exercised)</t>
  </si>
  <si>
    <t>Diluted EPS - Recurring (as if convertible is exercised)</t>
  </si>
  <si>
    <t>Diluted EPS - Recurring (excl ESOs - Non-GAAP)</t>
  </si>
  <si>
    <t>Diluted EPS - Recurring (incl ESO)</t>
  </si>
  <si>
    <t>EBITDA</t>
  </si>
  <si>
    <t>Dividend per share</t>
  </si>
  <si>
    <t>GAAP Diluted EPS</t>
  </si>
  <si>
    <t>Company1953 Balance Sheet</t>
  </si>
  <si>
    <t>Cash and Equivalents</t>
  </si>
  <si>
    <t>Restricted Cash</t>
  </si>
  <si>
    <t>Marketable Securities</t>
  </si>
  <si>
    <t>DSO's</t>
  </si>
  <si>
    <t>Total Inventory</t>
  </si>
  <si>
    <t>Raw materials</t>
  </si>
  <si>
    <t>WIP</t>
  </si>
  <si>
    <t>Finished Goods</t>
  </si>
  <si>
    <t xml:space="preserve">Inventory Days </t>
  </si>
  <si>
    <t>Other Current Assets</t>
  </si>
  <si>
    <t>Current Assets</t>
  </si>
  <si>
    <t>P,P and E - Gross</t>
  </si>
  <si>
    <t>Accumulated Depreciation</t>
  </si>
  <si>
    <t>P,P and E - Net</t>
  </si>
  <si>
    <t>Other Assets:</t>
  </si>
  <si>
    <t>Deposits and other assets</t>
  </si>
  <si>
    <t>Prepaid and deferred taxes</t>
  </si>
  <si>
    <t>Goodwill and intangible assets, net</t>
  </si>
  <si>
    <t>Total Other Assets</t>
  </si>
  <si>
    <t>Total Assets</t>
  </si>
  <si>
    <t>Current Portion of Capital Leases</t>
  </si>
  <si>
    <t>AP</t>
  </si>
  <si>
    <t>% of Annual Revenues</t>
  </si>
  <si>
    <t>Short Term Debt</t>
  </si>
  <si>
    <t>Accrued liabilities</t>
  </si>
  <si>
    <t>Current Liabilities</t>
  </si>
  <si>
    <t>Non-current capital leases</t>
  </si>
  <si>
    <t>Convertible note</t>
  </si>
  <si>
    <t>Other LT Debt</t>
  </si>
  <si>
    <t>Deferred Revenue and Other liabilities</t>
  </si>
  <si>
    <t>Total Liabilities</t>
  </si>
  <si>
    <t>Total Equity</t>
  </si>
  <si>
    <t>Total Liabilities and Equity</t>
  </si>
  <si>
    <t>Net Debt</t>
  </si>
  <si>
    <t>Net Debt/EBITDA</t>
  </si>
  <si>
    <t>Company1953 Statement of Cash Flows</t>
  </si>
  <si>
    <t>Cash From Operations</t>
  </si>
  <si>
    <t>Net Income</t>
  </si>
  <si>
    <t>Deferred income taxes</t>
  </si>
  <si>
    <t>Amortization of deferred compensation</t>
  </si>
  <si>
    <t>Tax benefit from employee stock plans</t>
  </si>
  <si>
    <t>Other/stock-based comp</t>
  </si>
  <si>
    <t>Changes in certain assets and liabilities:</t>
  </si>
  <si>
    <t>Accounts receivable</t>
  </si>
  <si>
    <t>Prepaid expenses and other current assets</t>
  </si>
  <si>
    <t>Accounts payable</t>
  </si>
  <si>
    <t>Deferred revenue/Other LT Liab.</t>
  </si>
  <si>
    <t>Total Cash from Operating</t>
  </si>
  <si>
    <t>Cash From Investing</t>
  </si>
  <si>
    <t>Capex</t>
  </si>
  <si>
    <t>Other Changes in PP&amp;E</t>
  </si>
  <si>
    <t>Total Cash from Investing</t>
  </si>
  <si>
    <t>Capex/Sales</t>
  </si>
  <si>
    <t>Cash from Financing</t>
  </si>
  <si>
    <t>Debt Issued</t>
  </si>
  <si>
    <t>Debt Repaid</t>
  </si>
  <si>
    <t>Stock Issued</t>
  </si>
  <si>
    <t>FY23E</t>
  </si>
  <si>
    <t>FY24E</t>
  </si>
  <si>
    <t>FY25E</t>
  </si>
  <si>
    <t>Stock Repurchased</t>
  </si>
  <si>
    <t>Dividends Paid</t>
  </si>
  <si>
    <t>Dividends/other</t>
  </si>
  <si>
    <t>Total Cash From Financing</t>
  </si>
  <si>
    <t>Net Change in Cash</t>
  </si>
  <si>
    <t>Cash Beginning of Period</t>
  </si>
  <si>
    <t>Cash End of Period</t>
  </si>
  <si>
    <t>% shareholder return</t>
  </si>
  <si>
    <t>Legacy Revenue Model</t>
  </si>
  <si>
    <t>Desktop GPUs (incl. workstations through FY07)</t>
  </si>
  <si>
    <t>Market size (units)</t>
  </si>
  <si>
    <t>Ticker0027 market share</t>
  </si>
  <si>
    <t>Ticker0027 units (Professional broken-out starting FY08)</t>
  </si>
  <si>
    <t>ASP</t>
  </si>
  <si>
    <t>Ticker0027 Revenues</t>
  </si>
  <si>
    <t xml:space="preserve">  % qoq</t>
  </si>
  <si>
    <t xml:space="preserve">  % yoy</t>
  </si>
  <si>
    <t>Gross Margin</t>
  </si>
  <si>
    <t>Operating Margin</t>
  </si>
  <si>
    <t>Operating Profit</t>
  </si>
  <si>
    <t>Notebook GPUs</t>
  </si>
  <si>
    <t>Ticker0027 units</t>
  </si>
  <si>
    <t>Professional Solutions (workstation/enterprise and Company2757)</t>
  </si>
  <si>
    <t>Ticker0027 Revenues (PSB)</t>
  </si>
  <si>
    <t>MCP (chipsets and motherboard GPUs)</t>
  </si>
  <si>
    <t>Game Consoles</t>
  </si>
  <si>
    <t>Ticker0027 units into PS3 (Product0472 up to 2005)</t>
  </si>
  <si>
    <t>Company2579 NRE/license revenues</t>
  </si>
  <si>
    <t>Product0409 (auto and mobile)</t>
  </si>
  <si>
    <t xml:space="preserve">Licensing &amp; other </t>
  </si>
  <si>
    <t>Revenues</t>
  </si>
  <si>
    <t>Other OpM charges</t>
  </si>
  <si>
    <t>Consolidated</t>
  </si>
  <si>
    <t>Total Revenue</t>
  </si>
  <si>
    <t>Sequential Growth</t>
  </si>
  <si>
    <t>Overall Gross Margin</t>
  </si>
  <si>
    <t>Total Gross Profit</t>
  </si>
  <si>
    <t>Overall Operating Margin</t>
  </si>
  <si>
    <t>Total Operating Profit</t>
  </si>
  <si>
    <t>Revenue Distribution</t>
  </si>
  <si>
    <t>GPU revenue check</t>
  </si>
  <si>
    <t>GP OM check</t>
  </si>
  <si>
    <t>New reported segments</t>
  </si>
  <si>
    <t xml:space="preserve">GPU </t>
  </si>
  <si>
    <t>All other</t>
  </si>
  <si>
    <t>Company1953 reported mix</t>
  </si>
  <si>
    <t>PC OEM</t>
  </si>
  <si>
    <t>Enterprise (Product0327/GRID)</t>
  </si>
  <si>
    <t>HPC/Cloud (Company2757)</t>
  </si>
  <si>
    <t>Auto</t>
  </si>
  <si>
    <t>Mobile (smartphones, tablets)</t>
  </si>
  <si>
    <t>% of revenue</t>
  </si>
  <si>
    <t>PC gaming</t>
  </si>
  <si>
    <t>Product0409 (non-auto)</t>
  </si>
  <si>
    <t>Non-auto (smartphones, tablets)</t>
  </si>
  <si>
    <t>Cloud Capex</t>
  </si>
  <si>
    <t>Product0007 Capex</t>
  </si>
  <si>
    <t>COMPANY1808</t>
  </si>
  <si>
    <t>Ticker0014</t>
  </si>
  <si>
    <t>Ticker0024</t>
  </si>
  <si>
    <t>Company1985</t>
  </si>
  <si>
    <t>CRM</t>
  </si>
  <si>
    <t>China</t>
  </si>
  <si>
    <t>Total cloud capex ($mn)</t>
  </si>
  <si>
    <t>Company1915 Datacenter revenue</t>
  </si>
  <si>
    <t>Classic Company1953 (Compute)</t>
  </si>
  <si>
    <t>% of Web 2.0 capex</t>
  </si>
  <si>
    <t>qoq (%)</t>
  </si>
  <si>
    <t>yoy (%)</t>
  </si>
  <si>
    <t>Ticker0027 DC Breakdown</t>
  </si>
  <si>
    <t>A100</t>
  </si>
  <si>
    <t>Units (k units)</t>
  </si>
  <si>
    <t>% of total units</t>
  </si>
  <si>
    <t>ASP ($)</t>
  </si>
  <si>
    <t>Total Revenue (mn)</t>
  </si>
  <si>
    <t>% of DC compute</t>
  </si>
  <si>
    <t>H100</t>
  </si>
  <si>
    <t>ASP ($'000)</t>
  </si>
  <si>
    <t>H200</t>
  </si>
  <si>
    <t>Total Revenue ($mn)</t>
  </si>
  <si>
    <t>Product0075</t>
  </si>
  <si>
    <t>Product0075 Ultra</t>
  </si>
  <si>
    <t>Person0978</t>
  </si>
  <si>
    <t>Person0978 Ultra</t>
  </si>
  <si>
    <t>DC Compute Revenue ($ mn)</t>
  </si>
  <si>
    <t>Units (k)</t>
  </si>
  <si>
    <t>Blended ASP ($)</t>
  </si>
  <si>
    <t>Checks</t>
  </si>
  <si>
    <t>Actual/Published DC Compute revenue</t>
  </si>
  <si>
    <t>FY22E</t>
  </si>
  <si>
    <t>Calendar Year</t>
  </si>
  <si>
    <t>DESKTOP</t>
  </si>
  <si>
    <t>Company1953 units</t>
  </si>
  <si>
    <t>Company0091</t>
  </si>
  <si>
    <t>Total market</t>
  </si>
  <si>
    <t>Company1953 ASP (Product0167)</t>
  </si>
  <si>
    <t>vs Notebook ASP</t>
  </si>
  <si>
    <t>Company1953 revenue</t>
  </si>
  <si>
    <t>NOTEBOOK</t>
  </si>
  <si>
    <t>Total GPU</t>
  </si>
  <si>
    <t>% Desktop</t>
  </si>
  <si>
    <t>% Notebook</t>
  </si>
  <si>
    <t>---</t>
  </si>
  <si>
    <t>Company1942 Switch</t>
  </si>
  <si>
    <t>Units</t>
  </si>
  <si>
    <t>Total Gaming Revenue</t>
  </si>
  <si>
    <t>Revenue Build</t>
  </si>
  <si>
    <t>Infotainment</t>
  </si>
  <si>
    <t>% of automotive</t>
  </si>
  <si>
    <t>Content/car</t>
  </si>
  <si>
    <t>Non-Infotainment (ADAS + AI Cockpit)</t>
  </si>
  <si>
    <t>Total automotive revenue</t>
  </si>
  <si>
    <t>Reported Automotive Revenue ($mn)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</si>
</sst>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6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_);\(0.0%\);0.0%_);@_)"/>
    <numFmt numFmtId="165" formatCode="#,##0.0_);\(#,##0.0\);#,##0.0_);@_)"/>
    <numFmt numFmtId="166" formatCode="0%_);\(0%\);0%_);@_)"/>
    <numFmt numFmtId="167" formatCode="#,##0_);\(#,##0\);#,##0_);@_)"/>
    <numFmt numFmtId="168" formatCode="_(* #,##0_);_(* \(#,##0\);_(* &quot;-&quot;??_);_(@_)"/>
    <numFmt numFmtId="169" formatCode="mm/dd/yy"/>
    <numFmt numFmtId="170" formatCode="0.0%"/>
    <numFmt numFmtId="171" formatCode="&quot;$&quot;#,##0.0_);\(&quot;$&quot;#,##0.0\);&quot;$&quot;#,##0.0_);@_)"/>
    <numFmt numFmtId="172" formatCode="#,##0.00_);\(#,##0.00\);#,##0.00_);@_)"/>
    <numFmt numFmtId="173" formatCode="&quot;$&quot;#,##0.00"/>
    <numFmt numFmtId="174" formatCode="#,##0.0"/>
    <numFmt numFmtId="175" formatCode="0.00000"/>
    <numFmt numFmtId="176" formatCode="0.0"/>
    <numFmt numFmtId="177" formatCode="0.000"/>
    <numFmt numFmtId="178" formatCode="0.0000"/>
    <numFmt numFmtId="179" formatCode="#,##0.0_);[Red]\(#,##0.0\)"/>
    <numFmt numFmtId="180" formatCode="&quot;$&quot;#,##0.0"/>
    <numFmt numFmtId="181" formatCode="0.0%_);[Red]\(0.0%\)"/>
    <numFmt numFmtId="182" formatCode="0.0_);[Red]\(0.0\)"/>
    <numFmt numFmtId="183" formatCode="&quot;$&quot;#,##0.00_);\(&quot;$&quot;#,##0.00\);&quot;$&quot;#,##0.00_);@_)"/>
    <numFmt numFmtId="184" formatCode="&quot;$&quot;#,##0.000_);\(&quot;$&quot;#,##0.000\);&quot;$&quot;#,##0.000_);@_)"/>
    <numFmt numFmtId="185" formatCode="#,##0.000"/>
    <numFmt numFmtId="186" formatCode="#,##0.000_);[Red]\(#,##0.000\)"/>
    <numFmt numFmtId="187" formatCode="#,##0.0000000000000_);[Red]\(#,##0.0000000000000\)"/>
    <numFmt numFmtId="188" formatCode="0.00000000000000"/>
    <numFmt numFmtId="189" formatCode="0.000_);[Red]\(0.000\)"/>
    <numFmt numFmtId="190" formatCode="#,##0.000_);\(#,##0.000\);#,##0.000_);@_)"/>
    <numFmt numFmtId="191" formatCode="_(&quot;$&quot;* #,##0.000_);_(&quot;$&quot;* \(#,##0.000\);_(&quot;$&quot;* &quot;-&quot;??_);_(@_)"/>
    <numFmt numFmtId="192" formatCode="&quot;$&quot;#,##0.0_);[Red]\(&quot;$&quot;#,##0.0\)"/>
    <numFmt numFmtId="193" formatCode="_(* #,##0.000_);_(* \(#,##0.000\);_(* &quot;-&quot;??_);_(@_)"/>
    <numFmt numFmtId="194" formatCode="_(* #,##0.0000_);_(* \(#,##0.0000\);_(* &quot;-&quot;??_);_(@_)"/>
    <numFmt numFmtId="195" formatCode="_(* #,##0.0_);_(* \(#,##0.0\);_(* &quot;-&quot;??_);_(@_)"/>
  </numFmts>
  <fonts count="60">
    <font>
      <sz val="10"/>
      <name val="Arial"/>
    </font>
    <font>
      <sz val="11"/>
      <color theme="1"/>
      <name val="Calibri"/>
      <family val="2"/>
      <scheme val="minor"/>
    </font>
    <font>
      <sz val="10"/>
      <name val="GS TheSans"/>
      <family val="2"/>
    </font>
    <font>
      <b/>
      <sz val="26"/>
      <name val="Arial"/>
      <family val="2"/>
    </font>
    <font>
      <b/>
      <sz val="11"/>
      <color indexed="57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24"/>
      <name val="Arial"/>
      <family val="2"/>
    </font>
    <font>
      <b/>
      <sz val="18"/>
      <name val="Arial"/>
      <family val="2"/>
    </font>
    <font>
      <b/>
      <sz val="20"/>
      <name val="Arial"/>
      <family val="2"/>
    </font>
    <font>
      <b/>
      <sz val="16"/>
      <color indexed="8"/>
      <name val="Arial"/>
      <family val="2"/>
    </font>
    <font>
      <b/>
      <sz val="12"/>
      <name val="Arial"/>
      <family val="2"/>
    </font>
    <font>
      <u/>
      <sz val="10"/>
      <color theme="10"/>
      <name val="Arial"/>
      <family val="2"/>
    </font>
    <font>
      <sz val="12"/>
      <color indexed="8"/>
      <name val="Arial"/>
      <family val="2"/>
    </font>
    <font>
      <u/>
      <sz val="11"/>
      <color theme="10"/>
      <name val="Univers LT Std 55"/>
      <family val="2"/>
    </font>
    <font>
      <sz val="8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8"/>
      <color rgb="FFFF0000"/>
      <name val="Arial"/>
      <family val="2"/>
    </font>
    <font>
      <b/>
      <sz val="8"/>
      <color theme="0"/>
      <name val="Arial"/>
      <family val="2"/>
    </font>
    <font>
      <b/>
      <sz val="8"/>
      <color theme="1"/>
      <name val="Arial"/>
      <family val="2"/>
    </font>
    <font>
      <b/>
      <sz val="8"/>
      <color rgb="FF0000FF"/>
      <name val="Arial"/>
      <family val="2"/>
    </font>
    <font>
      <sz val="8"/>
      <color theme="1"/>
      <name val="Arial"/>
      <family val="2"/>
    </font>
    <font>
      <sz val="8"/>
      <color rgb="FF0000FF"/>
      <name val="Arial"/>
      <family val="2"/>
    </font>
    <font>
      <sz val="8"/>
      <color rgb="FFC00000"/>
      <name val="Arial"/>
      <family val="2"/>
    </font>
    <font>
      <i/>
      <sz val="8"/>
      <name val="Arial"/>
      <family val="2"/>
    </font>
    <font>
      <sz val="10"/>
      <color rgb="FFFF0000"/>
      <name val="Arial"/>
      <family val="2"/>
    </font>
    <font>
      <i/>
      <sz val="8"/>
      <color rgb="FF0000FF"/>
      <name val="Arial"/>
      <family val="2"/>
    </font>
    <font>
      <i/>
      <sz val="8"/>
      <color rgb="FFC00000"/>
      <name val="Arial"/>
      <family val="2"/>
    </font>
    <font>
      <b/>
      <i/>
      <sz val="8"/>
      <color rgb="FF0000FF"/>
      <name val="Arial"/>
      <family val="2"/>
    </font>
    <font>
      <b/>
      <u/>
      <sz val="8"/>
      <name val="Arial"/>
      <family val="2"/>
    </font>
    <font>
      <i/>
      <sz val="8"/>
      <color theme="1"/>
      <name val="Arial"/>
      <family val="2"/>
    </font>
    <font>
      <sz val="8"/>
      <color rgb="FFFF000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i/>
      <sz val="10"/>
      <color indexed="23"/>
      <name val="Arial"/>
      <family val="2"/>
    </font>
    <font>
      <sz val="10"/>
      <color indexed="52"/>
      <name val="Arial"/>
      <family val="2"/>
    </font>
    <font>
      <sz val="8"/>
      <name val="Times New Roman"/>
      <family val="1"/>
    </font>
    <font>
      <i/>
      <sz val="10"/>
      <color indexed="55"/>
      <name val="Arial"/>
      <family val="2"/>
    </font>
    <font>
      <i/>
      <sz val="10"/>
      <color indexed="9"/>
      <name val="Arial"/>
      <family val="2"/>
    </font>
    <font>
      <b/>
      <sz val="10"/>
      <color rgb="FF0000FF"/>
      <name val="Arial"/>
      <family val="2"/>
    </font>
    <font>
      <i/>
      <sz val="10"/>
      <name val="Arial"/>
      <family val="2"/>
    </font>
    <font>
      <sz val="10"/>
      <color rgb="FF0000FF"/>
      <name val="Arial"/>
      <family val="2"/>
    </font>
    <font>
      <sz val="8"/>
      <color indexed="18"/>
      <name val="Times New Roman"/>
      <family val="1"/>
    </font>
    <font>
      <b/>
      <sz val="10"/>
      <color rgb="FFFF0000"/>
      <name val="Arial"/>
      <family val="2"/>
    </font>
    <font>
      <b/>
      <i/>
      <sz val="10"/>
      <name val="Arial"/>
      <family val="2"/>
    </font>
    <font>
      <sz val="10"/>
      <color indexed="10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i/>
      <sz val="10"/>
      <color rgb="FFC00000"/>
      <name val="Arial"/>
      <family val="2"/>
    </font>
    <font>
      <sz val="10"/>
      <color rgb="FFC00000"/>
      <name val="Arial"/>
      <family val="2"/>
    </font>
    <font>
      <b/>
      <sz val="10"/>
      <color rgb="FFC00000"/>
      <name val="Arial"/>
      <family val="2"/>
    </font>
    <font>
      <sz val="10"/>
      <color indexed="12"/>
      <name val="Arial"/>
      <family val="2"/>
    </font>
    <font>
      <u/>
      <sz val="10"/>
      <color indexed="12"/>
      <name val="Arial"/>
      <family val="2"/>
    </font>
    <font>
      <sz val="10"/>
      <color indexed="55"/>
      <name val="Wingdings 3"/>
      <family val="1"/>
      <charset val="2"/>
    </font>
    <font>
      <b/>
      <sz val="10"/>
      <color rgb="FFFFCCCC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2"/>
      <color theme="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-0.499984740745262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2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DashDotDot">
        <color theme="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24"/>
      </right>
      <top style="thin">
        <color indexed="64"/>
      </top>
      <bottom style="thin">
        <color indexed="64"/>
      </bottom>
      <diagonal/>
    </border>
    <border>
      <left style="mediumDashDotDot">
        <color theme="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2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DashDotDot">
        <color theme="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DashDotDot">
        <color theme="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DashDotDot">
        <color theme="4"/>
      </left>
      <right/>
      <top/>
      <bottom style="thin">
        <color indexed="64"/>
      </bottom>
      <diagonal/>
    </border>
  </borders>
  <cellStyleXfs count="20">
    <xf numFmtId="0" fontId="0" fillId="0" borderId="0">
      <alignment vertical="top"/>
    </xf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2" fillId="0" borderId="0" applyNumberFormat="0" applyFill="0" applyBorder="0" applyAlignment="0" applyProtection="0">
      <alignment vertical="top"/>
    </xf>
    <xf numFmtId="0" fontId="2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6" fillId="0" borderId="0">
      <alignment vertical="top"/>
    </xf>
    <xf numFmtId="9" fontId="16" fillId="0" borderId="0" applyFont="0" applyFill="0" applyBorder="0" applyAlignment="0" applyProtection="0"/>
    <xf numFmtId="0" fontId="15" fillId="0" borderId="0"/>
    <xf numFmtId="179" fontId="37" fillId="0" borderId="0" applyFill="0" applyBorder="0" applyAlignment="0" applyProtection="0">
      <alignment horizontal="right"/>
      <protection locked="0"/>
    </xf>
    <xf numFmtId="181" fontId="43" fillId="0" borderId="0" applyFill="0" applyBorder="0" applyAlignment="0" applyProtection="0"/>
    <xf numFmtId="9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>
      <alignment vertical="top"/>
    </xf>
    <xf numFmtId="44" fontId="1" fillId="0" borderId="0" applyFont="0" applyFill="0" applyBorder="0" applyAlignment="0" applyProtection="0"/>
    <xf numFmtId="0" fontId="1" fillId="0" borderId="0"/>
  </cellStyleXfs>
  <cellXfs count="681">
    <xf numFmtId="0" fontId="0" fillId="0" borderId="0" xfId="0">
      <alignment vertical="top"/>
    </xf>
    <xf numFmtId="0" fontId="3" fillId="2" borderId="0" xfId="5" applyFont="1" applyFill="1" applyAlignment="1">
      <alignment horizontal="center"/>
    </xf>
    <xf numFmtId="15" fontId="4" fillId="2" borderId="0" xfId="5" quotePrefix="1" applyNumberFormat="1" applyFont="1" applyFill="1" applyAlignment="1" applyProtection="1">
      <alignment horizontal="center"/>
      <protection locked="0"/>
    </xf>
    <xf numFmtId="15" fontId="5" fillId="2" borderId="0" xfId="5" applyNumberFormat="1" applyFont="1" applyFill="1" applyAlignment="1">
      <alignment horizontal="center"/>
    </xf>
    <xf numFmtId="0" fontId="5" fillId="2" borderId="0" xfId="5" applyFont="1" applyFill="1"/>
    <xf numFmtId="49" fontId="6" fillId="2" borderId="0" xfId="5" applyNumberFormat="1" applyFont="1" applyFill="1" applyAlignment="1">
      <alignment horizontal="center"/>
    </xf>
    <xf numFmtId="0" fontId="5" fillId="3" borderId="0" xfId="5" applyFont="1" applyFill="1"/>
    <xf numFmtId="0" fontId="7" fillId="3" borderId="0" xfId="5" applyFont="1" applyFill="1"/>
    <xf numFmtId="0" fontId="8" fillId="3" borderId="0" xfId="5" applyFont="1" applyFill="1"/>
    <xf numFmtId="0" fontId="9" fillId="3" borderId="0" xfId="5" applyFont="1" applyFill="1"/>
    <xf numFmtId="0" fontId="5" fillId="4" borderId="0" xfId="5" applyFont="1" applyFill="1"/>
    <xf numFmtId="0" fontId="10" fillId="4" borderId="0" xfId="5" applyFont="1" applyFill="1"/>
    <xf numFmtId="0" fontId="11" fillId="5" borderId="0" xfId="5" applyFont="1" applyFill="1"/>
    <xf numFmtId="0" fontId="12" fillId="5" borderId="0" xfId="4" applyFill="1" applyAlignment="1" applyProtection="1"/>
    <xf numFmtId="0" fontId="5" fillId="5" borderId="0" xfId="5" applyFont="1" applyFill="1"/>
    <xf numFmtId="0" fontId="13" fillId="4" borderId="0" xfId="5" applyFont="1" applyFill="1"/>
    <xf numFmtId="0" fontId="14" fillId="5" borderId="0" xfId="6" applyFill="1" applyAlignment="1" applyProtection="1"/>
    <xf numFmtId="0" fontId="15" fillId="0" borderId="0" xfId="0" applyFont="1" applyAlignment="1">
      <alignment horizontal="right"/>
    </xf>
    <xf numFmtId="0" fontId="17" fillId="0" borderId="0" xfId="7" applyFont="1" applyAlignment="1">
      <alignment horizontal="right"/>
    </xf>
    <xf numFmtId="0" fontId="17" fillId="0" borderId="1" xfId="7" applyFont="1" applyBorder="1" applyAlignment="1">
      <alignment horizontal="right"/>
    </xf>
    <xf numFmtId="9" fontId="17" fillId="0" borderId="0" xfId="3" applyFont="1" applyFill="1" applyBorder="1" applyAlignment="1">
      <alignment horizontal="right"/>
    </xf>
    <xf numFmtId="3" fontId="17" fillId="0" borderId="0" xfId="7" applyNumberFormat="1" applyFont="1" applyAlignment="1">
      <alignment horizontal="right"/>
    </xf>
    <xf numFmtId="164" fontId="17" fillId="0" borderId="0" xfId="7" applyNumberFormat="1" applyFont="1" applyAlignment="1">
      <alignment horizontal="right"/>
    </xf>
    <xf numFmtId="165" fontId="17" fillId="0" borderId="0" xfId="7" applyNumberFormat="1" applyFont="1" applyAlignment="1">
      <alignment horizontal="right"/>
    </xf>
    <xf numFmtId="166" fontId="17" fillId="0" borderId="0" xfId="7" applyNumberFormat="1" applyFont="1" applyAlignment="1">
      <alignment horizontal="right"/>
    </xf>
    <xf numFmtId="0" fontId="17" fillId="0" borderId="0" xfId="0" applyFont="1" applyAlignment="1">
      <alignment horizontal="right"/>
    </xf>
    <xf numFmtId="3" fontId="17" fillId="0" borderId="0" xfId="0" applyNumberFormat="1" applyFont="1" applyAlignment="1">
      <alignment horizontal="right"/>
    </xf>
    <xf numFmtId="0" fontId="15" fillId="0" borderId="0" xfId="0" applyFont="1" applyAlignment="1"/>
    <xf numFmtId="167" fontId="17" fillId="0" borderId="0" xfId="7" applyNumberFormat="1" applyFont="1" applyAlignment="1">
      <alignment horizontal="right"/>
    </xf>
    <xf numFmtId="9" fontId="17" fillId="0" borderId="0" xfId="3" applyFont="1" applyFill="1" applyAlignment="1">
      <alignment horizontal="right"/>
    </xf>
    <xf numFmtId="9" fontId="18" fillId="0" borderId="0" xfId="3" applyFont="1" applyFill="1" applyAlignment="1">
      <alignment horizontal="right"/>
    </xf>
    <xf numFmtId="3" fontId="17" fillId="0" borderId="0" xfId="0" applyNumberFormat="1" applyFont="1" applyAlignment="1">
      <alignment horizontal="center"/>
    </xf>
    <xf numFmtId="3" fontId="18" fillId="0" borderId="0" xfId="7" applyNumberFormat="1" applyFont="1" applyAlignment="1">
      <alignment horizontal="right"/>
    </xf>
    <xf numFmtId="9" fontId="17" fillId="0" borderId="0" xfId="3" applyFont="1" applyFill="1" applyBorder="1" applyAlignment="1">
      <alignment horizontal="center"/>
    </xf>
    <xf numFmtId="168" fontId="17" fillId="0" borderId="0" xfId="1" applyNumberFormat="1" applyFont="1" applyFill="1" applyAlignment="1">
      <alignment horizontal="right"/>
    </xf>
    <xf numFmtId="3" fontId="17" fillId="0" borderId="0" xfId="0" applyNumberFormat="1" applyFont="1" applyAlignment="1"/>
    <xf numFmtId="4" fontId="18" fillId="0" borderId="0" xfId="0" applyNumberFormat="1" applyFont="1" applyAlignment="1"/>
    <xf numFmtId="0" fontId="0" fillId="0" borderId="0" xfId="0" applyAlignment="1"/>
    <xf numFmtId="0" fontId="17" fillId="0" borderId="0" xfId="0" applyFont="1" applyAlignment="1"/>
    <xf numFmtId="0" fontId="19" fillId="6" borderId="0" xfId="7" applyFont="1" applyFill="1" applyAlignment="1">
      <alignment horizontal="right"/>
    </xf>
    <xf numFmtId="0" fontId="19" fillId="6" borderId="1" xfId="7" applyFont="1" applyFill="1" applyBorder="1" applyAlignment="1">
      <alignment horizontal="right"/>
    </xf>
    <xf numFmtId="0" fontId="19" fillId="6" borderId="0" xfId="0" applyFont="1" applyFill="1" applyAlignment="1">
      <alignment horizontal="center"/>
    </xf>
    <xf numFmtId="0" fontId="19" fillId="6" borderId="0" xfId="7" applyFont="1" applyFill="1" applyAlignment="1">
      <alignment horizontal="left"/>
    </xf>
    <xf numFmtId="169" fontId="19" fillId="6" borderId="0" xfId="7" applyNumberFormat="1" applyFont="1" applyFill="1" applyAlignment="1">
      <alignment horizontal="right"/>
    </xf>
    <xf numFmtId="169" fontId="19" fillId="6" borderId="0" xfId="7" applyNumberFormat="1" applyFont="1" applyFill="1" applyAlignment="1"/>
    <xf numFmtId="169" fontId="19" fillId="6" borderId="1" xfId="7" applyNumberFormat="1" applyFont="1" applyFill="1" applyBorder="1" applyAlignment="1"/>
    <xf numFmtId="0" fontId="19" fillId="6" borderId="0" xfId="0" applyFont="1" applyFill="1" applyAlignment="1">
      <alignment horizontal="right"/>
    </xf>
    <xf numFmtId="3" fontId="15" fillId="0" borderId="0" xfId="0" applyNumberFormat="1" applyFont="1" applyAlignment="1"/>
    <xf numFmtId="170" fontId="15" fillId="0" borderId="0" xfId="0" applyNumberFormat="1" applyFont="1" applyAlignment="1">
      <alignment horizontal="left" indent="1"/>
    </xf>
    <xf numFmtId="170" fontId="15" fillId="0" borderId="0" xfId="0" applyNumberFormat="1" applyFont="1" applyAlignment="1"/>
    <xf numFmtId="170" fontId="15" fillId="0" borderId="0" xfId="3" applyNumberFormat="1" applyFont="1" applyFill="1" applyBorder="1" applyAlignment="1"/>
    <xf numFmtId="170" fontId="23" fillId="0" borderId="0" xfId="3" applyNumberFormat="1" applyFont="1" applyFill="1" applyBorder="1" applyAlignment="1"/>
    <xf numFmtId="170" fontId="15" fillId="0" borderId="0" xfId="3" applyNumberFormat="1" applyFont="1" applyFill="1" applyAlignment="1"/>
    <xf numFmtId="170" fontId="23" fillId="0" borderId="0" xfId="3" applyNumberFormat="1" applyFont="1" applyFill="1" applyAlignment="1"/>
    <xf numFmtId="170" fontId="24" fillId="0" borderId="0" xfId="3" applyNumberFormat="1" applyFont="1" applyFill="1" applyAlignment="1"/>
    <xf numFmtId="9" fontId="15" fillId="0" borderId="0" xfId="3" applyFont="1" applyFill="1" applyAlignment="1"/>
    <xf numFmtId="9" fontId="21" fillId="0" borderId="0" xfId="3" applyFont="1" applyFill="1" applyAlignment="1"/>
    <xf numFmtId="9" fontId="15" fillId="0" borderId="0" xfId="3" applyFont="1" applyAlignment="1"/>
    <xf numFmtId="3" fontId="17" fillId="0" borderId="0" xfId="3" applyNumberFormat="1" applyFont="1" applyAlignment="1"/>
    <xf numFmtId="3" fontId="17" fillId="0" borderId="0" xfId="3" applyNumberFormat="1" applyFont="1" applyBorder="1" applyAlignment="1"/>
    <xf numFmtId="3" fontId="19" fillId="6" borderId="0" xfId="0" applyNumberFormat="1" applyFont="1" applyFill="1" applyAlignment="1"/>
    <xf numFmtId="3" fontId="19" fillId="6" borderId="0" xfId="0" applyNumberFormat="1" applyFont="1" applyFill="1" applyAlignment="1">
      <alignment horizontal="right"/>
    </xf>
    <xf numFmtId="170" fontId="17" fillId="0" borderId="0" xfId="0" applyNumberFormat="1" applyFont="1" applyAlignment="1"/>
    <xf numFmtId="170" fontId="16" fillId="0" borderId="0" xfId="0" applyNumberFormat="1" applyFont="1" applyAlignment="1">
      <alignment horizontal="left" indent="1"/>
    </xf>
    <xf numFmtId="43" fontId="23" fillId="0" borderId="0" xfId="1" applyFont="1" applyFill="1" applyBorder="1" applyAlignment="1"/>
    <xf numFmtId="168" fontId="27" fillId="0" borderId="0" xfId="1" applyNumberFormat="1" applyFont="1" applyFill="1" applyBorder="1" applyAlignment="1"/>
    <xf numFmtId="3" fontId="17" fillId="0" borderId="0" xfId="3" applyNumberFormat="1" applyFont="1" applyFill="1" applyAlignment="1"/>
    <xf numFmtId="3" fontId="17" fillId="0" borderId="0" xfId="3" applyNumberFormat="1" applyFont="1" applyFill="1" applyBorder="1" applyAlignment="1"/>
    <xf numFmtId="3" fontId="15" fillId="0" borderId="0" xfId="3" applyNumberFormat="1" applyFont="1" applyFill="1" applyBorder="1" applyAlignment="1"/>
    <xf numFmtId="3" fontId="21" fillId="0" borderId="0" xfId="3" applyNumberFormat="1" applyFont="1" applyFill="1" applyBorder="1" applyAlignment="1"/>
    <xf numFmtId="9" fontId="17" fillId="0" borderId="0" xfId="3" applyFont="1" applyFill="1" applyAlignment="1"/>
    <xf numFmtId="9" fontId="17" fillId="0" borderId="0" xfId="3" applyFont="1" applyFill="1" applyBorder="1" applyAlignment="1"/>
    <xf numFmtId="9" fontId="21" fillId="0" borderId="0" xfId="3" applyFont="1" applyFill="1" applyBorder="1" applyAlignment="1"/>
    <xf numFmtId="3" fontId="19" fillId="0" borderId="0" xfId="0" applyNumberFormat="1" applyFont="1" applyAlignment="1"/>
    <xf numFmtId="3" fontId="19" fillId="0" borderId="0" xfId="0" applyNumberFormat="1" applyFont="1" applyAlignment="1">
      <alignment horizontal="right"/>
    </xf>
    <xf numFmtId="0" fontId="19" fillId="0" borderId="0" xfId="0" applyFont="1" applyAlignment="1">
      <alignment horizontal="right"/>
    </xf>
    <xf numFmtId="170" fontId="17" fillId="0" borderId="0" xfId="3" applyNumberFormat="1" applyFont="1" applyAlignment="1"/>
    <xf numFmtId="170" fontId="17" fillId="0" borderId="0" xfId="3" applyNumberFormat="1" applyFont="1" applyBorder="1" applyAlignment="1"/>
    <xf numFmtId="1" fontId="15" fillId="0" borderId="0" xfId="0" applyNumberFormat="1" applyFont="1" applyAlignment="1">
      <alignment horizontal="left"/>
    </xf>
    <xf numFmtId="3" fontId="15" fillId="0" borderId="0" xfId="0" applyNumberFormat="1" applyFont="1" applyAlignment="1">
      <alignment horizontal="right"/>
    </xf>
    <xf numFmtId="9" fontId="19" fillId="6" borderId="0" xfId="3" applyFont="1" applyFill="1" applyAlignment="1"/>
    <xf numFmtId="43" fontId="19" fillId="6" borderId="0" xfId="1" applyFont="1" applyFill="1" applyAlignment="1"/>
    <xf numFmtId="3" fontId="17" fillId="6" borderId="0" xfId="0" applyNumberFormat="1" applyFont="1" applyFill="1" applyAlignment="1"/>
    <xf numFmtId="0" fontId="5" fillId="0" borderId="0" xfId="7" applyFont="1" applyAlignment="1">
      <alignment horizontal="left"/>
    </xf>
    <xf numFmtId="0" fontId="16" fillId="0" borderId="0" xfId="7" applyAlignment="1">
      <alignment horizontal="right"/>
    </xf>
    <xf numFmtId="0" fontId="16" fillId="0" borderId="0" xfId="7" applyAlignment="1"/>
    <xf numFmtId="177" fontId="16" fillId="0" borderId="0" xfId="7" applyNumberFormat="1" applyAlignment="1"/>
    <xf numFmtId="178" fontId="16" fillId="0" borderId="0" xfId="7" applyNumberFormat="1" applyAlignment="1"/>
    <xf numFmtId="176" fontId="16" fillId="0" borderId="0" xfId="7" applyNumberFormat="1" applyAlignment="1"/>
    <xf numFmtId="9" fontId="16" fillId="0" borderId="0" xfId="3" applyFont="1" applyAlignment="1"/>
    <xf numFmtId="0" fontId="33" fillId="6" borderId="0" xfId="9" applyFont="1" applyFill="1" applyAlignment="1">
      <alignment horizontal="left"/>
    </xf>
    <xf numFmtId="0" fontId="34" fillId="6" borderId="0" xfId="7" applyFont="1" applyFill="1" applyAlignment="1">
      <alignment horizontal="right"/>
    </xf>
    <xf numFmtId="0" fontId="33" fillId="6" borderId="0" xfId="7" applyFont="1" applyFill="1" applyAlignment="1">
      <alignment horizontal="right"/>
    </xf>
    <xf numFmtId="0" fontId="34" fillId="6" borderId="1" xfId="7" applyFont="1" applyFill="1" applyBorder="1" applyAlignment="1">
      <alignment horizontal="right"/>
    </xf>
    <xf numFmtId="0" fontId="33" fillId="0" borderId="0" xfId="7" applyFont="1" applyAlignment="1">
      <alignment horizontal="right"/>
    </xf>
    <xf numFmtId="0" fontId="5" fillId="0" borderId="0" xfId="7" applyFont="1" applyAlignment="1">
      <alignment horizontal="right"/>
    </xf>
    <xf numFmtId="169" fontId="34" fillId="6" borderId="0" xfId="7" applyNumberFormat="1" applyFont="1" applyFill="1" applyAlignment="1">
      <alignment horizontal="right"/>
    </xf>
    <xf numFmtId="169" fontId="34" fillId="6" borderId="1" xfId="7" applyNumberFormat="1" applyFont="1" applyFill="1" applyBorder="1" applyAlignment="1">
      <alignment horizontal="right"/>
    </xf>
    <xf numFmtId="0" fontId="33" fillId="6" borderId="0" xfId="7" applyFont="1" applyFill="1" applyAlignment="1">
      <alignment horizontal="left"/>
    </xf>
    <xf numFmtId="0" fontId="33" fillId="6" borderId="0" xfId="7" applyFont="1" applyFill="1" applyAlignment="1"/>
    <xf numFmtId="0" fontId="33" fillId="0" borderId="0" xfId="7" applyFont="1" applyAlignment="1"/>
    <xf numFmtId="0" fontId="34" fillId="6" borderId="0" xfId="7" applyFont="1" applyFill="1" applyAlignment="1"/>
    <xf numFmtId="0" fontId="34" fillId="0" borderId="0" xfId="7" applyFont="1" applyAlignment="1"/>
    <xf numFmtId="43" fontId="5" fillId="0" borderId="0" xfId="1" applyFont="1" applyFill="1" applyBorder="1" applyAlignment="1">
      <alignment horizontal="right"/>
    </xf>
    <xf numFmtId="9" fontId="5" fillId="0" borderId="0" xfId="3" applyFont="1" applyFill="1" applyBorder="1" applyAlignment="1">
      <alignment horizontal="right"/>
    </xf>
    <xf numFmtId="0" fontId="5" fillId="0" borderId="0" xfId="7" applyFont="1" applyAlignment="1"/>
    <xf numFmtId="0" fontId="16" fillId="0" borderId="0" xfId="7" applyAlignment="1">
      <alignment horizontal="left"/>
    </xf>
    <xf numFmtId="167" fontId="16" fillId="0" borderId="0" xfId="7" applyNumberFormat="1" applyAlignment="1"/>
    <xf numFmtId="164" fontId="5" fillId="0" borderId="0" xfId="3" applyNumberFormat="1" applyFont="1" applyFill="1" applyBorder="1"/>
    <xf numFmtId="2" fontId="16" fillId="0" borderId="0" xfId="7" applyNumberFormat="1" applyAlignment="1"/>
    <xf numFmtId="167" fontId="16" fillId="0" borderId="0" xfId="1" applyNumberFormat="1" applyFont="1" applyFill="1" applyAlignment="1">
      <alignment horizontal="right"/>
    </xf>
    <xf numFmtId="43" fontId="5" fillId="0" borderId="0" xfId="1" applyFont="1" applyFill="1" applyAlignment="1"/>
    <xf numFmtId="170" fontId="5" fillId="0" borderId="0" xfId="3" applyNumberFormat="1" applyFont="1" applyAlignment="1"/>
    <xf numFmtId="164" fontId="16" fillId="0" borderId="0" xfId="11" applyNumberFormat="1" applyFont="1" applyFill="1" applyAlignment="1" applyProtection="1">
      <protection locked="0"/>
    </xf>
    <xf numFmtId="164" fontId="40" fillId="0" borderId="0" xfId="11" applyNumberFormat="1" applyFont="1" applyFill="1" applyAlignment="1" applyProtection="1">
      <protection locked="0"/>
    </xf>
    <xf numFmtId="182" fontId="16" fillId="0" borderId="0" xfId="1" applyNumberFormat="1" applyFont="1" applyFill="1" applyAlignment="1">
      <alignment horizontal="right"/>
    </xf>
    <xf numFmtId="167" fontId="5" fillId="0" borderId="0" xfId="1" applyNumberFormat="1" applyFont="1" applyFill="1" applyAlignment="1">
      <alignment horizontal="right"/>
    </xf>
    <xf numFmtId="9" fontId="44" fillId="0" borderId="0" xfId="3" applyFont="1" applyFill="1" applyAlignment="1">
      <alignment horizontal="right"/>
    </xf>
    <xf numFmtId="9" fontId="16" fillId="0" borderId="0" xfId="3" applyFont="1" applyFill="1" applyAlignment="1"/>
    <xf numFmtId="43" fontId="16" fillId="0" borderId="0" xfId="1" applyFont="1" applyFill="1" applyAlignment="1"/>
    <xf numFmtId="8" fontId="16" fillId="0" borderId="0" xfId="7" applyNumberFormat="1" applyAlignment="1"/>
    <xf numFmtId="165" fontId="16" fillId="0" borderId="0" xfId="7" applyNumberFormat="1" applyAlignment="1"/>
    <xf numFmtId="183" fontId="5" fillId="0" borderId="0" xfId="1" applyNumberFormat="1" applyFont="1" applyFill="1" applyAlignment="1">
      <alignment horizontal="right"/>
    </xf>
    <xf numFmtId="8" fontId="5" fillId="0" borderId="0" xfId="7" applyNumberFormat="1" applyFont="1" applyAlignment="1"/>
    <xf numFmtId="0" fontId="33" fillId="6" borderId="0" xfId="7" applyFont="1" applyFill="1" applyAlignment="1">
      <alignment horizontal="left" vertical="center"/>
    </xf>
    <xf numFmtId="0" fontId="34" fillId="6" borderId="0" xfId="7" applyFont="1" applyFill="1" applyAlignment="1">
      <alignment horizontal="right" vertical="center"/>
    </xf>
    <xf numFmtId="0" fontId="34" fillId="6" borderId="0" xfId="7" applyFont="1" applyFill="1" applyAlignment="1">
      <alignment vertical="center"/>
    </xf>
    <xf numFmtId="0" fontId="34" fillId="0" borderId="0" xfId="7" applyFont="1" applyAlignment="1">
      <alignment vertical="center"/>
    </xf>
    <xf numFmtId="0" fontId="16" fillId="0" borderId="0" xfId="7" applyAlignment="1">
      <alignment vertical="center"/>
    </xf>
    <xf numFmtId="170" fontId="49" fillId="0" borderId="0" xfId="3" applyNumberFormat="1" applyFont="1" applyFill="1" applyBorder="1" applyAlignment="1"/>
    <xf numFmtId="170" fontId="49" fillId="0" borderId="0" xfId="3" applyNumberFormat="1" applyFont="1" applyFill="1" applyAlignment="1"/>
    <xf numFmtId="170" fontId="46" fillId="0" borderId="0" xfId="3" applyNumberFormat="1" applyFont="1" applyFill="1" applyBorder="1" applyAlignment="1"/>
    <xf numFmtId="0" fontId="16" fillId="0" borderId="0" xfId="7" applyAlignment="1">
      <alignment horizontal="left" indent="1"/>
    </xf>
    <xf numFmtId="9" fontId="16" fillId="0" borderId="0" xfId="7" applyNumberFormat="1" applyAlignment="1"/>
    <xf numFmtId="186" fontId="16" fillId="0" borderId="0" xfId="7" applyNumberFormat="1" applyAlignment="1"/>
    <xf numFmtId="1" fontId="16" fillId="9" borderId="0" xfId="7" applyNumberFormat="1" applyFill="1" applyAlignment="1"/>
    <xf numFmtId="0" fontId="16" fillId="8" borderId="0" xfId="7" applyFill="1" applyAlignment="1"/>
    <xf numFmtId="189" fontId="16" fillId="0" borderId="0" xfId="7" applyNumberFormat="1" applyAlignment="1">
      <alignment horizontal="right"/>
    </xf>
    <xf numFmtId="0" fontId="16" fillId="7" borderId="0" xfId="7" applyFill="1" applyAlignment="1">
      <alignment horizontal="left"/>
    </xf>
    <xf numFmtId="0" fontId="16" fillId="7" borderId="0" xfId="7" applyFill="1" applyAlignment="1"/>
    <xf numFmtId="189" fontId="16" fillId="7" borderId="0" xfId="7" applyNumberFormat="1" applyFill="1" applyAlignment="1">
      <alignment horizontal="right"/>
    </xf>
    <xf numFmtId="176" fontId="16" fillId="7" borderId="0" xfId="7" applyNumberFormat="1" applyFill="1" applyAlignment="1">
      <alignment horizontal="right"/>
    </xf>
    <xf numFmtId="0" fontId="16" fillId="7" borderId="0" xfId="7" applyFill="1" applyAlignment="1">
      <alignment horizontal="right"/>
    </xf>
    <xf numFmtId="9" fontId="34" fillId="6" borderId="0" xfId="7" applyNumberFormat="1" applyFont="1" applyFill="1" applyAlignment="1">
      <alignment horizontal="right"/>
    </xf>
    <xf numFmtId="9" fontId="33" fillId="6" borderId="0" xfId="7" applyNumberFormat="1" applyFont="1" applyFill="1" applyAlignment="1">
      <alignment horizontal="right"/>
    </xf>
    <xf numFmtId="8" fontId="34" fillId="6" borderId="0" xfId="7" applyNumberFormat="1" applyFont="1" applyFill="1" applyAlignment="1"/>
    <xf numFmtId="9" fontId="34" fillId="6" borderId="0" xfId="7" applyNumberFormat="1" applyFont="1" applyFill="1" applyAlignment="1"/>
    <xf numFmtId="9" fontId="34" fillId="6" borderId="3" xfId="7" applyNumberFormat="1" applyFont="1" applyFill="1" applyBorder="1" applyAlignment="1"/>
    <xf numFmtId="170" fontId="34" fillId="6" borderId="0" xfId="7" applyNumberFormat="1" applyFont="1" applyFill="1" applyAlignment="1"/>
    <xf numFmtId="1" fontId="34" fillId="6" borderId="0" xfId="7" applyNumberFormat="1" applyFont="1" applyFill="1" applyAlignment="1"/>
    <xf numFmtId="176" fontId="34" fillId="6" borderId="0" xfId="7" applyNumberFormat="1" applyFont="1" applyFill="1" applyAlignment="1"/>
    <xf numFmtId="43" fontId="34" fillId="6" borderId="0" xfId="1" applyFont="1" applyFill="1" applyBorder="1" applyAlignment="1"/>
    <xf numFmtId="190" fontId="34" fillId="6" borderId="0" xfId="7" applyNumberFormat="1" applyFont="1" applyFill="1" applyAlignment="1"/>
    <xf numFmtId="170" fontId="16" fillId="0" borderId="0" xfId="7" applyNumberFormat="1" applyAlignment="1"/>
    <xf numFmtId="9" fontId="16" fillId="0" borderId="0" xfId="3" applyFont="1" applyBorder="1" applyAlignment="1"/>
    <xf numFmtId="0" fontId="5" fillId="9" borderId="0" xfId="7" applyFont="1" applyFill="1" applyAlignment="1">
      <alignment horizontal="right"/>
    </xf>
    <xf numFmtId="8" fontId="16" fillId="9" borderId="0" xfId="7" applyNumberFormat="1" applyFill="1" applyAlignment="1"/>
    <xf numFmtId="164" fontId="41" fillId="9" borderId="0" xfId="7" applyNumberFormat="1" applyFont="1" applyFill="1" applyAlignment="1"/>
    <xf numFmtId="0" fontId="16" fillId="9" borderId="0" xfId="7" applyFill="1" applyAlignment="1">
      <alignment horizontal="right"/>
    </xf>
    <xf numFmtId="174" fontId="16" fillId="9" borderId="0" xfId="7" applyNumberFormat="1" applyFill="1" applyAlignment="1"/>
    <xf numFmtId="176" fontId="16" fillId="9" borderId="0" xfId="7" applyNumberFormat="1" applyFill="1" applyAlignment="1"/>
    <xf numFmtId="177" fontId="16" fillId="9" borderId="0" xfId="7" applyNumberFormat="1" applyFill="1" applyAlignment="1"/>
    <xf numFmtId="2" fontId="16" fillId="9" borderId="4" xfId="7" applyNumberFormat="1" applyFill="1" applyBorder="1" applyAlignment="1"/>
    <xf numFmtId="2" fontId="16" fillId="9" borderId="0" xfId="7" applyNumberFormat="1" applyFill="1" applyAlignment="1"/>
    <xf numFmtId="0" fontId="16" fillId="9" borderId="0" xfId="7" applyFill="1" applyAlignment="1"/>
    <xf numFmtId="9" fontId="5" fillId="0" borderId="0" xfId="7" applyNumberFormat="1" applyFont="1" applyAlignment="1"/>
    <xf numFmtId="9" fontId="16" fillId="9" borderId="0" xfId="7" applyNumberFormat="1" applyFill="1" applyAlignment="1"/>
    <xf numFmtId="9" fontId="16" fillId="9" borderId="4" xfId="7" applyNumberFormat="1" applyFill="1" applyBorder="1" applyAlignment="1"/>
    <xf numFmtId="164" fontId="16" fillId="9" borderId="0" xfId="7" applyNumberFormat="1" applyFill="1" applyAlignment="1"/>
    <xf numFmtId="176" fontId="16" fillId="9" borderId="4" xfId="7" applyNumberFormat="1" applyFill="1" applyBorder="1" applyAlignment="1"/>
    <xf numFmtId="9" fontId="16" fillId="0" borderId="0" xfId="3" applyFont="1"/>
    <xf numFmtId="9" fontId="16" fillId="0" borderId="1" xfId="7" applyNumberFormat="1" applyBorder="1" applyAlignment="1"/>
    <xf numFmtId="185" fontId="16" fillId="9" borderId="0" xfId="7" applyNumberFormat="1" applyFill="1" applyAlignment="1"/>
    <xf numFmtId="0" fontId="16" fillId="9" borderId="4" xfId="7" applyFill="1" applyBorder="1" applyAlignment="1"/>
    <xf numFmtId="4" fontId="51" fillId="9" borderId="0" xfId="7" applyNumberFormat="1" applyFont="1" applyFill="1" applyAlignment="1"/>
    <xf numFmtId="177" fontId="16" fillId="9" borderId="4" xfId="7" applyNumberFormat="1" applyFill="1" applyBorder="1" applyAlignment="1"/>
    <xf numFmtId="0" fontId="16" fillId="0" borderId="9" xfId="7" applyBorder="1" applyAlignment="1"/>
    <xf numFmtId="0" fontId="16" fillId="9" borderId="9" xfId="7" applyFill="1" applyBorder="1" applyAlignment="1"/>
    <xf numFmtId="170" fontId="16" fillId="0" borderId="0" xfId="3" applyNumberFormat="1" applyFont="1" applyFill="1" applyBorder="1" applyProtection="1">
      <protection locked="0"/>
    </xf>
    <xf numFmtId="170" fontId="5" fillId="0" borderId="0" xfId="7" applyNumberFormat="1" applyFont="1" applyAlignment="1"/>
    <xf numFmtId="9" fontId="16" fillId="0" borderId="0" xfId="3" applyFont="1" applyFill="1" applyBorder="1"/>
    <xf numFmtId="170" fontId="16" fillId="0" borderId="0" xfId="3" applyNumberFormat="1" applyFont="1" applyFill="1" applyBorder="1"/>
    <xf numFmtId="170" fontId="5" fillId="0" borderId="0" xfId="3" applyNumberFormat="1" applyFont="1" applyFill="1" applyBorder="1" applyProtection="1">
      <protection locked="0"/>
    </xf>
    <xf numFmtId="9" fontId="5" fillId="0" borderId="0" xfId="3" applyFont="1" applyBorder="1"/>
    <xf numFmtId="9" fontId="5" fillId="9" borderId="0" xfId="3" applyFont="1" applyFill="1" applyBorder="1"/>
    <xf numFmtId="9" fontId="5" fillId="9" borderId="4" xfId="3" applyFont="1" applyFill="1" applyBorder="1"/>
    <xf numFmtId="0" fontId="5" fillId="9" borderId="0" xfId="7" applyFont="1" applyFill="1" applyAlignment="1"/>
    <xf numFmtId="0" fontId="16" fillId="0" borderId="12" xfId="7" applyBorder="1" applyAlignment="1">
      <alignment horizontal="left"/>
    </xf>
    <xf numFmtId="0" fontId="16" fillId="0" borderId="12" xfId="7" applyBorder="1" applyAlignment="1"/>
    <xf numFmtId="176" fontId="16" fillId="0" borderId="12" xfId="7" applyNumberFormat="1" applyBorder="1" applyAlignment="1"/>
    <xf numFmtId="177" fontId="16" fillId="0" borderId="12" xfId="7" applyNumberFormat="1" applyBorder="1" applyAlignment="1"/>
    <xf numFmtId="177" fontId="16" fillId="9" borderId="12" xfId="7" applyNumberFormat="1" applyFill="1" applyBorder="1" applyAlignment="1"/>
    <xf numFmtId="177" fontId="16" fillId="9" borderId="13" xfId="7" applyNumberFormat="1" applyFill="1" applyBorder="1" applyAlignment="1"/>
    <xf numFmtId="0" fontId="16" fillId="9" borderId="12" xfId="7" applyFill="1" applyBorder="1" applyAlignment="1">
      <alignment horizontal="right"/>
    </xf>
    <xf numFmtId="0" fontId="16" fillId="9" borderId="12" xfId="7" applyFill="1" applyBorder="1" applyAlignment="1"/>
    <xf numFmtId="8" fontId="5" fillId="9" borderId="0" xfId="7" applyNumberFormat="1" applyFont="1" applyFill="1" applyAlignment="1"/>
    <xf numFmtId="8" fontId="5" fillId="9" borderId="4" xfId="7" applyNumberFormat="1" applyFont="1" applyFill="1" applyBorder="1" applyAlignment="1"/>
    <xf numFmtId="0" fontId="16" fillId="0" borderId="14" xfId="7" applyBorder="1" applyAlignment="1">
      <alignment horizontal="right"/>
    </xf>
    <xf numFmtId="195" fontId="16" fillId="9" borderId="0" xfId="1" applyNumberFormat="1" applyFont="1" applyFill="1" applyBorder="1" applyAlignment="1"/>
    <xf numFmtId="191" fontId="16" fillId="9" borderId="0" xfId="2" applyNumberFormat="1" applyFont="1" applyFill="1" applyBorder="1" applyAlignment="1"/>
    <xf numFmtId="164" fontId="16" fillId="9" borderId="0" xfId="2" applyNumberFormat="1" applyFont="1" applyFill="1" applyBorder="1" applyAlignment="1"/>
    <xf numFmtId="184" fontId="16" fillId="9" borderId="0" xfId="7" applyNumberFormat="1" applyFill="1" applyAlignment="1"/>
    <xf numFmtId="165" fontId="16" fillId="9" borderId="0" xfId="7" applyNumberFormat="1" applyFill="1" applyAlignment="1"/>
    <xf numFmtId="4" fontId="16" fillId="9" borderId="0" xfId="7" applyNumberFormat="1" applyFill="1" applyAlignment="1"/>
    <xf numFmtId="176" fontId="16" fillId="0" borderId="0" xfId="2" applyNumberFormat="1" applyFont="1" applyBorder="1" applyAlignment="1"/>
    <xf numFmtId="176" fontId="16" fillId="9" borderId="0" xfId="2" applyNumberFormat="1" applyFont="1" applyFill="1" applyBorder="1" applyAlignment="1"/>
    <xf numFmtId="176" fontId="16" fillId="9" borderId="4" xfId="2" applyNumberFormat="1" applyFont="1" applyFill="1" applyBorder="1" applyAlignment="1"/>
    <xf numFmtId="0" fontId="16" fillId="0" borderId="9" xfId="7" applyBorder="1" applyAlignment="1">
      <alignment horizontal="left"/>
    </xf>
    <xf numFmtId="0" fontId="16" fillId="0" borderId="9" xfId="7" applyBorder="1" applyAlignment="1">
      <alignment horizontal="right"/>
    </xf>
    <xf numFmtId="165" fontId="16" fillId="9" borderId="9" xfId="7" applyNumberFormat="1" applyFill="1" applyBorder="1" applyAlignment="1"/>
    <xf numFmtId="190" fontId="16" fillId="9" borderId="15" xfId="7" applyNumberFormat="1" applyFill="1" applyBorder="1" applyAlignment="1"/>
    <xf numFmtId="190" fontId="16" fillId="9" borderId="9" xfId="7" applyNumberFormat="1" applyFill="1" applyBorder="1" applyAlignment="1"/>
    <xf numFmtId="178" fontId="50" fillId="9" borderId="9" xfId="7" applyNumberFormat="1" applyFont="1" applyFill="1" applyBorder="1" applyAlignment="1"/>
    <xf numFmtId="178" fontId="50" fillId="9" borderId="9" xfId="7" applyNumberFormat="1" applyFont="1" applyFill="1" applyBorder="1" applyAlignment="1">
      <alignment horizontal="right"/>
    </xf>
    <xf numFmtId="178" fontId="50" fillId="0" borderId="9" xfId="7" applyNumberFormat="1" applyFont="1" applyBorder="1" applyAlignment="1"/>
    <xf numFmtId="190" fontId="16" fillId="0" borderId="0" xfId="7" applyNumberFormat="1" applyAlignment="1"/>
    <xf numFmtId="0" fontId="48" fillId="0" borderId="0" xfId="7" applyFont="1" applyAlignment="1">
      <alignment horizontal="left"/>
    </xf>
    <xf numFmtId="167" fontId="5" fillId="0" borderId="0" xfId="7" applyNumberFormat="1" applyFont="1" applyAlignment="1"/>
    <xf numFmtId="9" fontId="16" fillId="0" borderId="0" xfId="3" applyFont="1" applyFill="1" applyBorder="1" applyAlignment="1"/>
    <xf numFmtId="168" fontId="16" fillId="0" borderId="0" xfId="1" applyNumberFormat="1" applyFont="1" applyFill="1" applyBorder="1" applyAlignment="1"/>
    <xf numFmtId="167" fontId="26" fillId="0" borderId="0" xfId="7" applyNumberFormat="1" applyFont="1" applyAlignment="1"/>
    <xf numFmtId="9" fontId="5" fillId="0" borderId="0" xfId="3" applyFont="1" applyFill="1" applyBorder="1" applyAlignment="1"/>
    <xf numFmtId="0" fontId="16" fillId="8" borderId="0" xfId="7" applyFill="1" applyAlignment="1">
      <alignment horizontal="left"/>
    </xf>
    <xf numFmtId="8" fontId="5" fillId="0" borderId="0" xfId="1" applyNumberFormat="1" applyFont="1" applyFill="1" applyAlignment="1">
      <alignment horizontal="right"/>
    </xf>
    <xf numFmtId="0" fontId="55" fillId="6" borderId="0" xfId="0" applyFont="1" applyFill="1" applyAlignment="1">
      <alignment horizontal="right"/>
    </xf>
    <xf numFmtId="0" fontId="33" fillId="6" borderId="0" xfId="0" applyFont="1" applyFill="1" applyAlignment="1">
      <alignment horizontal="right"/>
    </xf>
    <xf numFmtId="0" fontId="5" fillId="0" borderId="0" xfId="0" applyFont="1" applyAlignment="1">
      <alignment horizontal="right"/>
    </xf>
    <xf numFmtId="0" fontId="16" fillId="0" borderId="0" xfId="0" applyFont="1" applyAlignment="1">
      <alignment horizontal="right"/>
    </xf>
    <xf numFmtId="0" fontId="33" fillId="6" borderId="0" xfId="0" applyFont="1" applyFill="1" applyAlignment="1">
      <alignment horizontal="center"/>
    </xf>
    <xf numFmtId="0" fontId="33" fillId="0" borderId="0" xfId="0" applyFont="1" applyAlignment="1">
      <alignment horizontal="center"/>
    </xf>
    <xf numFmtId="0" fontId="33" fillId="6" borderId="0" xfId="0" applyFont="1" applyFill="1" applyAlignment="1"/>
    <xf numFmtId="0" fontId="5" fillId="0" borderId="0" xfId="0" applyFont="1" applyAlignment="1"/>
    <xf numFmtId="0" fontId="16" fillId="0" borderId="0" xfId="0" applyFont="1" applyAlignment="1"/>
    <xf numFmtId="0" fontId="33" fillId="0" borderId="0" xfId="0" applyFont="1" applyAlignment="1"/>
    <xf numFmtId="3" fontId="16" fillId="0" borderId="0" xfId="0" applyNumberFormat="1" applyFont="1" applyAlignment="1"/>
    <xf numFmtId="3" fontId="5" fillId="0" borderId="0" xfId="0" applyNumberFormat="1" applyFont="1" applyAlignment="1"/>
    <xf numFmtId="3" fontId="40" fillId="0" borderId="0" xfId="0" applyNumberFormat="1" applyFont="1" applyAlignment="1"/>
    <xf numFmtId="164" fontId="16" fillId="0" borderId="0" xfId="0" applyNumberFormat="1" applyFont="1" applyAlignment="1"/>
    <xf numFmtId="170" fontId="16" fillId="0" borderId="0" xfId="0" applyNumberFormat="1" applyFont="1" applyAlignment="1"/>
    <xf numFmtId="170" fontId="42" fillId="0" borderId="0" xfId="0" applyNumberFormat="1" applyFont="1" applyAlignment="1"/>
    <xf numFmtId="10" fontId="16" fillId="0" borderId="0" xfId="0" applyNumberFormat="1" applyFont="1" applyAlignment="1"/>
    <xf numFmtId="170" fontId="44" fillId="0" borderId="0" xfId="0" applyNumberFormat="1" applyFont="1" applyAlignment="1"/>
    <xf numFmtId="168" fontId="44" fillId="0" borderId="0" xfId="1" applyNumberFormat="1" applyFont="1" applyAlignment="1"/>
    <xf numFmtId="9" fontId="33" fillId="6" borderId="0" xfId="3" applyFont="1" applyFill="1" applyAlignment="1"/>
    <xf numFmtId="170" fontId="5" fillId="0" borderId="0" xfId="0" applyNumberFormat="1" applyFont="1" applyAlignment="1"/>
    <xf numFmtId="9" fontId="44" fillId="0" borderId="0" xfId="0" applyNumberFormat="1" applyFont="1" applyAlignment="1"/>
    <xf numFmtId="9" fontId="5" fillId="0" borderId="0" xfId="3" applyFont="1" applyFill="1" applyAlignment="1"/>
    <xf numFmtId="170" fontId="40" fillId="0" borderId="0" xfId="0" applyNumberFormat="1" applyFont="1" applyAlignment="1"/>
    <xf numFmtId="170" fontId="5" fillId="0" borderId="0" xfId="3" applyNumberFormat="1" applyFont="1" applyFill="1" applyBorder="1" applyAlignment="1"/>
    <xf numFmtId="165" fontId="16" fillId="0" borderId="0" xfId="0" applyNumberFormat="1" applyFont="1" applyAlignment="1"/>
    <xf numFmtId="0" fontId="16" fillId="0" borderId="0" xfId="0" applyFont="1" applyAlignment="1">
      <alignment horizontal="center"/>
    </xf>
    <xf numFmtId="3" fontId="16" fillId="0" borderId="0" xfId="0" applyNumberFormat="1" applyFont="1" applyAlignment="1">
      <alignment horizontal="left" indent="1"/>
    </xf>
    <xf numFmtId="0" fontId="5" fillId="10" borderId="0" xfId="0" applyFont="1" applyFill="1" applyAlignment="1"/>
    <xf numFmtId="43" fontId="5" fillId="0" borderId="0" xfId="1" applyFont="1" applyAlignment="1"/>
    <xf numFmtId="9" fontId="5" fillId="0" borderId="0" xfId="0" applyNumberFormat="1" applyFont="1" applyAlignment="1"/>
    <xf numFmtId="0" fontId="16" fillId="0" borderId="0" xfId="0" applyFont="1" applyAlignment="1">
      <alignment horizontal="left" indent="2"/>
    </xf>
    <xf numFmtId="165" fontId="16" fillId="0" borderId="0" xfId="0" applyNumberFormat="1" applyFont="1" applyAlignment="1">
      <alignment horizontal="right"/>
    </xf>
    <xf numFmtId="0" fontId="56" fillId="11" borderId="0" xfId="14" applyFont="1" applyFill="1" applyAlignment="1">
      <alignment horizontal="left"/>
    </xf>
    <xf numFmtId="0" fontId="57" fillId="11" borderId="0" xfId="14" applyFont="1" applyFill="1" applyAlignment="1">
      <alignment horizontal="right"/>
    </xf>
    <xf numFmtId="0" fontId="57" fillId="0" borderId="0" xfId="14" applyFont="1" applyAlignment="1">
      <alignment horizontal="right"/>
    </xf>
    <xf numFmtId="9" fontId="57" fillId="0" borderId="0" xfId="3" applyFont="1" applyFill="1" applyAlignment="1">
      <alignment horizontal="right"/>
    </xf>
    <xf numFmtId="3" fontId="0" fillId="0" borderId="0" xfId="0" applyNumberFormat="1" applyAlignment="1"/>
    <xf numFmtId="9" fontId="0" fillId="0" borderId="0" xfId="3" applyFont="1" applyAlignment="1"/>
    <xf numFmtId="0" fontId="34" fillId="6" borderId="0" xfId="0" applyFont="1" applyFill="1" applyAlignment="1"/>
    <xf numFmtId="164" fontId="34" fillId="6" borderId="0" xfId="0" applyNumberFormat="1" applyFont="1" applyFill="1" applyAlignment="1"/>
    <xf numFmtId="1" fontId="34" fillId="6" borderId="0" xfId="0" applyNumberFormat="1" applyFont="1" applyFill="1" applyAlignment="1"/>
    <xf numFmtId="1" fontId="33" fillId="6" borderId="0" xfId="3" applyNumberFormat="1" applyFont="1" applyFill="1" applyAlignment="1">
      <alignment horizontal="right"/>
    </xf>
    <xf numFmtId="170" fontId="33" fillId="6" borderId="0" xfId="3" applyNumberFormat="1" applyFont="1" applyFill="1" applyAlignment="1">
      <alignment horizontal="right"/>
    </xf>
    <xf numFmtId="0" fontId="59" fillId="6" borderId="0" xfId="0" applyFont="1" applyFill="1" applyAlignment="1">
      <alignment horizontal="left"/>
    </xf>
    <xf numFmtId="3" fontId="33" fillId="6" borderId="0" xfId="0" applyNumberFormat="1" applyFont="1" applyFill="1" applyAlignment="1">
      <alignment horizontal="right"/>
    </xf>
    <xf numFmtId="0" fontId="0" fillId="0" borderId="0" xfId="0" applyAlignment="1">
      <alignment horizontal="right"/>
    </xf>
    <xf numFmtId="3" fontId="5" fillId="10" borderId="0" xfId="0" applyNumberFormat="1" applyFont="1" applyFill="1" applyAlignment="1"/>
    <xf numFmtId="3" fontId="40" fillId="10" borderId="0" xfId="0" applyNumberFormat="1" applyFont="1" applyFill="1" applyAlignment="1"/>
    <xf numFmtId="3" fontId="5" fillId="0" borderId="0" xfId="0" applyNumberFormat="1" applyFont="1" applyAlignment="1">
      <alignment horizontal="center"/>
    </xf>
    <xf numFmtId="3" fontId="5" fillId="0" borderId="0" xfId="0" applyNumberFormat="1" applyFont="1" applyAlignment="1">
      <alignment horizontal="left" indent="1"/>
    </xf>
    <xf numFmtId="170" fontId="16" fillId="0" borderId="0" xfId="0" applyNumberFormat="1" applyFont="1" applyAlignment="1">
      <alignment horizontal="center"/>
    </xf>
    <xf numFmtId="170" fontId="0" fillId="0" borderId="0" xfId="0" applyNumberFormat="1" applyAlignment="1"/>
    <xf numFmtId="170" fontId="16" fillId="0" borderId="0" xfId="0" applyNumberFormat="1" applyFont="1" applyAlignment="1">
      <alignment horizontal="left" indent="2"/>
    </xf>
    <xf numFmtId="168" fontId="44" fillId="0" borderId="0" xfId="1" applyNumberFormat="1" applyFont="1" applyFill="1" applyBorder="1" applyAlignment="1"/>
    <xf numFmtId="170" fontId="16" fillId="0" borderId="0" xfId="3" applyNumberFormat="1" applyFont="1" applyFill="1" applyAlignment="1"/>
    <xf numFmtId="3" fontId="5" fillId="0" borderId="0" xfId="0" applyNumberFormat="1" applyFont="1" applyAlignment="1">
      <alignment horizontal="left" indent="2"/>
    </xf>
    <xf numFmtId="167" fontId="5" fillId="10" borderId="0" xfId="0" applyNumberFormat="1" applyFont="1" applyFill="1" applyAlignment="1"/>
    <xf numFmtId="170" fontId="42" fillId="0" borderId="0" xfId="3" applyNumberFormat="1" applyFont="1" applyFill="1" applyAlignment="1"/>
    <xf numFmtId="3" fontId="16" fillId="0" borderId="0" xfId="0" applyNumberFormat="1" applyFont="1" applyAlignment="1">
      <alignment horizontal="center"/>
    </xf>
    <xf numFmtId="3" fontId="16" fillId="0" borderId="0" xfId="0" applyNumberFormat="1" applyFont="1" applyAlignment="1">
      <alignment horizontal="left" indent="2"/>
    </xf>
    <xf numFmtId="170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68" fontId="42" fillId="0" borderId="0" xfId="1" applyNumberFormat="1" applyFont="1" applyFill="1" applyAlignment="1"/>
    <xf numFmtId="168" fontId="26" fillId="0" borderId="0" xfId="1" applyNumberFormat="1" applyFont="1" applyFill="1" applyAlignment="1"/>
    <xf numFmtId="9" fontId="26" fillId="0" borderId="0" xfId="3" applyFont="1" applyFill="1" applyAlignment="1"/>
    <xf numFmtId="168" fontId="16" fillId="0" borderId="0" xfId="1" applyNumberFormat="1" applyFont="1" applyFill="1" applyAlignment="1"/>
    <xf numFmtId="9" fontId="42" fillId="0" borderId="0" xfId="3" applyFont="1" applyFill="1" applyAlignment="1"/>
    <xf numFmtId="3" fontId="16" fillId="0" borderId="0" xfId="0" applyNumberFormat="1" applyFont="1" applyAlignment="1">
      <alignment horizontal="right"/>
    </xf>
    <xf numFmtId="10" fontId="5" fillId="0" borderId="0" xfId="0" applyNumberFormat="1" applyFont="1" applyAlignment="1"/>
    <xf numFmtId="170" fontId="50" fillId="0" borderId="0" xfId="3" applyNumberFormat="1" applyFont="1" applyFill="1" applyBorder="1" applyAlignment="1"/>
    <xf numFmtId="168" fontId="5" fillId="0" borderId="0" xfId="1" applyNumberFormat="1" applyFont="1" applyFill="1" applyAlignment="1"/>
    <xf numFmtId="9" fontId="33" fillId="6" borderId="0" xfId="3" applyFont="1" applyFill="1" applyAlignment="1">
      <alignment horizontal="right"/>
    </xf>
    <xf numFmtId="170" fontId="16" fillId="0" borderId="0" xfId="0" quotePrefix="1" applyNumberFormat="1" applyFont="1" applyAlignment="1"/>
    <xf numFmtId="168" fontId="44" fillId="0" borderId="0" xfId="1" applyNumberFormat="1" applyFont="1" applyFill="1" applyAlignment="1"/>
    <xf numFmtId="165" fontId="42" fillId="0" borderId="0" xfId="0" applyNumberFormat="1" applyFont="1" applyAlignment="1">
      <alignment horizontal="right"/>
    </xf>
    <xf numFmtId="167" fontId="33" fillId="6" borderId="0" xfId="0" applyNumberFormat="1" applyFont="1" applyFill="1" applyAlignment="1">
      <alignment horizontal="right"/>
    </xf>
    <xf numFmtId="0" fontId="5" fillId="6" borderId="0" xfId="0" applyFont="1" applyFill="1" applyAlignment="1">
      <alignment horizontal="right"/>
    </xf>
    <xf numFmtId="0" fontId="5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43" fontId="16" fillId="0" borderId="0" xfId="0" applyNumberFormat="1" applyFont="1" applyAlignment="1"/>
    <xf numFmtId="0" fontId="33" fillId="0" borderId="0" xfId="0" applyFont="1" applyAlignment="1">
      <alignment horizontal="left"/>
    </xf>
    <xf numFmtId="0" fontId="33" fillId="12" borderId="0" xfId="0" applyFont="1" applyFill="1" applyAlignment="1">
      <alignment horizontal="right"/>
    </xf>
    <xf numFmtId="0" fontId="33" fillId="0" borderId="0" xfId="0" applyFont="1" applyAlignment="1">
      <alignment horizontal="right"/>
    </xf>
    <xf numFmtId="0" fontId="33" fillId="12" borderId="0" xfId="0" applyFont="1" applyFill="1" applyAlignment="1">
      <alignment horizontal="left"/>
    </xf>
    <xf numFmtId="43" fontId="16" fillId="0" borderId="0" xfId="1" applyFont="1" applyBorder="1" applyAlignment="1"/>
    <xf numFmtId="170" fontId="5" fillId="0" borderId="0" xfId="0" applyNumberFormat="1" applyFont="1" applyAlignment="1">
      <alignment horizontal="center"/>
    </xf>
    <xf numFmtId="164" fontId="34" fillId="12" borderId="0" xfId="0" applyNumberFormat="1" applyFont="1" applyFill="1" applyAlignment="1">
      <alignment horizontal="right"/>
    </xf>
    <xf numFmtId="164" fontId="42" fillId="12" borderId="0" xfId="0" applyNumberFormat="1" applyFont="1" applyFill="1" applyAlignment="1">
      <alignment horizontal="right"/>
    </xf>
    <xf numFmtId="164" fontId="16" fillId="12" borderId="0" xfId="0" applyNumberFormat="1" applyFont="1" applyFill="1" applyAlignment="1">
      <alignment horizontal="right"/>
    </xf>
    <xf numFmtId="0" fontId="40" fillId="12" borderId="0" xfId="0" applyFont="1" applyFill="1" applyAlignment="1">
      <alignment horizontal="right"/>
    </xf>
    <xf numFmtId="0" fontId="5" fillId="4" borderId="0" xfId="0" applyFont="1" applyFill="1" applyAlignment="1"/>
    <xf numFmtId="0" fontId="40" fillId="4" borderId="0" xfId="0" applyFont="1" applyFill="1" applyAlignment="1"/>
    <xf numFmtId="1" fontId="40" fillId="4" borderId="0" xfId="0" applyNumberFormat="1" applyFont="1" applyFill="1" applyAlignment="1"/>
    <xf numFmtId="0" fontId="5" fillId="4" borderId="0" xfId="0" applyFont="1" applyFill="1" applyAlignment="1">
      <alignment horizontal="right"/>
    </xf>
    <xf numFmtId="170" fontId="16" fillId="0" borderId="0" xfId="3" applyNumberFormat="1" applyFont="1" applyFill="1" applyBorder="1" applyAlignment="1"/>
    <xf numFmtId="170" fontId="16" fillId="0" borderId="0" xfId="8" applyNumberFormat="1" applyFont="1" applyFill="1" applyBorder="1" applyAlignment="1"/>
    <xf numFmtId="170" fontId="5" fillId="0" borderId="0" xfId="3" applyNumberFormat="1" applyFont="1" applyFill="1" applyBorder="1" applyAlignment="1">
      <alignment horizontal="right"/>
    </xf>
    <xf numFmtId="170" fontId="16" fillId="0" borderId="0" xfId="3" applyNumberFormat="1" applyFont="1" applyFill="1" applyBorder="1" applyAlignment="1">
      <alignment horizontal="right"/>
    </xf>
    <xf numFmtId="3" fontId="5" fillId="4" borderId="0" xfId="0" applyNumberFormat="1" applyFont="1" applyFill="1" applyAlignment="1"/>
    <xf numFmtId="0" fontId="40" fillId="4" borderId="0" xfId="0" applyFont="1" applyFill="1" applyAlignment="1">
      <alignment horizontal="right"/>
    </xf>
    <xf numFmtId="9" fontId="16" fillId="0" borderId="0" xfId="3" applyFont="1" applyFill="1" applyBorder="1" applyAlignment="1">
      <alignment horizontal="right"/>
    </xf>
    <xf numFmtId="0" fontId="16" fillId="7" borderId="0" xfId="0" applyFont="1" applyFill="1" applyAlignment="1"/>
    <xf numFmtId="0" fontId="42" fillId="7" borderId="0" xfId="0" applyFont="1" applyFill="1" applyAlignment="1"/>
    <xf numFmtId="1" fontId="34" fillId="7" borderId="0" xfId="0" applyNumberFormat="1" applyFont="1" applyFill="1" applyAlignment="1"/>
    <xf numFmtId="1" fontId="16" fillId="7" borderId="0" xfId="0" applyNumberFormat="1" applyFont="1" applyFill="1" applyAlignment="1"/>
    <xf numFmtId="0" fontId="34" fillId="7" borderId="0" xfId="0" applyFont="1" applyFill="1" applyAlignment="1">
      <alignment horizontal="right"/>
    </xf>
    <xf numFmtId="0" fontId="16" fillId="4" borderId="0" xfId="0" applyFont="1" applyFill="1" applyAlignment="1">
      <alignment horizontal="left" indent="1"/>
    </xf>
    <xf numFmtId="164" fontId="16" fillId="4" borderId="0" xfId="0" applyNumberFormat="1" applyFont="1" applyFill="1" applyAlignment="1"/>
    <xf numFmtId="164" fontId="42" fillId="4" borderId="0" xfId="0" applyNumberFormat="1" applyFont="1" applyFill="1" applyAlignment="1"/>
    <xf numFmtId="164" fontId="16" fillId="4" borderId="0" xfId="0" applyNumberFormat="1" applyFont="1" applyFill="1" applyAlignment="1">
      <alignment horizontal="right"/>
    </xf>
    <xf numFmtId="164" fontId="42" fillId="4" borderId="0" xfId="0" applyNumberFormat="1" applyFont="1" applyFill="1" applyAlignment="1">
      <alignment horizontal="right"/>
    </xf>
    <xf numFmtId="3" fontId="17" fillId="0" borderId="0" xfId="0" applyNumberFormat="1" applyFont="1" applyAlignment="1">
      <alignment horizontal="left"/>
    </xf>
    <xf numFmtId="3" fontId="20" fillId="0" borderId="0" xfId="0" applyNumberFormat="1" applyFont="1" applyAlignment="1"/>
    <xf numFmtId="3" fontId="21" fillId="0" borderId="0" xfId="0" applyNumberFormat="1" applyFont="1" applyAlignment="1"/>
    <xf numFmtId="164" fontId="15" fillId="0" borderId="0" xfId="0" applyNumberFormat="1" applyFont="1" applyAlignment="1"/>
    <xf numFmtId="170" fontId="22" fillId="0" borderId="0" xfId="0" applyNumberFormat="1" applyFont="1" applyAlignment="1"/>
    <xf numFmtId="170" fontId="23" fillId="0" borderId="0" xfId="0" applyNumberFormat="1" applyFont="1" applyAlignment="1"/>
    <xf numFmtId="170" fontId="15" fillId="0" borderId="0" xfId="0" quotePrefix="1" applyNumberFormat="1" applyFont="1" applyAlignment="1">
      <alignment horizontal="right"/>
    </xf>
    <xf numFmtId="170" fontId="23" fillId="0" borderId="0" xfId="0" quotePrefix="1" applyNumberFormat="1" applyFont="1" applyAlignment="1">
      <alignment horizontal="right"/>
    </xf>
    <xf numFmtId="170" fontId="15" fillId="0" borderId="0" xfId="0" applyNumberFormat="1" applyFont="1" applyAlignment="1">
      <alignment horizontal="center"/>
    </xf>
    <xf numFmtId="170" fontId="21" fillId="0" borderId="0" xfId="0" applyNumberFormat="1" applyFont="1" applyAlignment="1"/>
    <xf numFmtId="170" fontId="17" fillId="0" borderId="0" xfId="0" applyNumberFormat="1" applyFont="1" applyAlignment="1">
      <alignment horizontal="left" indent="1"/>
    </xf>
    <xf numFmtId="4" fontId="15" fillId="0" borderId="0" xfId="0" applyNumberFormat="1" applyFont="1" applyAlignment="1"/>
    <xf numFmtId="3" fontId="17" fillId="0" borderId="0" xfId="0" applyNumberFormat="1" applyFont="1" applyAlignment="1">
      <alignment horizontal="left" indent="1"/>
    </xf>
    <xf numFmtId="170" fontId="15" fillId="0" borderId="0" xfId="0" applyNumberFormat="1" applyFont="1" applyAlignment="1">
      <alignment horizontal="left" indent="2"/>
    </xf>
    <xf numFmtId="170" fontId="21" fillId="0" borderId="0" xfId="3" applyNumberFormat="1" applyFont="1" applyFill="1" applyAlignment="1"/>
    <xf numFmtId="170" fontId="24" fillId="0" borderId="0" xfId="0" applyNumberFormat="1" applyFont="1" applyAlignment="1">
      <alignment horizontal="left" indent="1"/>
    </xf>
    <xf numFmtId="3" fontId="24" fillId="0" borderId="0" xfId="0" applyNumberFormat="1" applyFont="1" applyAlignment="1"/>
    <xf numFmtId="170" fontId="24" fillId="0" borderId="0" xfId="0" applyNumberFormat="1" applyFont="1" applyAlignment="1"/>
    <xf numFmtId="170" fontId="24" fillId="0" borderId="0" xfId="0" applyNumberFormat="1" applyFont="1" applyAlignment="1">
      <alignment horizontal="left" indent="2"/>
    </xf>
    <xf numFmtId="170" fontId="21" fillId="0" borderId="0" xfId="3" applyNumberFormat="1" applyFont="1" applyFill="1" applyBorder="1" applyAlignment="1"/>
    <xf numFmtId="171" fontId="17" fillId="0" borderId="0" xfId="0" applyNumberFormat="1" applyFont="1" applyAlignment="1"/>
    <xf numFmtId="170" fontId="17" fillId="0" borderId="0" xfId="0" applyNumberFormat="1" applyFont="1" applyAlignment="1">
      <alignment horizontal="left"/>
    </xf>
    <xf numFmtId="3" fontId="23" fillId="0" borderId="0" xfId="0" applyNumberFormat="1" applyFont="1" applyAlignment="1"/>
    <xf numFmtId="171" fontId="15" fillId="0" borderId="0" xfId="0" applyNumberFormat="1" applyFont="1" applyAlignment="1"/>
    <xf numFmtId="4" fontId="23" fillId="0" borderId="0" xfId="0" applyNumberFormat="1" applyFont="1" applyAlignment="1"/>
    <xf numFmtId="172" fontId="23" fillId="0" borderId="0" xfId="0" applyNumberFormat="1" applyFont="1" applyAlignment="1"/>
    <xf numFmtId="165" fontId="23" fillId="0" borderId="0" xfId="0" applyNumberFormat="1" applyFont="1" applyAlignment="1"/>
    <xf numFmtId="173" fontId="17" fillId="0" borderId="0" xfId="0" applyNumberFormat="1" applyFont="1" applyAlignment="1">
      <alignment horizontal="left"/>
    </xf>
    <xf numFmtId="173" fontId="17" fillId="0" borderId="0" xfId="0" applyNumberFormat="1" applyFont="1" applyAlignment="1"/>
    <xf numFmtId="173" fontId="20" fillId="0" borderId="0" xfId="0" applyNumberFormat="1" applyFont="1" applyAlignment="1"/>
    <xf numFmtId="173" fontId="21" fillId="0" borderId="0" xfId="0" applyNumberFormat="1" applyFont="1" applyAlignment="1"/>
    <xf numFmtId="173" fontId="15" fillId="0" borderId="0" xfId="0" applyNumberFormat="1" applyFont="1" applyAlignment="1"/>
    <xf numFmtId="173" fontId="17" fillId="0" borderId="0" xfId="0" applyNumberFormat="1" applyFont="1" applyAlignment="1">
      <alignment horizontal="right"/>
    </xf>
    <xf numFmtId="173" fontId="21" fillId="0" borderId="0" xfId="0" applyNumberFormat="1" applyFont="1" applyAlignment="1">
      <alignment horizontal="right"/>
    </xf>
    <xf numFmtId="165" fontId="15" fillId="0" borderId="0" xfId="0" applyNumberFormat="1" applyFont="1" applyAlignment="1"/>
    <xf numFmtId="165" fontId="17" fillId="0" borderId="0" xfId="0" applyNumberFormat="1" applyFont="1" applyAlignment="1"/>
    <xf numFmtId="3" fontId="15" fillId="0" borderId="0" xfId="0" applyNumberFormat="1" applyFont="1" applyAlignment="1">
      <alignment horizontal="left" indent="1"/>
    </xf>
    <xf numFmtId="9" fontId="23" fillId="0" borderId="0" xfId="3" applyFont="1" applyFill="1" applyAlignment="1"/>
    <xf numFmtId="168" fontId="15" fillId="0" borderId="0" xfId="1" applyNumberFormat="1" applyFont="1" applyFill="1" applyAlignment="1"/>
    <xf numFmtId="43" fontId="15" fillId="0" borderId="0" xfId="1" applyFont="1" applyFill="1" applyAlignment="1"/>
    <xf numFmtId="9" fontId="15" fillId="0" borderId="0" xfId="3" applyFont="1" applyFill="1" applyBorder="1" applyAlignment="1"/>
    <xf numFmtId="43" fontId="17" fillId="0" borderId="0" xfId="1" applyFont="1" applyFill="1" applyBorder="1" applyAlignment="1"/>
    <xf numFmtId="167" fontId="15" fillId="0" borderId="0" xfId="3" applyNumberFormat="1" applyFont="1" applyFill="1" applyAlignment="1"/>
    <xf numFmtId="2" fontId="15" fillId="0" borderId="0" xfId="3" applyNumberFormat="1" applyFont="1" applyFill="1" applyBorder="1" applyAlignment="1"/>
    <xf numFmtId="167" fontId="17" fillId="0" borderId="0" xfId="3" applyNumberFormat="1" applyFont="1" applyFill="1" applyAlignment="1"/>
    <xf numFmtId="10" fontId="17" fillId="0" borderId="0" xfId="3" applyNumberFormat="1" applyFont="1" applyFill="1" applyBorder="1" applyAlignment="1"/>
    <xf numFmtId="165" fontId="15" fillId="0" borderId="0" xfId="3" applyNumberFormat="1" applyFont="1" applyFill="1" applyAlignment="1"/>
    <xf numFmtId="165" fontId="15" fillId="0" borderId="0" xfId="3" applyNumberFormat="1" applyFont="1" applyFill="1" applyBorder="1" applyAlignment="1"/>
    <xf numFmtId="3" fontId="15" fillId="0" borderId="0" xfId="3" applyNumberFormat="1" applyFont="1" applyFill="1" applyAlignment="1"/>
    <xf numFmtId="164" fontId="15" fillId="0" borderId="0" xfId="3" applyNumberFormat="1" applyFont="1" applyFill="1" applyAlignment="1"/>
    <xf numFmtId="10" fontId="15" fillId="0" borderId="0" xfId="3" applyNumberFormat="1" applyFont="1" applyFill="1" applyBorder="1" applyAlignment="1"/>
    <xf numFmtId="170" fontId="25" fillId="0" borderId="0" xfId="3" applyNumberFormat="1" applyFont="1" applyFill="1" applyAlignment="1"/>
    <xf numFmtId="174" fontId="15" fillId="0" borderId="0" xfId="0" applyNumberFormat="1" applyFont="1" applyAlignment="1"/>
    <xf numFmtId="166" fontId="15" fillId="0" borderId="0" xfId="0" applyNumberFormat="1" applyFont="1" applyAlignment="1"/>
    <xf numFmtId="9" fontId="17" fillId="0" borderId="0" xfId="0" quotePrefix="1" applyNumberFormat="1" applyFont="1" applyAlignment="1">
      <alignment horizontal="right"/>
    </xf>
    <xf numFmtId="9" fontId="21" fillId="0" borderId="0" xfId="0" quotePrefix="1" applyNumberFormat="1" applyFont="1" applyAlignment="1">
      <alignment horizontal="right"/>
    </xf>
    <xf numFmtId="165" fontId="18" fillId="0" borderId="0" xfId="0" applyNumberFormat="1" applyFont="1" applyAlignment="1"/>
    <xf numFmtId="170" fontId="23" fillId="0" borderId="0" xfId="8" applyNumberFormat="1" applyFont="1" applyFill="1" applyAlignment="1"/>
    <xf numFmtId="170" fontId="25" fillId="0" borderId="0" xfId="0" applyNumberFormat="1" applyFont="1" applyAlignment="1"/>
    <xf numFmtId="167" fontId="15" fillId="0" borderId="0" xfId="0" applyNumberFormat="1" applyFont="1" applyAlignment="1"/>
    <xf numFmtId="164" fontId="21" fillId="0" borderId="0" xfId="0" applyNumberFormat="1" applyFont="1" applyAlignment="1"/>
    <xf numFmtId="2" fontId="23" fillId="0" borderId="0" xfId="0" applyNumberFormat="1" applyFont="1" applyAlignment="1"/>
    <xf numFmtId="170" fontId="27" fillId="0" borderId="0" xfId="0" applyNumberFormat="1" applyFont="1" applyAlignment="1"/>
    <xf numFmtId="167" fontId="17" fillId="0" borderId="0" xfId="0" applyNumberFormat="1" applyFont="1" applyAlignment="1"/>
    <xf numFmtId="3" fontId="28" fillId="0" borderId="0" xfId="0" applyNumberFormat="1" applyFont="1" applyAlignment="1"/>
    <xf numFmtId="165" fontId="28" fillId="0" borderId="0" xfId="0" applyNumberFormat="1" applyFont="1" applyAlignment="1"/>
    <xf numFmtId="2" fontId="17" fillId="0" borderId="0" xfId="0" applyNumberFormat="1" applyFont="1" applyAlignment="1"/>
    <xf numFmtId="170" fontId="23" fillId="0" borderId="0" xfId="0" applyNumberFormat="1" applyFont="1" applyAlignment="1">
      <alignment horizontal="left" indent="1"/>
    </xf>
    <xf numFmtId="170" fontId="28" fillId="0" borderId="0" xfId="0" applyNumberFormat="1" applyFont="1" applyAlignment="1"/>
    <xf numFmtId="167" fontId="21" fillId="0" borderId="0" xfId="0" applyNumberFormat="1" applyFont="1" applyAlignment="1"/>
    <xf numFmtId="3" fontId="15" fillId="0" borderId="0" xfId="0" applyNumberFormat="1" applyFont="1" applyAlignment="1">
      <alignment horizontal="left" indent="2"/>
    </xf>
    <xf numFmtId="170" fontId="23" fillId="0" borderId="0" xfId="0" applyNumberFormat="1" applyFont="1" applyAlignment="1">
      <alignment horizontal="left" indent="2"/>
    </xf>
    <xf numFmtId="170" fontId="18" fillId="0" borderId="0" xfId="0" applyNumberFormat="1" applyFont="1" applyAlignment="1">
      <alignment horizontal="center"/>
    </xf>
    <xf numFmtId="3" fontId="18" fillId="0" borderId="0" xfId="0" applyNumberFormat="1" applyFont="1" applyAlignment="1"/>
    <xf numFmtId="2" fontId="27" fillId="0" borderId="0" xfId="0" applyNumberFormat="1" applyFont="1" applyAlignment="1"/>
    <xf numFmtId="1" fontId="27" fillId="0" borderId="0" xfId="0" applyNumberFormat="1" applyFont="1" applyAlignment="1"/>
    <xf numFmtId="170" fontId="21" fillId="0" borderId="0" xfId="0" applyNumberFormat="1" applyFont="1" applyAlignment="1">
      <alignment horizontal="left" indent="1"/>
    </xf>
    <xf numFmtId="170" fontId="29" fillId="0" borderId="0" xfId="0" applyNumberFormat="1" applyFont="1" applyAlignment="1"/>
    <xf numFmtId="164" fontId="28" fillId="0" borderId="0" xfId="0" applyNumberFormat="1" applyFont="1" applyAlignment="1"/>
    <xf numFmtId="0" fontId="30" fillId="0" borderId="0" xfId="0" applyFont="1" applyAlignment="1"/>
    <xf numFmtId="166" fontId="31" fillId="0" borderId="0" xfId="0" applyNumberFormat="1" applyFont="1" applyAlignment="1"/>
    <xf numFmtId="165" fontId="24" fillId="0" borderId="0" xfId="0" applyNumberFormat="1" applyFont="1" applyAlignment="1"/>
    <xf numFmtId="0" fontId="18" fillId="0" borderId="0" xfId="0" applyFont="1" applyAlignment="1"/>
    <xf numFmtId="0" fontId="15" fillId="0" borderId="0" xfId="0" applyFont="1" applyAlignment="1">
      <alignment horizontal="left" indent="1"/>
    </xf>
    <xf numFmtId="9" fontId="32" fillId="0" borderId="0" xfId="3" applyFont="1" applyFill="1" applyAlignment="1"/>
    <xf numFmtId="9" fontId="18" fillId="0" borderId="0" xfId="0" applyNumberFormat="1" applyFont="1" applyAlignment="1"/>
    <xf numFmtId="175" fontId="15" fillId="0" borderId="0" xfId="0" applyNumberFormat="1" applyFont="1" applyAlignment="1"/>
    <xf numFmtId="0" fontId="35" fillId="0" borderId="0" xfId="7" applyFont="1" applyAlignment="1">
      <alignment horizontal="left"/>
    </xf>
    <xf numFmtId="174" fontId="36" fillId="0" borderId="0" xfId="7" applyNumberFormat="1" applyFont="1" applyAlignment="1">
      <alignment horizontal="right"/>
    </xf>
    <xf numFmtId="0" fontId="36" fillId="0" borderId="0" xfId="7" applyFont="1" applyAlignment="1">
      <alignment horizontal="right"/>
    </xf>
    <xf numFmtId="174" fontId="16" fillId="0" borderId="0" xfId="7" applyNumberFormat="1" applyAlignment="1">
      <alignment horizontal="right"/>
    </xf>
    <xf numFmtId="174" fontId="36" fillId="0" borderId="0" xfId="10" applyNumberFormat="1" applyFont="1" applyFill="1" applyBorder="1" applyAlignment="1">
      <protection locked="0"/>
    </xf>
    <xf numFmtId="174" fontId="36" fillId="0" borderId="0" xfId="7" applyNumberFormat="1" applyFont="1" applyAlignment="1"/>
    <xf numFmtId="174" fontId="35" fillId="0" borderId="0" xfId="7" applyNumberFormat="1" applyFont="1" applyAlignment="1">
      <alignment horizontal="right"/>
    </xf>
    <xf numFmtId="9" fontId="35" fillId="0" borderId="0" xfId="7" applyNumberFormat="1" applyFont="1" applyAlignment="1">
      <alignment horizontal="right"/>
    </xf>
    <xf numFmtId="174" fontId="35" fillId="0" borderId="0" xfId="7" applyNumberFormat="1" applyFont="1" applyAlignment="1"/>
    <xf numFmtId="10" fontId="36" fillId="0" borderId="0" xfId="7" applyNumberFormat="1" applyFont="1" applyAlignment="1"/>
    <xf numFmtId="4" fontId="35" fillId="0" borderId="0" xfId="7" applyNumberFormat="1" applyFont="1" applyAlignment="1"/>
    <xf numFmtId="170" fontId="35" fillId="0" borderId="0" xfId="7" applyNumberFormat="1" applyFont="1" applyAlignment="1"/>
    <xf numFmtId="173" fontId="38" fillId="0" borderId="0" xfId="7" applyNumberFormat="1" applyFont="1" applyAlignment="1">
      <alignment horizontal="right"/>
    </xf>
    <xf numFmtId="170" fontId="38" fillId="0" borderId="0" xfId="7" applyNumberFormat="1" applyFont="1" applyAlignment="1">
      <alignment horizontal="right"/>
    </xf>
    <xf numFmtId="10" fontId="38" fillId="0" borderId="0" xfId="7" applyNumberFormat="1" applyFont="1" applyAlignment="1">
      <alignment horizontal="right"/>
    </xf>
    <xf numFmtId="180" fontId="38" fillId="0" borderId="0" xfId="7" applyNumberFormat="1" applyFont="1" applyAlignment="1">
      <alignment horizontal="right"/>
    </xf>
    <xf numFmtId="0" fontId="36" fillId="0" borderId="0" xfId="7" applyFont="1" applyAlignment="1"/>
    <xf numFmtId="173" fontId="39" fillId="0" borderId="0" xfId="7" applyNumberFormat="1" applyFont="1" applyAlignment="1">
      <alignment horizontal="right"/>
    </xf>
    <xf numFmtId="164" fontId="5" fillId="0" borderId="0" xfId="7" applyNumberFormat="1" applyFont="1" applyAlignment="1">
      <alignment horizontal="right"/>
    </xf>
    <xf numFmtId="167" fontId="16" fillId="0" borderId="0" xfId="7" applyNumberFormat="1" applyAlignment="1">
      <alignment horizontal="right"/>
    </xf>
    <xf numFmtId="167" fontId="5" fillId="0" borderId="0" xfId="7" applyNumberFormat="1" applyFont="1" applyAlignment="1">
      <alignment horizontal="right"/>
    </xf>
    <xf numFmtId="167" fontId="40" fillId="0" borderId="0" xfId="7" applyNumberFormat="1" applyFont="1" applyAlignment="1">
      <alignment horizontal="right"/>
    </xf>
    <xf numFmtId="0" fontId="41" fillId="0" borderId="0" xfId="7" applyFont="1" applyAlignment="1">
      <alignment horizontal="left"/>
    </xf>
    <xf numFmtId="164" fontId="16" fillId="0" borderId="0" xfId="7" applyNumberFormat="1" applyAlignment="1">
      <alignment horizontal="right"/>
    </xf>
    <xf numFmtId="0" fontId="5" fillId="0" borderId="0" xfId="7" quotePrefix="1" applyFont="1" applyAlignment="1">
      <alignment horizontal="right"/>
    </xf>
    <xf numFmtId="181" fontId="41" fillId="0" borderId="0" xfId="7" applyNumberFormat="1" applyFont="1" applyAlignment="1">
      <alignment horizontal="left"/>
    </xf>
    <xf numFmtId="164" fontId="16" fillId="0" borderId="0" xfId="7" quotePrefix="1" applyNumberFormat="1" applyAlignment="1">
      <alignment horizontal="right"/>
    </xf>
    <xf numFmtId="181" fontId="41" fillId="0" borderId="0" xfId="7" applyNumberFormat="1" applyFont="1" applyAlignment="1">
      <alignment horizontal="left" indent="1"/>
    </xf>
    <xf numFmtId="9" fontId="41" fillId="0" borderId="0" xfId="7" applyNumberFormat="1" applyFont="1" applyAlignment="1"/>
    <xf numFmtId="165" fontId="41" fillId="0" borderId="0" xfId="7" applyNumberFormat="1" applyFont="1" applyAlignment="1"/>
    <xf numFmtId="167" fontId="42" fillId="0" borderId="0" xfId="7" applyNumberFormat="1" applyFont="1" applyAlignment="1">
      <alignment horizontal="right"/>
    </xf>
    <xf numFmtId="167" fontId="42" fillId="0" borderId="0" xfId="1" applyNumberFormat="1" applyFont="1" applyFill="1" applyAlignment="1">
      <alignment horizontal="right"/>
    </xf>
    <xf numFmtId="179" fontId="16" fillId="0" borderId="0" xfId="7" applyNumberFormat="1" applyAlignment="1"/>
    <xf numFmtId="165" fontId="5" fillId="0" borderId="0" xfId="7" applyNumberFormat="1" applyFont="1" applyAlignment="1"/>
    <xf numFmtId="170" fontId="5" fillId="0" borderId="0" xfId="3" applyNumberFormat="1" applyFont="1" applyFill="1" applyAlignment="1"/>
    <xf numFmtId="182" fontId="5" fillId="0" borderId="0" xfId="1" applyNumberFormat="1" applyFont="1" applyFill="1" applyAlignment="1">
      <alignment horizontal="right"/>
    </xf>
    <xf numFmtId="164" fontId="5" fillId="0" borderId="0" xfId="1" applyNumberFormat="1" applyFont="1" applyFill="1" applyAlignment="1">
      <alignment horizontal="right"/>
    </xf>
    <xf numFmtId="10" fontId="16" fillId="0" borderId="0" xfId="3" applyNumberFormat="1" applyFont="1" applyFill="1" applyAlignment="1"/>
    <xf numFmtId="174" fontId="16" fillId="0" borderId="0" xfId="7" applyNumberFormat="1" applyAlignment="1"/>
    <xf numFmtId="183" fontId="5" fillId="0" borderId="2" xfId="7" applyNumberFormat="1" applyFont="1" applyBorder="1" applyAlignment="1">
      <alignment horizontal="center" vertical="center"/>
    </xf>
    <xf numFmtId="183" fontId="5" fillId="0" borderId="0" xfId="7" applyNumberFormat="1" applyFont="1" applyAlignment="1">
      <alignment horizontal="center" vertical="center"/>
    </xf>
    <xf numFmtId="7" fontId="16" fillId="0" borderId="0" xfId="7" applyNumberFormat="1" applyAlignment="1">
      <alignment horizontal="right"/>
    </xf>
    <xf numFmtId="8" fontId="16" fillId="0" borderId="0" xfId="7" applyNumberFormat="1" applyAlignment="1">
      <alignment horizontal="right"/>
    </xf>
    <xf numFmtId="8" fontId="16" fillId="0" borderId="0" xfId="1" applyNumberFormat="1" applyFont="1" applyFill="1" applyAlignment="1">
      <alignment horizontal="right"/>
    </xf>
    <xf numFmtId="183" fontId="16" fillId="0" borderId="0" xfId="1" applyNumberFormat="1" applyFont="1" applyFill="1" applyAlignment="1">
      <alignment horizontal="right"/>
    </xf>
    <xf numFmtId="173" fontId="41" fillId="0" borderId="0" xfId="7" applyNumberFormat="1" applyFont="1" applyAlignment="1">
      <alignment horizontal="right"/>
    </xf>
    <xf numFmtId="0" fontId="41" fillId="0" borderId="0" xfId="7" applyFont="1" applyAlignment="1">
      <alignment horizontal="right"/>
    </xf>
    <xf numFmtId="184" fontId="45" fillId="0" borderId="0" xfId="7" applyNumberFormat="1" applyFont="1" applyAlignment="1">
      <alignment horizontal="right"/>
    </xf>
    <xf numFmtId="183" fontId="5" fillId="0" borderId="0" xfId="7" applyNumberFormat="1" applyFont="1" applyAlignment="1">
      <alignment horizontal="right"/>
    </xf>
    <xf numFmtId="184" fontId="41" fillId="0" borderId="0" xfId="7" applyNumberFormat="1" applyFont="1" applyAlignment="1">
      <alignment horizontal="right"/>
    </xf>
    <xf numFmtId="0" fontId="35" fillId="0" borderId="0" xfId="7" applyFont="1" applyAlignment="1"/>
    <xf numFmtId="176" fontId="5" fillId="0" borderId="0" xfId="7" applyNumberFormat="1" applyFont="1" applyAlignment="1">
      <alignment horizontal="right"/>
    </xf>
    <xf numFmtId="183" fontId="16" fillId="0" borderId="0" xfId="7" applyNumberFormat="1" applyAlignment="1"/>
    <xf numFmtId="184" fontId="16" fillId="0" borderId="0" xfId="7" applyNumberFormat="1" applyAlignment="1">
      <alignment horizontal="right"/>
    </xf>
    <xf numFmtId="183" fontId="40" fillId="0" borderId="0" xfId="7" applyNumberFormat="1" applyFont="1" applyAlignment="1"/>
    <xf numFmtId="164" fontId="16" fillId="0" borderId="0" xfId="7" applyNumberFormat="1" applyAlignment="1"/>
    <xf numFmtId="7" fontId="16" fillId="0" borderId="0" xfId="7" applyNumberFormat="1" applyAlignment="1"/>
    <xf numFmtId="10" fontId="16" fillId="0" borderId="0" xfId="7" applyNumberFormat="1" applyAlignment="1"/>
    <xf numFmtId="3" fontId="16" fillId="0" borderId="0" xfId="7" applyNumberFormat="1" applyAlignment="1"/>
    <xf numFmtId="166" fontId="16" fillId="0" borderId="0" xfId="7" applyNumberFormat="1" applyAlignment="1"/>
    <xf numFmtId="174" fontId="5" fillId="0" borderId="0" xfId="7" applyNumberFormat="1" applyFont="1" applyAlignment="1"/>
    <xf numFmtId="3" fontId="16" fillId="0" borderId="0" xfId="7" applyNumberFormat="1" applyAlignment="1">
      <alignment horizontal="right"/>
    </xf>
    <xf numFmtId="3" fontId="5" fillId="0" borderId="0" xfId="7" applyNumberFormat="1" applyFont="1" applyAlignment="1"/>
    <xf numFmtId="0" fontId="46" fillId="0" borderId="0" xfId="7" applyFont="1" applyAlignment="1">
      <alignment horizontal="left"/>
    </xf>
    <xf numFmtId="174" fontId="46" fillId="0" borderId="0" xfId="7" applyNumberFormat="1" applyFont="1" applyAlignment="1">
      <alignment horizontal="right"/>
    </xf>
    <xf numFmtId="3" fontId="46" fillId="0" borderId="0" xfId="7" applyNumberFormat="1" applyFont="1" applyAlignment="1"/>
    <xf numFmtId="3" fontId="40" fillId="0" borderId="0" xfId="7" applyNumberFormat="1" applyFont="1" applyAlignment="1"/>
    <xf numFmtId="0" fontId="46" fillId="0" borderId="0" xfId="7" applyFont="1" applyAlignment="1"/>
    <xf numFmtId="3" fontId="0" fillId="0" borderId="0" xfId="0" applyNumberFormat="1" applyAlignment="1">
      <alignment horizontal="left"/>
    </xf>
    <xf numFmtId="3" fontId="0" fillId="0" borderId="0" xfId="1" applyNumberFormat="1" applyFont="1" applyFill="1" applyAlignment="1">
      <alignment horizontal="right" vertical="center"/>
    </xf>
    <xf numFmtId="174" fontId="5" fillId="0" borderId="0" xfId="7" applyNumberFormat="1" applyFont="1" applyAlignment="1">
      <alignment horizontal="right"/>
    </xf>
    <xf numFmtId="3" fontId="47" fillId="0" borderId="0" xfId="7" applyNumberFormat="1" applyFont="1" applyAlignment="1">
      <alignment horizontal="right"/>
    </xf>
    <xf numFmtId="174" fontId="48" fillId="0" borderId="0" xfId="7" applyNumberFormat="1" applyFont="1" applyAlignment="1">
      <alignment horizontal="right"/>
    </xf>
    <xf numFmtId="174" fontId="48" fillId="0" borderId="0" xfId="7" applyNumberFormat="1" applyFont="1" applyAlignment="1"/>
    <xf numFmtId="3" fontId="48" fillId="0" borderId="0" xfId="7" applyNumberFormat="1" applyFont="1" applyAlignment="1">
      <alignment horizontal="right"/>
    </xf>
    <xf numFmtId="3" fontId="48" fillId="0" borderId="0" xfId="7" applyNumberFormat="1" applyFont="1" applyAlignment="1"/>
    <xf numFmtId="0" fontId="49" fillId="0" borderId="0" xfId="7" applyFont="1" applyAlignment="1">
      <alignment horizontal="left"/>
    </xf>
    <xf numFmtId="0" fontId="49" fillId="0" borderId="0" xfId="7" applyFont="1" applyAlignment="1">
      <alignment horizontal="right"/>
    </xf>
    <xf numFmtId="9" fontId="49" fillId="0" borderId="0" xfId="7" applyNumberFormat="1" applyFont="1" applyAlignment="1"/>
    <xf numFmtId="3" fontId="5" fillId="0" borderId="0" xfId="7" applyNumberFormat="1" applyFont="1" applyAlignment="1">
      <alignment horizontal="right"/>
    </xf>
    <xf numFmtId="176" fontId="16" fillId="0" borderId="0" xfId="7" applyNumberFormat="1" applyAlignment="1">
      <alignment horizontal="right"/>
    </xf>
    <xf numFmtId="186" fontId="16" fillId="0" borderId="0" xfId="7" applyNumberFormat="1" applyAlignment="1">
      <alignment horizontal="right"/>
    </xf>
    <xf numFmtId="177" fontId="16" fillId="0" borderId="0" xfId="7" applyNumberFormat="1" applyAlignment="1">
      <alignment horizontal="right"/>
    </xf>
    <xf numFmtId="179" fontId="16" fillId="0" borderId="0" xfId="7" applyNumberFormat="1" applyAlignment="1">
      <alignment horizontal="right"/>
    </xf>
    <xf numFmtId="1" fontId="16" fillId="0" borderId="0" xfId="7" applyNumberFormat="1" applyAlignment="1"/>
    <xf numFmtId="1" fontId="16" fillId="0" borderId="0" xfId="7" applyNumberFormat="1" applyAlignment="1">
      <alignment horizontal="right"/>
    </xf>
    <xf numFmtId="1" fontId="5" fillId="0" borderId="0" xfId="7" applyNumberFormat="1" applyFont="1" applyAlignment="1">
      <alignment horizontal="right"/>
    </xf>
    <xf numFmtId="1" fontId="42" fillId="0" borderId="0" xfId="7" applyNumberFormat="1" applyFont="1" applyAlignment="1"/>
    <xf numFmtId="179" fontId="48" fillId="0" borderId="0" xfId="7" applyNumberFormat="1" applyFont="1" applyAlignment="1">
      <alignment horizontal="right"/>
    </xf>
    <xf numFmtId="176" fontId="48" fillId="0" borderId="0" xfId="7" applyNumberFormat="1" applyFont="1" applyAlignment="1">
      <alignment horizontal="right"/>
    </xf>
    <xf numFmtId="1" fontId="48" fillId="0" borderId="0" xfId="7" applyNumberFormat="1" applyFont="1" applyAlignment="1">
      <alignment horizontal="right"/>
    </xf>
    <xf numFmtId="1" fontId="48" fillId="0" borderId="0" xfId="7" applyNumberFormat="1" applyFont="1" applyAlignment="1"/>
    <xf numFmtId="179" fontId="5" fillId="0" borderId="0" xfId="7" applyNumberFormat="1" applyFont="1" applyAlignment="1">
      <alignment horizontal="right"/>
    </xf>
    <xf numFmtId="187" fontId="16" fillId="0" borderId="0" xfId="7" applyNumberFormat="1" applyAlignment="1"/>
    <xf numFmtId="188" fontId="16" fillId="0" borderId="0" xfId="7" applyNumberFormat="1" applyAlignment="1"/>
    <xf numFmtId="2" fontId="5" fillId="0" borderId="0" xfId="7" applyNumberFormat="1" applyFont="1" applyAlignment="1"/>
    <xf numFmtId="1" fontId="5" fillId="0" borderId="0" xfId="7" applyNumberFormat="1" applyFont="1" applyAlignment="1"/>
    <xf numFmtId="9" fontId="16" fillId="0" borderId="0" xfId="3" applyFont="1" applyFill="1"/>
    <xf numFmtId="8" fontId="16" fillId="0" borderId="4" xfId="7" applyNumberFormat="1" applyBorder="1" applyAlignment="1"/>
    <xf numFmtId="164" fontId="41" fillId="0" borderId="0" xfId="7" applyNumberFormat="1" applyFont="1" applyAlignment="1"/>
    <xf numFmtId="183" fontId="50" fillId="0" borderId="0" xfId="7" applyNumberFormat="1" applyFont="1" applyAlignment="1"/>
    <xf numFmtId="174" fontId="16" fillId="0" borderId="5" xfId="7" applyNumberFormat="1" applyBorder="1" applyAlignment="1">
      <alignment horizontal="left"/>
    </xf>
    <xf numFmtId="174" fontId="16" fillId="0" borderId="5" xfId="7" applyNumberFormat="1" applyBorder="1" applyAlignment="1">
      <alignment horizontal="right"/>
    </xf>
    <xf numFmtId="174" fontId="16" fillId="0" borderId="5" xfId="7" applyNumberFormat="1" applyBorder="1" applyAlignment="1"/>
    <xf numFmtId="174" fontId="16" fillId="0" borderId="5" xfId="3" applyNumberFormat="1" applyFont="1" applyFill="1" applyBorder="1"/>
    <xf numFmtId="174" fontId="16" fillId="0" borderId="6" xfId="7" applyNumberFormat="1" applyBorder="1" applyAlignment="1"/>
    <xf numFmtId="174" fontId="16" fillId="0" borderId="7" xfId="7" applyNumberFormat="1" applyBorder="1" applyAlignment="1"/>
    <xf numFmtId="176" fontId="51" fillId="0" borderId="5" xfId="7" applyNumberFormat="1" applyFont="1" applyBorder="1" applyAlignment="1"/>
    <xf numFmtId="174" fontId="41" fillId="0" borderId="0" xfId="7" applyNumberFormat="1" applyFont="1" applyAlignment="1"/>
    <xf numFmtId="176" fontId="41" fillId="0" borderId="0" xfId="7" applyNumberFormat="1" applyFont="1" applyAlignment="1"/>
    <xf numFmtId="174" fontId="41" fillId="0" borderId="1" xfId="7" applyNumberFormat="1" applyFont="1" applyBorder="1" applyAlignment="1"/>
    <xf numFmtId="177" fontId="41" fillId="0" borderId="0" xfId="7" applyNumberFormat="1" applyFont="1" applyAlignment="1"/>
    <xf numFmtId="164" fontId="41" fillId="0" borderId="4" xfId="7" applyNumberFormat="1" applyFont="1" applyBorder="1" applyAlignment="1"/>
    <xf numFmtId="0" fontId="41" fillId="0" borderId="0" xfId="7" applyFont="1" applyAlignment="1"/>
    <xf numFmtId="170" fontId="42" fillId="0" borderId="0" xfId="7" applyNumberFormat="1" applyFont="1" applyAlignment="1"/>
    <xf numFmtId="170" fontId="42" fillId="0" borderId="4" xfId="7" applyNumberFormat="1" applyFont="1" applyBorder="1" applyAlignment="1"/>
    <xf numFmtId="176" fontId="16" fillId="0" borderId="4" xfId="7" applyNumberFormat="1" applyBorder="1" applyAlignment="1"/>
    <xf numFmtId="9" fontId="42" fillId="0" borderId="0" xfId="7" applyNumberFormat="1" applyFont="1" applyAlignment="1"/>
    <xf numFmtId="9" fontId="42" fillId="0" borderId="4" xfId="7" applyNumberFormat="1" applyFont="1" applyBorder="1" applyAlignment="1"/>
    <xf numFmtId="176" fontId="42" fillId="0" borderId="0" xfId="7" applyNumberFormat="1" applyFont="1" applyAlignment="1"/>
    <xf numFmtId="174" fontId="42" fillId="0" borderId="0" xfId="7" applyNumberFormat="1" applyFont="1" applyAlignment="1"/>
    <xf numFmtId="0" fontId="42" fillId="0" borderId="0" xfId="7" applyFont="1" applyAlignment="1"/>
    <xf numFmtId="177" fontId="42" fillId="0" borderId="0" xfId="7" applyNumberFormat="1" applyFont="1" applyAlignment="1"/>
    <xf numFmtId="177" fontId="16" fillId="0" borderId="4" xfId="7" applyNumberFormat="1" applyBorder="1" applyAlignment="1"/>
    <xf numFmtId="170" fontId="16" fillId="0" borderId="1" xfId="7" applyNumberFormat="1" applyBorder="1" applyAlignment="1"/>
    <xf numFmtId="174" fontId="16" fillId="0" borderId="4" xfId="7" applyNumberFormat="1" applyBorder="1" applyAlignment="1"/>
    <xf numFmtId="174" fontId="16" fillId="0" borderId="1" xfId="7" applyNumberFormat="1" applyBorder="1" applyAlignment="1"/>
    <xf numFmtId="170" fontId="16" fillId="0" borderId="4" xfId="7" applyNumberFormat="1" applyBorder="1" applyAlignment="1"/>
    <xf numFmtId="194" fontId="16" fillId="0" borderId="0" xfId="1" applyNumberFormat="1" applyFont="1" applyFill="1" applyBorder="1" applyAlignment="1"/>
    <xf numFmtId="176" fontId="41" fillId="0" borderId="1" xfId="7" applyNumberFormat="1" applyFont="1" applyBorder="1" applyAlignment="1"/>
    <xf numFmtId="38" fontId="16" fillId="0" borderId="0" xfId="7" applyNumberFormat="1" applyAlignment="1"/>
    <xf numFmtId="8" fontId="16" fillId="0" borderId="1" xfId="7" applyNumberFormat="1" applyBorder="1" applyAlignment="1"/>
    <xf numFmtId="176" fontId="16" fillId="0" borderId="1" xfId="7" applyNumberFormat="1" applyBorder="1" applyAlignment="1"/>
    <xf numFmtId="0" fontId="16" fillId="0" borderId="4" xfId="7" applyBorder="1" applyAlignment="1"/>
    <xf numFmtId="4" fontId="16" fillId="0" borderId="0" xfId="7" applyNumberFormat="1" applyAlignment="1"/>
    <xf numFmtId="4" fontId="16" fillId="0" borderId="1" xfId="7" applyNumberFormat="1" applyBorder="1" applyAlignment="1"/>
    <xf numFmtId="9" fontId="16" fillId="0" borderId="4" xfId="7" applyNumberFormat="1" applyBorder="1" applyAlignment="1"/>
    <xf numFmtId="0" fontId="52" fillId="0" borderId="0" xfId="7" applyFont="1" applyAlignment="1">
      <alignment horizontal="left"/>
    </xf>
    <xf numFmtId="0" fontId="52" fillId="0" borderId="0" xfId="7" applyFont="1" applyAlignment="1">
      <alignment horizontal="right"/>
    </xf>
    <xf numFmtId="0" fontId="52" fillId="0" borderId="0" xfId="7" applyFont="1" applyAlignment="1"/>
    <xf numFmtId="9" fontId="52" fillId="0" borderId="0" xfId="7" applyNumberFormat="1" applyFont="1" applyAlignment="1"/>
    <xf numFmtId="8" fontId="53" fillId="0" borderId="0" xfId="7" applyNumberFormat="1" applyFont="1" applyAlignment="1"/>
    <xf numFmtId="9" fontId="52" fillId="0" borderId="1" xfId="7" applyNumberFormat="1" applyFont="1" applyBorder="1" applyAlignment="1"/>
    <xf numFmtId="0" fontId="52" fillId="0" borderId="4" xfId="7" applyFont="1" applyBorder="1" applyAlignment="1"/>
    <xf numFmtId="177" fontId="52" fillId="0" borderId="0" xfId="7" applyNumberFormat="1" applyFont="1" applyAlignment="1"/>
    <xf numFmtId="4" fontId="52" fillId="0" borderId="0" xfId="3" applyNumberFormat="1" applyFont="1" applyFill="1" applyAlignment="1"/>
    <xf numFmtId="164" fontId="52" fillId="0" borderId="0" xfId="7" applyNumberFormat="1" applyFont="1" applyAlignment="1"/>
    <xf numFmtId="9" fontId="52" fillId="0" borderId="0" xfId="3" applyFont="1" applyFill="1" applyAlignment="1"/>
    <xf numFmtId="176" fontId="42" fillId="0" borderId="4" xfId="7" applyNumberFormat="1" applyFont="1" applyBorder="1" applyAlignment="1"/>
    <xf numFmtId="2" fontId="42" fillId="0" borderId="0" xfId="7" applyNumberFormat="1" applyFont="1" applyAlignment="1"/>
    <xf numFmtId="4" fontId="51" fillId="0" borderId="0" xfId="7" applyNumberFormat="1" applyFont="1" applyAlignment="1"/>
    <xf numFmtId="9" fontId="16" fillId="0" borderId="0" xfId="7" applyNumberFormat="1" applyAlignment="1">
      <alignment horizontal="right"/>
    </xf>
    <xf numFmtId="0" fontId="16" fillId="0" borderId="5" xfId="7" applyBorder="1" applyAlignment="1">
      <alignment horizontal="left"/>
    </xf>
    <xf numFmtId="0" fontId="16" fillId="0" borderId="5" xfId="7" applyBorder="1" applyAlignment="1">
      <alignment horizontal="right"/>
    </xf>
    <xf numFmtId="9" fontId="16" fillId="0" borderId="5" xfId="7" applyNumberFormat="1" applyBorder="1" applyAlignment="1">
      <alignment horizontal="right"/>
    </xf>
    <xf numFmtId="176" fontId="16" fillId="0" borderId="5" xfId="7" applyNumberFormat="1" applyBorder="1" applyAlignment="1"/>
    <xf numFmtId="176" fontId="16" fillId="0" borderId="6" xfId="7" applyNumberFormat="1" applyBorder="1" applyAlignment="1"/>
    <xf numFmtId="177" fontId="16" fillId="0" borderId="5" xfId="7" applyNumberFormat="1" applyBorder="1" applyAlignment="1"/>
    <xf numFmtId="177" fontId="16" fillId="0" borderId="7" xfId="7" applyNumberFormat="1" applyBorder="1" applyAlignment="1"/>
    <xf numFmtId="2" fontId="5" fillId="0" borderId="5" xfId="7" applyNumberFormat="1" applyFont="1" applyBorder="1" applyAlignment="1"/>
    <xf numFmtId="0" fontId="16" fillId="0" borderId="5" xfId="7" applyBorder="1" applyAlignment="1"/>
    <xf numFmtId="170" fontId="16" fillId="0" borderId="0" xfId="7" applyNumberFormat="1" applyAlignment="1">
      <alignment horizontal="right"/>
    </xf>
    <xf numFmtId="0" fontId="16" fillId="0" borderId="1" xfId="7" applyBorder="1" applyAlignment="1"/>
    <xf numFmtId="0" fontId="54" fillId="0" borderId="0" xfId="7" applyFont="1" applyAlignment="1"/>
    <xf numFmtId="177" fontId="16" fillId="0" borderId="1" xfId="7" applyNumberFormat="1" applyBorder="1" applyAlignment="1"/>
    <xf numFmtId="9" fontId="16" fillId="0" borderId="0" xfId="7" quotePrefix="1" applyNumberFormat="1" applyAlignment="1">
      <alignment horizontal="right"/>
    </xf>
    <xf numFmtId="9" fontId="16" fillId="0" borderId="4" xfId="7" quotePrefix="1" applyNumberFormat="1" applyBorder="1" applyAlignment="1">
      <alignment horizontal="right"/>
    </xf>
    <xf numFmtId="0" fontId="16" fillId="0" borderId="8" xfId="7" applyBorder="1" applyAlignment="1"/>
    <xf numFmtId="177" fontId="5" fillId="0" borderId="0" xfId="7" applyNumberFormat="1" applyFont="1" applyAlignment="1"/>
    <xf numFmtId="0" fontId="5" fillId="0" borderId="10" xfId="7" applyFont="1" applyBorder="1" applyAlignment="1">
      <alignment horizontal="left"/>
    </xf>
    <xf numFmtId="0" fontId="16" fillId="0" borderId="10" xfId="7" applyBorder="1" applyAlignment="1"/>
    <xf numFmtId="177" fontId="5" fillId="0" borderId="10" xfId="7" applyNumberFormat="1" applyFont="1" applyBorder="1" applyAlignment="1"/>
    <xf numFmtId="2" fontId="5" fillId="0" borderId="10" xfId="7" applyNumberFormat="1" applyFont="1" applyBorder="1" applyAlignment="1"/>
    <xf numFmtId="177" fontId="5" fillId="0" borderId="11" xfId="7" applyNumberFormat="1" applyFont="1" applyBorder="1" applyAlignment="1"/>
    <xf numFmtId="0" fontId="16" fillId="0" borderId="10" xfId="7" applyBorder="1" applyAlignment="1">
      <alignment horizontal="right"/>
    </xf>
    <xf numFmtId="170" fontId="16" fillId="0" borderId="4" xfId="3" applyNumberFormat="1" applyFont="1" applyFill="1" applyBorder="1" applyProtection="1">
      <protection locked="0"/>
    </xf>
    <xf numFmtId="177" fontId="5" fillId="0" borderId="4" xfId="7" applyNumberFormat="1" applyFont="1" applyBorder="1" applyAlignment="1"/>
    <xf numFmtId="170" fontId="5" fillId="0" borderId="4" xfId="3" applyNumberFormat="1" applyFont="1" applyFill="1" applyBorder="1" applyProtection="1">
      <protection locked="0"/>
    </xf>
    <xf numFmtId="191" fontId="16" fillId="0" borderId="0" xfId="2" applyNumberFormat="1" applyFont="1" applyFill="1" applyBorder="1" applyAlignment="1"/>
    <xf numFmtId="164" fontId="16" fillId="0" borderId="0" xfId="2" applyNumberFormat="1" applyFont="1" applyFill="1" applyBorder="1" applyAlignment="1"/>
    <xf numFmtId="1" fontId="41" fillId="0" borderId="0" xfId="7" applyNumberFormat="1" applyFont="1" applyAlignment="1"/>
    <xf numFmtId="174" fontId="51" fillId="0" borderId="0" xfId="7" applyNumberFormat="1" applyFont="1" applyAlignment="1"/>
    <xf numFmtId="171" fontId="51" fillId="0" borderId="0" xfId="7" applyNumberFormat="1" applyFont="1" applyAlignment="1"/>
    <xf numFmtId="185" fontId="16" fillId="0" borderId="5" xfId="7" applyNumberFormat="1" applyBorder="1" applyAlignment="1"/>
    <xf numFmtId="176" fontId="51" fillId="0" borderId="5" xfId="7" applyNumberFormat="1" applyFont="1" applyBorder="1" applyAlignment="1">
      <alignment horizontal="right"/>
    </xf>
    <xf numFmtId="192" fontId="16" fillId="0" borderId="0" xfId="7" applyNumberFormat="1" applyAlignment="1"/>
    <xf numFmtId="2" fontId="16" fillId="0" borderId="4" xfId="7" applyNumberFormat="1" applyBorder="1" applyAlignment="1"/>
    <xf numFmtId="43" fontId="16" fillId="0" borderId="0" xfId="1" applyFont="1" applyFill="1" applyBorder="1"/>
    <xf numFmtId="193" fontId="16" fillId="0" borderId="0" xfId="1" applyNumberFormat="1" applyFont="1" applyFill="1" applyBorder="1" applyAlignment="1"/>
    <xf numFmtId="183" fontId="16" fillId="0" borderId="0" xfId="7" applyNumberFormat="1" applyAlignment="1">
      <alignment horizontal="right"/>
    </xf>
    <xf numFmtId="176" fontId="16" fillId="0" borderId="7" xfId="7" applyNumberFormat="1" applyBorder="1" applyAlignment="1"/>
    <xf numFmtId="0" fontId="42" fillId="0" borderId="0" xfId="7" applyFont="1" applyAlignment="1">
      <alignment horizontal="right"/>
    </xf>
    <xf numFmtId="9" fontId="42" fillId="0" borderId="1" xfId="7" applyNumberFormat="1" applyFont="1" applyBorder="1" applyAlignment="1"/>
    <xf numFmtId="3" fontId="16" fillId="0" borderId="0" xfId="0" applyNumberFormat="1" applyFont="1" applyAlignment="1">
      <alignment horizontal="left"/>
    </xf>
    <xf numFmtId="3" fontId="42" fillId="0" borderId="0" xfId="0" applyNumberFormat="1" applyFont="1" applyAlignment="1"/>
    <xf numFmtId="3" fontId="56" fillId="0" borderId="0" xfId="0" applyNumberFormat="1" applyFont="1" applyAlignment="1"/>
    <xf numFmtId="170" fontId="57" fillId="0" borderId="0" xfId="0" applyNumberFormat="1" applyFont="1" applyAlignment="1">
      <alignment horizontal="left" indent="1"/>
    </xf>
    <xf numFmtId="9" fontId="44" fillId="0" borderId="0" xfId="3" applyFont="1" applyFill="1" applyAlignment="1"/>
    <xf numFmtId="170" fontId="5" fillId="0" borderId="0" xfId="0" applyNumberFormat="1" applyFont="1" applyAlignment="1">
      <alignment horizontal="left" indent="1"/>
    </xf>
    <xf numFmtId="3" fontId="57" fillId="0" borderId="0" xfId="14" applyNumberFormat="1" applyFont="1" applyAlignment="1">
      <alignment horizontal="left"/>
    </xf>
    <xf numFmtId="3" fontId="57" fillId="0" borderId="0" xfId="14" applyNumberFormat="1" applyFont="1" applyAlignment="1">
      <alignment horizontal="center"/>
    </xf>
    <xf numFmtId="3" fontId="57" fillId="0" borderId="0" xfId="14" applyNumberFormat="1" applyFont="1" applyAlignment="1">
      <alignment horizontal="right"/>
    </xf>
    <xf numFmtId="0" fontId="57" fillId="0" borderId="0" xfId="14" applyFont="1" applyAlignment="1">
      <alignment horizontal="left" indent="1"/>
    </xf>
    <xf numFmtId="0" fontId="57" fillId="0" borderId="0" xfId="14" applyFont="1" applyAlignment="1">
      <alignment horizontal="center"/>
    </xf>
    <xf numFmtId="9" fontId="57" fillId="0" borderId="0" xfId="14" applyNumberFormat="1" applyFont="1" applyAlignment="1">
      <alignment horizontal="right"/>
    </xf>
    <xf numFmtId="0" fontId="57" fillId="0" borderId="0" xfId="14" quotePrefix="1" applyFont="1" applyAlignment="1">
      <alignment horizontal="right"/>
    </xf>
    <xf numFmtId="9" fontId="16" fillId="0" borderId="0" xfId="15" applyFont="1" applyFill="1" applyAlignment="1">
      <alignment horizontal="right"/>
    </xf>
    <xf numFmtId="3" fontId="16" fillId="0" borderId="0" xfId="16" applyNumberFormat="1" applyFont="1" applyFill="1" applyAlignment="1">
      <alignment horizontal="right"/>
    </xf>
    <xf numFmtId="3" fontId="56" fillId="0" borderId="0" xfId="14" applyNumberFormat="1" applyFont="1" applyAlignment="1">
      <alignment horizontal="left"/>
    </xf>
    <xf numFmtId="3" fontId="56" fillId="0" borderId="0" xfId="14" applyNumberFormat="1" applyFont="1" applyAlignment="1">
      <alignment horizontal="center"/>
    </xf>
    <xf numFmtId="3" fontId="56" fillId="0" borderId="0" xfId="14" applyNumberFormat="1" applyFont="1" applyAlignment="1">
      <alignment horizontal="right"/>
    </xf>
    <xf numFmtId="170" fontId="57" fillId="0" borderId="0" xfId="14" applyNumberFormat="1" applyFont="1" applyAlignment="1">
      <alignment horizontal="right"/>
    </xf>
    <xf numFmtId="0" fontId="57" fillId="0" borderId="0" xfId="14" applyFont="1" applyAlignment="1">
      <alignment horizontal="left"/>
    </xf>
    <xf numFmtId="0" fontId="56" fillId="0" borderId="0" xfId="14" applyFont="1" applyAlignment="1">
      <alignment horizontal="left"/>
    </xf>
    <xf numFmtId="0" fontId="16" fillId="0" borderId="0" xfId="17" applyAlignment="1"/>
    <xf numFmtId="1" fontId="57" fillId="0" borderId="0" xfId="14" applyNumberFormat="1" applyFont="1" applyAlignment="1">
      <alignment horizontal="right"/>
    </xf>
    <xf numFmtId="0" fontId="16" fillId="0" borderId="0" xfId="17" applyAlignment="1">
      <alignment horizontal="center"/>
    </xf>
    <xf numFmtId="0" fontId="56" fillId="0" borderId="0" xfId="14" applyFont="1" applyAlignment="1">
      <alignment horizontal="right"/>
    </xf>
    <xf numFmtId="1" fontId="56" fillId="0" borderId="0" xfId="14" applyNumberFormat="1" applyFont="1" applyAlignment="1">
      <alignment horizontal="right"/>
    </xf>
    <xf numFmtId="3" fontId="5" fillId="0" borderId="0" xfId="16" applyNumberFormat="1" applyFont="1" applyFill="1" applyAlignment="1">
      <alignment horizontal="right"/>
    </xf>
    <xf numFmtId="3" fontId="5" fillId="0" borderId="0" xfId="18" applyNumberFormat="1" applyFont="1" applyFill="1" applyAlignment="1">
      <alignment horizontal="right"/>
    </xf>
    <xf numFmtId="3" fontId="58" fillId="0" borderId="0" xfId="14" applyNumberFormat="1" applyFont="1" applyAlignment="1">
      <alignment horizontal="left"/>
    </xf>
    <xf numFmtId="9" fontId="16" fillId="0" borderId="0" xfId="0" applyNumberFormat="1" applyFont="1" applyAlignment="1"/>
    <xf numFmtId="170" fontId="50" fillId="0" borderId="0" xfId="0" applyNumberFormat="1" applyFont="1" applyAlignment="1">
      <alignment horizontal="left" indent="1"/>
    </xf>
    <xf numFmtId="170" fontId="50" fillId="0" borderId="0" xfId="0" applyNumberFormat="1" applyFont="1" applyAlignment="1"/>
    <xf numFmtId="9" fontId="50" fillId="0" borderId="0" xfId="0" applyNumberFormat="1" applyFont="1" applyAlignment="1"/>
    <xf numFmtId="170" fontId="50" fillId="0" borderId="0" xfId="0" applyNumberFormat="1" applyFont="1" applyAlignment="1">
      <alignment horizontal="center"/>
    </xf>
    <xf numFmtId="170" fontId="50" fillId="0" borderId="0" xfId="3" applyNumberFormat="1" applyFont="1" applyFill="1" applyAlignment="1"/>
    <xf numFmtId="167" fontId="16" fillId="0" borderId="0" xfId="0" applyNumberFormat="1" applyFont="1" applyAlignment="1"/>
    <xf numFmtId="170" fontId="26" fillId="0" borderId="0" xfId="0" applyNumberFormat="1" applyFont="1" applyAlignment="1"/>
    <xf numFmtId="3" fontId="5" fillId="0" borderId="0" xfId="0" applyNumberFormat="1" applyFont="1" applyAlignment="1">
      <alignment horizontal="left"/>
    </xf>
    <xf numFmtId="3" fontId="5" fillId="0" borderId="0" xfId="0" applyNumberFormat="1" applyFont="1" applyAlignment="1">
      <alignment horizontal="right"/>
    </xf>
    <xf numFmtId="167" fontId="5" fillId="0" borderId="0" xfId="0" applyNumberFormat="1" applyFont="1" applyAlignment="1"/>
    <xf numFmtId="167" fontId="42" fillId="0" borderId="0" xfId="0" applyNumberFormat="1" applyFont="1" applyAlignment="1"/>
    <xf numFmtId="9" fontId="0" fillId="0" borderId="0" xfId="3" applyFont="1" applyFill="1" applyAlignment="1"/>
    <xf numFmtId="167" fontId="40" fillId="0" borderId="0" xfId="0" applyNumberFormat="1" applyFont="1" applyAlignment="1"/>
    <xf numFmtId="1" fontId="16" fillId="0" borderId="0" xfId="0" applyNumberFormat="1" applyFont="1" applyAlignment="1"/>
    <xf numFmtId="170" fontId="5" fillId="0" borderId="0" xfId="0" applyNumberFormat="1" applyFont="1" applyAlignment="1">
      <alignment horizontal="left"/>
    </xf>
    <xf numFmtId="165" fontId="5" fillId="0" borderId="0" xfId="0" applyNumberFormat="1" applyFont="1" applyAlignment="1"/>
    <xf numFmtId="170" fontId="5" fillId="0" borderId="0" xfId="0" applyNumberFormat="1" applyFont="1" applyAlignment="1">
      <alignment horizontal="right"/>
    </xf>
    <xf numFmtId="167" fontId="44" fillId="0" borderId="0" xfId="0" applyNumberFormat="1" applyFont="1" applyAlignment="1"/>
    <xf numFmtId="3" fontId="40" fillId="0" borderId="0" xfId="0" applyNumberFormat="1" applyFont="1" applyAlignment="1">
      <alignment horizontal="right"/>
    </xf>
    <xf numFmtId="43" fontId="16" fillId="0" borderId="0" xfId="1" applyFont="1" applyFill="1" applyBorder="1" applyAlignment="1"/>
    <xf numFmtId="170" fontId="42" fillId="0" borderId="0" xfId="8" applyNumberFormat="1" applyFont="1" applyFill="1" applyBorder="1" applyAlignment="1"/>
    <xf numFmtId="170" fontId="42" fillId="0" borderId="0" xfId="0" applyNumberFormat="1" applyFont="1" applyAlignment="1">
      <alignment horizontal="right"/>
    </xf>
    <xf numFmtId="170" fontId="42" fillId="0" borderId="0" xfId="3" applyNumberFormat="1" applyFont="1" applyFill="1" applyBorder="1" applyAlignment="1"/>
    <xf numFmtId="170" fontId="40" fillId="0" borderId="0" xfId="0" applyNumberFormat="1" applyFont="1" applyAlignment="1">
      <alignment horizontal="right"/>
    </xf>
    <xf numFmtId="170" fontId="42" fillId="0" borderId="0" xfId="3" applyNumberFormat="1" applyFont="1" applyFill="1" applyBorder="1" applyAlignment="1">
      <alignment horizontal="right"/>
    </xf>
    <xf numFmtId="3" fontId="33" fillId="0" borderId="0" xfId="0" applyNumberFormat="1" applyFont="1" applyAlignment="1"/>
    <xf numFmtId="170" fontId="16" fillId="0" borderId="0" xfId="0" applyNumberFormat="1" applyFont="1" applyAlignment="1">
      <alignment horizontal="right"/>
    </xf>
    <xf numFmtId="170" fontId="40" fillId="0" borderId="0" xfId="3" applyNumberFormat="1" applyFont="1" applyFill="1" applyBorder="1" applyAlignment="1">
      <alignment horizontal="right"/>
    </xf>
    <xf numFmtId="0" fontId="16" fillId="0" borderId="0" xfId="0" applyFont="1" applyAlignment="1">
      <alignment horizontal="left" indent="1"/>
    </xf>
    <xf numFmtId="9" fontId="42" fillId="0" borderId="0" xfId="3" applyFont="1" applyFill="1" applyBorder="1" applyAlignment="1">
      <alignment horizontal="right"/>
    </xf>
    <xf numFmtId="0" fontId="42" fillId="0" borderId="0" xfId="0" applyFont="1" applyAlignment="1"/>
    <xf numFmtId="174" fontId="5" fillId="0" borderId="0" xfId="0" applyNumberFormat="1" applyFont="1" applyAlignment="1"/>
    <xf numFmtId="174" fontId="5" fillId="0" borderId="0" xfId="0" applyNumberFormat="1" applyFont="1" applyAlignment="1">
      <alignment horizontal="right"/>
    </xf>
    <xf numFmtId="174" fontId="16" fillId="0" borderId="0" xfId="0" applyNumberFormat="1" applyFont="1" applyAlignment="1"/>
    <xf numFmtId="0" fontId="19" fillId="6" borderId="0" xfId="0" applyFont="1" applyFill="1" applyAlignment="1">
      <alignment horizontal="center"/>
    </xf>
  </cellXfs>
  <cellStyles count="20">
    <cellStyle name="******************************************" xfId="7" xr:uid="{D4FE82DD-D43C-4267-97F8-9A6B4A4471ED}"/>
    <cellStyle name="Comma" xfId="1" builtinId="3"/>
    <cellStyle name="Comma 11" xfId="13" xr:uid="{D9094D59-08DF-4D46-AB36-7BF72A8CED65}"/>
    <cellStyle name="Comma 17" xfId="16" xr:uid="{463E53A0-AEB9-4DAD-8A8C-B26A9714983B}"/>
    <cellStyle name="Currency" xfId="2" builtinId="4"/>
    <cellStyle name="Currency 9" xfId="18" xr:uid="{C3BB78EB-8D7F-43C4-BC07-C95A42509BB9}"/>
    <cellStyle name="Hyperlink" xfId="4" builtinId="8"/>
    <cellStyle name="Hyperlink 2" xfId="6" xr:uid="{5C8D4545-91E5-4E0C-A69D-E3AA5AB9F96D}"/>
    <cellStyle name="IncomeStatement" xfId="10" xr:uid="{D850C9BD-E750-486A-8137-A056E542AA01}"/>
    <cellStyle name="Margins" xfId="11" xr:uid="{1E98A5E8-D9C3-4C12-8940-BBF6CB5C9F59}"/>
    <cellStyle name="Normal" xfId="0" builtinId="0"/>
    <cellStyle name="Normal 2" xfId="19" xr:uid="{EC31CCED-68C3-49CB-AB46-1DFE3B1DDB91}"/>
    <cellStyle name="Normal 27" xfId="17" xr:uid="{D1BDAE87-EA19-4FD0-9B8A-6AF9BC6BCEA1}"/>
    <cellStyle name="Normal 31" xfId="14" xr:uid="{D0C87972-5E57-4988-80C5-D362F77073FC}"/>
    <cellStyle name="Normal_Company0087" xfId="9" xr:uid="{94D00CB6-8503-4A28-AE1B-1E7120F8E3C7}"/>
    <cellStyle name="Normal_Request Template" xfId="5" xr:uid="{C168AB90-CD3D-4431-867B-A369B2D42A2B}"/>
    <cellStyle name="Percent" xfId="3" builtinId="5"/>
    <cellStyle name="Percent 10 3" xfId="12" xr:uid="{D501342F-F0FE-4529-BC67-4E74873B2FE9}"/>
    <cellStyle name="Percent 2 5" xfId="8" xr:uid="{C4714811-C997-4ED4-B2F2-BB326B449107}"/>
    <cellStyle name="Percent 27" xfId="15" xr:uid="{52FD143B-893E-4896-82E5-99AD8145E1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6</xdr:row>
      <xdr:rowOff>38100</xdr:rowOff>
    </xdr:from>
    <xdr:to>
      <xdr:col>2</xdr:col>
      <xdr:colOff>361950</xdr:colOff>
      <xdr:row>12</xdr:row>
      <xdr:rowOff>38100</xdr:rowOff>
    </xdr:to>
    <xdr:pic>
      <xdr:nvPicPr>
        <xdr:cNvPr id="2" name="Picture 1" descr="Logo_solid_1_5in">
          <a:extLst>
            <a:ext uri="{FF2B5EF4-FFF2-40B4-BE49-F238E27FC236}">
              <a16:creationId xmlns:a16="http://schemas.microsoft.com/office/drawing/2014/main" id="{59EC8A6F-7E83-4506-AC77-73867EDBAB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9550" y="1543050"/>
          <a:ext cx="1524000" cy="1362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209550</xdr:colOff>
      <xdr:row>5</xdr:row>
      <xdr:rowOff>28575</xdr:rowOff>
    </xdr:from>
    <xdr:to>
      <xdr:col>2</xdr:col>
      <xdr:colOff>361950</xdr:colOff>
      <xdr:row>11</xdr:row>
      <xdr:rowOff>28575</xdr:rowOff>
    </xdr:to>
    <xdr:pic>
      <xdr:nvPicPr>
        <xdr:cNvPr id="3" name="Picture 2" descr="Logo_solid_1_5in">
          <a:extLst>
            <a:ext uri="{FF2B5EF4-FFF2-40B4-BE49-F238E27FC236}">
              <a16:creationId xmlns:a16="http://schemas.microsoft.com/office/drawing/2014/main" id="{FA94AB6A-7801-425E-88AE-3687872A4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9550" y="1371600"/>
          <a:ext cx="1524000" cy="1362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209550</xdr:colOff>
      <xdr:row>5</xdr:row>
      <xdr:rowOff>28575</xdr:rowOff>
    </xdr:from>
    <xdr:to>
      <xdr:col>2</xdr:col>
      <xdr:colOff>361950</xdr:colOff>
      <xdr:row>11</xdr:row>
      <xdr:rowOff>28575</xdr:rowOff>
    </xdr:to>
    <xdr:pic>
      <xdr:nvPicPr>
        <xdr:cNvPr id="4" name="Picture 3" descr="Logo_solid_1_5in">
          <a:extLst>
            <a:ext uri="{FF2B5EF4-FFF2-40B4-BE49-F238E27FC236}">
              <a16:creationId xmlns:a16="http://schemas.microsoft.com/office/drawing/2014/main" id="{2FBA741C-F8E4-4CF7-9616-CEAEF2D755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9550" y="1371600"/>
          <a:ext cx="1524000" cy="1362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Equity">
      <a:dk1>
        <a:sysClr val="windowText" lastClr="000000"/>
      </a:dk1>
      <a:lt1>
        <a:sysClr val="window" lastClr="FFFFFF"/>
      </a:lt1>
      <a:dk2>
        <a:srgbClr val="AEBAD5"/>
      </a:dk2>
      <a:lt2>
        <a:srgbClr val="DFE4EE"/>
      </a:lt2>
      <a:accent1>
        <a:srgbClr val="5E76AA"/>
      </a:accent1>
      <a:accent2>
        <a:srgbClr val="CFD6E6"/>
      </a:accent2>
      <a:accent3>
        <a:srgbClr val="9EADCC"/>
      </a:accent3>
      <a:accent4>
        <a:srgbClr val="EFF1F6"/>
      </a:accent4>
      <a:accent5>
        <a:srgbClr val="BFC8DD"/>
      </a:accent5>
      <a:accent6>
        <a:srgbClr val="8E9FC4"/>
      </a:accent6>
      <a:hlink>
        <a:srgbClr val="0070C6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1.bin"/><Relationship Id="rId3" Type="http://schemas.openxmlformats.org/officeDocument/2006/relationships/hyperlink" Target="https://example.com/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example.com/" TargetMode="External"/><Relationship Id="rId1" Type="http://schemas.openxmlformats.org/officeDocument/2006/relationships/hyperlink" Target="https://example.com/" TargetMode="External"/><Relationship Id="rId6" Type="http://schemas.openxmlformats.org/officeDocument/2006/relationships/hyperlink" Target="https://example.com/" TargetMode="External"/><Relationship Id="rId5" Type="http://schemas.openxmlformats.org/officeDocument/2006/relationships/hyperlink" Target="https://example.com/" TargetMode="External"/><Relationship Id="rId4" Type="http://schemas.openxmlformats.org/officeDocument/2006/relationships/hyperlink" Target="https://example.com/" TargetMode="External"/><Relationship Id="rId9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5.bin"/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6.bin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7.bin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917F2-CD62-4294-9D7B-306ACD5EC1BB}">
  <sheetPr>
    <tabColor theme="1"/>
    <pageSetUpPr autoPageBreaks="0"/>
  </sheetPr>
  <dimension ref="A1:AA34"/>
  <sheetViews>
    <sheetView tabSelected="1" workbookViewId="0"/>
  </sheetViews>
  <sheetFormatPr defaultColWidth="10.33203125" defaultRowHeight="13.2"/>
  <cols>
    <col min="1" max="3" width="10.33203125" style="10"/>
    <col min="4" max="4" width="3.88671875" style="10" customWidth="1"/>
    <col min="5" max="5" width="3.33203125" style="10" customWidth="1"/>
    <col min="6" max="6" width="14.44140625" style="10" customWidth="1"/>
    <col min="7" max="7" width="10.33203125" style="10"/>
    <col min="8" max="8" width="9.6640625" style="10" customWidth="1"/>
    <col min="9" max="9" width="1.33203125" style="10" customWidth="1"/>
    <col min="10" max="11" width="10.33203125" style="10"/>
    <col min="12" max="12" width="7.44140625" style="10" customWidth="1"/>
    <col min="13" max="13" width="10.33203125" style="10"/>
    <col min="14" max="14" width="14.44140625" style="10" customWidth="1"/>
    <col min="15" max="15" width="10.33203125" style="10"/>
    <col min="16" max="16" width="26.109375" style="10" customWidth="1"/>
    <col min="17" max="16384" width="10.33203125" style="10"/>
  </cols>
  <sheetData>
    <row r="1" spans="1:16" s="4" customFormat="1" ht="3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1"/>
      <c r="P1" s="3"/>
    </row>
    <row r="2" spans="1:16" s="4" customFormat="1" ht="3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5"/>
      <c r="O2" s="1"/>
      <c r="P2" s="3"/>
    </row>
    <row r="3" spans="1:16" s="4" customFormat="1"/>
    <row r="4" spans="1:16" s="4" customFormat="1"/>
    <row r="5" spans="1:16" s="6" customFormat="1"/>
    <row r="6" spans="1:16" s="6" customFormat="1"/>
    <row r="7" spans="1:16" s="6" customFormat="1"/>
    <row r="8" spans="1:16" s="6" customFormat="1" ht="30">
      <c r="E8" s="7" t="s">
        <v>0</v>
      </c>
    </row>
    <row r="9" spans="1:16" s="6" customFormat="1" ht="24.6">
      <c r="E9" s="8" t="s">
        <v>1</v>
      </c>
      <c r="F9" s="8"/>
      <c r="G9" s="8"/>
      <c r="H9" s="8"/>
      <c r="I9" s="8"/>
      <c r="J9" s="8"/>
      <c r="K9" s="8"/>
      <c r="L9" s="8"/>
      <c r="M9" s="9"/>
    </row>
    <row r="10" spans="1:16" s="6" customFormat="1">
      <c r="E10" s="6" t="s">
        <v>2</v>
      </c>
    </row>
    <row r="11" spans="1:16" s="6" customFormat="1"/>
    <row r="12" spans="1:16" s="6" customFormat="1"/>
    <row r="13" spans="1:16" s="6" customFormat="1"/>
    <row r="15" spans="1:16" ht="21">
      <c r="F15" s="11"/>
    </row>
    <row r="16" spans="1:16" ht="15.6">
      <c r="F16" s="12" t="s">
        <v>3</v>
      </c>
    </row>
    <row r="17" spans="6:27">
      <c r="F17" s="13" t="s">
        <v>4</v>
      </c>
    </row>
    <row r="18" spans="6:27">
      <c r="F18" s="14" t="s">
        <v>5</v>
      </c>
    </row>
    <row r="19" spans="6:27" ht="15">
      <c r="F19" s="14"/>
      <c r="AA19" s="15"/>
    </row>
    <row r="20" spans="6:27" ht="15.6">
      <c r="F20" s="12" t="s">
        <v>6</v>
      </c>
    </row>
    <row r="21" spans="6:27" ht="13.8">
      <c r="F21" s="16" t="s">
        <v>7</v>
      </c>
    </row>
    <row r="22" spans="6:27">
      <c r="F22" s="14" t="s">
        <v>8</v>
      </c>
    </row>
    <row r="23" spans="6:27">
      <c r="F23" s="14"/>
    </row>
    <row r="24" spans="6:27" ht="15.6">
      <c r="F24" s="12" t="s">
        <v>9</v>
      </c>
    </row>
    <row r="25" spans="6:27">
      <c r="F25" s="13" t="s">
        <v>10</v>
      </c>
    </row>
    <row r="26" spans="6:27">
      <c r="F26" s="14"/>
    </row>
    <row r="27" spans="6:27" ht="15.6">
      <c r="F27" s="12" t="s">
        <v>11</v>
      </c>
    </row>
    <row r="28" spans="6:27">
      <c r="F28" s="13" t="s">
        <v>12</v>
      </c>
    </row>
    <row r="29" spans="6:27">
      <c r="F29" s="14"/>
    </row>
    <row r="30" spans="6:27" ht="15.6">
      <c r="F30" s="12" t="s">
        <v>13</v>
      </c>
    </row>
    <row r="31" spans="6:27">
      <c r="F31" s="13" t="s">
        <v>14</v>
      </c>
    </row>
    <row r="33" spans="6:6" ht="15.6">
      <c r="F33" s="12" t="s">
        <v>15</v>
      </c>
    </row>
    <row r="34" spans="6:6">
      <c r="F34" s="13" t="s">
        <v>16</v>
      </c>
    </row>
  </sheetData>
  <hyperlinks>
    <hyperlink ref="F17" r:id="rId1" xr:uid="{EE674E5A-66DE-4E5D-8CAD-69419E741064}"/>
    <hyperlink ref="F21" r:id="rId2" xr:uid="{98EC1EA4-108D-4CC4-A9E5-2435A92A34BB}"/>
    <hyperlink ref="F25" r:id="rId3" xr:uid="{E45FB97B-4B61-4AAD-B056-513C67908855}"/>
    <hyperlink ref="F28" r:id="rId4" xr:uid="{BDD46581-4803-4EA4-927F-7AFC378CCBE5}"/>
    <hyperlink ref="F31" r:id="rId5" xr:uid="{037FC218-502D-4605-AE59-AE22F8E56174}"/>
    <hyperlink ref="F34" r:id="rId6" xr:uid="{2EBB650E-63F3-451C-B141-9C17526CDAC7}"/>
  </hyperlinks>
  <pageMargins left="0.7" right="0.7" top="0.75" bottom="0.75" header="0.3" footer="0.3"/>
  <pageSetup orientation="portrait" r:id="rId7"/>
  <customProperties>
    <customPr name="Qube.Worksheet.Visibility" r:id="rId8"/>
  </customProperties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2F9C4-8291-4E96-B0B8-3E32889BFFE8}">
  <sheetPr>
    <tabColor rgb="FF0000FF"/>
    <pageSetUpPr autoPageBreaks="0" fitToPage="1"/>
  </sheetPr>
  <dimension ref="A1:EK394"/>
  <sheetViews>
    <sheetView zoomScale="110" zoomScaleNormal="110" workbookViewId="0">
      <pane xSplit="1" ySplit="4" topLeftCell="CJ5" activePane="bottomRight" state="frozen"/>
      <selection activeCell="C22" sqref="C22"/>
      <selection pane="topRight" activeCell="C22" sqref="C22"/>
      <selection pane="bottomLeft" activeCell="C22" sqref="C22"/>
      <selection pane="bottomRight"/>
    </sheetView>
  </sheetViews>
  <sheetFormatPr defaultColWidth="9.109375" defaultRowHeight="10.199999999999999" outlineLevelRow="2" outlineLevelCol="1"/>
  <cols>
    <col min="1" max="1" width="15.6640625" style="27" customWidth="1"/>
    <col min="2" max="2" width="6.5546875" style="27" customWidth="1" outlineLevel="1"/>
    <col min="3" max="4" width="6.5546875" style="27" bestFit="1" customWidth="1" outlineLevel="1"/>
    <col min="5" max="5" width="7.33203125" style="27" bestFit="1" customWidth="1" outlineLevel="1"/>
    <col min="6" max="7" width="6.5546875" style="27" bestFit="1" customWidth="1" outlineLevel="1"/>
    <col min="8" max="8" width="7.33203125" style="27" bestFit="1" customWidth="1" outlineLevel="1"/>
    <col min="9" max="14" width="6.5546875" style="27" bestFit="1" customWidth="1" outlineLevel="1"/>
    <col min="15" max="15" width="7.33203125" style="27" bestFit="1" customWidth="1" outlineLevel="1"/>
    <col min="16" max="16" width="6.5546875" style="27" bestFit="1" customWidth="1" outlineLevel="1"/>
    <col min="17" max="20" width="6.6640625" style="27" bestFit="1" customWidth="1" outlineLevel="1"/>
    <col min="21" max="21" width="6.5546875" style="27" bestFit="1" customWidth="1" outlineLevel="1"/>
    <col min="22" max="22" width="6.5546875" style="27" customWidth="1" outlineLevel="1"/>
    <col min="23" max="23" width="6.5546875" style="27" bestFit="1" customWidth="1" outlineLevel="1"/>
    <col min="24" max="27" width="6.6640625" style="27" bestFit="1" customWidth="1" outlineLevel="1"/>
    <col min="28" max="29" width="6.5546875" style="27" bestFit="1" customWidth="1" outlineLevel="1"/>
    <col min="30" max="30" width="7.44140625" style="27" bestFit="1" customWidth="1" outlineLevel="1"/>
    <col min="31" max="32" width="6.5546875" style="27" bestFit="1" customWidth="1" outlineLevel="1"/>
    <col min="33" max="33" width="7.33203125" style="27" bestFit="1" customWidth="1" outlineLevel="1"/>
    <col min="34" max="34" width="7.44140625" style="27" bestFit="1" customWidth="1" outlineLevel="1"/>
    <col min="35" max="37" width="6.5546875" style="27" bestFit="1" customWidth="1" outlineLevel="1"/>
    <col min="38" max="38" width="7.44140625" style="27" bestFit="1" customWidth="1" outlineLevel="1"/>
    <col min="39" max="40" width="6.5546875" style="27" bestFit="1" customWidth="1" outlineLevel="1"/>
    <col min="41" max="41" width="7.5546875" style="27" bestFit="1" customWidth="1" outlineLevel="1"/>
    <col min="42" max="42" width="7.44140625" style="27" bestFit="1" customWidth="1" outlineLevel="1"/>
    <col min="43" max="45" width="6.5546875" style="27" bestFit="1" customWidth="1" outlineLevel="1"/>
    <col min="46" max="46" width="7.44140625" style="27" customWidth="1" outlineLevel="1"/>
    <col min="47" max="49" width="6.5546875" style="27" bestFit="1" customWidth="1" outlineLevel="1"/>
    <col min="50" max="50" width="7.44140625" style="27" bestFit="1" customWidth="1" outlineLevel="1"/>
    <col min="51" max="53" width="6.5546875" style="27" bestFit="1" customWidth="1" outlineLevel="1"/>
    <col min="54" max="54" width="6.33203125" style="27" bestFit="1" customWidth="1" outlineLevel="1"/>
    <col min="55" max="57" width="6.5546875" style="27" bestFit="1" customWidth="1" outlineLevel="1"/>
    <col min="58" max="58" width="6.33203125" style="27" bestFit="1" customWidth="1" outlineLevel="1"/>
    <col min="59" max="59" width="6.5546875" style="27" bestFit="1" customWidth="1" outlineLevel="1"/>
    <col min="60" max="65" width="6.6640625" style="27" bestFit="1" customWidth="1" outlineLevel="1"/>
    <col min="66" max="66" width="7.44140625" style="27" bestFit="1" customWidth="1" outlineLevel="1"/>
    <col min="67" max="69" width="6.6640625" style="27" bestFit="1" customWidth="1" outlineLevel="1"/>
    <col min="70" max="79" width="6.6640625" style="27" bestFit="1" customWidth="1"/>
    <col min="80" max="81" width="6.5546875" style="27" bestFit="1" customWidth="1"/>
    <col min="82" max="82" width="6.33203125" style="27" bestFit="1" customWidth="1"/>
    <col min="83" max="83" width="6.5546875" style="27" customWidth="1"/>
    <col min="84" max="85" width="6.5546875" style="27" bestFit="1" customWidth="1"/>
    <col min="86" max="86" width="6.33203125" style="27" bestFit="1" customWidth="1"/>
    <col min="87" max="89" width="6.5546875" style="27" bestFit="1" customWidth="1"/>
    <col min="90" max="90" width="6.33203125" style="27" bestFit="1" customWidth="1"/>
    <col min="91" max="91" width="6.5546875" style="27" bestFit="1" customWidth="1"/>
    <col min="92" max="92" width="6.6640625" style="27" bestFit="1" customWidth="1"/>
    <col min="93" max="93" width="6.5546875" style="27" customWidth="1"/>
    <col min="94" max="94" width="6.33203125" style="27" bestFit="1" customWidth="1"/>
    <col min="95" max="97" width="6.5546875" style="27" bestFit="1" customWidth="1"/>
    <col min="98" max="98" width="6.88671875" style="27" customWidth="1"/>
    <col min="99" max="99" width="6.88671875" style="27" bestFit="1" customWidth="1"/>
    <col min="100" max="100" width="7.44140625" style="27" bestFit="1" customWidth="1"/>
    <col min="101" max="105" width="7.33203125" style="27" bestFit="1" customWidth="1"/>
    <col min="106" max="109" width="6.88671875" style="27" customWidth="1"/>
    <col min="110" max="110" width="1.6640625" style="27" customWidth="1" outlineLevel="1"/>
    <col min="111" max="111" width="1.6640625" style="27" customWidth="1"/>
    <col min="112" max="112" width="5.44140625" style="27" hidden="1" customWidth="1" outlineLevel="1"/>
    <col min="113" max="113" width="6.33203125" style="27" hidden="1" customWidth="1" outlineLevel="1"/>
    <col min="114" max="115" width="6.88671875" style="27" hidden="1" customWidth="1" outlineLevel="1"/>
    <col min="116" max="116" width="7.109375" style="27" hidden="1" customWidth="1" outlineLevel="1"/>
    <col min="117" max="117" width="7" style="27" hidden="1" customWidth="1" outlineLevel="1"/>
    <col min="118" max="120" width="7.88671875" style="27" hidden="1" customWidth="1" outlineLevel="1"/>
    <col min="121" max="122" width="6.88671875" style="27" hidden="1" customWidth="1" outlineLevel="1"/>
    <col min="123" max="123" width="6" style="27" hidden="1" customWidth="1" outlineLevel="1"/>
    <col min="124" max="124" width="6.5546875" style="27" hidden="1" customWidth="1" outlineLevel="1"/>
    <col min="125" max="126" width="6.33203125" style="27" hidden="1" customWidth="1" outlineLevel="1" collapsed="1"/>
    <col min="127" max="128" width="6.33203125" style="27" hidden="1" customWidth="1" outlineLevel="1"/>
    <col min="129" max="129" width="5.5546875" style="27" customWidth="1" collapsed="1"/>
    <col min="130" max="130" width="6.33203125" style="27" bestFit="1" customWidth="1"/>
    <col min="131" max="132" width="6" style="27" bestFit="1" customWidth="1"/>
    <col min="133" max="133" width="6.109375" style="27" bestFit="1" customWidth="1"/>
    <col min="134" max="134" width="6.44140625" style="27" bestFit="1" customWidth="1"/>
    <col min="135" max="138" width="6.6640625" style="27" bestFit="1" customWidth="1"/>
    <col min="139" max="139" width="1" style="27" customWidth="1"/>
    <col min="140" max="140" width="1.33203125" style="27" customWidth="1"/>
    <col min="141" max="16384" width="9.109375" style="27"/>
  </cols>
  <sheetData>
    <row r="1" spans="1:141" s="17" customFormat="1" ht="11.25" customHeight="1"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9"/>
      <c r="Z1" s="18"/>
      <c r="AA1" s="18"/>
      <c r="AB1" s="18"/>
      <c r="AC1" s="18"/>
      <c r="AD1" s="18"/>
      <c r="AE1" s="18"/>
      <c r="AF1" s="18"/>
      <c r="AG1" s="18"/>
      <c r="AH1" s="18"/>
      <c r="AI1" s="20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21"/>
      <c r="AX1" s="18"/>
      <c r="AY1" s="21"/>
      <c r="AZ1" s="22"/>
      <c r="BA1" s="21"/>
      <c r="BB1" s="18"/>
      <c r="BC1" s="21"/>
      <c r="BD1" s="22"/>
      <c r="BE1" s="21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3"/>
      <c r="BT1" s="24"/>
      <c r="BU1" s="24"/>
      <c r="BV1" s="21" t="str">
        <f>"FY"&amp;BZ3</f>
      </c>
      <c r="BW1" s="21" t="str">
        <f>"FY"&amp;CA3</f>
      </c>
      <c r="BX1" s="21" t="str">
        <f>"FY"&amp;CB3</f>
      </c>
      <c r="BY1" s="21" t="str">
        <f>"FY"&amp;CC3</f>
      </c>
      <c r="BZ1" s="21" t="str">
        <f>"FY"&amp;CD3</f>
      </c>
      <c r="CA1" s="21" t="s">
        <v>17</v>
      </c>
      <c r="CB1" s="21" t="s">
        <v>18</v>
      </c>
      <c r="CC1" s="21" t="s">
        <v>19</v>
      </c>
      <c r="CD1" s="21" t="s">
        <v>20</v>
      </c>
      <c r="CE1" s="21" t="s">
        <v>21</v>
      </c>
      <c r="CF1" s="21" t="s">
        <v>22</v>
      </c>
      <c r="CG1" s="21" t="s">
        <v>23</v>
      </c>
      <c r="CH1" s="21" t="s">
        <v>24</v>
      </c>
      <c r="CI1" s="21" t="s">
        <v>25</v>
      </c>
      <c r="CJ1" s="21" t="s">
        <v>26</v>
      </c>
      <c r="CK1" s="21" t="s">
        <v>27</v>
      </c>
      <c r="CL1" s="21" t="s">
        <v>28</v>
      </c>
      <c r="CM1" s="21" t="s">
        <v>29</v>
      </c>
      <c r="CN1" s="21" t="s">
        <v>30</v>
      </c>
      <c r="CO1" s="21" t="s">
        <v>31</v>
      </c>
      <c r="CP1" s="21" t="s">
        <v>32</v>
      </c>
      <c r="CQ1" s="21" t="s">
        <v>33</v>
      </c>
      <c r="CR1" s="21" t="s">
        <v>34</v>
      </c>
      <c r="CS1" s="21" t="s">
        <v>35</v>
      </c>
      <c r="CT1" s="21" t="s">
        <v>36</v>
      </c>
      <c r="CU1" s="21" t="s">
        <v>37</v>
      </c>
      <c r="CV1" s="21" t="s">
        <v>38</v>
      </c>
      <c r="CW1" s="21" t="s">
        <v>39</v>
      </c>
      <c r="CX1" s="21" t="s">
        <v>40</v>
      </c>
      <c r="CY1" s="21" t="s">
        <v>41</v>
      </c>
      <c r="CZ1" s="21" t="s">
        <v>42</v>
      </c>
      <c r="DA1" s="21" t="s">
        <v>43</v>
      </c>
      <c r="DB1" s="21" t="s">
        <v>44</v>
      </c>
      <c r="DC1" s="21" t="s">
        <v>45</v>
      </c>
      <c r="DD1" s="21" t="s">
        <v>46</v>
      </c>
      <c r="DE1" s="21" t="s">
        <v>47</v>
      </c>
      <c r="DH1" s="25"/>
      <c r="DI1" s="25"/>
      <c r="DJ1" s="25"/>
      <c r="DK1" s="25"/>
      <c r="DL1" s="25"/>
      <c r="DM1" s="25"/>
      <c r="DN1" s="25"/>
      <c r="DO1" s="25"/>
      <c r="DP1" s="25"/>
      <c r="DQ1" s="25"/>
      <c r="DR1" s="25"/>
      <c r="DS1" s="25"/>
      <c r="DT1" s="25"/>
      <c r="DU1" s="25" t="s">
        <v>48</v>
      </c>
      <c r="DV1" s="25" t="s">
        <v>49</v>
      </c>
      <c r="DW1" s="25" t="s">
        <v>50</v>
      </c>
      <c r="DX1" s="26" t="s">
        <v>51</v>
      </c>
      <c r="DY1" s="25" t="s">
        <v>52</v>
      </c>
      <c r="DZ1" s="25" t="s">
        <v>53</v>
      </c>
      <c r="EA1" s="25" t="s">
        <v>54</v>
      </c>
      <c r="EB1" s="25" t="s">
        <v>55</v>
      </c>
      <c r="EC1" s="25" t="s">
        <v>56</v>
      </c>
      <c r="ED1" s="25" t="s">
        <v>57</v>
      </c>
      <c r="EE1" s="25" t="s">
        <v>58</v>
      </c>
      <c r="EF1" s="25" t="s">
        <v>59</v>
      </c>
      <c r="EG1" s="25" t="s">
        <v>60</v>
      </c>
      <c r="EH1" s="25" t="s">
        <v>61</v>
      </c>
    </row>
    <row r="2" spans="1:141" ht="11.25" customHeight="1"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21">
        <f>SUM(AB5:AE5)</f>
      </c>
      <c r="AF2" s="21">
        <f t="shared" ref="AF2:AL2" si="0">SUM(AC5:AF5)</f>
      </c>
      <c r="AG2" s="21">
        <f t="shared" si="0"/>
      </c>
      <c r="AH2" s="21">
        <f t="shared" si="0"/>
      </c>
      <c r="AI2" s="21">
        <f t="shared" si="0"/>
      </c>
      <c r="AJ2" s="21">
        <f t="shared" si="0"/>
      </c>
      <c r="AK2" s="21">
        <f t="shared" si="0"/>
      </c>
      <c r="AL2" s="21">
        <f t="shared" si="0"/>
      </c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21"/>
      <c r="AX2" s="18"/>
      <c r="AY2" s="21"/>
      <c r="AZ2" s="22"/>
      <c r="BA2" s="21"/>
      <c r="BB2" s="18"/>
      <c r="BC2" s="21"/>
      <c r="BD2" s="22"/>
      <c r="BE2" s="21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3"/>
      <c r="BT2" s="24"/>
      <c r="BU2" s="24"/>
      <c r="BV2" s="24"/>
      <c r="BW2" s="28"/>
      <c r="BX2" s="28"/>
      <c r="BY2" s="29"/>
      <c r="BZ2" s="30" t="s">
        <v>62</v>
      </c>
      <c r="CA2" s="29"/>
      <c r="CC2" s="21"/>
      <c r="CD2" s="31"/>
      <c r="CE2" s="32"/>
      <c r="CF2" s="32"/>
      <c r="CG2" s="31"/>
      <c r="CH2" s="31"/>
      <c r="CI2" s="33"/>
      <c r="CJ2" s="34"/>
      <c r="CK2" s="34"/>
      <c r="CM2" s="35"/>
      <c r="CO2" s="36"/>
      <c r="CP2" s="37"/>
      <c r="CQ2" s="37"/>
      <c r="CR2" s="37"/>
      <c r="CS2" s="37"/>
      <c r="CX2" s="37"/>
      <c r="CY2" s="37"/>
      <c r="CZ2" s="37"/>
      <c r="DA2" s="37"/>
      <c r="DB2" s="37"/>
      <c r="DC2" s="37"/>
      <c r="DD2" s="37"/>
      <c r="DE2" s="37"/>
      <c r="DH2" s="38"/>
      <c r="DI2" s="38"/>
      <c r="DJ2" s="38"/>
      <c r="DK2" s="38"/>
      <c r="DL2" s="38"/>
      <c r="DM2" s="38"/>
      <c r="DN2" s="38"/>
      <c r="DO2" s="38"/>
      <c r="DP2" s="38"/>
      <c r="DQ2" s="38"/>
      <c r="DR2" s="38"/>
      <c r="DS2" s="38"/>
      <c r="DT2" s="38"/>
      <c r="DU2" s="38"/>
      <c r="DV2" s="38"/>
      <c r="DW2" s="38"/>
      <c r="DX2" s="35"/>
      <c r="DY2" s="35"/>
      <c r="DZ2" s="35"/>
      <c r="EA2" s="35"/>
      <c r="EB2" s="35"/>
      <c r="EC2" s="35"/>
      <c r="ED2" s="35"/>
      <c r="EE2" s="35"/>
      <c r="EF2" s="35"/>
      <c r="EG2" s="35"/>
      <c r="EH2" s="35"/>
    </row>
    <row r="3" spans="1:141">
      <c r="A3" s="39"/>
      <c r="B3" s="39" t="s">
        <v>63</v>
      </c>
      <c r="C3" s="39" t="s">
        <v>64</v>
      </c>
      <c r="D3" s="39" t="s">
        <v>65</v>
      </c>
      <c r="E3" s="39" t="s">
        <v>66</v>
      </c>
      <c r="F3" s="39" t="s">
        <v>67</v>
      </c>
      <c r="G3" s="39" t="s">
        <v>68</v>
      </c>
      <c r="H3" s="39" t="s">
        <v>69</v>
      </c>
      <c r="I3" s="39" t="s">
        <v>70</v>
      </c>
      <c r="J3" s="39" t="s">
        <v>71</v>
      </c>
      <c r="K3" s="39" t="s">
        <v>72</v>
      </c>
      <c r="L3" s="39" t="s">
        <v>73</v>
      </c>
      <c r="M3" s="39" t="s">
        <v>74</v>
      </c>
      <c r="N3" s="39" t="s">
        <v>75</v>
      </c>
      <c r="O3" s="39" t="s">
        <v>76</v>
      </c>
      <c r="P3" s="39" t="s">
        <v>77</v>
      </c>
      <c r="Q3" s="39" t="s">
        <v>78</v>
      </c>
      <c r="R3" s="39" t="s">
        <v>79</v>
      </c>
      <c r="S3" s="39" t="s">
        <v>80</v>
      </c>
      <c r="T3" s="39" t="s">
        <v>81</v>
      </c>
      <c r="U3" s="39" t="s">
        <v>82</v>
      </c>
      <c r="V3" s="39" t="s">
        <v>83</v>
      </c>
      <c r="W3" s="39" t="s">
        <v>84</v>
      </c>
      <c r="X3" s="39" t="s">
        <v>85</v>
      </c>
      <c r="Y3" s="39" t="s">
        <v>86</v>
      </c>
      <c r="Z3" s="39" t="s">
        <v>87</v>
      </c>
      <c r="AA3" s="39" t="s">
        <v>88</v>
      </c>
      <c r="AB3" s="39" t="s">
        <v>89</v>
      </c>
      <c r="AC3" s="40" t="s">
        <v>90</v>
      </c>
      <c r="AD3" s="39" t="s">
        <v>91</v>
      </c>
      <c r="AE3" s="39" t="s">
        <v>92</v>
      </c>
      <c r="AF3" s="39" t="s">
        <v>93</v>
      </c>
      <c r="AG3" s="39" t="s">
        <v>94</v>
      </c>
      <c r="AH3" s="39" t="s">
        <v>95</v>
      </c>
      <c r="AI3" s="39" t="s">
        <v>96</v>
      </c>
      <c r="AJ3" s="39" t="s">
        <v>97</v>
      </c>
      <c r="AK3" s="39" t="s">
        <v>98</v>
      </c>
      <c r="AL3" s="39" t="s">
        <v>99</v>
      </c>
      <c r="AM3" s="39" t="s">
        <v>100</v>
      </c>
      <c r="AN3" s="39" t="s">
        <v>101</v>
      </c>
      <c r="AO3" s="39" t="s">
        <v>102</v>
      </c>
      <c r="AP3" s="39" t="s">
        <v>103</v>
      </c>
      <c r="AQ3" s="39" t="s">
        <v>104</v>
      </c>
      <c r="AR3" s="39" t="s">
        <v>105</v>
      </c>
      <c r="AS3" s="39" t="s">
        <v>106</v>
      </c>
      <c r="AT3" s="39" t="s">
        <v>107</v>
      </c>
      <c r="AU3" s="39" t="s">
        <v>108</v>
      </c>
      <c r="AV3" s="39" t="s">
        <v>109</v>
      </c>
      <c r="AW3" s="39" t="s">
        <v>110</v>
      </c>
      <c r="AX3" s="39" t="s">
        <v>111</v>
      </c>
      <c r="AY3" s="39" t="s">
        <v>112</v>
      </c>
      <c r="AZ3" s="39" t="s">
        <v>113</v>
      </c>
      <c r="BA3" s="39" t="s">
        <v>114</v>
      </c>
      <c r="BB3" s="39" t="s">
        <v>115</v>
      </c>
      <c r="BC3" s="39" t="s">
        <v>116</v>
      </c>
      <c r="BD3" s="39" t="s">
        <v>117</v>
      </c>
      <c r="BE3" s="39" t="s">
        <v>118</v>
      </c>
      <c r="BF3" s="39" t="s">
        <v>119</v>
      </c>
      <c r="BG3" s="39" t="s">
        <v>120</v>
      </c>
      <c r="BH3" s="39" t="s">
        <v>121</v>
      </c>
      <c r="BI3" s="39" t="s">
        <v>122</v>
      </c>
      <c r="BJ3" s="39" t="s">
        <v>123</v>
      </c>
      <c r="BK3" s="39" t="s">
        <v>124</v>
      </c>
      <c r="BL3" s="39" t="s">
        <v>125</v>
      </c>
      <c r="BM3" s="39" t="s">
        <v>126</v>
      </c>
      <c r="BN3" s="39" t="s">
        <v>127</v>
      </c>
      <c r="BO3" s="39" t="s">
        <v>128</v>
      </c>
      <c r="BP3" s="39" t="s">
        <v>129</v>
      </c>
      <c r="BQ3" s="39" t="s">
        <v>130</v>
      </c>
      <c r="BR3" s="39" t="s">
        <v>131</v>
      </c>
      <c r="BS3" s="39" t="s">
        <v>132</v>
      </c>
      <c r="BT3" s="39" t="s">
        <v>133</v>
      </c>
      <c r="BU3" s="39" t="s">
        <v>134</v>
      </c>
      <c r="BV3" s="39" t="s">
        <v>135</v>
      </c>
      <c r="BW3" s="39" t="s">
        <v>136</v>
      </c>
      <c r="BX3" s="39" t="s">
        <v>137</v>
      </c>
      <c r="BY3" s="39" t="s">
        <v>138</v>
      </c>
      <c r="BZ3" s="39" t="s">
        <v>139</v>
      </c>
      <c r="CA3" s="39" t="s">
        <v>140</v>
      </c>
      <c r="CB3" s="39" t="s">
        <v>141</v>
      </c>
      <c r="CC3" s="39" t="s">
        <v>142</v>
      </c>
      <c r="CD3" s="39" t="s">
        <v>143</v>
      </c>
      <c r="CE3" s="39" t="s">
        <v>144</v>
      </c>
      <c r="CF3" s="39" t="s">
        <v>145</v>
      </c>
      <c r="CG3" s="39" t="s">
        <v>146</v>
      </c>
      <c r="CH3" s="39" t="s">
        <v>147</v>
      </c>
      <c r="CI3" s="39" t="s">
        <v>148</v>
      </c>
      <c r="CJ3" s="39" t="s">
        <v>149</v>
      </c>
      <c r="CK3" s="39" t="s">
        <v>150</v>
      </c>
      <c r="CL3" s="39" t="s">
        <v>151</v>
      </c>
      <c r="CM3" s="39" t="s">
        <v>152</v>
      </c>
      <c r="CN3" s="39" t="s">
        <v>153</v>
      </c>
      <c r="CO3" s="39" t="s">
        <v>154</v>
      </c>
      <c r="CP3" s="39" t="s">
        <v>155</v>
      </c>
      <c r="CQ3" s="39" t="s">
        <v>156</v>
      </c>
      <c r="CR3" s="39" t="s">
        <v>157</v>
      </c>
      <c r="CS3" s="39" t="s">
        <v>158</v>
      </c>
      <c r="CT3" s="39" t="s">
        <v>159</v>
      </c>
      <c r="CU3" s="39" t="s">
        <v>160</v>
      </c>
      <c r="CV3" s="39" t="s">
        <v>161</v>
      </c>
      <c r="CW3" s="39" t="s">
        <v>162</v>
      </c>
      <c r="CX3" s="39" t="s">
        <v>163</v>
      </c>
      <c r="CY3" s="39" t="s">
        <v>164</v>
      </c>
      <c r="CZ3" s="39" t="s">
        <v>165</v>
      </c>
      <c r="DA3" s="39" t="s">
        <v>166</v>
      </c>
      <c r="DB3" s="39" t="s">
        <v>167</v>
      </c>
      <c r="DC3" s="39" t="s">
        <v>168</v>
      </c>
      <c r="DD3" s="39" t="s">
        <v>169</v>
      </c>
      <c r="DE3" s="39" t="s">
        <v>170</v>
      </c>
      <c r="DH3" s="680" t="s">
        <v>171</v>
      </c>
      <c r="DI3" s="680"/>
      <c r="DJ3" s="680"/>
      <c r="DK3" s="680"/>
      <c r="DL3" s="680"/>
      <c r="DM3" s="680"/>
      <c r="DN3" s="680"/>
      <c r="DO3" s="680"/>
      <c r="DP3" s="680"/>
      <c r="DQ3" s="680"/>
      <c r="DR3" s="680"/>
      <c r="DS3" s="680"/>
      <c r="DT3" s="680"/>
      <c r="DU3" s="680"/>
      <c r="DV3" s="680"/>
      <c r="DW3" s="680"/>
      <c r="DX3" s="680"/>
      <c r="DY3" s="680"/>
      <c r="DZ3" s="680"/>
      <c r="EA3" s="680"/>
      <c r="EB3" s="680"/>
      <c r="EC3" s="680"/>
      <c r="ED3" s="680"/>
      <c r="EE3" s="680"/>
      <c r="EF3" s="680"/>
      <c r="EG3" s="680"/>
      <c r="EH3" s="41"/>
    </row>
    <row r="4" spans="1:141">
      <c r="A4" s="42" t="s">
        <v>172</v>
      </c>
      <c r="B4" s="43">
        <v>37010</v>
      </c>
      <c r="C4" s="43">
        <v>37101</v>
      </c>
      <c r="D4" s="43">
        <v>37192</v>
      </c>
      <c r="E4" s="43">
        <v>37283</v>
      </c>
      <c r="F4" s="43">
        <v>37374</v>
      </c>
      <c r="G4" s="43">
        <v>37465</v>
      </c>
      <c r="H4" s="43">
        <v>37556</v>
      </c>
      <c r="I4" s="43">
        <v>37647</v>
      </c>
      <c r="J4" s="43">
        <v>37741</v>
      </c>
      <c r="K4" s="44">
        <v>37833</v>
      </c>
      <c r="L4" s="44">
        <v>37925</v>
      </c>
      <c r="M4" s="44">
        <v>38017</v>
      </c>
      <c r="N4" s="44">
        <v>38102</v>
      </c>
      <c r="O4" s="44">
        <v>38199</v>
      </c>
      <c r="P4" s="44">
        <v>38291</v>
      </c>
      <c r="Q4" s="44">
        <v>38383</v>
      </c>
      <c r="R4" s="44">
        <v>38443</v>
      </c>
      <c r="S4" s="44">
        <v>38564</v>
      </c>
      <c r="T4" s="44">
        <v>38656</v>
      </c>
      <c r="U4" s="44">
        <v>38748</v>
      </c>
      <c r="V4" s="44">
        <v>38837</v>
      </c>
      <c r="W4" s="44">
        <v>38928</v>
      </c>
      <c r="X4" s="44">
        <v>39019</v>
      </c>
      <c r="Y4" s="45">
        <v>39113</v>
      </c>
      <c r="Z4" s="43">
        <v>39201</v>
      </c>
      <c r="AA4" s="44">
        <v>39294</v>
      </c>
      <c r="AB4" s="44">
        <v>39386</v>
      </c>
      <c r="AC4" s="44">
        <v>39478</v>
      </c>
      <c r="AD4" s="43" t="s">
        <v>173</v>
      </c>
      <c r="AE4" s="44">
        <v>39660</v>
      </c>
      <c r="AF4" s="44">
        <v>39752</v>
      </c>
      <c r="AG4" s="44">
        <v>39844</v>
      </c>
      <c r="AH4" s="43" t="s">
        <v>174</v>
      </c>
      <c r="AI4" s="44">
        <v>40025</v>
      </c>
      <c r="AJ4" s="44">
        <v>40117</v>
      </c>
      <c r="AK4" s="44">
        <v>40209</v>
      </c>
      <c r="AL4" s="43" t="s">
        <v>175</v>
      </c>
      <c r="AM4" s="44">
        <v>40390</v>
      </c>
      <c r="AN4" s="44">
        <v>40482</v>
      </c>
      <c r="AO4" s="44">
        <v>40574</v>
      </c>
      <c r="AP4" s="43" t="s">
        <v>176</v>
      </c>
      <c r="AQ4" s="44">
        <v>40755</v>
      </c>
      <c r="AR4" s="44">
        <v>40847</v>
      </c>
      <c r="AS4" s="44">
        <v>40939</v>
      </c>
      <c r="AT4" s="43" t="s">
        <v>177</v>
      </c>
      <c r="AU4" s="44">
        <v>41121</v>
      </c>
      <c r="AV4" s="44">
        <v>41213</v>
      </c>
      <c r="AW4" s="44">
        <v>41305</v>
      </c>
      <c r="AX4" s="43" t="s">
        <v>178</v>
      </c>
      <c r="AY4" s="44">
        <v>41486</v>
      </c>
      <c r="AZ4" s="44">
        <v>41578</v>
      </c>
      <c r="BA4" s="44">
        <v>41670</v>
      </c>
      <c r="BB4" s="43" t="s">
        <v>179</v>
      </c>
      <c r="BC4" s="44">
        <v>41851</v>
      </c>
      <c r="BD4" s="44">
        <v>41943</v>
      </c>
      <c r="BE4" s="44">
        <v>42035</v>
      </c>
      <c r="BF4" s="43" t="s">
        <v>180</v>
      </c>
      <c r="BG4" s="44">
        <v>42216</v>
      </c>
      <c r="BH4" s="44">
        <v>42308</v>
      </c>
      <c r="BI4" s="44">
        <v>42400</v>
      </c>
      <c r="BJ4" s="43" t="s">
        <v>181</v>
      </c>
      <c r="BK4" s="44">
        <v>42582</v>
      </c>
      <c r="BL4" s="44">
        <v>42674</v>
      </c>
      <c r="BM4" s="44">
        <v>42766</v>
      </c>
      <c r="BN4" s="43" t="s">
        <v>182</v>
      </c>
      <c r="BO4" s="44">
        <v>42947</v>
      </c>
      <c r="BP4" s="44">
        <v>43039</v>
      </c>
      <c r="BQ4" s="44">
        <v>43131</v>
      </c>
      <c r="BR4" s="43" t="s">
        <v>183</v>
      </c>
      <c r="BS4" s="44">
        <v>43312</v>
      </c>
      <c r="BT4" s="44">
        <v>43404</v>
      </c>
      <c r="BU4" s="44">
        <v>43496</v>
      </c>
      <c r="BV4" s="43" t="s">
        <v>184</v>
      </c>
      <c r="BW4" s="44">
        <v>43677</v>
      </c>
      <c r="BX4" s="44">
        <v>43769</v>
      </c>
      <c r="BY4" s="44">
        <v>43861</v>
      </c>
      <c r="BZ4" s="43" t="s">
        <v>185</v>
      </c>
      <c r="CA4" s="44">
        <v>44043</v>
      </c>
      <c r="CB4" s="44">
        <v>44135</v>
      </c>
      <c r="CC4" s="44">
        <v>44227</v>
      </c>
      <c r="CD4" s="43" t="s">
        <v>186</v>
      </c>
      <c r="CE4" s="44">
        <v>44408</v>
      </c>
      <c r="CF4" s="44">
        <v>44500</v>
      </c>
      <c r="CG4" s="44">
        <v>44592</v>
      </c>
      <c r="CH4" s="43" t="s">
        <v>187</v>
      </c>
      <c r="CI4" s="44">
        <v>44773</v>
      </c>
      <c r="CJ4" s="44">
        <v>44865</v>
      </c>
      <c r="CK4" s="44">
        <v>44957</v>
      </c>
      <c r="CL4" s="43" t="s">
        <v>188</v>
      </c>
      <c r="CM4" s="44">
        <v>45138</v>
      </c>
      <c r="CN4" s="44">
        <v>45230</v>
      </c>
      <c r="CO4" s="44">
        <v>45322</v>
      </c>
      <c r="CP4" s="43" t="s">
        <v>189</v>
      </c>
      <c r="CQ4" s="44">
        <v>45504</v>
      </c>
      <c r="CR4" s="44">
        <v>45596</v>
      </c>
      <c r="CS4" s="44">
        <v>45688</v>
      </c>
      <c r="CT4" s="43" t="s">
        <v>190</v>
      </c>
      <c r="CU4" s="44">
        <v>45869</v>
      </c>
      <c r="CV4" s="44">
        <v>45961</v>
      </c>
      <c r="CW4" s="44">
        <v>46053</v>
      </c>
      <c r="CX4" s="43" t="s">
        <v>191</v>
      </c>
      <c r="CY4" s="44">
        <v>46234</v>
      </c>
      <c r="CZ4" s="44">
        <v>46326</v>
      </c>
      <c r="DA4" s="44">
        <v>46418</v>
      </c>
      <c r="DB4" s="43" t="s">
        <v>191</v>
      </c>
      <c r="DC4" s="44">
        <v>46234</v>
      </c>
      <c r="DD4" s="44">
        <v>46326</v>
      </c>
      <c r="DE4" s="44">
        <v>46418</v>
      </c>
      <c r="DH4" s="46">
        <v>2001</v>
      </c>
      <c r="DI4" s="46">
        <v>2002</v>
      </c>
      <c r="DJ4" s="46">
        <v>2003</v>
      </c>
      <c r="DK4" s="46">
        <v>2004</v>
      </c>
      <c r="DL4" s="46">
        <v>2005</v>
      </c>
      <c r="DM4" s="46">
        <v>2006</v>
      </c>
      <c r="DN4" s="46">
        <v>2007</v>
      </c>
      <c r="DO4" s="46">
        <v>2008</v>
      </c>
      <c r="DP4" s="46">
        <v>2009</v>
      </c>
      <c r="DQ4" s="46">
        <v>2010</v>
      </c>
      <c r="DR4" s="46">
        <v>2011</v>
      </c>
      <c r="DS4" s="46">
        <v>2012</v>
      </c>
      <c r="DT4" s="46">
        <v>2013</v>
      </c>
      <c r="DU4" s="46">
        <v>2014</v>
      </c>
      <c r="DV4" s="46">
        <v>2015</v>
      </c>
      <c r="DW4" s="46">
        <v>2016</v>
      </c>
      <c r="DX4" s="46">
        <v>2017</v>
      </c>
      <c r="DY4" s="46">
        <v>2018</v>
      </c>
      <c r="DZ4" s="46">
        <v>2019</v>
      </c>
      <c r="EA4" s="46">
        <v>2020</v>
      </c>
      <c r="EB4" s="46">
        <v>2021</v>
      </c>
      <c r="EC4" s="46">
        <v>2022</v>
      </c>
      <c r="ED4" s="46">
        <v>2023</v>
      </c>
      <c r="EE4" s="46">
        <v>2024</v>
      </c>
      <c r="EF4" s="46" t="s">
        <v>192</v>
      </c>
      <c r="EG4" s="46" t="s">
        <v>193</v>
      </c>
      <c r="EH4" s="46" t="s">
        <v>194</v>
      </c>
    </row>
    <row r="5" spans="1:141" s="47" customFormat="1" ht="11.25" customHeight="1">
      <c r="A5" s="336" t="s">
        <v>195</v>
      </c>
      <c r="B5" s="35">
        <f>Ticker0027!V7</f>
      </c>
      <c r="C5" s="35">
        <f>Ticker0027!W7</f>
      </c>
      <c r="D5" s="35">
        <f>Ticker0027!X7</f>
      </c>
      <c r="E5" s="35">
        <f>Ticker0027!Y7</f>
      </c>
      <c r="F5" s="35">
        <f>Ticker0027!AA7</f>
      </c>
      <c r="G5" s="35">
        <f>Ticker0027!AB7</f>
      </c>
      <c r="H5" s="35">
        <f>Ticker0027!AC7</f>
      </c>
      <c r="I5" s="35">
        <f>Ticker0027!AD7</f>
      </c>
      <c r="J5" s="35">
        <f>Ticker0027!AF7</f>
      </c>
      <c r="K5" s="35">
        <f>Ticker0027!AG7</f>
      </c>
      <c r="L5" s="35">
        <f>Ticker0027!AH7</f>
      </c>
      <c r="M5" s="35">
        <f>Ticker0027!AI7</f>
      </c>
      <c r="N5" s="35">
        <f>Ticker0027!AK7</f>
      </c>
      <c r="O5" s="35">
        <f>Ticker0027!AL7</f>
      </c>
      <c r="P5" s="35">
        <f>Ticker0027!AM7</f>
      </c>
      <c r="Q5" s="35">
        <f>Ticker0027!AN7</f>
      </c>
      <c r="R5" s="35">
        <f>Ticker0027!AP7</f>
      </c>
      <c r="S5" s="35">
        <f>Ticker0027!AQ7</f>
      </c>
      <c r="T5" s="35">
        <f>Ticker0027!AR7</f>
      </c>
      <c r="U5" s="35">
        <f>Ticker0027!AS7</f>
      </c>
      <c r="V5" s="35">
        <f>Ticker0027!AU7</f>
      </c>
      <c r="W5" s="35">
        <f>Ticker0027!AV7</f>
      </c>
      <c r="X5" s="35">
        <f>Ticker0027!AW7</f>
      </c>
      <c r="Y5" s="35">
        <f>Ticker0027!AX7</f>
      </c>
      <c r="Z5" s="35">
        <f>Ticker0027!AZ7</f>
      </c>
      <c r="AA5" s="35">
        <f>Ticker0027!BA7</f>
      </c>
      <c r="AB5" s="35">
        <f>Ticker0027!BB7</f>
      </c>
      <c r="AC5" s="35">
        <f>Ticker0027!BC7</f>
      </c>
      <c r="AD5" s="35">
        <f>Ticker0027!BE7</f>
      </c>
      <c r="AE5" s="35">
        <f>Ticker0027!BF7</f>
      </c>
      <c r="AF5" s="35">
        <f>Ticker0027!BG7</f>
      </c>
      <c r="AG5" s="35">
        <f>Ticker0027!BH7</f>
      </c>
      <c r="AH5" s="35">
        <f>Ticker0027!BJ7</f>
      </c>
      <c r="AI5" s="35">
        <f>Ticker0027!BK7</f>
      </c>
      <c r="AJ5" s="35">
        <f>Ticker0027!BL7</f>
      </c>
      <c r="AK5" s="35">
        <f>Ticker0027!BM7</f>
      </c>
      <c r="AL5" s="35">
        <f>Ticker0027!BO7</f>
      </c>
      <c r="AM5" s="35">
        <f>Ticker0027!BP7</f>
      </c>
      <c r="AN5" s="35">
        <f>Ticker0027!BQ7</f>
      </c>
      <c r="AO5" s="35">
        <f>Ticker0027!BR7</f>
      </c>
      <c r="AP5" s="35">
        <f>Ticker0027!BT7</f>
      </c>
      <c r="AQ5" s="35">
        <f>Ticker0027!BU7</f>
      </c>
      <c r="AR5" s="35">
        <f>Ticker0027!BV7</f>
      </c>
      <c r="AS5" s="35">
        <f>Ticker0027!BW7</f>
      </c>
      <c r="AT5" s="35">
        <f>Ticker0027!BY7</f>
      </c>
      <c r="AU5" s="35">
        <f>Ticker0027!BZ7</f>
      </c>
      <c r="AV5" s="35">
        <f>Ticker0027!CA7</f>
      </c>
      <c r="AW5" s="35">
        <f>Ticker0027!CB7</f>
      </c>
      <c r="AX5" s="35">
        <f>Ticker0027!CD7</f>
      </c>
      <c r="AY5" s="35">
        <f>Ticker0027!CE7</f>
      </c>
      <c r="AZ5" s="35">
        <f>Ticker0027!CF7</f>
      </c>
      <c r="BA5" s="35">
        <f>Ticker0027!CG7</f>
      </c>
      <c r="BB5" s="35">
        <f>Ticker0027!CI7</f>
      </c>
      <c r="BC5" s="35">
        <f>Ticker0027!CJ7</f>
      </c>
      <c r="BD5" s="35">
        <f>Ticker0027!CK7</f>
      </c>
      <c r="BE5" s="35">
        <f>Ticker0027!CL7</f>
      </c>
      <c r="BF5" s="35">
        <f>Ticker0027!CN7</f>
      </c>
      <c r="BG5" s="35">
        <f>Ticker0027!CO7</f>
      </c>
      <c r="BH5" s="35">
        <f>Ticker0027!CP7</f>
      </c>
      <c r="BI5" s="35">
        <f>Ticker0027!CQ7</f>
      </c>
      <c r="BJ5" s="35">
        <f>Ticker0027!CS7</f>
      </c>
      <c r="BK5" s="337">
        <f>Ticker0027!CT7</f>
      </c>
      <c r="BL5" s="35">
        <f>Ticker0027!CU7</f>
      </c>
      <c r="BM5" s="35">
        <f>Ticker0027!CV7</f>
      </c>
      <c r="BN5" s="35">
        <f>Ticker0027!CX7</f>
      </c>
      <c r="BO5" s="35">
        <f>Ticker0027!CY7</f>
      </c>
      <c r="BP5" s="35">
        <f>Ticker0027!CZ7</f>
      </c>
      <c r="BQ5" s="35">
        <f>Ticker0027!DA7</f>
      </c>
      <c r="BR5" s="35">
        <f>Ticker0027!DC7</f>
      </c>
      <c r="BS5" s="35">
        <f>Ticker0027!DD7</f>
      </c>
      <c r="BT5" s="35">
        <f>Ticker0027!DE7</f>
      </c>
      <c r="BU5" s="35">
        <f>Ticker0027!DF7</f>
      </c>
      <c r="BV5" s="35">
        <f>Ticker0027!DH7</f>
      </c>
      <c r="BW5" s="35">
        <f>Ticker0027!DI7</f>
      </c>
      <c r="BX5" s="35">
        <f>Ticker0027!DJ7</f>
      </c>
      <c r="BY5" s="35">
        <f>Ticker0027!DK7</f>
      </c>
      <c r="BZ5" s="35">
        <f>Ticker0027!DM7</f>
      </c>
      <c r="CA5" s="35">
        <f>Ticker0027!DN7</f>
      </c>
      <c r="CB5" s="35">
        <f>Ticker0027!DO7</f>
      </c>
      <c r="CC5" s="35">
        <f>Ticker0027!DP7</f>
      </c>
      <c r="CD5" s="35">
        <f>Ticker0027!DR7</f>
      </c>
      <c r="CE5" s="35">
        <f>Ticker0027!DS7</f>
      </c>
      <c r="CF5" s="35">
        <f>Ticker0027!DT7</f>
      </c>
      <c r="CG5" s="35">
        <f>Ticker0027!DU7</f>
      </c>
      <c r="CH5" s="35">
        <f>Ticker0027!DW7</f>
      </c>
      <c r="CI5" s="35">
        <f>Ticker0027!DX7</f>
      </c>
      <c r="CJ5" s="35">
        <f>Ticker0027!DY7</f>
      </c>
      <c r="CK5" s="35">
        <f>Ticker0027!DZ7</f>
      </c>
      <c r="CL5" s="35">
        <f>Ticker0027!EB7</f>
      </c>
      <c r="CM5" s="35">
        <f>Ticker0027!EC7</f>
      </c>
      <c r="CN5" s="35">
        <f>Ticker0027!ED7</f>
      </c>
      <c r="CO5" s="35">
        <f>Ticker0027!EE7</f>
      </c>
      <c r="CP5" s="35">
        <f>Ticker0027!EG7</f>
      </c>
      <c r="CQ5" s="35">
        <f>Ticker0027!EH7</f>
      </c>
      <c r="CR5" s="35">
        <f>Ticker0027!EI7</f>
      </c>
      <c r="CS5" s="35">
        <f>Ticker0027!EJ7</f>
      </c>
      <c r="CT5" s="35">
        <f>Ticker0027!EL7</f>
      </c>
      <c r="CU5" s="35">
        <f>Ticker0027!EM7</f>
      </c>
      <c r="CV5" s="338">
        <f t="shared" ref="CV5:DA5" si="1">CV131</f>
      </c>
      <c r="CW5" s="338">
        <f t="shared" si="1"/>
      </c>
      <c r="CX5" s="338">
        <f t="shared" si="1"/>
      </c>
      <c r="CY5" s="338">
        <f t="shared" si="1"/>
      </c>
      <c r="CZ5" s="338">
        <f t="shared" si="1"/>
      </c>
      <c r="DA5" s="338">
        <f t="shared" si="1"/>
      </c>
      <c r="DB5" s="338">
        <f>DB131</f>
      </c>
      <c r="DC5" s="338">
        <f>DC131</f>
      </c>
      <c r="DD5" s="338">
        <f>DD131</f>
      </c>
      <c r="DE5" s="338">
        <f>DE131</f>
      </c>
      <c r="DH5" s="35">
        <f>SUM(B5:E5)</f>
      </c>
      <c r="DI5" s="35">
        <f>SUM(F5:I5)</f>
      </c>
      <c r="DJ5" s="35">
        <f>SUM(J5:M5)</f>
      </c>
      <c r="DK5" s="35">
        <f>SUM(N5:Q5)</f>
      </c>
      <c r="DL5" s="35">
        <f>SUM(R5:U5)</f>
      </c>
      <c r="DM5" s="35">
        <f>SUM(V5:Y5)</f>
      </c>
      <c r="DN5" s="35">
        <f>SUM(Z5:AC5)</f>
      </c>
      <c r="DO5" s="35">
        <f>SUM(AD5:AG5)</f>
      </c>
      <c r="DP5" s="35">
        <f>SUM(AH5:AK5)</f>
      </c>
      <c r="DQ5" s="35">
        <f>SUM(AL5:AO5)</f>
      </c>
      <c r="DR5" s="35">
        <f>SUM(AP5:AS5)</f>
      </c>
      <c r="DS5" s="35">
        <f>SUM(AT5:AW5)</f>
      </c>
      <c r="DT5" s="35">
        <f>SUM(AX5:BA5)</f>
      </c>
      <c r="DU5" s="35">
        <f>SUM(BB5:BE5)</f>
      </c>
      <c r="DV5" s="35">
        <f>SUM(BF5:BI5)</f>
      </c>
      <c r="DW5" s="35">
        <f>SUM(BJ5:BM5)</f>
      </c>
      <c r="DX5" s="35">
        <f>SUM(BN5:BQ5)</f>
      </c>
      <c r="DY5" s="35">
        <f>SUM(BR5:BU5)</f>
      </c>
      <c r="DZ5" s="35">
        <f>BV5+BW5+BX5+BY5</f>
      </c>
      <c r="EA5" s="35">
        <f>CC5+CB5+CA5+BZ5</f>
      </c>
      <c r="EB5" s="35">
        <f>+CD5+CE5+CF5+CG5</f>
      </c>
      <c r="EC5" s="35">
        <f>SUM(CH5:CK5)</f>
      </c>
      <c r="ED5" s="35">
        <f>SUM(CL5:CO5)</f>
      </c>
      <c r="EE5" s="35">
        <f>SUM(CP5:CS5)</f>
      </c>
      <c r="EF5" s="338">
        <f>SUM(CT5:CW5)</f>
      </c>
      <c r="EG5" s="338">
        <f>SUM(CX5:DA5)</f>
      </c>
      <c r="EH5" s="338">
        <f>SUM(DB5:DE5)</f>
      </c>
      <c r="EI5" s="339"/>
    </row>
    <row r="6" spans="1:141" s="49" customFormat="1" ht="11.25" customHeight="1">
      <c r="A6" s="48" t="s">
        <v>196</v>
      </c>
      <c r="C6" s="49">
        <f t="shared" ref="C6:BN6" si="2">C5/B5-1</f>
      </c>
      <c r="D6" s="49">
        <f t="shared" si="2"/>
      </c>
      <c r="E6" s="49">
        <f t="shared" si="2"/>
      </c>
      <c r="F6" s="49">
        <f t="shared" si="2"/>
      </c>
      <c r="G6" s="49">
        <f t="shared" si="2"/>
      </c>
      <c r="H6" s="49">
        <f t="shared" si="2"/>
      </c>
      <c r="I6" s="49">
        <f t="shared" si="2"/>
      </c>
      <c r="J6" s="49">
        <f t="shared" si="2"/>
      </c>
      <c r="K6" s="49">
        <f t="shared" si="2"/>
      </c>
      <c r="L6" s="49">
        <f t="shared" si="2"/>
      </c>
      <c r="M6" s="49">
        <f t="shared" si="2"/>
      </c>
      <c r="N6" s="49">
        <f t="shared" si="2"/>
      </c>
      <c r="O6" s="49">
        <f t="shared" si="2"/>
      </c>
      <c r="P6" s="49">
        <f t="shared" si="2"/>
      </c>
      <c r="Q6" s="49">
        <f t="shared" si="2"/>
      </c>
      <c r="R6" s="49">
        <f t="shared" si="2"/>
      </c>
      <c r="S6" s="49">
        <f t="shared" si="2"/>
      </c>
      <c r="T6" s="49">
        <f t="shared" si="2"/>
      </c>
      <c r="U6" s="49">
        <f t="shared" si="2"/>
      </c>
      <c r="V6" s="49">
        <f t="shared" si="2"/>
      </c>
      <c r="W6" s="49">
        <f t="shared" si="2"/>
      </c>
      <c r="X6" s="49">
        <f t="shared" si="2"/>
      </c>
      <c r="Y6" s="49">
        <f t="shared" si="2"/>
      </c>
      <c r="Z6" s="49">
        <f t="shared" si="2"/>
      </c>
      <c r="AA6" s="49">
        <f t="shared" si="2"/>
      </c>
      <c r="AB6" s="49">
        <f t="shared" si="2"/>
      </c>
      <c r="AC6" s="49">
        <f t="shared" si="2"/>
      </c>
      <c r="AD6" s="49">
        <f t="shared" si="2"/>
      </c>
      <c r="AE6" s="49">
        <f t="shared" si="2"/>
      </c>
      <c r="AF6" s="49">
        <f t="shared" si="2"/>
      </c>
      <c r="AG6" s="49">
        <f t="shared" si="2"/>
      </c>
      <c r="AH6" s="49">
        <f t="shared" si="2"/>
      </c>
      <c r="AI6" s="49">
        <f t="shared" si="2"/>
      </c>
      <c r="AJ6" s="49">
        <f t="shared" si="2"/>
      </c>
      <c r="AK6" s="49">
        <f t="shared" si="2"/>
      </c>
      <c r="AL6" s="49">
        <f t="shared" si="2"/>
      </c>
      <c r="AM6" s="49">
        <f t="shared" si="2"/>
      </c>
      <c r="AN6" s="49">
        <f t="shared" si="2"/>
      </c>
      <c r="AO6" s="49">
        <f t="shared" si="2"/>
      </c>
      <c r="AP6" s="49">
        <f t="shared" si="2"/>
      </c>
      <c r="AQ6" s="49">
        <f t="shared" si="2"/>
      </c>
      <c r="AR6" s="49">
        <f t="shared" si="2"/>
      </c>
      <c r="AS6" s="49">
        <f t="shared" si="2"/>
      </c>
      <c r="AT6" s="49">
        <f t="shared" si="2"/>
      </c>
      <c r="AU6" s="49">
        <f t="shared" si="2"/>
      </c>
      <c r="AV6" s="49">
        <f t="shared" si="2"/>
      </c>
      <c r="AW6" s="49">
        <f t="shared" si="2"/>
      </c>
      <c r="AX6" s="49">
        <f t="shared" si="2"/>
      </c>
      <c r="AY6" s="49">
        <f t="shared" si="2"/>
      </c>
      <c r="AZ6" s="49">
        <f t="shared" si="2"/>
      </c>
      <c r="BA6" s="49">
        <f t="shared" si="2"/>
      </c>
      <c r="BB6" s="49">
        <f t="shared" si="2"/>
      </c>
      <c r="BC6" s="49">
        <f t="shared" si="2"/>
      </c>
      <c r="BD6" s="49">
        <f t="shared" si="2"/>
      </c>
      <c r="BE6" s="49">
        <f t="shared" si="2"/>
      </c>
      <c r="BF6" s="49">
        <f t="shared" si="2"/>
      </c>
      <c r="BG6" s="49">
        <f t="shared" si="2"/>
      </c>
      <c r="BH6" s="49">
        <f t="shared" si="2"/>
      </c>
      <c r="BI6" s="49">
        <f t="shared" si="2"/>
      </c>
      <c r="BJ6" s="49">
        <f t="shared" si="2"/>
      </c>
      <c r="BK6" s="340">
        <f t="shared" si="2"/>
      </c>
      <c r="BL6" s="340">
        <f t="shared" si="2"/>
      </c>
      <c r="BM6" s="49">
        <f t="shared" si="2"/>
      </c>
      <c r="BN6" s="49">
        <f t="shared" si="2"/>
      </c>
      <c r="BO6" s="49">
        <f t="shared" ref="BO6:CL6" si="3">BO5/BN5-1</f>
      </c>
      <c r="BP6" s="49">
        <f t="shared" si="3"/>
      </c>
      <c r="BQ6" s="49">
        <f t="shared" si="3"/>
      </c>
      <c r="BR6" s="49">
        <f t="shared" si="3"/>
      </c>
      <c r="BS6" s="49">
        <f t="shared" si="3"/>
      </c>
      <c r="BT6" s="49">
        <f t="shared" si="3"/>
      </c>
      <c r="BU6" s="49">
        <f t="shared" si="3"/>
      </c>
      <c r="BV6" s="49">
        <f t="shared" si="3"/>
      </c>
      <c r="BW6" s="49">
        <f t="shared" si="3"/>
      </c>
      <c r="BX6" s="49">
        <f t="shared" si="3"/>
      </c>
      <c r="BY6" s="49">
        <f t="shared" si="3"/>
      </c>
      <c r="BZ6" s="49">
        <f t="shared" si="3"/>
      </c>
      <c r="CA6" s="49">
        <f t="shared" si="3"/>
      </c>
      <c r="CB6" s="49">
        <f t="shared" si="3"/>
      </c>
      <c r="CC6" s="49">
        <f t="shared" si="3"/>
      </c>
      <c r="CD6" s="49">
        <f t="shared" si="3"/>
      </c>
      <c r="CE6" s="49">
        <f t="shared" si="3"/>
      </c>
      <c r="CF6" s="49">
        <f t="shared" si="3"/>
      </c>
      <c r="CG6" s="49">
        <f t="shared" si="3"/>
      </c>
      <c r="CH6" s="49">
        <f t="shared" si="3"/>
      </c>
      <c r="CI6" s="49">
        <f t="shared" si="3"/>
      </c>
      <c r="CJ6" s="49">
        <f t="shared" si="3"/>
      </c>
      <c r="CK6" s="49">
        <f t="shared" si="3"/>
      </c>
      <c r="CL6" s="49">
        <f t="shared" si="3"/>
      </c>
      <c r="CM6" s="49">
        <f>CM5/CL5-1</f>
      </c>
      <c r="CN6" s="49">
        <f>CN5/CM5-1</f>
      </c>
      <c r="CO6" s="49">
        <f>CO5/CN5-1</f>
      </c>
      <c r="CP6" s="49">
        <f>CP5/CO5-1</f>
      </c>
      <c r="CQ6" s="49">
        <f t="shared" ref="CQ6:DE6" si="4">CQ5/CP5-1</f>
      </c>
      <c r="CR6" s="49">
        <f t="shared" si="4"/>
      </c>
      <c r="CS6" s="49">
        <f t="shared" si="4"/>
      </c>
      <c r="CT6" s="49">
        <f>CT5/CS5-1</f>
      </c>
      <c r="CU6" s="49">
        <f>CU5/CT5-1</f>
      </c>
      <c r="CV6" s="341">
        <f t="shared" si="4"/>
      </c>
      <c r="CW6" s="341">
        <f t="shared" si="4"/>
      </c>
      <c r="CX6" s="341">
        <f t="shared" si="4"/>
      </c>
      <c r="CY6" s="341">
        <f t="shared" si="4"/>
      </c>
      <c r="CZ6" s="341">
        <f t="shared" si="4"/>
      </c>
      <c r="DA6" s="341">
        <f t="shared" si="4"/>
      </c>
      <c r="DB6" s="341">
        <f t="shared" si="4"/>
      </c>
      <c r="DC6" s="341">
        <f t="shared" si="4"/>
      </c>
      <c r="DD6" s="341">
        <f t="shared" si="4"/>
      </c>
      <c r="DE6" s="341">
        <f t="shared" si="4"/>
      </c>
      <c r="DH6" s="342" t="s">
        <v>197</v>
      </c>
      <c r="DI6" s="342" t="s">
        <v>197</v>
      </c>
      <c r="DJ6" s="342" t="s">
        <v>197</v>
      </c>
      <c r="DK6" s="342" t="s">
        <v>197</v>
      </c>
      <c r="DL6" s="342" t="s">
        <v>197</v>
      </c>
      <c r="DM6" s="342" t="s">
        <v>197</v>
      </c>
      <c r="DN6" s="342" t="s">
        <v>197</v>
      </c>
      <c r="DO6" s="342" t="s">
        <v>197</v>
      </c>
      <c r="DP6" s="342" t="s">
        <v>197</v>
      </c>
      <c r="DQ6" s="342" t="s">
        <v>197</v>
      </c>
      <c r="DR6" s="342" t="s">
        <v>197</v>
      </c>
      <c r="DS6" s="342" t="s">
        <v>197</v>
      </c>
      <c r="DT6" s="342" t="s">
        <v>197</v>
      </c>
      <c r="DU6" s="342" t="s">
        <v>197</v>
      </c>
      <c r="DV6" s="342" t="s">
        <v>197</v>
      </c>
      <c r="DW6" s="342" t="s">
        <v>197</v>
      </c>
      <c r="DX6" s="342" t="s">
        <v>197</v>
      </c>
      <c r="DY6" s="342" t="s">
        <v>197</v>
      </c>
      <c r="DZ6" s="342" t="s">
        <v>197</v>
      </c>
      <c r="EA6" s="342" t="s">
        <v>197</v>
      </c>
      <c r="EB6" s="342" t="s">
        <v>197</v>
      </c>
      <c r="EC6" s="342" t="s">
        <v>197</v>
      </c>
      <c r="ED6" s="342" t="s">
        <v>197</v>
      </c>
      <c r="EE6" s="342" t="s">
        <v>197</v>
      </c>
      <c r="EF6" s="343" t="s">
        <v>197</v>
      </c>
      <c r="EG6" s="343" t="s">
        <v>197</v>
      </c>
      <c r="EH6" s="343" t="s">
        <v>197</v>
      </c>
    </row>
    <row r="7" spans="1:141" s="49" customFormat="1" ht="11.25" customHeight="1">
      <c r="A7" s="48" t="s">
        <v>198</v>
      </c>
      <c r="F7" s="49">
        <f t="shared" ref="F7:BQ7" si="5">F5/B5-1</f>
      </c>
      <c r="G7" s="49">
        <f t="shared" si="5"/>
      </c>
      <c r="H7" s="49">
        <f t="shared" si="5"/>
      </c>
      <c r="I7" s="49">
        <f t="shared" si="5"/>
      </c>
      <c r="J7" s="49">
        <f t="shared" si="5"/>
      </c>
      <c r="K7" s="49">
        <f t="shared" si="5"/>
      </c>
      <c r="L7" s="49">
        <f t="shared" si="5"/>
      </c>
      <c r="M7" s="49">
        <f t="shared" si="5"/>
      </c>
      <c r="N7" s="49">
        <f t="shared" si="5"/>
      </c>
      <c r="O7" s="49">
        <f t="shared" si="5"/>
      </c>
      <c r="P7" s="49">
        <f t="shared" si="5"/>
      </c>
      <c r="Q7" s="49">
        <f t="shared" si="5"/>
      </c>
      <c r="R7" s="49">
        <f t="shared" si="5"/>
      </c>
      <c r="S7" s="49">
        <f t="shared" si="5"/>
      </c>
      <c r="T7" s="49">
        <f t="shared" si="5"/>
      </c>
      <c r="U7" s="49">
        <f t="shared" si="5"/>
      </c>
      <c r="V7" s="49">
        <f t="shared" si="5"/>
      </c>
      <c r="W7" s="49">
        <f t="shared" si="5"/>
      </c>
      <c r="X7" s="49">
        <f t="shared" si="5"/>
      </c>
      <c r="Y7" s="49">
        <f t="shared" si="5"/>
      </c>
      <c r="Z7" s="49">
        <f t="shared" si="5"/>
      </c>
      <c r="AA7" s="49">
        <f t="shared" si="5"/>
      </c>
      <c r="AB7" s="49">
        <f t="shared" si="5"/>
      </c>
      <c r="AC7" s="49">
        <f t="shared" si="5"/>
      </c>
      <c r="AD7" s="49">
        <f t="shared" si="5"/>
      </c>
      <c r="AE7" s="49">
        <f t="shared" si="5"/>
      </c>
      <c r="AF7" s="49">
        <f t="shared" si="5"/>
      </c>
      <c r="AG7" s="49">
        <f t="shared" si="5"/>
      </c>
      <c r="AH7" s="49">
        <f t="shared" si="5"/>
      </c>
      <c r="AI7" s="49">
        <f t="shared" si="5"/>
      </c>
      <c r="AJ7" s="49">
        <f t="shared" si="5"/>
      </c>
      <c r="AK7" s="49">
        <f t="shared" si="5"/>
      </c>
      <c r="AL7" s="49">
        <f t="shared" si="5"/>
      </c>
      <c r="AM7" s="49">
        <f t="shared" si="5"/>
      </c>
      <c r="AN7" s="49">
        <f t="shared" si="5"/>
      </c>
      <c r="AO7" s="49">
        <f t="shared" si="5"/>
      </c>
      <c r="AP7" s="49">
        <f t="shared" si="5"/>
      </c>
      <c r="AQ7" s="49">
        <f t="shared" si="5"/>
      </c>
      <c r="AR7" s="49">
        <f t="shared" si="5"/>
      </c>
      <c r="AS7" s="49">
        <f t="shared" si="5"/>
      </c>
      <c r="AT7" s="49">
        <f t="shared" si="5"/>
      </c>
      <c r="AU7" s="49">
        <f t="shared" si="5"/>
      </c>
      <c r="AV7" s="49">
        <f t="shared" si="5"/>
      </c>
      <c r="AW7" s="49">
        <f t="shared" si="5"/>
      </c>
      <c r="AX7" s="49">
        <f t="shared" si="5"/>
      </c>
      <c r="AY7" s="49">
        <f t="shared" si="5"/>
      </c>
      <c r="AZ7" s="49">
        <f t="shared" si="5"/>
      </c>
      <c r="BA7" s="49">
        <f t="shared" si="5"/>
      </c>
      <c r="BB7" s="49">
        <f t="shared" si="5"/>
      </c>
      <c r="BC7" s="49">
        <f t="shared" si="5"/>
      </c>
      <c r="BD7" s="49">
        <f t="shared" si="5"/>
      </c>
      <c r="BE7" s="49">
        <f t="shared" si="5"/>
      </c>
      <c r="BF7" s="49">
        <f t="shared" si="5"/>
      </c>
      <c r="BG7" s="49">
        <f t="shared" si="5"/>
      </c>
      <c r="BH7" s="49">
        <f t="shared" si="5"/>
      </c>
      <c r="BI7" s="49">
        <f t="shared" si="5"/>
      </c>
      <c r="BJ7" s="49">
        <f t="shared" si="5"/>
      </c>
      <c r="BK7" s="340">
        <f t="shared" si="5"/>
      </c>
      <c r="BL7" s="340">
        <f t="shared" si="5"/>
      </c>
      <c r="BM7" s="49">
        <f t="shared" si="5"/>
      </c>
      <c r="BN7" s="49">
        <f t="shared" si="5"/>
      </c>
      <c r="BO7" s="49">
        <f t="shared" si="5"/>
      </c>
      <c r="BP7" s="49">
        <f t="shared" si="5"/>
      </c>
      <c r="BQ7" s="49">
        <f t="shared" si="5"/>
      </c>
      <c r="BR7" s="49">
        <f t="shared" ref="BR7:CL7" si="6">BR5/BN5-1</f>
      </c>
      <c r="BS7" s="49">
        <f t="shared" si="6"/>
      </c>
      <c r="BT7" s="49">
        <f t="shared" si="6"/>
      </c>
      <c r="BU7" s="49">
        <f t="shared" si="6"/>
      </c>
      <c r="BV7" s="49">
        <f t="shared" si="6"/>
      </c>
      <c r="BW7" s="49">
        <f t="shared" si="6"/>
      </c>
      <c r="BX7" s="49">
        <f t="shared" si="6"/>
      </c>
      <c r="BY7" s="49">
        <f t="shared" si="6"/>
      </c>
      <c r="BZ7" s="49">
        <f t="shared" si="6"/>
      </c>
      <c r="CA7" s="49">
        <f t="shared" si="6"/>
      </c>
      <c r="CB7" s="49">
        <f t="shared" si="6"/>
      </c>
      <c r="CC7" s="49">
        <f t="shared" si="6"/>
      </c>
      <c r="CD7" s="49">
        <f t="shared" si="6"/>
      </c>
      <c r="CE7" s="49">
        <f t="shared" si="6"/>
      </c>
      <c r="CF7" s="49">
        <f t="shared" si="6"/>
      </c>
      <c r="CG7" s="49">
        <f t="shared" si="6"/>
      </c>
      <c r="CH7" s="49">
        <f t="shared" si="6"/>
      </c>
      <c r="CI7" s="49">
        <f t="shared" si="6"/>
      </c>
      <c r="CJ7" s="49">
        <f t="shared" si="6"/>
      </c>
      <c r="CK7" s="49">
        <f t="shared" si="6"/>
      </c>
      <c r="CL7" s="49">
        <f t="shared" si="6"/>
      </c>
      <c r="CM7" s="49">
        <f>CM5/CI5-1</f>
      </c>
      <c r="CN7" s="49">
        <f>CN5/CJ5-1</f>
      </c>
      <c r="CO7" s="49">
        <f>CO5/CK5-1</f>
      </c>
      <c r="CP7" s="49">
        <f>CP5/CL5-1</f>
      </c>
      <c r="CQ7" s="49">
        <f t="shared" ref="CQ7:DE7" si="7">CQ5/CM5-1</f>
      </c>
      <c r="CR7" s="49">
        <f t="shared" si="7"/>
      </c>
      <c r="CS7" s="49">
        <f t="shared" si="7"/>
      </c>
      <c r="CT7" s="49">
        <f>CT5/CP5-1</f>
      </c>
      <c r="CU7" s="49">
        <f>CU5/CQ5-1</f>
      </c>
      <c r="CV7" s="341">
        <f t="shared" si="7"/>
      </c>
      <c r="CW7" s="341">
        <f t="shared" si="7"/>
      </c>
      <c r="CX7" s="341">
        <f t="shared" si="7"/>
      </c>
      <c r="CY7" s="341">
        <f t="shared" si="7"/>
      </c>
      <c r="CZ7" s="341">
        <f t="shared" si="7"/>
      </c>
      <c r="DA7" s="341">
        <f t="shared" si="7"/>
      </c>
      <c r="DB7" s="341">
        <f t="shared" si="7"/>
      </c>
      <c r="DC7" s="341">
        <f t="shared" si="7"/>
      </c>
      <c r="DD7" s="341">
        <f t="shared" si="7"/>
      </c>
      <c r="DE7" s="341">
        <f t="shared" si="7"/>
      </c>
      <c r="DI7" s="49">
        <f>DI5/DH5-1</f>
      </c>
      <c r="DJ7" s="49">
        <f t="shared" ref="DJ7:EH7" si="8">DJ5/DI5-1</f>
      </c>
      <c r="DK7" s="49">
        <f t="shared" si="8"/>
      </c>
      <c r="DL7" s="49">
        <f t="shared" si="8"/>
      </c>
      <c r="DM7" s="49">
        <f t="shared" si="8"/>
      </c>
      <c r="DN7" s="49">
        <f t="shared" si="8"/>
      </c>
      <c r="DO7" s="49">
        <f t="shared" si="8"/>
      </c>
      <c r="DP7" s="49">
        <f t="shared" si="8"/>
      </c>
      <c r="DQ7" s="49">
        <f t="shared" si="8"/>
      </c>
      <c r="DR7" s="49">
        <f t="shared" si="8"/>
      </c>
      <c r="DS7" s="49">
        <f t="shared" si="8"/>
      </c>
      <c r="DT7" s="49">
        <f t="shared" si="8"/>
      </c>
      <c r="DU7" s="49">
        <f t="shared" si="8"/>
      </c>
      <c r="DV7" s="49">
        <f t="shared" si="8"/>
      </c>
      <c r="DW7" s="49">
        <f t="shared" si="8"/>
      </c>
      <c r="DX7" s="49">
        <f t="shared" si="8"/>
      </c>
      <c r="DY7" s="49">
        <f t="shared" si="8"/>
      </c>
      <c r="DZ7" s="49">
        <f t="shared" si="8"/>
      </c>
      <c r="EA7" s="49">
        <f t="shared" si="8"/>
      </c>
      <c r="EB7" s="49">
        <f t="shared" si="8"/>
      </c>
      <c r="EC7" s="49">
        <f t="shared" si="8"/>
      </c>
      <c r="ED7" s="49">
        <f t="shared" si="8"/>
      </c>
      <c r="EE7" s="49">
        <f t="shared" si="8"/>
      </c>
      <c r="EF7" s="345">
        <f t="shared" si="8"/>
      </c>
      <c r="EG7" s="345">
        <f t="shared" si="8"/>
      </c>
      <c r="EH7" s="345">
        <f t="shared" si="8"/>
      </c>
      <c r="EJ7" s="48"/>
    </row>
    <row r="8" spans="1:141" s="47" customFormat="1" ht="11.25" customHeight="1">
      <c r="A8" s="336" t="s">
        <v>199</v>
      </c>
      <c r="B8" s="35">
        <f>Ticker0027!V10</f>
      </c>
      <c r="C8" s="35">
        <f>Ticker0027!W10</f>
      </c>
      <c r="D8" s="35">
        <f>Ticker0027!X10</f>
      </c>
      <c r="E8" s="35">
        <f>Ticker0027!Y10</f>
      </c>
      <c r="F8" s="35">
        <f>Ticker0027!AA10</f>
      </c>
      <c r="G8" s="35">
        <f>Ticker0027!AB10</f>
      </c>
      <c r="H8" s="35">
        <f>Ticker0027!AC10</f>
      </c>
      <c r="I8" s="35">
        <f>Ticker0027!AD10</f>
      </c>
      <c r="J8" s="35">
        <f>Ticker0027!AF10</f>
      </c>
      <c r="K8" s="35">
        <f>Ticker0027!AG10</f>
      </c>
      <c r="L8" s="35">
        <f>Ticker0027!AH10</f>
      </c>
      <c r="M8" s="35">
        <f>Ticker0027!AI10</f>
      </c>
      <c r="N8" s="35">
        <f>Ticker0027!AK10</f>
      </c>
      <c r="O8" s="35">
        <f>Ticker0027!AL10</f>
      </c>
      <c r="P8" s="35">
        <f>Ticker0027!AM10</f>
      </c>
      <c r="Q8" s="35">
        <f>Ticker0027!AN10</f>
      </c>
      <c r="R8" s="35">
        <f>Ticker0027!AP10</f>
      </c>
      <c r="S8" s="35">
        <f>Ticker0027!AQ10</f>
      </c>
      <c r="T8" s="35">
        <f>Ticker0027!AR10</f>
      </c>
      <c r="U8" s="35">
        <f>Ticker0027!AS10</f>
      </c>
      <c r="V8" s="35">
        <f>Ticker0027!AU10</f>
      </c>
      <c r="W8" s="35">
        <f>Ticker0027!AV10</f>
      </c>
      <c r="X8" s="35">
        <f>Ticker0027!AW10</f>
      </c>
      <c r="Y8" s="35">
        <f>Ticker0027!AX10</f>
      </c>
      <c r="Z8" s="35">
        <f>Ticker0027!AZ10</f>
      </c>
      <c r="AA8" s="35">
        <f>Ticker0027!BA10</f>
      </c>
      <c r="AB8" s="35">
        <f>Ticker0027!BB10</f>
      </c>
      <c r="AC8" s="35">
        <f>Ticker0027!BC10</f>
      </c>
      <c r="AD8" s="35">
        <f>Ticker0027!BE10</f>
      </c>
      <c r="AE8" s="35">
        <f>Ticker0027!BF10</f>
      </c>
      <c r="AF8" s="35">
        <f>Ticker0027!BG10</f>
      </c>
      <c r="AG8" s="35">
        <f>Ticker0027!BH10</f>
      </c>
      <c r="AH8" s="35">
        <f>Ticker0027!BJ10</f>
      </c>
      <c r="AI8" s="35">
        <f>Ticker0027!BK10</f>
      </c>
      <c r="AJ8" s="35">
        <f>Ticker0027!BL10</f>
      </c>
      <c r="AK8" s="35">
        <f>Ticker0027!BM10</f>
      </c>
      <c r="AL8" s="35">
        <f>Ticker0027!BO10</f>
      </c>
      <c r="AM8" s="35">
        <f>Ticker0027!BP10</f>
      </c>
      <c r="AN8" s="35">
        <f>Ticker0027!BQ10</f>
      </c>
      <c r="AO8" s="35">
        <f>Ticker0027!BR10</f>
      </c>
      <c r="AP8" s="35">
        <f>Ticker0027!BT10</f>
      </c>
      <c r="AQ8" s="35">
        <f>Ticker0027!BU10</f>
      </c>
      <c r="AR8" s="35">
        <f>Ticker0027!BV10</f>
      </c>
      <c r="AS8" s="35">
        <f>Ticker0027!BW10</f>
      </c>
      <c r="AT8" s="35">
        <f>Ticker0027!BY10</f>
      </c>
      <c r="AU8" s="35">
        <f>Ticker0027!BZ10</f>
      </c>
      <c r="AV8" s="35">
        <f>Ticker0027!CA10</f>
      </c>
      <c r="AW8" s="35">
        <f>Ticker0027!CB10</f>
      </c>
      <c r="AX8" s="35">
        <f>Ticker0027!CD10</f>
      </c>
      <c r="AY8" s="35">
        <f>Ticker0027!CE10</f>
      </c>
      <c r="AZ8" s="35">
        <f>Ticker0027!CF10</f>
      </c>
      <c r="BA8" s="35">
        <f>Ticker0027!CG10</f>
      </c>
      <c r="BB8" s="35">
        <f>Ticker0027!CI10</f>
      </c>
      <c r="BC8" s="35">
        <f>Ticker0027!CJ10</f>
      </c>
      <c r="BD8" s="35">
        <f>Ticker0027!CK10</f>
      </c>
      <c r="BE8" s="35">
        <f>Ticker0027!CL10</f>
      </c>
      <c r="BF8" s="35">
        <f>Ticker0027!CN10</f>
      </c>
      <c r="BG8" s="35">
        <f>Ticker0027!CO10</f>
      </c>
      <c r="BH8" s="35">
        <f>Ticker0027!CP10</f>
      </c>
      <c r="BI8" s="35">
        <f>Ticker0027!CQ10</f>
      </c>
      <c r="BJ8" s="35">
        <f>Ticker0027!CS10</f>
      </c>
      <c r="BK8" s="337">
        <f>Ticker0027!CT10</f>
      </c>
      <c r="BL8" s="337">
        <f>Ticker0027!CU10</f>
      </c>
      <c r="BM8" s="35">
        <f>Ticker0027!CV10</f>
      </c>
      <c r="BN8" s="35">
        <f>Ticker0027!CX10</f>
      </c>
      <c r="BO8" s="35">
        <f>Ticker0027!CY10</f>
      </c>
      <c r="BP8" s="35">
        <f>Ticker0027!CZ10</f>
      </c>
      <c r="BQ8" s="35">
        <f>Ticker0027!DA10</f>
      </c>
      <c r="BR8" s="35">
        <f>Ticker0027!DC10</f>
      </c>
      <c r="BS8" s="35">
        <f>Ticker0027!DD10</f>
      </c>
      <c r="BT8" s="35">
        <f>Ticker0027!DE10</f>
      </c>
      <c r="BU8" s="35">
        <f>Ticker0027!DF10</f>
      </c>
      <c r="BV8" s="35">
        <f>Ticker0027!DH10</f>
      </c>
      <c r="BW8" s="35">
        <f>Ticker0027!DI10</f>
      </c>
      <c r="BX8" s="35">
        <f>Ticker0027!DJ10</f>
      </c>
      <c r="BY8" s="35">
        <f>Ticker0027!DK10</f>
      </c>
      <c r="BZ8" s="35">
        <f>Ticker0027!DM10</f>
      </c>
      <c r="CA8" s="35">
        <f>Ticker0027!DN10</f>
      </c>
      <c r="CB8" s="35">
        <f>Ticker0027!DO10</f>
      </c>
      <c r="CC8" s="35">
        <f>Ticker0027!DP10</f>
      </c>
      <c r="CD8" s="35">
        <f>Ticker0027!DR10</f>
      </c>
      <c r="CE8" s="35">
        <f>Ticker0027!DS10</f>
      </c>
      <c r="CF8" s="35">
        <f>Ticker0027!DT10</f>
      </c>
      <c r="CG8" s="35">
        <f>Ticker0027!DU10</f>
      </c>
      <c r="CH8" s="35">
        <f>Ticker0027!DW10</f>
      </c>
      <c r="CI8" s="35">
        <f>Ticker0027!DX10</f>
      </c>
      <c r="CJ8" s="35">
        <f>Ticker0027!DY10</f>
      </c>
      <c r="CK8" s="35">
        <f>Ticker0027!DZ10</f>
      </c>
      <c r="CL8" s="35">
        <f>Ticker0027!EB10</f>
      </c>
      <c r="CM8" s="35">
        <f>Ticker0027!EC10</f>
      </c>
      <c r="CN8" s="35">
        <f>Ticker0027!ED10</f>
      </c>
      <c r="CO8" s="35">
        <f>Ticker0027!EE10</f>
      </c>
      <c r="CP8" s="35">
        <f>Ticker0027!EG10</f>
      </c>
      <c r="CQ8" s="35">
        <f>Ticker0027!EH10</f>
      </c>
      <c r="CR8" s="35">
        <f>Ticker0027!EI10</f>
      </c>
      <c r="CS8" s="35">
        <f>Ticker0027!EJ10</f>
      </c>
      <c r="CT8" s="35">
        <f>Ticker0027!EL10</f>
      </c>
      <c r="CU8" s="35">
        <f>Ticker0027!EM10</f>
      </c>
      <c r="CV8" s="338">
        <f t="shared" ref="CV8:DA8" si="9">CV5-CV15</f>
      </c>
      <c r="CW8" s="338">
        <f t="shared" si="9"/>
      </c>
      <c r="CX8" s="338">
        <f t="shared" si="9"/>
      </c>
      <c r="CY8" s="338">
        <f t="shared" si="9"/>
      </c>
      <c r="CZ8" s="338">
        <f t="shared" si="9"/>
      </c>
      <c r="DA8" s="338">
        <f t="shared" si="9"/>
      </c>
      <c r="DB8" s="338">
        <f>DB5-DB15</f>
      </c>
      <c r="DC8" s="338">
        <f>DC5-DC15</f>
      </c>
      <c r="DD8" s="338">
        <f>DD5-DD15</f>
      </c>
      <c r="DE8" s="338">
        <f>DE5-DE15</f>
      </c>
      <c r="DH8" s="35">
        <f>SUM(B8:E8)</f>
      </c>
      <c r="DI8" s="35">
        <f>SUM(F8:I8)</f>
      </c>
      <c r="DJ8" s="35">
        <f>SUM(J8:M8)</f>
      </c>
      <c r="DK8" s="35">
        <f>SUM(N8:Q8)</f>
      </c>
      <c r="DL8" s="35">
        <f>SUM(R8:U8)</f>
      </c>
      <c r="DM8" s="35">
        <f>SUM(V8:Y8)</f>
      </c>
      <c r="DN8" s="35">
        <f>SUM(Z8:AC8)</f>
      </c>
      <c r="DO8" s="35">
        <f>SUM(AD8:AG8)</f>
      </c>
      <c r="DP8" s="35">
        <f>SUM(AH8:AK8)</f>
      </c>
      <c r="DQ8" s="35">
        <f>SUM(AL8:AO8)</f>
      </c>
      <c r="DR8" s="35">
        <f>SUM(AP8:AS8)</f>
      </c>
      <c r="DS8" s="35">
        <f>SUM(AT8:AW8)</f>
      </c>
      <c r="DT8" s="35">
        <f>SUM(AX8:BA8)</f>
      </c>
      <c r="DU8" s="35">
        <f>SUM(BB8:BE8)</f>
      </c>
      <c r="DV8" s="35">
        <f>SUM(BF8:BI8)</f>
      </c>
      <c r="DW8" s="35">
        <f>SUM(BJ8:BM8)</f>
      </c>
      <c r="DX8" s="35">
        <f>SUM(BN8:BQ8)</f>
      </c>
      <c r="DY8" s="35">
        <f>SUM(BR8:BU8)</f>
      </c>
      <c r="DZ8" s="35">
        <f>BV8+BW8+BX8+BY8</f>
      </c>
      <c r="EA8" s="35">
        <f>CC8+CB8+CA8+BZ8</f>
      </c>
      <c r="EB8" s="35">
        <f>+CD8+CE8+CF8+CG8</f>
      </c>
      <c r="EC8" s="35">
        <f>SUM(CH8:CK8)</f>
      </c>
      <c r="ED8" s="35">
        <f>SUM(CL8:CO8)</f>
      </c>
      <c r="EE8" s="35">
        <f>SUM(CP8:CS8)</f>
      </c>
      <c r="EF8" s="338">
        <f>SUM(CT8:CW8)</f>
      </c>
      <c r="EG8" s="338">
        <f>SUM(CX8:DA8)</f>
      </c>
      <c r="EH8" s="338">
        <f>SUM(DB8:DE8)</f>
      </c>
      <c r="EJ8" s="346"/>
      <c r="EK8" s="347"/>
    </row>
    <row r="9" spans="1:141" s="49" customFormat="1" ht="11.25" customHeight="1">
      <c r="A9" s="48" t="s">
        <v>196</v>
      </c>
      <c r="C9" s="49">
        <f t="shared" ref="C9:BN9" si="10">C8/B8-1</f>
      </c>
      <c r="D9" s="49">
        <f t="shared" si="10"/>
      </c>
      <c r="E9" s="49">
        <f t="shared" si="10"/>
      </c>
      <c r="F9" s="49">
        <f t="shared" si="10"/>
      </c>
      <c r="G9" s="49">
        <f t="shared" si="10"/>
      </c>
      <c r="H9" s="49">
        <f t="shared" si="10"/>
      </c>
      <c r="I9" s="49">
        <f t="shared" si="10"/>
      </c>
      <c r="J9" s="49">
        <f t="shared" si="10"/>
      </c>
      <c r="K9" s="49">
        <f t="shared" si="10"/>
      </c>
      <c r="L9" s="49">
        <f t="shared" si="10"/>
      </c>
      <c r="M9" s="49">
        <f t="shared" si="10"/>
      </c>
      <c r="N9" s="49">
        <f t="shared" si="10"/>
      </c>
      <c r="O9" s="49">
        <f t="shared" si="10"/>
      </c>
      <c r="P9" s="49">
        <f t="shared" si="10"/>
      </c>
      <c r="Q9" s="49">
        <f t="shared" si="10"/>
      </c>
      <c r="R9" s="49">
        <f t="shared" si="10"/>
      </c>
      <c r="S9" s="49">
        <f t="shared" si="10"/>
      </c>
      <c r="T9" s="49">
        <f t="shared" si="10"/>
      </c>
      <c r="U9" s="49">
        <f t="shared" si="10"/>
      </c>
      <c r="V9" s="49">
        <f t="shared" si="10"/>
      </c>
      <c r="W9" s="49">
        <f t="shared" si="10"/>
      </c>
      <c r="X9" s="49">
        <f t="shared" si="10"/>
      </c>
      <c r="Y9" s="49">
        <f t="shared" si="10"/>
      </c>
      <c r="Z9" s="49">
        <f t="shared" si="10"/>
      </c>
      <c r="AA9" s="49">
        <f t="shared" si="10"/>
      </c>
      <c r="AB9" s="49">
        <f t="shared" si="10"/>
      </c>
      <c r="AC9" s="49">
        <f t="shared" si="10"/>
      </c>
      <c r="AD9" s="49">
        <f t="shared" si="10"/>
      </c>
      <c r="AE9" s="49">
        <f t="shared" si="10"/>
      </c>
      <c r="AF9" s="49">
        <f t="shared" si="10"/>
      </c>
      <c r="AG9" s="49">
        <f t="shared" si="10"/>
      </c>
      <c r="AH9" s="49">
        <f t="shared" si="10"/>
      </c>
      <c r="AI9" s="49">
        <f t="shared" si="10"/>
      </c>
      <c r="AJ9" s="49">
        <f t="shared" si="10"/>
      </c>
      <c r="AK9" s="49">
        <f t="shared" si="10"/>
      </c>
      <c r="AL9" s="49">
        <f t="shared" si="10"/>
      </c>
      <c r="AM9" s="49">
        <f t="shared" si="10"/>
      </c>
      <c r="AN9" s="49">
        <f t="shared" si="10"/>
      </c>
      <c r="AO9" s="49">
        <f t="shared" si="10"/>
      </c>
      <c r="AP9" s="49">
        <f t="shared" si="10"/>
      </c>
      <c r="AQ9" s="49">
        <f t="shared" si="10"/>
      </c>
      <c r="AR9" s="49">
        <f t="shared" si="10"/>
      </c>
      <c r="AS9" s="49">
        <f t="shared" si="10"/>
      </c>
      <c r="AT9" s="49">
        <f t="shared" si="10"/>
      </c>
      <c r="AU9" s="49">
        <f t="shared" si="10"/>
      </c>
      <c r="AV9" s="49">
        <f t="shared" si="10"/>
      </c>
      <c r="AW9" s="49">
        <f t="shared" si="10"/>
      </c>
      <c r="AX9" s="49">
        <f t="shared" si="10"/>
      </c>
      <c r="AY9" s="49">
        <f t="shared" si="10"/>
      </c>
      <c r="AZ9" s="49">
        <f t="shared" si="10"/>
      </c>
      <c r="BA9" s="49">
        <f t="shared" si="10"/>
      </c>
      <c r="BB9" s="49">
        <f t="shared" si="10"/>
      </c>
      <c r="BC9" s="49">
        <f t="shared" si="10"/>
      </c>
      <c r="BD9" s="49">
        <f t="shared" si="10"/>
      </c>
      <c r="BE9" s="49">
        <f t="shared" si="10"/>
      </c>
      <c r="BF9" s="49">
        <f t="shared" si="10"/>
      </c>
      <c r="BG9" s="49">
        <f t="shared" si="10"/>
      </c>
      <c r="BH9" s="49">
        <f t="shared" si="10"/>
      </c>
      <c r="BI9" s="49">
        <f t="shared" si="10"/>
      </c>
      <c r="BJ9" s="49">
        <f t="shared" si="10"/>
      </c>
      <c r="BK9" s="340">
        <f t="shared" si="10"/>
      </c>
      <c r="BL9" s="340">
        <f t="shared" si="10"/>
      </c>
      <c r="BM9" s="49">
        <f t="shared" si="10"/>
      </c>
      <c r="BN9" s="49">
        <f t="shared" si="10"/>
      </c>
      <c r="BO9" s="49">
        <f t="shared" ref="BO9:CL9" si="11">BO8/BN8-1</f>
      </c>
      <c r="BP9" s="49">
        <f t="shared" si="11"/>
      </c>
      <c r="BQ9" s="49">
        <f t="shared" si="11"/>
      </c>
      <c r="BR9" s="49">
        <f t="shared" si="11"/>
      </c>
      <c r="BS9" s="49">
        <f t="shared" si="11"/>
      </c>
      <c r="BT9" s="49">
        <f t="shared" si="11"/>
      </c>
      <c r="BU9" s="49">
        <f t="shared" si="11"/>
      </c>
      <c r="BV9" s="49">
        <f t="shared" si="11"/>
      </c>
      <c r="BW9" s="49">
        <f t="shared" si="11"/>
      </c>
      <c r="BX9" s="49">
        <f t="shared" si="11"/>
      </c>
      <c r="BY9" s="49">
        <f t="shared" si="11"/>
      </c>
      <c r="BZ9" s="49">
        <f t="shared" si="11"/>
      </c>
      <c r="CA9" s="49">
        <f t="shared" si="11"/>
      </c>
      <c r="CB9" s="49">
        <f t="shared" si="11"/>
      </c>
      <c r="CC9" s="49">
        <f t="shared" si="11"/>
      </c>
      <c r="CD9" s="49">
        <f t="shared" si="11"/>
      </c>
      <c r="CE9" s="49">
        <f t="shared" si="11"/>
      </c>
      <c r="CF9" s="49">
        <f t="shared" si="11"/>
      </c>
      <c r="CG9" s="49">
        <f t="shared" si="11"/>
      </c>
      <c r="CH9" s="49">
        <f t="shared" si="11"/>
      </c>
      <c r="CI9" s="49">
        <f t="shared" si="11"/>
      </c>
      <c r="CJ9" s="49">
        <f t="shared" si="11"/>
      </c>
      <c r="CK9" s="49">
        <f t="shared" si="11"/>
      </c>
      <c r="CL9" s="49">
        <f t="shared" si="11"/>
      </c>
      <c r="CM9" s="49">
        <f>CM8/CL8-1</f>
      </c>
      <c r="CN9" s="49">
        <f>CN8/CM8-1</f>
      </c>
      <c r="CO9" s="49">
        <f>CO8/CN8-1</f>
      </c>
      <c r="CP9" s="49">
        <f>CP8/CO8-1</f>
      </c>
      <c r="CQ9" s="49">
        <f t="shared" ref="CQ9:DE9" si="12">CQ8/CP8-1</f>
      </c>
      <c r="CR9" s="49">
        <f t="shared" si="12"/>
      </c>
      <c r="CS9" s="49">
        <f t="shared" si="12"/>
      </c>
      <c r="CT9" s="49">
        <f>CT8/CS8-1</f>
      </c>
      <c r="CU9" s="49">
        <f>CU8/CT8-1</f>
      </c>
      <c r="CV9" s="341">
        <f t="shared" si="12"/>
      </c>
      <c r="CW9" s="341">
        <f t="shared" si="12"/>
      </c>
      <c r="CX9" s="341">
        <f t="shared" si="12"/>
      </c>
      <c r="CY9" s="341">
        <f t="shared" si="12"/>
      </c>
      <c r="CZ9" s="341">
        <f t="shared" si="12"/>
      </c>
      <c r="DA9" s="341">
        <f t="shared" si="12"/>
      </c>
      <c r="DB9" s="341">
        <f t="shared" si="12"/>
      </c>
      <c r="DC9" s="341">
        <f t="shared" si="12"/>
      </c>
      <c r="DD9" s="341">
        <f t="shared" si="12"/>
      </c>
      <c r="DE9" s="341">
        <f t="shared" si="12"/>
      </c>
      <c r="DH9" s="342" t="s">
        <v>197</v>
      </c>
      <c r="DI9" s="342" t="s">
        <v>197</v>
      </c>
      <c r="DJ9" s="342" t="s">
        <v>197</v>
      </c>
      <c r="DK9" s="342" t="s">
        <v>197</v>
      </c>
      <c r="DL9" s="342" t="s">
        <v>197</v>
      </c>
      <c r="DM9" s="342" t="s">
        <v>197</v>
      </c>
      <c r="DN9" s="342" t="s">
        <v>197</v>
      </c>
      <c r="DO9" s="342" t="s">
        <v>197</v>
      </c>
      <c r="DP9" s="342" t="s">
        <v>197</v>
      </c>
      <c r="DQ9" s="342" t="s">
        <v>197</v>
      </c>
      <c r="DR9" s="342" t="s">
        <v>197</v>
      </c>
      <c r="DS9" s="342" t="s">
        <v>197</v>
      </c>
      <c r="DT9" s="342" t="s">
        <v>197</v>
      </c>
      <c r="DU9" s="342" t="s">
        <v>197</v>
      </c>
      <c r="DV9" s="342" t="s">
        <v>197</v>
      </c>
      <c r="DW9" s="342" t="s">
        <v>197</v>
      </c>
      <c r="DX9" s="342" t="s">
        <v>197</v>
      </c>
      <c r="DY9" s="342" t="s">
        <v>197</v>
      </c>
      <c r="DZ9" s="342" t="s">
        <v>197</v>
      </c>
      <c r="EA9" s="342" t="s">
        <v>197</v>
      </c>
      <c r="EB9" s="342" t="s">
        <v>197</v>
      </c>
      <c r="EC9" s="342" t="s">
        <v>197</v>
      </c>
      <c r="ED9" s="342" t="s">
        <v>197</v>
      </c>
      <c r="EE9" s="342" t="s">
        <v>197</v>
      </c>
      <c r="EF9" s="343" t="s">
        <v>197</v>
      </c>
      <c r="EG9" s="343" t="s">
        <v>197</v>
      </c>
      <c r="EH9" s="343" t="s">
        <v>197</v>
      </c>
    </row>
    <row r="10" spans="1:141" s="49" customFormat="1" ht="11.25" customHeight="1">
      <c r="A10" s="48" t="s">
        <v>198</v>
      </c>
      <c r="F10" s="49">
        <f t="shared" ref="F10:BQ10" si="13">F8/B8-1</f>
      </c>
      <c r="G10" s="49">
        <f t="shared" si="13"/>
      </c>
      <c r="H10" s="49">
        <f t="shared" si="13"/>
      </c>
      <c r="I10" s="49">
        <f t="shared" si="13"/>
      </c>
      <c r="J10" s="49">
        <f t="shared" si="13"/>
      </c>
      <c r="K10" s="49">
        <f t="shared" si="13"/>
      </c>
      <c r="L10" s="49">
        <f t="shared" si="13"/>
      </c>
      <c r="M10" s="49">
        <f t="shared" si="13"/>
      </c>
      <c r="N10" s="49">
        <f t="shared" si="13"/>
      </c>
      <c r="O10" s="49">
        <f t="shared" si="13"/>
      </c>
      <c r="P10" s="49">
        <f t="shared" si="13"/>
      </c>
      <c r="Q10" s="49">
        <f t="shared" si="13"/>
      </c>
      <c r="R10" s="49">
        <f t="shared" si="13"/>
      </c>
      <c r="S10" s="49">
        <f t="shared" si="13"/>
      </c>
      <c r="T10" s="49">
        <f t="shared" si="13"/>
      </c>
      <c r="U10" s="49">
        <f t="shared" si="13"/>
      </c>
      <c r="V10" s="49">
        <f t="shared" si="13"/>
      </c>
      <c r="W10" s="49">
        <f t="shared" si="13"/>
      </c>
      <c r="X10" s="49">
        <f t="shared" si="13"/>
      </c>
      <c r="Y10" s="49">
        <f t="shared" si="13"/>
      </c>
      <c r="Z10" s="49">
        <f t="shared" si="13"/>
      </c>
      <c r="AA10" s="49">
        <f t="shared" si="13"/>
      </c>
      <c r="AB10" s="49">
        <f t="shared" si="13"/>
      </c>
      <c r="AC10" s="49">
        <f t="shared" si="13"/>
      </c>
      <c r="AD10" s="49">
        <f t="shared" si="13"/>
      </c>
      <c r="AE10" s="49">
        <f t="shared" si="13"/>
      </c>
      <c r="AF10" s="49">
        <f t="shared" si="13"/>
      </c>
      <c r="AG10" s="49">
        <f t="shared" si="13"/>
      </c>
      <c r="AH10" s="49">
        <f t="shared" si="13"/>
      </c>
      <c r="AI10" s="49">
        <f t="shared" si="13"/>
      </c>
      <c r="AJ10" s="49">
        <f t="shared" si="13"/>
      </c>
      <c r="AK10" s="49">
        <f t="shared" si="13"/>
      </c>
      <c r="AL10" s="49">
        <f t="shared" si="13"/>
      </c>
      <c r="AM10" s="49">
        <f t="shared" si="13"/>
      </c>
      <c r="AN10" s="49">
        <f t="shared" si="13"/>
      </c>
      <c r="AO10" s="49">
        <f t="shared" si="13"/>
      </c>
      <c r="AP10" s="49">
        <f t="shared" si="13"/>
      </c>
      <c r="AQ10" s="49">
        <f t="shared" si="13"/>
      </c>
      <c r="AR10" s="49">
        <f t="shared" si="13"/>
      </c>
      <c r="AS10" s="49">
        <f t="shared" si="13"/>
      </c>
      <c r="AT10" s="49">
        <f t="shared" si="13"/>
      </c>
      <c r="AU10" s="49">
        <f t="shared" si="13"/>
      </c>
      <c r="AV10" s="49">
        <f t="shared" si="13"/>
      </c>
      <c r="AW10" s="49">
        <f t="shared" si="13"/>
      </c>
      <c r="AX10" s="49">
        <f t="shared" si="13"/>
      </c>
      <c r="AY10" s="49">
        <f t="shared" si="13"/>
      </c>
      <c r="AZ10" s="49">
        <f t="shared" si="13"/>
      </c>
      <c r="BA10" s="49">
        <f t="shared" si="13"/>
      </c>
      <c r="BB10" s="49">
        <f t="shared" si="13"/>
      </c>
      <c r="BC10" s="49">
        <f t="shared" si="13"/>
      </c>
      <c r="BD10" s="49">
        <f t="shared" si="13"/>
      </c>
      <c r="BE10" s="49">
        <f t="shared" si="13"/>
      </c>
      <c r="BF10" s="49">
        <f t="shared" si="13"/>
      </c>
      <c r="BG10" s="49">
        <f t="shared" si="13"/>
      </c>
      <c r="BH10" s="49">
        <f t="shared" si="13"/>
      </c>
      <c r="BI10" s="49">
        <f t="shared" si="13"/>
      </c>
      <c r="BJ10" s="49">
        <f t="shared" si="13"/>
      </c>
      <c r="BK10" s="340">
        <f t="shared" si="13"/>
      </c>
      <c r="BL10" s="340">
        <f t="shared" si="13"/>
      </c>
      <c r="BM10" s="49">
        <f t="shared" si="13"/>
      </c>
      <c r="BN10" s="49">
        <f t="shared" si="13"/>
      </c>
      <c r="BO10" s="49">
        <f t="shared" si="13"/>
      </c>
      <c r="BP10" s="49">
        <f>BP8/BL8-1</f>
      </c>
      <c r="BQ10" s="49">
        <f t="shared" si="13"/>
      </c>
      <c r="BR10" s="49">
        <f t="shared" ref="BR10:CL10" si="14">BR8/BN8-1</f>
      </c>
      <c r="BS10" s="49">
        <f t="shared" si="14"/>
      </c>
      <c r="BT10" s="49">
        <f t="shared" si="14"/>
      </c>
      <c r="BU10" s="49">
        <f t="shared" si="14"/>
      </c>
      <c r="BV10" s="49">
        <f t="shared" si="14"/>
      </c>
      <c r="BW10" s="49">
        <f t="shared" si="14"/>
      </c>
      <c r="BX10" s="49">
        <f t="shared" si="14"/>
      </c>
      <c r="BY10" s="49">
        <f t="shared" si="14"/>
      </c>
      <c r="BZ10" s="49">
        <f t="shared" si="14"/>
      </c>
      <c r="CA10" s="49">
        <f t="shared" si="14"/>
      </c>
      <c r="CB10" s="49">
        <f t="shared" si="14"/>
      </c>
      <c r="CC10" s="49">
        <f t="shared" si="14"/>
      </c>
      <c r="CD10" s="49">
        <f t="shared" si="14"/>
      </c>
      <c r="CE10" s="49">
        <f t="shared" si="14"/>
      </c>
      <c r="CF10" s="49">
        <f t="shared" si="14"/>
      </c>
      <c r="CG10" s="49">
        <f t="shared" si="14"/>
      </c>
      <c r="CH10" s="49">
        <f t="shared" si="14"/>
      </c>
      <c r="CI10" s="49">
        <f t="shared" si="14"/>
      </c>
      <c r="CJ10" s="49">
        <f t="shared" si="14"/>
      </c>
      <c r="CK10" s="49">
        <f t="shared" si="14"/>
      </c>
      <c r="CL10" s="49">
        <f t="shared" si="14"/>
      </c>
      <c r="CM10" s="49">
        <f>CM8/CI8-1</f>
      </c>
      <c r="CN10" s="49">
        <f>CN8/CJ8-1</f>
      </c>
      <c r="CO10" s="49">
        <f>CO8/CK8-1</f>
      </c>
      <c r="CP10" s="49">
        <f>CP8/CL8-1</f>
      </c>
      <c r="CQ10" s="49">
        <f t="shared" ref="CQ10:DE10" si="15">CQ8/CM8-1</f>
      </c>
      <c r="CR10" s="49">
        <f t="shared" si="15"/>
      </c>
      <c r="CS10" s="49">
        <f t="shared" si="15"/>
      </c>
      <c r="CT10" s="49">
        <f>CT8/CP8-1</f>
      </c>
      <c r="CU10" s="49">
        <f>CU8/CQ8-1</f>
      </c>
      <c r="CV10" s="341">
        <f t="shared" si="15"/>
      </c>
      <c r="CW10" s="341">
        <f t="shared" si="15"/>
      </c>
      <c r="CX10" s="341">
        <f t="shared" si="15"/>
      </c>
      <c r="CY10" s="341">
        <f t="shared" si="15"/>
      </c>
      <c r="CZ10" s="341">
        <f t="shared" si="15"/>
      </c>
      <c r="DA10" s="341">
        <f t="shared" si="15"/>
      </c>
      <c r="DB10" s="341">
        <f t="shared" si="15"/>
      </c>
      <c r="DC10" s="341">
        <f t="shared" si="15"/>
      </c>
      <c r="DD10" s="341">
        <f t="shared" si="15"/>
      </c>
      <c r="DE10" s="341">
        <f t="shared" si="15"/>
      </c>
      <c r="DI10" s="49">
        <f>DI8/DH8-1</f>
      </c>
      <c r="DJ10" s="49">
        <f t="shared" ref="DJ10:EH10" si="16">DJ8/DI8-1</f>
      </c>
      <c r="DK10" s="49">
        <f t="shared" si="16"/>
      </c>
      <c r="DL10" s="49">
        <f t="shared" si="16"/>
      </c>
      <c r="DM10" s="49">
        <f t="shared" si="16"/>
      </c>
      <c r="DN10" s="49">
        <f t="shared" si="16"/>
      </c>
      <c r="DO10" s="49">
        <f t="shared" si="16"/>
      </c>
      <c r="DP10" s="49">
        <f t="shared" si="16"/>
      </c>
      <c r="DQ10" s="49">
        <f t="shared" si="16"/>
      </c>
      <c r="DR10" s="49">
        <f t="shared" si="16"/>
      </c>
      <c r="DS10" s="49">
        <f t="shared" si="16"/>
      </c>
      <c r="DT10" s="49">
        <f t="shared" si="16"/>
      </c>
      <c r="DU10" s="49">
        <f t="shared" si="16"/>
      </c>
      <c r="DV10" s="49">
        <f t="shared" si="16"/>
      </c>
      <c r="DW10" s="49">
        <f t="shared" si="16"/>
      </c>
      <c r="DX10" s="49">
        <f t="shared" si="16"/>
      </c>
      <c r="DY10" s="49">
        <f t="shared" si="16"/>
      </c>
      <c r="DZ10" s="49">
        <f t="shared" si="16"/>
      </c>
      <c r="EA10" s="49">
        <f t="shared" si="16"/>
      </c>
      <c r="EB10" s="49">
        <f t="shared" si="16"/>
      </c>
      <c r="EC10" s="49">
        <f t="shared" si="16"/>
      </c>
      <c r="ED10" s="49">
        <f t="shared" si="16"/>
      </c>
      <c r="EE10" s="49">
        <f t="shared" si="16"/>
      </c>
      <c r="EF10" s="341">
        <f t="shared" si="16"/>
      </c>
      <c r="EG10" s="341">
        <f t="shared" si="16"/>
      </c>
      <c r="EH10" s="341">
        <f t="shared" si="16"/>
      </c>
    </row>
    <row r="11" spans="1:141" s="47" customFormat="1" ht="11.25" customHeight="1" outlineLevel="1">
      <c r="A11" s="348" t="s">
        <v>200</v>
      </c>
      <c r="B11" s="35">
        <f>Ticker0027!V11</f>
      </c>
      <c r="C11" s="35">
        <f>Ticker0027!W11</f>
      </c>
      <c r="D11" s="35">
        <f>Ticker0027!X11</f>
      </c>
      <c r="E11" s="35">
        <f>Ticker0027!Y11</f>
      </c>
      <c r="F11" s="35">
        <f>Ticker0027!AA11</f>
      </c>
      <c r="G11" s="35">
        <f>Ticker0027!AB11</f>
      </c>
      <c r="H11" s="35">
        <f>Ticker0027!AC11</f>
      </c>
      <c r="I11" s="35">
        <f>Ticker0027!AD11</f>
      </c>
      <c r="J11" s="35">
        <f>Ticker0027!AF11</f>
      </c>
      <c r="K11" s="35">
        <f>Ticker0027!AG11</f>
      </c>
      <c r="L11" s="35">
        <f>Ticker0027!AH11</f>
      </c>
      <c r="M11" s="35">
        <f>Ticker0027!AI11</f>
      </c>
      <c r="N11" s="35">
        <f>Ticker0027!AK11</f>
      </c>
      <c r="O11" s="35">
        <f>Ticker0027!AL11</f>
      </c>
      <c r="P11" s="35">
        <f>Ticker0027!AM11</f>
      </c>
      <c r="Q11" s="35">
        <f>Ticker0027!AN11</f>
      </c>
      <c r="R11" s="35">
        <f>Ticker0027!AP11</f>
      </c>
      <c r="S11" s="35">
        <f>Ticker0027!AQ11</f>
      </c>
      <c r="T11" s="35">
        <f>Ticker0027!AR11</f>
      </c>
      <c r="U11" s="35">
        <f>Ticker0027!AS11</f>
      </c>
      <c r="V11" s="35">
        <f>Ticker0027!AU11</f>
      </c>
      <c r="W11" s="35">
        <f>Ticker0027!AV11</f>
      </c>
      <c r="X11" s="35">
        <f>Ticker0027!AW11</f>
      </c>
      <c r="Y11" s="35">
        <f>Ticker0027!AX11</f>
      </c>
      <c r="Z11" s="35">
        <f>Ticker0027!AZ11</f>
      </c>
      <c r="AA11" s="35">
        <f>Ticker0027!BA11</f>
      </c>
      <c r="AB11" s="35">
        <f>Ticker0027!BB11</f>
      </c>
      <c r="AC11" s="35">
        <f>Ticker0027!BC11</f>
      </c>
      <c r="AD11" s="35">
        <f>Ticker0027!BE11</f>
      </c>
      <c r="AE11" s="35">
        <f>Ticker0027!BF11</f>
      </c>
      <c r="AF11" s="35">
        <f>Ticker0027!BG11</f>
      </c>
      <c r="AG11" s="35">
        <f>Ticker0027!BH11</f>
      </c>
      <c r="AH11" s="35">
        <f>Ticker0027!BJ11</f>
      </c>
      <c r="AI11" s="35">
        <f>Ticker0027!BK11</f>
      </c>
      <c r="AJ11" s="35">
        <f>Ticker0027!BL11</f>
      </c>
      <c r="AK11" s="35">
        <f>Ticker0027!BM11</f>
      </c>
      <c r="AL11" s="35">
        <f>Ticker0027!BO11</f>
      </c>
      <c r="AM11" s="35">
        <f>Ticker0027!BP11</f>
      </c>
      <c r="AN11" s="35">
        <f>Ticker0027!BQ11</f>
      </c>
      <c r="AO11" s="35">
        <f>Ticker0027!BR11</f>
      </c>
      <c r="AP11" s="35">
        <f>Ticker0027!BT11</f>
      </c>
      <c r="AQ11" s="35">
        <f>Ticker0027!BU11</f>
      </c>
      <c r="AR11" s="35">
        <f>Ticker0027!BV11</f>
      </c>
      <c r="AS11" s="35">
        <f>Ticker0027!BW11</f>
      </c>
      <c r="AT11" s="35">
        <f>Ticker0027!BY11</f>
      </c>
      <c r="AU11" s="35">
        <f>Ticker0027!BZ11</f>
      </c>
      <c r="AV11" s="35">
        <f>Ticker0027!CA11</f>
      </c>
      <c r="AW11" s="35">
        <f>Ticker0027!CB11</f>
      </c>
      <c r="AX11" s="35">
        <f>Ticker0027!CD11</f>
      </c>
      <c r="AY11" s="35">
        <f>Ticker0027!CE11</f>
      </c>
      <c r="AZ11" s="35">
        <f>Ticker0027!CF11</f>
      </c>
      <c r="BA11" s="35">
        <f>Ticker0027!CG11</f>
      </c>
      <c r="BB11" s="35">
        <f>Ticker0027!CI11</f>
      </c>
      <c r="BC11" s="35">
        <f>Ticker0027!CJ11</f>
      </c>
      <c r="BD11" s="35">
        <f>Ticker0027!CK11</f>
      </c>
      <c r="BE11" s="35">
        <f>Ticker0027!CL11</f>
      </c>
      <c r="BF11" s="35">
        <f>Ticker0027!CN11</f>
      </c>
      <c r="BG11" s="35">
        <f>Ticker0027!CO11</f>
      </c>
      <c r="BH11" s="35">
        <f>Ticker0027!CP11</f>
      </c>
      <c r="BI11" s="35">
        <f>Ticker0027!CQ11</f>
      </c>
      <c r="BJ11" s="35">
        <f>Ticker0027!CS11</f>
      </c>
      <c r="BK11" s="337">
        <f>Ticker0027!CT11</f>
      </c>
      <c r="BL11" s="337">
        <f>Ticker0027!CU11</f>
      </c>
      <c r="BM11" s="35">
        <f>Ticker0027!CV11</f>
      </c>
      <c r="BN11" s="35">
        <f>Ticker0027!CX11</f>
      </c>
      <c r="BO11" s="35">
        <f>Ticker0027!CY11</f>
      </c>
      <c r="BP11" s="35">
        <f>Ticker0027!CZ11</f>
      </c>
      <c r="BQ11" s="35">
        <f>Ticker0027!DA11</f>
      </c>
      <c r="BR11" s="35">
        <f>Ticker0027!DC11</f>
      </c>
      <c r="BS11" s="35">
        <f>Ticker0027!DD11</f>
      </c>
      <c r="BT11" s="35">
        <f>Ticker0027!DE11</f>
      </c>
      <c r="BU11" s="35">
        <f>Ticker0027!DF11</f>
      </c>
      <c r="BV11" s="35">
        <f>Ticker0027!DH11</f>
      </c>
      <c r="BW11" s="35">
        <f>Ticker0027!DI11</f>
      </c>
      <c r="BX11" s="35">
        <f>Ticker0027!DJ11</f>
      </c>
      <c r="BY11" s="35">
        <f>Ticker0027!DK11</f>
      </c>
      <c r="BZ11" s="35">
        <f>Ticker0027!DM11</f>
      </c>
      <c r="CA11" s="35">
        <f>Ticker0027!DN11</f>
      </c>
      <c r="CB11" s="35">
        <f>Ticker0027!DO11</f>
      </c>
      <c r="CC11" s="35">
        <f>Ticker0027!DP11</f>
      </c>
      <c r="CD11" s="35">
        <f>Ticker0027!DR11</f>
      </c>
      <c r="CE11" s="35">
        <f>Ticker0027!DS11</f>
      </c>
      <c r="CF11" s="35">
        <f>Ticker0027!DT11</f>
      </c>
      <c r="CG11" s="35">
        <f>Ticker0027!DU11</f>
      </c>
      <c r="CH11" s="35">
        <f>Ticker0027!DW11</f>
      </c>
      <c r="CI11" s="35">
        <f>Ticker0027!DX11</f>
      </c>
      <c r="CJ11" s="35">
        <f>Ticker0027!DY11</f>
      </c>
      <c r="CK11" s="35">
        <f>Ticker0027!DZ11</f>
      </c>
      <c r="CL11" s="35">
        <f>Ticker0027!EB11</f>
      </c>
      <c r="CM11" s="35">
        <f>Ticker0027!EC11</f>
      </c>
      <c r="CN11" s="35">
        <f>Ticker0027!ED11</f>
      </c>
      <c r="CO11" s="35">
        <f>Ticker0027!EE11</f>
      </c>
      <c r="CP11" s="35">
        <f>Ticker0027!EG11</f>
      </c>
      <c r="CQ11" s="35">
        <f>Ticker0027!EH11</f>
      </c>
      <c r="CR11" s="35">
        <f>Ticker0027!EI11</f>
      </c>
      <c r="CS11" s="35">
        <f>Ticker0027!EJ11</f>
      </c>
      <c r="CT11" s="35">
        <f>Ticker0027!EL11</f>
      </c>
      <c r="CU11" s="35">
        <f>Ticker0027!EM11</f>
      </c>
      <c r="CV11" s="338">
        <f t="shared" ref="CV11:DA11" si="17">+CU11+5</f>
      </c>
      <c r="CW11" s="338">
        <f t="shared" si="17"/>
      </c>
      <c r="CX11" s="338">
        <f t="shared" si="17"/>
      </c>
      <c r="CY11" s="338">
        <f t="shared" si="17"/>
      </c>
      <c r="CZ11" s="338">
        <f t="shared" si="17"/>
      </c>
      <c r="DA11" s="338">
        <f t="shared" si="17"/>
      </c>
      <c r="DB11" s="338">
        <f>+DA11+5</f>
      </c>
      <c r="DC11" s="338">
        <f>+DB11+5</f>
      </c>
      <c r="DD11" s="338">
        <f>+DC11+5</f>
      </c>
      <c r="DE11" s="338">
        <f>+DD11+5</f>
      </c>
      <c r="DH11" s="35">
        <f>SUM(B11:E11)</f>
      </c>
      <c r="DI11" s="35">
        <f>SUM(F11:I11)</f>
      </c>
      <c r="DJ11" s="35">
        <f>SUM(J11:M11)</f>
      </c>
      <c r="DK11" s="35">
        <f>SUM(N11:Q11)</f>
      </c>
      <c r="DL11" s="35">
        <f>SUM(R11:U11)</f>
      </c>
      <c r="DM11" s="35">
        <f>SUM(V11:Y11)</f>
      </c>
      <c r="DN11" s="35">
        <f>SUM(Z11:AC11)</f>
      </c>
      <c r="DO11" s="35">
        <f>SUM(AD11:AG11)</f>
      </c>
      <c r="DP11" s="35">
        <f>SUM(AH11:AK11)</f>
      </c>
      <c r="DQ11" s="35">
        <f>SUM(AL11:AO11)</f>
      </c>
      <c r="DR11" s="35">
        <f>SUM(AP11:AS11)</f>
      </c>
      <c r="DS11" s="35">
        <f>SUM(AT11:AW11)</f>
      </c>
      <c r="DT11" s="35">
        <f>SUM(AX11:BA11)</f>
      </c>
      <c r="DU11" s="35">
        <f>SUM(BB11:BE11)</f>
      </c>
      <c r="DV11" s="35">
        <f>SUM(BF11:BI11)</f>
      </c>
      <c r="DW11" s="35">
        <f>SUM(BJ11:BM11)</f>
      </c>
      <c r="DX11" s="35">
        <f>SUM(BN11:BQ11)</f>
      </c>
      <c r="DY11" s="35">
        <f>SUM(BR11:BU11)</f>
      </c>
      <c r="DZ11" s="35">
        <f>BV11+BW11+BX11+BY11</f>
      </c>
      <c r="EA11" s="35">
        <f>CC11+CB11+CA11+BZ11</f>
      </c>
      <c r="EB11" s="35">
        <f>+CD11+CE11+CF11+CG11</f>
      </c>
      <c r="EC11" s="35">
        <f>SUM(CH11:CK11)</f>
      </c>
      <c r="ED11" s="35">
        <f>SUM(CL11:CO11)</f>
      </c>
      <c r="EE11" s="35">
        <f>SUM(CP11:CS11)</f>
      </c>
      <c r="EF11" s="338">
        <f>SUM(CT11:CW11)</f>
      </c>
      <c r="EG11" s="338">
        <f>SUM(CX11:DA11)</f>
      </c>
      <c r="EH11" s="338">
        <f>SUM(DB11:DE11)</f>
      </c>
    </row>
    <row r="12" spans="1:141" s="49" customFormat="1" ht="11.25" customHeight="1" outlineLevel="1">
      <c r="A12" s="349" t="s">
        <v>196</v>
      </c>
      <c r="C12" s="49">
        <f t="shared" ref="C12:BN12" si="18">C11/B11-1</f>
      </c>
      <c r="D12" s="49">
        <f t="shared" si="18"/>
      </c>
      <c r="E12" s="49">
        <f t="shared" si="18"/>
      </c>
      <c r="F12" s="49">
        <f t="shared" si="18"/>
      </c>
      <c r="G12" s="49">
        <f t="shared" si="18"/>
      </c>
      <c r="H12" s="49">
        <f t="shared" si="18"/>
      </c>
      <c r="I12" s="49">
        <f t="shared" si="18"/>
      </c>
      <c r="J12" s="49">
        <f t="shared" si="18"/>
      </c>
      <c r="K12" s="49">
        <f t="shared" si="18"/>
      </c>
      <c r="L12" s="49">
        <f t="shared" si="18"/>
      </c>
      <c r="M12" s="49">
        <f t="shared" si="18"/>
      </c>
      <c r="N12" s="49">
        <f t="shared" si="18"/>
      </c>
      <c r="O12" s="49">
        <f t="shared" si="18"/>
      </c>
      <c r="P12" s="49">
        <f t="shared" si="18"/>
      </c>
      <c r="Q12" s="49">
        <f t="shared" si="18"/>
      </c>
      <c r="R12" s="49">
        <f t="shared" si="18"/>
      </c>
      <c r="S12" s="49">
        <f t="shared" si="18"/>
      </c>
      <c r="T12" s="49">
        <f t="shared" si="18"/>
      </c>
      <c r="U12" s="49">
        <f t="shared" si="18"/>
      </c>
      <c r="V12" s="49">
        <f t="shared" si="18"/>
      </c>
      <c r="W12" s="49">
        <f t="shared" si="18"/>
      </c>
      <c r="X12" s="49">
        <f t="shared" si="18"/>
      </c>
      <c r="Y12" s="49">
        <f t="shared" si="18"/>
      </c>
      <c r="Z12" s="49">
        <f t="shared" si="18"/>
      </c>
      <c r="AA12" s="49">
        <f t="shared" si="18"/>
      </c>
      <c r="AB12" s="49">
        <f t="shared" si="18"/>
      </c>
      <c r="AC12" s="49">
        <f t="shared" si="18"/>
      </c>
      <c r="AD12" s="49">
        <f t="shared" si="18"/>
      </c>
      <c r="AE12" s="49">
        <f t="shared" si="18"/>
      </c>
      <c r="AF12" s="49">
        <f t="shared" si="18"/>
      </c>
      <c r="AG12" s="49">
        <f t="shared" si="18"/>
      </c>
      <c r="AH12" s="49">
        <f t="shared" si="18"/>
      </c>
      <c r="AI12" s="49">
        <f t="shared" si="18"/>
      </c>
      <c r="AJ12" s="49">
        <f t="shared" si="18"/>
      </c>
      <c r="AK12" s="49">
        <f t="shared" si="18"/>
      </c>
      <c r="AL12" s="49">
        <f t="shared" si="18"/>
      </c>
      <c r="AM12" s="49">
        <f t="shared" si="18"/>
      </c>
      <c r="AN12" s="49">
        <f t="shared" si="18"/>
      </c>
      <c r="AO12" s="49">
        <f t="shared" si="18"/>
      </c>
      <c r="AP12" s="49">
        <f t="shared" si="18"/>
      </c>
      <c r="AQ12" s="49">
        <f t="shared" si="18"/>
      </c>
      <c r="AR12" s="49">
        <f t="shared" si="18"/>
      </c>
      <c r="AS12" s="49">
        <f t="shared" si="18"/>
      </c>
      <c r="AT12" s="49">
        <f t="shared" si="18"/>
      </c>
      <c r="AU12" s="49">
        <f t="shared" si="18"/>
      </c>
      <c r="AV12" s="49">
        <f t="shared" si="18"/>
      </c>
      <c r="AW12" s="49">
        <f t="shared" si="18"/>
      </c>
      <c r="AX12" s="49">
        <f t="shared" si="18"/>
      </c>
      <c r="AY12" s="49">
        <f t="shared" si="18"/>
      </c>
      <c r="AZ12" s="49">
        <f t="shared" si="18"/>
      </c>
      <c r="BA12" s="49">
        <f t="shared" si="18"/>
      </c>
      <c r="BB12" s="49">
        <f t="shared" si="18"/>
      </c>
      <c r="BC12" s="49">
        <f t="shared" si="18"/>
      </c>
      <c r="BD12" s="49">
        <f t="shared" si="18"/>
      </c>
      <c r="BE12" s="49">
        <f t="shared" si="18"/>
      </c>
      <c r="BF12" s="49">
        <f t="shared" si="18"/>
      </c>
      <c r="BG12" s="49">
        <f t="shared" si="18"/>
      </c>
      <c r="BH12" s="49">
        <f t="shared" si="18"/>
      </c>
      <c r="BI12" s="49">
        <f t="shared" si="18"/>
      </c>
      <c r="BJ12" s="49">
        <f t="shared" si="18"/>
      </c>
      <c r="BK12" s="340">
        <f t="shared" si="18"/>
      </c>
      <c r="BL12" s="340">
        <f t="shared" si="18"/>
      </c>
      <c r="BM12" s="49">
        <f t="shared" si="18"/>
      </c>
      <c r="BN12" s="49">
        <f t="shared" si="18"/>
      </c>
      <c r="BO12" s="49">
        <f t="shared" ref="BO12:DE12" si="19">BO11/BN11-1</f>
      </c>
      <c r="BP12" s="49">
        <f t="shared" si="19"/>
      </c>
      <c r="BQ12" s="49">
        <f t="shared" si="19"/>
      </c>
      <c r="BR12" s="49">
        <f t="shared" si="19"/>
      </c>
      <c r="BS12" s="49">
        <f t="shared" si="19"/>
      </c>
      <c r="BT12" s="49">
        <f t="shared" si="19"/>
      </c>
      <c r="BU12" s="49">
        <f t="shared" si="19"/>
      </c>
      <c r="BV12" s="49">
        <f t="shared" si="19"/>
      </c>
      <c r="BW12" s="49">
        <f t="shared" si="19"/>
      </c>
      <c r="BX12" s="49">
        <f t="shared" si="19"/>
      </c>
      <c r="BY12" s="49">
        <f t="shared" si="19"/>
      </c>
      <c r="BZ12" s="49">
        <f t="shared" si="19"/>
      </c>
      <c r="CA12" s="49">
        <f t="shared" si="19"/>
      </c>
      <c r="CB12" s="49">
        <f t="shared" si="19"/>
      </c>
      <c r="CC12" s="49">
        <f t="shared" si="19"/>
      </c>
      <c r="CD12" s="49">
        <f t="shared" si="19"/>
      </c>
      <c r="CE12" s="49">
        <f t="shared" si="19"/>
      </c>
      <c r="CF12" s="49">
        <f t="shared" si="19"/>
      </c>
      <c r="CG12" s="49">
        <f t="shared" si="19"/>
      </c>
      <c r="CH12" s="49">
        <f t="shared" si="19"/>
      </c>
      <c r="CI12" s="49">
        <f t="shared" si="19"/>
      </c>
      <c r="CJ12" s="49">
        <f t="shared" si="19"/>
      </c>
      <c r="CK12" s="49">
        <f t="shared" si="19"/>
      </c>
      <c r="CL12" s="49">
        <f t="shared" si="19"/>
      </c>
      <c r="CM12" s="49">
        <f t="shared" si="19"/>
      </c>
      <c r="CN12" s="49">
        <f t="shared" si="19"/>
      </c>
      <c r="CO12" s="49">
        <f t="shared" si="19"/>
      </c>
      <c r="CP12" s="49">
        <f t="shared" si="19"/>
      </c>
      <c r="CQ12" s="49">
        <f t="shared" si="19"/>
      </c>
      <c r="CR12" s="49">
        <f t="shared" si="19"/>
      </c>
      <c r="CS12" s="49">
        <f t="shared" si="19"/>
      </c>
      <c r="CT12" s="49">
        <f>CT11/CS11-1</f>
      </c>
      <c r="CU12" s="49">
        <f>CU11/CT11-1</f>
      </c>
      <c r="CV12" s="341">
        <f t="shared" si="19"/>
      </c>
      <c r="CW12" s="341">
        <f t="shared" si="19"/>
      </c>
      <c r="CX12" s="341">
        <f t="shared" si="19"/>
      </c>
      <c r="CY12" s="341">
        <f t="shared" si="19"/>
      </c>
      <c r="CZ12" s="341">
        <f t="shared" si="19"/>
      </c>
      <c r="DA12" s="341">
        <f t="shared" si="19"/>
      </c>
      <c r="DB12" s="341">
        <f t="shared" si="19"/>
      </c>
      <c r="DC12" s="341">
        <f t="shared" si="19"/>
      </c>
      <c r="DD12" s="341">
        <f t="shared" si="19"/>
      </c>
      <c r="DE12" s="341">
        <f t="shared" si="19"/>
      </c>
      <c r="DY12" s="342" t="s">
        <v>197</v>
      </c>
      <c r="DZ12" s="342" t="s">
        <v>197</v>
      </c>
      <c r="EA12" s="342" t="s">
        <v>197</v>
      </c>
      <c r="EB12" s="342" t="s">
        <v>197</v>
      </c>
      <c r="EC12" s="342" t="s">
        <v>197</v>
      </c>
      <c r="ED12" s="342" t="s">
        <v>197</v>
      </c>
      <c r="EE12" s="342" t="s">
        <v>197</v>
      </c>
      <c r="EF12" s="343" t="s">
        <v>197</v>
      </c>
      <c r="EG12" s="343" t="s">
        <v>197</v>
      </c>
      <c r="EH12" s="343" t="s">
        <v>197</v>
      </c>
    </row>
    <row r="13" spans="1:141" s="49" customFormat="1" ht="11.25" customHeight="1" outlineLevel="1">
      <c r="A13" s="349" t="s">
        <v>198</v>
      </c>
      <c r="F13" s="49">
        <f t="shared" ref="F13:BQ13" si="20">F11/B11-1</f>
      </c>
      <c r="G13" s="49">
        <f t="shared" si="20"/>
      </c>
      <c r="H13" s="49">
        <f t="shared" si="20"/>
      </c>
      <c r="I13" s="49">
        <f t="shared" si="20"/>
      </c>
      <c r="J13" s="49">
        <f t="shared" si="20"/>
      </c>
      <c r="K13" s="49">
        <f t="shared" si="20"/>
      </c>
      <c r="L13" s="49">
        <f t="shared" si="20"/>
      </c>
      <c r="M13" s="49">
        <f t="shared" si="20"/>
      </c>
      <c r="N13" s="49">
        <f t="shared" si="20"/>
      </c>
      <c r="O13" s="49">
        <f t="shared" si="20"/>
      </c>
      <c r="P13" s="49">
        <f t="shared" si="20"/>
      </c>
      <c r="Q13" s="49">
        <f t="shared" si="20"/>
      </c>
      <c r="R13" s="49">
        <f t="shared" si="20"/>
      </c>
      <c r="S13" s="49">
        <f t="shared" si="20"/>
      </c>
      <c r="T13" s="49">
        <f t="shared" si="20"/>
      </c>
      <c r="U13" s="49">
        <f t="shared" si="20"/>
      </c>
      <c r="V13" s="49">
        <f t="shared" si="20"/>
      </c>
      <c r="W13" s="49">
        <f t="shared" si="20"/>
      </c>
      <c r="X13" s="49">
        <f t="shared" si="20"/>
      </c>
      <c r="Y13" s="49">
        <f t="shared" si="20"/>
      </c>
      <c r="Z13" s="49">
        <f t="shared" si="20"/>
      </c>
      <c r="AA13" s="49">
        <f t="shared" si="20"/>
      </c>
      <c r="AB13" s="49">
        <f t="shared" si="20"/>
      </c>
      <c r="AC13" s="49">
        <f t="shared" si="20"/>
      </c>
      <c r="AD13" s="49">
        <f t="shared" si="20"/>
      </c>
      <c r="AE13" s="49">
        <f t="shared" si="20"/>
      </c>
      <c r="AF13" s="49">
        <f t="shared" si="20"/>
      </c>
      <c r="AG13" s="49">
        <f t="shared" si="20"/>
      </c>
      <c r="AH13" s="49">
        <f t="shared" si="20"/>
      </c>
      <c r="AI13" s="49">
        <f t="shared" si="20"/>
      </c>
      <c r="AJ13" s="49">
        <f t="shared" si="20"/>
      </c>
      <c r="AK13" s="49">
        <f t="shared" si="20"/>
      </c>
      <c r="AL13" s="49">
        <f t="shared" si="20"/>
      </c>
      <c r="AM13" s="49">
        <f t="shared" si="20"/>
      </c>
      <c r="AN13" s="49">
        <f t="shared" si="20"/>
      </c>
      <c r="AO13" s="49">
        <f t="shared" si="20"/>
      </c>
      <c r="AP13" s="49">
        <f t="shared" si="20"/>
      </c>
      <c r="AQ13" s="49">
        <f t="shared" si="20"/>
      </c>
      <c r="AR13" s="49">
        <f t="shared" si="20"/>
      </c>
      <c r="AS13" s="49">
        <f t="shared" si="20"/>
      </c>
      <c r="AT13" s="49">
        <f t="shared" si="20"/>
      </c>
      <c r="AU13" s="49">
        <f t="shared" si="20"/>
      </c>
      <c r="AV13" s="49">
        <f t="shared" si="20"/>
      </c>
      <c r="AW13" s="49">
        <f t="shared" si="20"/>
      </c>
      <c r="AX13" s="49">
        <f t="shared" si="20"/>
      </c>
      <c r="AY13" s="49">
        <f t="shared" si="20"/>
      </c>
      <c r="AZ13" s="49">
        <f t="shared" si="20"/>
      </c>
      <c r="BA13" s="49">
        <f t="shared" si="20"/>
      </c>
      <c r="BB13" s="49">
        <f t="shared" si="20"/>
      </c>
      <c r="BC13" s="49">
        <f t="shared" si="20"/>
      </c>
      <c r="BD13" s="49">
        <f t="shared" si="20"/>
      </c>
      <c r="BE13" s="49">
        <f t="shared" si="20"/>
      </c>
      <c r="BF13" s="49">
        <f t="shared" si="20"/>
      </c>
      <c r="BG13" s="49">
        <f t="shared" si="20"/>
      </c>
      <c r="BH13" s="49">
        <f t="shared" si="20"/>
      </c>
      <c r="BI13" s="49">
        <f t="shared" si="20"/>
      </c>
      <c r="BJ13" s="49">
        <f t="shared" si="20"/>
      </c>
      <c r="BK13" s="340">
        <f t="shared" si="20"/>
      </c>
      <c r="BL13" s="340">
        <f t="shared" si="20"/>
      </c>
      <c r="BM13" s="49">
        <f t="shared" si="20"/>
      </c>
      <c r="BN13" s="49">
        <f t="shared" si="20"/>
      </c>
      <c r="BO13" s="49">
        <f t="shared" si="20"/>
      </c>
      <c r="BP13" s="49">
        <f t="shared" si="20"/>
      </c>
      <c r="BQ13" s="49">
        <f t="shared" si="20"/>
      </c>
      <c r="BR13" s="49">
        <f t="shared" ref="BR13:DE13" si="21">BR11/BN11-1</f>
      </c>
      <c r="BS13" s="49">
        <f t="shared" si="21"/>
      </c>
      <c r="BT13" s="49">
        <f t="shared" si="21"/>
      </c>
      <c r="BU13" s="49">
        <f t="shared" si="21"/>
      </c>
      <c r="BV13" s="49">
        <f t="shared" si="21"/>
      </c>
      <c r="BW13" s="49">
        <f t="shared" si="21"/>
      </c>
      <c r="BX13" s="49">
        <f t="shared" si="21"/>
      </c>
      <c r="BY13" s="49">
        <f t="shared" si="21"/>
      </c>
      <c r="BZ13" s="49">
        <f t="shared" si="21"/>
      </c>
      <c r="CA13" s="49">
        <f t="shared" si="21"/>
      </c>
      <c r="CB13" s="49">
        <f t="shared" si="21"/>
      </c>
      <c r="CC13" s="49">
        <f t="shared" si="21"/>
      </c>
      <c r="CD13" s="49">
        <f t="shared" si="21"/>
      </c>
      <c r="CE13" s="49">
        <f t="shared" si="21"/>
      </c>
      <c r="CF13" s="49">
        <f t="shared" si="21"/>
      </c>
      <c r="CG13" s="49">
        <f t="shared" si="21"/>
      </c>
      <c r="CH13" s="49">
        <f t="shared" si="21"/>
      </c>
      <c r="CI13" s="49">
        <f t="shared" si="21"/>
      </c>
      <c r="CJ13" s="49">
        <f t="shared" si="21"/>
      </c>
      <c r="CK13" s="49">
        <f t="shared" si="21"/>
      </c>
      <c r="CL13" s="49">
        <f t="shared" si="21"/>
      </c>
      <c r="CM13" s="49">
        <f t="shared" si="21"/>
      </c>
      <c r="CN13" s="49">
        <f t="shared" si="21"/>
      </c>
      <c r="CO13" s="49">
        <f t="shared" si="21"/>
      </c>
      <c r="CP13" s="49">
        <f t="shared" si="21"/>
      </c>
      <c r="CQ13" s="49">
        <f t="shared" si="21"/>
      </c>
      <c r="CR13" s="49">
        <f t="shared" si="21"/>
      </c>
      <c r="CS13" s="49">
        <f t="shared" si="21"/>
      </c>
      <c r="CT13" s="49">
        <f>CT11/CP11-1</f>
      </c>
      <c r="CU13" s="49">
        <f>CU11/CQ11-1</f>
      </c>
      <c r="CV13" s="341">
        <f t="shared" si="21"/>
      </c>
      <c r="CW13" s="341">
        <f t="shared" si="21"/>
      </c>
      <c r="CX13" s="341">
        <f t="shared" si="21"/>
      </c>
      <c r="CY13" s="341">
        <f t="shared" si="21"/>
      </c>
      <c r="CZ13" s="341">
        <f t="shared" si="21"/>
      </c>
      <c r="DA13" s="341">
        <f t="shared" si="21"/>
      </c>
      <c r="DB13" s="341">
        <f t="shared" si="21"/>
      </c>
      <c r="DC13" s="341">
        <f t="shared" si="21"/>
      </c>
      <c r="DD13" s="341">
        <f t="shared" si="21"/>
      </c>
      <c r="DE13" s="341">
        <f t="shared" si="21"/>
      </c>
      <c r="DI13" s="49">
        <f>DI11/DH11-1</f>
      </c>
      <c r="DJ13" s="49">
        <f t="shared" ref="DJ13:EH13" si="22">DJ11/DI11-1</f>
      </c>
      <c r="DK13" s="49">
        <f t="shared" si="22"/>
      </c>
      <c r="DL13" s="49">
        <f t="shared" si="22"/>
      </c>
      <c r="DM13" s="49">
        <f t="shared" si="22"/>
      </c>
      <c r="DN13" s="49">
        <f t="shared" si="22"/>
      </c>
      <c r="DO13" s="49">
        <f t="shared" si="22"/>
      </c>
      <c r="DP13" s="49">
        <f t="shared" si="22"/>
      </c>
      <c r="DQ13" s="49">
        <f t="shared" si="22"/>
      </c>
      <c r="DR13" s="49">
        <f t="shared" si="22"/>
      </c>
      <c r="DS13" s="49">
        <f t="shared" si="22"/>
      </c>
      <c r="DT13" s="49">
        <f t="shared" si="22"/>
      </c>
      <c r="DU13" s="49">
        <f t="shared" si="22"/>
      </c>
      <c r="DV13" s="49">
        <f t="shared" si="22"/>
      </c>
      <c r="DW13" s="49">
        <f t="shared" si="22"/>
      </c>
      <c r="DX13" s="49">
        <f t="shared" si="22"/>
      </c>
      <c r="DY13" s="49">
        <f t="shared" si="22"/>
      </c>
      <c r="DZ13" s="49">
        <f t="shared" si="22"/>
      </c>
      <c r="EA13" s="49">
        <f t="shared" si="22"/>
      </c>
      <c r="EB13" s="49">
        <f t="shared" si="22"/>
      </c>
      <c r="EC13" s="49">
        <f t="shared" si="22"/>
      </c>
      <c r="ED13" s="49">
        <f t="shared" si="22"/>
      </c>
      <c r="EE13" s="49">
        <f t="shared" si="22"/>
      </c>
      <c r="EF13" s="341">
        <f t="shared" si="22"/>
      </c>
      <c r="EG13" s="341">
        <f t="shared" si="22"/>
      </c>
      <c r="EH13" s="341">
        <f t="shared" si="22"/>
      </c>
    </row>
    <row r="14" spans="1:141" s="49" customFormat="1" ht="11.25" customHeight="1" outlineLevel="1">
      <c r="A14" s="349" t="s">
        <v>201</v>
      </c>
      <c r="B14" s="49">
        <f t="shared" ref="B14:BM14" si="23">B11/B$5</f>
      </c>
      <c r="C14" s="49">
        <f t="shared" si="23"/>
      </c>
      <c r="D14" s="49">
        <f t="shared" si="23"/>
      </c>
      <c r="E14" s="49">
        <f t="shared" si="23"/>
      </c>
      <c r="F14" s="49">
        <f t="shared" si="23"/>
      </c>
      <c r="G14" s="49">
        <f t="shared" si="23"/>
      </c>
      <c r="H14" s="49">
        <f t="shared" si="23"/>
      </c>
      <c r="I14" s="49">
        <f t="shared" si="23"/>
      </c>
      <c r="J14" s="49">
        <f t="shared" si="23"/>
      </c>
      <c r="K14" s="49">
        <f t="shared" si="23"/>
      </c>
      <c r="L14" s="49">
        <f t="shared" si="23"/>
      </c>
      <c r="M14" s="49">
        <f t="shared" si="23"/>
      </c>
      <c r="N14" s="49">
        <f t="shared" si="23"/>
      </c>
      <c r="O14" s="49">
        <f t="shared" si="23"/>
      </c>
      <c r="P14" s="49">
        <f t="shared" si="23"/>
      </c>
      <c r="Q14" s="49">
        <f t="shared" si="23"/>
      </c>
      <c r="R14" s="49">
        <f t="shared" si="23"/>
      </c>
      <c r="S14" s="49">
        <f t="shared" si="23"/>
      </c>
      <c r="T14" s="49">
        <f t="shared" si="23"/>
      </c>
      <c r="U14" s="49">
        <f t="shared" si="23"/>
      </c>
      <c r="V14" s="49">
        <f t="shared" si="23"/>
      </c>
      <c r="W14" s="49">
        <f t="shared" si="23"/>
      </c>
      <c r="X14" s="49">
        <f t="shared" si="23"/>
      </c>
      <c r="Y14" s="49">
        <f t="shared" si="23"/>
      </c>
      <c r="Z14" s="49">
        <f t="shared" si="23"/>
      </c>
      <c r="AA14" s="49">
        <f t="shared" si="23"/>
      </c>
      <c r="AB14" s="49">
        <f t="shared" si="23"/>
      </c>
      <c r="AC14" s="49">
        <f t="shared" si="23"/>
      </c>
      <c r="AD14" s="49">
        <f t="shared" si="23"/>
      </c>
      <c r="AE14" s="49">
        <f t="shared" si="23"/>
      </c>
      <c r="AF14" s="49">
        <f t="shared" si="23"/>
      </c>
      <c r="AG14" s="49">
        <f t="shared" si="23"/>
      </c>
      <c r="AH14" s="49">
        <f t="shared" si="23"/>
      </c>
      <c r="AI14" s="49">
        <f t="shared" si="23"/>
      </c>
      <c r="AJ14" s="49">
        <f t="shared" si="23"/>
      </c>
      <c r="AK14" s="49">
        <f t="shared" si="23"/>
      </c>
      <c r="AL14" s="49">
        <f t="shared" si="23"/>
      </c>
      <c r="AM14" s="49">
        <f t="shared" si="23"/>
      </c>
      <c r="AN14" s="49">
        <f t="shared" si="23"/>
      </c>
      <c r="AO14" s="49">
        <f t="shared" si="23"/>
      </c>
      <c r="AP14" s="49">
        <f t="shared" si="23"/>
      </c>
      <c r="AQ14" s="49">
        <f t="shared" si="23"/>
      </c>
      <c r="AR14" s="49">
        <f t="shared" si="23"/>
      </c>
      <c r="AS14" s="49">
        <f t="shared" si="23"/>
      </c>
      <c r="AT14" s="49">
        <f t="shared" si="23"/>
      </c>
      <c r="AU14" s="49">
        <f t="shared" si="23"/>
      </c>
      <c r="AV14" s="49">
        <f t="shared" si="23"/>
      </c>
      <c r="AW14" s="49">
        <f t="shared" si="23"/>
      </c>
      <c r="AX14" s="49">
        <f t="shared" si="23"/>
      </c>
      <c r="AY14" s="49">
        <f t="shared" si="23"/>
      </c>
      <c r="AZ14" s="49">
        <f t="shared" si="23"/>
      </c>
      <c r="BA14" s="49">
        <f t="shared" si="23"/>
      </c>
      <c r="BB14" s="49">
        <f t="shared" si="23"/>
      </c>
      <c r="BC14" s="49">
        <f t="shared" si="23"/>
      </c>
      <c r="BD14" s="49">
        <f t="shared" si="23"/>
      </c>
      <c r="BE14" s="49">
        <f t="shared" si="23"/>
      </c>
      <c r="BF14" s="49">
        <f t="shared" si="23"/>
      </c>
      <c r="BG14" s="49">
        <f t="shared" si="23"/>
      </c>
      <c r="BH14" s="49">
        <f t="shared" si="23"/>
      </c>
      <c r="BI14" s="49">
        <f t="shared" si="23"/>
      </c>
      <c r="BJ14" s="49">
        <f t="shared" si="23"/>
      </c>
      <c r="BK14" s="340">
        <f t="shared" si="23"/>
      </c>
      <c r="BL14" s="340">
        <f t="shared" si="23"/>
      </c>
      <c r="BM14" s="49">
        <f t="shared" si="23"/>
      </c>
      <c r="BN14" s="49">
        <f t="shared" ref="BN14" si="24">BN11/BN$5</f>
      </c>
      <c r="BO14" s="49">
        <f>BO11/BO$5</f>
      </c>
      <c r="BP14" s="49">
        <f t="shared" ref="BP14:CS14" si="25">BP11/BP$5</f>
      </c>
      <c r="BQ14" s="49">
        <f t="shared" si="25"/>
      </c>
      <c r="BR14" s="49">
        <f>BR11/BR$5</f>
      </c>
      <c r="BS14" s="49">
        <f t="shared" si="25"/>
      </c>
      <c r="BT14" s="49">
        <f>BT11/BT$5</f>
      </c>
      <c r="BU14" s="49">
        <f t="shared" si="25"/>
      </c>
      <c r="BV14" s="49">
        <f t="shared" si="25"/>
      </c>
      <c r="BW14" s="49">
        <f t="shared" si="25"/>
      </c>
      <c r="BX14" s="49">
        <f t="shared" si="25"/>
      </c>
      <c r="BY14" s="49">
        <f t="shared" si="25"/>
      </c>
      <c r="BZ14" s="49">
        <f t="shared" si="25"/>
      </c>
      <c r="CA14" s="49">
        <f t="shared" si="25"/>
      </c>
      <c r="CB14" s="49">
        <f t="shared" si="25"/>
      </c>
      <c r="CC14" s="49">
        <f t="shared" si="25"/>
      </c>
      <c r="CD14" s="49">
        <f t="shared" si="25"/>
      </c>
      <c r="CE14" s="49">
        <f t="shared" si="25"/>
      </c>
      <c r="CF14" s="49">
        <f t="shared" si="25"/>
      </c>
      <c r="CG14" s="49">
        <f t="shared" si="25"/>
      </c>
      <c r="CH14" s="49">
        <f t="shared" si="25"/>
      </c>
      <c r="CI14" s="49">
        <f t="shared" si="25"/>
      </c>
      <c r="CJ14" s="49">
        <f t="shared" si="25"/>
      </c>
      <c r="CK14" s="49">
        <f t="shared" si="25"/>
      </c>
      <c r="CL14" s="49">
        <f t="shared" si="25"/>
      </c>
      <c r="CM14" s="49">
        <f t="shared" si="25"/>
      </c>
      <c r="CN14" s="49">
        <f t="shared" si="25"/>
      </c>
      <c r="CO14" s="49">
        <f t="shared" si="25"/>
      </c>
      <c r="CP14" s="49">
        <f t="shared" si="25"/>
      </c>
      <c r="CQ14" s="49">
        <f t="shared" si="25"/>
      </c>
      <c r="CR14" s="49">
        <f t="shared" si="25"/>
      </c>
      <c r="CS14" s="49">
        <f t="shared" si="25"/>
      </c>
      <c r="CT14" s="49">
        <f>CT11/CT$5</f>
      </c>
      <c r="CU14" s="49">
        <f>CU11/CU$5</f>
      </c>
      <c r="CV14" s="341">
        <f t="shared" ref="CV14:DA14" si="26">CV11/CV$5</f>
      </c>
      <c r="CW14" s="341">
        <f t="shared" si="26"/>
      </c>
      <c r="CX14" s="341">
        <f t="shared" si="26"/>
      </c>
      <c r="CY14" s="341">
        <f t="shared" si="26"/>
      </c>
      <c r="CZ14" s="341">
        <f t="shared" si="26"/>
      </c>
      <c r="DA14" s="341">
        <f t="shared" si="26"/>
      </c>
      <c r="DB14" s="341">
        <f>DB11/DB$5</f>
      </c>
      <c r="DC14" s="341">
        <f>DC11/DC$5</f>
      </c>
      <c r="DD14" s="341">
        <f>DD11/DD$5</f>
      </c>
      <c r="DE14" s="341">
        <f>DE11/DE$5</f>
      </c>
      <c r="DH14" s="49">
        <f>DH11/DH$5</f>
      </c>
      <c r="DI14" s="49">
        <f t="shared" ref="DI14:ED14" si="27">DI11/DI$5</f>
      </c>
      <c r="DJ14" s="49">
        <f t="shared" si="27"/>
      </c>
      <c r="DK14" s="49">
        <f t="shared" si="27"/>
      </c>
      <c r="DL14" s="49">
        <f t="shared" si="27"/>
      </c>
      <c r="DM14" s="49">
        <f t="shared" si="27"/>
      </c>
      <c r="DN14" s="49">
        <f t="shared" si="27"/>
      </c>
      <c r="DO14" s="49">
        <f t="shared" si="27"/>
      </c>
      <c r="DP14" s="49">
        <f t="shared" si="27"/>
      </c>
      <c r="DQ14" s="49">
        <f t="shared" si="27"/>
      </c>
      <c r="DR14" s="49">
        <f t="shared" si="27"/>
      </c>
      <c r="DS14" s="49">
        <f t="shared" si="27"/>
      </c>
      <c r="DT14" s="49">
        <f t="shared" si="27"/>
      </c>
      <c r="DU14" s="49">
        <f t="shared" si="27"/>
      </c>
      <c r="DV14" s="49">
        <f t="shared" si="27"/>
      </c>
      <c r="DW14" s="49">
        <f t="shared" si="27"/>
      </c>
      <c r="DX14" s="49">
        <f t="shared" si="27"/>
      </c>
      <c r="DY14" s="49">
        <f t="shared" si="27"/>
      </c>
      <c r="DZ14" s="49">
        <f t="shared" si="27"/>
      </c>
      <c r="EA14" s="49">
        <f t="shared" si="27"/>
      </c>
      <c r="EB14" s="49">
        <f t="shared" si="27"/>
      </c>
      <c r="EC14" s="49">
        <f t="shared" si="27"/>
      </c>
      <c r="ED14" s="49">
        <f t="shared" si="27"/>
      </c>
      <c r="EE14" s="49">
        <f>EE11/EE$5</f>
      </c>
      <c r="EF14" s="341">
        <f>EF11/EF$5</f>
      </c>
      <c r="EG14" s="341">
        <f>EG11/EG$5</f>
      </c>
      <c r="EH14" s="341">
        <f>EH11/EH$5</f>
      </c>
    </row>
    <row r="15" spans="1:141" s="47" customFormat="1" ht="11.25" customHeight="1">
      <c r="A15" s="336" t="s">
        <v>202</v>
      </c>
      <c r="B15" s="35">
        <f t="shared" ref="B15:BM15" si="28">B5-B8-B11</f>
      </c>
      <c r="C15" s="35">
        <f t="shared" si="28"/>
      </c>
      <c r="D15" s="35">
        <f t="shared" si="28"/>
      </c>
      <c r="E15" s="35">
        <f t="shared" si="28"/>
      </c>
      <c r="F15" s="35">
        <f t="shared" si="28"/>
      </c>
      <c r="G15" s="35">
        <f t="shared" si="28"/>
      </c>
      <c r="H15" s="35">
        <f t="shared" si="28"/>
      </c>
      <c r="I15" s="35">
        <f t="shared" si="28"/>
      </c>
      <c r="J15" s="35">
        <f t="shared" si="28"/>
      </c>
      <c r="K15" s="35">
        <f t="shared" si="28"/>
      </c>
      <c r="L15" s="35">
        <f t="shared" si="28"/>
      </c>
      <c r="M15" s="35">
        <f t="shared" si="28"/>
      </c>
      <c r="N15" s="35">
        <f t="shared" si="28"/>
      </c>
      <c r="O15" s="35">
        <f t="shared" si="28"/>
      </c>
      <c r="P15" s="35">
        <f t="shared" si="28"/>
      </c>
      <c r="Q15" s="35">
        <f t="shared" si="28"/>
      </c>
      <c r="R15" s="35">
        <f t="shared" si="28"/>
      </c>
      <c r="S15" s="35">
        <f t="shared" si="28"/>
      </c>
      <c r="T15" s="35">
        <f t="shared" si="28"/>
      </c>
      <c r="U15" s="35">
        <f t="shared" si="28"/>
      </c>
      <c r="V15" s="35">
        <f t="shared" si="28"/>
      </c>
      <c r="W15" s="35">
        <f t="shared" si="28"/>
      </c>
      <c r="X15" s="35">
        <f t="shared" si="28"/>
      </c>
      <c r="Y15" s="35">
        <f t="shared" si="28"/>
      </c>
      <c r="Z15" s="35">
        <f t="shared" si="28"/>
      </c>
      <c r="AA15" s="35">
        <f t="shared" si="28"/>
      </c>
      <c r="AB15" s="35">
        <f t="shared" si="28"/>
      </c>
      <c r="AC15" s="35">
        <f t="shared" si="28"/>
      </c>
      <c r="AD15" s="35">
        <f t="shared" si="28"/>
      </c>
      <c r="AE15" s="35">
        <f t="shared" si="28"/>
      </c>
      <c r="AF15" s="35">
        <f t="shared" si="28"/>
      </c>
      <c r="AG15" s="35">
        <f t="shared" si="28"/>
      </c>
      <c r="AH15" s="35">
        <f t="shared" si="28"/>
      </c>
      <c r="AI15" s="35">
        <f t="shared" si="28"/>
      </c>
      <c r="AJ15" s="35">
        <f t="shared" si="28"/>
      </c>
      <c r="AK15" s="35">
        <f t="shared" si="28"/>
      </c>
      <c r="AL15" s="35">
        <f t="shared" si="28"/>
      </c>
      <c r="AM15" s="35">
        <f t="shared" si="28"/>
      </c>
      <c r="AN15" s="35">
        <f t="shared" si="28"/>
      </c>
      <c r="AO15" s="35">
        <f t="shared" si="28"/>
      </c>
      <c r="AP15" s="35">
        <f t="shared" si="28"/>
      </c>
      <c r="AQ15" s="35">
        <f t="shared" si="28"/>
      </c>
      <c r="AR15" s="35">
        <f t="shared" si="28"/>
      </c>
      <c r="AS15" s="35">
        <f t="shared" si="28"/>
      </c>
      <c r="AT15" s="35">
        <f t="shared" si="28"/>
      </c>
      <c r="AU15" s="35">
        <f t="shared" si="28"/>
      </c>
      <c r="AV15" s="35">
        <f t="shared" si="28"/>
      </c>
      <c r="AW15" s="35">
        <f t="shared" si="28"/>
      </c>
      <c r="AX15" s="35">
        <f t="shared" si="28"/>
      </c>
      <c r="AY15" s="35">
        <f t="shared" si="28"/>
      </c>
      <c r="AZ15" s="35">
        <f t="shared" si="28"/>
      </c>
      <c r="BA15" s="35">
        <f t="shared" si="28"/>
      </c>
      <c r="BB15" s="35">
        <f t="shared" si="28"/>
      </c>
      <c r="BC15" s="35">
        <f t="shared" si="28"/>
      </c>
      <c r="BD15" s="35">
        <f t="shared" si="28"/>
      </c>
      <c r="BE15" s="35">
        <f t="shared" si="28"/>
      </c>
      <c r="BF15" s="35">
        <f t="shared" si="28"/>
      </c>
      <c r="BG15" s="35">
        <f t="shared" si="28"/>
      </c>
      <c r="BH15" s="35">
        <f t="shared" si="28"/>
      </c>
      <c r="BI15" s="35">
        <f t="shared" si="28"/>
      </c>
      <c r="BJ15" s="35">
        <f t="shared" si="28"/>
      </c>
      <c r="BK15" s="337">
        <f t="shared" si="28"/>
      </c>
      <c r="BL15" s="337">
        <f t="shared" si="28"/>
      </c>
      <c r="BM15" s="35">
        <f t="shared" si="28"/>
      </c>
      <c r="BN15" s="35">
        <f t="shared" ref="BN15:CS15" si="29">BN5-BN8-BN11</f>
      </c>
      <c r="BO15" s="35">
        <f t="shared" si="29"/>
      </c>
      <c r="BP15" s="35">
        <f t="shared" si="29"/>
      </c>
      <c r="BQ15" s="35">
        <f t="shared" si="29"/>
      </c>
      <c r="BR15" s="35">
        <f t="shared" si="29"/>
      </c>
      <c r="BS15" s="35">
        <f t="shared" si="29"/>
      </c>
      <c r="BT15" s="35">
        <f t="shared" si="29"/>
      </c>
      <c r="BU15" s="35">
        <f t="shared" si="29"/>
      </c>
      <c r="BV15" s="35">
        <f t="shared" si="29"/>
      </c>
      <c r="BW15" s="35">
        <f t="shared" si="29"/>
      </c>
      <c r="BX15" s="35">
        <f t="shared" si="29"/>
      </c>
      <c r="BY15" s="35">
        <f t="shared" si="29"/>
      </c>
      <c r="BZ15" s="35">
        <f t="shared" si="29"/>
      </c>
      <c r="CA15" s="35">
        <f t="shared" si="29"/>
      </c>
      <c r="CB15" s="35">
        <f t="shared" si="29"/>
      </c>
      <c r="CC15" s="35">
        <f t="shared" si="29"/>
      </c>
      <c r="CD15" s="35">
        <f t="shared" si="29"/>
      </c>
      <c r="CE15" s="35">
        <f t="shared" si="29"/>
      </c>
      <c r="CF15" s="35">
        <f t="shared" si="29"/>
      </c>
      <c r="CG15" s="35">
        <f t="shared" si="29"/>
      </c>
      <c r="CH15" s="35">
        <f t="shared" si="29"/>
      </c>
      <c r="CI15" s="35">
        <f t="shared" si="29"/>
      </c>
      <c r="CJ15" s="35">
        <f t="shared" si="29"/>
      </c>
      <c r="CK15" s="35">
        <f t="shared" si="29"/>
      </c>
      <c r="CL15" s="35">
        <f t="shared" si="29"/>
      </c>
      <c r="CM15" s="35">
        <f t="shared" si="29"/>
      </c>
      <c r="CN15" s="35">
        <f t="shared" si="29"/>
      </c>
      <c r="CO15" s="35">
        <f t="shared" si="29"/>
      </c>
      <c r="CP15" s="35">
        <f t="shared" si="29"/>
      </c>
      <c r="CQ15" s="35">
        <f t="shared" si="29"/>
      </c>
      <c r="CR15" s="35">
        <f t="shared" si="29"/>
      </c>
      <c r="CS15" s="35">
        <f t="shared" si="29"/>
      </c>
      <c r="CT15" s="35">
        <f>CT5-CT8-CT11</f>
      </c>
      <c r="CU15" s="35">
        <f>CU5-CU8-CU11</f>
      </c>
      <c r="CV15" s="338">
        <f t="shared" ref="CV15:DA15" si="30">CV174</f>
      </c>
      <c r="CW15" s="338">
        <f t="shared" si="30"/>
      </c>
      <c r="CX15" s="338">
        <f t="shared" si="30"/>
      </c>
      <c r="CY15" s="338">
        <f t="shared" si="30"/>
      </c>
      <c r="CZ15" s="338">
        <f t="shared" si="30"/>
      </c>
      <c r="DA15" s="338">
        <f t="shared" si="30"/>
      </c>
      <c r="DB15" s="338">
        <f>DB174</f>
      </c>
      <c r="DC15" s="338">
        <f>DC174</f>
      </c>
      <c r="DD15" s="338">
        <f>DD174</f>
      </c>
      <c r="DE15" s="338">
        <f>DE174</f>
      </c>
      <c r="DH15" s="35">
        <f>SUM(B15:E15)</f>
      </c>
      <c r="DI15" s="35">
        <f>SUM(F15:I15)</f>
      </c>
      <c r="DJ15" s="35">
        <f>SUM(J15:M15)</f>
      </c>
      <c r="DK15" s="35">
        <f>SUM(N15:Q15)</f>
      </c>
      <c r="DL15" s="35">
        <f>SUM(R15:U15)</f>
      </c>
      <c r="DM15" s="35">
        <f>SUM(V15:Y15)</f>
      </c>
      <c r="DN15" s="35">
        <f>SUM(Z15:AC15)</f>
      </c>
      <c r="DO15" s="35">
        <f>SUM(AD15:AG15)</f>
      </c>
      <c r="DP15" s="35">
        <f>SUM(AH15:AK15)</f>
      </c>
      <c r="DQ15" s="35">
        <f>SUM(AL15:AO15)</f>
      </c>
      <c r="DR15" s="35">
        <f>SUM(AP15:AS15)</f>
      </c>
      <c r="DS15" s="35">
        <f>SUM(AT15:AW15)</f>
      </c>
      <c r="DT15" s="35">
        <f>SUM(AX15:BA15)</f>
      </c>
      <c r="DU15" s="35">
        <f>SUM(BB15:BE15)</f>
      </c>
      <c r="DV15" s="35">
        <f>SUM(BF15:BI15)</f>
      </c>
      <c r="DW15" s="35">
        <f>SUM(BJ15:BM15)</f>
      </c>
      <c r="DX15" s="35">
        <f>SUM(BN15:BQ15)</f>
      </c>
      <c r="DY15" s="35">
        <f>SUM(BR15:BU15)</f>
      </c>
      <c r="DZ15" s="35">
        <f>BV15+BW15+BX15+BY15</f>
      </c>
      <c r="EA15" s="35">
        <f>CC15+CB15+CA15+BZ15</f>
      </c>
      <c r="EB15" s="35">
        <f>+CD15+CE15+CF15+CG15</f>
      </c>
      <c r="EC15" s="35">
        <f>SUM(CH15:CK15)</f>
      </c>
      <c r="ED15" s="35">
        <f>SUM(CL15:CO15)</f>
      </c>
      <c r="EE15" s="35">
        <f>SUM(CP15:CS15)</f>
      </c>
      <c r="EF15" s="338">
        <f>SUM(CT15:CW15)</f>
      </c>
      <c r="EG15" s="338">
        <f>SUM(CX15:DA15)</f>
      </c>
      <c r="EH15" s="338">
        <f>SUM(DB15:DE15)</f>
      </c>
    </row>
    <row r="16" spans="1:141" s="49" customFormat="1" ht="11.25" customHeight="1">
      <c r="A16" s="48" t="s">
        <v>196</v>
      </c>
      <c r="C16" s="49">
        <f t="shared" ref="C16:BN16" si="31">C15/B15-1</f>
      </c>
      <c r="D16" s="49">
        <f t="shared" si="31"/>
      </c>
      <c r="E16" s="49">
        <f t="shared" si="31"/>
      </c>
      <c r="F16" s="49">
        <f t="shared" si="31"/>
      </c>
      <c r="G16" s="49">
        <f t="shared" si="31"/>
      </c>
      <c r="H16" s="49">
        <f t="shared" si="31"/>
      </c>
      <c r="I16" s="49">
        <f t="shared" si="31"/>
      </c>
      <c r="J16" s="49">
        <f t="shared" si="31"/>
      </c>
      <c r="K16" s="49">
        <f t="shared" si="31"/>
      </c>
      <c r="L16" s="49">
        <f t="shared" si="31"/>
      </c>
      <c r="M16" s="49">
        <f t="shared" si="31"/>
      </c>
      <c r="N16" s="49">
        <f t="shared" si="31"/>
      </c>
      <c r="O16" s="49">
        <f t="shared" si="31"/>
      </c>
      <c r="P16" s="49">
        <f t="shared" si="31"/>
      </c>
      <c r="Q16" s="49">
        <f t="shared" si="31"/>
      </c>
      <c r="R16" s="49">
        <f t="shared" si="31"/>
      </c>
      <c r="S16" s="49">
        <f t="shared" si="31"/>
      </c>
      <c r="T16" s="49">
        <f t="shared" si="31"/>
      </c>
      <c r="U16" s="49">
        <f t="shared" si="31"/>
      </c>
      <c r="V16" s="49">
        <f t="shared" si="31"/>
      </c>
      <c r="W16" s="49">
        <f t="shared" si="31"/>
      </c>
      <c r="X16" s="49">
        <f t="shared" si="31"/>
      </c>
      <c r="Y16" s="49">
        <f t="shared" si="31"/>
      </c>
      <c r="Z16" s="49">
        <f t="shared" si="31"/>
      </c>
      <c r="AA16" s="49">
        <f t="shared" si="31"/>
      </c>
      <c r="AB16" s="49">
        <f t="shared" si="31"/>
      </c>
      <c r="AC16" s="49">
        <f t="shared" si="31"/>
      </c>
      <c r="AD16" s="49">
        <f t="shared" si="31"/>
      </c>
      <c r="AE16" s="49">
        <f t="shared" si="31"/>
      </c>
      <c r="AF16" s="49">
        <f t="shared" si="31"/>
      </c>
      <c r="AG16" s="49">
        <f t="shared" si="31"/>
      </c>
      <c r="AH16" s="49">
        <f t="shared" si="31"/>
      </c>
      <c r="AI16" s="49">
        <f t="shared" si="31"/>
      </c>
      <c r="AJ16" s="49">
        <f t="shared" si="31"/>
      </c>
      <c r="AK16" s="49">
        <f t="shared" si="31"/>
      </c>
      <c r="AL16" s="49">
        <f t="shared" si="31"/>
      </c>
      <c r="AM16" s="49">
        <f t="shared" si="31"/>
      </c>
      <c r="AN16" s="49">
        <f t="shared" si="31"/>
      </c>
      <c r="AO16" s="49">
        <f t="shared" si="31"/>
      </c>
      <c r="AP16" s="49">
        <f t="shared" si="31"/>
      </c>
      <c r="AQ16" s="49">
        <f t="shared" si="31"/>
      </c>
      <c r="AR16" s="49">
        <f t="shared" si="31"/>
      </c>
      <c r="AS16" s="49">
        <f t="shared" si="31"/>
      </c>
      <c r="AT16" s="49">
        <f t="shared" si="31"/>
      </c>
      <c r="AU16" s="49">
        <f t="shared" si="31"/>
      </c>
      <c r="AV16" s="49">
        <f t="shared" si="31"/>
      </c>
      <c r="AW16" s="49">
        <f t="shared" si="31"/>
      </c>
      <c r="AX16" s="49">
        <f t="shared" si="31"/>
      </c>
      <c r="AY16" s="49">
        <f t="shared" si="31"/>
      </c>
      <c r="AZ16" s="49">
        <f t="shared" si="31"/>
      </c>
      <c r="BA16" s="49">
        <f t="shared" si="31"/>
      </c>
      <c r="BB16" s="49">
        <f t="shared" si="31"/>
      </c>
      <c r="BC16" s="49">
        <f t="shared" si="31"/>
      </c>
      <c r="BD16" s="49">
        <f t="shared" si="31"/>
      </c>
      <c r="BE16" s="49">
        <f t="shared" si="31"/>
      </c>
      <c r="BF16" s="49">
        <f t="shared" si="31"/>
      </c>
      <c r="BG16" s="49">
        <f t="shared" si="31"/>
      </c>
      <c r="BH16" s="49">
        <f t="shared" si="31"/>
      </c>
      <c r="BI16" s="49">
        <f t="shared" si="31"/>
      </c>
      <c r="BJ16" s="49">
        <f t="shared" si="31"/>
      </c>
      <c r="BK16" s="340">
        <f t="shared" si="31"/>
      </c>
      <c r="BL16" s="340">
        <f t="shared" si="31"/>
      </c>
      <c r="BM16" s="49">
        <f>BM15/BL15-1</f>
      </c>
      <c r="BN16" s="49">
        <f t="shared" si="31"/>
      </c>
      <c r="BO16" s="49">
        <f t="shared" ref="BO16:DE16" si="32">BO15/BN15-1</f>
      </c>
      <c r="BP16" s="49">
        <f t="shared" si="32"/>
      </c>
      <c r="BQ16" s="49">
        <f t="shared" si="32"/>
      </c>
      <c r="BR16" s="49">
        <f t="shared" si="32"/>
      </c>
      <c r="BS16" s="49">
        <f t="shared" si="32"/>
      </c>
      <c r="BT16" s="49">
        <f t="shared" si="32"/>
      </c>
      <c r="BU16" s="49">
        <f t="shared" si="32"/>
      </c>
      <c r="BV16" s="49">
        <f t="shared" si="32"/>
      </c>
      <c r="BW16" s="49">
        <f t="shared" si="32"/>
      </c>
      <c r="BX16" s="49">
        <f t="shared" si="32"/>
      </c>
      <c r="BY16" s="49">
        <f t="shared" si="32"/>
      </c>
      <c r="BZ16" s="49">
        <f t="shared" si="32"/>
      </c>
      <c r="CA16" s="49">
        <f t="shared" si="32"/>
      </c>
      <c r="CB16" s="49">
        <f t="shared" si="32"/>
      </c>
      <c r="CC16" s="49">
        <f t="shared" si="32"/>
      </c>
      <c r="CD16" s="49">
        <f t="shared" si="32"/>
      </c>
      <c r="CE16" s="49">
        <f t="shared" si="32"/>
      </c>
      <c r="CF16" s="49">
        <f t="shared" si="32"/>
      </c>
      <c r="CG16" s="49">
        <f t="shared" si="32"/>
      </c>
      <c r="CH16" s="49">
        <f t="shared" si="32"/>
      </c>
      <c r="CI16" s="49">
        <f t="shared" si="32"/>
      </c>
      <c r="CJ16" s="49">
        <f t="shared" si="32"/>
      </c>
      <c r="CK16" s="49">
        <f t="shared" si="32"/>
      </c>
      <c r="CL16" s="49">
        <f t="shared" si="32"/>
      </c>
      <c r="CM16" s="49">
        <f t="shared" si="32"/>
      </c>
      <c r="CN16" s="49">
        <f t="shared" si="32"/>
      </c>
      <c r="CO16" s="49">
        <f t="shared" si="32"/>
      </c>
      <c r="CP16" s="49">
        <f t="shared" si="32"/>
      </c>
      <c r="CQ16" s="49">
        <f t="shared" si="32"/>
      </c>
      <c r="CR16" s="49">
        <f t="shared" si="32"/>
      </c>
      <c r="CS16" s="49">
        <f t="shared" si="32"/>
      </c>
      <c r="CT16" s="49">
        <f>CT15/CS15-1</f>
      </c>
      <c r="CU16" s="49">
        <f>CU15/CT15-1</f>
      </c>
      <c r="CV16" s="341">
        <f t="shared" si="32"/>
      </c>
      <c r="CW16" s="341">
        <f t="shared" si="32"/>
      </c>
      <c r="CX16" s="341">
        <f t="shared" si="32"/>
      </c>
      <c r="CY16" s="341">
        <f t="shared" si="32"/>
      </c>
      <c r="CZ16" s="341">
        <f t="shared" si="32"/>
      </c>
      <c r="DA16" s="341">
        <f t="shared" si="32"/>
      </c>
      <c r="DB16" s="341">
        <f t="shared" si="32"/>
      </c>
      <c r="DC16" s="341">
        <f t="shared" si="32"/>
      </c>
      <c r="DD16" s="341">
        <f t="shared" si="32"/>
      </c>
      <c r="DE16" s="341">
        <f t="shared" si="32"/>
      </c>
      <c r="DH16" s="342" t="s">
        <v>197</v>
      </c>
      <c r="DI16" s="342" t="s">
        <v>197</v>
      </c>
      <c r="DJ16" s="342" t="s">
        <v>197</v>
      </c>
      <c r="DK16" s="342" t="s">
        <v>197</v>
      </c>
      <c r="DL16" s="342" t="s">
        <v>197</v>
      </c>
      <c r="DM16" s="342" t="s">
        <v>197</v>
      </c>
      <c r="DN16" s="342" t="s">
        <v>197</v>
      </c>
      <c r="DO16" s="342" t="s">
        <v>197</v>
      </c>
      <c r="DP16" s="342" t="s">
        <v>197</v>
      </c>
      <c r="DQ16" s="342" t="s">
        <v>197</v>
      </c>
      <c r="DR16" s="342" t="s">
        <v>197</v>
      </c>
      <c r="DS16" s="342" t="s">
        <v>197</v>
      </c>
      <c r="DT16" s="342" t="s">
        <v>197</v>
      </c>
      <c r="DU16" s="342" t="s">
        <v>197</v>
      </c>
      <c r="DV16" s="342" t="s">
        <v>197</v>
      </c>
      <c r="DW16" s="342" t="s">
        <v>197</v>
      </c>
      <c r="DX16" s="342" t="s">
        <v>197</v>
      </c>
      <c r="DY16" s="342" t="s">
        <v>197</v>
      </c>
      <c r="DZ16" s="342" t="s">
        <v>197</v>
      </c>
      <c r="EA16" s="342" t="s">
        <v>197</v>
      </c>
      <c r="EB16" s="342" t="s">
        <v>197</v>
      </c>
      <c r="EC16" s="342" t="s">
        <v>197</v>
      </c>
      <c r="ED16" s="342" t="s">
        <v>197</v>
      </c>
      <c r="EE16" s="342" t="s">
        <v>197</v>
      </c>
      <c r="EF16" s="343" t="s">
        <v>197</v>
      </c>
      <c r="EG16" s="343" t="s">
        <v>197</v>
      </c>
      <c r="EH16" s="343" t="s">
        <v>197</v>
      </c>
    </row>
    <row r="17" spans="1:138" s="49" customFormat="1" ht="11.25" customHeight="1">
      <c r="A17" s="48" t="s">
        <v>198</v>
      </c>
      <c r="F17" s="49">
        <f t="shared" ref="F17:BQ17" si="33">F15/B15-1</f>
      </c>
      <c r="G17" s="49">
        <f t="shared" si="33"/>
      </c>
      <c r="H17" s="49">
        <f t="shared" si="33"/>
      </c>
      <c r="I17" s="49">
        <f t="shared" si="33"/>
      </c>
      <c r="J17" s="49">
        <f t="shared" si="33"/>
      </c>
      <c r="K17" s="49">
        <f t="shared" si="33"/>
      </c>
      <c r="L17" s="49">
        <f t="shared" si="33"/>
      </c>
      <c r="M17" s="49">
        <f t="shared" si="33"/>
      </c>
      <c r="N17" s="49">
        <f t="shared" si="33"/>
      </c>
      <c r="O17" s="49">
        <f t="shared" si="33"/>
      </c>
      <c r="P17" s="49">
        <f t="shared" si="33"/>
      </c>
      <c r="Q17" s="49">
        <f t="shared" si="33"/>
      </c>
      <c r="R17" s="49">
        <f t="shared" si="33"/>
      </c>
      <c r="S17" s="49">
        <f t="shared" si="33"/>
      </c>
      <c r="T17" s="49">
        <f t="shared" si="33"/>
      </c>
      <c r="U17" s="49">
        <f t="shared" si="33"/>
      </c>
      <c r="V17" s="49">
        <f t="shared" si="33"/>
      </c>
      <c r="W17" s="49">
        <f t="shared" si="33"/>
      </c>
      <c r="X17" s="49">
        <f t="shared" si="33"/>
      </c>
      <c r="Y17" s="49">
        <f t="shared" si="33"/>
      </c>
      <c r="Z17" s="49">
        <f t="shared" si="33"/>
      </c>
      <c r="AA17" s="49">
        <f t="shared" si="33"/>
      </c>
      <c r="AB17" s="49">
        <f t="shared" si="33"/>
      </c>
      <c r="AC17" s="49">
        <f t="shared" si="33"/>
      </c>
      <c r="AD17" s="49">
        <f t="shared" si="33"/>
      </c>
      <c r="AE17" s="49">
        <f t="shared" si="33"/>
      </c>
      <c r="AF17" s="49">
        <f t="shared" si="33"/>
      </c>
      <c r="AG17" s="49">
        <f t="shared" si="33"/>
      </c>
      <c r="AH17" s="49">
        <f t="shared" si="33"/>
      </c>
      <c r="AI17" s="49">
        <f t="shared" si="33"/>
      </c>
      <c r="AJ17" s="49">
        <f t="shared" si="33"/>
      </c>
      <c r="AK17" s="49">
        <f t="shared" si="33"/>
      </c>
      <c r="AL17" s="49">
        <f t="shared" si="33"/>
      </c>
      <c r="AM17" s="49">
        <f t="shared" si="33"/>
      </c>
      <c r="AN17" s="49">
        <f t="shared" si="33"/>
      </c>
      <c r="AO17" s="49">
        <f t="shared" si="33"/>
      </c>
      <c r="AP17" s="49">
        <f t="shared" si="33"/>
      </c>
      <c r="AQ17" s="49">
        <f t="shared" si="33"/>
      </c>
      <c r="AR17" s="49">
        <f t="shared" si="33"/>
      </c>
      <c r="AS17" s="49">
        <f t="shared" si="33"/>
      </c>
      <c r="AT17" s="49">
        <f t="shared" si="33"/>
      </c>
      <c r="AU17" s="49">
        <f t="shared" si="33"/>
      </c>
      <c r="AV17" s="49">
        <f t="shared" si="33"/>
      </c>
      <c r="AW17" s="49">
        <f t="shared" si="33"/>
      </c>
      <c r="AX17" s="49">
        <f t="shared" si="33"/>
      </c>
      <c r="AY17" s="49">
        <f t="shared" si="33"/>
      </c>
      <c r="AZ17" s="49">
        <f t="shared" si="33"/>
      </c>
      <c r="BA17" s="49">
        <f t="shared" si="33"/>
      </c>
      <c r="BB17" s="49">
        <f t="shared" si="33"/>
      </c>
      <c r="BC17" s="49">
        <f t="shared" si="33"/>
      </c>
      <c r="BD17" s="49">
        <f t="shared" si="33"/>
      </c>
      <c r="BE17" s="49">
        <f t="shared" si="33"/>
      </c>
      <c r="BF17" s="49">
        <f t="shared" si="33"/>
      </c>
      <c r="BG17" s="49">
        <f t="shared" si="33"/>
      </c>
      <c r="BH17" s="49">
        <f t="shared" si="33"/>
      </c>
      <c r="BI17" s="49">
        <f t="shared" si="33"/>
      </c>
      <c r="BJ17" s="49">
        <f t="shared" si="33"/>
      </c>
      <c r="BK17" s="340">
        <f t="shared" si="33"/>
      </c>
      <c r="BL17" s="340">
        <f t="shared" si="33"/>
      </c>
      <c r="BM17" s="49">
        <f t="shared" si="33"/>
      </c>
      <c r="BN17" s="49">
        <f t="shared" si="33"/>
      </c>
      <c r="BO17" s="49">
        <f t="shared" si="33"/>
      </c>
      <c r="BP17" s="49">
        <f t="shared" si="33"/>
      </c>
      <c r="BQ17" s="49">
        <f t="shared" si="33"/>
      </c>
      <c r="BR17" s="49">
        <f t="shared" ref="BR17:DE17" si="34">BR15/BN15-1</f>
      </c>
      <c r="BS17" s="49">
        <f t="shared" si="34"/>
      </c>
      <c r="BT17" s="49">
        <f t="shared" si="34"/>
      </c>
      <c r="BU17" s="49">
        <f t="shared" si="34"/>
      </c>
      <c r="BV17" s="49">
        <f t="shared" si="34"/>
      </c>
      <c r="BW17" s="49">
        <f t="shared" si="34"/>
      </c>
      <c r="BX17" s="49">
        <f t="shared" si="34"/>
      </c>
      <c r="BY17" s="49">
        <f t="shared" si="34"/>
      </c>
      <c r="BZ17" s="49">
        <f t="shared" si="34"/>
      </c>
      <c r="CA17" s="49">
        <f t="shared" si="34"/>
      </c>
      <c r="CB17" s="49">
        <f t="shared" si="34"/>
      </c>
      <c r="CC17" s="49">
        <f t="shared" si="34"/>
      </c>
      <c r="CD17" s="49">
        <f t="shared" si="34"/>
      </c>
      <c r="CE17" s="49">
        <f t="shared" si="34"/>
      </c>
      <c r="CF17" s="49">
        <f t="shared" si="34"/>
      </c>
      <c r="CG17" s="49">
        <f t="shared" si="34"/>
      </c>
      <c r="CH17" s="49">
        <f t="shared" si="34"/>
      </c>
      <c r="CI17" s="49">
        <f t="shared" si="34"/>
      </c>
      <c r="CJ17" s="49">
        <f t="shared" si="34"/>
      </c>
      <c r="CK17" s="49">
        <f t="shared" si="34"/>
      </c>
      <c r="CL17" s="49">
        <f t="shared" si="34"/>
      </c>
      <c r="CM17" s="49">
        <f t="shared" si="34"/>
      </c>
      <c r="CN17" s="49">
        <f t="shared" si="34"/>
      </c>
      <c r="CO17" s="49">
        <f t="shared" si="34"/>
      </c>
      <c r="CP17" s="49">
        <f t="shared" si="34"/>
      </c>
      <c r="CQ17" s="49">
        <f t="shared" si="34"/>
      </c>
      <c r="CR17" s="49">
        <f t="shared" si="34"/>
      </c>
      <c r="CS17" s="49">
        <f t="shared" si="34"/>
      </c>
      <c r="CT17" s="49">
        <f>CT15/CP15-1</f>
      </c>
      <c r="CU17" s="49">
        <f>CU15/CQ15-1</f>
      </c>
      <c r="CV17" s="341">
        <f t="shared" si="34"/>
      </c>
      <c r="CW17" s="341">
        <f t="shared" si="34"/>
      </c>
      <c r="CX17" s="341">
        <f t="shared" si="34"/>
      </c>
      <c r="CY17" s="341">
        <f t="shared" si="34"/>
      </c>
      <c r="CZ17" s="341">
        <f t="shared" si="34"/>
      </c>
      <c r="DA17" s="341">
        <f t="shared" si="34"/>
      </c>
      <c r="DB17" s="341">
        <f t="shared" si="34"/>
      </c>
      <c r="DC17" s="341">
        <f t="shared" si="34"/>
      </c>
      <c r="DD17" s="341">
        <f t="shared" si="34"/>
      </c>
      <c r="DE17" s="341">
        <f t="shared" si="34"/>
      </c>
      <c r="DI17" s="49">
        <f>DI15/DH15-1</f>
      </c>
      <c r="DJ17" s="49">
        <f t="shared" ref="DJ17:EH17" si="35">DJ15/DI15-1</f>
      </c>
      <c r="DK17" s="49">
        <f t="shared" si="35"/>
      </c>
      <c r="DL17" s="49">
        <f t="shared" si="35"/>
      </c>
      <c r="DM17" s="49">
        <f t="shared" si="35"/>
      </c>
      <c r="DN17" s="49">
        <f t="shared" si="35"/>
      </c>
      <c r="DO17" s="49">
        <f t="shared" si="35"/>
      </c>
      <c r="DP17" s="49">
        <f t="shared" si="35"/>
      </c>
      <c r="DQ17" s="49">
        <f t="shared" si="35"/>
      </c>
      <c r="DR17" s="49">
        <f t="shared" si="35"/>
      </c>
      <c r="DS17" s="49">
        <f t="shared" si="35"/>
      </c>
      <c r="DT17" s="49">
        <f t="shared" si="35"/>
      </c>
      <c r="DU17" s="49">
        <f t="shared" si="35"/>
      </c>
      <c r="DV17" s="49">
        <f t="shared" si="35"/>
      </c>
      <c r="DW17" s="49">
        <f t="shared" si="35"/>
      </c>
      <c r="DX17" s="49">
        <f t="shared" si="35"/>
      </c>
      <c r="DY17" s="49">
        <f t="shared" si="35"/>
      </c>
      <c r="DZ17" s="49">
        <f t="shared" si="35"/>
      </c>
      <c r="EA17" s="49">
        <f t="shared" si="35"/>
      </c>
      <c r="EB17" s="49">
        <f t="shared" si="35"/>
      </c>
      <c r="EC17" s="49">
        <f t="shared" si="35"/>
      </c>
      <c r="ED17" s="49">
        <f t="shared" si="35"/>
      </c>
      <c r="EE17" s="49">
        <f t="shared" si="35"/>
      </c>
      <c r="EF17" s="341">
        <f t="shared" si="35"/>
      </c>
      <c r="EG17" s="341">
        <f t="shared" si="35"/>
      </c>
      <c r="EH17" s="341">
        <f t="shared" si="35"/>
      </c>
    </row>
    <row r="18" spans="1:138" s="49" customFormat="1" ht="11.25" customHeight="1">
      <c r="A18" s="48" t="s">
        <v>201</v>
      </c>
      <c r="B18" s="49">
        <f t="shared" ref="B18:BM18" si="36">B15/B$5</f>
      </c>
      <c r="C18" s="49">
        <f t="shared" si="36"/>
      </c>
      <c r="D18" s="49">
        <f t="shared" si="36"/>
      </c>
      <c r="E18" s="49">
        <f t="shared" si="36"/>
      </c>
      <c r="F18" s="49">
        <f t="shared" si="36"/>
      </c>
      <c r="G18" s="49">
        <f t="shared" si="36"/>
      </c>
      <c r="H18" s="49">
        <f t="shared" si="36"/>
      </c>
      <c r="I18" s="49">
        <f t="shared" si="36"/>
      </c>
      <c r="J18" s="49">
        <f t="shared" si="36"/>
      </c>
      <c r="K18" s="49">
        <f t="shared" si="36"/>
      </c>
      <c r="L18" s="49">
        <f t="shared" si="36"/>
      </c>
      <c r="M18" s="49">
        <f t="shared" si="36"/>
      </c>
      <c r="N18" s="49">
        <f t="shared" si="36"/>
      </c>
      <c r="O18" s="49">
        <f t="shared" si="36"/>
      </c>
      <c r="P18" s="49">
        <f t="shared" si="36"/>
      </c>
      <c r="Q18" s="49">
        <f t="shared" si="36"/>
      </c>
      <c r="R18" s="49">
        <f t="shared" si="36"/>
      </c>
      <c r="S18" s="49">
        <f t="shared" si="36"/>
      </c>
      <c r="T18" s="49">
        <f t="shared" si="36"/>
      </c>
      <c r="U18" s="49">
        <f t="shared" si="36"/>
      </c>
      <c r="V18" s="49">
        <f t="shared" si="36"/>
      </c>
      <c r="W18" s="49">
        <f t="shared" si="36"/>
      </c>
      <c r="X18" s="49">
        <f t="shared" si="36"/>
      </c>
      <c r="Y18" s="49">
        <f t="shared" si="36"/>
      </c>
      <c r="Z18" s="49">
        <f t="shared" si="36"/>
      </c>
      <c r="AA18" s="49">
        <f t="shared" si="36"/>
      </c>
      <c r="AB18" s="49">
        <f t="shared" si="36"/>
      </c>
      <c r="AC18" s="49">
        <f t="shared" si="36"/>
      </c>
      <c r="AD18" s="49">
        <f t="shared" si="36"/>
      </c>
      <c r="AE18" s="49">
        <f t="shared" si="36"/>
      </c>
      <c r="AF18" s="49">
        <f t="shared" si="36"/>
      </c>
      <c r="AG18" s="49">
        <f t="shared" si="36"/>
      </c>
      <c r="AH18" s="49">
        <f t="shared" si="36"/>
      </c>
      <c r="AI18" s="49">
        <f t="shared" si="36"/>
      </c>
      <c r="AJ18" s="49">
        <f t="shared" si="36"/>
      </c>
      <c r="AK18" s="49">
        <f t="shared" si="36"/>
      </c>
      <c r="AL18" s="49">
        <f t="shared" si="36"/>
      </c>
      <c r="AM18" s="49">
        <f t="shared" si="36"/>
      </c>
      <c r="AN18" s="49">
        <f t="shared" si="36"/>
      </c>
      <c r="AO18" s="49">
        <f t="shared" si="36"/>
      </c>
      <c r="AP18" s="49">
        <f t="shared" si="36"/>
      </c>
      <c r="AQ18" s="49">
        <f t="shared" si="36"/>
      </c>
      <c r="AR18" s="49">
        <f t="shared" si="36"/>
      </c>
      <c r="AS18" s="49">
        <f t="shared" si="36"/>
      </c>
      <c r="AT18" s="49">
        <f t="shared" si="36"/>
      </c>
      <c r="AU18" s="49">
        <f t="shared" si="36"/>
      </c>
      <c r="AV18" s="49">
        <f t="shared" si="36"/>
      </c>
      <c r="AW18" s="49">
        <f t="shared" si="36"/>
      </c>
      <c r="AX18" s="49">
        <f t="shared" si="36"/>
      </c>
      <c r="AY18" s="49">
        <f t="shared" si="36"/>
      </c>
      <c r="AZ18" s="49">
        <f t="shared" si="36"/>
      </c>
      <c r="BA18" s="49">
        <f t="shared" si="36"/>
      </c>
      <c r="BB18" s="49">
        <f t="shared" si="36"/>
      </c>
      <c r="BC18" s="49">
        <f t="shared" si="36"/>
      </c>
      <c r="BD18" s="49">
        <f t="shared" si="36"/>
      </c>
      <c r="BE18" s="49">
        <f t="shared" si="36"/>
      </c>
      <c r="BF18" s="49">
        <f t="shared" si="36"/>
      </c>
      <c r="BG18" s="49">
        <f t="shared" si="36"/>
      </c>
      <c r="BH18" s="49">
        <f t="shared" si="36"/>
      </c>
      <c r="BI18" s="49">
        <f t="shared" si="36"/>
      </c>
      <c r="BJ18" s="49">
        <f t="shared" si="36"/>
      </c>
      <c r="BK18" s="340">
        <f t="shared" si="36"/>
      </c>
      <c r="BL18" s="340">
        <f t="shared" si="36"/>
      </c>
      <c r="BM18" s="49">
        <f t="shared" si="36"/>
      </c>
      <c r="BN18" s="49">
        <f t="shared" ref="BN18:CS18" si="37">BN15/BN$5</f>
      </c>
      <c r="BO18" s="49">
        <f t="shared" si="37"/>
      </c>
      <c r="BP18" s="49">
        <f t="shared" si="37"/>
      </c>
      <c r="BQ18" s="49">
        <f t="shared" si="37"/>
      </c>
      <c r="BR18" s="49">
        <f>BR15/BR$5</f>
      </c>
      <c r="BS18" s="49">
        <f t="shared" si="37"/>
      </c>
      <c r="BT18" s="49">
        <f>BT15/BT$5</f>
      </c>
      <c r="BU18" s="49">
        <f t="shared" si="37"/>
      </c>
      <c r="BV18" s="49">
        <f t="shared" si="37"/>
      </c>
      <c r="BW18" s="49">
        <f t="shared" si="37"/>
      </c>
      <c r="BX18" s="49">
        <f t="shared" si="37"/>
      </c>
      <c r="BY18" s="49">
        <f t="shared" si="37"/>
      </c>
      <c r="BZ18" s="49">
        <f t="shared" si="37"/>
      </c>
      <c r="CA18" s="49">
        <f t="shared" si="37"/>
      </c>
      <c r="CB18" s="49">
        <f t="shared" si="37"/>
      </c>
      <c r="CC18" s="49">
        <f t="shared" si="37"/>
      </c>
      <c r="CD18" s="49">
        <f t="shared" si="37"/>
      </c>
      <c r="CE18" s="49">
        <f t="shared" si="37"/>
      </c>
      <c r="CF18" s="49">
        <f t="shared" si="37"/>
      </c>
      <c r="CG18" s="49">
        <f t="shared" si="37"/>
      </c>
      <c r="CH18" s="49">
        <f t="shared" si="37"/>
      </c>
      <c r="CI18" s="49">
        <f t="shared" si="37"/>
      </c>
      <c r="CJ18" s="49">
        <f t="shared" si="37"/>
      </c>
      <c r="CK18" s="49">
        <f t="shared" si="37"/>
      </c>
      <c r="CL18" s="49">
        <f t="shared" si="37"/>
      </c>
      <c r="CM18" s="49">
        <f t="shared" si="37"/>
      </c>
      <c r="CN18" s="49">
        <f t="shared" si="37"/>
      </c>
      <c r="CO18" s="49">
        <f t="shared" si="37"/>
      </c>
      <c r="CP18" s="49">
        <f t="shared" si="37"/>
      </c>
      <c r="CQ18" s="49">
        <f t="shared" si="37"/>
      </c>
      <c r="CR18" s="49">
        <f t="shared" si="37"/>
      </c>
      <c r="CS18" s="49">
        <f t="shared" si="37"/>
      </c>
      <c r="CT18" s="49">
        <f>CT15/CT$5</f>
      </c>
      <c r="CU18" s="49">
        <f>CU15/CU$5</f>
      </c>
      <c r="CV18" s="341">
        <f t="shared" ref="CV18:DA18" si="38">CV15/CV$5</f>
      </c>
      <c r="CW18" s="341">
        <f t="shared" si="38"/>
      </c>
      <c r="CX18" s="341">
        <f t="shared" si="38"/>
      </c>
      <c r="CY18" s="341">
        <f t="shared" si="38"/>
      </c>
      <c r="CZ18" s="341">
        <f t="shared" si="38"/>
      </c>
      <c r="DA18" s="341">
        <f t="shared" si="38"/>
      </c>
      <c r="DB18" s="341">
        <f>DB15/DB$5</f>
      </c>
      <c r="DC18" s="341">
        <f>DC15/DC$5</f>
      </c>
      <c r="DD18" s="341">
        <f>DD15/DD$5</f>
      </c>
      <c r="DE18" s="341">
        <f>DE15/DE$5</f>
      </c>
      <c r="DH18" s="52">
        <f>DH15/DH$5</f>
      </c>
      <c r="DI18" s="52">
        <f t="shared" ref="DI18:ED18" si="39">DI15/DI$5</f>
      </c>
      <c r="DJ18" s="52">
        <f t="shared" si="39"/>
      </c>
      <c r="DK18" s="52">
        <f t="shared" si="39"/>
      </c>
      <c r="DL18" s="52">
        <f t="shared" si="39"/>
      </c>
      <c r="DM18" s="52">
        <f t="shared" si="39"/>
      </c>
      <c r="DN18" s="52">
        <f t="shared" si="39"/>
      </c>
      <c r="DO18" s="52">
        <f t="shared" si="39"/>
      </c>
      <c r="DP18" s="52">
        <f t="shared" si="39"/>
      </c>
      <c r="DQ18" s="52">
        <f t="shared" si="39"/>
      </c>
      <c r="DR18" s="52">
        <f t="shared" si="39"/>
      </c>
      <c r="DS18" s="52">
        <f t="shared" si="39"/>
      </c>
      <c r="DT18" s="52">
        <f t="shared" si="39"/>
      </c>
      <c r="DU18" s="52">
        <f t="shared" si="39"/>
      </c>
      <c r="DV18" s="52">
        <f t="shared" si="39"/>
      </c>
      <c r="DW18" s="52">
        <f t="shared" si="39"/>
      </c>
      <c r="DX18" s="52">
        <f t="shared" si="39"/>
      </c>
      <c r="DY18" s="52">
        <f t="shared" si="39"/>
      </c>
      <c r="DZ18" s="52">
        <f t="shared" si="39"/>
      </c>
      <c r="EA18" s="52">
        <f t="shared" si="39"/>
      </c>
      <c r="EB18" s="50">
        <f t="shared" si="39"/>
      </c>
      <c r="EC18" s="50">
        <f t="shared" si="39"/>
      </c>
      <c r="ED18" s="50">
        <f t="shared" si="39"/>
      </c>
      <c r="EE18" s="50">
        <f>EE15/EE$5</f>
      </c>
      <c r="EF18" s="51">
        <f>EF15/EF$5</f>
      </c>
      <c r="EG18" s="51">
        <f>EG15/EG$5</f>
      </c>
      <c r="EH18" s="51">
        <f>EH15/EH$5</f>
      </c>
    </row>
    <row r="19" spans="1:138" s="49" customFormat="1" ht="11.25" customHeight="1" outlineLevel="1">
      <c r="A19" s="48" t="s">
        <v>203</v>
      </c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>
        <f t="shared" ref="AL19:CQ19" si="40">(AL15+AL20)/AL5</f>
      </c>
      <c r="AM19" s="52">
        <f t="shared" si="40"/>
      </c>
      <c r="AN19" s="52">
        <f t="shared" si="40"/>
      </c>
      <c r="AO19" s="52">
        <f t="shared" si="40"/>
      </c>
      <c r="AP19" s="52">
        <f t="shared" si="40"/>
      </c>
      <c r="AQ19" s="52">
        <f t="shared" si="40"/>
      </c>
      <c r="AR19" s="52">
        <f t="shared" si="40"/>
      </c>
      <c r="AS19" s="52">
        <f t="shared" si="40"/>
      </c>
      <c r="AT19" s="52">
        <f t="shared" si="40"/>
      </c>
      <c r="AU19" s="52">
        <f t="shared" si="40"/>
      </c>
      <c r="AV19" s="52">
        <f t="shared" si="40"/>
      </c>
      <c r="AW19" s="52">
        <f t="shared" si="40"/>
      </c>
      <c r="AX19" s="52">
        <f t="shared" si="40"/>
      </c>
      <c r="AY19" s="52">
        <f t="shared" si="40"/>
      </c>
      <c r="AZ19" s="52">
        <f t="shared" si="40"/>
      </c>
      <c r="BA19" s="52">
        <f t="shared" si="40"/>
      </c>
      <c r="BB19" s="52">
        <f t="shared" si="40"/>
      </c>
      <c r="BC19" s="52">
        <f t="shared" si="40"/>
      </c>
      <c r="BD19" s="52">
        <f t="shared" si="40"/>
      </c>
      <c r="BE19" s="52">
        <f t="shared" si="40"/>
      </c>
      <c r="BF19" s="52">
        <f t="shared" si="40"/>
      </c>
      <c r="BG19" s="52">
        <f t="shared" si="40"/>
      </c>
      <c r="BH19" s="52">
        <f t="shared" si="40"/>
      </c>
      <c r="BI19" s="52">
        <f t="shared" si="40"/>
      </c>
      <c r="BJ19" s="52">
        <f t="shared" si="40"/>
      </c>
      <c r="BK19" s="52">
        <f t="shared" si="40"/>
      </c>
      <c r="BL19" s="52">
        <f t="shared" si="40"/>
      </c>
      <c r="BM19" s="52">
        <f t="shared" si="40"/>
      </c>
      <c r="BN19" s="52">
        <f t="shared" si="40"/>
      </c>
      <c r="BO19" s="52">
        <f t="shared" si="40"/>
      </c>
      <c r="BP19" s="52">
        <f t="shared" si="40"/>
      </c>
      <c r="BQ19" s="52">
        <f t="shared" si="40"/>
      </c>
      <c r="BR19" s="52">
        <f t="shared" si="40"/>
      </c>
      <c r="BS19" s="52">
        <f t="shared" si="40"/>
      </c>
      <c r="BT19" s="52">
        <f t="shared" si="40"/>
      </c>
      <c r="BU19" s="52">
        <f t="shared" si="40"/>
      </c>
      <c r="BV19" s="52">
        <f t="shared" si="40"/>
      </c>
      <c r="BW19" s="52">
        <f t="shared" si="40"/>
      </c>
      <c r="BX19" s="52">
        <f t="shared" si="40"/>
      </c>
      <c r="BY19" s="52">
        <f t="shared" si="40"/>
      </c>
      <c r="BZ19" s="52">
        <f t="shared" si="40"/>
      </c>
      <c r="CA19" s="52">
        <f t="shared" si="40"/>
      </c>
      <c r="CB19" s="52">
        <f t="shared" si="40"/>
      </c>
      <c r="CC19" s="52">
        <f t="shared" si="40"/>
      </c>
      <c r="CD19" s="52">
        <f t="shared" si="40"/>
      </c>
      <c r="CE19" s="52">
        <f t="shared" si="40"/>
      </c>
      <c r="CF19" s="52">
        <f t="shared" si="40"/>
      </c>
      <c r="CG19" s="52">
        <f t="shared" si="40"/>
      </c>
      <c r="CH19" s="52">
        <f t="shared" si="40"/>
      </c>
      <c r="CI19" s="52">
        <f t="shared" si="40"/>
      </c>
      <c r="CJ19" s="52">
        <f t="shared" si="40"/>
      </c>
      <c r="CK19" s="52">
        <f t="shared" si="40"/>
      </c>
      <c r="CL19" s="52">
        <f t="shared" si="40"/>
      </c>
      <c r="CM19" s="52">
        <f t="shared" si="40"/>
      </c>
      <c r="CN19" s="52">
        <f>(CN15+CN20)/CN5</f>
      </c>
      <c r="CO19" s="52">
        <f>(CO15+CO20)/CO5</f>
      </c>
      <c r="CP19" s="52">
        <f>(CP15+CP20)/CP5</f>
      </c>
      <c r="CQ19" s="52">
        <f t="shared" si="40"/>
      </c>
      <c r="CR19" s="52">
        <f>(CR15+CR20)/CR5</f>
      </c>
      <c r="CS19" s="52">
        <f>(CS15+CS20)/CS5</f>
      </c>
      <c r="CT19" s="52">
        <f>(CT15+CT20)/CT5</f>
      </c>
      <c r="CU19" s="52">
        <f>(CU15+CU20)/CU5</f>
      </c>
      <c r="CV19" s="53">
        <f t="shared" ref="CV19:DA19" si="41">(CV15+CV20)/CV5</f>
      </c>
      <c r="CW19" s="53">
        <f t="shared" si="41"/>
      </c>
      <c r="CX19" s="53">
        <f t="shared" si="41"/>
      </c>
      <c r="CY19" s="53">
        <f t="shared" si="41"/>
      </c>
      <c r="CZ19" s="53">
        <f t="shared" si="41"/>
      </c>
      <c r="DA19" s="53">
        <f t="shared" si="41"/>
      </c>
      <c r="DB19" s="53">
        <f>(DB15+DB20)/DB5</f>
      </c>
      <c r="DC19" s="53">
        <f>(DC15+DC20)/DC5</f>
      </c>
      <c r="DD19" s="53">
        <f>(DD15+DD20)/DD5</f>
      </c>
      <c r="DE19" s="53">
        <f>(DE15+DE20)/DE5</f>
      </c>
      <c r="DH19" s="52"/>
      <c r="DI19" s="52"/>
      <c r="DJ19" s="52"/>
      <c r="DK19" s="52"/>
      <c r="DL19" s="52"/>
      <c r="DM19" s="52"/>
      <c r="DN19" s="52"/>
      <c r="DO19" s="52"/>
      <c r="DP19" s="52"/>
      <c r="DQ19" s="52"/>
      <c r="DR19" s="52">
        <f t="shared" ref="DR19:EE19" si="42">(DR15+DR20)/DR5</f>
      </c>
      <c r="DS19" s="52">
        <f t="shared" si="42"/>
      </c>
      <c r="DT19" s="52">
        <f t="shared" si="42"/>
      </c>
      <c r="DU19" s="52">
        <f t="shared" si="42"/>
      </c>
      <c r="DV19" s="52">
        <f t="shared" si="42"/>
      </c>
      <c r="DW19" s="52">
        <f t="shared" si="42"/>
      </c>
      <c r="DX19" s="52">
        <f t="shared" si="42"/>
      </c>
      <c r="DY19" s="52">
        <f t="shared" si="42"/>
      </c>
      <c r="DZ19" s="52">
        <f t="shared" si="42"/>
      </c>
      <c r="EA19" s="52">
        <f t="shared" si="42"/>
      </c>
      <c r="EB19" s="52">
        <f t="shared" si="42"/>
      </c>
      <c r="EC19" s="52">
        <f t="shared" si="42"/>
      </c>
      <c r="ED19" s="52">
        <f t="shared" si="42"/>
      </c>
      <c r="EE19" s="52">
        <f t="shared" si="42"/>
      </c>
      <c r="EF19" s="350">
        <f>(EF15+EF20)/EF5</f>
      </c>
      <c r="EG19" s="350">
        <f>(EG15+EG20)/EG5</f>
      </c>
      <c r="EH19" s="350">
        <f>(EH15+EH20)/EH5</f>
      </c>
    </row>
    <row r="20" spans="1:138" s="353" customFormat="1" ht="11.25" customHeight="1" outlineLevel="1">
      <c r="A20" s="351" t="s">
        <v>204</v>
      </c>
      <c r="B20" s="352"/>
      <c r="C20" s="352"/>
      <c r="D20" s="352"/>
      <c r="E20" s="352"/>
      <c r="F20" s="352"/>
      <c r="G20" s="352"/>
      <c r="H20" s="352"/>
      <c r="I20" s="352"/>
      <c r="J20" s="352"/>
      <c r="K20" s="352"/>
      <c r="L20" s="352"/>
      <c r="M20" s="352"/>
      <c r="N20" s="352"/>
      <c r="O20" s="352"/>
      <c r="P20" s="352"/>
      <c r="Q20" s="352"/>
      <c r="R20" s="352"/>
      <c r="S20" s="352"/>
      <c r="T20" s="352"/>
      <c r="U20" s="352"/>
      <c r="V20" s="352"/>
      <c r="W20" s="352"/>
      <c r="X20" s="352"/>
      <c r="Y20" s="352"/>
      <c r="Z20" s="352"/>
      <c r="AA20" s="352"/>
      <c r="AB20" s="352"/>
      <c r="AC20" s="352"/>
      <c r="AD20" s="352"/>
      <c r="AE20" s="352"/>
      <c r="AF20" s="352"/>
      <c r="AG20" s="352"/>
      <c r="AH20" s="352"/>
      <c r="AI20" s="352"/>
      <c r="AJ20" s="352"/>
      <c r="AK20" s="352"/>
      <c r="AL20" s="352">
        <v>1.8029999999999999</v>
      </c>
      <c r="AM20" s="352">
        <v>2.2890000000000001</v>
      </c>
      <c r="AN20" s="352">
        <v>2.4900000000000002</v>
      </c>
      <c r="AO20" s="352">
        <v>1.726</v>
      </c>
      <c r="AP20" s="352">
        <v>2.4769999999999999</v>
      </c>
      <c r="AQ20" s="352">
        <v>2.7480000000000002</v>
      </c>
      <c r="AR20" s="352">
        <v>3.0489999999999999</v>
      </c>
      <c r="AS20" s="352">
        <v>3.048</v>
      </c>
      <c r="AT20" s="352">
        <v>2.5259999999999998</v>
      </c>
      <c r="AU20" s="352">
        <v>2.649</v>
      </c>
      <c r="AV20" s="352">
        <v>2.4889999999999999</v>
      </c>
      <c r="AW20" s="352">
        <v>2.8260000000000001</v>
      </c>
      <c r="AX20" s="352">
        <v>2.653</v>
      </c>
      <c r="AY20" s="352">
        <v>2.1680000000000001</v>
      </c>
      <c r="AZ20" s="352">
        <v>3.09</v>
      </c>
      <c r="BA20" s="352">
        <v>2.7770000000000001</v>
      </c>
      <c r="BB20" s="352">
        <v>2.919</v>
      </c>
      <c r="BC20" s="352">
        <v>3</v>
      </c>
      <c r="BD20" s="352">
        <v>4</v>
      </c>
      <c r="BE20" s="352">
        <v>4</v>
      </c>
      <c r="BF20" s="352">
        <v>2</v>
      </c>
      <c r="BG20" s="352">
        <v>3</v>
      </c>
      <c r="BH20" s="352">
        <v>4</v>
      </c>
      <c r="BI20" s="352">
        <v>5</v>
      </c>
      <c r="BJ20" s="352">
        <v>4</v>
      </c>
      <c r="BK20" s="352">
        <v>4</v>
      </c>
      <c r="BL20" s="352">
        <v>3</v>
      </c>
      <c r="BM20" s="352">
        <v>4</v>
      </c>
      <c r="BN20" s="352">
        <v>4</v>
      </c>
      <c r="BO20" s="352">
        <v>4</v>
      </c>
      <c r="BP20" s="352">
        <v>6</v>
      </c>
      <c r="BQ20" s="352">
        <v>7</v>
      </c>
      <c r="BR20" s="352">
        <v>8</v>
      </c>
      <c r="BS20" s="352">
        <v>8</v>
      </c>
      <c r="BT20" s="352">
        <v>5</v>
      </c>
      <c r="BU20" s="352">
        <v>6</v>
      </c>
      <c r="BV20" s="352">
        <v>4</v>
      </c>
      <c r="BW20" s="352">
        <v>8</v>
      </c>
      <c r="BX20" s="352">
        <v>15</v>
      </c>
      <c r="BY20" s="352">
        <v>12</v>
      </c>
      <c r="BZ20" s="352">
        <v>21</v>
      </c>
      <c r="CA20" s="352">
        <v>14</v>
      </c>
      <c r="CB20" s="352">
        <v>28</v>
      </c>
      <c r="CC20" s="352">
        <v>26</v>
      </c>
      <c r="CD20" s="352">
        <v>25</v>
      </c>
      <c r="CE20" s="352">
        <v>32</v>
      </c>
      <c r="CF20" s="352">
        <v>44</v>
      </c>
      <c r="CG20" s="352">
        <v>39</v>
      </c>
      <c r="CH20" s="352">
        <v>38</v>
      </c>
      <c r="CI20" s="352">
        <v>38</v>
      </c>
      <c r="CJ20" s="352">
        <v>32</v>
      </c>
      <c r="CK20" s="352">
        <v>30</v>
      </c>
      <c r="CL20" s="352">
        <v>27</v>
      </c>
      <c r="CM20" s="352">
        <v>31</v>
      </c>
      <c r="CN20" s="352">
        <v>38</v>
      </c>
      <c r="CO20" s="352">
        <v>45</v>
      </c>
      <c r="CP20" s="352">
        <v>36</v>
      </c>
      <c r="CQ20" s="352">
        <v>40</v>
      </c>
      <c r="CR20" s="352">
        <v>50</v>
      </c>
      <c r="CS20" s="352">
        <v>53</v>
      </c>
      <c r="CT20" s="352">
        <v>64</v>
      </c>
      <c r="CU20" s="352">
        <v>58</v>
      </c>
      <c r="CV20" s="352">
        <f>CU20+1</f>
      </c>
      <c r="CW20" s="352">
        <f t="shared" ref="CW20:DE20" si="43">CV20+1</f>
      </c>
      <c r="CX20" s="352">
        <f t="shared" si="43"/>
      </c>
      <c r="CY20" s="352">
        <f t="shared" si="43"/>
      </c>
      <c r="CZ20" s="352">
        <f t="shared" si="43"/>
      </c>
      <c r="DA20" s="352">
        <f t="shared" si="43"/>
      </c>
      <c r="DB20" s="352">
        <f t="shared" si="43"/>
      </c>
      <c r="DC20" s="352">
        <f t="shared" si="43"/>
      </c>
      <c r="DD20" s="352">
        <f t="shared" si="43"/>
      </c>
      <c r="DE20" s="352">
        <f t="shared" si="43"/>
      </c>
      <c r="DH20" s="54"/>
      <c r="DI20" s="54"/>
      <c r="DJ20" s="54"/>
      <c r="DK20" s="54"/>
      <c r="DL20" s="54"/>
      <c r="DM20" s="54"/>
      <c r="DN20" s="54"/>
      <c r="DO20" s="54"/>
      <c r="DP20" s="54"/>
      <c r="DQ20" s="54"/>
      <c r="DR20" s="352">
        <f>SUM(AP20:AS20)</f>
      </c>
      <c r="DS20" s="352">
        <f>SUM(AT20:AW20)</f>
      </c>
      <c r="DT20" s="352">
        <f>SUM(AX20:BA20)</f>
      </c>
      <c r="DU20" s="352">
        <f>SUM(BB20:BE20)</f>
      </c>
      <c r="DV20" s="352">
        <f>SUM(BF20:BI20)</f>
      </c>
      <c r="DW20" s="352">
        <f>SUM(BJ20:BM20)</f>
      </c>
      <c r="DX20" s="352">
        <f>SUM(BN20:BQ20)</f>
      </c>
      <c r="DY20" s="352">
        <f>SUM(BR20:BU20)</f>
      </c>
      <c r="DZ20" s="352">
        <f>BV20+BW20+BX20+BY20</f>
      </c>
      <c r="EA20" s="352">
        <f>CC20+CB20+CA20+BZ20</f>
      </c>
      <c r="EB20" s="352">
        <f>+CD20+CE20+CF20+CG20</f>
      </c>
      <c r="EC20" s="352">
        <f>SUM(CH20:CK20)</f>
      </c>
      <c r="ED20" s="352">
        <f>SUM(CL20:CO20)</f>
      </c>
      <c r="EE20" s="352">
        <f>SUM(CP20:CS20)</f>
      </c>
      <c r="EF20" s="352">
        <f>SUM(CT20:CW20)</f>
      </c>
      <c r="EG20" s="352">
        <f>SUM(CX20:DA20)</f>
      </c>
      <c r="EH20" s="352">
        <f>SUM(DB20:DE20)</f>
      </c>
    </row>
    <row r="21" spans="1:138" s="47" customFormat="1" ht="11.25" customHeight="1">
      <c r="A21" s="336" t="s">
        <v>205</v>
      </c>
      <c r="B21" s="35">
        <f>B30+B35</f>
      </c>
      <c r="C21" s="35">
        <f t="shared" ref="C21:BN21" si="44">C30+C35</f>
      </c>
      <c r="D21" s="35">
        <f t="shared" si="44"/>
      </c>
      <c r="E21" s="35">
        <f t="shared" si="44"/>
      </c>
      <c r="F21" s="35">
        <f t="shared" si="44"/>
      </c>
      <c r="G21" s="35">
        <f t="shared" si="44"/>
      </c>
      <c r="H21" s="35">
        <f t="shared" si="44"/>
      </c>
      <c r="I21" s="35">
        <f t="shared" si="44"/>
      </c>
      <c r="J21" s="35">
        <f t="shared" si="44"/>
      </c>
      <c r="K21" s="35">
        <f t="shared" si="44"/>
      </c>
      <c r="L21" s="35">
        <f t="shared" si="44"/>
      </c>
      <c r="M21" s="35">
        <f t="shared" si="44"/>
      </c>
      <c r="N21" s="35">
        <f t="shared" si="44"/>
      </c>
      <c r="O21" s="35">
        <f t="shared" si="44"/>
      </c>
      <c r="P21" s="35">
        <f t="shared" si="44"/>
      </c>
      <c r="Q21" s="35">
        <f t="shared" si="44"/>
      </c>
      <c r="R21" s="35">
        <f t="shared" si="44"/>
      </c>
      <c r="S21" s="35">
        <f t="shared" si="44"/>
      </c>
      <c r="T21" s="35">
        <f t="shared" si="44"/>
      </c>
      <c r="U21" s="35">
        <f t="shared" si="44"/>
      </c>
      <c r="V21" s="35">
        <f t="shared" si="44"/>
      </c>
      <c r="W21" s="35">
        <f t="shared" si="44"/>
      </c>
      <c r="X21" s="35">
        <f t="shared" si="44"/>
      </c>
      <c r="Y21" s="35">
        <f t="shared" si="44"/>
      </c>
      <c r="Z21" s="35">
        <f t="shared" si="44"/>
      </c>
      <c r="AA21" s="35">
        <f t="shared" si="44"/>
      </c>
      <c r="AB21" s="35">
        <f t="shared" si="44"/>
      </c>
      <c r="AC21" s="35">
        <f t="shared" si="44"/>
      </c>
      <c r="AD21" s="35">
        <f t="shared" si="44"/>
      </c>
      <c r="AE21" s="35">
        <f t="shared" si="44"/>
      </c>
      <c r="AF21" s="35">
        <f t="shared" si="44"/>
      </c>
      <c r="AG21" s="35">
        <f t="shared" si="44"/>
      </c>
      <c r="AH21" s="35">
        <f t="shared" si="44"/>
      </c>
      <c r="AI21" s="35">
        <f t="shared" si="44"/>
      </c>
      <c r="AJ21" s="35">
        <f t="shared" si="44"/>
      </c>
      <c r="AK21" s="35">
        <f t="shared" si="44"/>
      </c>
      <c r="AL21" s="35">
        <f t="shared" si="44"/>
      </c>
      <c r="AM21" s="35">
        <f t="shared" si="44"/>
      </c>
      <c r="AN21" s="35">
        <f t="shared" si="44"/>
      </c>
      <c r="AO21" s="35">
        <f t="shared" si="44"/>
      </c>
      <c r="AP21" s="35">
        <f t="shared" si="44"/>
      </c>
      <c r="AQ21" s="35">
        <f t="shared" si="44"/>
      </c>
      <c r="AR21" s="35">
        <f t="shared" si="44"/>
      </c>
      <c r="AS21" s="35">
        <f t="shared" si="44"/>
      </c>
      <c r="AT21" s="35">
        <f t="shared" si="44"/>
      </c>
      <c r="AU21" s="35">
        <f t="shared" si="44"/>
      </c>
      <c r="AV21" s="35">
        <f t="shared" si="44"/>
      </c>
      <c r="AW21" s="35">
        <f t="shared" si="44"/>
      </c>
      <c r="AX21" s="35">
        <f t="shared" si="44"/>
      </c>
      <c r="AY21" s="35">
        <f t="shared" si="44"/>
      </c>
      <c r="AZ21" s="35">
        <f t="shared" si="44"/>
      </c>
      <c r="BA21" s="35">
        <f t="shared" si="44"/>
      </c>
      <c r="BB21" s="35">
        <f t="shared" si="44"/>
      </c>
      <c r="BC21" s="35">
        <f t="shared" si="44"/>
      </c>
      <c r="BD21" s="35">
        <f t="shared" si="44"/>
      </c>
      <c r="BE21" s="35">
        <f t="shared" si="44"/>
      </c>
      <c r="BF21" s="35">
        <f t="shared" si="44"/>
      </c>
      <c r="BG21" s="35">
        <f t="shared" si="44"/>
      </c>
      <c r="BH21" s="35">
        <f t="shared" si="44"/>
      </c>
      <c r="BI21" s="35">
        <f t="shared" si="44"/>
      </c>
      <c r="BJ21" s="35">
        <f>BJ30+BJ35</f>
      </c>
      <c r="BK21" s="337">
        <f t="shared" si="44"/>
      </c>
      <c r="BL21" s="35">
        <f t="shared" si="44"/>
      </c>
      <c r="BM21" s="35">
        <f t="shared" si="44"/>
      </c>
      <c r="BN21" s="35">
        <f t="shared" si="44"/>
      </c>
      <c r="BO21" s="35">
        <f t="shared" ref="BO21:CS21" si="45">BO30+BO35</f>
      </c>
      <c r="BP21" s="35">
        <f t="shared" si="45"/>
      </c>
      <c r="BQ21" s="35">
        <f t="shared" si="45"/>
      </c>
      <c r="BR21" s="35">
        <f t="shared" si="45"/>
      </c>
      <c r="BS21" s="35">
        <f t="shared" si="45"/>
      </c>
      <c r="BT21" s="35">
        <f t="shared" si="45"/>
      </c>
      <c r="BU21" s="35">
        <f t="shared" si="45"/>
      </c>
      <c r="BV21" s="35">
        <f t="shared" si="45"/>
      </c>
      <c r="BW21" s="35">
        <f t="shared" si="45"/>
      </c>
      <c r="BX21" s="35">
        <f t="shared" si="45"/>
      </c>
      <c r="BY21" s="35">
        <f t="shared" si="45"/>
      </c>
      <c r="BZ21" s="35">
        <f t="shared" si="45"/>
      </c>
      <c r="CA21" s="35">
        <f t="shared" si="45"/>
      </c>
      <c r="CB21" s="35">
        <f t="shared" si="45"/>
      </c>
      <c r="CC21" s="35">
        <f t="shared" si="45"/>
      </c>
      <c r="CD21" s="35">
        <f t="shared" si="45"/>
      </c>
      <c r="CE21" s="35">
        <f t="shared" si="45"/>
      </c>
      <c r="CF21" s="35">
        <f t="shared" si="45"/>
      </c>
      <c r="CG21" s="35">
        <f t="shared" si="45"/>
      </c>
      <c r="CH21" s="35">
        <f t="shared" si="45"/>
      </c>
      <c r="CI21" s="35">
        <f t="shared" si="45"/>
      </c>
      <c r="CJ21" s="35">
        <f t="shared" si="45"/>
      </c>
      <c r="CK21" s="35">
        <f t="shared" si="45"/>
      </c>
      <c r="CL21" s="35">
        <f t="shared" si="45"/>
      </c>
      <c r="CM21" s="35">
        <f t="shared" si="45"/>
      </c>
      <c r="CN21" s="35">
        <f t="shared" si="45"/>
      </c>
      <c r="CO21" s="35">
        <f t="shared" si="45"/>
      </c>
      <c r="CP21" s="35">
        <f t="shared" si="45"/>
      </c>
      <c r="CQ21" s="35">
        <f t="shared" si="45"/>
      </c>
      <c r="CR21" s="35">
        <f t="shared" si="45"/>
      </c>
      <c r="CS21" s="35">
        <f t="shared" si="45"/>
      </c>
      <c r="CT21" s="35">
        <f>CT30+CT35</f>
      </c>
      <c r="CU21" s="35">
        <f>CU30+CU35</f>
      </c>
      <c r="CV21" s="338">
        <f t="shared" ref="CV21:DA21" si="46">CV30+CV35</f>
      </c>
      <c r="CW21" s="338">
        <f t="shared" si="46"/>
      </c>
      <c r="CX21" s="338">
        <f t="shared" si="46"/>
      </c>
      <c r="CY21" s="338">
        <f t="shared" si="46"/>
      </c>
      <c r="CZ21" s="338">
        <f t="shared" si="46"/>
      </c>
      <c r="DA21" s="338">
        <f t="shared" si="46"/>
      </c>
      <c r="DB21" s="338">
        <f>DB30+DB35</f>
      </c>
      <c r="DC21" s="338">
        <f>DC30+DC35</f>
      </c>
      <c r="DD21" s="338">
        <f>DD30+DD35</f>
      </c>
      <c r="DE21" s="338">
        <f>DE30+DE35</f>
      </c>
      <c r="DH21" s="35">
        <f>SUM(B21:E21)</f>
      </c>
      <c r="DI21" s="35">
        <f>SUM(F21:I21)</f>
      </c>
      <c r="DJ21" s="35">
        <f>SUM(J21:M21)</f>
      </c>
      <c r="DK21" s="35">
        <f>SUM(N21:Q21)</f>
      </c>
      <c r="DL21" s="35">
        <f>SUM(R21:U21)</f>
      </c>
      <c r="DM21" s="35">
        <f>SUM(V21:Y21)</f>
      </c>
      <c r="DN21" s="35">
        <f>SUM(Z21:AC21)</f>
      </c>
      <c r="DO21" s="35">
        <f>SUM(AD21:AG21)</f>
      </c>
      <c r="DP21" s="35">
        <f>SUM(AH21:AK21)</f>
      </c>
      <c r="DQ21" s="35">
        <f>SUM(AL21:AO21)</f>
      </c>
      <c r="DR21" s="35">
        <f>SUM(AP21:AS21)</f>
      </c>
      <c r="DS21" s="35">
        <f>SUM(AT21:AW21)</f>
      </c>
      <c r="DT21" s="35">
        <f>SUM(AX21:BA21)</f>
      </c>
      <c r="DU21" s="35">
        <f>SUM(BB21:BE21)</f>
      </c>
      <c r="DV21" s="35">
        <f>SUM(BF21:BI21)</f>
      </c>
      <c r="DW21" s="35">
        <f>SUM(BJ21:BM21)</f>
      </c>
      <c r="DX21" s="35">
        <f>SUM(BN21:BQ21)</f>
      </c>
      <c r="DY21" s="35">
        <f>SUM(BR21:BU21)</f>
      </c>
      <c r="DZ21" s="35">
        <f>BV21+BW21+BX21+BY21</f>
      </c>
      <c r="EA21" s="35">
        <f>CC21+CB21+CA21+BZ21</f>
      </c>
      <c r="EB21" s="35">
        <f>+CD21+CE21+CF21+CG21</f>
      </c>
      <c r="EC21" s="35">
        <f>SUM(CH21:CK21)</f>
      </c>
      <c r="ED21" s="35">
        <f>SUM(CL21:CO21)</f>
      </c>
      <c r="EE21" s="35">
        <f>SUM(CP21:CS21)</f>
      </c>
      <c r="EF21" s="338">
        <f>SUM(CT21:CW21)</f>
      </c>
      <c r="EG21" s="338">
        <f>SUM(CX21:DA21)</f>
      </c>
      <c r="EH21" s="338">
        <f>SUM(DB21:DE21)</f>
      </c>
    </row>
    <row r="22" spans="1:138" s="49" customFormat="1" ht="11.25" customHeight="1">
      <c r="A22" s="48" t="s">
        <v>196</v>
      </c>
      <c r="C22" s="49">
        <f t="shared" ref="C22:BN22" si="47">C21/B21-1</f>
      </c>
      <c r="D22" s="49">
        <f t="shared" si="47"/>
      </c>
      <c r="E22" s="49">
        <f t="shared" si="47"/>
      </c>
      <c r="F22" s="49">
        <f t="shared" si="47"/>
      </c>
      <c r="G22" s="49">
        <f t="shared" si="47"/>
      </c>
      <c r="H22" s="49">
        <f t="shared" si="47"/>
      </c>
      <c r="I22" s="49">
        <f t="shared" si="47"/>
      </c>
      <c r="J22" s="49">
        <f t="shared" si="47"/>
      </c>
      <c r="K22" s="49">
        <f t="shared" si="47"/>
      </c>
      <c r="L22" s="49">
        <f t="shared" si="47"/>
      </c>
      <c r="M22" s="49">
        <f t="shared" si="47"/>
      </c>
      <c r="N22" s="49">
        <f t="shared" si="47"/>
      </c>
      <c r="O22" s="49">
        <f t="shared" si="47"/>
      </c>
      <c r="P22" s="49">
        <f t="shared" si="47"/>
      </c>
      <c r="Q22" s="49">
        <f t="shared" si="47"/>
      </c>
      <c r="R22" s="49">
        <f t="shared" si="47"/>
      </c>
      <c r="S22" s="49">
        <f t="shared" si="47"/>
      </c>
      <c r="T22" s="49">
        <f t="shared" si="47"/>
      </c>
      <c r="U22" s="49">
        <f t="shared" si="47"/>
      </c>
      <c r="V22" s="49">
        <f t="shared" si="47"/>
      </c>
      <c r="W22" s="49">
        <f t="shared" si="47"/>
      </c>
      <c r="X22" s="49">
        <f t="shared" si="47"/>
      </c>
      <c r="Y22" s="49">
        <f t="shared" si="47"/>
      </c>
      <c r="Z22" s="49">
        <f t="shared" si="47"/>
      </c>
      <c r="AA22" s="49">
        <f t="shared" si="47"/>
      </c>
      <c r="AB22" s="49">
        <f t="shared" si="47"/>
      </c>
      <c r="AC22" s="49">
        <f t="shared" si="47"/>
      </c>
      <c r="AD22" s="49">
        <f t="shared" si="47"/>
      </c>
      <c r="AE22" s="49">
        <f t="shared" si="47"/>
      </c>
      <c r="AF22" s="49">
        <f t="shared" si="47"/>
      </c>
      <c r="AG22" s="49">
        <f t="shared" si="47"/>
      </c>
      <c r="AH22" s="49">
        <f t="shared" si="47"/>
      </c>
      <c r="AI22" s="49">
        <f t="shared" si="47"/>
      </c>
      <c r="AJ22" s="49">
        <f t="shared" si="47"/>
      </c>
      <c r="AK22" s="49">
        <f t="shared" si="47"/>
      </c>
      <c r="AL22" s="49">
        <f t="shared" si="47"/>
      </c>
      <c r="AM22" s="49">
        <f t="shared" si="47"/>
      </c>
      <c r="AN22" s="49">
        <f t="shared" si="47"/>
      </c>
      <c r="AO22" s="49">
        <f t="shared" si="47"/>
      </c>
      <c r="AP22" s="49">
        <f t="shared" si="47"/>
      </c>
      <c r="AQ22" s="49">
        <f t="shared" si="47"/>
      </c>
      <c r="AR22" s="49">
        <f t="shared" si="47"/>
      </c>
      <c r="AS22" s="49">
        <f t="shared" si="47"/>
      </c>
      <c r="AT22" s="49">
        <f t="shared" si="47"/>
      </c>
      <c r="AU22" s="49">
        <f t="shared" si="47"/>
      </c>
      <c r="AV22" s="49">
        <f t="shared" si="47"/>
      </c>
      <c r="AW22" s="49">
        <f t="shared" si="47"/>
      </c>
      <c r="AX22" s="49">
        <f t="shared" si="47"/>
      </c>
      <c r="AY22" s="49">
        <f t="shared" si="47"/>
      </c>
      <c r="AZ22" s="49">
        <f t="shared" si="47"/>
      </c>
      <c r="BA22" s="49">
        <f t="shared" si="47"/>
      </c>
      <c r="BB22" s="49">
        <f t="shared" si="47"/>
      </c>
      <c r="BC22" s="49">
        <f t="shared" si="47"/>
      </c>
      <c r="BD22" s="49">
        <f t="shared" si="47"/>
      </c>
      <c r="BE22" s="49">
        <f t="shared" si="47"/>
      </c>
      <c r="BF22" s="49">
        <f t="shared" si="47"/>
      </c>
      <c r="BG22" s="49">
        <f t="shared" si="47"/>
      </c>
      <c r="BH22" s="49">
        <f t="shared" si="47"/>
      </c>
      <c r="BI22" s="49">
        <f t="shared" si="47"/>
      </c>
      <c r="BJ22" s="49">
        <f t="shared" si="47"/>
      </c>
      <c r="BK22" s="340">
        <f t="shared" si="47"/>
      </c>
      <c r="BL22" s="340">
        <f t="shared" si="47"/>
      </c>
      <c r="BM22" s="49">
        <f t="shared" si="47"/>
      </c>
      <c r="BN22" s="49">
        <f t="shared" si="47"/>
      </c>
      <c r="BO22" s="49">
        <f t="shared" ref="BO22:DE22" si="48">BO21/BN21-1</f>
      </c>
      <c r="BP22" s="49">
        <f t="shared" si="48"/>
      </c>
      <c r="BQ22" s="49">
        <f t="shared" si="48"/>
      </c>
      <c r="BR22" s="49">
        <f t="shared" si="48"/>
      </c>
      <c r="BS22" s="49">
        <f t="shared" si="48"/>
      </c>
      <c r="BT22" s="49">
        <f t="shared" si="48"/>
      </c>
      <c r="BU22" s="49">
        <f t="shared" si="48"/>
      </c>
      <c r="BV22" s="49">
        <f t="shared" si="48"/>
      </c>
      <c r="BW22" s="49">
        <f t="shared" si="48"/>
      </c>
      <c r="BX22" s="49">
        <f t="shared" si="48"/>
      </c>
      <c r="BY22" s="49">
        <f t="shared" si="48"/>
      </c>
      <c r="BZ22" s="49">
        <f t="shared" si="48"/>
      </c>
      <c r="CA22" s="49">
        <f t="shared" si="48"/>
      </c>
      <c r="CB22" s="49">
        <f t="shared" si="48"/>
      </c>
      <c r="CC22" s="49">
        <f t="shared" si="48"/>
      </c>
      <c r="CD22" s="49">
        <f t="shared" si="48"/>
      </c>
      <c r="CE22" s="49">
        <f t="shared" si="48"/>
      </c>
      <c r="CF22" s="49">
        <f t="shared" si="48"/>
      </c>
      <c r="CG22" s="49">
        <f t="shared" si="48"/>
      </c>
      <c r="CH22" s="49">
        <f t="shared" si="48"/>
      </c>
      <c r="CI22" s="49">
        <f t="shared" si="48"/>
      </c>
      <c r="CJ22" s="49">
        <f t="shared" si="48"/>
      </c>
      <c r="CK22" s="49">
        <f t="shared" si="48"/>
      </c>
      <c r="CL22" s="49">
        <f t="shared" si="48"/>
      </c>
      <c r="CM22" s="49">
        <f t="shared" si="48"/>
      </c>
      <c r="CN22" s="49">
        <f t="shared" si="48"/>
      </c>
      <c r="CO22" s="49">
        <f t="shared" si="48"/>
      </c>
      <c r="CP22" s="49">
        <f t="shared" si="48"/>
      </c>
      <c r="CQ22" s="49">
        <f t="shared" si="48"/>
      </c>
      <c r="CR22" s="49">
        <f t="shared" si="48"/>
      </c>
      <c r="CS22" s="49">
        <f t="shared" si="48"/>
      </c>
      <c r="CT22" s="49">
        <f>CT21/CS21-1</f>
      </c>
      <c r="CU22" s="49">
        <f>CU21/CT21-1</f>
      </c>
      <c r="CV22" s="341">
        <f t="shared" si="48"/>
      </c>
      <c r="CW22" s="341">
        <f t="shared" si="48"/>
      </c>
      <c r="CX22" s="341">
        <f t="shared" si="48"/>
      </c>
      <c r="CY22" s="341">
        <f t="shared" si="48"/>
      </c>
      <c r="CZ22" s="341">
        <f t="shared" si="48"/>
      </c>
      <c r="DA22" s="341">
        <f t="shared" si="48"/>
      </c>
      <c r="DB22" s="341">
        <f t="shared" si="48"/>
      </c>
      <c r="DC22" s="341">
        <f t="shared" si="48"/>
      </c>
      <c r="DD22" s="341">
        <f t="shared" si="48"/>
      </c>
      <c r="DE22" s="341">
        <f t="shared" si="48"/>
      </c>
      <c r="DH22" s="342" t="s">
        <v>197</v>
      </c>
      <c r="DI22" s="342" t="s">
        <v>197</v>
      </c>
      <c r="DJ22" s="342" t="s">
        <v>197</v>
      </c>
      <c r="DK22" s="342" t="s">
        <v>197</v>
      </c>
      <c r="DL22" s="342" t="s">
        <v>197</v>
      </c>
      <c r="DM22" s="342" t="s">
        <v>197</v>
      </c>
      <c r="DN22" s="342" t="s">
        <v>197</v>
      </c>
      <c r="DO22" s="342" t="s">
        <v>197</v>
      </c>
      <c r="DP22" s="342" t="s">
        <v>197</v>
      </c>
      <c r="DQ22" s="342" t="s">
        <v>197</v>
      </c>
      <c r="DR22" s="342" t="s">
        <v>197</v>
      </c>
      <c r="DS22" s="342" t="s">
        <v>197</v>
      </c>
      <c r="DT22" s="342" t="s">
        <v>197</v>
      </c>
      <c r="DU22" s="342" t="s">
        <v>197</v>
      </c>
      <c r="DV22" s="342" t="s">
        <v>197</v>
      </c>
      <c r="DW22" s="342" t="s">
        <v>197</v>
      </c>
      <c r="DX22" s="342" t="s">
        <v>197</v>
      </c>
      <c r="DY22" s="342" t="s">
        <v>197</v>
      </c>
      <c r="DZ22" s="342" t="s">
        <v>197</v>
      </c>
      <c r="EA22" s="342" t="s">
        <v>197</v>
      </c>
      <c r="EB22" s="342" t="s">
        <v>197</v>
      </c>
      <c r="EC22" s="342" t="s">
        <v>197</v>
      </c>
      <c r="ED22" s="342" t="s">
        <v>197</v>
      </c>
      <c r="EE22" s="342" t="s">
        <v>197</v>
      </c>
      <c r="EF22" s="343" t="s">
        <v>197</v>
      </c>
      <c r="EG22" s="343" t="s">
        <v>197</v>
      </c>
      <c r="EH22" s="343" t="s">
        <v>197</v>
      </c>
    </row>
    <row r="23" spans="1:138" s="49" customFormat="1" ht="11.25" customHeight="1">
      <c r="A23" s="48" t="s">
        <v>198</v>
      </c>
      <c r="F23" s="49">
        <f t="shared" ref="F23:BQ23" si="49">F21/B21-1</f>
      </c>
      <c r="G23" s="49">
        <f t="shared" si="49"/>
      </c>
      <c r="H23" s="49">
        <f t="shared" si="49"/>
      </c>
      <c r="I23" s="49">
        <f t="shared" si="49"/>
      </c>
      <c r="J23" s="49">
        <f t="shared" si="49"/>
      </c>
      <c r="K23" s="49">
        <f t="shared" si="49"/>
      </c>
      <c r="L23" s="49">
        <f t="shared" si="49"/>
      </c>
      <c r="M23" s="49">
        <f t="shared" si="49"/>
      </c>
      <c r="N23" s="49">
        <f t="shared" si="49"/>
      </c>
      <c r="O23" s="49">
        <f t="shared" si="49"/>
      </c>
      <c r="P23" s="49">
        <f t="shared" si="49"/>
      </c>
      <c r="Q23" s="49">
        <f t="shared" si="49"/>
      </c>
      <c r="R23" s="49">
        <f t="shared" si="49"/>
      </c>
      <c r="S23" s="49">
        <f t="shared" si="49"/>
      </c>
      <c r="T23" s="49">
        <f t="shared" si="49"/>
      </c>
      <c r="U23" s="49">
        <f t="shared" si="49"/>
      </c>
      <c r="V23" s="49">
        <f t="shared" si="49"/>
      </c>
      <c r="W23" s="49">
        <f t="shared" si="49"/>
      </c>
      <c r="X23" s="49">
        <f t="shared" si="49"/>
      </c>
      <c r="Y23" s="49">
        <f t="shared" si="49"/>
      </c>
      <c r="Z23" s="49">
        <f t="shared" si="49"/>
      </c>
      <c r="AA23" s="49">
        <f t="shared" si="49"/>
      </c>
      <c r="AB23" s="49">
        <f t="shared" si="49"/>
      </c>
      <c r="AC23" s="49">
        <f t="shared" si="49"/>
      </c>
      <c r="AD23" s="49">
        <f t="shared" si="49"/>
      </c>
      <c r="AE23" s="49">
        <f t="shared" si="49"/>
      </c>
      <c r="AF23" s="49">
        <f t="shared" si="49"/>
      </c>
      <c r="AG23" s="49">
        <f t="shared" si="49"/>
      </c>
      <c r="AH23" s="49">
        <f t="shared" si="49"/>
      </c>
      <c r="AI23" s="49">
        <f t="shared" si="49"/>
      </c>
      <c r="AJ23" s="49">
        <f t="shared" si="49"/>
      </c>
      <c r="AK23" s="49">
        <f t="shared" si="49"/>
      </c>
      <c r="AL23" s="49">
        <f t="shared" si="49"/>
      </c>
      <c r="AM23" s="49">
        <f t="shared" si="49"/>
      </c>
      <c r="AN23" s="49">
        <f t="shared" si="49"/>
      </c>
      <c r="AO23" s="49">
        <f t="shared" si="49"/>
      </c>
      <c r="AP23" s="49">
        <f t="shared" si="49"/>
      </c>
      <c r="AQ23" s="49">
        <f t="shared" si="49"/>
      </c>
      <c r="AR23" s="49">
        <f t="shared" si="49"/>
      </c>
      <c r="AS23" s="49">
        <f t="shared" si="49"/>
      </c>
      <c r="AT23" s="49">
        <f t="shared" si="49"/>
      </c>
      <c r="AU23" s="49">
        <f t="shared" si="49"/>
      </c>
      <c r="AV23" s="49">
        <f t="shared" si="49"/>
      </c>
      <c r="AW23" s="49">
        <f t="shared" si="49"/>
      </c>
      <c r="AX23" s="49">
        <f t="shared" si="49"/>
      </c>
      <c r="AY23" s="49">
        <f t="shared" si="49"/>
      </c>
      <c r="AZ23" s="49">
        <f t="shared" si="49"/>
      </c>
      <c r="BA23" s="49">
        <f t="shared" si="49"/>
      </c>
      <c r="BB23" s="49">
        <f t="shared" si="49"/>
      </c>
      <c r="BC23" s="49">
        <f t="shared" si="49"/>
      </c>
      <c r="BD23" s="49">
        <f t="shared" si="49"/>
      </c>
      <c r="BE23" s="49">
        <f t="shared" si="49"/>
      </c>
      <c r="BF23" s="49">
        <f t="shared" si="49"/>
      </c>
      <c r="BG23" s="49">
        <f t="shared" si="49"/>
      </c>
      <c r="BH23" s="49">
        <f t="shared" si="49"/>
      </c>
      <c r="BI23" s="49">
        <f t="shared" si="49"/>
      </c>
      <c r="BJ23" s="49">
        <f t="shared" si="49"/>
      </c>
      <c r="BK23" s="340">
        <f t="shared" si="49"/>
      </c>
      <c r="BL23" s="340">
        <f t="shared" si="49"/>
      </c>
      <c r="BM23" s="49">
        <f t="shared" si="49"/>
      </c>
      <c r="BN23" s="49">
        <f t="shared" si="49"/>
      </c>
      <c r="BO23" s="49">
        <f t="shared" si="49"/>
      </c>
      <c r="BP23" s="49">
        <f t="shared" si="49"/>
      </c>
      <c r="BQ23" s="49">
        <f t="shared" si="49"/>
      </c>
      <c r="BR23" s="49">
        <f t="shared" ref="BR23:DE23" si="50">BR21/BN21-1</f>
      </c>
      <c r="BS23" s="49">
        <f t="shared" si="50"/>
      </c>
      <c r="BT23" s="49">
        <f t="shared" si="50"/>
      </c>
      <c r="BU23" s="49">
        <f t="shared" si="50"/>
      </c>
      <c r="BV23" s="49">
        <f t="shared" si="50"/>
      </c>
      <c r="BW23" s="49">
        <f t="shared" si="50"/>
      </c>
      <c r="BX23" s="49">
        <f t="shared" si="50"/>
      </c>
      <c r="BY23" s="49">
        <f t="shared" si="50"/>
      </c>
      <c r="BZ23" s="49">
        <f t="shared" si="50"/>
      </c>
      <c r="CA23" s="49">
        <f t="shared" si="50"/>
      </c>
      <c r="CB23" s="49">
        <f t="shared" si="50"/>
      </c>
      <c r="CC23" s="49">
        <f t="shared" si="50"/>
      </c>
      <c r="CD23" s="49">
        <f t="shared" si="50"/>
      </c>
      <c r="CE23" s="49">
        <f t="shared" si="50"/>
      </c>
      <c r="CF23" s="49">
        <f t="shared" si="50"/>
      </c>
      <c r="CG23" s="49">
        <f t="shared" si="50"/>
      </c>
      <c r="CH23" s="49">
        <f t="shared" si="50"/>
      </c>
      <c r="CI23" s="49">
        <f t="shared" si="50"/>
      </c>
      <c r="CJ23" s="49">
        <f t="shared" si="50"/>
      </c>
      <c r="CK23" s="49">
        <f t="shared" si="50"/>
      </c>
      <c r="CL23" s="49">
        <f t="shared" si="50"/>
      </c>
      <c r="CM23" s="49">
        <f t="shared" si="50"/>
      </c>
      <c r="CN23" s="49">
        <f t="shared" si="50"/>
      </c>
      <c r="CO23" s="49">
        <f t="shared" si="50"/>
      </c>
      <c r="CP23" s="49">
        <f t="shared" si="50"/>
      </c>
      <c r="CQ23" s="49">
        <f t="shared" si="50"/>
      </c>
      <c r="CR23" s="49">
        <f t="shared" si="50"/>
      </c>
      <c r="CS23" s="49">
        <f t="shared" si="50"/>
      </c>
      <c r="CT23" s="49">
        <f>CT21/CP21-1</f>
      </c>
      <c r="CU23" s="49">
        <f>CU21/CQ21-1</f>
      </c>
      <c r="CV23" s="341">
        <f t="shared" si="50"/>
      </c>
      <c r="CW23" s="341">
        <f t="shared" si="50"/>
      </c>
      <c r="CX23" s="341">
        <f t="shared" si="50"/>
      </c>
      <c r="CY23" s="341">
        <f t="shared" si="50"/>
      </c>
      <c r="CZ23" s="341">
        <f t="shared" si="50"/>
      </c>
      <c r="DA23" s="341">
        <f t="shared" si="50"/>
      </c>
      <c r="DB23" s="341">
        <f t="shared" si="50"/>
      </c>
      <c r="DC23" s="341">
        <f t="shared" si="50"/>
      </c>
      <c r="DD23" s="341">
        <f t="shared" si="50"/>
      </c>
      <c r="DE23" s="341">
        <f t="shared" si="50"/>
      </c>
      <c r="DI23" s="49">
        <f t="shared" ref="DI23:EH23" si="51">DI21/DH21-1</f>
      </c>
      <c r="DJ23" s="49">
        <f t="shared" si="51"/>
      </c>
      <c r="DK23" s="49">
        <f t="shared" si="51"/>
      </c>
      <c r="DL23" s="49">
        <f t="shared" si="51"/>
      </c>
      <c r="DM23" s="49">
        <f t="shared" si="51"/>
      </c>
      <c r="DN23" s="49">
        <f t="shared" si="51"/>
      </c>
      <c r="DO23" s="49">
        <f t="shared" si="51"/>
      </c>
      <c r="DP23" s="49">
        <f t="shared" si="51"/>
      </c>
      <c r="DQ23" s="49">
        <f t="shared" si="51"/>
      </c>
      <c r="DR23" s="49">
        <f t="shared" si="51"/>
      </c>
      <c r="DS23" s="49">
        <f t="shared" si="51"/>
      </c>
      <c r="DT23" s="49">
        <f t="shared" si="51"/>
      </c>
      <c r="DU23" s="49">
        <f t="shared" si="51"/>
      </c>
      <c r="DV23" s="49">
        <f t="shared" si="51"/>
      </c>
      <c r="DW23" s="49">
        <f t="shared" si="51"/>
      </c>
      <c r="DX23" s="49">
        <f t="shared" si="51"/>
      </c>
      <c r="DY23" s="49">
        <f t="shared" si="51"/>
      </c>
      <c r="DZ23" s="49">
        <f t="shared" si="51"/>
      </c>
      <c r="EA23" s="49">
        <f t="shared" si="51"/>
      </c>
      <c r="EB23" s="49">
        <f t="shared" si="51"/>
      </c>
      <c r="EC23" s="49">
        <f>EC21/EB21-1</f>
      </c>
      <c r="ED23" s="49">
        <f t="shared" si="51"/>
      </c>
      <c r="EE23" s="49">
        <f t="shared" si="51"/>
      </c>
      <c r="EF23" s="345">
        <f t="shared" si="51"/>
      </c>
      <c r="EG23" s="345">
        <f t="shared" si="51"/>
      </c>
      <c r="EH23" s="345">
        <f t="shared" si="51"/>
      </c>
    </row>
    <row r="24" spans="1:138" s="49" customFormat="1" ht="11.25" customHeight="1">
      <c r="A24" s="48" t="s">
        <v>201</v>
      </c>
      <c r="B24" s="49">
        <f t="shared" ref="B24:BM24" si="52">B21/B$5</f>
      </c>
      <c r="C24" s="49">
        <f t="shared" si="52"/>
      </c>
      <c r="D24" s="49">
        <f t="shared" si="52"/>
      </c>
      <c r="E24" s="49">
        <f t="shared" si="52"/>
      </c>
      <c r="F24" s="49">
        <f t="shared" si="52"/>
      </c>
      <c r="G24" s="49">
        <f t="shared" si="52"/>
      </c>
      <c r="H24" s="49">
        <f t="shared" si="52"/>
      </c>
      <c r="I24" s="49">
        <f t="shared" si="52"/>
      </c>
      <c r="J24" s="49">
        <f t="shared" si="52"/>
      </c>
      <c r="K24" s="49">
        <f t="shared" si="52"/>
      </c>
      <c r="L24" s="49">
        <f t="shared" si="52"/>
      </c>
      <c r="M24" s="49">
        <f t="shared" si="52"/>
      </c>
      <c r="N24" s="49">
        <f t="shared" si="52"/>
      </c>
      <c r="O24" s="49">
        <f t="shared" si="52"/>
      </c>
      <c r="P24" s="49">
        <f t="shared" si="52"/>
      </c>
      <c r="Q24" s="49">
        <f t="shared" si="52"/>
      </c>
      <c r="R24" s="49">
        <f t="shared" si="52"/>
      </c>
      <c r="S24" s="49">
        <f t="shared" si="52"/>
      </c>
      <c r="T24" s="49">
        <f t="shared" si="52"/>
      </c>
      <c r="U24" s="49">
        <f t="shared" si="52"/>
      </c>
      <c r="V24" s="49">
        <f t="shared" si="52"/>
      </c>
      <c r="W24" s="49">
        <f t="shared" si="52"/>
      </c>
      <c r="X24" s="49">
        <f t="shared" si="52"/>
      </c>
      <c r="Y24" s="49">
        <f t="shared" si="52"/>
      </c>
      <c r="Z24" s="49">
        <f t="shared" si="52"/>
      </c>
      <c r="AA24" s="49">
        <f t="shared" si="52"/>
      </c>
      <c r="AB24" s="49">
        <f t="shared" si="52"/>
      </c>
      <c r="AC24" s="49">
        <f t="shared" si="52"/>
      </c>
      <c r="AD24" s="49">
        <f t="shared" si="52"/>
      </c>
      <c r="AE24" s="49">
        <f t="shared" si="52"/>
      </c>
      <c r="AF24" s="49">
        <f t="shared" si="52"/>
      </c>
      <c r="AG24" s="49">
        <f t="shared" si="52"/>
      </c>
      <c r="AH24" s="49">
        <f t="shared" si="52"/>
      </c>
      <c r="AI24" s="49">
        <f t="shared" si="52"/>
      </c>
      <c r="AJ24" s="49">
        <f t="shared" si="52"/>
      </c>
      <c r="AK24" s="49">
        <f t="shared" si="52"/>
      </c>
      <c r="AL24" s="49">
        <f t="shared" si="52"/>
      </c>
      <c r="AM24" s="49">
        <f t="shared" si="52"/>
      </c>
      <c r="AN24" s="49">
        <f t="shared" si="52"/>
      </c>
      <c r="AO24" s="49">
        <f t="shared" si="52"/>
      </c>
      <c r="AP24" s="49">
        <f t="shared" si="52"/>
      </c>
      <c r="AQ24" s="49">
        <f t="shared" si="52"/>
      </c>
      <c r="AR24" s="49">
        <f t="shared" si="52"/>
      </c>
      <c r="AS24" s="49">
        <f t="shared" si="52"/>
      </c>
      <c r="AT24" s="49">
        <f t="shared" si="52"/>
      </c>
      <c r="AU24" s="49">
        <f t="shared" si="52"/>
      </c>
      <c r="AV24" s="49">
        <f t="shared" si="52"/>
      </c>
      <c r="AW24" s="49">
        <f t="shared" si="52"/>
      </c>
      <c r="AX24" s="49">
        <f t="shared" si="52"/>
      </c>
      <c r="AY24" s="49">
        <f t="shared" si="52"/>
      </c>
      <c r="AZ24" s="49">
        <f t="shared" si="52"/>
      </c>
      <c r="BA24" s="49">
        <f t="shared" si="52"/>
      </c>
      <c r="BB24" s="49">
        <f t="shared" si="52"/>
      </c>
      <c r="BC24" s="49">
        <f t="shared" si="52"/>
      </c>
      <c r="BD24" s="49">
        <f t="shared" si="52"/>
      </c>
      <c r="BE24" s="49">
        <f t="shared" si="52"/>
      </c>
      <c r="BF24" s="49">
        <f t="shared" si="52"/>
      </c>
      <c r="BG24" s="49">
        <f t="shared" si="52"/>
      </c>
      <c r="BH24" s="49">
        <f t="shared" si="52"/>
      </c>
      <c r="BI24" s="49">
        <f t="shared" si="52"/>
      </c>
      <c r="BJ24" s="49">
        <f t="shared" si="52"/>
      </c>
      <c r="BK24" s="340">
        <f t="shared" si="52"/>
      </c>
      <c r="BL24" s="340">
        <f t="shared" si="52"/>
      </c>
      <c r="BM24" s="49">
        <f t="shared" si="52"/>
      </c>
      <c r="BN24" s="49">
        <f t="shared" ref="BN24:CS24" si="53">BN21/BN$5</f>
      </c>
      <c r="BO24" s="49">
        <f t="shared" si="53"/>
      </c>
      <c r="BP24" s="49">
        <f t="shared" si="53"/>
      </c>
      <c r="BQ24" s="49">
        <f t="shared" si="53"/>
      </c>
      <c r="BR24" s="49">
        <f t="shared" si="53"/>
      </c>
      <c r="BS24" s="49">
        <f t="shared" si="53"/>
      </c>
      <c r="BT24" s="49">
        <f t="shared" si="53"/>
      </c>
      <c r="BU24" s="49">
        <f t="shared" si="53"/>
      </c>
      <c r="BV24" s="49">
        <f t="shared" si="53"/>
      </c>
      <c r="BW24" s="49">
        <f t="shared" si="53"/>
      </c>
      <c r="BX24" s="49">
        <f t="shared" si="53"/>
      </c>
      <c r="BY24" s="49">
        <f t="shared" si="53"/>
      </c>
      <c r="BZ24" s="49">
        <f t="shared" si="53"/>
      </c>
      <c r="CA24" s="49">
        <f t="shared" si="53"/>
      </c>
      <c r="CB24" s="49">
        <f t="shared" si="53"/>
      </c>
      <c r="CC24" s="49">
        <f t="shared" si="53"/>
      </c>
      <c r="CD24" s="49">
        <f t="shared" si="53"/>
      </c>
      <c r="CE24" s="49">
        <f t="shared" si="53"/>
      </c>
      <c r="CF24" s="49">
        <f t="shared" si="53"/>
      </c>
      <c r="CG24" s="49">
        <f t="shared" si="53"/>
      </c>
      <c r="CH24" s="49">
        <f t="shared" si="53"/>
      </c>
      <c r="CI24" s="49">
        <f t="shared" si="53"/>
      </c>
      <c r="CJ24" s="49">
        <f t="shared" si="53"/>
      </c>
      <c r="CK24" s="49">
        <f t="shared" si="53"/>
      </c>
      <c r="CL24" s="49">
        <f t="shared" si="53"/>
      </c>
      <c r="CM24" s="49">
        <f t="shared" si="53"/>
      </c>
      <c r="CN24" s="49">
        <f t="shared" si="53"/>
      </c>
      <c r="CO24" s="49">
        <f t="shared" si="53"/>
      </c>
      <c r="CP24" s="49">
        <f t="shared" si="53"/>
      </c>
      <c r="CQ24" s="49">
        <f t="shared" si="53"/>
      </c>
      <c r="CR24" s="49">
        <f t="shared" si="53"/>
      </c>
      <c r="CS24" s="49">
        <f t="shared" si="53"/>
      </c>
      <c r="CT24" s="49">
        <f>CT21/CT$5</f>
      </c>
      <c r="CU24" s="49">
        <f>CU21/CU$5</f>
      </c>
      <c r="CV24" s="341">
        <f t="shared" ref="CV24:DA24" si="54">CV21/CV$5</f>
      </c>
      <c r="CW24" s="341">
        <f t="shared" si="54"/>
      </c>
      <c r="CX24" s="341">
        <f t="shared" si="54"/>
      </c>
      <c r="CY24" s="341">
        <f t="shared" si="54"/>
      </c>
      <c r="CZ24" s="341">
        <f t="shared" si="54"/>
      </c>
      <c r="DA24" s="341">
        <f t="shared" si="54"/>
      </c>
      <c r="DB24" s="341">
        <f>DB21/DB$5</f>
      </c>
      <c r="DC24" s="341">
        <f>DC21/DC$5</f>
      </c>
      <c r="DD24" s="341">
        <f>DD21/DD$5</f>
      </c>
      <c r="DE24" s="341">
        <f>DE21/DE$5</f>
      </c>
      <c r="DH24" s="49">
        <f>DH21/DH$5</f>
      </c>
      <c r="DI24" s="49">
        <f t="shared" ref="DI24:EE24" si="55">DI21/DI$5</f>
      </c>
      <c r="DJ24" s="49">
        <f t="shared" si="55"/>
      </c>
      <c r="DK24" s="49">
        <f t="shared" si="55"/>
      </c>
      <c r="DL24" s="49">
        <f t="shared" si="55"/>
      </c>
      <c r="DM24" s="49">
        <f t="shared" si="55"/>
      </c>
      <c r="DN24" s="49">
        <f t="shared" si="55"/>
      </c>
      <c r="DO24" s="49">
        <f t="shared" si="55"/>
      </c>
      <c r="DP24" s="49">
        <f t="shared" si="55"/>
      </c>
      <c r="DQ24" s="49">
        <f t="shared" si="55"/>
      </c>
      <c r="DR24" s="49">
        <f t="shared" si="55"/>
      </c>
      <c r="DS24" s="49">
        <f t="shared" si="55"/>
      </c>
      <c r="DT24" s="49">
        <f t="shared" si="55"/>
      </c>
      <c r="DU24" s="49">
        <f t="shared" si="55"/>
      </c>
      <c r="DV24" s="49">
        <f t="shared" si="55"/>
      </c>
      <c r="DW24" s="49">
        <f t="shared" si="55"/>
      </c>
      <c r="DX24" s="49">
        <f t="shared" si="55"/>
      </c>
      <c r="DY24" s="49">
        <f t="shared" si="55"/>
      </c>
      <c r="DZ24" s="49">
        <f t="shared" si="55"/>
      </c>
      <c r="EA24" s="49">
        <f t="shared" si="55"/>
      </c>
      <c r="EB24" s="49">
        <f t="shared" si="55"/>
      </c>
      <c r="EC24" s="49">
        <f t="shared" si="55"/>
      </c>
      <c r="ED24" s="49">
        <f t="shared" si="55"/>
      </c>
      <c r="EE24" s="49">
        <f t="shared" si="55"/>
      </c>
      <c r="EF24" s="345">
        <f>EF21/EF$5</f>
      </c>
      <c r="EG24" s="345">
        <f>EG21/EG$5</f>
      </c>
      <c r="EH24" s="345">
        <f>EH21/EH$5</f>
      </c>
    </row>
    <row r="25" spans="1:138" s="49" customFormat="1" ht="11.25" customHeight="1" outlineLevel="1">
      <c r="A25" s="346" t="s">
        <v>206</v>
      </c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>
        <f t="shared" ref="AL25:CS25" si="56">+AL21-AL29</f>
      </c>
      <c r="AM25" s="35">
        <f t="shared" si="56"/>
      </c>
      <c r="AN25" s="35">
        <f t="shared" si="56"/>
      </c>
      <c r="AO25" s="35">
        <f t="shared" si="56"/>
      </c>
      <c r="AP25" s="35">
        <f t="shared" si="56"/>
      </c>
      <c r="AQ25" s="35">
        <f t="shared" si="56"/>
      </c>
      <c r="AR25" s="35">
        <f t="shared" si="56"/>
      </c>
      <c r="AS25" s="35">
        <f t="shared" si="56"/>
      </c>
      <c r="AT25" s="35">
        <f t="shared" si="56"/>
      </c>
      <c r="AU25" s="35">
        <f t="shared" si="56"/>
      </c>
      <c r="AV25" s="35">
        <f t="shared" si="56"/>
      </c>
      <c r="AW25" s="35">
        <f t="shared" si="56"/>
      </c>
      <c r="AX25" s="35">
        <f t="shared" si="56"/>
      </c>
      <c r="AY25" s="35">
        <f t="shared" si="56"/>
      </c>
      <c r="AZ25" s="35">
        <f t="shared" si="56"/>
      </c>
      <c r="BA25" s="35">
        <f t="shared" si="56"/>
      </c>
      <c r="BB25" s="35">
        <f t="shared" si="56"/>
      </c>
      <c r="BC25" s="35">
        <f t="shared" si="56"/>
      </c>
      <c r="BD25" s="35">
        <f t="shared" si="56"/>
      </c>
      <c r="BE25" s="35">
        <f t="shared" si="56"/>
      </c>
      <c r="BF25" s="35">
        <f t="shared" si="56"/>
      </c>
      <c r="BG25" s="35">
        <f t="shared" si="56"/>
      </c>
      <c r="BH25" s="35">
        <f t="shared" si="56"/>
      </c>
      <c r="BI25" s="35">
        <f t="shared" si="56"/>
      </c>
      <c r="BJ25" s="35">
        <f t="shared" si="56"/>
      </c>
      <c r="BK25" s="35">
        <f t="shared" si="56"/>
      </c>
      <c r="BL25" s="35">
        <f t="shared" si="56"/>
      </c>
      <c r="BM25" s="35">
        <f t="shared" si="56"/>
      </c>
      <c r="BN25" s="35">
        <f t="shared" si="56"/>
      </c>
      <c r="BO25" s="35">
        <f t="shared" si="56"/>
      </c>
      <c r="BP25" s="35">
        <f t="shared" si="56"/>
      </c>
      <c r="BQ25" s="35">
        <f t="shared" si="56"/>
      </c>
      <c r="BR25" s="35">
        <f t="shared" si="56"/>
      </c>
      <c r="BS25" s="35">
        <f t="shared" si="56"/>
      </c>
      <c r="BT25" s="35">
        <f t="shared" si="56"/>
      </c>
      <c r="BU25" s="35">
        <f t="shared" si="56"/>
      </c>
      <c r="BV25" s="35">
        <f t="shared" si="56"/>
      </c>
      <c r="BW25" s="35">
        <f t="shared" si="56"/>
      </c>
      <c r="BX25" s="35">
        <f t="shared" si="56"/>
      </c>
      <c r="BY25" s="35">
        <f t="shared" si="56"/>
      </c>
      <c r="BZ25" s="35">
        <f t="shared" si="56"/>
      </c>
      <c r="CA25" s="35">
        <f t="shared" si="56"/>
      </c>
      <c r="CB25" s="35">
        <f t="shared" si="56"/>
      </c>
      <c r="CC25" s="35">
        <f t="shared" si="56"/>
      </c>
      <c r="CD25" s="35">
        <f t="shared" si="56"/>
      </c>
      <c r="CE25" s="35">
        <f t="shared" si="56"/>
      </c>
      <c r="CF25" s="35">
        <f t="shared" si="56"/>
      </c>
      <c r="CG25" s="35">
        <f t="shared" si="56"/>
      </c>
      <c r="CH25" s="35">
        <f t="shared" si="56"/>
      </c>
      <c r="CI25" s="35">
        <f t="shared" si="56"/>
      </c>
      <c r="CJ25" s="35">
        <f t="shared" si="56"/>
      </c>
      <c r="CK25" s="35">
        <f t="shared" si="56"/>
      </c>
      <c r="CL25" s="35">
        <f t="shared" si="56"/>
      </c>
      <c r="CM25" s="35">
        <f t="shared" si="56"/>
      </c>
      <c r="CN25" s="35">
        <f t="shared" si="56"/>
      </c>
      <c r="CO25" s="35">
        <f t="shared" si="56"/>
      </c>
      <c r="CP25" s="35">
        <f t="shared" si="56"/>
      </c>
      <c r="CQ25" s="35">
        <f t="shared" si="56"/>
      </c>
      <c r="CR25" s="35">
        <f t="shared" si="56"/>
      </c>
      <c r="CS25" s="35">
        <f t="shared" si="56"/>
      </c>
      <c r="CT25" s="35">
        <f>+CT21-CT29</f>
      </c>
      <c r="CU25" s="35">
        <f>+CU21-CU29</f>
      </c>
      <c r="CV25" s="338">
        <f t="shared" ref="CV25:DA25" si="57">+CV21-CV29</f>
      </c>
      <c r="CW25" s="338">
        <f t="shared" si="57"/>
      </c>
      <c r="CX25" s="338">
        <f t="shared" si="57"/>
      </c>
      <c r="CY25" s="338">
        <f t="shared" si="57"/>
      </c>
      <c r="CZ25" s="338">
        <f t="shared" si="57"/>
      </c>
      <c r="DA25" s="338">
        <f t="shared" si="57"/>
      </c>
      <c r="DB25" s="338">
        <f>+DB21-DB29</f>
      </c>
      <c r="DC25" s="338">
        <f>+DC21-DC29</f>
      </c>
      <c r="DD25" s="338">
        <f>+DD21-DD29</f>
      </c>
      <c r="DE25" s="338">
        <f>+DE21-DE29</f>
      </c>
      <c r="DH25" s="52"/>
      <c r="DI25" s="52"/>
      <c r="DJ25" s="52"/>
      <c r="DK25" s="52"/>
      <c r="DL25" s="52"/>
      <c r="DM25" s="52"/>
      <c r="DN25" s="52"/>
      <c r="DO25" s="52"/>
      <c r="DP25" s="52"/>
      <c r="DQ25" s="52"/>
      <c r="DR25" s="35">
        <f>SUM(AP25:AS25)</f>
      </c>
      <c r="DS25" s="35">
        <f>SUM(AT25:AW25)</f>
      </c>
      <c r="DT25" s="35">
        <f>SUM(AX25:BA25)</f>
      </c>
      <c r="DU25" s="35">
        <f>SUM(BB25:BE25)</f>
      </c>
      <c r="DV25" s="35">
        <f>SUM(BF25:BI25)</f>
      </c>
      <c r="DW25" s="35">
        <f>SUM(BJ25:BM25)</f>
      </c>
      <c r="DX25" s="35">
        <f>SUM(BN25:BQ25)</f>
      </c>
      <c r="DY25" s="35">
        <f>SUM(BR25:BU25)</f>
      </c>
      <c r="DZ25" s="35">
        <f>BV25+BW25+BX25+BY25</f>
      </c>
      <c r="EA25" s="35">
        <f>CC25+CB25+CA25+BZ25</f>
      </c>
      <c r="EB25" s="35">
        <f>+CD25+CE25+CF25+CG25</f>
      </c>
      <c r="EC25" s="35">
        <f>SUM(CH25:CK25)</f>
      </c>
      <c r="ED25" s="35">
        <f>SUM(CL25:CO25)</f>
      </c>
      <c r="EE25" s="35">
        <f>SUM(CP25:CS25)</f>
      </c>
      <c r="EF25" s="338">
        <f>SUM(CT25:CW25)</f>
      </c>
      <c r="EG25" s="338">
        <f>SUM(CX25:DA25)</f>
      </c>
      <c r="EH25" s="338">
        <f>SUM(DB25:DE25)</f>
      </c>
    </row>
    <row r="26" spans="1:138" s="49" customFormat="1" ht="11.25" customHeight="1" outlineLevel="1">
      <c r="A26" s="349" t="s">
        <v>196</v>
      </c>
      <c r="AM26" s="49">
        <f t="shared" ref="AM26:CX26" si="58">AM25/AL25-1</f>
      </c>
      <c r="AN26" s="49">
        <f t="shared" si="58"/>
      </c>
      <c r="AO26" s="49">
        <f t="shared" si="58"/>
      </c>
      <c r="AP26" s="49">
        <f t="shared" si="58"/>
      </c>
      <c r="AQ26" s="49">
        <f t="shared" si="58"/>
      </c>
      <c r="AR26" s="49">
        <f t="shared" si="58"/>
      </c>
      <c r="AS26" s="49">
        <f t="shared" si="58"/>
      </c>
      <c r="AT26" s="49">
        <f t="shared" si="58"/>
      </c>
      <c r="AU26" s="49">
        <f t="shared" si="58"/>
      </c>
      <c r="AV26" s="49">
        <f t="shared" si="58"/>
      </c>
      <c r="AW26" s="49">
        <f t="shared" si="58"/>
      </c>
      <c r="AX26" s="49">
        <f t="shared" si="58"/>
      </c>
      <c r="AY26" s="49">
        <f t="shared" si="58"/>
      </c>
      <c r="AZ26" s="49">
        <f t="shared" si="58"/>
      </c>
      <c r="BA26" s="49">
        <f t="shared" si="58"/>
      </c>
      <c r="BB26" s="49">
        <f t="shared" si="58"/>
      </c>
      <c r="BC26" s="49">
        <f t="shared" si="58"/>
      </c>
      <c r="BD26" s="49">
        <f t="shared" si="58"/>
      </c>
      <c r="BE26" s="49">
        <f t="shared" si="58"/>
      </c>
      <c r="BF26" s="49">
        <f t="shared" si="58"/>
      </c>
      <c r="BG26" s="49">
        <f t="shared" si="58"/>
      </c>
      <c r="BH26" s="49">
        <f t="shared" si="58"/>
      </c>
      <c r="BI26" s="49">
        <f t="shared" si="58"/>
      </c>
      <c r="BJ26" s="49">
        <f t="shared" si="58"/>
      </c>
      <c r="BK26" s="49">
        <f t="shared" si="58"/>
      </c>
      <c r="BL26" s="49">
        <f t="shared" si="58"/>
      </c>
      <c r="BM26" s="49">
        <f t="shared" si="58"/>
      </c>
      <c r="BN26" s="49">
        <f t="shared" si="58"/>
      </c>
      <c r="BO26" s="49">
        <f t="shared" si="58"/>
      </c>
      <c r="BP26" s="49">
        <f t="shared" si="58"/>
      </c>
      <c r="BQ26" s="49">
        <f t="shared" si="58"/>
      </c>
      <c r="BR26" s="49">
        <f t="shared" si="58"/>
      </c>
      <c r="BS26" s="49">
        <f t="shared" si="58"/>
      </c>
      <c r="BT26" s="49">
        <f t="shared" si="58"/>
      </c>
      <c r="BU26" s="49">
        <f t="shared" si="58"/>
      </c>
      <c r="BV26" s="49">
        <f t="shared" si="58"/>
      </c>
      <c r="BW26" s="49">
        <f t="shared" si="58"/>
      </c>
      <c r="BX26" s="49">
        <f t="shared" si="58"/>
      </c>
      <c r="BY26" s="49">
        <f t="shared" si="58"/>
      </c>
      <c r="BZ26" s="49">
        <f t="shared" si="58"/>
      </c>
      <c r="CA26" s="49">
        <f t="shared" si="58"/>
      </c>
      <c r="CB26" s="49">
        <f t="shared" si="58"/>
      </c>
      <c r="CC26" s="49">
        <f t="shared" si="58"/>
      </c>
      <c r="CD26" s="49">
        <f t="shared" si="58"/>
      </c>
      <c r="CE26" s="49">
        <f t="shared" si="58"/>
      </c>
      <c r="CF26" s="49">
        <f t="shared" si="58"/>
      </c>
      <c r="CG26" s="49">
        <f t="shared" si="58"/>
      </c>
      <c r="CH26" s="49">
        <f t="shared" si="58"/>
      </c>
      <c r="CI26" s="49">
        <f t="shared" si="58"/>
      </c>
      <c r="CJ26" s="49">
        <f t="shared" si="58"/>
      </c>
      <c r="CK26" s="49">
        <f t="shared" si="58"/>
      </c>
      <c r="CL26" s="49">
        <f t="shared" si="58"/>
      </c>
      <c r="CM26" s="49">
        <f t="shared" si="58"/>
      </c>
      <c r="CN26" s="49">
        <f t="shared" si="58"/>
      </c>
      <c r="CO26" s="49">
        <f t="shared" si="58"/>
      </c>
      <c r="CP26" s="49">
        <f t="shared" si="58"/>
      </c>
      <c r="CQ26" s="49">
        <f t="shared" si="58"/>
      </c>
      <c r="CR26" s="49">
        <f t="shared" si="58"/>
      </c>
      <c r="CS26" s="49">
        <f t="shared" si="58"/>
      </c>
      <c r="CT26" s="49">
        <f>CT25/CS25-1</f>
      </c>
      <c r="CU26" s="49">
        <f>CU25/CT25-1</f>
      </c>
      <c r="CV26" s="341">
        <f t="shared" si="58"/>
      </c>
      <c r="CW26" s="341">
        <f t="shared" si="58"/>
      </c>
      <c r="CX26" s="341">
        <f t="shared" si="58"/>
      </c>
      <c r="CY26" s="341">
        <f t="shared" ref="CY26:DE26" si="59">CY25/CX25-1</f>
      </c>
      <c r="CZ26" s="341">
        <f t="shared" si="59"/>
      </c>
      <c r="DA26" s="341">
        <f t="shared" si="59"/>
      </c>
      <c r="DB26" s="341">
        <f t="shared" si="59"/>
      </c>
      <c r="DC26" s="341">
        <f t="shared" si="59"/>
      </c>
      <c r="DD26" s="341">
        <f t="shared" si="59"/>
      </c>
      <c r="DE26" s="341">
        <f t="shared" si="59"/>
      </c>
      <c r="DH26" s="342" t="s">
        <v>197</v>
      </c>
      <c r="DI26" s="342" t="s">
        <v>197</v>
      </c>
      <c r="DJ26" s="342" t="s">
        <v>197</v>
      </c>
      <c r="DK26" s="342" t="s">
        <v>197</v>
      </c>
      <c r="DL26" s="342" t="s">
        <v>197</v>
      </c>
      <c r="DM26" s="342" t="s">
        <v>197</v>
      </c>
      <c r="DN26" s="342" t="s">
        <v>197</v>
      </c>
      <c r="DO26" s="342" t="s">
        <v>197</v>
      </c>
      <c r="DP26" s="342" t="s">
        <v>197</v>
      </c>
      <c r="DQ26" s="342" t="s">
        <v>197</v>
      </c>
      <c r="DR26" s="342" t="s">
        <v>197</v>
      </c>
      <c r="DS26" s="342" t="s">
        <v>197</v>
      </c>
      <c r="DT26" s="342" t="s">
        <v>197</v>
      </c>
      <c r="DU26" s="342" t="s">
        <v>197</v>
      </c>
      <c r="DV26" s="342" t="s">
        <v>197</v>
      </c>
      <c r="DW26" s="342" t="s">
        <v>197</v>
      </c>
      <c r="DX26" s="342" t="s">
        <v>197</v>
      </c>
      <c r="DY26" s="342" t="s">
        <v>197</v>
      </c>
      <c r="DZ26" s="342" t="s">
        <v>197</v>
      </c>
      <c r="EA26" s="342" t="s">
        <v>197</v>
      </c>
      <c r="EB26" s="342" t="s">
        <v>197</v>
      </c>
      <c r="EC26" s="342" t="s">
        <v>197</v>
      </c>
      <c r="ED26" s="342" t="s">
        <v>197</v>
      </c>
      <c r="EE26" s="342" t="s">
        <v>197</v>
      </c>
      <c r="EF26" s="343" t="s">
        <v>197</v>
      </c>
      <c r="EG26" s="343" t="s">
        <v>197</v>
      </c>
      <c r="EH26" s="343" t="s">
        <v>197</v>
      </c>
    </row>
    <row r="27" spans="1:138" s="49" customFormat="1" ht="11.25" customHeight="1" outlineLevel="1">
      <c r="A27" s="349" t="s">
        <v>198</v>
      </c>
      <c r="AP27" s="49">
        <f t="shared" ref="AP27:DA27" si="60">AP25/AL25-1</f>
      </c>
      <c r="AQ27" s="49">
        <f t="shared" si="60"/>
      </c>
      <c r="AR27" s="49">
        <f t="shared" si="60"/>
      </c>
      <c r="AS27" s="49">
        <f t="shared" si="60"/>
      </c>
      <c r="AT27" s="49">
        <f t="shared" si="60"/>
      </c>
      <c r="AU27" s="49">
        <f t="shared" si="60"/>
      </c>
      <c r="AV27" s="49">
        <f t="shared" si="60"/>
      </c>
      <c r="AW27" s="49">
        <f t="shared" si="60"/>
      </c>
      <c r="AX27" s="49">
        <f t="shared" si="60"/>
      </c>
      <c r="AY27" s="49">
        <f t="shared" si="60"/>
      </c>
      <c r="AZ27" s="49">
        <f t="shared" si="60"/>
      </c>
      <c r="BA27" s="49">
        <f t="shared" si="60"/>
      </c>
      <c r="BB27" s="49">
        <f t="shared" si="60"/>
      </c>
      <c r="BC27" s="49">
        <f t="shared" si="60"/>
      </c>
      <c r="BD27" s="49">
        <f t="shared" si="60"/>
      </c>
      <c r="BE27" s="49">
        <f t="shared" si="60"/>
      </c>
      <c r="BF27" s="49">
        <f t="shared" si="60"/>
      </c>
      <c r="BG27" s="49">
        <f t="shared" si="60"/>
      </c>
      <c r="BH27" s="49">
        <f t="shared" si="60"/>
      </c>
      <c r="BI27" s="49">
        <f t="shared" si="60"/>
      </c>
      <c r="BJ27" s="49">
        <f t="shared" si="60"/>
      </c>
      <c r="BK27" s="49">
        <f t="shared" si="60"/>
      </c>
      <c r="BL27" s="49">
        <f t="shared" si="60"/>
      </c>
      <c r="BM27" s="49">
        <f t="shared" si="60"/>
      </c>
      <c r="BN27" s="49">
        <f t="shared" si="60"/>
      </c>
      <c r="BO27" s="49">
        <f t="shared" si="60"/>
      </c>
      <c r="BP27" s="49">
        <f t="shared" si="60"/>
      </c>
      <c r="BQ27" s="49">
        <f t="shared" si="60"/>
      </c>
      <c r="BR27" s="49">
        <f t="shared" si="60"/>
      </c>
      <c r="BS27" s="49">
        <f t="shared" si="60"/>
      </c>
      <c r="BT27" s="49">
        <f t="shared" si="60"/>
      </c>
      <c r="BU27" s="49">
        <f t="shared" si="60"/>
      </c>
      <c r="BV27" s="49">
        <f t="shared" si="60"/>
      </c>
      <c r="BW27" s="49">
        <f t="shared" si="60"/>
      </c>
      <c r="BX27" s="49">
        <f t="shared" si="60"/>
      </c>
      <c r="BY27" s="49">
        <f t="shared" si="60"/>
      </c>
      <c r="BZ27" s="49">
        <f t="shared" si="60"/>
      </c>
      <c r="CA27" s="49">
        <f t="shared" si="60"/>
      </c>
      <c r="CB27" s="49">
        <f t="shared" si="60"/>
      </c>
      <c r="CC27" s="49">
        <f t="shared" si="60"/>
      </c>
      <c r="CD27" s="49">
        <f t="shared" si="60"/>
      </c>
      <c r="CE27" s="49">
        <f t="shared" si="60"/>
      </c>
      <c r="CF27" s="49">
        <f t="shared" si="60"/>
      </c>
      <c r="CG27" s="49">
        <f t="shared" si="60"/>
      </c>
      <c r="CH27" s="49">
        <f t="shared" si="60"/>
      </c>
      <c r="CI27" s="49">
        <f t="shared" si="60"/>
      </c>
      <c r="CJ27" s="49">
        <f t="shared" si="60"/>
      </c>
      <c r="CK27" s="49">
        <f t="shared" si="60"/>
      </c>
      <c r="CL27" s="49">
        <f t="shared" si="60"/>
      </c>
      <c r="CM27" s="49">
        <f t="shared" si="60"/>
      </c>
      <c r="CN27" s="49">
        <f t="shared" si="60"/>
      </c>
      <c r="CO27" s="49">
        <f t="shared" si="60"/>
      </c>
      <c r="CP27" s="49">
        <f t="shared" si="60"/>
      </c>
      <c r="CQ27" s="49">
        <f t="shared" si="60"/>
      </c>
      <c r="CR27" s="49">
        <f t="shared" si="60"/>
      </c>
      <c r="CS27" s="49">
        <f t="shared" si="60"/>
      </c>
      <c r="CT27" s="49">
        <f>CT25/CP25-1</f>
      </c>
      <c r="CU27" s="49">
        <f>CU25/CQ25-1</f>
      </c>
      <c r="CV27" s="341">
        <f t="shared" si="60"/>
      </c>
      <c r="CW27" s="341">
        <f t="shared" si="60"/>
      </c>
      <c r="CX27" s="341">
        <f t="shared" si="60"/>
      </c>
      <c r="CY27" s="341">
        <f t="shared" si="60"/>
      </c>
      <c r="CZ27" s="341">
        <f t="shared" si="60"/>
      </c>
      <c r="DA27" s="341">
        <f t="shared" si="60"/>
      </c>
      <c r="DB27" s="341">
        <f t="shared" ref="DB27:DE27" si="61">DB25/CX25-1</f>
      </c>
      <c r="DC27" s="341">
        <f t="shared" si="61"/>
      </c>
      <c r="DD27" s="341">
        <f t="shared" si="61"/>
      </c>
      <c r="DE27" s="341">
        <f t="shared" si="61"/>
      </c>
      <c r="DH27" s="52"/>
      <c r="DI27" s="52"/>
      <c r="DJ27" s="52"/>
      <c r="DK27" s="52"/>
      <c r="DL27" s="52"/>
      <c r="DM27" s="52"/>
      <c r="DN27" s="52"/>
      <c r="DO27" s="52"/>
      <c r="DP27" s="52"/>
      <c r="DQ27" s="52"/>
      <c r="DS27" s="49">
        <f>DS25/DR25-1</f>
      </c>
      <c r="DT27" s="49">
        <f t="shared" ref="DT27:EH27" si="62">DT25/DS25-1</f>
      </c>
      <c r="DU27" s="49">
        <f t="shared" si="62"/>
      </c>
      <c r="DV27" s="49">
        <f t="shared" si="62"/>
      </c>
      <c r="DW27" s="49">
        <f t="shared" si="62"/>
      </c>
      <c r="DX27" s="49">
        <f t="shared" si="62"/>
      </c>
      <c r="DY27" s="49">
        <f t="shared" si="62"/>
      </c>
      <c r="DZ27" s="49">
        <f t="shared" si="62"/>
      </c>
      <c r="EA27" s="49">
        <f t="shared" si="62"/>
      </c>
      <c r="EB27" s="49">
        <f t="shared" si="62"/>
      </c>
      <c r="EC27" s="49">
        <f t="shared" si="62"/>
      </c>
      <c r="ED27" s="49">
        <f>ED25/EC25-1</f>
      </c>
      <c r="EE27" s="49">
        <f t="shared" si="62"/>
      </c>
      <c r="EF27" s="345">
        <f t="shared" si="62"/>
      </c>
      <c r="EG27" s="345">
        <f t="shared" si="62"/>
      </c>
      <c r="EH27" s="345">
        <f t="shared" si="62"/>
      </c>
    </row>
    <row r="28" spans="1:138" ht="11.25" customHeight="1">
      <c r="A28" s="349" t="s">
        <v>201</v>
      </c>
      <c r="AL28" s="49">
        <f t="shared" ref="AL28:CQ28" si="63">AL25/AL5</f>
      </c>
      <c r="AM28" s="49">
        <f t="shared" si="63"/>
      </c>
      <c r="AN28" s="49">
        <f t="shared" si="63"/>
      </c>
      <c r="AO28" s="49">
        <f t="shared" si="63"/>
      </c>
      <c r="AP28" s="49">
        <f t="shared" si="63"/>
      </c>
      <c r="AQ28" s="49">
        <f t="shared" si="63"/>
      </c>
      <c r="AR28" s="49">
        <f t="shared" si="63"/>
      </c>
      <c r="AS28" s="49">
        <f t="shared" si="63"/>
      </c>
      <c r="AT28" s="49">
        <f t="shared" si="63"/>
      </c>
      <c r="AU28" s="49">
        <f t="shared" si="63"/>
      </c>
      <c r="AV28" s="49">
        <f t="shared" si="63"/>
      </c>
      <c r="AW28" s="49">
        <f t="shared" si="63"/>
      </c>
      <c r="AX28" s="49">
        <f t="shared" si="63"/>
      </c>
      <c r="AY28" s="49">
        <f t="shared" si="63"/>
      </c>
      <c r="AZ28" s="49">
        <f t="shared" si="63"/>
      </c>
      <c r="BA28" s="49">
        <f t="shared" si="63"/>
      </c>
      <c r="BB28" s="49">
        <f t="shared" si="63"/>
      </c>
      <c r="BC28" s="49">
        <f t="shared" si="63"/>
      </c>
      <c r="BD28" s="49">
        <f t="shared" si="63"/>
      </c>
      <c r="BE28" s="49">
        <f t="shared" si="63"/>
      </c>
      <c r="BF28" s="49">
        <f t="shared" si="63"/>
      </c>
      <c r="BG28" s="49">
        <f t="shared" si="63"/>
      </c>
      <c r="BH28" s="49">
        <f t="shared" si="63"/>
      </c>
      <c r="BI28" s="49">
        <f t="shared" si="63"/>
      </c>
      <c r="BJ28" s="49">
        <f t="shared" si="63"/>
      </c>
      <c r="BK28" s="49">
        <f t="shared" si="63"/>
      </c>
      <c r="BL28" s="49">
        <f t="shared" si="63"/>
      </c>
      <c r="BM28" s="49">
        <f t="shared" si="63"/>
      </c>
      <c r="BN28" s="49">
        <f t="shared" si="63"/>
      </c>
      <c r="BO28" s="49">
        <f t="shared" si="63"/>
      </c>
      <c r="BP28" s="49">
        <f t="shared" si="63"/>
      </c>
      <c r="BQ28" s="49">
        <f t="shared" si="63"/>
      </c>
      <c r="BR28" s="49">
        <f t="shared" si="63"/>
      </c>
      <c r="BS28" s="49">
        <f t="shared" si="63"/>
      </c>
      <c r="BT28" s="49">
        <f t="shared" si="63"/>
      </c>
      <c r="BU28" s="49">
        <f t="shared" si="63"/>
      </c>
      <c r="BV28" s="49">
        <f t="shared" si="63"/>
      </c>
      <c r="BW28" s="49">
        <f t="shared" si="63"/>
      </c>
      <c r="BX28" s="49">
        <f t="shared" si="63"/>
      </c>
      <c r="BY28" s="49">
        <f t="shared" si="63"/>
      </c>
      <c r="BZ28" s="49">
        <f t="shared" si="63"/>
      </c>
      <c r="CA28" s="49">
        <f t="shared" si="63"/>
      </c>
      <c r="CB28" s="49">
        <f t="shared" si="63"/>
      </c>
      <c r="CC28" s="49">
        <f t="shared" si="63"/>
      </c>
      <c r="CD28" s="49">
        <f t="shared" si="63"/>
      </c>
      <c r="CE28" s="49">
        <f t="shared" si="63"/>
      </c>
      <c r="CF28" s="49">
        <f t="shared" si="63"/>
      </c>
      <c r="CG28" s="49">
        <f t="shared" si="63"/>
      </c>
      <c r="CH28" s="49">
        <f t="shared" si="63"/>
      </c>
      <c r="CI28" s="49">
        <f t="shared" si="63"/>
      </c>
      <c r="CJ28" s="49">
        <f t="shared" si="63"/>
      </c>
      <c r="CK28" s="49">
        <f t="shared" si="63"/>
      </c>
      <c r="CL28" s="49">
        <f t="shared" si="63"/>
      </c>
      <c r="CM28" s="49">
        <f t="shared" si="63"/>
      </c>
      <c r="CN28" s="49">
        <f>CN25/CN5</f>
      </c>
      <c r="CO28" s="49">
        <f>CO25/CO5</f>
      </c>
      <c r="CP28" s="49">
        <f>CP25/CP5</f>
      </c>
      <c r="CQ28" s="49">
        <f t="shared" si="63"/>
      </c>
      <c r="CR28" s="49">
        <f>CR25/CR5</f>
      </c>
      <c r="CS28" s="49">
        <f>CS25/CS5</f>
      </c>
      <c r="CT28" s="49">
        <f>CT25/CT5</f>
      </c>
      <c r="CU28" s="49">
        <f>CU25/CU5</f>
      </c>
      <c r="CV28" s="341">
        <f t="shared" ref="CV28:DA28" si="64">CV25/CV5</f>
      </c>
      <c r="CW28" s="341">
        <f t="shared" si="64"/>
      </c>
      <c r="CX28" s="341">
        <f t="shared" si="64"/>
      </c>
      <c r="CY28" s="341">
        <f t="shared" si="64"/>
      </c>
      <c r="CZ28" s="341">
        <f t="shared" si="64"/>
      </c>
      <c r="DA28" s="341">
        <f t="shared" si="64"/>
      </c>
      <c r="DB28" s="341">
        <f>DB25/DB5</f>
      </c>
      <c r="DC28" s="341">
        <f>DC25/DC5</f>
      </c>
      <c r="DD28" s="341">
        <f>DD25/DD5</f>
      </c>
      <c r="DE28" s="341">
        <f>DE25/DE5</f>
      </c>
      <c r="DR28" s="49">
        <f t="shared" ref="DR28:EE28" si="65">DR25/DR5</f>
      </c>
      <c r="DS28" s="49">
        <f t="shared" si="65"/>
      </c>
      <c r="DT28" s="49">
        <f t="shared" si="65"/>
      </c>
      <c r="DU28" s="49">
        <f t="shared" si="65"/>
      </c>
      <c r="DV28" s="49">
        <f t="shared" si="65"/>
      </c>
      <c r="DW28" s="49">
        <f t="shared" si="65"/>
      </c>
      <c r="DX28" s="49">
        <f t="shared" si="65"/>
      </c>
      <c r="DY28" s="49">
        <f t="shared" si="65"/>
      </c>
      <c r="DZ28" s="49">
        <f t="shared" si="65"/>
      </c>
      <c r="EA28" s="49">
        <f t="shared" si="65"/>
      </c>
      <c r="EB28" s="49">
        <f t="shared" si="65"/>
      </c>
      <c r="EC28" s="49">
        <f t="shared" si="65"/>
      </c>
      <c r="ED28" s="49">
        <f t="shared" si="65"/>
      </c>
      <c r="EE28" s="49">
        <f t="shared" si="65"/>
      </c>
      <c r="EF28" s="341">
        <f>EF25/EF5</f>
      </c>
      <c r="EG28" s="341">
        <f>EG25/EG5</f>
      </c>
      <c r="EH28" s="341">
        <f>EH25/EH5</f>
      </c>
    </row>
    <row r="29" spans="1:138" s="353" customFormat="1" ht="11.25" customHeight="1" outlineLevel="1">
      <c r="A29" s="354" t="s">
        <v>207</v>
      </c>
      <c r="B29" s="352"/>
      <c r="C29" s="352"/>
      <c r="D29" s="352"/>
      <c r="E29" s="352"/>
      <c r="F29" s="352"/>
      <c r="G29" s="352"/>
      <c r="H29" s="352"/>
      <c r="I29" s="352"/>
      <c r="J29" s="352"/>
      <c r="K29" s="352"/>
      <c r="L29" s="352"/>
      <c r="M29" s="352"/>
      <c r="N29" s="352"/>
      <c r="O29" s="352"/>
      <c r="P29" s="352"/>
      <c r="Q29" s="352"/>
      <c r="R29" s="352"/>
      <c r="S29" s="352"/>
      <c r="T29" s="352"/>
      <c r="U29" s="352"/>
      <c r="V29" s="352"/>
      <c r="W29" s="352"/>
      <c r="X29" s="352"/>
      <c r="Y29" s="352"/>
      <c r="Z29" s="352"/>
      <c r="AA29" s="352"/>
      <c r="AB29" s="352"/>
      <c r="AC29" s="352"/>
      <c r="AD29" s="352"/>
      <c r="AE29" s="352"/>
      <c r="AF29" s="352"/>
      <c r="AG29" s="352"/>
      <c r="AH29" s="352"/>
      <c r="AI29" s="352"/>
      <c r="AJ29" s="352"/>
      <c r="AK29" s="352"/>
      <c r="AL29" s="352">
        <f t="shared" ref="AL29:BZ29" si="66">+AL34+AL39</f>
      </c>
      <c r="AM29" s="352">
        <f t="shared" si="66"/>
      </c>
      <c r="AN29" s="352">
        <f t="shared" si="66"/>
      </c>
      <c r="AO29" s="352">
        <f t="shared" si="66"/>
      </c>
      <c r="AP29" s="352">
        <f t="shared" si="66"/>
      </c>
      <c r="AQ29" s="352">
        <f t="shared" si="66"/>
      </c>
      <c r="AR29" s="352">
        <f t="shared" si="66"/>
      </c>
      <c r="AS29" s="352">
        <f t="shared" si="66"/>
      </c>
      <c r="AT29" s="352">
        <f t="shared" si="66"/>
      </c>
      <c r="AU29" s="352">
        <f t="shared" si="66"/>
      </c>
      <c r="AV29" s="352">
        <f t="shared" si="66"/>
      </c>
      <c r="AW29" s="352">
        <f t="shared" si="66"/>
      </c>
      <c r="AX29" s="352">
        <f t="shared" si="66"/>
      </c>
      <c r="AY29" s="352">
        <f t="shared" si="66"/>
      </c>
      <c r="AZ29" s="352">
        <f t="shared" si="66"/>
      </c>
      <c r="BA29" s="352">
        <f t="shared" si="66"/>
      </c>
      <c r="BB29" s="352">
        <f t="shared" si="66"/>
      </c>
      <c r="BC29" s="352">
        <f t="shared" si="66"/>
      </c>
      <c r="BD29" s="352">
        <f t="shared" si="66"/>
      </c>
      <c r="BE29" s="352">
        <f t="shared" si="66"/>
      </c>
      <c r="BF29" s="352">
        <f t="shared" si="66"/>
      </c>
      <c r="BG29" s="352">
        <f t="shared" si="66"/>
      </c>
      <c r="BH29" s="352">
        <f t="shared" si="66"/>
      </c>
      <c r="BI29" s="352">
        <f t="shared" si="66"/>
      </c>
      <c r="BJ29" s="352">
        <f t="shared" si="66"/>
      </c>
      <c r="BK29" s="352">
        <f t="shared" si="66"/>
      </c>
      <c r="BL29" s="352">
        <f t="shared" si="66"/>
      </c>
      <c r="BM29" s="352">
        <f t="shared" si="66"/>
      </c>
      <c r="BN29" s="352">
        <f t="shared" si="66"/>
      </c>
      <c r="BO29" s="352">
        <f t="shared" si="66"/>
      </c>
      <c r="BP29" s="352">
        <f t="shared" si="66"/>
      </c>
      <c r="BQ29" s="352">
        <f t="shared" si="66"/>
      </c>
      <c r="BR29" s="352">
        <f t="shared" si="66"/>
      </c>
      <c r="BS29" s="352">
        <f t="shared" si="66"/>
      </c>
      <c r="BT29" s="352">
        <f t="shared" si="66"/>
      </c>
      <c r="BU29" s="352">
        <f t="shared" si="66"/>
      </c>
      <c r="BV29" s="352">
        <f t="shared" si="66"/>
      </c>
      <c r="BW29" s="352">
        <f t="shared" si="66"/>
      </c>
      <c r="BX29" s="352">
        <f t="shared" si="66"/>
      </c>
      <c r="BY29" s="352">
        <f t="shared" si="66"/>
      </c>
      <c r="BZ29" s="352">
        <f t="shared" si="66"/>
      </c>
      <c r="CA29" s="352">
        <f>132+228</f>
      </c>
      <c r="CB29" s="352">
        <f t="shared" ref="CB29:CS29" si="67">+CB34+CB39</f>
      </c>
      <c r="CC29" s="352">
        <f t="shared" si="67"/>
      </c>
      <c r="CD29" s="352">
        <f t="shared" si="67"/>
      </c>
      <c r="CE29" s="352">
        <f t="shared" si="67"/>
      </c>
      <c r="CF29" s="352">
        <f t="shared" si="67"/>
      </c>
      <c r="CG29" s="352">
        <f t="shared" si="67"/>
      </c>
      <c r="CH29" s="352">
        <f t="shared" si="67"/>
      </c>
      <c r="CI29" s="352">
        <f t="shared" si="67"/>
      </c>
      <c r="CJ29" s="352">
        <f t="shared" si="67"/>
      </c>
      <c r="CK29" s="352">
        <f t="shared" si="67"/>
      </c>
      <c r="CL29" s="352">
        <f t="shared" si="67"/>
      </c>
      <c r="CM29" s="352">
        <f t="shared" si="67"/>
      </c>
      <c r="CN29" s="352">
        <f t="shared" si="67"/>
      </c>
      <c r="CO29" s="352">
        <f t="shared" si="67"/>
      </c>
      <c r="CP29" s="352">
        <f t="shared" si="67"/>
      </c>
      <c r="CQ29" s="352">
        <f t="shared" si="67"/>
      </c>
      <c r="CR29" s="352">
        <f t="shared" si="67"/>
      </c>
      <c r="CS29" s="352">
        <f t="shared" si="67"/>
      </c>
      <c r="CT29" s="352">
        <f>+CT34+CT39</f>
      </c>
      <c r="CU29" s="352">
        <f>+CU34+CU39</f>
      </c>
      <c r="CV29" s="352">
        <f>CU29*1.05</f>
      </c>
      <c r="CW29" s="352">
        <f t="shared" ref="CW29:DE29" si="68">CV29*1.02</f>
      </c>
      <c r="CX29" s="352">
        <f t="shared" si="68"/>
      </c>
      <c r="CY29" s="352">
        <f t="shared" si="68"/>
      </c>
      <c r="CZ29" s="352">
        <f t="shared" si="68"/>
      </c>
      <c r="DA29" s="352">
        <f t="shared" si="68"/>
      </c>
      <c r="DB29" s="352">
        <f t="shared" si="68"/>
      </c>
      <c r="DC29" s="352">
        <f t="shared" si="68"/>
      </c>
      <c r="DD29" s="352">
        <f t="shared" si="68"/>
      </c>
      <c r="DE29" s="352">
        <f t="shared" si="68"/>
      </c>
      <c r="DG29" s="352"/>
      <c r="DH29" s="54"/>
      <c r="DI29" s="54"/>
      <c r="DJ29" s="54"/>
      <c r="DK29" s="54"/>
      <c r="DL29" s="54"/>
      <c r="DM29" s="54"/>
      <c r="DN29" s="54"/>
      <c r="DO29" s="54"/>
      <c r="DP29" s="54"/>
      <c r="DQ29" s="54"/>
      <c r="DR29" s="352">
        <f>SUM(AP29:AS29)</f>
      </c>
      <c r="DS29" s="352">
        <f>SUM(AT29:AW29)</f>
      </c>
      <c r="DT29" s="352">
        <f>SUM(AX29:BA29)</f>
      </c>
      <c r="DU29" s="352">
        <f>SUM(BB29:BE29)</f>
      </c>
      <c r="DV29" s="352">
        <f>SUM(BF29:BI29)</f>
      </c>
      <c r="DW29" s="352">
        <f>SUM(BJ29:BM29)</f>
      </c>
      <c r="DX29" s="352">
        <f>SUM(BN29:BQ29)</f>
      </c>
      <c r="DY29" s="352">
        <f>SUM(BR29:BU29)</f>
      </c>
      <c r="DZ29" s="352">
        <f>BV29+BW29+BX29+BY29</f>
      </c>
      <c r="EA29" s="352">
        <f>CC29+CB29+CA29+BZ29</f>
      </c>
      <c r="EB29" s="352">
        <f>+CD29+CE29+CF29+CG29</f>
      </c>
      <c r="EC29" s="352">
        <f>SUM(CH29:CK29)</f>
      </c>
      <c r="ED29" s="352">
        <f>SUM(CL29:CO29)</f>
      </c>
      <c r="EE29" s="352">
        <f>SUM(CP29:CS29)</f>
      </c>
      <c r="EF29" s="352">
        <f>SUM(CT29:CW29)</f>
      </c>
      <c r="EG29" s="352">
        <f>SUM(CX29:DA29)</f>
      </c>
      <c r="EH29" s="352">
        <f>SUM(DB29:DE29)</f>
      </c>
    </row>
    <row r="30" spans="1:138" s="47" customFormat="1" ht="11.25" customHeight="1" outlineLevel="1" collapsed="1">
      <c r="A30" s="348" t="s">
        <v>208</v>
      </c>
      <c r="B30" s="35">
        <f>Ticker0027!V19</f>
      </c>
      <c r="C30" s="35">
        <f>Ticker0027!W19</f>
      </c>
      <c r="D30" s="35">
        <f>Ticker0027!X19</f>
      </c>
      <c r="E30" s="35">
        <f>Ticker0027!Y19</f>
      </c>
      <c r="F30" s="35">
        <f>Ticker0027!AA19</f>
      </c>
      <c r="G30" s="35">
        <f>Ticker0027!AB19</f>
      </c>
      <c r="H30" s="35">
        <f>Ticker0027!AC19</f>
      </c>
      <c r="I30" s="35">
        <f>Ticker0027!AD19</f>
      </c>
      <c r="J30" s="35">
        <f>Ticker0027!AF19</f>
      </c>
      <c r="K30" s="35">
        <f>Ticker0027!AG19</f>
      </c>
      <c r="L30" s="35">
        <f>Ticker0027!AH19</f>
      </c>
      <c r="M30" s="35">
        <f>Ticker0027!AI19</f>
      </c>
      <c r="N30" s="35">
        <f>Ticker0027!AK19</f>
      </c>
      <c r="O30" s="35">
        <f>Ticker0027!AL19</f>
      </c>
      <c r="P30" s="35">
        <f>Ticker0027!AM19</f>
      </c>
      <c r="Q30" s="35">
        <f>Ticker0027!AN19</f>
      </c>
      <c r="R30" s="35">
        <f>Ticker0027!AP19</f>
      </c>
      <c r="S30" s="35">
        <f>Ticker0027!AQ19</f>
      </c>
      <c r="T30" s="35">
        <f>Ticker0027!AR19</f>
      </c>
      <c r="U30" s="35">
        <f>Ticker0027!AS19</f>
      </c>
      <c r="V30" s="35">
        <f>Ticker0027!AU19</f>
      </c>
      <c r="W30" s="35">
        <f>Ticker0027!AV19</f>
      </c>
      <c r="X30" s="35">
        <f>Ticker0027!AW19</f>
      </c>
      <c r="Y30" s="35">
        <f>Ticker0027!AX19</f>
      </c>
      <c r="Z30" s="35">
        <f>Ticker0027!AZ19</f>
      </c>
      <c r="AA30" s="35">
        <f>Ticker0027!BA19</f>
      </c>
      <c r="AB30" s="35">
        <f>Ticker0027!BB19</f>
      </c>
      <c r="AC30" s="35">
        <f>Ticker0027!BC19</f>
      </c>
      <c r="AD30" s="35">
        <f>Ticker0027!BE19</f>
      </c>
      <c r="AE30" s="35">
        <f>Ticker0027!BF19</f>
      </c>
      <c r="AF30" s="35">
        <f>Ticker0027!BG19</f>
      </c>
      <c r="AG30" s="35">
        <f>Ticker0027!BH19</f>
      </c>
      <c r="AH30" s="35">
        <f>Ticker0027!BJ19</f>
      </c>
      <c r="AI30" s="35">
        <f>Ticker0027!BK19</f>
      </c>
      <c r="AJ30" s="35">
        <f>Ticker0027!BL19</f>
      </c>
      <c r="AK30" s="35">
        <f>Ticker0027!BM19</f>
      </c>
      <c r="AL30" s="35">
        <f>Ticker0027!BO19</f>
      </c>
      <c r="AM30" s="35">
        <f>Ticker0027!BP19</f>
      </c>
      <c r="AN30" s="35">
        <f>Ticker0027!BQ19</f>
      </c>
      <c r="AO30" s="35">
        <f>Ticker0027!BR19</f>
      </c>
      <c r="AP30" s="35">
        <f>Ticker0027!BT19</f>
      </c>
      <c r="AQ30" s="35">
        <f>Ticker0027!BU19</f>
      </c>
      <c r="AR30" s="35">
        <f>Ticker0027!BV19</f>
      </c>
      <c r="AS30" s="35">
        <f>Ticker0027!BW19</f>
      </c>
      <c r="AT30" s="35">
        <f>Ticker0027!BY19</f>
      </c>
      <c r="AU30" s="35">
        <f>Ticker0027!BZ19</f>
      </c>
      <c r="AV30" s="35">
        <f>Ticker0027!CA19</f>
      </c>
      <c r="AW30" s="35">
        <f>Ticker0027!CB19</f>
      </c>
      <c r="AX30" s="35">
        <f>Ticker0027!CD19</f>
      </c>
      <c r="AY30" s="35">
        <f>Ticker0027!CE19</f>
      </c>
      <c r="AZ30" s="35">
        <f>Ticker0027!CF19</f>
      </c>
      <c r="BA30" s="35">
        <f>Ticker0027!CG19</f>
      </c>
      <c r="BB30" s="35">
        <f>Ticker0027!CI19</f>
      </c>
      <c r="BC30" s="35">
        <f>Ticker0027!CJ19</f>
      </c>
      <c r="BD30" s="35">
        <f>Ticker0027!CK19</f>
      </c>
      <c r="BE30" s="35">
        <f>Ticker0027!CL19</f>
      </c>
      <c r="BF30" s="35">
        <f>Ticker0027!CN19</f>
      </c>
      <c r="BG30" s="35">
        <f>Ticker0027!CO19</f>
      </c>
      <c r="BH30" s="35">
        <f>Ticker0027!CP19</f>
      </c>
      <c r="BI30" s="35">
        <f>Ticker0027!CQ19</f>
      </c>
      <c r="BJ30" s="35">
        <f>Ticker0027!CS19</f>
      </c>
      <c r="BK30" s="337">
        <f>Ticker0027!CT19</f>
      </c>
      <c r="BL30" s="337">
        <f>Ticker0027!CU19</f>
      </c>
      <c r="BM30" s="35">
        <f>Ticker0027!CV19</f>
      </c>
      <c r="BN30" s="35">
        <f>Ticker0027!CX19</f>
      </c>
      <c r="BO30" s="35">
        <f>Ticker0027!CY19</f>
      </c>
      <c r="BP30" s="35">
        <f>Ticker0027!CZ19</f>
      </c>
      <c r="BQ30" s="35">
        <f>Ticker0027!DA19</f>
      </c>
      <c r="BR30" s="35">
        <f>Ticker0027!DC19</f>
      </c>
      <c r="BS30" s="35">
        <f>Ticker0027!DD19</f>
      </c>
      <c r="BT30" s="35">
        <f>Ticker0027!DE19</f>
      </c>
      <c r="BU30" s="35">
        <f>Ticker0027!DF19</f>
      </c>
      <c r="BV30" s="35">
        <f>Ticker0027!DH19</f>
      </c>
      <c r="BW30" s="35">
        <f>Ticker0027!DI19</f>
      </c>
      <c r="BX30" s="35">
        <f>Ticker0027!DJ19</f>
      </c>
      <c r="BY30" s="35">
        <f>Ticker0027!DK19</f>
      </c>
      <c r="BZ30" s="35">
        <f>Ticker0027!DM19</f>
      </c>
      <c r="CA30" s="35">
        <f>Ticker0027!DN19</f>
      </c>
      <c r="CB30" s="35">
        <f>Ticker0027!DO19</f>
      </c>
      <c r="CC30" s="35">
        <f>Ticker0027!DP19</f>
      </c>
      <c r="CD30" s="35">
        <f>Ticker0027!DR19</f>
      </c>
      <c r="CE30" s="35">
        <f>Ticker0027!DS19</f>
      </c>
      <c r="CF30" s="35">
        <f>Ticker0027!DT19</f>
      </c>
      <c r="CG30" s="35">
        <f>Ticker0027!DU19</f>
      </c>
      <c r="CH30" s="35">
        <f>Ticker0027!DW19</f>
      </c>
      <c r="CI30" s="35">
        <f>Ticker0027!DX19</f>
      </c>
      <c r="CJ30" s="35">
        <f>Ticker0027!DY19</f>
      </c>
      <c r="CK30" s="35">
        <f>Ticker0027!DZ19</f>
      </c>
      <c r="CL30" s="35">
        <f>Ticker0027!EB19</f>
      </c>
      <c r="CM30" s="35">
        <f>Ticker0027!EC19</f>
      </c>
      <c r="CN30" s="35">
        <f>Ticker0027!ED19</f>
      </c>
      <c r="CO30" s="35">
        <f>Ticker0027!EE19</f>
      </c>
      <c r="CP30" s="35">
        <f>Ticker0027!EG19</f>
      </c>
      <c r="CQ30" s="35">
        <f>Ticker0027!EH19</f>
      </c>
      <c r="CR30" s="35">
        <f>Ticker0027!EI19</f>
      </c>
      <c r="CS30" s="35">
        <f>Ticker0027!EJ19</f>
      </c>
      <c r="CT30" s="35">
        <f>Ticker0027!EL19</f>
      </c>
      <c r="CU30" s="35">
        <f>Ticker0027!EM19</f>
      </c>
      <c r="CV30" s="338">
        <f t="shared" ref="CV30:DA30" si="69">CU30*(1+CV31)</f>
      </c>
      <c r="CW30" s="338">
        <f t="shared" si="69"/>
      </c>
      <c r="CX30" s="338">
        <f t="shared" si="69"/>
      </c>
      <c r="CY30" s="338">
        <f t="shared" si="69"/>
      </c>
      <c r="CZ30" s="338">
        <f t="shared" si="69"/>
      </c>
      <c r="DA30" s="338">
        <f t="shared" si="69"/>
      </c>
      <c r="DB30" s="338">
        <f>DA30*(1+DB31)</f>
      </c>
      <c r="DC30" s="338">
        <f>DB30*(1+DC31)</f>
      </c>
      <c r="DD30" s="338">
        <f>DC30*(1+DD31)</f>
      </c>
      <c r="DE30" s="338">
        <f>DD30*(1+DE31)</f>
      </c>
      <c r="DH30" s="35">
        <f>SUM(B30:E30)</f>
      </c>
      <c r="DI30" s="35">
        <f>SUM(F30:I30)</f>
      </c>
      <c r="DJ30" s="35">
        <f>SUM(J30:M30)</f>
      </c>
      <c r="DK30" s="35">
        <f>SUM(N30:Q30)</f>
      </c>
      <c r="DL30" s="35">
        <f>SUM(R30:U30)</f>
      </c>
      <c r="DM30" s="35">
        <f>SUM(V30:Y30)</f>
      </c>
      <c r="DN30" s="35">
        <f>SUM(Z30:AC30)</f>
      </c>
      <c r="DO30" s="35">
        <f>SUM(AD30:AG30)</f>
      </c>
      <c r="DP30" s="35">
        <f>SUM(AH30:AK30)</f>
      </c>
      <c r="DQ30" s="35">
        <f>SUM(AL30:AO30)</f>
      </c>
      <c r="DR30" s="35">
        <f>SUM(AP30:AS30)</f>
      </c>
      <c r="DS30" s="35">
        <f>SUM(AT30:AW30)</f>
      </c>
      <c r="DT30" s="35">
        <f>SUM(AX30:BA30)</f>
      </c>
      <c r="DU30" s="35">
        <f>SUM(BB30:BE30)</f>
      </c>
      <c r="DV30" s="35">
        <f>SUM(BF30:BI30)</f>
      </c>
      <c r="DW30" s="35">
        <f>SUM(BJ30:BM30)</f>
      </c>
      <c r="DX30" s="35">
        <f>SUM(BN30:BQ30)</f>
      </c>
      <c r="DY30" s="35">
        <f>SUM(BR30:BU30)</f>
      </c>
      <c r="DZ30" s="35">
        <f>BV30+BW30+BX30+BY30</f>
      </c>
      <c r="EA30" s="35">
        <f>CC30+CB30+CA30+BZ30</f>
      </c>
      <c r="EB30" s="35">
        <f>+CD30+CE30+CF30+CG30</f>
      </c>
      <c r="EC30" s="35">
        <f>SUM(CH30:CK30)</f>
      </c>
      <c r="ED30" s="35">
        <f>SUM(CL30:CO30)</f>
      </c>
      <c r="EE30" s="35">
        <f>SUM(CP30:CS30)</f>
      </c>
      <c r="EF30" s="338">
        <f>SUM(CT30:CW30)</f>
      </c>
      <c r="EG30" s="338">
        <f>SUM(CX30:DA30)</f>
      </c>
      <c r="EH30" s="338">
        <f>SUM(DB30:DE30)</f>
      </c>
    </row>
    <row r="31" spans="1:138" s="49" customFormat="1" ht="11.25" customHeight="1" outlineLevel="1">
      <c r="A31" s="349" t="s">
        <v>196</v>
      </c>
      <c r="C31" s="49">
        <f t="shared" ref="C31:BN31" si="70">C30/B30-1</f>
      </c>
      <c r="D31" s="49">
        <f t="shared" si="70"/>
      </c>
      <c r="E31" s="49">
        <f t="shared" si="70"/>
      </c>
      <c r="F31" s="49">
        <f t="shared" si="70"/>
      </c>
      <c r="G31" s="49">
        <f t="shared" si="70"/>
      </c>
      <c r="H31" s="49">
        <f t="shared" si="70"/>
      </c>
      <c r="I31" s="49">
        <f t="shared" si="70"/>
      </c>
      <c r="J31" s="49">
        <f t="shared" si="70"/>
      </c>
      <c r="K31" s="49">
        <f t="shared" si="70"/>
      </c>
      <c r="L31" s="49">
        <f t="shared" si="70"/>
      </c>
      <c r="M31" s="49">
        <f t="shared" si="70"/>
      </c>
      <c r="N31" s="49">
        <f t="shared" si="70"/>
      </c>
      <c r="O31" s="49">
        <f t="shared" si="70"/>
      </c>
      <c r="P31" s="49">
        <f t="shared" si="70"/>
      </c>
      <c r="Q31" s="49">
        <f t="shared" si="70"/>
      </c>
      <c r="R31" s="49">
        <f t="shared" si="70"/>
      </c>
      <c r="S31" s="49">
        <f t="shared" si="70"/>
      </c>
      <c r="T31" s="49">
        <f t="shared" si="70"/>
      </c>
      <c r="U31" s="49">
        <f t="shared" si="70"/>
      </c>
      <c r="V31" s="49">
        <f t="shared" si="70"/>
      </c>
      <c r="W31" s="49">
        <f t="shared" si="70"/>
      </c>
      <c r="X31" s="49">
        <f t="shared" si="70"/>
      </c>
      <c r="Y31" s="49">
        <f t="shared" si="70"/>
      </c>
      <c r="Z31" s="49">
        <f t="shared" si="70"/>
      </c>
      <c r="AA31" s="49">
        <f t="shared" si="70"/>
      </c>
      <c r="AB31" s="49">
        <f t="shared" si="70"/>
      </c>
      <c r="AC31" s="49">
        <f t="shared" si="70"/>
      </c>
      <c r="AD31" s="49">
        <f t="shared" si="70"/>
      </c>
      <c r="AE31" s="49">
        <f t="shared" si="70"/>
      </c>
      <c r="AF31" s="49">
        <f t="shared" si="70"/>
      </c>
      <c r="AG31" s="49">
        <f t="shared" si="70"/>
      </c>
      <c r="AH31" s="49">
        <f t="shared" si="70"/>
      </c>
      <c r="AI31" s="49">
        <f t="shared" si="70"/>
      </c>
      <c r="AJ31" s="49">
        <f t="shared" si="70"/>
      </c>
      <c r="AK31" s="49">
        <f t="shared" si="70"/>
      </c>
      <c r="AL31" s="49">
        <f t="shared" si="70"/>
      </c>
      <c r="AM31" s="49">
        <f t="shared" si="70"/>
      </c>
      <c r="AN31" s="49">
        <f t="shared" si="70"/>
      </c>
      <c r="AO31" s="49">
        <f t="shared" si="70"/>
      </c>
      <c r="AP31" s="49">
        <f t="shared" si="70"/>
      </c>
      <c r="AQ31" s="49">
        <f t="shared" si="70"/>
      </c>
      <c r="AR31" s="49">
        <f t="shared" si="70"/>
      </c>
      <c r="AS31" s="49">
        <f t="shared" si="70"/>
      </c>
      <c r="AT31" s="49">
        <f t="shared" si="70"/>
      </c>
      <c r="AU31" s="49">
        <f t="shared" si="70"/>
      </c>
      <c r="AV31" s="49">
        <f t="shared" si="70"/>
      </c>
      <c r="AW31" s="49">
        <f t="shared" si="70"/>
      </c>
      <c r="AX31" s="49">
        <f t="shared" si="70"/>
      </c>
      <c r="AY31" s="49">
        <f t="shared" si="70"/>
      </c>
      <c r="AZ31" s="49">
        <f t="shared" si="70"/>
      </c>
      <c r="BA31" s="49">
        <f t="shared" si="70"/>
      </c>
      <c r="BB31" s="49">
        <f t="shared" si="70"/>
      </c>
      <c r="BC31" s="49">
        <f t="shared" si="70"/>
      </c>
      <c r="BD31" s="49">
        <f t="shared" si="70"/>
      </c>
      <c r="BE31" s="49">
        <f t="shared" si="70"/>
      </c>
      <c r="BF31" s="49">
        <f t="shared" si="70"/>
      </c>
      <c r="BG31" s="49">
        <f t="shared" si="70"/>
      </c>
      <c r="BH31" s="49">
        <f t="shared" si="70"/>
      </c>
      <c r="BI31" s="49">
        <f t="shared" si="70"/>
      </c>
      <c r="BJ31" s="49">
        <f t="shared" si="70"/>
      </c>
      <c r="BK31" s="49">
        <f t="shared" si="70"/>
      </c>
      <c r="BL31" s="49">
        <f t="shared" si="70"/>
      </c>
      <c r="BM31" s="49">
        <f t="shared" si="70"/>
      </c>
      <c r="BN31" s="49">
        <f t="shared" si="70"/>
      </c>
      <c r="BO31" s="49">
        <f t="shared" ref="BO31:CS31" si="71">BO30/BN30-1</f>
      </c>
      <c r="BP31" s="49">
        <f t="shared" si="71"/>
      </c>
      <c r="BQ31" s="49">
        <f t="shared" si="71"/>
      </c>
      <c r="BR31" s="49">
        <f t="shared" si="71"/>
      </c>
      <c r="BS31" s="49">
        <f t="shared" si="71"/>
      </c>
      <c r="BT31" s="49">
        <f t="shared" si="71"/>
      </c>
      <c r="BU31" s="49">
        <f t="shared" si="71"/>
      </c>
      <c r="BV31" s="49">
        <f t="shared" si="71"/>
      </c>
      <c r="BW31" s="49">
        <f t="shared" si="71"/>
      </c>
      <c r="BX31" s="49">
        <f t="shared" si="71"/>
      </c>
      <c r="BY31" s="49">
        <f t="shared" si="71"/>
      </c>
      <c r="BZ31" s="49">
        <f t="shared" si="71"/>
      </c>
      <c r="CA31" s="49">
        <f t="shared" si="71"/>
      </c>
      <c r="CB31" s="49">
        <f t="shared" si="71"/>
      </c>
      <c r="CC31" s="49">
        <f t="shared" si="71"/>
      </c>
      <c r="CD31" s="49">
        <f t="shared" si="71"/>
      </c>
      <c r="CE31" s="49">
        <f t="shared" si="71"/>
      </c>
      <c r="CF31" s="49">
        <f t="shared" si="71"/>
      </c>
      <c r="CG31" s="49">
        <f t="shared" si="71"/>
      </c>
      <c r="CH31" s="49">
        <f t="shared" si="71"/>
      </c>
      <c r="CI31" s="49">
        <f t="shared" si="71"/>
      </c>
      <c r="CJ31" s="49">
        <f t="shared" si="71"/>
      </c>
      <c r="CK31" s="49">
        <f t="shared" si="71"/>
      </c>
      <c r="CL31" s="49">
        <f t="shared" si="71"/>
      </c>
      <c r="CM31" s="49">
        <f t="shared" si="71"/>
      </c>
      <c r="CN31" s="49">
        <f t="shared" si="71"/>
      </c>
      <c r="CO31" s="49">
        <f t="shared" si="71"/>
      </c>
      <c r="CP31" s="49">
        <f t="shared" si="71"/>
      </c>
      <c r="CQ31" s="49">
        <f t="shared" si="71"/>
      </c>
      <c r="CR31" s="49">
        <f t="shared" si="71"/>
      </c>
      <c r="CS31" s="49">
        <f t="shared" si="71"/>
      </c>
      <c r="CT31" s="49">
        <f>CT30/CS30-1</f>
      </c>
      <c r="CU31" s="49">
        <f>CU30/CT30-1</f>
      </c>
      <c r="CV31" s="341">
        <v>0.09</v>
      </c>
      <c r="CW31" s="341">
        <v>7.0000000000000007E-2</v>
      </c>
      <c r="CX31" s="341">
        <v>0.02</v>
      </c>
      <c r="CY31" s="341">
        <v>0.03</v>
      </c>
      <c r="CZ31" s="341">
        <v>0.03</v>
      </c>
      <c r="DA31" s="341">
        <v>0.03</v>
      </c>
      <c r="DB31" s="341">
        <v>0.03</v>
      </c>
      <c r="DC31" s="341">
        <v>0.02</v>
      </c>
      <c r="DD31" s="341">
        <v>0.02</v>
      </c>
      <c r="DE31" s="341">
        <v>0.01</v>
      </c>
      <c r="DH31" s="342" t="s">
        <v>197</v>
      </c>
      <c r="DI31" s="342" t="s">
        <v>197</v>
      </c>
      <c r="DJ31" s="342" t="s">
        <v>197</v>
      </c>
      <c r="DK31" s="342" t="s">
        <v>197</v>
      </c>
      <c r="DL31" s="342" t="s">
        <v>197</v>
      </c>
      <c r="DM31" s="342" t="s">
        <v>197</v>
      </c>
      <c r="DN31" s="342" t="s">
        <v>197</v>
      </c>
      <c r="DO31" s="342" t="s">
        <v>197</v>
      </c>
      <c r="DP31" s="342" t="s">
        <v>197</v>
      </c>
      <c r="DQ31" s="342" t="s">
        <v>197</v>
      </c>
      <c r="DR31" s="342" t="s">
        <v>197</v>
      </c>
      <c r="DS31" s="342" t="s">
        <v>197</v>
      </c>
      <c r="DT31" s="342" t="s">
        <v>197</v>
      </c>
      <c r="DU31" s="342" t="s">
        <v>197</v>
      </c>
      <c r="DV31" s="342" t="s">
        <v>197</v>
      </c>
      <c r="DW31" s="342" t="s">
        <v>197</v>
      </c>
      <c r="DX31" s="342" t="s">
        <v>197</v>
      </c>
      <c r="DY31" s="342" t="s">
        <v>197</v>
      </c>
      <c r="DZ31" s="342" t="s">
        <v>197</v>
      </c>
      <c r="EA31" s="342" t="s">
        <v>197</v>
      </c>
      <c r="EB31" s="342" t="s">
        <v>197</v>
      </c>
      <c r="EC31" s="342" t="s">
        <v>197</v>
      </c>
      <c r="ED31" s="342" t="s">
        <v>197</v>
      </c>
      <c r="EE31" s="342" t="s">
        <v>197</v>
      </c>
      <c r="EF31" s="343" t="s">
        <v>197</v>
      </c>
      <c r="EG31" s="343" t="s">
        <v>197</v>
      </c>
      <c r="EH31" s="343" t="s">
        <v>197</v>
      </c>
    </row>
    <row r="32" spans="1:138" s="49" customFormat="1" ht="11.25" customHeight="1" outlineLevel="1">
      <c r="A32" s="349" t="s">
        <v>198</v>
      </c>
      <c r="F32" s="49">
        <f t="shared" ref="F32:BQ32" si="72">F30/B30-1</f>
      </c>
      <c r="G32" s="49">
        <f t="shared" si="72"/>
      </c>
      <c r="H32" s="49">
        <f t="shared" si="72"/>
      </c>
      <c r="I32" s="49">
        <f t="shared" si="72"/>
      </c>
      <c r="J32" s="49">
        <f t="shared" si="72"/>
      </c>
      <c r="K32" s="49">
        <f t="shared" si="72"/>
      </c>
      <c r="L32" s="49">
        <f t="shared" si="72"/>
      </c>
      <c r="M32" s="49">
        <f t="shared" si="72"/>
      </c>
      <c r="N32" s="49">
        <f t="shared" si="72"/>
      </c>
      <c r="O32" s="49">
        <f t="shared" si="72"/>
      </c>
      <c r="P32" s="49">
        <f t="shared" si="72"/>
      </c>
      <c r="Q32" s="49">
        <f t="shared" si="72"/>
      </c>
      <c r="R32" s="49">
        <f t="shared" si="72"/>
      </c>
      <c r="S32" s="49">
        <f t="shared" si="72"/>
      </c>
      <c r="T32" s="49">
        <f t="shared" si="72"/>
      </c>
      <c r="U32" s="49">
        <f t="shared" si="72"/>
      </c>
      <c r="V32" s="49">
        <f t="shared" si="72"/>
      </c>
      <c r="W32" s="49">
        <f t="shared" si="72"/>
      </c>
      <c r="X32" s="49">
        <f t="shared" si="72"/>
      </c>
      <c r="Y32" s="49">
        <f t="shared" si="72"/>
      </c>
      <c r="Z32" s="49">
        <f t="shared" si="72"/>
      </c>
      <c r="AA32" s="49">
        <f t="shared" si="72"/>
      </c>
      <c r="AB32" s="49">
        <f t="shared" si="72"/>
      </c>
      <c r="AC32" s="49">
        <f t="shared" si="72"/>
      </c>
      <c r="AD32" s="49">
        <f t="shared" si="72"/>
      </c>
      <c r="AE32" s="49">
        <f t="shared" si="72"/>
      </c>
      <c r="AF32" s="49">
        <f t="shared" si="72"/>
      </c>
      <c r="AG32" s="49">
        <f t="shared" si="72"/>
      </c>
      <c r="AH32" s="49">
        <f t="shared" si="72"/>
      </c>
      <c r="AI32" s="49">
        <f t="shared" si="72"/>
      </c>
      <c r="AJ32" s="49">
        <f t="shared" si="72"/>
      </c>
      <c r="AK32" s="49">
        <f t="shared" si="72"/>
      </c>
      <c r="AL32" s="49">
        <f t="shared" si="72"/>
      </c>
      <c r="AM32" s="49">
        <f t="shared" si="72"/>
      </c>
      <c r="AN32" s="49">
        <f t="shared" si="72"/>
      </c>
      <c r="AO32" s="49">
        <f t="shared" si="72"/>
      </c>
      <c r="AP32" s="49">
        <f t="shared" si="72"/>
      </c>
      <c r="AQ32" s="49">
        <f t="shared" si="72"/>
      </c>
      <c r="AR32" s="49">
        <f t="shared" si="72"/>
      </c>
      <c r="AS32" s="49">
        <f t="shared" si="72"/>
      </c>
      <c r="AT32" s="49">
        <f t="shared" si="72"/>
      </c>
      <c r="AU32" s="49">
        <f t="shared" si="72"/>
      </c>
      <c r="AV32" s="49">
        <f t="shared" si="72"/>
      </c>
      <c r="AW32" s="49">
        <f t="shared" si="72"/>
      </c>
      <c r="AX32" s="49">
        <f t="shared" si="72"/>
      </c>
      <c r="AY32" s="49">
        <f t="shared" si="72"/>
      </c>
      <c r="AZ32" s="49">
        <f t="shared" si="72"/>
      </c>
      <c r="BA32" s="49">
        <f t="shared" si="72"/>
      </c>
      <c r="BB32" s="49">
        <f t="shared" si="72"/>
      </c>
      <c r="BC32" s="49">
        <f t="shared" si="72"/>
      </c>
      <c r="BD32" s="49">
        <f t="shared" si="72"/>
      </c>
      <c r="BE32" s="49">
        <f t="shared" si="72"/>
      </c>
      <c r="BF32" s="49">
        <f t="shared" si="72"/>
      </c>
      <c r="BG32" s="49">
        <f t="shared" si="72"/>
      </c>
      <c r="BH32" s="49">
        <f t="shared" si="72"/>
      </c>
      <c r="BI32" s="49">
        <f t="shared" si="72"/>
      </c>
      <c r="BJ32" s="49">
        <f t="shared" si="72"/>
      </c>
      <c r="BK32" s="49">
        <f t="shared" si="72"/>
      </c>
      <c r="BL32" s="49">
        <f t="shared" si="72"/>
      </c>
      <c r="BM32" s="49">
        <f t="shared" si="72"/>
      </c>
      <c r="BN32" s="49">
        <f t="shared" si="72"/>
      </c>
      <c r="BO32" s="49">
        <f t="shared" si="72"/>
      </c>
      <c r="BP32" s="49">
        <f t="shared" si="72"/>
      </c>
      <c r="BQ32" s="49">
        <f t="shared" si="72"/>
      </c>
      <c r="BR32" s="49">
        <f t="shared" ref="BR32:CS32" si="73">BR30/BN30-1</f>
      </c>
      <c r="BS32" s="49">
        <f t="shared" si="73"/>
      </c>
      <c r="BT32" s="49">
        <f t="shared" si="73"/>
      </c>
      <c r="BU32" s="49">
        <f t="shared" si="73"/>
      </c>
      <c r="BV32" s="49">
        <f t="shared" si="73"/>
      </c>
      <c r="BW32" s="49">
        <f t="shared" si="73"/>
      </c>
      <c r="BX32" s="49">
        <f t="shared" si="73"/>
      </c>
      <c r="BY32" s="49">
        <f t="shared" si="73"/>
      </c>
      <c r="BZ32" s="49">
        <f t="shared" si="73"/>
      </c>
      <c r="CA32" s="49">
        <f t="shared" si="73"/>
      </c>
      <c r="CB32" s="49">
        <f t="shared" si="73"/>
      </c>
      <c r="CC32" s="49">
        <f t="shared" si="73"/>
      </c>
      <c r="CD32" s="49">
        <f t="shared" si="73"/>
      </c>
      <c r="CE32" s="49">
        <f t="shared" si="73"/>
      </c>
      <c r="CF32" s="49">
        <f t="shared" si="73"/>
      </c>
      <c r="CG32" s="49">
        <f t="shared" si="73"/>
      </c>
      <c r="CH32" s="49">
        <f t="shared" si="73"/>
      </c>
      <c r="CI32" s="49">
        <f t="shared" si="73"/>
      </c>
      <c r="CJ32" s="49">
        <f t="shared" si="73"/>
      </c>
      <c r="CK32" s="49">
        <f t="shared" si="73"/>
      </c>
      <c r="CL32" s="49">
        <f t="shared" si="73"/>
      </c>
      <c r="CM32" s="49">
        <f t="shared" si="73"/>
      </c>
      <c r="CN32" s="49">
        <f t="shared" si="73"/>
      </c>
      <c r="CO32" s="49">
        <f t="shared" si="73"/>
      </c>
      <c r="CP32" s="49">
        <f t="shared" si="73"/>
      </c>
      <c r="CQ32" s="49">
        <f t="shared" si="73"/>
      </c>
      <c r="CR32" s="49">
        <f t="shared" si="73"/>
      </c>
      <c r="CS32" s="49">
        <f t="shared" si="73"/>
      </c>
      <c r="CT32" s="49">
        <f>CT30/CP30-1</f>
      </c>
      <c r="CU32" s="49">
        <f>CU30/CQ30-1</f>
      </c>
      <c r="CV32" s="341">
        <f t="shared" ref="CV32:DA32" si="74">CV30/CR30-1</f>
      </c>
      <c r="CW32" s="341">
        <f t="shared" si="74"/>
      </c>
      <c r="CX32" s="341">
        <f t="shared" si="74"/>
      </c>
      <c r="CY32" s="341">
        <f t="shared" si="74"/>
      </c>
      <c r="CZ32" s="341">
        <f t="shared" si="74"/>
      </c>
      <c r="DA32" s="341">
        <f t="shared" si="74"/>
      </c>
      <c r="DB32" s="341">
        <f>DB30/CX30-1</f>
      </c>
      <c r="DC32" s="341">
        <f>DC30/CY30-1</f>
      </c>
      <c r="DD32" s="341">
        <f>DD30/CZ30-1</f>
      </c>
      <c r="DE32" s="341">
        <f>DE30/DA30-1</f>
      </c>
      <c r="DI32" s="49">
        <f>DI30/DH30-1</f>
      </c>
      <c r="DJ32" s="49">
        <f t="shared" ref="DJ32:EH32" si="75">DJ30/DI30-1</f>
      </c>
      <c r="DK32" s="49">
        <f t="shared" si="75"/>
      </c>
      <c r="DL32" s="49">
        <f t="shared" si="75"/>
      </c>
      <c r="DM32" s="49">
        <f t="shared" si="75"/>
      </c>
      <c r="DN32" s="49">
        <f t="shared" si="75"/>
      </c>
      <c r="DO32" s="49">
        <f t="shared" si="75"/>
      </c>
      <c r="DP32" s="49">
        <f t="shared" si="75"/>
      </c>
      <c r="DQ32" s="49">
        <f t="shared" si="75"/>
      </c>
      <c r="DR32" s="49">
        <f t="shared" si="75"/>
      </c>
      <c r="DS32" s="49">
        <f t="shared" si="75"/>
      </c>
      <c r="DT32" s="49">
        <f t="shared" si="75"/>
      </c>
      <c r="DU32" s="49">
        <f t="shared" si="75"/>
      </c>
      <c r="DV32" s="49">
        <f t="shared" si="75"/>
      </c>
      <c r="DW32" s="49">
        <f t="shared" si="75"/>
      </c>
      <c r="DX32" s="49">
        <f t="shared" si="75"/>
      </c>
      <c r="DY32" s="49">
        <f t="shared" si="75"/>
      </c>
      <c r="DZ32" s="49">
        <f t="shared" si="75"/>
      </c>
      <c r="EA32" s="49">
        <f t="shared" si="75"/>
      </c>
      <c r="EB32" s="49">
        <f t="shared" si="75"/>
      </c>
      <c r="EC32" s="49">
        <f t="shared" si="75"/>
      </c>
      <c r="ED32" s="49">
        <f t="shared" si="75"/>
      </c>
      <c r="EE32" s="49">
        <f t="shared" si="75"/>
      </c>
      <c r="EF32" s="345">
        <f t="shared" si="75"/>
      </c>
      <c r="EG32" s="345">
        <f t="shared" si="75"/>
      </c>
      <c r="EH32" s="345">
        <f t="shared" si="75"/>
      </c>
    </row>
    <row r="33" spans="1:140" s="49" customFormat="1" ht="11.25" customHeight="1" outlineLevel="1">
      <c r="A33" s="349" t="s">
        <v>201</v>
      </c>
      <c r="B33" s="49">
        <f t="shared" ref="B33:BM33" si="76">B30/B$5</f>
      </c>
      <c r="C33" s="49">
        <f t="shared" si="76"/>
      </c>
      <c r="D33" s="49">
        <f t="shared" si="76"/>
      </c>
      <c r="E33" s="49">
        <f t="shared" si="76"/>
      </c>
      <c r="F33" s="49">
        <f t="shared" si="76"/>
      </c>
      <c r="G33" s="49">
        <f t="shared" si="76"/>
      </c>
      <c r="H33" s="49">
        <f t="shared" si="76"/>
      </c>
      <c r="I33" s="49">
        <f t="shared" si="76"/>
      </c>
      <c r="J33" s="49">
        <f t="shared" si="76"/>
      </c>
      <c r="K33" s="49">
        <f t="shared" si="76"/>
      </c>
      <c r="L33" s="49">
        <f t="shared" si="76"/>
      </c>
      <c r="M33" s="49">
        <f t="shared" si="76"/>
      </c>
      <c r="N33" s="49">
        <f t="shared" si="76"/>
      </c>
      <c r="O33" s="49">
        <f t="shared" si="76"/>
      </c>
      <c r="P33" s="49">
        <f t="shared" si="76"/>
      </c>
      <c r="Q33" s="49">
        <f t="shared" si="76"/>
      </c>
      <c r="R33" s="49">
        <f t="shared" si="76"/>
      </c>
      <c r="S33" s="49">
        <f t="shared" si="76"/>
      </c>
      <c r="T33" s="49">
        <f t="shared" si="76"/>
      </c>
      <c r="U33" s="49">
        <f t="shared" si="76"/>
      </c>
      <c r="V33" s="49">
        <f t="shared" si="76"/>
      </c>
      <c r="W33" s="49">
        <f t="shared" si="76"/>
      </c>
      <c r="X33" s="49">
        <f t="shared" si="76"/>
      </c>
      <c r="Y33" s="49">
        <f t="shared" si="76"/>
      </c>
      <c r="Z33" s="49">
        <f t="shared" si="76"/>
      </c>
      <c r="AA33" s="49">
        <f t="shared" si="76"/>
      </c>
      <c r="AB33" s="49">
        <f t="shared" si="76"/>
      </c>
      <c r="AC33" s="49">
        <f t="shared" si="76"/>
      </c>
      <c r="AD33" s="49">
        <f t="shared" si="76"/>
      </c>
      <c r="AE33" s="49">
        <f t="shared" si="76"/>
      </c>
      <c r="AF33" s="49">
        <f t="shared" si="76"/>
      </c>
      <c r="AG33" s="49">
        <f t="shared" si="76"/>
      </c>
      <c r="AH33" s="49">
        <f t="shared" si="76"/>
      </c>
      <c r="AI33" s="49">
        <f t="shared" si="76"/>
      </c>
      <c r="AJ33" s="49">
        <f t="shared" si="76"/>
      </c>
      <c r="AK33" s="49">
        <f t="shared" si="76"/>
      </c>
      <c r="AL33" s="49">
        <f t="shared" si="76"/>
      </c>
      <c r="AM33" s="49">
        <f t="shared" si="76"/>
      </c>
      <c r="AN33" s="49">
        <f t="shared" si="76"/>
      </c>
      <c r="AO33" s="49">
        <f t="shared" si="76"/>
      </c>
      <c r="AP33" s="49">
        <f t="shared" si="76"/>
      </c>
      <c r="AQ33" s="49">
        <f t="shared" si="76"/>
      </c>
      <c r="AR33" s="49">
        <f t="shared" si="76"/>
      </c>
      <c r="AS33" s="49">
        <f t="shared" si="76"/>
      </c>
      <c r="AT33" s="49">
        <f t="shared" si="76"/>
      </c>
      <c r="AU33" s="49">
        <f t="shared" si="76"/>
      </c>
      <c r="AV33" s="49">
        <f t="shared" si="76"/>
      </c>
      <c r="AW33" s="49">
        <f t="shared" si="76"/>
      </c>
      <c r="AX33" s="49">
        <f t="shared" si="76"/>
      </c>
      <c r="AY33" s="49">
        <f t="shared" si="76"/>
      </c>
      <c r="AZ33" s="49">
        <f t="shared" si="76"/>
      </c>
      <c r="BA33" s="49">
        <f t="shared" si="76"/>
      </c>
      <c r="BB33" s="49">
        <f t="shared" si="76"/>
      </c>
      <c r="BC33" s="49">
        <f t="shared" si="76"/>
      </c>
      <c r="BD33" s="49">
        <f t="shared" si="76"/>
      </c>
      <c r="BE33" s="49">
        <f t="shared" si="76"/>
      </c>
      <c r="BF33" s="49">
        <f t="shared" si="76"/>
      </c>
      <c r="BG33" s="49">
        <f t="shared" si="76"/>
      </c>
      <c r="BH33" s="49">
        <f t="shared" si="76"/>
      </c>
      <c r="BI33" s="49">
        <f t="shared" si="76"/>
      </c>
      <c r="BJ33" s="49">
        <f t="shared" si="76"/>
      </c>
      <c r="BK33" s="49">
        <f t="shared" si="76"/>
      </c>
      <c r="BL33" s="49">
        <f t="shared" si="76"/>
      </c>
      <c r="BM33" s="49">
        <f t="shared" si="76"/>
      </c>
      <c r="BN33" s="49">
        <f t="shared" ref="BN33:CS33" si="77">BN30/BN$5</f>
      </c>
      <c r="BO33" s="49">
        <f t="shared" si="77"/>
      </c>
      <c r="BP33" s="49">
        <f t="shared" si="77"/>
      </c>
      <c r="BQ33" s="49">
        <f t="shared" si="77"/>
      </c>
      <c r="BR33" s="49">
        <f>BR30/BR$5</f>
      </c>
      <c r="BS33" s="49">
        <f t="shared" si="77"/>
      </c>
      <c r="BT33" s="49">
        <f>BT30/BT$5</f>
      </c>
      <c r="BU33" s="49">
        <f t="shared" si="77"/>
      </c>
      <c r="BV33" s="49">
        <f t="shared" si="77"/>
      </c>
      <c r="BW33" s="49">
        <f t="shared" si="77"/>
      </c>
      <c r="BX33" s="49">
        <f t="shared" si="77"/>
      </c>
      <c r="BY33" s="49">
        <f t="shared" si="77"/>
      </c>
      <c r="BZ33" s="49">
        <f t="shared" si="77"/>
      </c>
      <c r="CA33" s="49">
        <f t="shared" si="77"/>
      </c>
      <c r="CB33" s="49">
        <f t="shared" si="77"/>
      </c>
      <c r="CC33" s="49">
        <f t="shared" si="77"/>
      </c>
      <c r="CD33" s="49">
        <f t="shared" si="77"/>
      </c>
      <c r="CE33" s="49">
        <f t="shared" si="77"/>
      </c>
      <c r="CF33" s="49">
        <f t="shared" si="77"/>
      </c>
      <c r="CG33" s="49">
        <f t="shared" si="77"/>
      </c>
      <c r="CH33" s="49">
        <f t="shared" si="77"/>
      </c>
      <c r="CI33" s="49">
        <f t="shared" si="77"/>
      </c>
      <c r="CJ33" s="49">
        <f t="shared" si="77"/>
      </c>
      <c r="CK33" s="49">
        <f t="shared" si="77"/>
      </c>
      <c r="CL33" s="49">
        <f t="shared" si="77"/>
      </c>
      <c r="CM33" s="49">
        <f t="shared" si="77"/>
      </c>
      <c r="CN33" s="49">
        <f t="shared" si="77"/>
      </c>
      <c r="CO33" s="49">
        <f t="shared" si="77"/>
      </c>
      <c r="CP33" s="49">
        <f t="shared" si="77"/>
      </c>
      <c r="CQ33" s="49">
        <f t="shared" si="77"/>
      </c>
      <c r="CR33" s="49">
        <f t="shared" si="77"/>
      </c>
      <c r="CS33" s="49">
        <f t="shared" si="77"/>
      </c>
      <c r="CT33" s="49">
        <f>CT30/CT$5</f>
      </c>
      <c r="CU33" s="49">
        <f>CU30/CU$5</f>
      </c>
      <c r="CV33" s="341">
        <f t="shared" ref="CV33:DA33" si="78">CV30/CV$5</f>
      </c>
      <c r="CW33" s="341">
        <f t="shared" si="78"/>
      </c>
      <c r="CX33" s="341">
        <f t="shared" si="78"/>
      </c>
      <c r="CY33" s="341">
        <f t="shared" si="78"/>
      </c>
      <c r="CZ33" s="341">
        <f t="shared" si="78"/>
      </c>
      <c r="DA33" s="341">
        <f t="shared" si="78"/>
      </c>
      <c r="DB33" s="341">
        <f>DB30/DB$5</f>
      </c>
      <c r="DC33" s="341">
        <f>DC30/DC$5</f>
      </c>
      <c r="DD33" s="341">
        <f>DD30/DD$5</f>
      </c>
      <c r="DE33" s="341">
        <f>DE30/DE$5</f>
      </c>
      <c r="DH33" s="49">
        <f>DH30/DH$5</f>
      </c>
      <c r="DI33" s="49">
        <f t="shared" ref="DI33:ED33" si="79">DI30/DI$5</f>
      </c>
      <c r="DJ33" s="49">
        <f t="shared" si="79"/>
      </c>
      <c r="DK33" s="49">
        <f t="shared" si="79"/>
      </c>
      <c r="DL33" s="49">
        <f t="shared" si="79"/>
      </c>
      <c r="DM33" s="49">
        <f t="shared" si="79"/>
      </c>
      <c r="DN33" s="49">
        <f t="shared" si="79"/>
      </c>
      <c r="DO33" s="49">
        <f t="shared" si="79"/>
      </c>
      <c r="DP33" s="49">
        <f t="shared" si="79"/>
      </c>
      <c r="DQ33" s="49">
        <f t="shared" si="79"/>
      </c>
      <c r="DR33" s="49">
        <f t="shared" si="79"/>
      </c>
      <c r="DS33" s="49">
        <f t="shared" si="79"/>
      </c>
      <c r="DT33" s="49">
        <f t="shared" si="79"/>
      </c>
      <c r="DU33" s="49">
        <f t="shared" si="79"/>
      </c>
      <c r="DV33" s="49">
        <f t="shared" si="79"/>
      </c>
      <c r="DW33" s="49">
        <f t="shared" si="79"/>
      </c>
      <c r="DX33" s="49">
        <f t="shared" si="79"/>
      </c>
      <c r="DY33" s="49">
        <f t="shared" si="79"/>
      </c>
      <c r="DZ33" s="49">
        <f t="shared" si="79"/>
      </c>
      <c r="EA33" s="49">
        <f t="shared" si="79"/>
      </c>
      <c r="EB33" s="49">
        <f t="shared" si="79"/>
      </c>
      <c r="EC33" s="49">
        <f t="shared" si="79"/>
      </c>
      <c r="ED33" s="49">
        <f t="shared" si="79"/>
      </c>
      <c r="EE33" s="49">
        <f>EE30/EE$5</f>
      </c>
      <c r="EF33" s="341">
        <f>EF30/EF$5</f>
      </c>
      <c r="EG33" s="341">
        <f>EG30/EG$5</f>
      </c>
      <c r="EH33" s="341">
        <f>EH30/EH$5</f>
      </c>
    </row>
    <row r="34" spans="1:140" s="353" customFormat="1" ht="11.25" customHeight="1" outlineLevel="2">
      <c r="A34" s="354" t="s">
        <v>209</v>
      </c>
      <c r="B34" s="352"/>
      <c r="C34" s="352"/>
      <c r="D34" s="352"/>
      <c r="E34" s="352"/>
      <c r="F34" s="352"/>
      <c r="G34" s="352"/>
      <c r="H34" s="352"/>
      <c r="I34" s="352"/>
      <c r="J34" s="352"/>
      <c r="K34" s="352"/>
      <c r="L34" s="352"/>
      <c r="M34" s="352"/>
      <c r="N34" s="352"/>
      <c r="O34" s="352"/>
      <c r="P34" s="352"/>
      <c r="Q34" s="352"/>
      <c r="R34" s="352"/>
      <c r="S34" s="352"/>
      <c r="T34" s="352"/>
      <c r="U34" s="352"/>
      <c r="V34" s="352"/>
      <c r="W34" s="352"/>
      <c r="X34" s="352"/>
      <c r="Y34" s="352"/>
      <c r="Z34" s="352"/>
      <c r="AA34" s="352"/>
      <c r="AB34" s="352"/>
      <c r="AC34" s="352"/>
      <c r="AD34" s="352"/>
      <c r="AE34" s="352"/>
      <c r="AF34" s="352"/>
      <c r="AG34" s="352"/>
      <c r="AH34" s="352"/>
      <c r="AI34" s="352"/>
      <c r="AJ34" s="352"/>
      <c r="AK34" s="352"/>
      <c r="AL34" s="352">
        <v>14.614000000000001</v>
      </c>
      <c r="AM34" s="352">
        <v>14.532</v>
      </c>
      <c r="AN34" s="352">
        <v>14.103999999999999</v>
      </c>
      <c r="AO34" s="352">
        <v>14.724</v>
      </c>
      <c r="AP34" s="352">
        <v>18.588999999999999</v>
      </c>
      <c r="AQ34" s="352">
        <v>21.696999999999999</v>
      </c>
      <c r="AR34" s="352">
        <v>19.308</v>
      </c>
      <c r="AS34" s="352">
        <v>20.908000000000001</v>
      </c>
      <c r="AT34" s="352">
        <v>21.207000000000001</v>
      </c>
      <c r="AU34" s="352">
        <v>18.885000000000002</v>
      </c>
      <c r="AV34" s="352">
        <v>20.056000000000001</v>
      </c>
      <c r="AW34" s="352">
        <v>22.009</v>
      </c>
      <c r="AX34" s="352">
        <v>21.934999999999999</v>
      </c>
      <c r="AY34" s="352">
        <v>18.555</v>
      </c>
      <c r="AZ34" s="352">
        <v>20.902000000000001</v>
      </c>
      <c r="BA34" s="352">
        <v>21.547999999999998</v>
      </c>
      <c r="BB34" s="352">
        <v>20.494</v>
      </c>
      <c r="BC34" s="352">
        <v>21</v>
      </c>
      <c r="BD34" s="352">
        <v>22</v>
      </c>
      <c r="BE34" s="352">
        <v>23</v>
      </c>
      <c r="BF34" s="352">
        <v>27</v>
      </c>
      <c r="BG34" s="352">
        <v>27</v>
      </c>
      <c r="BH34" s="352">
        <v>28</v>
      </c>
      <c r="BI34" s="352">
        <v>33</v>
      </c>
      <c r="BJ34" s="352">
        <v>29</v>
      </c>
      <c r="BK34" s="352">
        <v>30</v>
      </c>
      <c r="BL34" s="352">
        <v>35</v>
      </c>
      <c r="BM34" s="352">
        <v>40</v>
      </c>
      <c r="BN34" s="352">
        <v>41</v>
      </c>
      <c r="BO34" s="352">
        <v>44</v>
      </c>
      <c r="BP34" s="352">
        <v>61</v>
      </c>
      <c r="BQ34" s="352">
        <v>73</v>
      </c>
      <c r="BR34" s="352">
        <v>74</v>
      </c>
      <c r="BS34" s="352">
        <v>76</v>
      </c>
      <c r="BT34" s="352">
        <v>88</v>
      </c>
      <c r="BU34" s="352">
        <v>99</v>
      </c>
      <c r="BV34" s="352">
        <v>114</v>
      </c>
      <c r="BW34" s="352">
        <v>145</v>
      </c>
      <c r="BX34" s="352">
        <v>141</v>
      </c>
      <c r="BY34" s="352">
        <v>140</v>
      </c>
      <c r="BZ34" s="352">
        <v>134</v>
      </c>
      <c r="CA34" s="352">
        <v>228</v>
      </c>
      <c r="CB34" s="352">
        <v>232</v>
      </c>
      <c r="CC34" s="352">
        <v>266</v>
      </c>
      <c r="CD34" s="352">
        <v>276</v>
      </c>
      <c r="CE34" s="352">
        <v>297</v>
      </c>
      <c r="CF34" s="352">
        <v>363</v>
      </c>
      <c r="CG34" s="352">
        <v>362</v>
      </c>
      <c r="CH34" s="352">
        <v>384</v>
      </c>
      <c r="CI34" s="352">
        <v>452</v>
      </c>
      <c r="CJ34" s="352">
        <v>530</v>
      </c>
      <c r="CK34" s="352">
        <v>527</v>
      </c>
      <c r="CL34" s="352">
        <v>524</v>
      </c>
      <c r="CM34" s="352">
        <v>600</v>
      </c>
      <c r="CN34" s="352">
        <v>701</v>
      </c>
      <c r="CO34" s="352">
        <v>706</v>
      </c>
      <c r="CP34" s="352">
        <v>727</v>
      </c>
      <c r="CQ34" s="352">
        <v>832</v>
      </c>
      <c r="CR34" s="352">
        <v>910</v>
      </c>
      <c r="CS34" s="352">
        <v>955</v>
      </c>
      <c r="CT34" s="352">
        <v>1063</v>
      </c>
      <c r="CU34" s="352">
        <v>1191</v>
      </c>
      <c r="CV34" s="352">
        <f t="shared" ref="CV34:DA34" si="80">+CV29*CU34/CU29</f>
      </c>
      <c r="CW34" s="352">
        <f t="shared" si="80"/>
      </c>
      <c r="CX34" s="352">
        <f t="shared" si="80"/>
      </c>
      <c r="CY34" s="352">
        <f t="shared" si="80"/>
      </c>
      <c r="CZ34" s="352">
        <f t="shared" si="80"/>
      </c>
      <c r="DA34" s="352">
        <f t="shared" si="80"/>
      </c>
      <c r="DB34" s="352">
        <f>+DB29*DA34/DA29</f>
      </c>
      <c r="DC34" s="352">
        <f>+DC29*DB34/DB29</f>
      </c>
      <c r="DD34" s="352">
        <f>+DD29*DC34/DC29</f>
      </c>
      <c r="DE34" s="352">
        <f>+DE29*DD34/DD29</f>
      </c>
      <c r="DH34" s="54"/>
      <c r="DI34" s="54"/>
      <c r="DJ34" s="54"/>
      <c r="DK34" s="54"/>
      <c r="DL34" s="54"/>
      <c r="DM34" s="54"/>
      <c r="DN34" s="54"/>
      <c r="DO34" s="54"/>
      <c r="DP34" s="54"/>
      <c r="DQ34" s="54"/>
      <c r="DR34" s="352">
        <f>SUM(AP34:AS34)</f>
      </c>
      <c r="DS34" s="352">
        <f>SUM(AT34:AW34)</f>
      </c>
      <c r="DT34" s="352">
        <f>SUM(AX34:BA34)</f>
      </c>
      <c r="DU34" s="352">
        <f>SUM(BB34:BE34)</f>
      </c>
      <c r="DV34" s="352">
        <f>SUM(BF34:BI34)</f>
      </c>
      <c r="DW34" s="352">
        <f>SUM(BJ34:BM34)</f>
      </c>
      <c r="DX34" s="352">
        <f>SUM(BN34:BQ34)</f>
      </c>
      <c r="DY34" s="352">
        <f>SUM(BR34:BU34)</f>
      </c>
      <c r="DZ34" s="352">
        <f>BV34+BW34+BX34+BY34</f>
      </c>
      <c r="EA34" s="352">
        <f>CC34+CB34+CA34+BZ34</f>
      </c>
      <c r="EB34" s="352">
        <f>+CD34+CE34+CF34+CG34</f>
      </c>
      <c r="EC34" s="352">
        <f>SUM(CH34:CK34)</f>
      </c>
      <c r="ED34" s="352">
        <f>SUM(CL34:CO34)</f>
      </c>
      <c r="EE34" s="352">
        <f>SUM(CP34:CS34)</f>
      </c>
      <c r="EF34" s="352">
        <f>SUM(CT34:CW34)</f>
      </c>
      <c r="EG34" s="352">
        <f>SUM(CX34:DA34)</f>
      </c>
      <c r="EH34" s="352">
        <f>SUM(DB34:DE34)</f>
      </c>
    </row>
    <row r="35" spans="1:140" s="47" customFormat="1" ht="11.25" customHeight="1" outlineLevel="1">
      <c r="A35" s="348" t="s">
        <v>210</v>
      </c>
      <c r="B35" s="35">
        <f>Ticker0027!V17</f>
      </c>
      <c r="C35" s="35">
        <f>Ticker0027!W17</f>
      </c>
      <c r="D35" s="35">
        <f>Ticker0027!X17</f>
      </c>
      <c r="E35" s="35">
        <f>Ticker0027!Y17</f>
      </c>
      <c r="F35" s="35">
        <f>Ticker0027!AA17</f>
      </c>
      <c r="G35" s="35">
        <f>Ticker0027!AB17</f>
      </c>
      <c r="H35" s="35">
        <f>Ticker0027!AC17</f>
      </c>
      <c r="I35" s="35">
        <f>Ticker0027!AD17</f>
      </c>
      <c r="J35" s="35">
        <f>Ticker0027!AF17</f>
      </c>
      <c r="K35" s="35">
        <f>Ticker0027!AG17</f>
      </c>
      <c r="L35" s="35">
        <f>Ticker0027!AH17</f>
      </c>
      <c r="M35" s="35">
        <f>Ticker0027!AI17</f>
      </c>
      <c r="N35" s="35">
        <f>Ticker0027!AK17</f>
      </c>
      <c r="O35" s="35">
        <f>Ticker0027!AL17</f>
      </c>
      <c r="P35" s="35">
        <f>Ticker0027!AM17</f>
      </c>
      <c r="Q35" s="35">
        <f>Ticker0027!AN17</f>
      </c>
      <c r="R35" s="35">
        <f>Ticker0027!AP17</f>
      </c>
      <c r="S35" s="35">
        <f>Ticker0027!AQ17</f>
      </c>
      <c r="T35" s="35">
        <f>Ticker0027!AR17</f>
      </c>
      <c r="U35" s="35">
        <f>Ticker0027!AS17</f>
      </c>
      <c r="V35" s="35">
        <f>Ticker0027!AU17</f>
      </c>
      <c r="W35" s="35">
        <f>Ticker0027!AV17</f>
      </c>
      <c r="X35" s="35">
        <f>Ticker0027!AW17</f>
      </c>
      <c r="Y35" s="35">
        <f>Ticker0027!AX17</f>
      </c>
      <c r="Z35" s="35">
        <f>Ticker0027!AZ17</f>
      </c>
      <c r="AA35" s="35">
        <f>Ticker0027!BA17</f>
      </c>
      <c r="AB35" s="35">
        <f>Ticker0027!BB17</f>
      </c>
      <c r="AC35" s="35">
        <f>Ticker0027!BC17</f>
      </c>
      <c r="AD35" s="35">
        <f>Ticker0027!BE17</f>
      </c>
      <c r="AE35" s="35">
        <f>Ticker0027!BF17</f>
      </c>
      <c r="AF35" s="35">
        <f>Ticker0027!BG17</f>
      </c>
      <c r="AG35" s="35">
        <f>Ticker0027!BH17</f>
      </c>
      <c r="AH35" s="35">
        <f>Ticker0027!BJ17</f>
      </c>
      <c r="AI35" s="35">
        <f>Ticker0027!BK17</f>
      </c>
      <c r="AJ35" s="35">
        <f>Ticker0027!BL17</f>
      </c>
      <c r="AK35" s="35">
        <f>Ticker0027!BM17</f>
      </c>
      <c r="AL35" s="35">
        <f>Ticker0027!BO17</f>
      </c>
      <c r="AM35" s="35">
        <f>Ticker0027!BP17</f>
      </c>
      <c r="AN35" s="35">
        <f>Ticker0027!BQ17</f>
      </c>
      <c r="AO35" s="35">
        <f>Ticker0027!BR17</f>
      </c>
      <c r="AP35" s="35">
        <f>Ticker0027!BT17</f>
      </c>
      <c r="AQ35" s="35">
        <f>Ticker0027!BU17</f>
      </c>
      <c r="AR35" s="35">
        <f>Ticker0027!BV17</f>
      </c>
      <c r="AS35" s="35">
        <f>Ticker0027!BW17</f>
      </c>
      <c r="AT35" s="35">
        <f>Ticker0027!BY17</f>
      </c>
      <c r="AU35" s="35">
        <f>Ticker0027!BZ17</f>
      </c>
      <c r="AV35" s="35">
        <f>Ticker0027!CA17</f>
      </c>
      <c r="AW35" s="35">
        <f>Ticker0027!CB17</f>
      </c>
      <c r="AX35" s="35">
        <f>Ticker0027!CD17</f>
      </c>
      <c r="AY35" s="35">
        <f>Ticker0027!CE17</f>
      </c>
      <c r="AZ35" s="35">
        <f>Ticker0027!CF17</f>
      </c>
      <c r="BA35" s="35">
        <f>Ticker0027!CG17</f>
      </c>
      <c r="BB35" s="35">
        <f>Ticker0027!CI17</f>
      </c>
      <c r="BC35" s="35">
        <f>Ticker0027!CJ17</f>
      </c>
      <c r="BD35" s="35">
        <f>Ticker0027!CK17</f>
      </c>
      <c r="BE35" s="35">
        <f>Ticker0027!CL17</f>
      </c>
      <c r="BF35" s="35">
        <f>Ticker0027!CN17</f>
      </c>
      <c r="BG35" s="35">
        <f>Ticker0027!CO17</f>
      </c>
      <c r="BH35" s="35">
        <f>Ticker0027!CP17</f>
      </c>
      <c r="BI35" s="35">
        <f>Ticker0027!CQ17</f>
      </c>
      <c r="BJ35" s="35">
        <f>Ticker0027!CS17</f>
      </c>
      <c r="BK35" s="337">
        <f>Ticker0027!CT17</f>
      </c>
      <c r="BL35" s="337">
        <f>Ticker0027!CU17</f>
      </c>
      <c r="BM35" s="35">
        <f>Ticker0027!CV17</f>
      </c>
      <c r="BN35" s="35">
        <f>Ticker0027!CX17</f>
      </c>
      <c r="BO35" s="35">
        <f>Ticker0027!CY17</f>
      </c>
      <c r="BP35" s="35">
        <f>Ticker0027!CZ17</f>
      </c>
      <c r="BQ35" s="35">
        <f>Ticker0027!DA17</f>
      </c>
      <c r="BR35" s="35">
        <f>Ticker0027!DC17</f>
      </c>
      <c r="BS35" s="35">
        <f>Ticker0027!DD17</f>
      </c>
      <c r="BT35" s="35">
        <f>Ticker0027!DE17</f>
      </c>
      <c r="BU35" s="35">
        <f>Ticker0027!DF17</f>
      </c>
      <c r="BV35" s="35">
        <f>Ticker0027!DH17</f>
      </c>
      <c r="BW35" s="35">
        <f>Ticker0027!DI17</f>
      </c>
      <c r="BX35" s="35">
        <f>Ticker0027!DJ17</f>
      </c>
      <c r="BY35" s="35">
        <f>Ticker0027!DK17</f>
      </c>
      <c r="BZ35" s="35">
        <f>Ticker0027!DM17</f>
      </c>
      <c r="CA35" s="35">
        <f>Ticker0027!DN17</f>
      </c>
      <c r="CB35" s="35">
        <f>Ticker0027!DO17</f>
      </c>
      <c r="CC35" s="35">
        <f>Ticker0027!DP17</f>
      </c>
      <c r="CD35" s="35">
        <f>Ticker0027!DR17</f>
      </c>
      <c r="CE35" s="35">
        <f>Ticker0027!DS17</f>
      </c>
      <c r="CF35" s="35">
        <f>Ticker0027!DT17</f>
      </c>
      <c r="CG35" s="35">
        <f>Ticker0027!DU17</f>
      </c>
      <c r="CH35" s="35">
        <f>Ticker0027!DW17</f>
      </c>
      <c r="CI35" s="35">
        <f>Ticker0027!DX17</f>
      </c>
      <c r="CJ35" s="35">
        <f>Ticker0027!DY17</f>
      </c>
      <c r="CK35" s="35">
        <f>Ticker0027!DZ17</f>
      </c>
      <c r="CL35" s="35">
        <f>Ticker0027!EB17</f>
      </c>
      <c r="CM35" s="35">
        <f>Ticker0027!EC17</f>
      </c>
      <c r="CN35" s="35">
        <f>Ticker0027!ED17</f>
      </c>
      <c r="CO35" s="35">
        <f>Ticker0027!EE17</f>
      </c>
      <c r="CP35" s="35">
        <f>Ticker0027!EG17</f>
      </c>
      <c r="CQ35" s="35">
        <f>Ticker0027!EH17</f>
      </c>
      <c r="CR35" s="35">
        <f>Ticker0027!EI17</f>
      </c>
      <c r="CS35" s="35">
        <f>Ticker0027!EJ17</f>
      </c>
      <c r="CT35" s="35">
        <f>Ticker0027!EL17</f>
      </c>
      <c r="CU35" s="35">
        <f>Ticker0027!EM17</f>
      </c>
      <c r="CV35" s="338">
        <f t="shared" ref="CV35:DA35" si="81">CU35*(1+CV36)</f>
      </c>
      <c r="CW35" s="338">
        <f t="shared" si="81"/>
      </c>
      <c r="CX35" s="338">
        <f t="shared" si="81"/>
      </c>
      <c r="CY35" s="338">
        <f t="shared" si="81"/>
      </c>
      <c r="CZ35" s="338">
        <f t="shared" si="81"/>
      </c>
      <c r="DA35" s="338">
        <f t="shared" si="81"/>
      </c>
      <c r="DB35" s="338">
        <f>DA35*(1+DB36)</f>
      </c>
      <c r="DC35" s="338">
        <f>DB35*(1+DC36)</f>
      </c>
      <c r="DD35" s="338">
        <f>DC35*(1+DD36)</f>
      </c>
      <c r="DE35" s="338">
        <f>DD35*(1+DE36)</f>
      </c>
      <c r="DH35" s="35">
        <f>SUM(B35:E35)</f>
      </c>
      <c r="DI35" s="35">
        <f>SUM(F35:I35)</f>
      </c>
      <c r="DJ35" s="35">
        <f>SUM(J35:M35)</f>
      </c>
      <c r="DK35" s="35">
        <f>SUM(N35:Q35)</f>
      </c>
      <c r="DL35" s="35">
        <f>SUM(R35:U35)</f>
      </c>
      <c r="DM35" s="35">
        <f>SUM(V35:Y35)</f>
      </c>
      <c r="DN35" s="35">
        <f>SUM(Z35:AC35)</f>
      </c>
      <c r="DO35" s="35">
        <f>SUM(AD35:AG35)</f>
      </c>
      <c r="DP35" s="35">
        <f>SUM(AH35:AK35)</f>
      </c>
      <c r="DQ35" s="35">
        <f>SUM(AL35:AO35)</f>
      </c>
      <c r="DR35" s="35">
        <f>SUM(AP35:AS35)</f>
      </c>
      <c r="DS35" s="35">
        <f>SUM(AT35:AW35)</f>
      </c>
      <c r="DT35" s="35">
        <f>SUM(AX35:BA35)</f>
      </c>
      <c r="DU35" s="35">
        <f>SUM(BB35:BE35)</f>
      </c>
      <c r="DV35" s="35">
        <f>SUM(BF35:BI35)</f>
      </c>
      <c r="DW35" s="35">
        <f>SUM(BJ35:BM35)</f>
      </c>
      <c r="DX35" s="35">
        <f>SUM(BN35:BQ35)</f>
      </c>
      <c r="DY35" s="35">
        <f>SUM(BR35:BU35)</f>
      </c>
      <c r="DZ35" s="35">
        <f>BV35+BW35+BX35+BY35</f>
      </c>
      <c r="EA35" s="35">
        <f>CC35+CB35+CA35+BZ35</f>
      </c>
      <c r="EB35" s="35">
        <f>+CD35+CE35+CF35+CG35</f>
      </c>
      <c r="EC35" s="35">
        <f>SUM(CH35:CK35)</f>
      </c>
      <c r="ED35" s="35">
        <f>SUM(CL35:CO35)</f>
      </c>
      <c r="EE35" s="35">
        <f>SUM(CP35:CS35)</f>
      </c>
      <c r="EF35" s="338">
        <f>SUM(CT35:CW35)</f>
      </c>
      <c r="EG35" s="338">
        <f>SUM(CX35:DA35)</f>
      </c>
      <c r="EH35" s="338">
        <f>SUM(DB35:DE35)</f>
      </c>
    </row>
    <row r="36" spans="1:140" s="49" customFormat="1" ht="11.25" customHeight="1" outlineLevel="1">
      <c r="A36" s="349" t="s">
        <v>196</v>
      </c>
      <c r="C36" s="49">
        <f t="shared" ref="C36:BN36" si="82">C35/B35-1</f>
      </c>
      <c r="D36" s="49">
        <f t="shared" si="82"/>
      </c>
      <c r="E36" s="49">
        <f t="shared" si="82"/>
      </c>
      <c r="F36" s="49">
        <f t="shared" si="82"/>
      </c>
      <c r="G36" s="49">
        <f t="shared" si="82"/>
      </c>
      <c r="H36" s="49">
        <f t="shared" si="82"/>
      </c>
      <c r="I36" s="49">
        <f t="shared" si="82"/>
      </c>
      <c r="J36" s="49">
        <f t="shared" si="82"/>
      </c>
      <c r="K36" s="49">
        <f t="shared" si="82"/>
      </c>
      <c r="L36" s="49">
        <f t="shared" si="82"/>
      </c>
      <c r="M36" s="49">
        <f t="shared" si="82"/>
      </c>
      <c r="N36" s="49">
        <f t="shared" si="82"/>
      </c>
      <c r="O36" s="49">
        <f t="shared" si="82"/>
      </c>
      <c r="P36" s="49">
        <f t="shared" si="82"/>
      </c>
      <c r="Q36" s="49">
        <f t="shared" si="82"/>
      </c>
      <c r="R36" s="49">
        <f t="shared" si="82"/>
      </c>
      <c r="S36" s="49">
        <f t="shared" si="82"/>
      </c>
      <c r="T36" s="49">
        <f t="shared" si="82"/>
      </c>
      <c r="U36" s="49">
        <f t="shared" si="82"/>
      </c>
      <c r="V36" s="49">
        <f t="shared" si="82"/>
      </c>
      <c r="W36" s="49">
        <f t="shared" si="82"/>
      </c>
      <c r="X36" s="49">
        <f t="shared" si="82"/>
      </c>
      <c r="Y36" s="49">
        <f t="shared" si="82"/>
      </c>
      <c r="Z36" s="49">
        <f t="shared" si="82"/>
      </c>
      <c r="AA36" s="49">
        <f t="shared" si="82"/>
      </c>
      <c r="AB36" s="49">
        <f t="shared" si="82"/>
      </c>
      <c r="AC36" s="49">
        <f t="shared" si="82"/>
      </c>
      <c r="AD36" s="49">
        <f t="shared" si="82"/>
      </c>
      <c r="AE36" s="49">
        <f t="shared" si="82"/>
      </c>
      <c r="AF36" s="49">
        <f t="shared" si="82"/>
      </c>
      <c r="AG36" s="49">
        <f t="shared" si="82"/>
      </c>
      <c r="AH36" s="49">
        <f t="shared" si="82"/>
      </c>
      <c r="AI36" s="49">
        <f t="shared" si="82"/>
      </c>
      <c r="AJ36" s="49">
        <f t="shared" si="82"/>
      </c>
      <c r="AK36" s="49">
        <f t="shared" si="82"/>
      </c>
      <c r="AL36" s="49">
        <f t="shared" si="82"/>
      </c>
      <c r="AM36" s="49">
        <f t="shared" si="82"/>
      </c>
      <c r="AN36" s="49">
        <f t="shared" si="82"/>
      </c>
      <c r="AO36" s="49">
        <f t="shared" si="82"/>
      </c>
      <c r="AP36" s="49">
        <f t="shared" si="82"/>
      </c>
      <c r="AQ36" s="49">
        <f t="shared" si="82"/>
      </c>
      <c r="AR36" s="49">
        <f t="shared" si="82"/>
      </c>
      <c r="AS36" s="49">
        <f t="shared" si="82"/>
      </c>
      <c r="AT36" s="49">
        <f t="shared" si="82"/>
      </c>
      <c r="AU36" s="49">
        <f t="shared" si="82"/>
      </c>
      <c r="AV36" s="49">
        <f t="shared" si="82"/>
      </c>
      <c r="AW36" s="49">
        <f t="shared" si="82"/>
      </c>
      <c r="AX36" s="49">
        <f t="shared" si="82"/>
      </c>
      <c r="AY36" s="49">
        <f t="shared" si="82"/>
      </c>
      <c r="AZ36" s="49">
        <f t="shared" si="82"/>
      </c>
      <c r="BA36" s="49">
        <f t="shared" si="82"/>
      </c>
      <c r="BB36" s="49">
        <f t="shared" si="82"/>
      </c>
      <c r="BC36" s="49">
        <f t="shared" si="82"/>
      </c>
      <c r="BD36" s="49">
        <f t="shared" si="82"/>
      </c>
      <c r="BE36" s="49">
        <f t="shared" si="82"/>
      </c>
      <c r="BF36" s="49">
        <f t="shared" si="82"/>
      </c>
      <c r="BG36" s="49">
        <f t="shared" si="82"/>
      </c>
      <c r="BH36" s="49">
        <f t="shared" si="82"/>
      </c>
      <c r="BI36" s="49">
        <f t="shared" si="82"/>
      </c>
      <c r="BJ36" s="49">
        <f t="shared" si="82"/>
      </c>
      <c r="BK36" s="49">
        <f t="shared" si="82"/>
      </c>
      <c r="BL36" s="49">
        <f t="shared" si="82"/>
      </c>
      <c r="BM36" s="49">
        <f t="shared" si="82"/>
      </c>
      <c r="BN36" s="49">
        <f t="shared" si="82"/>
      </c>
      <c r="BO36" s="49">
        <f t="shared" ref="BO36:CS36" si="83">BO35/BN35-1</f>
      </c>
      <c r="BP36" s="49">
        <f t="shared" si="83"/>
      </c>
      <c r="BQ36" s="49">
        <f t="shared" si="83"/>
      </c>
      <c r="BR36" s="49">
        <f t="shared" si="83"/>
      </c>
      <c r="BS36" s="49">
        <f t="shared" si="83"/>
      </c>
      <c r="BT36" s="49">
        <f t="shared" si="83"/>
      </c>
      <c r="BU36" s="49">
        <f t="shared" si="83"/>
      </c>
      <c r="BV36" s="49">
        <f t="shared" si="83"/>
      </c>
      <c r="BW36" s="49">
        <f t="shared" si="83"/>
      </c>
      <c r="BX36" s="49">
        <f t="shared" si="83"/>
      </c>
      <c r="BY36" s="49">
        <f t="shared" si="83"/>
      </c>
      <c r="BZ36" s="49">
        <f t="shared" si="83"/>
      </c>
      <c r="CA36" s="49">
        <f t="shared" si="83"/>
      </c>
      <c r="CB36" s="49">
        <f t="shared" si="83"/>
      </c>
      <c r="CC36" s="49">
        <f t="shared" si="83"/>
      </c>
      <c r="CD36" s="49">
        <f t="shared" si="83"/>
      </c>
      <c r="CE36" s="49">
        <f t="shared" si="83"/>
      </c>
      <c r="CF36" s="49">
        <f t="shared" si="83"/>
      </c>
      <c r="CG36" s="49">
        <f t="shared" si="83"/>
      </c>
      <c r="CH36" s="49">
        <f t="shared" si="83"/>
      </c>
      <c r="CI36" s="49">
        <f t="shared" si="83"/>
      </c>
      <c r="CJ36" s="49">
        <f t="shared" si="83"/>
      </c>
      <c r="CK36" s="49">
        <f t="shared" si="83"/>
      </c>
      <c r="CL36" s="49">
        <f t="shared" si="83"/>
      </c>
      <c r="CM36" s="49">
        <f t="shared" si="83"/>
      </c>
      <c r="CN36" s="49">
        <f t="shared" si="83"/>
      </c>
      <c r="CO36" s="49">
        <f t="shared" si="83"/>
      </c>
      <c r="CP36" s="49">
        <f t="shared" si="83"/>
      </c>
      <c r="CQ36" s="49">
        <f t="shared" si="83"/>
      </c>
      <c r="CR36" s="49">
        <f t="shared" si="83"/>
      </c>
      <c r="CS36" s="49">
        <f t="shared" si="83"/>
      </c>
      <c r="CT36" s="49">
        <f>CT35/CS35-1</f>
      </c>
      <c r="CU36" s="49">
        <f>CU35/CT35-1</f>
      </c>
      <c r="CV36" s="341">
        <v>0.09</v>
      </c>
      <c r="CW36" s="341">
        <v>0.06</v>
      </c>
      <c r="CX36" s="341">
        <v>0.04</v>
      </c>
      <c r="CY36" s="341">
        <v>0.03</v>
      </c>
      <c r="CZ36" s="341">
        <v>0.03</v>
      </c>
      <c r="DA36" s="341">
        <v>0.03</v>
      </c>
      <c r="DB36" s="341">
        <v>0.02</v>
      </c>
      <c r="DC36" s="341">
        <v>0.01</v>
      </c>
      <c r="DD36" s="341">
        <v>0.01</v>
      </c>
      <c r="DE36" s="341">
        <v>0.01</v>
      </c>
      <c r="DH36" s="342" t="s">
        <v>197</v>
      </c>
      <c r="DI36" s="342" t="s">
        <v>197</v>
      </c>
      <c r="DJ36" s="342" t="s">
        <v>197</v>
      </c>
      <c r="DK36" s="342" t="s">
        <v>197</v>
      </c>
      <c r="DL36" s="342" t="s">
        <v>197</v>
      </c>
      <c r="DM36" s="342" t="s">
        <v>197</v>
      </c>
      <c r="DN36" s="342" t="s">
        <v>197</v>
      </c>
      <c r="DO36" s="342" t="s">
        <v>197</v>
      </c>
      <c r="DP36" s="342" t="s">
        <v>197</v>
      </c>
      <c r="DQ36" s="342" t="s">
        <v>197</v>
      </c>
      <c r="DR36" s="342" t="s">
        <v>197</v>
      </c>
      <c r="DS36" s="342" t="s">
        <v>197</v>
      </c>
      <c r="DT36" s="342" t="s">
        <v>197</v>
      </c>
      <c r="DU36" s="342" t="s">
        <v>197</v>
      </c>
      <c r="DV36" s="342" t="s">
        <v>197</v>
      </c>
      <c r="DW36" s="342" t="s">
        <v>197</v>
      </c>
      <c r="DX36" s="342" t="s">
        <v>197</v>
      </c>
      <c r="DY36" s="342" t="s">
        <v>197</v>
      </c>
      <c r="DZ36" s="342" t="s">
        <v>197</v>
      </c>
      <c r="EA36" s="342" t="s">
        <v>197</v>
      </c>
      <c r="EB36" s="342" t="s">
        <v>197</v>
      </c>
      <c r="EC36" s="342" t="s">
        <v>197</v>
      </c>
      <c r="ED36" s="342" t="s">
        <v>197</v>
      </c>
      <c r="EE36" s="342" t="s">
        <v>197</v>
      </c>
      <c r="EF36" s="343" t="s">
        <v>197</v>
      </c>
      <c r="EG36" s="343" t="s">
        <v>197</v>
      </c>
      <c r="EH36" s="343" t="s">
        <v>197</v>
      </c>
    </row>
    <row r="37" spans="1:140" s="49" customFormat="1" ht="11.25" customHeight="1" outlineLevel="1">
      <c r="A37" s="349" t="s">
        <v>198</v>
      </c>
      <c r="F37" s="49">
        <f t="shared" ref="F37:BQ37" si="84">F35/B35-1</f>
      </c>
      <c r="G37" s="49">
        <f t="shared" si="84"/>
      </c>
      <c r="H37" s="49">
        <f t="shared" si="84"/>
      </c>
      <c r="I37" s="49">
        <f t="shared" si="84"/>
      </c>
      <c r="J37" s="49">
        <f t="shared" si="84"/>
      </c>
      <c r="K37" s="49">
        <f t="shared" si="84"/>
      </c>
      <c r="L37" s="49">
        <f t="shared" si="84"/>
      </c>
      <c r="M37" s="49">
        <f t="shared" si="84"/>
      </c>
      <c r="N37" s="49">
        <f t="shared" si="84"/>
      </c>
      <c r="O37" s="49">
        <f t="shared" si="84"/>
      </c>
      <c r="P37" s="49">
        <f t="shared" si="84"/>
      </c>
      <c r="Q37" s="49">
        <f t="shared" si="84"/>
      </c>
      <c r="R37" s="49">
        <f t="shared" si="84"/>
      </c>
      <c r="S37" s="49">
        <f t="shared" si="84"/>
      </c>
      <c r="T37" s="49">
        <f t="shared" si="84"/>
      </c>
      <c r="U37" s="49">
        <f t="shared" si="84"/>
      </c>
      <c r="V37" s="49">
        <f t="shared" si="84"/>
      </c>
      <c r="W37" s="49">
        <f t="shared" si="84"/>
      </c>
      <c r="X37" s="49">
        <f t="shared" si="84"/>
      </c>
      <c r="Y37" s="49">
        <f t="shared" si="84"/>
      </c>
      <c r="Z37" s="49">
        <f t="shared" si="84"/>
      </c>
      <c r="AA37" s="49">
        <f t="shared" si="84"/>
      </c>
      <c r="AB37" s="49">
        <f t="shared" si="84"/>
      </c>
      <c r="AC37" s="49">
        <f t="shared" si="84"/>
      </c>
      <c r="AD37" s="49">
        <f t="shared" si="84"/>
      </c>
      <c r="AE37" s="49">
        <f t="shared" si="84"/>
      </c>
      <c r="AF37" s="49">
        <f t="shared" si="84"/>
      </c>
      <c r="AG37" s="49">
        <f t="shared" si="84"/>
      </c>
      <c r="AH37" s="49">
        <f t="shared" si="84"/>
      </c>
      <c r="AI37" s="49">
        <f t="shared" si="84"/>
      </c>
      <c r="AJ37" s="49">
        <f t="shared" si="84"/>
      </c>
      <c r="AK37" s="49">
        <f t="shared" si="84"/>
      </c>
      <c r="AL37" s="49">
        <f t="shared" si="84"/>
      </c>
      <c r="AM37" s="49">
        <f t="shared" si="84"/>
      </c>
      <c r="AN37" s="49">
        <f t="shared" si="84"/>
      </c>
      <c r="AO37" s="49">
        <f t="shared" si="84"/>
      </c>
      <c r="AP37" s="49">
        <f t="shared" si="84"/>
      </c>
      <c r="AQ37" s="49">
        <f t="shared" si="84"/>
      </c>
      <c r="AR37" s="49">
        <f t="shared" si="84"/>
      </c>
      <c r="AS37" s="49">
        <f t="shared" si="84"/>
      </c>
      <c r="AT37" s="49">
        <f t="shared" si="84"/>
      </c>
      <c r="AU37" s="49">
        <f t="shared" si="84"/>
      </c>
      <c r="AV37" s="49">
        <f t="shared" si="84"/>
      </c>
      <c r="AW37" s="49">
        <f t="shared" si="84"/>
      </c>
      <c r="AX37" s="49">
        <f t="shared" si="84"/>
      </c>
      <c r="AY37" s="49">
        <f t="shared" si="84"/>
      </c>
      <c r="AZ37" s="49">
        <f t="shared" si="84"/>
      </c>
      <c r="BA37" s="49">
        <f t="shared" si="84"/>
      </c>
      <c r="BB37" s="49">
        <f t="shared" si="84"/>
      </c>
      <c r="BC37" s="49">
        <f t="shared" si="84"/>
      </c>
      <c r="BD37" s="49">
        <f t="shared" si="84"/>
      </c>
      <c r="BE37" s="49">
        <f t="shared" si="84"/>
      </c>
      <c r="BF37" s="49">
        <f t="shared" si="84"/>
      </c>
      <c r="BG37" s="49">
        <f t="shared" si="84"/>
      </c>
      <c r="BH37" s="49">
        <f t="shared" si="84"/>
      </c>
      <c r="BI37" s="49">
        <f t="shared" si="84"/>
      </c>
      <c r="BJ37" s="49">
        <f t="shared" si="84"/>
      </c>
      <c r="BK37" s="340">
        <f t="shared" si="84"/>
      </c>
      <c r="BL37" s="340">
        <f t="shared" si="84"/>
      </c>
      <c r="BM37" s="49">
        <f t="shared" si="84"/>
      </c>
      <c r="BN37" s="49">
        <f t="shared" si="84"/>
      </c>
      <c r="BO37" s="49">
        <f t="shared" si="84"/>
      </c>
      <c r="BP37" s="49">
        <f t="shared" si="84"/>
      </c>
      <c r="BQ37" s="49">
        <f t="shared" si="84"/>
      </c>
      <c r="BR37" s="49">
        <f t="shared" ref="BR37:CS37" si="85">BR35/BN35-1</f>
      </c>
      <c r="BS37" s="49">
        <f t="shared" si="85"/>
      </c>
      <c r="BT37" s="49">
        <f t="shared" si="85"/>
      </c>
      <c r="BU37" s="49">
        <f t="shared" si="85"/>
      </c>
      <c r="BV37" s="49">
        <f t="shared" si="85"/>
      </c>
      <c r="BW37" s="49">
        <f t="shared" si="85"/>
      </c>
      <c r="BX37" s="49">
        <f t="shared" si="85"/>
      </c>
      <c r="BY37" s="49">
        <f t="shared" si="85"/>
      </c>
      <c r="BZ37" s="49">
        <f t="shared" si="85"/>
      </c>
      <c r="CA37" s="49">
        <f t="shared" si="85"/>
      </c>
      <c r="CB37" s="49">
        <f t="shared" si="85"/>
      </c>
      <c r="CC37" s="49">
        <f t="shared" si="85"/>
      </c>
      <c r="CD37" s="49">
        <f t="shared" si="85"/>
      </c>
      <c r="CE37" s="49">
        <f t="shared" si="85"/>
      </c>
      <c r="CF37" s="49">
        <f t="shared" si="85"/>
      </c>
      <c r="CG37" s="49">
        <f t="shared" si="85"/>
      </c>
      <c r="CH37" s="49">
        <f t="shared" si="85"/>
      </c>
      <c r="CI37" s="49">
        <f t="shared" si="85"/>
      </c>
      <c r="CJ37" s="49">
        <f t="shared" si="85"/>
      </c>
      <c r="CK37" s="49">
        <f t="shared" si="85"/>
      </c>
      <c r="CL37" s="49">
        <f t="shared" si="85"/>
      </c>
      <c r="CM37" s="49">
        <f t="shared" si="85"/>
      </c>
      <c r="CN37" s="49">
        <f t="shared" si="85"/>
      </c>
      <c r="CO37" s="49">
        <f t="shared" si="85"/>
      </c>
      <c r="CP37" s="49">
        <f t="shared" si="85"/>
      </c>
      <c r="CQ37" s="49">
        <f t="shared" si="85"/>
      </c>
      <c r="CR37" s="49">
        <f t="shared" si="85"/>
      </c>
      <c r="CS37" s="49">
        <f t="shared" si="85"/>
      </c>
      <c r="CT37" s="49">
        <f>CT35/CP35-1</f>
      </c>
      <c r="CU37" s="49">
        <f>CU35/CQ35-1</f>
      </c>
      <c r="CV37" s="341">
        <f t="shared" ref="CV37:DA37" si="86">CV35/CR35-1</f>
      </c>
      <c r="CW37" s="341">
        <f t="shared" si="86"/>
      </c>
      <c r="CX37" s="341">
        <f t="shared" si="86"/>
      </c>
      <c r="CY37" s="341">
        <f t="shared" si="86"/>
      </c>
      <c r="CZ37" s="341">
        <f t="shared" si="86"/>
      </c>
      <c r="DA37" s="341">
        <f t="shared" si="86"/>
      </c>
      <c r="DB37" s="341">
        <f>DB35/CX35-1</f>
      </c>
      <c r="DC37" s="341">
        <f>DC35/CY35-1</f>
      </c>
      <c r="DD37" s="341">
        <f>DD35/CZ35-1</f>
      </c>
      <c r="DE37" s="341">
        <f>DE35/DA35-1</f>
      </c>
      <c r="DI37" s="49">
        <f>DI35/DH35-1</f>
      </c>
      <c r="DJ37" s="49">
        <f t="shared" ref="DJ37:EH37" si="87">DJ35/DI35-1</f>
      </c>
      <c r="DK37" s="49">
        <f t="shared" si="87"/>
      </c>
      <c r="DL37" s="49">
        <f t="shared" si="87"/>
      </c>
      <c r="DM37" s="49">
        <f t="shared" si="87"/>
      </c>
      <c r="DN37" s="49">
        <f t="shared" si="87"/>
      </c>
      <c r="DO37" s="49">
        <f t="shared" si="87"/>
      </c>
      <c r="DP37" s="49">
        <f t="shared" si="87"/>
      </c>
      <c r="DQ37" s="49">
        <f t="shared" si="87"/>
      </c>
      <c r="DR37" s="49">
        <f t="shared" si="87"/>
      </c>
      <c r="DS37" s="49">
        <f t="shared" si="87"/>
      </c>
      <c r="DT37" s="49">
        <f t="shared" si="87"/>
      </c>
      <c r="DU37" s="49">
        <f t="shared" si="87"/>
      </c>
      <c r="DV37" s="49">
        <f t="shared" si="87"/>
      </c>
      <c r="DW37" s="49">
        <f t="shared" si="87"/>
      </c>
      <c r="DX37" s="49">
        <f t="shared" si="87"/>
      </c>
      <c r="DY37" s="49">
        <f t="shared" si="87"/>
      </c>
      <c r="DZ37" s="49">
        <f t="shared" si="87"/>
      </c>
      <c r="EA37" s="49">
        <f t="shared" si="87"/>
      </c>
      <c r="EB37" s="49">
        <f t="shared" si="87"/>
      </c>
      <c r="EC37" s="49">
        <f t="shared" si="87"/>
      </c>
      <c r="ED37" s="49">
        <f t="shared" si="87"/>
      </c>
      <c r="EE37" s="49">
        <f t="shared" si="87"/>
      </c>
      <c r="EF37" s="345">
        <f t="shared" si="87"/>
      </c>
      <c r="EG37" s="345">
        <f t="shared" si="87"/>
      </c>
      <c r="EH37" s="345">
        <f t="shared" si="87"/>
      </c>
    </row>
    <row r="38" spans="1:140" s="49" customFormat="1" ht="11.25" customHeight="1" outlineLevel="1">
      <c r="A38" s="349" t="s">
        <v>201</v>
      </c>
      <c r="B38" s="49">
        <f t="shared" ref="B38:BM38" si="88">B35/B$5</f>
      </c>
      <c r="C38" s="49">
        <f t="shared" si="88"/>
      </c>
      <c r="D38" s="49">
        <f t="shared" si="88"/>
      </c>
      <c r="E38" s="49">
        <f t="shared" si="88"/>
      </c>
      <c r="F38" s="49">
        <f t="shared" si="88"/>
      </c>
      <c r="G38" s="49">
        <f t="shared" si="88"/>
      </c>
      <c r="H38" s="49">
        <f t="shared" si="88"/>
      </c>
      <c r="I38" s="49">
        <f t="shared" si="88"/>
      </c>
      <c r="J38" s="49">
        <f t="shared" si="88"/>
      </c>
      <c r="K38" s="49">
        <f t="shared" si="88"/>
      </c>
      <c r="L38" s="49">
        <f t="shared" si="88"/>
      </c>
      <c r="M38" s="49">
        <f t="shared" si="88"/>
      </c>
      <c r="N38" s="49">
        <f t="shared" si="88"/>
      </c>
      <c r="O38" s="49">
        <f t="shared" si="88"/>
      </c>
      <c r="P38" s="49">
        <f t="shared" si="88"/>
      </c>
      <c r="Q38" s="49">
        <f t="shared" si="88"/>
      </c>
      <c r="R38" s="49">
        <f t="shared" si="88"/>
      </c>
      <c r="S38" s="49">
        <f t="shared" si="88"/>
      </c>
      <c r="T38" s="49">
        <f t="shared" si="88"/>
      </c>
      <c r="U38" s="49">
        <f t="shared" si="88"/>
      </c>
      <c r="V38" s="49">
        <f t="shared" si="88"/>
      </c>
      <c r="W38" s="49">
        <f t="shared" si="88"/>
      </c>
      <c r="X38" s="49">
        <f t="shared" si="88"/>
      </c>
      <c r="Y38" s="49">
        <f t="shared" si="88"/>
      </c>
      <c r="Z38" s="49">
        <f t="shared" si="88"/>
      </c>
      <c r="AA38" s="49">
        <f t="shared" si="88"/>
      </c>
      <c r="AB38" s="49">
        <f t="shared" si="88"/>
      </c>
      <c r="AC38" s="49">
        <f t="shared" si="88"/>
      </c>
      <c r="AD38" s="49">
        <f t="shared" si="88"/>
      </c>
      <c r="AE38" s="49">
        <f t="shared" si="88"/>
      </c>
      <c r="AF38" s="49">
        <f t="shared" si="88"/>
      </c>
      <c r="AG38" s="49">
        <f t="shared" si="88"/>
      </c>
      <c r="AH38" s="49">
        <f t="shared" si="88"/>
      </c>
      <c r="AI38" s="49">
        <f t="shared" si="88"/>
      </c>
      <c r="AJ38" s="49">
        <f t="shared" si="88"/>
      </c>
      <c r="AK38" s="49">
        <f t="shared" si="88"/>
      </c>
      <c r="AL38" s="49">
        <f t="shared" si="88"/>
      </c>
      <c r="AM38" s="49">
        <f t="shared" si="88"/>
      </c>
      <c r="AN38" s="49">
        <f t="shared" si="88"/>
      </c>
      <c r="AO38" s="49">
        <f t="shared" si="88"/>
      </c>
      <c r="AP38" s="49">
        <f t="shared" si="88"/>
      </c>
      <c r="AQ38" s="49">
        <f t="shared" si="88"/>
      </c>
      <c r="AR38" s="49">
        <f t="shared" si="88"/>
      </c>
      <c r="AS38" s="49">
        <f t="shared" si="88"/>
      </c>
      <c r="AT38" s="49">
        <f t="shared" si="88"/>
      </c>
      <c r="AU38" s="49">
        <f t="shared" si="88"/>
      </c>
      <c r="AV38" s="49">
        <f t="shared" si="88"/>
      </c>
      <c r="AW38" s="49">
        <f t="shared" si="88"/>
      </c>
      <c r="AX38" s="49">
        <f t="shared" si="88"/>
      </c>
      <c r="AY38" s="49">
        <f t="shared" si="88"/>
      </c>
      <c r="AZ38" s="49">
        <f t="shared" si="88"/>
      </c>
      <c r="BA38" s="49">
        <f t="shared" si="88"/>
      </c>
      <c r="BB38" s="49">
        <f t="shared" si="88"/>
      </c>
      <c r="BC38" s="49">
        <f t="shared" si="88"/>
      </c>
      <c r="BD38" s="49">
        <f t="shared" si="88"/>
      </c>
      <c r="BE38" s="49">
        <f t="shared" si="88"/>
      </c>
      <c r="BF38" s="49">
        <f t="shared" si="88"/>
      </c>
      <c r="BG38" s="49">
        <f t="shared" si="88"/>
      </c>
      <c r="BH38" s="49">
        <f t="shared" si="88"/>
      </c>
      <c r="BI38" s="49">
        <f t="shared" si="88"/>
      </c>
      <c r="BJ38" s="49">
        <f t="shared" si="88"/>
      </c>
      <c r="BK38" s="340">
        <f t="shared" si="88"/>
      </c>
      <c r="BL38" s="340">
        <f t="shared" si="88"/>
      </c>
      <c r="BM38" s="49">
        <f t="shared" si="88"/>
      </c>
      <c r="BN38" s="49">
        <f t="shared" ref="BN38:CS38" si="89">BN35/BN$5</f>
      </c>
      <c r="BO38" s="49">
        <f t="shared" si="89"/>
      </c>
      <c r="BP38" s="49">
        <f t="shared" si="89"/>
      </c>
      <c r="BQ38" s="49">
        <f t="shared" si="89"/>
      </c>
      <c r="BR38" s="49">
        <f>BR35/BR$5</f>
      </c>
      <c r="BS38" s="49">
        <f t="shared" si="89"/>
      </c>
      <c r="BT38" s="49">
        <f>BT35/BT$5</f>
      </c>
      <c r="BU38" s="49">
        <f t="shared" si="89"/>
      </c>
      <c r="BV38" s="49">
        <f t="shared" si="89"/>
      </c>
      <c r="BW38" s="49">
        <f t="shared" si="89"/>
      </c>
      <c r="BX38" s="49">
        <f t="shared" si="89"/>
      </c>
      <c r="BY38" s="49">
        <f t="shared" si="89"/>
      </c>
      <c r="BZ38" s="49">
        <f t="shared" si="89"/>
      </c>
      <c r="CA38" s="49">
        <f t="shared" si="89"/>
      </c>
      <c r="CB38" s="49">
        <f t="shared" si="89"/>
      </c>
      <c r="CC38" s="49">
        <f t="shared" si="89"/>
      </c>
      <c r="CD38" s="49">
        <f t="shared" si="89"/>
      </c>
      <c r="CE38" s="49">
        <f t="shared" si="89"/>
      </c>
      <c r="CF38" s="49">
        <f t="shared" si="89"/>
      </c>
      <c r="CG38" s="49">
        <f t="shared" si="89"/>
      </c>
      <c r="CH38" s="49">
        <f t="shared" si="89"/>
      </c>
      <c r="CI38" s="49">
        <f t="shared" si="89"/>
      </c>
      <c r="CJ38" s="49">
        <f t="shared" si="89"/>
      </c>
      <c r="CK38" s="49">
        <f t="shared" si="89"/>
      </c>
      <c r="CL38" s="49">
        <f t="shared" si="89"/>
      </c>
      <c r="CM38" s="49">
        <f t="shared" si="89"/>
      </c>
      <c r="CN38" s="49">
        <f t="shared" si="89"/>
      </c>
      <c r="CO38" s="49">
        <f t="shared" si="89"/>
      </c>
      <c r="CP38" s="49">
        <f t="shared" si="89"/>
      </c>
      <c r="CQ38" s="49">
        <f t="shared" si="89"/>
      </c>
      <c r="CR38" s="49">
        <f t="shared" si="89"/>
      </c>
      <c r="CS38" s="49">
        <f t="shared" si="89"/>
      </c>
      <c r="CT38" s="49">
        <f>CT35/CT$5</f>
      </c>
      <c r="CU38" s="49">
        <f>CU35/CU$5</f>
      </c>
      <c r="CV38" s="341">
        <f t="shared" ref="CV38:DA38" si="90">CV35/CV$5</f>
      </c>
      <c r="CW38" s="341">
        <f t="shared" si="90"/>
      </c>
      <c r="CX38" s="341">
        <f t="shared" si="90"/>
      </c>
      <c r="CY38" s="341">
        <f t="shared" si="90"/>
      </c>
      <c r="CZ38" s="341">
        <f t="shared" si="90"/>
      </c>
      <c r="DA38" s="341">
        <f t="shared" si="90"/>
      </c>
      <c r="DB38" s="341">
        <f>DB35/DB$5</f>
      </c>
      <c r="DC38" s="341">
        <f>DC35/DC$5</f>
      </c>
      <c r="DD38" s="341">
        <f>DD35/DD$5</f>
      </c>
      <c r="DE38" s="341">
        <f>DE35/DE$5</f>
      </c>
      <c r="DH38" s="49">
        <f>DH35/DH$5</f>
      </c>
      <c r="DI38" s="49">
        <f t="shared" ref="DI38:ED38" si="91">DI35/DI$5</f>
      </c>
      <c r="DJ38" s="49">
        <f t="shared" si="91"/>
      </c>
      <c r="DK38" s="49">
        <f t="shared" si="91"/>
      </c>
      <c r="DL38" s="49">
        <f t="shared" si="91"/>
      </c>
      <c r="DM38" s="49">
        <f t="shared" si="91"/>
      </c>
      <c r="DN38" s="49">
        <f t="shared" si="91"/>
      </c>
      <c r="DO38" s="49">
        <f t="shared" si="91"/>
      </c>
      <c r="DP38" s="49">
        <f t="shared" si="91"/>
      </c>
      <c r="DQ38" s="49">
        <f t="shared" si="91"/>
      </c>
      <c r="DR38" s="49">
        <f t="shared" si="91"/>
      </c>
      <c r="DS38" s="49">
        <f t="shared" si="91"/>
      </c>
      <c r="DT38" s="49">
        <f t="shared" si="91"/>
      </c>
      <c r="DU38" s="49">
        <f t="shared" si="91"/>
      </c>
      <c r="DV38" s="49">
        <f t="shared" si="91"/>
      </c>
      <c r="DW38" s="49">
        <f t="shared" si="91"/>
      </c>
      <c r="DX38" s="49">
        <f t="shared" si="91"/>
      </c>
      <c r="DY38" s="49">
        <f t="shared" si="91"/>
      </c>
      <c r="DZ38" s="49">
        <f t="shared" si="91"/>
      </c>
      <c r="EA38" s="49">
        <f t="shared" si="91"/>
      </c>
      <c r="EB38" s="49">
        <f t="shared" si="91"/>
      </c>
      <c r="EC38" s="49">
        <f t="shared" si="91"/>
      </c>
      <c r="ED38" s="49">
        <f t="shared" si="91"/>
      </c>
      <c r="EE38" s="49">
        <f>EE35/EE$5</f>
      </c>
      <c r="EF38" s="341">
        <f>EF35/EF$5</f>
      </c>
      <c r="EG38" s="341">
        <f>EG35/EG$5</f>
      </c>
      <c r="EH38" s="341">
        <f>EH35/EH$5</f>
      </c>
    </row>
    <row r="39" spans="1:140" s="353" customFormat="1" ht="11.25" customHeight="1" outlineLevel="1">
      <c r="A39" s="354" t="s">
        <v>211</v>
      </c>
      <c r="B39" s="352"/>
      <c r="C39" s="352"/>
      <c r="D39" s="352"/>
      <c r="E39" s="352"/>
      <c r="F39" s="352"/>
      <c r="G39" s="352"/>
      <c r="H39" s="352"/>
      <c r="I39" s="352"/>
      <c r="J39" s="352"/>
      <c r="K39" s="352"/>
      <c r="L39" s="352"/>
      <c r="M39" s="352"/>
      <c r="N39" s="352"/>
      <c r="O39" s="352"/>
      <c r="P39" s="352"/>
      <c r="Q39" s="352"/>
      <c r="R39" s="352"/>
      <c r="S39" s="352"/>
      <c r="T39" s="352"/>
      <c r="U39" s="352"/>
      <c r="V39" s="352"/>
      <c r="W39" s="352"/>
      <c r="X39" s="352"/>
      <c r="Y39" s="352"/>
      <c r="Z39" s="352"/>
      <c r="AA39" s="352"/>
      <c r="AB39" s="352"/>
      <c r="AC39" s="352"/>
      <c r="AD39" s="352"/>
      <c r="AE39" s="352"/>
      <c r="AF39" s="352"/>
      <c r="AG39" s="352"/>
      <c r="AH39" s="352"/>
      <c r="AI39" s="352"/>
      <c r="AJ39" s="352"/>
      <c r="AK39" s="352"/>
      <c r="AL39" s="352">
        <v>8.76</v>
      </c>
      <c r="AM39" s="352">
        <v>7.81</v>
      </c>
      <c r="AN39" s="352">
        <v>8.5850000000000009</v>
      </c>
      <c r="AO39" s="352">
        <v>8.9160000000000004</v>
      </c>
      <c r="AP39" s="352">
        <v>10.673</v>
      </c>
      <c r="AQ39" s="352">
        <v>11.505000000000001</v>
      </c>
      <c r="AR39" s="352">
        <v>10.872</v>
      </c>
      <c r="AS39" s="352">
        <v>11.48</v>
      </c>
      <c r="AT39" s="352">
        <v>11.836</v>
      </c>
      <c r="AU39" s="352">
        <v>10.721</v>
      </c>
      <c r="AV39" s="352">
        <v>10.523999999999999</v>
      </c>
      <c r="AW39" s="352">
        <v>10.933999999999999</v>
      </c>
      <c r="AX39" s="352">
        <v>8.8089999999999993</v>
      </c>
      <c r="AY39" s="352">
        <v>11.686999999999999</v>
      </c>
      <c r="AZ39" s="352">
        <v>10.307</v>
      </c>
      <c r="BA39" s="352">
        <v>11.879</v>
      </c>
      <c r="BB39" s="352">
        <v>12.108000000000001</v>
      </c>
      <c r="BC39" s="352">
        <v>14</v>
      </c>
      <c r="BD39" s="352">
        <v>16</v>
      </c>
      <c r="BE39" s="352">
        <v>15</v>
      </c>
      <c r="BF39" s="352">
        <v>16</v>
      </c>
      <c r="BG39" s="352">
        <v>17</v>
      </c>
      <c r="BH39" s="352">
        <v>19</v>
      </c>
      <c r="BI39" s="352">
        <v>22</v>
      </c>
      <c r="BJ39" s="352">
        <v>20</v>
      </c>
      <c r="BK39" s="352">
        <v>24</v>
      </c>
      <c r="BL39" s="352">
        <v>27</v>
      </c>
      <c r="BM39" s="352">
        <v>27</v>
      </c>
      <c r="BN39" s="352">
        <v>31</v>
      </c>
      <c r="BO39" s="352">
        <v>33</v>
      </c>
      <c r="BP39" s="352">
        <v>40</v>
      </c>
      <c r="BQ39" s="352">
        <v>46</v>
      </c>
      <c r="BR39" s="352">
        <v>47</v>
      </c>
      <c r="BS39" s="352">
        <v>48</v>
      </c>
      <c r="BT39" s="352">
        <v>47</v>
      </c>
      <c r="BU39" s="352">
        <v>51</v>
      </c>
      <c r="BV39" s="352">
        <v>60</v>
      </c>
      <c r="BW39" s="352">
        <v>71</v>
      </c>
      <c r="BX39" s="352">
        <v>67</v>
      </c>
      <c r="BY39" s="352">
        <v>68</v>
      </c>
      <c r="BZ39" s="352">
        <v>69</v>
      </c>
      <c r="CA39" s="352">
        <v>132</v>
      </c>
      <c r="CB39" s="352">
        <v>123</v>
      </c>
      <c r="CC39" s="352">
        <v>125</v>
      </c>
      <c r="CD39" s="352">
        <v>128</v>
      </c>
      <c r="CE39" s="352">
        <v>136</v>
      </c>
      <c r="CF39" s="352">
        <v>152</v>
      </c>
      <c r="CG39" s="352">
        <v>150</v>
      </c>
      <c r="CH39" s="352">
        <v>156</v>
      </c>
      <c r="CI39" s="352">
        <v>159</v>
      </c>
      <c r="CJ39" s="352">
        <v>183</v>
      </c>
      <c r="CK39" s="352">
        <v>182</v>
      </c>
      <c r="CL39" s="352">
        <v>184</v>
      </c>
      <c r="CM39" s="352">
        <v>211</v>
      </c>
      <c r="CN39" s="352">
        <v>240</v>
      </c>
      <c r="CO39" s="352">
        <v>242</v>
      </c>
      <c r="CP39" s="352">
        <v>248</v>
      </c>
      <c r="CQ39" s="352">
        <v>282</v>
      </c>
      <c r="CR39" s="352">
        <v>292</v>
      </c>
      <c r="CS39" s="352">
        <v>313</v>
      </c>
      <c r="CT39" s="352">
        <v>347</v>
      </c>
      <c r="CU39" s="352">
        <v>375</v>
      </c>
      <c r="CV39" s="352">
        <f t="shared" ref="CV39:DA39" si="92">+CV29-CV34</f>
      </c>
      <c r="CW39" s="352">
        <f t="shared" si="92"/>
      </c>
      <c r="CX39" s="352">
        <f t="shared" si="92"/>
      </c>
      <c r="CY39" s="352">
        <f t="shared" si="92"/>
      </c>
      <c r="CZ39" s="352">
        <f t="shared" si="92"/>
      </c>
      <c r="DA39" s="352">
        <f t="shared" si="92"/>
      </c>
      <c r="DB39" s="352">
        <f>+DB29-DB34</f>
      </c>
      <c r="DC39" s="352">
        <f>+DC29-DC34</f>
      </c>
      <c r="DD39" s="352">
        <f>+DD29-DD34</f>
      </c>
      <c r="DE39" s="352">
        <f>+DE29-DE34</f>
      </c>
      <c r="DH39" s="54"/>
      <c r="DI39" s="54"/>
      <c r="DJ39" s="54"/>
      <c r="DK39" s="54"/>
      <c r="DL39" s="54"/>
      <c r="DM39" s="54"/>
      <c r="DN39" s="54"/>
      <c r="DO39" s="54"/>
      <c r="DP39" s="54"/>
      <c r="DQ39" s="54"/>
      <c r="DR39" s="352">
        <f>SUM(AP39:AS39)</f>
      </c>
      <c r="DS39" s="352">
        <f>SUM(AT39:AW39)</f>
      </c>
      <c r="DT39" s="352">
        <f>SUM(AX39:BA39)</f>
      </c>
      <c r="DU39" s="352">
        <f>SUM(BB39:BE39)</f>
      </c>
      <c r="DV39" s="352">
        <f>SUM(BF39:BI39)</f>
      </c>
      <c r="DW39" s="352">
        <f>SUM(BJ39:BM39)</f>
      </c>
      <c r="DX39" s="352">
        <f>SUM(BN39:BQ39)</f>
      </c>
      <c r="DY39" s="352">
        <f>SUM(BR39:BU39)</f>
      </c>
      <c r="DZ39" s="352">
        <f>BV39+BW39+BX39+BY39</f>
      </c>
      <c r="EA39" s="352">
        <f>CC39+CB39+CA39+BZ39</f>
      </c>
      <c r="EB39" s="352">
        <f>+CD39+CE39+CF39+CG39</f>
      </c>
      <c r="EC39" s="352">
        <f>SUM(CH39:CK39)</f>
      </c>
      <c r="ED39" s="352">
        <f>SUM(CL39:CO39)</f>
      </c>
      <c r="EE39" s="352">
        <f>SUM(CP39:CS39)</f>
      </c>
      <c r="EF39" s="352">
        <f>SUM(CT39:CW39)</f>
      </c>
      <c r="EG39" s="352">
        <f>SUM(CX39:DA39)</f>
      </c>
      <c r="EH39" s="352">
        <f>SUM(DB39:DE39)</f>
      </c>
    </row>
    <row r="40" spans="1:140" s="47" customFormat="1" ht="11.25" customHeight="1">
      <c r="A40" s="336" t="s">
        <v>212</v>
      </c>
      <c r="B40" s="35">
        <f t="shared" ref="B40:BM40" si="93">B15-B30-B35</f>
      </c>
      <c r="C40" s="35">
        <f t="shared" si="93"/>
      </c>
      <c r="D40" s="35">
        <f t="shared" si="93"/>
      </c>
      <c r="E40" s="35">
        <f t="shared" si="93"/>
      </c>
      <c r="F40" s="35">
        <f t="shared" si="93"/>
      </c>
      <c r="G40" s="35">
        <f t="shared" si="93"/>
      </c>
      <c r="H40" s="35">
        <f t="shared" si="93"/>
      </c>
      <c r="I40" s="35">
        <f t="shared" si="93"/>
      </c>
      <c r="J40" s="35">
        <f t="shared" si="93"/>
      </c>
      <c r="K40" s="35">
        <f t="shared" si="93"/>
      </c>
      <c r="L40" s="35">
        <f t="shared" si="93"/>
      </c>
      <c r="M40" s="35">
        <f t="shared" si="93"/>
      </c>
      <c r="N40" s="35">
        <f t="shared" si="93"/>
      </c>
      <c r="O40" s="35">
        <f t="shared" si="93"/>
      </c>
      <c r="P40" s="35">
        <f t="shared" si="93"/>
      </c>
      <c r="Q40" s="35">
        <f t="shared" si="93"/>
      </c>
      <c r="R40" s="35">
        <f t="shared" si="93"/>
      </c>
      <c r="S40" s="35">
        <f t="shared" si="93"/>
      </c>
      <c r="T40" s="35">
        <f t="shared" si="93"/>
      </c>
      <c r="U40" s="35">
        <f t="shared" si="93"/>
      </c>
      <c r="V40" s="35">
        <f t="shared" si="93"/>
      </c>
      <c r="W40" s="35">
        <f t="shared" si="93"/>
      </c>
      <c r="X40" s="35">
        <f t="shared" si="93"/>
      </c>
      <c r="Y40" s="35">
        <f t="shared" si="93"/>
      </c>
      <c r="Z40" s="35">
        <f t="shared" si="93"/>
      </c>
      <c r="AA40" s="35">
        <f t="shared" si="93"/>
      </c>
      <c r="AB40" s="35">
        <f t="shared" si="93"/>
      </c>
      <c r="AC40" s="35">
        <f t="shared" si="93"/>
      </c>
      <c r="AD40" s="35">
        <f t="shared" si="93"/>
      </c>
      <c r="AE40" s="35">
        <f t="shared" si="93"/>
      </c>
      <c r="AF40" s="35">
        <f t="shared" si="93"/>
      </c>
      <c r="AG40" s="35">
        <f t="shared" si="93"/>
      </c>
      <c r="AH40" s="35">
        <f t="shared" si="93"/>
      </c>
      <c r="AI40" s="35">
        <f t="shared" si="93"/>
      </c>
      <c r="AJ40" s="35">
        <f t="shared" si="93"/>
      </c>
      <c r="AK40" s="35">
        <f t="shared" si="93"/>
      </c>
      <c r="AL40" s="35">
        <f t="shared" si="93"/>
      </c>
      <c r="AM40" s="35">
        <f t="shared" si="93"/>
      </c>
      <c r="AN40" s="35">
        <f t="shared" si="93"/>
      </c>
      <c r="AO40" s="35">
        <f t="shared" si="93"/>
      </c>
      <c r="AP40" s="35">
        <f t="shared" si="93"/>
      </c>
      <c r="AQ40" s="35">
        <f t="shared" si="93"/>
      </c>
      <c r="AR40" s="35">
        <f t="shared" si="93"/>
      </c>
      <c r="AS40" s="35">
        <f t="shared" si="93"/>
      </c>
      <c r="AT40" s="35">
        <f t="shared" si="93"/>
      </c>
      <c r="AU40" s="35">
        <f t="shared" si="93"/>
      </c>
      <c r="AV40" s="35">
        <f t="shared" si="93"/>
      </c>
      <c r="AW40" s="35">
        <f t="shared" si="93"/>
      </c>
      <c r="AX40" s="35">
        <f t="shared" si="93"/>
      </c>
      <c r="AY40" s="35">
        <f t="shared" si="93"/>
      </c>
      <c r="AZ40" s="35">
        <f t="shared" si="93"/>
      </c>
      <c r="BA40" s="35">
        <f t="shared" si="93"/>
      </c>
      <c r="BB40" s="35">
        <f t="shared" si="93"/>
      </c>
      <c r="BC40" s="35">
        <f t="shared" si="93"/>
      </c>
      <c r="BD40" s="35">
        <f t="shared" si="93"/>
      </c>
      <c r="BE40" s="35">
        <f t="shared" si="93"/>
      </c>
      <c r="BF40" s="35">
        <f t="shared" si="93"/>
      </c>
      <c r="BG40" s="35">
        <f t="shared" si="93"/>
      </c>
      <c r="BH40" s="35">
        <f t="shared" si="93"/>
      </c>
      <c r="BI40" s="35">
        <f t="shared" si="93"/>
      </c>
      <c r="BJ40" s="35">
        <f t="shared" si="93"/>
      </c>
      <c r="BK40" s="337">
        <f t="shared" si="93"/>
      </c>
      <c r="BL40" s="337">
        <f t="shared" si="93"/>
      </c>
      <c r="BM40" s="35">
        <f t="shared" si="93"/>
      </c>
      <c r="BN40" s="35">
        <f t="shared" ref="BN40:CQ40" si="94">BN15-BN30-BN35</f>
      </c>
      <c r="BO40" s="35">
        <f t="shared" si="94"/>
      </c>
      <c r="BP40" s="35">
        <f t="shared" si="94"/>
      </c>
      <c r="BQ40" s="35">
        <f t="shared" si="94"/>
      </c>
      <c r="BR40" s="35">
        <f t="shared" si="94"/>
      </c>
      <c r="BS40" s="35">
        <f t="shared" si="94"/>
      </c>
      <c r="BT40" s="35">
        <f t="shared" si="94"/>
      </c>
      <c r="BU40" s="35">
        <f t="shared" si="94"/>
      </c>
      <c r="BV40" s="35">
        <f t="shared" si="94"/>
      </c>
      <c r="BW40" s="35">
        <f t="shared" si="94"/>
      </c>
      <c r="BX40" s="35">
        <f t="shared" si="94"/>
      </c>
      <c r="BY40" s="35">
        <f t="shared" si="94"/>
      </c>
      <c r="BZ40" s="35">
        <f t="shared" si="94"/>
      </c>
      <c r="CA40" s="35">
        <f t="shared" si="94"/>
      </c>
      <c r="CB40" s="35">
        <f t="shared" si="94"/>
      </c>
      <c r="CC40" s="35">
        <f t="shared" si="94"/>
      </c>
      <c r="CD40" s="35">
        <f t="shared" si="94"/>
      </c>
      <c r="CE40" s="35">
        <f t="shared" si="94"/>
      </c>
      <c r="CF40" s="35">
        <f t="shared" si="94"/>
      </c>
      <c r="CG40" s="35">
        <f t="shared" si="94"/>
      </c>
      <c r="CH40" s="35">
        <f t="shared" si="94"/>
      </c>
      <c r="CI40" s="35">
        <f t="shared" si="94"/>
      </c>
      <c r="CJ40" s="35">
        <f t="shared" si="94"/>
      </c>
      <c r="CK40" s="35">
        <f t="shared" si="94"/>
      </c>
      <c r="CL40" s="35">
        <f t="shared" si="94"/>
      </c>
      <c r="CM40" s="35">
        <f t="shared" si="94"/>
      </c>
      <c r="CN40" s="35">
        <f>CN15-CN30-CN35</f>
      </c>
      <c r="CO40" s="35">
        <f>CO15-CO30-CO35</f>
      </c>
      <c r="CP40" s="35">
        <f>CP15-CP30-CP35</f>
      </c>
      <c r="CQ40" s="35">
        <f t="shared" si="94"/>
      </c>
      <c r="CR40" s="35">
        <f>CR15-CR30-CR35</f>
      </c>
      <c r="CS40" s="35">
        <f>CS15-CS30-CS35</f>
      </c>
      <c r="CT40" s="35">
        <f>CT15-CT30-CT35</f>
      </c>
      <c r="CU40" s="35">
        <f>CU15-CU30-CU35</f>
      </c>
      <c r="CV40" s="338">
        <f t="shared" ref="CV40:DA40" si="95">CV15-CV30-CV35</f>
      </c>
      <c r="CW40" s="338">
        <f t="shared" si="95"/>
      </c>
      <c r="CX40" s="338">
        <f t="shared" si="95"/>
      </c>
      <c r="CY40" s="338">
        <f t="shared" si="95"/>
      </c>
      <c r="CZ40" s="338">
        <f t="shared" si="95"/>
      </c>
      <c r="DA40" s="338">
        <f t="shared" si="95"/>
      </c>
      <c r="DB40" s="338">
        <f>DB15-DB30-DB35</f>
      </c>
      <c r="DC40" s="338">
        <f>DC15-DC30-DC35</f>
      </c>
      <c r="DD40" s="338">
        <f>DD15-DD30-DD35</f>
      </c>
      <c r="DE40" s="338">
        <f>DE15-DE30-DE35</f>
      </c>
      <c r="DH40" s="35">
        <f>SUM(B40:E40)</f>
      </c>
      <c r="DI40" s="35">
        <f>SUM(F40:I40)</f>
      </c>
      <c r="DJ40" s="35">
        <f>SUM(J40:M40)</f>
      </c>
      <c r="DK40" s="35">
        <f>SUM(N40:Q40)</f>
      </c>
      <c r="DL40" s="35">
        <f>SUM(R40:U40)</f>
      </c>
      <c r="DM40" s="35">
        <f>SUM(V40:Y40)</f>
      </c>
      <c r="DN40" s="35">
        <f>SUM(Z40:AC40)</f>
      </c>
      <c r="DO40" s="35">
        <f>SUM(AD40:AG40)</f>
      </c>
      <c r="DP40" s="35">
        <f>SUM(AH40:AK40)</f>
      </c>
      <c r="DQ40" s="35">
        <f>SUM(AL40:AO40)</f>
      </c>
      <c r="DR40" s="35">
        <f>SUM(AP40:AS40)</f>
      </c>
      <c r="DS40" s="35">
        <f>SUM(AT40:AW40)</f>
      </c>
      <c r="DT40" s="35">
        <f>SUM(AX40:BA40)</f>
      </c>
      <c r="DU40" s="35">
        <f>SUM(BB40:BE40)</f>
      </c>
      <c r="DV40" s="35">
        <f>SUM(BF40:BI40)</f>
      </c>
      <c r="DW40" s="35">
        <f>SUM(BJ40:BM40)</f>
      </c>
      <c r="DX40" s="35">
        <f>SUM(BN40:BQ40)</f>
      </c>
      <c r="DY40" s="35">
        <f>SUM(BR40:BU40)</f>
      </c>
      <c r="DZ40" s="35">
        <f>BV40+BW40+BX40+BY40</f>
      </c>
      <c r="EA40" s="35">
        <f>CC40+CB40+CA40+BZ40</f>
      </c>
      <c r="EB40" s="35">
        <f>+CD40+CE40+CF40+CG40</f>
      </c>
      <c r="EC40" s="35">
        <f>SUM(CH40:CK40)</f>
      </c>
      <c r="ED40" s="35">
        <f>SUM(CL40:CO40)</f>
      </c>
      <c r="EE40" s="35">
        <f>SUM(CP40:CS40)</f>
      </c>
      <c r="EF40" s="338">
        <f>SUM(CT40:CW40)</f>
      </c>
      <c r="EG40" s="338">
        <f>SUM(CX40:DA40)</f>
      </c>
      <c r="EH40" s="338">
        <f>SUM(DB40:DE40)</f>
      </c>
    </row>
    <row r="41" spans="1:140" s="49" customFormat="1" ht="11.25" customHeight="1">
      <c r="A41" s="48" t="s">
        <v>196</v>
      </c>
      <c r="C41" s="49">
        <f t="shared" ref="C41:BN41" si="96">C40/B40-1</f>
      </c>
      <c r="D41" s="49">
        <f t="shared" si="96"/>
      </c>
      <c r="E41" s="49">
        <f t="shared" si="96"/>
      </c>
      <c r="F41" s="49">
        <f t="shared" si="96"/>
      </c>
      <c r="G41" s="49">
        <f t="shared" si="96"/>
      </c>
      <c r="H41" s="49">
        <f t="shared" si="96"/>
      </c>
      <c r="I41" s="49">
        <f t="shared" si="96"/>
      </c>
      <c r="J41" s="49">
        <f t="shared" si="96"/>
      </c>
      <c r="K41" s="49">
        <f t="shared" si="96"/>
      </c>
      <c r="L41" s="49">
        <f t="shared" si="96"/>
      </c>
      <c r="M41" s="49">
        <f t="shared" si="96"/>
      </c>
      <c r="N41" s="49">
        <f t="shared" si="96"/>
      </c>
      <c r="O41" s="49">
        <f t="shared" si="96"/>
      </c>
      <c r="P41" s="49">
        <f t="shared" si="96"/>
      </c>
      <c r="Q41" s="49">
        <f t="shared" si="96"/>
      </c>
      <c r="R41" s="49">
        <f t="shared" si="96"/>
      </c>
      <c r="S41" s="49">
        <f t="shared" si="96"/>
      </c>
      <c r="T41" s="49">
        <f t="shared" si="96"/>
      </c>
      <c r="U41" s="49">
        <f t="shared" si="96"/>
      </c>
      <c r="V41" s="49">
        <f t="shared" si="96"/>
      </c>
      <c r="W41" s="49">
        <f t="shared" si="96"/>
      </c>
      <c r="X41" s="49">
        <f t="shared" si="96"/>
      </c>
      <c r="Y41" s="49">
        <f t="shared" si="96"/>
      </c>
      <c r="Z41" s="49">
        <f t="shared" si="96"/>
      </c>
      <c r="AA41" s="49">
        <f t="shared" si="96"/>
      </c>
      <c r="AB41" s="49">
        <f t="shared" si="96"/>
      </c>
      <c r="AC41" s="49">
        <f t="shared" si="96"/>
      </c>
      <c r="AD41" s="49">
        <f t="shared" si="96"/>
      </c>
      <c r="AE41" s="49">
        <f t="shared" si="96"/>
      </c>
      <c r="AF41" s="49">
        <f t="shared" si="96"/>
      </c>
      <c r="AG41" s="49">
        <f t="shared" si="96"/>
      </c>
      <c r="AH41" s="49">
        <f t="shared" si="96"/>
      </c>
      <c r="AI41" s="49">
        <f t="shared" si="96"/>
      </c>
      <c r="AJ41" s="49">
        <f t="shared" si="96"/>
      </c>
      <c r="AK41" s="49">
        <f t="shared" si="96"/>
      </c>
      <c r="AL41" s="49">
        <f t="shared" si="96"/>
      </c>
      <c r="AM41" s="49">
        <f t="shared" si="96"/>
      </c>
      <c r="AN41" s="49">
        <f t="shared" si="96"/>
      </c>
      <c r="AO41" s="49">
        <f t="shared" si="96"/>
      </c>
      <c r="AP41" s="49">
        <f t="shared" si="96"/>
      </c>
      <c r="AQ41" s="49">
        <f t="shared" si="96"/>
      </c>
      <c r="AR41" s="49">
        <f t="shared" si="96"/>
      </c>
      <c r="AS41" s="49">
        <f t="shared" si="96"/>
      </c>
      <c r="AT41" s="49">
        <f t="shared" si="96"/>
      </c>
      <c r="AU41" s="49">
        <f t="shared" si="96"/>
      </c>
      <c r="AV41" s="49">
        <f t="shared" si="96"/>
      </c>
      <c r="AW41" s="49">
        <f t="shared" si="96"/>
      </c>
      <c r="AX41" s="49">
        <f t="shared" si="96"/>
      </c>
      <c r="AY41" s="49">
        <f t="shared" si="96"/>
      </c>
      <c r="AZ41" s="49">
        <f t="shared" si="96"/>
      </c>
      <c r="BA41" s="49">
        <f t="shared" si="96"/>
      </c>
      <c r="BB41" s="49">
        <f t="shared" si="96"/>
      </c>
      <c r="BC41" s="49">
        <f t="shared" si="96"/>
      </c>
      <c r="BD41" s="49">
        <f t="shared" si="96"/>
      </c>
      <c r="BE41" s="49">
        <f t="shared" si="96"/>
      </c>
      <c r="BF41" s="49">
        <f t="shared" si="96"/>
      </c>
      <c r="BG41" s="49">
        <f t="shared" si="96"/>
      </c>
      <c r="BH41" s="49">
        <f t="shared" si="96"/>
      </c>
      <c r="BI41" s="49">
        <f t="shared" si="96"/>
      </c>
      <c r="BJ41" s="49">
        <f>BJ40/BI40-1</f>
      </c>
      <c r="BK41" s="340">
        <f t="shared" si="96"/>
      </c>
      <c r="BL41" s="340">
        <f t="shared" si="96"/>
      </c>
      <c r="BM41" s="49">
        <f t="shared" si="96"/>
      </c>
      <c r="BN41" s="49">
        <f t="shared" si="96"/>
      </c>
      <c r="BO41" s="49">
        <f t="shared" ref="BO41:DE41" si="97">BO40/BN40-1</f>
      </c>
      <c r="BP41" s="49">
        <f t="shared" si="97"/>
      </c>
      <c r="BQ41" s="49">
        <f t="shared" si="97"/>
      </c>
      <c r="BR41" s="49">
        <f t="shared" si="97"/>
      </c>
      <c r="BS41" s="49">
        <f t="shared" si="97"/>
      </c>
      <c r="BT41" s="49">
        <f t="shared" si="97"/>
      </c>
      <c r="BU41" s="49">
        <f t="shared" si="97"/>
      </c>
      <c r="BV41" s="49">
        <f t="shared" si="97"/>
      </c>
      <c r="BW41" s="49">
        <f t="shared" si="97"/>
      </c>
      <c r="BX41" s="49">
        <f t="shared" si="97"/>
      </c>
      <c r="BY41" s="49">
        <f t="shared" si="97"/>
      </c>
      <c r="BZ41" s="49">
        <f t="shared" si="97"/>
      </c>
      <c r="CA41" s="49">
        <f t="shared" si="97"/>
      </c>
      <c r="CB41" s="49">
        <f t="shared" si="97"/>
      </c>
      <c r="CC41" s="49">
        <f t="shared" si="97"/>
      </c>
      <c r="CD41" s="49">
        <f t="shared" si="97"/>
      </c>
      <c r="CE41" s="49">
        <f t="shared" si="97"/>
      </c>
      <c r="CF41" s="49">
        <f t="shared" si="97"/>
      </c>
      <c r="CG41" s="49">
        <f t="shared" si="97"/>
      </c>
      <c r="CH41" s="49">
        <f t="shared" si="97"/>
      </c>
      <c r="CI41" s="49">
        <f t="shared" si="97"/>
      </c>
      <c r="CJ41" s="49">
        <f t="shared" si="97"/>
      </c>
      <c r="CK41" s="49">
        <f t="shared" si="97"/>
      </c>
      <c r="CL41" s="49">
        <f t="shared" si="97"/>
      </c>
      <c r="CM41" s="49">
        <f t="shared" si="97"/>
      </c>
      <c r="CN41" s="49">
        <f t="shared" si="97"/>
      </c>
      <c r="CO41" s="49">
        <f t="shared" si="97"/>
      </c>
      <c r="CP41" s="49">
        <f t="shared" si="97"/>
      </c>
      <c r="CQ41" s="49">
        <f t="shared" si="97"/>
      </c>
      <c r="CR41" s="49">
        <f t="shared" si="97"/>
      </c>
      <c r="CS41" s="49">
        <f t="shared" si="97"/>
      </c>
      <c r="CT41" s="49">
        <f>CT40/CS40-1</f>
      </c>
      <c r="CU41" s="49">
        <f>CU40/CT40-1</f>
      </c>
      <c r="CV41" s="341">
        <f t="shared" si="97"/>
      </c>
      <c r="CW41" s="341">
        <f t="shared" si="97"/>
      </c>
      <c r="CX41" s="341">
        <f t="shared" si="97"/>
      </c>
      <c r="CY41" s="341">
        <f t="shared" si="97"/>
      </c>
      <c r="CZ41" s="341">
        <f t="shared" si="97"/>
      </c>
      <c r="DA41" s="341">
        <f t="shared" si="97"/>
      </c>
      <c r="DB41" s="341">
        <f t="shared" si="97"/>
      </c>
      <c r="DC41" s="341">
        <f t="shared" si="97"/>
      </c>
      <c r="DD41" s="341">
        <f t="shared" si="97"/>
      </c>
      <c r="DE41" s="341">
        <f t="shared" si="97"/>
      </c>
      <c r="DH41" s="342" t="s">
        <v>197</v>
      </c>
      <c r="DI41" s="342" t="s">
        <v>197</v>
      </c>
      <c r="DJ41" s="342" t="s">
        <v>197</v>
      </c>
      <c r="DK41" s="342" t="s">
        <v>197</v>
      </c>
      <c r="DL41" s="342" t="s">
        <v>197</v>
      </c>
      <c r="DM41" s="342" t="s">
        <v>197</v>
      </c>
      <c r="DN41" s="342" t="s">
        <v>197</v>
      </c>
      <c r="DO41" s="342" t="s">
        <v>197</v>
      </c>
      <c r="DP41" s="342" t="s">
        <v>197</v>
      </c>
      <c r="DQ41" s="342" t="s">
        <v>197</v>
      </c>
      <c r="DR41" s="342" t="s">
        <v>197</v>
      </c>
      <c r="DS41" s="342" t="s">
        <v>197</v>
      </c>
      <c r="DT41" s="342" t="s">
        <v>197</v>
      </c>
      <c r="DU41" s="342" t="s">
        <v>197</v>
      </c>
      <c r="DV41" s="342" t="s">
        <v>197</v>
      </c>
      <c r="DW41" s="342" t="s">
        <v>197</v>
      </c>
      <c r="DX41" s="342" t="s">
        <v>197</v>
      </c>
      <c r="DY41" s="342" t="s">
        <v>197</v>
      </c>
      <c r="DZ41" s="342" t="s">
        <v>197</v>
      </c>
      <c r="EA41" s="342" t="s">
        <v>197</v>
      </c>
      <c r="EB41" s="342" t="s">
        <v>197</v>
      </c>
      <c r="EC41" s="342" t="s">
        <v>197</v>
      </c>
      <c r="ED41" s="342" t="s">
        <v>197</v>
      </c>
      <c r="EE41" s="342" t="s">
        <v>197</v>
      </c>
      <c r="EF41" s="343" t="s">
        <v>197</v>
      </c>
      <c r="EG41" s="343" t="s">
        <v>197</v>
      </c>
      <c r="EH41" s="343" t="s">
        <v>197</v>
      </c>
    </row>
    <row r="42" spans="1:140" s="49" customFormat="1" ht="12" customHeight="1">
      <c r="A42" s="48" t="s">
        <v>198</v>
      </c>
      <c r="F42" s="49">
        <f t="shared" ref="F42:BQ42" si="98">F40/B40-1</f>
      </c>
      <c r="G42" s="49">
        <f t="shared" si="98"/>
      </c>
      <c r="H42" s="49">
        <f t="shared" si="98"/>
      </c>
      <c r="I42" s="49">
        <f t="shared" si="98"/>
      </c>
      <c r="J42" s="49">
        <f t="shared" si="98"/>
      </c>
      <c r="K42" s="49">
        <f t="shared" si="98"/>
      </c>
      <c r="L42" s="49">
        <f t="shared" si="98"/>
      </c>
      <c r="M42" s="49">
        <f t="shared" si="98"/>
      </c>
      <c r="N42" s="49">
        <f t="shared" si="98"/>
      </c>
      <c r="O42" s="49">
        <f t="shared" si="98"/>
      </c>
      <c r="P42" s="49">
        <f t="shared" si="98"/>
      </c>
      <c r="Q42" s="49">
        <f t="shared" si="98"/>
      </c>
      <c r="R42" s="49">
        <f t="shared" si="98"/>
      </c>
      <c r="S42" s="49">
        <f t="shared" si="98"/>
      </c>
      <c r="T42" s="49">
        <f t="shared" si="98"/>
      </c>
      <c r="U42" s="49">
        <f t="shared" si="98"/>
      </c>
      <c r="V42" s="49">
        <f t="shared" si="98"/>
      </c>
      <c r="W42" s="49">
        <f t="shared" si="98"/>
      </c>
      <c r="X42" s="49">
        <f t="shared" si="98"/>
      </c>
      <c r="Y42" s="49">
        <f t="shared" si="98"/>
      </c>
      <c r="Z42" s="49">
        <f t="shared" si="98"/>
      </c>
      <c r="AA42" s="49">
        <f t="shared" si="98"/>
      </c>
      <c r="AB42" s="49">
        <f t="shared" si="98"/>
      </c>
      <c r="AC42" s="49">
        <f t="shared" si="98"/>
      </c>
      <c r="AD42" s="49">
        <f t="shared" si="98"/>
      </c>
      <c r="AE42" s="49">
        <f t="shared" si="98"/>
      </c>
      <c r="AF42" s="49">
        <f t="shared" si="98"/>
      </c>
      <c r="AG42" s="49">
        <f t="shared" si="98"/>
      </c>
      <c r="AH42" s="49">
        <f t="shared" si="98"/>
      </c>
      <c r="AI42" s="49">
        <f t="shared" si="98"/>
      </c>
      <c r="AJ42" s="49">
        <f t="shared" si="98"/>
      </c>
      <c r="AK42" s="49">
        <f t="shared" si="98"/>
      </c>
      <c r="AL42" s="49">
        <f t="shared" si="98"/>
      </c>
      <c r="AM42" s="49">
        <f t="shared" si="98"/>
      </c>
      <c r="AN42" s="49">
        <f t="shared" si="98"/>
      </c>
      <c r="AO42" s="49">
        <f t="shared" si="98"/>
      </c>
      <c r="AP42" s="49">
        <f t="shared" si="98"/>
      </c>
      <c r="AQ42" s="49">
        <f t="shared" si="98"/>
      </c>
      <c r="AR42" s="49">
        <f t="shared" si="98"/>
      </c>
      <c r="AS42" s="49">
        <f t="shared" si="98"/>
      </c>
      <c r="AT42" s="49">
        <f t="shared" si="98"/>
      </c>
      <c r="AU42" s="49">
        <f t="shared" si="98"/>
      </c>
      <c r="AV42" s="49">
        <f t="shared" si="98"/>
      </c>
      <c r="AW42" s="49">
        <f t="shared" si="98"/>
      </c>
      <c r="AX42" s="49">
        <f t="shared" si="98"/>
      </c>
      <c r="AY42" s="49">
        <f t="shared" si="98"/>
      </c>
      <c r="AZ42" s="49">
        <f t="shared" si="98"/>
      </c>
      <c r="BA42" s="49">
        <f t="shared" si="98"/>
      </c>
      <c r="BB42" s="49">
        <f t="shared" si="98"/>
      </c>
      <c r="BC42" s="49">
        <f t="shared" si="98"/>
      </c>
      <c r="BD42" s="49">
        <f t="shared" si="98"/>
      </c>
      <c r="BE42" s="49">
        <f t="shared" si="98"/>
      </c>
      <c r="BF42" s="49">
        <f t="shared" si="98"/>
      </c>
      <c r="BG42" s="49">
        <f t="shared" si="98"/>
      </c>
      <c r="BH42" s="49">
        <f t="shared" si="98"/>
      </c>
      <c r="BI42" s="49">
        <f t="shared" si="98"/>
      </c>
      <c r="BJ42" s="49">
        <f t="shared" si="98"/>
      </c>
      <c r="BK42" s="340">
        <f t="shared" si="98"/>
      </c>
      <c r="BL42" s="340">
        <f t="shared" si="98"/>
      </c>
      <c r="BM42" s="49">
        <f t="shared" si="98"/>
      </c>
      <c r="BN42" s="49">
        <f t="shared" si="98"/>
      </c>
      <c r="BO42" s="49">
        <f t="shared" si="98"/>
      </c>
      <c r="BP42" s="49">
        <f t="shared" si="98"/>
      </c>
      <c r="BQ42" s="49">
        <f t="shared" si="98"/>
      </c>
      <c r="BR42" s="49">
        <f t="shared" ref="BR42:DE42" si="99">BR40/BN40-1</f>
      </c>
      <c r="BS42" s="49">
        <f t="shared" si="99"/>
      </c>
      <c r="BT42" s="49">
        <f t="shared" si="99"/>
      </c>
      <c r="BU42" s="49">
        <f t="shared" si="99"/>
      </c>
      <c r="BV42" s="49">
        <f t="shared" si="99"/>
      </c>
      <c r="BW42" s="49">
        <f t="shared" si="99"/>
      </c>
      <c r="BX42" s="49">
        <f t="shared" si="99"/>
      </c>
      <c r="BY42" s="49">
        <f t="shared" si="99"/>
      </c>
      <c r="BZ42" s="49">
        <f t="shared" si="99"/>
      </c>
      <c r="CA42" s="49">
        <f t="shared" si="99"/>
      </c>
      <c r="CB42" s="49">
        <f t="shared" si="99"/>
      </c>
      <c r="CC42" s="49">
        <f t="shared" si="99"/>
      </c>
      <c r="CD42" s="49">
        <f t="shared" si="99"/>
      </c>
      <c r="CE42" s="49">
        <f t="shared" si="99"/>
      </c>
      <c r="CF42" s="49">
        <f t="shared" si="99"/>
      </c>
      <c r="CG42" s="49">
        <f t="shared" si="99"/>
      </c>
      <c r="CH42" s="49">
        <f t="shared" si="99"/>
      </c>
      <c r="CI42" s="49">
        <f t="shared" si="99"/>
      </c>
      <c r="CJ42" s="49">
        <f t="shared" si="99"/>
      </c>
      <c r="CK42" s="49">
        <f t="shared" si="99"/>
      </c>
      <c r="CL42" s="49">
        <f t="shared" si="99"/>
      </c>
      <c r="CM42" s="49">
        <f t="shared" si="99"/>
      </c>
      <c r="CN42" s="49">
        <f t="shared" si="99"/>
      </c>
      <c r="CO42" s="49">
        <f t="shared" si="99"/>
      </c>
      <c r="CP42" s="49">
        <f t="shared" si="99"/>
      </c>
      <c r="CQ42" s="49">
        <f t="shared" si="99"/>
      </c>
      <c r="CR42" s="49">
        <f t="shared" si="99"/>
      </c>
      <c r="CS42" s="49">
        <f t="shared" si="99"/>
      </c>
      <c r="CT42" s="49">
        <f>CT40/CP40-1</f>
      </c>
      <c r="CU42" s="49">
        <f>CU40/CQ40-1</f>
      </c>
      <c r="CV42" s="341">
        <f t="shared" si="99"/>
      </c>
      <c r="CW42" s="341">
        <f t="shared" si="99"/>
      </c>
      <c r="CX42" s="341">
        <f t="shared" si="99"/>
      </c>
      <c r="CY42" s="341">
        <f t="shared" si="99"/>
      </c>
      <c r="CZ42" s="341">
        <f t="shared" si="99"/>
      </c>
      <c r="DA42" s="341">
        <f t="shared" si="99"/>
      </c>
      <c r="DB42" s="341">
        <f t="shared" si="99"/>
      </c>
      <c r="DC42" s="341">
        <f t="shared" si="99"/>
      </c>
      <c r="DD42" s="341">
        <f t="shared" si="99"/>
      </c>
      <c r="DE42" s="341">
        <f t="shared" si="99"/>
      </c>
      <c r="DI42" s="49">
        <f>DI40/DH40-1</f>
      </c>
      <c r="DJ42" s="49">
        <f t="shared" ref="DJ42:EH42" si="100">DJ40/DI40-1</f>
      </c>
      <c r="DK42" s="49">
        <f t="shared" si="100"/>
      </c>
      <c r="DL42" s="49">
        <f t="shared" si="100"/>
      </c>
      <c r="DM42" s="49">
        <f t="shared" si="100"/>
      </c>
      <c r="DN42" s="49">
        <f t="shared" si="100"/>
      </c>
      <c r="DO42" s="49">
        <f t="shared" si="100"/>
      </c>
      <c r="DP42" s="49">
        <f t="shared" si="100"/>
      </c>
      <c r="DQ42" s="49">
        <f t="shared" si="100"/>
      </c>
      <c r="DR42" s="49">
        <f t="shared" si="100"/>
      </c>
      <c r="DS42" s="49">
        <f t="shared" si="100"/>
      </c>
      <c r="DT42" s="49">
        <f t="shared" si="100"/>
      </c>
      <c r="DU42" s="49">
        <f t="shared" si="100"/>
      </c>
      <c r="DV42" s="49">
        <f t="shared" si="100"/>
      </c>
      <c r="DW42" s="49">
        <f t="shared" si="100"/>
      </c>
      <c r="DX42" s="49">
        <f t="shared" si="100"/>
      </c>
      <c r="DY42" s="49">
        <f t="shared" si="100"/>
      </c>
      <c r="DZ42" s="49">
        <f t="shared" si="100"/>
      </c>
      <c r="EA42" s="49">
        <f t="shared" si="100"/>
      </c>
      <c r="EB42" s="49">
        <f t="shared" si="100"/>
      </c>
      <c r="EC42" s="49">
        <f t="shared" si="100"/>
      </c>
      <c r="ED42" s="49">
        <f t="shared" si="100"/>
      </c>
      <c r="EE42" s="49">
        <f t="shared" si="100"/>
      </c>
      <c r="EF42" s="341">
        <f t="shared" si="100"/>
      </c>
      <c r="EG42" s="341">
        <f t="shared" si="100"/>
      </c>
      <c r="EH42" s="341">
        <f t="shared" si="100"/>
      </c>
    </row>
    <row r="43" spans="1:140" s="49" customFormat="1" ht="11.25" customHeight="1">
      <c r="A43" s="48" t="s">
        <v>201</v>
      </c>
      <c r="B43" s="49">
        <f t="shared" ref="B43:BM43" si="101">B40/B$5</f>
      </c>
      <c r="C43" s="49">
        <f t="shared" si="101"/>
      </c>
      <c r="D43" s="49">
        <f t="shared" si="101"/>
      </c>
      <c r="E43" s="49">
        <f t="shared" si="101"/>
      </c>
      <c r="F43" s="49">
        <f t="shared" si="101"/>
      </c>
      <c r="G43" s="49">
        <f t="shared" si="101"/>
      </c>
      <c r="H43" s="49">
        <f t="shared" si="101"/>
      </c>
      <c r="I43" s="49">
        <f t="shared" si="101"/>
      </c>
      <c r="J43" s="49">
        <f t="shared" si="101"/>
      </c>
      <c r="K43" s="49">
        <f t="shared" si="101"/>
      </c>
      <c r="L43" s="49">
        <f t="shared" si="101"/>
      </c>
      <c r="M43" s="49">
        <f t="shared" si="101"/>
      </c>
      <c r="N43" s="49">
        <f t="shared" si="101"/>
      </c>
      <c r="O43" s="49">
        <f t="shared" si="101"/>
      </c>
      <c r="P43" s="49">
        <f t="shared" si="101"/>
      </c>
      <c r="Q43" s="49">
        <f t="shared" si="101"/>
      </c>
      <c r="R43" s="49">
        <f t="shared" si="101"/>
      </c>
      <c r="S43" s="49">
        <f t="shared" si="101"/>
      </c>
      <c r="T43" s="49">
        <f t="shared" si="101"/>
      </c>
      <c r="U43" s="49">
        <f t="shared" si="101"/>
      </c>
      <c r="V43" s="49">
        <f t="shared" si="101"/>
      </c>
      <c r="W43" s="49">
        <f t="shared" si="101"/>
      </c>
      <c r="X43" s="49">
        <f t="shared" si="101"/>
      </c>
      <c r="Y43" s="49">
        <f t="shared" si="101"/>
      </c>
      <c r="Z43" s="49">
        <f t="shared" si="101"/>
      </c>
      <c r="AA43" s="49">
        <f t="shared" si="101"/>
      </c>
      <c r="AB43" s="49">
        <f t="shared" si="101"/>
      </c>
      <c r="AC43" s="49">
        <f t="shared" si="101"/>
      </c>
      <c r="AD43" s="49">
        <f t="shared" si="101"/>
      </c>
      <c r="AE43" s="49">
        <f t="shared" si="101"/>
      </c>
      <c r="AF43" s="49">
        <f t="shared" si="101"/>
      </c>
      <c r="AG43" s="49">
        <f t="shared" si="101"/>
      </c>
      <c r="AH43" s="49">
        <f t="shared" si="101"/>
      </c>
      <c r="AI43" s="49">
        <f t="shared" si="101"/>
      </c>
      <c r="AJ43" s="49">
        <f t="shared" si="101"/>
      </c>
      <c r="AK43" s="49">
        <f t="shared" si="101"/>
      </c>
      <c r="AL43" s="49">
        <f t="shared" si="101"/>
      </c>
      <c r="AM43" s="49">
        <f t="shared" si="101"/>
      </c>
      <c r="AN43" s="49">
        <f t="shared" si="101"/>
      </c>
      <c r="AO43" s="49">
        <f t="shared" si="101"/>
      </c>
      <c r="AP43" s="49">
        <f t="shared" si="101"/>
      </c>
      <c r="AQ43" s="49">
        <f t="shared" si="101"/>
      </c>
      <c r="AR43" s="49">
        <f t="shared" si="101"/>
      </c>
      <c r="AS43" s="49">
        <f t="shared" si="101"/>
      </c>
      <c r="AT43" s="49">
        <f t="shared" si="101"/>
      </c>
      <c r="AU43" s="49">
        <f t="shared" si="101"/>
      </c>
      <c r="AV43" s="49">
        <f t="shared" si="101"/>
      </c>
      <c r="AW43" s="49">
        <f t="shared" si="101"/>
      </c>
      <c r="AX43" s="49">
        <f t="shared" si="101"/>
      </c>
      <c r="AY43" s="49">
        <f t="shared" si="101"/>
      </c>
      <c r="AZ43" s="49">
        <f t="shared" si="101"/>
      </c>
      <c r="BA43" s="49">
        <f t="shared" si="101"/>
      </c>
      <c r="BB43" s="49">
        <f t="shared" si="101"/>
      </c>
      <c r="BC43" s="49">
        <f t="shared" si="101"/>
      </c>
      <c r="BD43" s="49">
        <f t="shared" si="101"/>
      </c>
      <c r="BE43" s="49">
        <f t="shared" si="101"/>
      </c>
      <c r="BF43" s="49">
        <f t="shared" si="101"/>
      </c>
      <c r="BG43" s="49">
        <f t="shared" si="101"/>
      </c>
      <c r="BH43" s="49">
        <f t="shared" si="101"/>
      </c>
      <c r="BI43" s="49">
        <f t="shared" si="101"/>
      </c>
      <c r="BJ43" s="49">
        <f t="shared" si="101"/>
      </c>
      <c r="BK43" s="340">
        <f t="shared" si="101"/>
      </c>
      <c r="BL43" s="340">
        <f t="shared" si="101"/>
      </c>
      <c r="BM43" s="49">
        <f t="shared" si="101"/>
      </c>
      <c r="BN43" s="49">
        <f t="shared" ref="BN43:CT43" si="102">BN40/BN$5</f>
      </c>
      <c r="BO43" s="49">
        <f t="shared" si="102"/>
      </c>
      <c r="BP43" s="49">
        <f t="shared" si="102"/>
      </c>
      <c r="BQ43" s="49">
        <f t="shared" si="102"/>
      </c>
      <c r="BR43" s="49">
        <f>BR40/BR$5</f>
      </c>
      <c r="BS43" s="49">
        <f t="shared" si="102"/>
      </c>
      <c r="BT43" s="49">
        <f>BT40/BT$5</f>
      </c>
      <c r="BU43" s="49">
        <f t="shared" si="102"/>
      </c>
      <c r="BV43" s="49">
        <f t="shared" si="102"/>
      </c>
      <c r="BW43" s="49">
        <f t="shared" si="102"/>
      </c>
      <c r="BX43" s="49">
        <f t="shared" si="102"/>
      </c>
      <c r="BY43" s="49">
        <f t="shared" si="102"/>
      </c>
      <c r="BZ43" s="49">
        <f t="shared" si="102"/>
      </c>
      <c r="CA43" s="49">
        <f t="shared" si="102"/>
      </c>
      <c r="CB43" s="49">
        <f t="shared" si="102"/>
      </c>
      <c r="CC43" s="49">
        <f t="shared" si="102"/>
      </c>
      <c r="CD43" s="49">
        <f t="shared" si="102"/>
      </c>
      <c r="CE43" s="49">
        <f t="shared" si="102"/>
      </c>
      <c r="CF43" s="49">
        <f t="shared" si="102"/>
      </c>
      <c r="CG43" s="49">
        <f t="shared" si="102"/>
      </c>
      <c r="CH43" s="49">
        <f t="shared" si="102"/>
      </c>
      <c r="CI43" s="49">
        <f t="shared" si="102"/>
      </c>
      <c r="CJ43" s="49">
        <f t="shared" si="102"/>
      </c>
      <c r="CK43" s="49">
        <f t="shared" si="102"/>
      </c>
      <c r="CL43" s="49">
        <f t="shared" si="102"/>
      </c>
      <c r="CM43" s="49">
        <f t="shared" si="102"/>
      </c>
      <c r="CN43" s="49">
        <f t="shared" si="102"/>
      </c>
      <c r="CO43" s="49">
        <f t="shared" si="102"/>
      </c>
      <c r="CP43" s="49">
        <f t="shared" si="102"/>
      </c>
      <c r="CQ43" s="49">
        <f t="shared" si="102"/>
      </c>
      <c r="CR43" s="49">
        <f t="shared" si="102"/>
      </c>
      <c r="CS43" s="49">
        <f t="shared" si="102"/>
      </c>
      <c r="CT43" s="49">
        <f t="shared" si="102"/>
      </c>
      <c r="CU43" s="49">
        <f>CU40/CU$5</f>
      </c>
      <c r="CV43" s="341">
        <f t="shared" ref="CV43:DA43" si="103">CV40/CV$5</f>
      </c>
      <c r="CW43" s="341">
        <f t="shared" si="103"/>
      </c>
      <c r="CX43" s="341">
        <f t="shared" si="103"/>
      </c>
      <c r="CY43" s="341">
        <f t="shared" si="103"/>
      </c>
      <c r="CZ43" s="341">
        <f t="shared" si="103"/>
      </c>
      <c r="DA43" s="341">
        <f t="shared" si="103"/>
      </c>
      <c r="DB43" s="341">
        <f>DB40/DB$5</f>
      </c>
      <c r="DC43" s="341">
        <f>DC40/DC$5</f>
      </c>
      <c r="DD43" s="341">
        <f>DD40/DD$5</f>
      </c>
      <c r="DE43" s="341">
        <f>DE40/DE$5</f>
      </c>
      <c r="DH43" s="52">
        <f>DH40/DH$5</f>
      </c>
      <c r="DI43" s="52">
        <f t="shared" ref="DI43:EC43" si="104">DI40/DI$5</f>
      </c>
      <c r="DJ43" s="52">
        <f t="shared" si="104"/>
      </c>
      <c r="DK43" s="52">
        <f t="shared" si="104"/>
      </c>
      <c r="DL43" s="52">
        <f t="shared" si="104"/>
      </c>
      <c r="DM43" s="52">
        <f t="shared" si="104"/>
      </c>
      <c r="DN43" s="52">
        <f t="shared" si="104"/>
      </c>
      <c r="DO43" s="52">
        <f t="shared" si="104"/>
      </c>
      <c r="DP43" s="52">
        <f t="shared" si="104"/>
      </c>
      <c r="DQ43" s="52">
        <f t="shared" si="104"/>
      </c>
      <c r="DR43" s="52">
        <f t="shared" si="104"/>
      </c>
      <c r="DS43" s="52">
        <f t="shared" si="104"/>
      </c>
      <c r="DT43" s="52">
        <f t="shared" si="104"/>
      </c>
      <c r="DU43" s="52">
        <f t="shared" si="104"/>
      </c>
      <c r="DV43" s="52">
        <f t="shared" si="104"/>
      </c>
      <c r="DW43" s="52">
        <f t="shared" si="104"/>
      </c>
      <c r="DX43" s="52">
        <f t="shared" si="104"/>
      </c>
      <c r="DY43" s="52">
        <f t="shared" si="104"/>
      </c>
      <c r="DZ43" s="52">
        <f t="shared" si="104"/>
      </c>
      <c r="EA43" s="52">
        <f t="shared" si="104"/>
      </c>
      <c r="EB43" s="50">
        <f t="shared" si="104"/>
      </c>
      <c r="EC43" s="50">
        <f t="shared" si="104"/>
      </c>
      <c r="ED43" s="50">
        <f>ED40/ED$5</f>
      </c>
      <c r="EE43" s="50">
        <f>EE40/EE$5</f>
      </c>
      <c r="EF43" s="355">
        <f>EF40/EF$5</f>
      </c>
      <c r="EG43" s="355">
        <f>EG40/EG$5</f>
      </c>
      <c r="EH43" s="355">
        <f>EH40/EH$5</f>
      </c>
      <c r="EJ43" s="356"/>
    </row>
    <row r="44" spans="1:140" s="49" customFormat="1" ht="11.25" customHeight="1" outlineLevel="1">
      <c r="A44" s="357" t="s">
        <v>213</v>
      </c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>
        <f t="shared" ref="AL44:CQ44" si="105">AL40+AL29+AL20</f>
      </c>
      <c r="AM44" s="35">
        <f t="shared" si="105"/>
      </c>
      <c r="AN44" s="35">
        <f t="shared" si="105"/>
      </c>
      <c r="AO44" s="35">
        <f t="shared" si="105"/>
      </c>
      <c r="AP44" s="35">
        <f t="shared" si="105"/>
      </c>
      <c r="AQ44" s="35">
        <f t="shared" si="105"/>
      </c>
      <c r="AR44" s="35">
        <f t="shared" si="105"/>
      </c>
      <c r="AS44" s="35">
        <f t="shared" si="105"/>
      </c>
      <c r="AT44" s="35">
        <f t="shared" si="105"/>
      </c>
      <c r="AU44" s="35">
        <f t="shared" si="105"/>
      </c>
      <c r="AV44" s="35">
        <f t="shared" si="105"/>
      </c>
      <c r="AW44" s="35">
        <f t="shared" si="105"/>
      </c>
      <c r="AX44" s="35">
        <f t="shared" si="105"/>
      </c>
      <c r="AY44" s="35">
        <f t="shared" si="105"/>
      </c>
      <c r="AZ44" s="35">
        <f t="shared" si="105"/>
      </c>
      <c r="BA44" s="35">
        <f t="shared" si="105"/>
      </c>
      <c r="BB44" s="35">
        <f t="shared" si="105"/>
      </c>
      <c r="BC44" s="35">
        <f t="shared" si="105"/>
      </c>
      <c r="BD44" s="35">
        <f t="shared" si="105"/>
      </c>
      <c r="BE44" s="35">
        <f t="shared" si="105"/>
      </c>
      <c r="BF44" s="35">
        <f t="shared" si="105"/>
      </c>
      <c r="BG44" s="35">
        <f t="shared" si="105"/>
      </c>
      <c r="BH44" s="35">
        <f t="shared" si="105"/>
      </c>
      <c r="BI44" s="35">
        <f t="shared" si="105"/>
      </c>
      <c r="BJ44" s="35">
        <f t="shared" si="105"/>
      </c>
      <c r="BK44" s="35">
        <f t="shared" si="105"/>
      </c>
      <c r="BL44" s="35">
        <f t="shared" si="105"/>
      </c>
      <c r="BM44" s="35">
        <f t="shared" si="105"/>
      </c>
      <c r="BN44" s="35">
        <f t="shared" si="105"/>
      </c>
      <c r="BO44" s="35">
        <f t="shared" si="105"/>
      </c>
      <c r="BP44" s="35">
        <f t="shared" si="105"/>
      </c>
      <c r="BQ44" s="35">
        <f t="shared" si="105"/>
      </c>
      <c r="BR44" s="35">
        <f t="shared" si="105"/>
      </c>
      <c r="BS44" s="35">
        <f t="shared" si="105"/>
      </c>
      <c r="BT44" s="35">
        <f t="shared" si="105"/>
      </c>
      <c r="BU44" s="35">
        <f t="shared" si="105"/>
      </c>
      <c r="BV44" s="35">
        <f t="shared" si="105"/>
      </c>
      <c r="BW44" s="35">
        <f t="shared" si="105"/>
      </c>
      <c r="BX44" s="35">
        <f t="shared" si="105"/>
      </c>
      <c r="BY44" s="35">
        <f t="shared" si="105"/>
      </c>
      <c r="BZ44" s="35">
        <f t="shared" si="105"/>
      </c>
      <c r="CA44" s="35">
        <f t="shared" si="105"/>
      </c>
      <c r="CB44" s="35">
        <f t="shared" si="105"/>
      </c>
      <c r="CC44" s="35">
        <f t="shared" si="105"/>
      </c>
      <c r="CD44" s="35">
        <f t="shared" si="105"/>
      </c>
      <c r="CE44" s="35">
        <f t="shared" si="105"/>
      </c>
      <c r="CF44" s="35">
        <f t="shared" si="105"/>
      </c>
      <c r="CG44" s="35">
        <f t="shared" si="105"/>
      </c>
      <c r="CH44" s="35">
        <f t="shared" si="105"/>
      </c>
      <c r="CI44" s="35">
        <f t="shared" si="105"/>
      </c>
      <c r="CJ44" s="35">
        <f t="shared" si="105"/>
      </c>
      <c r="CK44" s="35">
        <f t="shared" si="105"/>
      </c>
      <c r="CL44" s="35">
        <f t="shared" si="105"/>
      </c>
      <c r="CM44" s="35">
        <f t="shared" si="105"/>
      </c>
      <c r="CN44" s="35">
        <f>CN40+CN29+CN20</f>
      </c>
      <c r="CO44" s="35">
        <f>CO40+CO29+CO20</f>
      </c>
      <c r="CP44" s="35">
        <f>CP40+CP29+CP20</f>
      </c>
      <c r="CQ44" s="35">
        <f t="shared" si="105"/>
      </c>
      <c r="CR44" s="35">
        <f>CR40+CR29+CR20</f>
      </c>
      <c r="CS44" s="35">
        <f>CS40+CS29+CS20</f>
      </c>
      <c r="CT44" s="35">
        <f>CT40+CT29+CT20</f>
      </c>
      <c r="CU44" s="35">
        <f>CU40+CU29+CU20</f>
      </c>
      <c r="CV44" s="338">
        <f t="shared" ref="CV44:DA44" si="106">CV40+CV29+CV20</f>
      </c>
      <c r="CW44" s="338">
        <f t="shared" si="106"/>
      </c>
      <c r="CX44" s="338">
        <f t="shared" si="106"/>
      </c>
      <c r="CY44" s="338">
        <f t="shared" si="106"/>
      </c>
      <c r="CZ44" s="338">
        <f t="shared" si="106"/>
      </c>
      <c r="DA44" s="338">
        <f t="shared" si="106"/>
      </c>
      <c r="DB44" s="338">
        <f>DB40+DB29+DB20</f>
      </c>
      <c r="DC44" s="338">
        <f>DC40+DC29+DC20</f>
      </c>
      <c r="DD44" s="338">
        <f>DD40+DD29+DD20</f>
      </c>
      <c r="DE44" s="338">
        <f>DE40+DE29+DE20</f>
      </c>
      <c r="DH44" s="52"/>
      <c r="DI44" s="52"/>
      <c r="DJ44" s="52"/>
      <c r="DK44" s="52"/>
      <c r="DL44" s="52"/>
      <c r="DM44" s="52"/>
      <c r="DN44" s="52"/>
      <c r="DO44" s="52"/>
      <c r="DP44" s="52"/>
      <c r="DQ44" s="52"/>
      <c r="DR44" s="47">
        <f t="shared" ref="DR44:EE44" si="107">DR40+DR29+DR20</f>
      </c>
      <c r="DS44" s="47">
        <f t="shared" si="107"/>
      </c>
      <c r="DT44" s="47">
        <f t="shared" si="107"/>
      </c>
      <c r="DU44" s="47">
        <f t="shared" si="107"/>
      </c>
      <c r="DV44" s="47">
        <f t="shared" si="107"/>
      </c>
      <c r="DW44" s="47">
        <f t="shared" si="107"/>
      </c>
      <c r="DX44" s="47">
        <f t="shared" si="107"/>
      </c>
      <c r="DY44" s="47">
        <f t="shared" si="107"/>
      </c>
      <c r="DZ44" s="47">
        <f t="shared" si="107"/>
      </c>
      <c r="EA44" s="47">
        <f t="shared" si="107"/>
      </c>
      <c r="EB44" s="47">
        <f t="shared" si="107"/>
      </c>
      <c r="EC44" s="47">
        <f t="shared" si="107"/>
      </c>
      <c r="ED44" s="47">
        <f t="shared" si="107"/>
      </c>
      <c r="EE44" s="47">
        <f t="shared" si="107"/>
      </c>
      <c r="EF44" s="358">
        <f>EF40+EF29+EF20</f>
      </c>
      <c r="EG44" s="358">
        <f>EG40+EG29+EG20</f>
      </c>
      <c r="EH44" s="358">
        <f>EH40+EH29+EH20</f>
      </c>
      <c r="EJ44" s="356"/>
    </row>
    <row r="45" spans="1:140" s="49" customFormat="1" ht="11.25" customHeight="1" outlineLevel="1">
      <c r="A45" s="48" t="s">
        <v>196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9">
        <f t="shared" ref="AM45:CX45" si="108">AM44/AL44-1</f>
      </c>
      <c r="AN45" s="49">
        <f t="shared" si="108"/>
      </c>
      <c r="AO45" s="49">
        <f t="shared" si="108"/>
      </c>
      <c r="AP45" s="49">
        <f t="shared" si="108"/>
      </c>
      <c r="AQ45" s="49">
        <f t="shared" si="108"/>
      </c>
      <c r="AR45" s="49">
        <f t="shared" si="108"/>
      </c>
      <c r="AS45" s="49">
        <f t="shared" si="108"/>
      </c>
      <c r="AT45" s="49">
        <f t="shared" si="108"/>
      </c>
      <c r="AU45" s="49">
        <f t="shared" si="108"/>
      </c>
      <c r="AV45" s="49">
        <f t="shared" si="108"/>
      </c>
      <c r="AW45" s="49">
        <f t="shared" si="108"/>
      </c>
      <c r="AX45" s="49">
        <f t="shared" si="108"/>
      </c>
      <c r="AY45" s="49">
        <f t="shared" si="108"/>
      </c>
      <c r="AZ45" s="49">
        <f t="shared" si="108"/>
      </c>
      <c r="BA45" s="49">
        <f t="shared" si="108"/>
      </c>
      <c r="BB45" s="49">
        <f t="shared" si="108"/>
      </c>
      <c r="BC45" s="49">
        <f t="shared" si="108"/>
      </c>
      <c r="BD45" s="49">
        <f t="shared" si="108"/>
      </c>
      <c r="BE45" s="49">
        <f t="shared" si="108"/>
      </c>
      <c r="BF45" s="49">
        <f t="shared" si="108"/>
      </c>
      <c r="BG45" s="49">
        <f t="shared" si="108"/>
      </c>
      <c r="BH45" s="49">
        <f t="shared" si="108"/>
      </c>
      <c r="BI45" s="49">
        <f t="shared" si="108"/>
      </c>
      <c r="BJ45" s="49">
        <f t="shared" si="108"/>
      </c>
      <c r="BK45" s="49">
        <f t="shared" si="108"/>
      </c>
      <c r="BL45" s="49">
        <f t="shared" si="108"/>
      </c>
      <c r="BM45" s="49">
        <f t="shared" si="108"/>
      </c>
      <c r="BN45" s="49">
        <f t="shared" si="108"/>
      </c>
      <c r="BO45" s="49">
        <f t="shared" si="108"/>
      </c>
      <c r="BP45" s="49">
        <f t="shared" si="108"/>
      </c>
      <c r="BQ45" s="49">
        <f t="shared" si="108"/>
      </c>
      <c r="BR45" s="49">
        <f t="shared" si="108"/>
      </c>
      <c r="BS45" s="49">
        <f t="shared" si="108"/>
      </c>
      <c r="BT45" s="49">
        <f t="shared" si="108"/>
      </c>
      <c r="BU45" s="49">
        <f t="shared" si="108"/>
      </c>
      <c r="BV45" s="49">
        <f t="shared" si="108"/>
      </c>
      <c r="BW45" s="49">
        <f t="shared" si="108"/>
      </c>
      <c r="BX45" s="49">
        <f t="shared" si="108"/>
      </c>
      <c r="BY45" s="49">
        <f t="shared" si="108"/>
      </c>
      <c r="BZ45" s="49">
        <f t="shared" si="108"/>
      </c>
      <c r="CA45" s="49">
        <f t="shared" si="108"/>
      </c>
      <c r="CB45" s="49">
        <f t="shared" si="108"/>
      </c>
      <c r="CC45" s="49">
        <f t="shared" si="108"/>
      </c>
      <c r="CD45" s="49">
        <f t="shared" si="108"/>
      </c>
      <c r="CE45" s="49">
        <f t="shared" si="108"/>
      </c>
      <c r="CF45" s="49">
        <f t="shared" si="108"/>
      </c>
      <c r="CG45" s="49">
        <f t="shared" si="108"/>
      </c>
      <c r="CH45" s="49">
        <f t="shared" si="108"/>
      </c>
      <c r="CI45" s="49">
        <f t="shared" si="108"/>
      </c>
      <c r="CJ45" s="49">
        <f t="shared" si="108"/>
      </c>
      <c r="CK45" s="49">
        <f t="shared" si="108"/>
      </c>
      <c r="CL45" s="49">
        <f t="shared" si="108"/>
      </c>
      <c r="CM45" s="49">
        <f t="shared" si="108"/>
      </c>
      <c r="CN45" s="49">
        <f t="shared" si="108"/>
      </c>
      <c r="CO45" s="49">
        <f t="shared" si="108"/>
      </c>
      <c r="CP45" s="49">
        <f t="shared" si="108"/>
      </c>
      <c r="CQ45" s="49">
        <f t="shared" si="108"/>
      </c>
      <c r="CR45" s="49">
        <f t="shared" si="108"/>
      </c>
      <c r="CS45" s="49">
        <f t="shared" si="108"/>
      </c>
      <c r="CT45" s="49">
        <f>CT44/CS44-1</f>
      </c>
      <c r="CU45" s="49">
        <f>CU44/CT44-1</f>
      </c>
      <c r="CV45" s="341">
        <f t="shared" si="108"/>
      </c>
      <c r="CW45" s="341">
        <f t="shared" si="108"/>
      </c>
      <c r="CX45" s="341">
        <f t="shared" si="108"/>
      </c>
      <c r="CY45" s="341">
        <f t="shared" ref="CY45:DE45" si="109">CY44/CX44-1</f>
      </c>
      <c r="CZ45" s="341">
        <f t="shared" si="109"/>
      </c>
      <c r="DA45" s="341">
        <f t="shared" si="109"/>
      </c>
      <c r="DB45" s="341">
        <f t="shared" si="109"/>
      </c>
      <c r="DC45" s="341">
        <f t="shared" si="109"/>
      </c>
      <c r="DD45" s="341">
        <f t="shared" si="109"/>
      </c>
      <c r="DE45" s="341">
        <f t="shared" si="109"/>
      </c>
      <c r="DH45" s="342" t="s">
        <v>197</v>
      </c>
      <c r="DI45" s="342" t="s">
        <v>197</v>
      </c>
      <c r="DJ45" s="342" t="s">
        <v>197</v>
      </c>
      <c r="DK45" s="342" t="s">
        <v>197</v>
      </c>
      <c r="DL45" s="342" t="s">
        <v>197</v>
      </c>
      <c r="DM45" s="342" t="s">
        <v>197</v>
      </c>
      <c r="DN45" s="342" t="s">
        <v>197</v>
      </c>
      <c r="DO45" s="342" t="s">
        <v>197</v>
      </c>
      <c r="DP45" s="342" t="s">
        <v>197</v>
      </c>
      <c r="DQ45" s="342" t="s">
        <v>197</v>
      </c>
      <c r="DR45" s="342" t="s">
        <v>197</v>
      </c>
      <c r="DS45" s="342" t="s">
        <v>197</v>
      </c>
      <c r="DT45" s="342" t="s">
        <v>197</v>
      </c>
      <c r="DU45" s="342" t="s">
        <v>197</v>
      </c>
      <c r="DV45" s="342" t="s">
        <v>197</v>
      </c>
      <c r="DW45" s="342" t="s">
        <v>197</v>
      </c>
      <c r="DX45" s="342" t="s">
        <v>197</v>
      </c>
      <c r="DY45" s="342" t="s">
        <v>197</v>
      </c>
      <c r="DZ45" s="342" t="s">
        <v>197</v>
      </c>
      <c r="EA45" s="342" t="s">
        <v>197</v>
      </c>
      <c r="EB45" s="342" t="s">
        <v>197</v>
      </c>
      <c r="EC45" s="342" t="s">
        <v>197</v>
      </c>
      <c r="ED45" s="342" t="s">
        <v>197</v>
      </c>
      <c r="EE45" s="342" t="s">
        <v>197</v>
      </c>
      <c r="EF45" s="343" t="s">
        <v>197</v>
      </c>
      <c r="EG45" s="343" t="s">
        <v>197</v>
      </c>
      <c r="EH45" s="343" t="s">
        <v>197</v>
      </c>
      <c r="EJ45" s="356"/>
    </row>
    <row r="46" spans="1:140" s="49" customFormat="1" ht="11.25" customHeight="1" outlineLevel="1">
      <c r="A46" s="48" t="s">
        <v>198</v>
      </c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P46" s="49">
        <f t="shared" ref="AP46:DA46" si="110">AP44/AL44-1</f>
      </c>
      <c r="AQ46" s="49">
        <f t="shared" si="110"/>
      </c>
      <c r="AR46" s="49">
        <f t="shared" si="110"/>
      </c>
      <c r="AS46" s="49">
        <f t="shared" si="110"/>
      </c>
      <c r="AT46" s="49">
        <f t="shared" si="110"/>
      </c>
      <c r="AU46" s="49">
        <f t="shared" si="110"/>
      </c>
      <c r="AV46" s="49">
        <f t="shared" si="110"/>
      </c>
      <c r="AW46" s="49">
        <f t="shared" si="110"/>
      </c>
      <c r="AX46" s="49">
        <f t="shared" si="110"/>
      </c>
      <c r="AY46" s="49">
        <f t="shared" si="110"/>
      </c>
      <c r="AZ46" s="49">
        <f t="shared" si="110"/>
      </c>
      <c r="BA46" s="49">
        <f t="shared" si="110"/>
      </c>
      <c r="BB46" s="49">
        <f t="shared" si="110"/>
      </c>
      <c r="BC46" s="49">
        <f t="shared" si="110"/>
      </c>
      <c r="BD46" s="49">
        <f t="shared" si="110"/>
      </c>
      <c r="BE46" s="49">
        <f t="shared" si="110"/>
      </c>
      <c r="BF46" s="49">
        <f t="shared" si="110"/>
      </c>
      <c r="BG46" s="49">
        <f t="shared" si="110"/>
      </c>
      <c r="BH46" s="49">
        <f t="shared" si="110"/>
      </c>
      <c r="BI46" s="49">
        <f t="shared" si="110"/>
      </c>
      <c r="BJ46" s="49">
        <f t="shared" si="110"/>
      </c>
      <c r="BK46" s="49">
        <f t="shared" si="110"/>
      </c>
      <c r="BL46" s="49">
        <f t="shared" si="110"/>
      </c>
      <c r="BM46" s="49">
        <f t="shared" si="110"/>
      </c>
      <c r="BN46" s="49">
        <f t="shared" si="110"/>
      </c>
      <c r="BO46" s="49">
        <f t="shared" si="110"/>
      </c>
      <c r="BP46" s="49">
        <f t="shared" si="110"/>
      </c>
      <c r="BQ46" s="49">
        <f t="shared" si="110"/>
      </c>
      <c r="BR46" s="49">
        <f t="shared" si="110"/>
      </c>
      <c r="BS46" s="49">
        <f t="shared" si="110"/>
      </c>
      <c r="BT46" s="49">
        <f t="shared" si="110"/>
      </c>
      <c r="BU46" s="49">
        <f t="shared" si="110"/>
      </c>
      <c r="BV46" s="49">
        <f t="shared" si="110"/>
      </c>
      <c r="BW46" s="49">
        <f t="shared" si="110"/>
      </c>
      <c r="BX46" s="49">
        <f t="shared" si="110"/>
      </c>
      <c r="BY46" s="49">
        <f t="shared" si="110"/>
      </c>
      <c r="BZ46" s="49">
        <f t="shared" si="110"/>
      </c>
      <c r="CA46" s="49">
        <f t="shared" si="110"/>
      </c>
      <c r="CB46" s="49">
        <f t="shared" si="110"/>
      </c>
      <c r="CC46" s="49">
        <f t="shared" si="110"/>
      </c>
      <c r="CD46" s="49">
        <f t="shared" si="110"/>
      </c>
      <c r="CE46" s="49">
        <f t="shared" si="110"/>
      </c>
      <c r="CF46" s="49">
        <f t="shared" si="110"/>
      </c>
      <c r="CG46" s="49">
        <f t="shared" si="110"/>
      </c>
      <c r="CH46" s="49">
        <f t="shared" si="110"/>
      </c>
      <c r="CI46" s="49">
        <f t="shared" si="110"/>
      </c>
      <c r="CJ46" s="49">
        <f t="shared" si="110"/>
      </c>
      <c r="CK46" s="49">
        <f t="shared" si="110"/>
      </c>
      <c r="CL46" s="49">
        <f t="shared" si="110"/>
      </c>
      <c r="CM46" s="49">
        <f t="shared" si="110"/>
      </c>
      <c r="CN46" s="49">
        <f t="shared" si="110"/>
      </c>
      <c r="CO46" s="49">
        <f t="shared" si="110"/>
      </c>
      <c r="CP46" s="49">
        <f t="shared" si="110"/>
      </c>
      <c r="CQ46" s="49">
        <f t="shared" si="110"/>
      </c>
      <c r="CR46" s="49">
        <f t="shared" si="110"/>
      </c>
      <c r="CS46" s="49">
        <f t="shared" si="110"/>
      </c>
      <c r="CT46" s="49">
        <f>CT44/CP44-1</f>
      </c>
      <c r="CU46" s="49">
        <f>CU44/CQ44-1</f>
      </c>
      <c r="CV46" s="341">
        <f t="shared" si="110"/>
      </c>
      <c r="CW46" s="341">
        <f t="shared" si="110"/>
      </c>
      <c r="CX46" s="341">
        <f t="shared" si="110"/>
      </c>
      <c r="CY46" s="341">
        <f t="shared" si="110"/>
      </c>
      <c r="CZ46" s="341">
        <f t="shared" si="110"/>
      </c>
      <c r="DA46" s="341">
        <f t="shared" si="110"/>
      </c>
      <c r="DB46" s="341">
        <f t="shared" ref="DB46:DE46" si="111">DB44/CX44-1</f>
      </c>
      <c r="DC46" s="341">
        <f t="shared" si="111"/>
      </c>
      <c r="DD46" s="341">
        <f t="shared" si="111"/>
      </c>
      <c r="DE46" s="341">
        <f t="shared" si="111"/>
      </c>
      <c r="DH46" s="52"/>
      <c r="DI46" s="52"/>
      <c r="DJ46" s="52"/>
      <c r="DK46" s="52"/>
      <c r="DL46" s="52"/>
      <c r="DM46" s="52"/>
      <c r="DN46" s="52"/>
      <c r="DO46" s="52"/>
      <c r="DP46" s="52"/>
      <c r="DQ46" s="52"/>
      <c r="DR46" s="52"/>
      <c r="DS46" s="49">
        <f>DS44/DR44-1</f>
      </c>
      <c r="DT46" s="49">
        <f t="shared" ref="DT46:EH46" si="112">DT44/DS44-1</f>
      </c>
      <c r="DU46" s="49">
        <f t="shared" si="112"/>
      </c>
      <c r="DV46" s="49">
        <f t="shared" si="112"/>
      </c>
      <c r="DW46" s="49">
        <f t="shared" si="112"/>
      </c>
      <c r="DX46" s="49">
        <f t="shared" si="112"/>
      </c>
      <c r="DY46" s="49">
        <f t="shared" si="112"/>
      </c>
      <c r="DZ46" s="49">
        <f t="shared" si="112"/>
      </c>
      <c r="EA46" s="49">
        <f t="shared" si="112"/>
      </c>
      <c r="EB46" s="49">
        <f t="shared" si="112"/>
      </c>
      <c r="EC46" s="49">
        <f t="shared" si="112"/>
      </c>
      <c r="ED46" s="49">
        <f t="shared" si="112"/>
      </c>
      <c r="EE46" s="49">
        <f t="shared" si="112"/>
      </c>
      <c r="EF46" s="341">
        <f t="shared" si="112"/>
      </c>
      <c r="EG46" s="341">
        <f t="shared" si="112"/>
      </c>
      <c r="EH46" s="341">
        <f t="shared" si="112"/>
      </c>
      <c r="EJ46" s="356"/>
    </row>
    <row r="47" spans="1:140" s="49" customFormat="1" ht="11.25" customHeight="1" outlineLevel="1">
      <c r="A47" s="48" t="s">
        <v>201</v>
      </c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>
        <f t="shared" ref="AL47:CQ47" si="113">+AL44/AL5</f>
      </c>
      <c r="AM47" s="52">
        <f t="shared" si="113"/>
      </c>
      <c r="AN47" s="52">
        <f t="shared" si="113"/>
      </c>
      <c r="AO47" s="52">
        <f t="shared" si="113"/>
      </c>
      <c r="AP47" s="52">
        <f t="shared" si="113"/>
      </c>
      <c r="AQ47" s="52">
        <f t="shared" si="113"/>
      </c>
      <c r="AR47" s="52">
        <f t="shared" si="113"/>
      </c>
      <c r="AS47" s="52">
        <f t="shared" si="113"/>
      </c>
      <c r="AT47" s="52">
        <f t="shared" si="113"/>
      </c>
      <c r="AU47" s="52">
        <f t="shared" si="113"/>
      </c>
      <c r="AV47" s="52">
        <f t="shared" si="113"/>
      </c>
      <c r="AW47" s="52">
        <f t="shared" si="113"/>
      </c>
      <c r="AX47" s="52">
        <f t="shared" si="113"/>
      </c>
      <c r="AY47" s="52">
        <f t="shared" si="113"/>
      </c>
      <c r="AZ47" s="52">
        <f t="shared" si="113"/>
      </c>
      <c r="BA47" s="52">
        <f t="shared" si="113"/>
      </c>
      <c r="BB47" s="52">
        <f t="shared" si="113"/>
      </c>
      <c r="BC47" s="52">
        <f t="shared" si="113"/>
      </c>
      <c r="BD47" s="52">
        <f t="shared" si="113"/>
      </c>
      <c r="BE47" s="52">
        <f t="shared" si="113"/>
      </c>
      <c r="BF47" s="52">
        <f t="shared" si="113"/>
      </c>
      <c r="BG47" s="52">
        <f t="shared" si="113"/>
      </c>
      <c r="BH47" s="52">
        <f t="shared" si="113"/>
      </c>
      <c r="BI47" s="52">
        <f t="shared" si="113"/>
      </c>
      <c r="BJ47" s="52">
        <f t="shared" si="113"/>
      </c>
      <c r="BK47" s="52">
        <f t="shared" si="113"/>
      </c>
      <c r="BL47" s="52">
        <f t="shared" si="113"/>
      </c>
      <c r="BM47" s="52">
        <f t="shared" si="113"/>
      </c>
      <c r="BN47" s="52">
        <f t="shared" si="113"/>
      </c>
      <c r="BO47" s="52">
        <f t="shared" si="113"/>
      </c>
      <c r="BP47" s="52">
        <f t="shared" si="113"/>
      </c>
      <c r="BQ47" s="52">
        <f t="shared" si="113"/>
      </c>
      <c r="BR47" s="52">
        <f t="shared" si="113"/>
      </c>
      <c r="BS47" s="52">
        <f t="shared" si="113"/>
      </c>
      <c r="BT47" s="52">
        <f t="shared" si="113"/>
      </c>
      <c r="BU47" s="52">
        <f t="shared" si="113"/>
      </c>
      <c r="BV47" s="52">
        <f t="shared" si="113"/>
      </c>
      <c r="BW47" s="52">
        <f t="shared" si="113"/>
      </c>
      <c r="BX47" s="52">
        <f t="shared" si="113"/>
      </c>
      <c r="BY47" s="52">
        <f t="shared" si="113"/>
      </c>
      <c r="BZ47" s="52">
        <f t="shared" si="113"/>
      </c>
      <c r="CA47" s="52">
        <f t="shared" si="113"/>
      </c>
      <c r="CB47" s="52">
        <f t="shared" si="113"/>
      </c>
      <c r="CC47" s="52">
        <f t="shared" si="113"/>
      </c>
      <c r="CD47" s="52">
        <f t="shared" si="113"/>
      </c>
      <c r="CE47" s="52">
        <f t="shared" si="113"/>
      </c>
      <c r="CF47" s="52">
        <f t="shared" si="113"/>
      </c>
      <c r="CG47" s="52">
        <f t="shared" si="113"/>
      </c>
      <c r="CH47" s="52">
        <f t="shared" si="113"/>
      </c>
      <c r="CI47" s="52">
        <f t="shared" si="113"/>
      </c>
      <c r="CJ47" s="52">
        <f t="shared" si="113"/>
      </c>
      <c r="CK47" s="52">
        <f t="shared" si="113"/>
      </c>
      <c r="CL47" s="52">
        <f t="shared" si="113"/>
      </c>
      <c r="CM47" s="52">
        <f t="shared" si="113"/>
      </c>
      <c r="CN47" s="52">
        <f>+CN44/CN5</f>
      </c>
      <c r="CO47" s="52">
        <f>+CO44/CO5</f>
      </c>
      <c r="CP47" s="52">
        <f>+CP44/CP5</f>
      </c>
      <c r="CQ47" s="52">
        <f t="shared" si="113"/>
      </c>
      <c r="CR47" s="52">
        <f>+CR44/CR5</f>
      </c>
      <c r="CS47" s="52">
        <f>+CS44/CS5</f>
      </c>
      <c r="CT47" s="52">
        <f>+CT44/CT5</f>
      </c>
      <c r="CU47" s="52">
        <f>+CU44/CU5</f>
      </c>
      <c r="CV47" s="53">
        <f t="shared" ref="CV47:DA47" si="114">+CV44/CV5</f>
      </c>
      <c r="CW47" s="53">
        <f t="shared" si="114"/>
      </c>
      <c r="CX47" s="53">
        <f t="shared" si="114"/>
      </c>
      <c r="CY47" s="53">
        <f t="shared" si="114"/>
      </c>
      <c r="CZ47" s="53">
        <f t="shared" si="114"/>
      </c>
      <c r="DA47" s="53">
        <f t="shared" si="114"/>
      </c>
      <c r="DB47" s="53">
        <f>+DB44/DB5</f>
      </c>
      <c r="DC47" s="53">
        <f>+DC44/DC5</f>
      </c>
      <c r="DD47" s="53">
        <f>+DD44/DD5</f>
      </c>
      <c r="DE47" s="53">
        <f>+DE44/DE5</f>
      </c>
      <c r="DH47" s="52"/>
      <c r="DI47" s="52"/>
      <c r="DJ47" s="52"/>
      <c r="DK47" s="52"/>
      <c r="DL47" s="52"/>
      <c r="DM47" s="52"/>
      <c r="DN47" s="52"/>
      <c r="DO47" s="52"/>
      <c r="DP47" s="52"/>
      <c r="DQ47" s="52"/>
      <c r="DR47" s="52">
        <f t="shared" ref="DR47:EE47" si="115">+DR44/DR5</f>
      </c>
      <c r="DS47" s="52">
        <f t="shared" si="115"/>
      </c>
      <c r="DT47" s="52">
        <f t="shared" si="115"/>
      </c>
      <c r="DU47" s="52">
        <f t="shared" si="115"/>
      </c>
      <c r="DV47" s="52">
        <f t="shared" si="115"/>
      </c>
      <c r="DW47" s="52">
        <f t="shared" si="115"/>
      </c>
      <c r="DX47" s="52">
        <f t="shared" si="115"/>
      </c>
      <c r="DY47" s="52">
        <f t="shared" si="115"/>
      </c>
      <c r="DZ47" s="52">
        <f t="shared" si="115"/>
      </c>
      <c r="EA47" s="52">
        <f t="shared" si="115"/>
      </c>
      <c r="EB47" s="52">
        <f t="shared" si="115"/>
      </c>
      <c r="EC47" s="52">
        <f t="shared" si="115"/>
      </c>
      <c r="ED47" s="52">
        <f t="shared" si="115"/>
      </c>
      <c r="EE47" s="52">
        <f t="shared" si="115"/>
      </c>
      <c r="EF47" s="53">
        <f>+EF44/EF5</f>
      </c>
      <c r="EG47" s="53">
        <f>+EG44/EG5</f>
      </c>
      <c r="EH47" s="53">
        <f>+EH44/EH5</f>
      </c>
      <c r="EJ47" s="359"/>
    </row>
    <row r="48" spans="1:140" s="49" customFormat="1" ht="11.25" customHeight="1" outlineLevel="1">
      <c r="A48" s="48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47"/>
      <c r="AX48" s="55"/>
      <c r="AY48" s="55"/>
      <c r="AZ48" s="55"/>
      <c r="BA48" s="55"/>
      <c r="BB48" s="55"/>
      <c r="BC48" s="55"/>
      <c r="BD48" s="55"/>
      <c r="BE48" s="55"/>
      <c r="BF48" s="55"/>
      <c r="BG48" s="55"/>
      <c r="BH48" s="55"/>
      <c r="BI48" s="55"/>
      <c r="BJ48" s="55"/>
      <c r="BK48" s="55"/>
      <c r="BL48" s="55"/>
      <c r="BM48" s="55"/>
      <c r="BN48" s="55"/>
      <c r="BO48" s="55"/>
      <c r="BP48" s="55"/>
      <c r="BQ48" s="55"/>
      <c r="BR48" s="55"/>
      <c r="BS48" s="55"/>
      <c r="BT48" s="55"/>
      <c r="BU48" s="55"/>
      <c r="BV48" s="55"/>
      <c r="BW48" s="55"/>
      <c r="BX48" s="55"/>
      <c r="BY48" s="55"/>
      <c r="BZ48" s="358"/>
      <c r="CA48" s="360"/>
      <c r="CB48" s="358"/>
      <c r="CC48" s="358"/>
      <c r="CD48" s="358"/>
      <c r="CE48" s="358"/>
      <c r="CF48" s="358"/>
      <c r="CG48" s="358"/>
      <c r="CH48" s="358"/>
      <c r="CI48" s="358"/>
      <c r="CJ48" s="358"/>
      <c r="CK48" s="358"/>
      <c r="CL48" s="358"/>
      <c r="CM48" s="358"/>
      <c r="CN48" s="358"/>
      <c r="CO48" s="358"/>
      <c r="CP48" s="358"/>
      <c r="CQ48" s="358"/>
      <c r="CR48" s="358"/>
      <c r="CS48" s="358"/>
      <c r="CT48" s="358"/>
      <c r="CU48" s="358"/>
      <c r="CV48" s="361"/>
      <c r="CW48" s="362"/>
      <c r="CX48" s="362"/>
      <c r="CY48" s="362"/>
      <c r="CZ48" s="362"/>
      <c r="DA48" s="362"/>
      <c r="DB48" s="362"/>
      <c r="DC48" s="362"/>
      <c r="DD48" s="362"/>
      <c r="DE48" s="362"/>
      <c r="DH48" s="52"/>
      <c r="DI48" s="52"/>
      <c r="DJ48" s="52"/>
      <c r="DK48" s="52"/>
      <c r="DL48" s="52"/>
      <c r="DM48" s="52"/>
      <c r="DN48" s="52"/>
      <c r="DO48" s="52"/>
      <c r="DP48" s="52"/>
      <c r="DQ48" s="52"/>
      <c r="DR48" s="52"/>
      <c r="DS48" s="47"/>
      <c r="DT48" s="47"/>
      <c r="DU48" s="347"/>
      <c r="DV48" s="347"/>
      <c r="DW48" s="347"/>
      <c r="DX48" s="347"/>
      <c r="DY48" s="347"/>
      <c r="DZ48" s="347"/>
      <c r="EA48" s="347"/>
      <c r="EB48" s="347"/>
      <c r="EC48" s="347"/>
      <c r="ED48" s="347"/>
      <c r="EE48" s="347"/>
      <c r="EF48" s="347"/>
      <c r="EG48" s="347"/>
      <c r="EH48" s="347"/>
      <c r="EJ48" s="356"/>
    </row>
    <row r="49" spans="1:140" s="367" customFormat="1" ht="12" customHeight="1">
      <c r="A49" s="363" t="s">
        <v>214</v>
      </c>
      <c r="B49" s="364">
        <f>Ticker0027!V54</f>
      </c>
      <c r="C49" s="364">
        <f>Ticker0027!W54</f>
      </c>
      <c r="D49" s="364">
        <f>Ticker0027!X54</f>
      </c>
      <c r="E49" s="364">
        <f>Ticker0027!Y54</f>
      </c>
      <c r="F49" s="364">
        <f>Ticker0027!AA54</f>
      </c>
      <c r="G49" s="364">
        <f>Ticker0027!AB54</f>
      </c>
      <c r="H49" s="364">
        <f>Ticker0027!AC54</f>
      </c>
      <c r="I49" s="364">
        <f>Ticker0027!AD54</f>
      </c>
      <c r="J49" s="364">
        <f>Ticker0027!AF54</f>
      </c>
      <c r="K49" s="364">
        <f>Ticker0027!AG54</f>
      </c>
      <c r="L49" s="364">
        <f>Ticker0027!AH54</f>
      </c>
      <c r="M49" s="364">
        <f>Ticker0027!AI54</f>
      </c>
      <c r="N49" s="364">
        <f>Ticker0027!AK54</f>
      </c>
      <c r="O49" s="364">
        <f>Ticker0027!AL54</f>
      </c>
      <c r="P49" s="364">
        <f>Ticker0027!AM54</f>
      </c>
      <c r="Q49" s="364">
        <f>Ticker0027!AN54</f>
      </c>
      <c r="R49" s="364">
        <f>Ticker0027!AP54</f>
      </c>
      <c r="S49" s="364">
        <f>Ticker0027!AQ54</f>
      </c>
      <c r="T49" s="364">
        <f>Ticker0027!AR54</f>
      </c>
      <c r="U49" s="364">
        <f>Ticker0027!AS54</f>
      </c>
      <c r="V49" s="364">
        <f>Ticker0027!AU54</f>
      </c>
      <c r="W49" s="364">
        <f>Ticker0027!AV54</f>
      </c>
      <c r="X49" s="364">
        <f>Ticker0027!AW54</f>
      </c>
      <c r="Y49" s="364">
        <f>Ticker0027!AX54</f>
      </c>
      <c r="Z49" s="364">
        <f>Ticker0027!AZ54</f>
      </c>
      <c r="AA49" s="364">
        <f>Ticker0027!BA54</f>
      </c>
      <c r="AB49" s="364">
        <f>Ticker0027!BB54</f>
      </c>
      <c r="AC49" s="364">
        <f>Ticker0027!BC54</f>
      </c>
      <c r="AD49" s="364">
        <f>Ticker0027!BE54</f>
      </c>
      <c r="AE49" s="364">
        <f>Ticker0027!BF54</f>
      </c>
      <c r="AF49" s="364">
        <f>Ticker0027!BG54</f>
      </c>
      <c r="AG49" s="364">
        <f>Ticker0027!BH54</f>
      </c>
      <c r="AH49" s="364">
        <f>Ticker0027!BJ54</f>
      </c>
      <c r="AI49" s="364">
        <f>Ticker0027!BK54</f>
      </c>
      <c r="AJ49" s="364">
        <f>Ticker0027!BL54</f>
      </c>
      <c r="AK49" s="364">
        <f>Ticker0027!BM54</f>
      </c>
      <c r="AL49" s="364">
        <f>Ticker0027!BO54</f>
      </c>
      <c r="AM49" s="364">
        <f>Ticker0027!BP54</f>
      </c>
      <c r="AN49" s="364">
        <f>Ticker0027!BQ54</f>
      </c>
      <c r="AO49" s="364">
        <f>Ticker0027!BR54</f>
      </c>
      <c r="AP49" s="364">
        <f>Ticker0027!BT54</f>
      </c>
      <c r="AQ49" s="364">
        <f>Ticker0027!BU54</f>
      </c>
      <c r="AR49" s="364">
        <f>Ticker0027!BV54</f>
      </c>
      <c r="AS49" s="364">
        <f>Ticker0027!BW54</f>
      </c>
      <c r="AT49" s="364">
        <f>Ticker0027!BY54</f>
      </c>
      <c r="AU49" s="364">
        <f>Ticker0027!BZ54</f>
      </c>
      <c r="AV49" s="364">
        <f>Ticker0027!CA54</f>
      </c>
      <c r="AW49" s="364">
        <f>Ticker0027!CB54</f>
      </c>
      <c r="AX49" s="364">
        <f>Ticker0027!CD54</f>
      </c>
      <c r="AY49" s="364">
        <f>Ticker0027!CE54</f>
      </c>
      <c r="AZ49" s="364">
        <f>Ticker0027!CF54</f>
      </c>
      <c r="BA49" s="364">
        <f>Ticker0027!CG54</f>
      </c>
      <c r="BB49" s="364">
        <f>Ticker0027!CI54</f>
      </c>
      <c r="BC49" s="364">
        <f>Ticker0027!CJ54</f>
      </c>
      <c r="BD49" s="364">
        <f>Ticker0027!CK54</f>
      </c>
      <c r="BE49" s="364">
        <f>Ticker0027!CL54</f>
      </c>
      <c r="BF49" s="364">
        <f>Ticker0027!CN54</f>
      </c>
      <c r="BG49" s="364">
        <f>Ticker0027!CO54</f>
      </c>
      <c r="BH49" s="364">
        <f>Ticker0027!CP54</f>
      </c>
      <c r="BI49" s="364">
        <f>Ticker0027!CQ54</f>
      </c>
      <c r="BJ49" s="364">
        <f>Ticker0027!CS54</f>
      </c>
      <c r="BK49" s="365">
        <f>Ticker0027!CT54</f>
      </c>
      <c r="BL49" s="365">
        <f>Ticker0027!CU54</f>
      </c>
      <c r="BM49" s="364">
        <f>Ticker0027!CV54</f>
      </c>
      <c r="BN49" s="364">
        <f>Ticker0027!CX54</f>
      </c>
      <c r="BO49" s="364">
        <f>Ticker0027!CY54</f>
      </c>
      <c r="BP49" s="364">
        <f>Ticker0027!CZ54</f>
      </c>
      <c r="BQ49" s="364">
        <f>Ticker0027!DA54</f>
      </c>
      <c r="BR49" s="364">
        <f>Ticker0027!DC54</f>
      </c>
      <c r="BS49" s="364">
        <f>Ticker0027!DD54</f>
      </c>
      <c r="BT49" s="364">
        <f>Ticker0027!DE54</f>
      </c>
      <c r="BU49" s="364">
        <f>Ticker0027!DF54</f>
      </c>
      <c r="BV49" s="364">
        <f>Ticker0027!DH54</f>
      </c>
      <c r="BW49" s="364">
        <f>Ticker0027!DI54</f>
      </c>
      <c r="BX49" s="364">
        <f>Ticker0027!DJ54</f>
      </c>
      <c r="BY49" s="364">
        <f>Ticker0027!DK54</f>
      </c>
      <c r="BZ49" s="364">
        <f>Ticker0027!DM54</f>
      </c>
      <c r="CA49" s="364">
        <f>Ticker0027!DN54</f>
      </c>
      <c r="CB49" s="364">
        <f>Ticker0027!DO54</f>
      </c>
      <c r="CC49" s="364">
        <f>Ticker0027!DP54</f>
      </c>
      <c r="CD49" s="364">
        <f>Ticker0027!DR54</f>
      </c>
      <c r="CE49" s="364">
        <f>Ticker0027!DS54</f>
      </c>
      <c r="CF49" s="364">
        <f>Ticker0027!DT54</f>
      </c>
      <c r="CG49" s="364">
        <f>Ticker0027!DU54</f>
      </c>
      <c r="CH49" s="364">
        <f>Ticker0027!DW54</f>
      </c>
      <c r="CI49" s="364">
        <f>Ticker0027!DX54</f>
      </c>
      <c r="CJ49" s="364">
        <f>Ticker0027!DY54</f>
      </c>
      <c r="CK49" s="364">
        <f>Ticker0027!DZ54</f>
      </c>
      <c r="CL49" s="364">
        <f>Ticker0027!EB54</f>
      </c>
      <c r="CM49" s="364">
        <f>Ticker0027!EC54</f>
      </c>
      <c r="CN49" s="364">
        <f>Ticker0027!ED54</f>
      </c>
      <c r="CO49" s="364">
        <f>Ticker0027!EE54</f>
      </c>
      <c r="CP49" s="364">
        <f>Ticker0027!EG54</f>
      </c>
      <c r="CQ49" s="364">
        <f>Ticker0027!EH54</f>
      </c>
      <c r="CR49" s="364">
        <f>Ticker0027!EI54</f>
      </c>
      <c r="CS49" s="364">
        <f>Ticker0027!EJ54</f>
      </c>
      <c r="CT49" s="364">
        <f>Ticker0027!EL54</f>
      </c>
      <c r="CU49" s="364">
        <f>Ticker0027!EM54</f>
      </c>
      <c r="CV49" s="366">
        <f>Ticker0027!EN54</f>
      </c>
      <c r="CW49" s="366">
        <f>Ticker0027!EO54</f>
      </c>
      <c r="CX49" s="366">
        <f>Ticker0027!EQ54</f>
      </c>
      <c r="CY49" s="366">
        <f>Ticker0027!ER54</f>
      </c>
      <c r="CZ49" s="366">
        <f>Ticker0027!ES54</f>
      </c>
      <c r="DA49" s="366">
        <f>Ticker0027!ET54</f>
      </c>
      <c r="DB49" s="366">
        <f>Ticker0027!EV54</f>
      </c>
      <c r="DC49" s="366">
        <f>Ticker0027!EW54</f>
      </c>
      <c r="DD49" s="366">
        <f>Ticker0027!EX54</f>
      </c>
      <c r="DE49" s="366">
        <f>Ticker0027!EY54</f>
      </c>
      <c r="DH49" s="364">
        <f>SUM(B49:E49)</f>
      </c>
      <c r="DI49" s="364">
        <f>SUM(F49:I49)</f>
      </c>
      <c r="DJ49" s="364">
        <f>SUM(J49:M49)</f>
      </c>
      <c r="DK49" s="364">
        <f>SUM(N49:Q49)</f>
      </c>
      <c r="DL49" s="364">
        <f>SUM(R49:U49)</f>
      </c>
      <c r="DM49" s="364">
        <f>SUM(V49:Y49)</f>
      </c>
      <c r="DN49" s="364">
        <f>SUM(Z49:AC49)</f>
      </c>
      <c r="DO49" s="364">
        <f>SUM(AD49:AG49)</f>
      </c>
      <c r="DP49" s="364">
        <f>SUM(AH49:AK49)</f>
      </c>
      <c r="DQ49" s="364">
        <f>SUM(AL49:AO49)</f>
      </c>
      <c r="DR49" s="364">
        <f>SUM(AP49:AS49)</f>
      </c>
      <c r="DS49" s="364">
        <f>SUM(AT49:AW49)</f>
      </c>
      <c r="DT49" s="364">
        <f>SUM(AX49:BA49)</f>
      </c>
      <c r="DU49" s="364">
        <f>SUM(BB49:BE49)</f>
      </c>
      <c r="DV49" s="364">
        <f>SUM(BF49:BI49)</f>
      </c>
      <c r="DW49" s="364">
        <f>SUM(BJ49:BM49)</f>
      </c>
      <c r="DX49" s="364">
        <f>Ticker0027!DB54</f>
      </c>
      <c r="DY49" s="364">
        <f>Ticker0027!DG54</f>
      </c>
      <c r="DZ49" s="364">
        <f>Ticker0027!DL54</f>
      </c>
      <c r="EA49" s="364">
        <f>Ticker0027!DQ54</f>
      </c>
      <c r="EB49" s="364">
        <f>Ticker0027!DV54</f>
      </c>
      <c r="EC49" s="364">
        <f>Ticker0027!EA54</f>
      </c>
      <c r="ED49" s="364">
        <f>Ticker0027!EF54</f>
      </c>
      <c r="EE49" s="364">
        <f>Ticker0027!EK54</f>
      </c>
      <c r="EF49" s="366">
        <f>Ticker0027!EP54</f>
      </c>
      <c r="EG49" s="366">
        <f>Ticker0027!EU54</f>
      </c>
      <c r="EH49" s="366">
        <f>Ticker0027!EZ54</f>
      </c>
    </row>
    <row r="50" spans="1:140" s="49" customFormat="1" ht="11.25" customHeight="1">
      <c r="A50" s="48" t="s">
        <v>196</v>
      </c>
      <c r="C50" s="49">
        <f>C49/B49-1</f>
      </c>
      <c r="D50" s="49">
        <f>D49/C49-1</f>
      </c>
      <c r="E50" s="49">
        <f t="shared" ref="E50:BP50" si="116">E49/D49-1</f>
      </c>
      <c r="F50" s="49">
        <f t="shared" si="116"/>
      </c>
      <c r="G50" s="49">
        <f t="shared" si="116"/>
      </c>
      <c r="H50" s="49">
        <f t="shared" si="116"/>
      </c>
      <c r="I50" s="49">
        <f t="shared" si="116"/>
      </c>
      <c r="J50" s="49">
        <f t="shared" si="116"/>
      </c>
      <c r="K50" s="49">
        <f t="shared" si="116"/>
      </c>
      <c r="L50" s="49">
        <f t="shared" si="116"/>
      </c>
      <c r="M50" s="49">
        <f t="shared" si="116"/>
      </c>
      <c r="N50" s="49">
        <f t="shared" si="116"/>
      </c>
      <c r="O50" s="49">
        <f t="shared" si="116"/>
      </c>
      <c r="P50" s="49">
        <f t="shared" si="116"/>
      </c>
      <c r="Q50" s="49">
        <f t="shared" si="116"/>
      </c>
      <c r="R50" s="49">
        <f t="shared" si="116"/>
      </c>
      <c r="S50" s="49">
        <f t="shared" si="116"/>
      </c>
      <c r="T50" s="49">
        <f t="shared" si="116"/>
      </c>
      <c r="U50" s="49">
        <f t="shared" si="116"/>
      </c>
      <c r="V50" s="49">
        <f t="shared" si="116"/>
      </c>
      <c r="W50" s="49">
        <f t="shared" si="116"/>
      </c>
      <c r="X50" s="49">
        <f t="shared" si="116"/>
      </c>
      <c r="Y50" s="49">
        <f t="shared" si="116"/>
      </c>
      <c r="Z50" s="49">
        <f t="shared" si="116"/>
      </c>
      <c r="AA50" s="49">
        <f t="shared" si="116"/>
      </c>
      <c r="AB50" s="49">
        <f t="shared" si="116"/>
      </c>
      <c r="AC50" s="49">
        <f t="shared" si="116"/>
      </c>
      <c r="AD50" s="49">
        <f t="shared" si="116"/>
      </c>
      <c r="AE50" s="49">
        <f t="shared" si="116"/>
      </c>
      <c r="AF50" s="49">
        <f t="shared" si="116"/>
      </c>
      <c r="AG50" s="49">
        <f t="shared" si="116"/>
      </c>
      <c r="AH50" s="49">
        <f t="shared" si="116"/>
      </c>
      <c r="AI50" s="49">
        <f t="shared" si="116"/>
      </c>
      <c r="AJ50" s="49">
        <f t="shared" si="116"/>
      </c>
      <c r="AK50" s="49">
        <f t="shared" si="116"/>
      </c>
      <c r="AL50" s="49">
        <f t="shared" si="116"/>
      </c>
      <c r="AM50" s="49">
        <f t="shared" si="116"/>
      </c>
      <c r="AN50" s="49">
        <f t="shared" si="116"/>
      </c>
      <c r="AO50" s="49">
        <f t="shared" si="116"/>
      </c>
      <c r="AP50" s="49">
        <f t="shared" si="116"/>
      </c>
      <c r="AQ50" s="49">
        <f t="shared" si="116"/>
      </c>
      <c r="AR50" s="49">
        <f t="shared" si="116"/>
      </c>
      <c r="AS50" s="49">
        <f t="shared" si="116"/>
      </c>
      <c r="AT50" s="49">
        <f t="shared" si="116"/>
      </c>
      <c r="AU50" s="49">
        <f t="shared" si="116"/>
      </c>
      <c r="AV50" s="49">
        <f t="shared" si="116"/>
      </c>
      <c r="AW50" s="49">
        <f t="shared" si="116"/>
      </c>
      <c r="AX50" s="49">
        <f t="shared" si="116"/>
      </c>
      <c r="AY50" s="49">
        <f t="shared" si="116"/>
      </c>
      <c r="AZ50" s="49">
        <f t="shared" si="116"/>
      </c>
      <c r="BA50" s="49">
        <f t="shared" si="116"/>
      </c>
      <c r="BB50" s="49">
        <f t="shared" si="116"/>
      </c>
      <c r="BC50" s="49">
        <f t="shared" si="116"/>
      </c>
      <c r="BD50" s="49">
        <f t="shared" si="116"/>
      </c>
      <c r="BE50" s="49">
        <f t="shared" si="116"/>
      </c>
      <c r="BF50" s="49">
        <f t="shared" si="116"/>
      </c>
      <c r="BG50" s="49">
        <f t="shared" si="116"/>
      </c>
      <c r="BH50" s="49">
        <f t="shared" si="116"/>
      </c>
      <c r="BI50" s="49">
        <f t="shared" si="116"/>
      </c>
      <c r="BJ50" s="49">
        <f>BJ49/BI49-1</f>
      </c>
      <c r="BK50" s="340">
        <f t="shared" si="116"/>
      </c>
      <c r="BL50" s="340">
        <f t="shared" si="116"/>
      </c>
      <c r="BM50" s="49">
        <f t="shared" si="116"/>
      </c>
      <c r="BN50" s="49">
        <f t="shared" si="116"/>
      </c>
      <c r="BO50" s="49">
        <f t="shared" si="116"/>
      </c>
      <c r="BP50" s="49">
        <f t="shared" si="116"/>
      </c>
      <c r="BQ50" s="49">
        <f t="shared" ref="BQ50:DE50" si="117">BQ49/BP49-1</f>
      </c>
      <c r="BR50" s="49">
        <f t="shared" si="117"/>
      </c>
      <c r="BS50" s="49">
        <f t="shared" si="117"/>
      </c>
      <c r="BT50" s="49">
        <f t="shared" si="117"/>
      </c>
      <c r="BU50" s="49">
        <f t="shared" si="117"/>
      </c>
      <c r="BV50" s="49">
        <f t="shared" si="117"/>
      </c>
      <c r="BW50" s="49">
        <f t="shared" si="117"/>
      </c>
      <c r="BX50" s="49">
        <f t="shared" si="117"/>
      </c>
      <c r="BY50" s="49">
        <f t="shared" si="117"/>
      </c>
      <c r="BZ50" s="49">
        <f t="shared" si="117"/>
      </c>
      <c r="CA50" s="49">
        <f t="shared" si="117"/>
      </c>
      <c r="CB50" s="49">
        <f t="shared" si="117"/>
      </c>
      <c r="CC50" s="49">
        <f t="shared" si="117"/>
      </c>
      <c r="CD50" s="49">
        <f t="shared" si="117"/>
      </c>
      <c r="CE50" s="49">
        <f t="shared" si="117"/>
      </c>
      <c r="CF50" s="49">
        <f t="shared" si="117"/>
      </c>
      <c r="CG50" s="49">
        <f t="shared" si="117"/>
      </c>
      <c r="CH50" s="49">
        <f t="shared" si="117"/>
      </c>
      <c r="CI50" s="49">
        <f t="shared" si="117"/>
      </c>
      <c r="CJ50" s="49">
        <f t="shared" si="117"/>
      </c>
      <c r="CK50" s="49">
        <f t="shared" si="117"/>
      </c>
      <c r="CL50" s="49">
        <f t="shared" si="117"/>
      </c>
      <c r="CM50" s="49">
        <f t="shared" si="117"/>
      </c>
      <c r="CN50" s="49">
        <f t="shared" si="117"/>
      </c>
      <c r="CO50" s="49">
        <f t="shared" si="117"/>
      </c>
      <c r="CP50" s="49">
        <f t="shared" si="117"/>
      </c>
      <c r="CQ50" s="49">
        <f t="shared" si="117"/>
      </c>
      <c r="CR50" s="49">
        <f t="shared" si="117"/>
      </c>
      <c r="CS50" s="49">
        <f t="shared" si="117"/>
      </c>
      <c r="CT50" s="49">
        <f>CT49/CS49-1</f>
      </c>
      <c r="CU50" s="49">
        <f>CU49/CT49-1</f>
      </c>
      <c r="CV50" s="341">
        <f t="shared" si="117"/>
      </c>
      <c r="CW50" s="341">
        <f t="shared" si="117"/>
      </c>
      <c r="CX50" s="341">
        <f t="shared" si="117"/>
      </c>
      <c r="CY50" s="341">
        <f t="shared" si="117"/>
      </c>
      <c r="CZ50" s="341">
        <f t="shared" si="117"/>
      </c>
      <c r="DA50" s="341">
        <f t="shared" si="117"/>
      </c>
      <c r="DB50" s="341">
        <f t="shared" si="117"/>
      </c>
      <c r="DC50" s="341">
        <f t="shared" si="117"/>
      </c>
      <c r="DD50" s="341">
        <f t="shared" si="117"/>
      </c>
      <c r="DE50" s="341">
        <f t="shared" si="117"/>
      </c>
      <c r="DH50" s="342" t="s">
        <v>197</v>
      </c>
      <c r="DI50" s="342" t="s">
        <v>197</v>
      </c>
      <c r="DJ50" s="342" t="s">
        <v>197</v>
      </c>
      <c r="DK50" s="342" t="s">
        <v>197</v>
      </c>
      <c r="DL50" s="342" t="s">
        <v>197</v>
      </c>
      <c r="DM50" s="342" t="s">
        <v>197</v>
      </c>
      <c r="DN50" s="342" t="s">
        <v>197</v>
      </c>
      <c r="DO50" s="342" t="s">
        <v>197</v>
      </c>
      <c r="DP50" s="342" t="s">
        <v>197</v>
      </c>
      <c r="DQ50" s="342" t="s">
        <v>197</v>
      </c>
      <c r="DR50" s="342" t="s">
        <v>197</v>
      </c>
      <c r="DS50" s="342" t="s">
        <v>197</v>
      </c>
      <c r="DT50" s="342" t="s">
        <v>197</v>
      </c>
      <c r="DU50" s="342" t="s">
        <v>197</v>
      </c>
      <c r="DV50" s="342" t="s">
        <v>197</v>
      </c>
      <c r="DW50" s="342" t="s">
        <v>197</v>
      </c>
      <c r="DX50" s="342" t="s">
        <v>197</v>
      </c>
      <c r="DY50" s="342" t="s">
        <v>197</v>
      </c>
      <c r="DZ50" s="342" t="s">
        <v>197</v>
      </c>
      <c r="EA50" s="342" t="s">
        <v>197</v>
      </c>
      <c r="EB50" s="342" t="s">
        <v>197</v>
      </c>
      <c r="EC50" s="342" t="s">
        <v>197</v>
      </c>
      <c r="ED50" s="342" t="s">
        <v>197</v>
      </c>
      <c r="EE50" s="342" t="s">
        <v>197</v>
      </c>
      <c r="EF50" s="343" t="s">
        <v>197</v>
      </c>
      <c r="EG50" s="343" t="s">
        <v>197</v>
      </c>
      <c r="EH50" s="343" t="s">
        <v>197</v>
      </c>
    </row>
    <row r="51" spans="1:140" s="49" customFormat="1" ht="11.25" customHeight="1">
      <c r="A51" s="48" t="s">
        <v>198</v>
      </c>
      <c r="F51" s="49">
        <f>F49/B49-1</f>
      </c>
      <c r="G51" s="49">
        <f t="shared" ref="G51:BR51" si="118">G49/C49-1</f>
      </c>
      <c r="H51" s="49">
        <f t="shared" si="118"/>
      </c>
      <c r="I51" s="49">
        <f t="shared" si="118"/>
      </c>
      <c r="J51" s="49">
        <f t="shared" si="118"/>
      </c>
      <c r="K51" s="49">
        <f t="shared" si="118"/>
      </c>
      <c r="L51" s="49">
        <f t="shared" si="118"/>
      </c>
      <c r="M51" s="49">
        <f t="shared" si="118"/>
      </c>
      <c r="N51" s="49">
        <f t="shared" si="118"/>
      </c>
      <c r="O51" s="49">
        <f t="shared" si="118"/>
      </c>
      <c r="P51" s="49">
        <f t="shared" si="118"/>
      </c>
      <c r="Q51" s="49">
        <f t="shared" si="118"/>
      </c>
      <c r="R51" s="49">
        <f t="shared" si="118"/>
      </c>
      <c r="S51" s="49">
        <f t="shared" si="118"/>
      </c>
      <c r="T51" s="49">
        <f t="shared" si="118"/>
      </c>
      <c r="U51" s="49">
        <f t="shared" si="118"/>
      </c>
      <c r="V51" s="49">
        <f t="shared" si="118"/>
      </c>
      <c r="W51" s="49">
        <f t="shared" si="118"/>
      </c>
      <c r="X51" s="49">
        <f t="shared" si="118"/>
      </c>
      <c r="Y51" s="49">
        <f t="shared" si="118"/>
      </c>
      <c r="Z51" s="49">
        <f t="shared" si="118"/>
      </c>
      <c r="AA51" s="49">
        <f t="shared" si="118"/>
      </c>
      <c r="AB51" s="49">
        <f t="shared" si="118"/>
      </c>
      <c r="AC51" s="49">
        <f t="shared" si="118"/>
      </c>
      <c r="AD51" s="49">
        <f t="shared" si="118"/>
      </c>
      <c r="AE51" s="49">
        <f t="shared" si="118"/>
      </c>
      <c r="AF51" s="49">
        <f t="shared" si="118"/>
      </c>
      <c r="AG51" s="49">
        <f t="shared" si="118"/>
      </c>
      <c r="AH51" s="49">
        <f t="shared" si="118"/>
      </c>
      <c r="AI51" s="49">
        <f t="shared" si="118"/>
      </c>
      <c r="AJ51" s="49">
        <f t="shared" si="118"/>
      </c>
      <c r="AK51" s="49">
        <f t="shared" si="118"/>
      </c>
      <c r="AL51" s="49">
        <f t="shared" si="118"/>
      </c>
      <c r="AM51" s="49">
        <f t="shared" si="118"/>
      </c>
      <c r="AN51" s="49">
        <f t="shared" si="118"/>
      </c>
      <c r="AO51" s="49">
        <f t="shared" si="118"/>
      </c>
      <c r="AP51" s="49">
        <f t="shared" si="118"/>
      </c>
      <c r="AQ51" s="49">
        <f t="shared" si="118"/>
      </c>
      <c r="AR51" s="49">
        <f t="shared" si="118"/>
      </c>
      <c r="AS51" s="49">
        <f t="shared" si="118"/>
      </c>
      <c r="AT51" s="49">
        <f t="shared" si="118"/>
      </c>
      <c r="AU51" s="49">
        <f t="shared" si="118"/>
      </c>
      <c r="AV51" s="49">
        <f t="shared" si="118"/>
      </c>
      <c r="AW51" s="49">
        <f t="shared" si="118"/>
      </c>
      <c r="AX51" s="49">
        <f t="shared" si="118"/>
      </c>
      <c r="AY51" s="49">
        <f t="shared" si="118"/>
      </c>
      <c r="AZ51" s="49">
        <f t="shared" si="118"/>
      </c>
      <c r="BA51" s="49">
        <f t="shared" si="118"/>
      </c>
      <c r="BB51" s="49">
        <f t="shared" si="118"/>
      </c>
      <c r="BC51" s="49">
        <f t="shared" si="118"/>
      </c>
      <c r="BD51" s="49">
        <f t="shared" si="118"/>
      </c>
      <c r="BE51" s="49">
        <f t="shared" si="118"/>
      </c>
      <c r="BF51" s="49">
        <f t="shared" si="118"/>
      </c>
      <c r="BG51" s="49">
        <f t="shared" si="118"/>
      </c>
      <c r="BH51" s="49">
        <f t="shared" si="118"/>
      </c>
      <c r="BI51" s="49">
        <f t="shared" si="118"/>
      </c>
      <c r="BJ51" s="49">
        <f t="shared" si="118"/>
      </c>
      <c r="BK51" s="340">
        <f t="shared" si="118"/>
      </c>
      <c r="BL51" s="340">
        <f t="shared" si="118"/>
      </c>
      <c r="BM51" s="49">
        <f t="shared" si="118"/>
      </c>
      <c r="BN51" s="49">
        <f t="shared" si="118"/>
      </c>
      <c r="BO51" s="49">
        <f t="shared" si="118"/>
      </c>
      <c r="BP51" s="49">
        <f t="shared" si="118"/>
      </c>
      <c r="BQ51" s="49">
        <f t="shared" si="118"/>
      </c>
      <c r="BR51" s="49">
        <f t="shared" si="118"/>
      </c>
      <c r="BS51" s="49">
        <f t="shared" ref="BS51:DE51" si="119">BS49/BO49-1</f>
      </c>
      <c r="BT51" s="49">
        <f t="shared" si="119"/>
      </c>
      <c r="BU51" s="49">
        <f t="shared" si="119"/>
      </c>
      <c r="BV51" s="49">
        <f t="shared" si="119"/>
      </c>
      <c r="BW51" s="49">
        <f t="shared" si="119"/>
      </c>
      <c r="BX51" s="49">
        <f t="shared" si="119"/>
      </c>
      <c r="BY51" s="49">
        <f t="shared" si="119"/>
      </c>
      <c r="BZ51" s="49">
        <f t="shared" si="119"/>
      </c>
      <c r="CA51" s="49">
        <f t="shared" si="119"/>
      </c>
      <c r="CB51" s="49">
        <f t="shared" si="119"/>
      </c>
      <c r="CC51" s="49">
        <f t="shared" si="119"/>
      </c>
      <c r="CD51" s="49">
        <f t="shared" si="119"/>
      </c>
      <c r="CE51" s="49">
        <f t="shared" si="119"/>
      </c>
      <c r="CF51" s="49">
        <f t="shared" si="119"/>
      </c>
      <c r="CG51" s="49">
        <f t="shared" si="119"/>
      </c>
      <c r="CH51" s="49">
        <f t="shared" si="119"/>
      </c>
      <c r="CI51" s="49">
        <f t="shared" si="119"/>
      </c>
      <c r="CJ51" s="49">
        <f t="shared" si="119"/>
      </c>
      <c r="CK51" s="49">
        <f t="shared" si="119"/>
      </c>
      <c r="CL51" s="49">
        <f t="shared" si="119"/>
      </c>
      <c r="CM51" s="49">
        <f t="shared" si="119"/>
      </c>
      <c r="CN51" s="49">
        <f t="shared" si="119"/>
      </c>
      <c r="CO51" s="49">
        <f t="shared" si="119"/>
      </c>
      <c r="CP51" s="49">
        <f t="shared" si="119"/>
      </c>
      <c r="CQ51" s="49">
        <f t="shared" si="119"/>
      </c>
      <c r="CR51" s="49">
        <f t="shared" si="119"/>
      </c>
      <c r="CS51" s="49">
        <f t="shared" si="119"/>
      </c>
      <c r="CT51" s="49">
        <f>CT49/CP49-1</f>
      </c>
      <c r="CU51" s="49">
        <f>CU49/CQ49-1</f>
      </c>
      <c r="CV51" s="341">
        <f t="shared" si="119"/>
      </c>
      <c r="CW51" s="341">
        <f t="shared" si="119"/>
      </c>
      <c r="CX51" s="341">
        <f t="shared" si="119"/>
      </c>
      <c r="CY51" s="341">
        <f t="shared" si="119"/>
      </c>
      <c r="CZ51" s="341">
        <f t="shared" si="119"/>
      </c>
      <c r="DA51" s="341">
        <f t="shared" si="119"/>
      </c>
      <c r="DB51" s="341">
        <f t="shared" si="119"/>
      </c>
      <c r="DC51" s="341">
        <f t="shared" si="119"/>
      </c>
      <c r="DD51" s="341">
        <f t="shared" si="119"/>
      </c>
      <c r="DE51" s="341">
        <f t="shared" si="119"/>
      </c>
      <c r="DI51" s="49">
        <f t="shared" ref="DI51:EH51" si="120">DI49/DH49-1</f>
      </c>
      <c r="DJ51" s="49">
        <f t="shared" si="120"/>
      </c>
      <c r="DK51" s="49">
        <f t="shared" si="120"/>
      </c>
      <c r="DL51" s="49">
        <f t="shared" si="120"/>
      </c>
      <c r="DM51" s="49">
        <f t="shared" si="120"/>
      </c>
      <c r="DN51" s="49">
        <f t="shared" si="120"/>
      </c>
      <c r="DO51" s="49">
        <f t="shared" si="120"/>
      </c>
      <c r="DP51" s="49">
        <f t="shared" si="120"/>
      </c>
      <c r="DQ51" s="49">
        <f t="shared" si="120"/>
      </c>
      <c r="DR51" s="49">
        <f t="shared" si="120"/>
      </c>
      <c r="DS51" s="49">
        <f t="shared" si="120"/>
      </c>
      <c r="DT51" s="49">
        <f t="shared" si="120"/>
      </c>
      <c r="DU51" s="49">
        <f t="shared" si="120"/>
      </c>
      <c r="DV51" s="49">
        <f t="shared" si="120"/>
      </c>
      <c r="DW51" s="49">
        <f t="shared" si="120"/>
      </c>
      <c r="DX51" s="49">
        <f t="shared" si="120"/>
      </c>
      <c r="DY51" s="49">
        <f t="shared" si="120"/>
      </c>
      <c r="DZ51" s="49">
        <f t="shared" si="120"/>
      </c>
      <c r="EA51" s="49">
        <f t="shared" si="120"/>
      </c>
      <c r="EB51" s="49">
        <f t="shared" si="120"/>
      </c>
      <c r="EC51" s="49">
        <f t="shared" si="120"/>
      </c>
      <c r="ED51" s="49">
        <f t="shared" si="120"/>
      </c>
      <c r="EE51" s="49">
        <f t="shared" si="120"/>
      </c>
      <c r="EF51" s="341">
        <f t="shared" si="120"/>
      </c>
      <c r="EG51" s="341">
        <f t="shared" si="120"/>
      </c>
      <c r="EH51" s="341">
        <f t="shared" si="120"/>
      </c>
    </row>
    <row r="52" spans="1:140" s="367" customFormat="1" ht="11.25" customHeight="1">
      <c r="A52" s="363" t="s">
        <v>215</v>
      </c>
      <c r="B52" s="364">
        <f>Ticker0027!V53</f>
      </c>
      <c r="C52" s="364">
        <f>Ticker0027!W53</f>
      </c>
      <c r="D52" s="364">
        <f>Ticker0027!X53</f>
      </c>
      <c r="E52" s="364">
        <f>Ticker0027!Y53</f>
      </c>
      <c r="F52" s="364">
        <f>Ticker0027!AA53</f>
      </c>
      <c r="G52" s="364">
        <f>Ticker0027!AB53</f>
      </c>
      <c r="H52" s="364">
        <f>Ticker0027!AC53</f>
      </c>
      <c r="I52" s="364" t="e">
        <f>Ticker0027!AD53</f>
      </c>
      <c r="J52" s="364" t="e">
        <f>Ticker0027!AF53</f>
      </c>
      <c r="K52" s="364" t="e">
        <f>Ticker0027!AG53</f>
      </c>
      <c r="L52" s="364">
        <f>Ticker0027!AH53</f>
      </c>
      <c r="M52" s="364">
        <f>Ticker0027!AI53</f>
      </c>
      <c r="N52" s="364">
        <f>Ticker0027!AK53</f>
      </c>
      <c r="O52" s="364">
        <f>Ticker0027!AL53</f>
      </c>
      <c r="P52" s="364">
        <f>Ticker0027!AM53</f>
      </c>
      <c r="Q52" s="364">
        <f>Ticker0027!AN53</f>
      </c>
      <c r="R52" s="364">
        <f>Ticker0027!AP53</f>
      </c>
      <c r="S52" s="364">
        <f>Ticker0027!AQ53</f>
      </c>
      <c r="T52" s="364">
        <f>Ticker0027!AR53</f>
      </c>
      <c r="U52" s="364">
        <f>Ticker0027!AS53</f>
      </c>
      <c r="V52" s="364">
        <f>Ticker0027!AU53</f>
      </c>
      <c r="W52" s="364">
        <f>Ticker0027!AV53</f>
      </c>
      <c r="X52" s="364">
        <f>Ticker0027!AW53</f>
      </c>
      <c r="Y52" s="364">
        <f>Ticker0027!AX53</f>
      </c>
      <c r="Z52" s="364">
        <f>Ticker0027!AZ53</f>
      </c>
      <c r="AA52" s="364">
        <f>Ticker0027!BA53</f>
      </c>
      <c r="AB52" s="364">
        <f>Ticker0027!BB53</f>
      </c>
      <c r="AC52" s="364">
        <f>Ticker0027!BC53</f>
      </c>
      <c r="AD52" s="364">
        <f>Ticker0027!BE53</f>
      </c>
      <c r="AE52" s="364">
        <f>Ticker0027!BF53</f>
      </c>
      <c r="AF52" s="364">
        <f>Ticker0027!BG53</f>
      </c>
      <c r="AG52" s="364">
        <f>Ticker0027!BH53</f>
      </c>
      <c r="AH52" s="364">
        <f>Ticker0027!BJ53</f>
      </c>
      <c r="AI52" s="364">
        <f>Ticker0027!BK53</f>
      </c>
      <c r="AJ52" s="364">
        <f>Ticker0027!BL53</f>
      </c>
      <c r="AK52" s="364">
        <f>Ticker0027!BM53</f>
      </c>
      <c r="AL52" s="364">
        <f>Ticker0027!BO53</f>
      </c>
      <c r="AM52" s="364">
        <f>Ticker0027!BP53</f>
      </c>
      <c r="AN52" s="364">
        <f>Ticker0027!BQ53</f>
      </c>
      <c r="AO52" s="364">
        <f>Ticker0027!BR53</f>
      </c>
      <c r="AP52" s="364">
        <f>Ticker0027!BT53</f>
      </c>
      <c r="AQ52" s="364">
        <f>Ticker0027!BU53</f>
      </c>
      <c r="AR52" s="364">
        <f>Ticker0027!BV53</f>
      </c>
      <c r="AS52" s="364">
        <f>Ticker0027!BW53</f>
      </c>
      <c r="AT52" s="364">
        <f>Ticker0027!BY53</f>
      </c>
      <c r="AU52" s="364">
        <f>Ticker0027!BZ53</f>
      </c>
      <c r="AV52" s="364">
        <f>Ticker0027!CA53</f>
      </c>
      <c r="AW52" s="364">
        <f>Ticker0027!CB53</f>
      </c>
      <c r="AX52" s="364">
        <f>Ticker0027!CD53</f>
      </c>
      <c r="AY52" s="364">
        <f>Ticker0027!CE53</f>
      </c>
      <c r="AZ52" s="364">
        <f>Ticker0027!CF53</f>
      </c>
      <c r="BA52" s="364">
        <f>Ticker0027!CG53</f>
      </c>
      <c r="BB52" s="364">
        <f>Ticker0027!CI53</f>
      </c>
      <c r="BC52" s="364">
        <f>Ticker0027!CJ53</f>
      </c>
      <c r="BD52" s="364">
        <f>Ticker0027!CK53</f>
      </c>
      <c r="BE52" s="364">
        <f>Ticker0027!CL53</f>
      </c>
      <c r="BF52" s="364">
        <f>Ticker0027!CN53</f>
      </c>
      <c r="BG52" s="364">
        <f>Ticker0027!CO53</f>
      </c>
      <c r="BH52" s="364">
        <f>Ticker0027!CP53</f>
      </c>
      <c r="BI52" s="364">
        <f>Ticker0027!CQ53</f>
      </c>
      <c r="BJ52" s="364">
        <f>Ticker0027!CS53</f>
      </c>
      <c r="BK52" s="365">
        <f>Ticker0027!CT53</f>
      </c>
      <c r="BL52" s="365">
        <f>Ticker0027!CU53</f>
      </c>
      <c r="BM52" s="364">
        <f>Ticker0027!CV53</f>
      </c>
      <c r="BN52" s="364">
        <f>Ticker0027!CX53</f>
      </c>
      <c r="BO52" s="364">
        <f>Ticker0027!CY53</f>
      </c>
      <c r="BP52" s="364">
        <f>Ticker0027!CZ53</f>
      </c>
      <c r="BQ52" s="364">
        <f>Ticker0027!DA53</f>
      </c>
      <c r="BR52" s="364">
        <f>Ticker0027!DC53</f>
      </c>
      <c r="BS52" s="364">
        <f>Ticker0027!DD53</f>
      </c>
      <c r="BT52" s="364">
        <f>Ticker0027!DE53</f>
      </c>
      <c r="BU52" s="364">
        <f>Ticker0027!DF53</f>
      </c>
      <c r="BV52" s="364">
        <f>Ticker0027!DH53</f>
      </c>
      <c r="BW52" s="364">
        <f>Ticker0027!DI53</f>
      </c>
      <c r="BX52" s="364">
        <f>Ticker0027!DJ53</f>
      </c>
      <c r="BY52" s="364">
        <f>Ticker0027!DK53</f>
      </c>
      <c r="BZ52" s="364">
        <f>Ticker0027!DM53</f>
      </c>
      <c r="CA52" s="364">
        <f>Ticker0027!DN53</f>
      </c>
      <c r="CB52" s="364">
        <f>Ticker0027!DO53</f>
      </c>
      <c r="CC52" s="364">
        <f>Ticker0027!DP53</f>
      </c>
      <c r="CD52" s="364">
        <f>Ticker0027!DR53</f>
      </c>
      <c r="CE52" s="364">
        <f>Ticker0027!DS53</f>
      </c>
      <c r="CF52" s="364">
        <f>Ticker0027!DT53</f>
      </c>
      <c r="CG52" s="364">
        <f>Ticker0027!DU53</f>
      </c>
      <c r="CH52" s="364">
        <f>Ticker0027!DW53</f>
      </c>
      <c r="CI52" s="364">
        <f>Ticker0027!DX53</f>
      </c>
      <c r="CJ52" s="364">
        <f>Ticker0027!DY53</f>
      </c>
      <c r="CK52" s="364">
        <f>Ticker0027!DZ53</f>
      </c>
      <c r="CL52" s="364">
        <f>Ticker0027!EB53</f>
      </c>
      <c r="CM52" s="364">
        <f>Ticker0027!EC53</f>
      </c>
      <c r="CN52" s="364">
        <f>Ticker0027!ED53</f>
      </c>
      <c r="CO52" s="364">
        <f>Ticker0027!EE53</f>
      </c>
      <c r="CP52" s="364">
        <f>Ticker0027!EG53</f>
      </c>
      <c r="CQ52" s="364">
        <f>Ticker0027!EH53</f>
      </c>
      <c r="CR52" s="364">
        <f>Ticker0027!EI53</f>
      </c>
      <c r="CS52" s="364">
        <f>Ticker0027!EJ53</f>
      </c>
      <c r="CT52" s="364">
        <f>Ticker0027!EL53</f>
      </c>
      <c r="CU52" s="364">
        <f>Ticker0027!EM53</f>
      </c>
      <c r="CV52" s="366">
        <f>Ticker0027!EN53</f>
      </c>
      <c r="CW52" s="366">
        <f>Ticker0027!EO53</f>
      </c>
      <c r="CX52" s="366">
        <f>Ticker0027!EQ53</f>
      </c>
      <c r="CY52" s="366">
        <f>Ticker0027!ER53</f>
      </c>
      <c r="CZ52" s="366">
        <f>Ticker0027!ES53</f>
      </c>
      <c r="DA52" s="366">
        <f>Ticker0027!ET53</f>
      </c>
      <c r="DB52" s="366">
        <f>Ticker0027!EV53</f>
      </c>
      <c r="DC52" s="366">
        <f>Ticker0027!EW53</f>
      </c>
      <c r="DD52" s="366">
        <f>Ticker0027!EX53</f>
      </c>
      <c r="DE52" s="366">
        <f>Ticker0027!EY53</f>
      </c>
      <c r="DH52" s="364">
        <f>SUM(B52:E52)</f>
      </c>
      <c r="DI52" s="364" t="e">
        <f>SUM(F52:I52)</f>
      </c>
      <c r="DJ52" s="364" t="e">
        <f>SUM(J52:M52)</f>
      </c>
      <c r="DK52" s="364">
        <f>SUM(N52:Q52)</f>
      </c>
      <c r="DL52" s="364">
        <f>SUM(R52:U52)</f>
      </c>
      <c r="DM52" s="364">
        <f>SUM(V52:Y52)</f>
      </c>
      <c r="DN52" s="364">
        <f>SUM(Z52:AC52)</f>
      </c>
      <c r="DO52" s="364">
        <f>SUM(AD52:AG52)</f>
      </c>
      <c r="DP52" s="364">
        <f>SUM(AH52:AK52)</f>
      </c>
      <c r="DQ52" s="364">
        <f>SUM(AL52:AO52)</f>
      </c>
      <c r="DR52" s="364">
        <f>SUM(AP52:AS52)</f>
      </c>
      <c r="DS52" s="364">
        <f>SUM(AT52:AW52)</f>
      </c>
      <c r="DT52" s="364">
        <f>SUM(AX52:BA52)</f>
      </c>
      <c r="DU52" s="364">
        <f>SUM(BB52:BE52)</f>
      </c>
      <c r="DV52" s="364">
        <f>SUM(BF52:BI52)</f>
      </c>
      <c r="DW52" s="364">
        <f>SUM(BJ52:BM52)</f>
      </c>
      <c r="DX52" s="364">
        <f>Ticker0027!DB53</f>
      </c>
      <c r="DY52" s="364">
        <f>Ticker0027!DG53</f>
      </c>
      <c r="DZ52" s="364">
        <f>Ticker0027!DL53</f>
      </c>
      <c r="EA52" s="368">
        <f>Ticker0027!DQ53</f>
      </c>
      <c r="EB52" s="368">
        <f>Ticker0027!DV53</f>
      </c>
      <c r="EC52" s="368">
        <f>Ticker0027!EA53</f>
      </c>
      <c r="ED52" s="368">
        <f>Ticker0027!EF53</f>
      </c>
      <c r="EE52" s="368">
        <f>Ticker0027!EK53</f>
      </c>
      <c r="EF52" s="369">
        <f>Ticker0027!EP53</f>
      </c>
      <c r="EG52" s="369">
        <f>Ticker0027!EU53</f>
      </c>
      <c r="EH52" s="369">
        <f>Ticker0027!EZ53</f>
      </c>
    </row>
    <row r="53" spans="1:140" s="49" customFormat="1" ht="11.25" customHeight="1">
      <c r="A53" s="48" t="s">
        <v>196</v>
      </c>
      <c r="C53" s="49">
        <f t="shared" ref="C53:BN53" si="121">C52/B52-1</f>
      </c>
      <c r="D53" s="49">
        <f t="shared" si="121"/>
      </c>
      <c r="E53" s="49">
        <f t="shared" si="121"/>
      </c>
      <c r="F53" s="49">
        <f t="shared" si="121"/>
      </c>
      <c r="G53" s="49">
        <f t="shared" si="121"/>
      </c>
      <c r="H53" s="49">
        <f t="shared" si="121"/>
      </c>
      <c r="I53" s="49" t="e">
        <f t="shared" si="121"/>
      </c>
      <c r="J53" s="49" t="e">
        <f t="shared" si="121"/>
      </c>
      <c r="K53" s="49" t="e">
        <f t="shared" si="121"/>
      </c>
      <c r="L53" s="49" t="e">
        <f t="shared" si="121"/>
      </c>
      <c r="M53" s="49">
        <f t="shared" si="121"/>
      </c>
      <c r="N53" s="49">
        <f t="shared" si="121"/>
      </c>
      <c r="O53" s="49">
        <f t="shared" si="121"/>
      </c>
      <c r="P53" s="49">
        <f t="shared" si="121"/>
      </c>
      <c r="Q53" s="49">
        <f t="shared" si="121"/>
      </c>
      <c r="R53" s="49">
        <f t="shared" si="121"/>
      </c>
      <c r="S53" s="49">
        <f t="shared" si="121"/>
      </c>
      <c r="T53" s="49">
        <f t="shared" si="121"/>
      </c>
      <c r="U53" s="49">
        <f t="shared" si="121"/>
      </c>
      <c r="V53" s="49">
        <f t="shared" si="121"/>
      </c>
      <c r="W53" s="49">
        <f t="shared" si="121"/>
      </c>
      <c r="X53" s="49">
        <f t="shared" si="121"/>
      </c>
      <c r="Y53" s="49">
        <f t="shared" si="121"/>
      </c>
      <c r="Z53" s="49">
        <f t="shared" si="121"/>
      </c>
      <c r="AA53" s="49">
        <f t="shared" si="121"/>
      </c>
      <c r="AB53" s="49">
        <f t="shared" si="121"/>
      </c>
      <c r="AC53" s="49">
        <f t="shared" si="121"/>
      </c>
      <c r="AD53" s="49">
        <f t="shared" si="121"/>
      </c>
      <c r="AE53" s="49">
        <f t="shared" si="121"/>
      </c>
      <c r="AF53" s="49">
        <f t="shared" si="121"/>
      </c>
      <c r="AG53" s="49">
        <f t="shared" si="121"/>
      </c>
      <c r="AH53" s="49">
        <f t="shared" si="121"/>
      </c>
      <c r="AI53" s="49">
        <f t="shared" si="121"/>
      </c>
      <c r="AJ53" s="49">
        <f t="shared" si="121"/>
      </c>
      <c r="AK53" s="49">
        <f t="shared" si="121"/>
      </c>
      <c r="AL53" s="49">
        <f t="shared" si="121"/>
      </c>
      <c r="AM53" s="49">
        <f t="shared" si="121"/>
      </c>
      <c r="AN53" s="49">
        <f t="shared" si="121"/>
      </c>
      <c r="AO53" s="49">
        <f t="shared" si="121"/>
      </c>
      <c r="AP53" s="49">
        <f t="shared" si="121"/>
      </c>
      <c r="AQ53" s="49">
        <f t="shared" si="121"/>
      </c>
      <c r="AR53" s="49">
        <f t="shared" si="121"/>
      </c>
      <c r="AS53" s="49">
        <f t="shared" si="121"/>
      </c>
      <c r="AT53" s="49">
        <f t="shared" si="121"/>
      </c>
      <c r="AU53" s="49">
        <f t="shared" si="121"/>
      </c>
      <c r="AV53" s="49">
        <f t="shared" si="121"/>
      </c>
      <c r="AW53" s="49">
        <f t="shared" si="121"/>
      </c>
      <c r="AX53" s="49">
        <f t="shared" si="121"/>
      </c>
      <c r="AY53" s="49">
        <f t="shared" si="121"/>
      </c>
      <c r="AZ53" s="49">
        <f t="shared" si="121"/>
      </c>
      <c r="BA53" s="49">
        <f t="shared" si="121"/>
      </c>
      <c r="BB53" s="49">
        <f t="shared" si="121"/>
      </c>
      <c r="BC53" s="49">
        <f t="shared" si="121"/>
      </c>
      <c r="BD53" s="49">
        <f t="shared" si="121"/>
      </c>
      <c r="BE53" s="49">
        <f t="shared" si="121"/>
      </c>
      <c r="BF53" s="49">
        <f t="shared" si="121"/>
      </c>
      <c r="BG53" s="49">
        <f t="shared" si="121"/>
      </c>
      <c r="BH53" s="49">
        <f t="shared" si="121"/>
      </c>
      <c r="BI53" s="49">
        <f t="shared" si="121"/>
      </c>
      <c r="BJ53" s="49">
        <f t="shared" si="121"/>
      </c>
      <c r="BK53" s="340">
        <f t="shared" si="121"/>
      </c>
      <c r="BL53" s="340">
        <f t="shared" si="121"/>
      </c>
      <c r="BM53" s="49">
        <f t="shared" si="121"/>
      </c>
      <c r="BN53" s="49">
        <f t="shared" si="121"/>
      </c>
      <c r="BO53" s="49">
        <f t="shared" ref="BO53:DE53" si="122">BO52/BN52-1</f>
      </c>
      <c r="BP53" s="49">
        <f t="shared" si="122"/>
      </c>
      <c r="BQ53" s="49">
        <f t="shared" si="122"/>
      </c>
      <c r="BR53" s="49">
        <f t="shared" si="122"/>
      </c>
      <c r="BS53" s="49">
        <f t="shared" si="122"/>
      </c>
      <c r="BT53" s="49">
        <f t="shared" si="122"/>
      </c>
      <c r="BU53" s="49">
        <f t="shared" si="122"/>
      </c>
      <c r="BV53" s="49">
        <f t="shared" si="122"/>
      </c>
      <c r="BW53" s="49">
        <f t="shared" si="122"/>
      </c>
      <c r="BX53" s="49">
        <f t="shared" si="122"/>
      </c>
      <c r="BY53" s="49">
        <f t="shared" si="122"/>
      </c>
      <c r="BZ53" s="49">
        <f t="shared" si="122"/>
      </c>
      <c r="CA53" s="49">
        <f t="shared" si="122"/>
      </c>
      <c r="CB53" s="49">
        <f t="shared" si="122"/>
      </c>
      <c r="CC53" s="49">
        <f t="shared" si="122"/>
      </c>
      <c r="CD53" s="49">
        <f t="shared" si="122"/>
      </c>
      <c r="CE53" s="49">
        <f t="shared" si="122"/>
      </c>
      <c r="CF53" s="49">
        <f t="shared" si="122"/>
      </c>
      <c r="CG53" s="49">
        <f t="shared" si="122"/>
      </c>
      <c r="CH53" s="49">
        <f t="shared" si="122"/>
      </c>
      <c r="CI53" s="49">
        <f t="shared" si="122"/>
      </c>
      <c r="CJ53" s="49">
        <f t="shared" si="122"/>
      </c>
      <c r="CK53" s="49">
        <f t="shared" si="122"/>
      </c>
      <c r="CL53" s="49">
        <f t="shared" si="122"/>
      </c>
      <c r="CM53" s="49">
        <f t="shared" si="122"/>
      </c>
      <c r="CN53" s="49">
        <f t="shared" si="122"/>
      </c>
      <c r="CO53" s="49">
        <f t="shared" si="122"/>
      </c>
      <c r="CP53" s="49">
        <f t="shared" si="122"/>
      </c>
      <c r="CQ53" s="49">
        <f t="shared" si="122"/>
      </c>
      <c r="CR53" s="49">
        <f t="shared" si="122"/>
      </c>
      <c r="CS53" s="49">
        <f t="shared" si="122"/>
      </c>
      <c r="CT53" s="49">
        <f>CT52/CS52-1</f>
      </c>
      <c r="CU53" s="49">
        <f>CU52/CT52-1</f>
      </c>
      <c r="CV53" s="341">
        <f t="shared" si="122"/>
      </c>
      <c r="CW53" s="341">
        <f t="shared" si="122"/>
      </c>
      <c r="CX53" s="341">
        <f t="shared" si="122"/>
      </c>
      <c r="CY53" s="341">
        <f t="shared" si="122"/>
      </c>
      <c r="CZ53" s="341">
        <f t="shared" si="122"/>
      </c>
      <c r="DA53" s="341">
        <f t="shared" si="122"/>
      </c>
      <c r="DB53" s="341">
        <f t="shared" si="122"/>
      </c>
      <c r="DC53" s="341">
        <f t="shared" si="122"/>
      </c>
      <c r="DD53" s="341">
        <f t="shared" si="122"/>
      </c>
      <c r="DE53" s="341">
        <f t="shared" si="122"/>
      </c>
      <c r="DH53" s="342" t="s">
        <v>197</v>
      </c>
      <c r="DI53" s="342" t="s">
        <v>197</v>
      </c>
      <c r="DJ53" s="342" t="s">
        <v>197</v>
      </c>
      <c r="DK53" s="342" t="s">
        <v>197</v>
      </c>
      <c r="DL53" s="342" t="s">
        <v>197</v>
      </c>
      <c r="DM53" s="342" t="s">
        <v>197</v>
      </c>
      <c r="DN53" s="342" t="s">
        <v>197</v>
      </c>
      <c r="DO53" s="342" t="s">
        <v>197</v>
      </c>
      <c r="DP53" s="342" t="s">
        <v>197</v>
      </c>
      <c r="DQ53" s="342" t="s">
        <v>197</v>
      </c>
      <c r="DR53" s="342" t="s">
        <v>197</v>
      </c>
      <c r="DS53" s="342" t="s">
        <v>197</v>
      </c>
      <c r="DT53" s="342" t="s">
        <v>197</v>
      </c>
      <c r="DU53" s="342" t="s">
        <v>197</v>
      </c>
      <c r="DV53" s="342" t="s">
        <v>197</v>
      </c>
      <c r="DW53" s="342" t="s">
        <v>197</v>
      </c>
      <c r="DX53" s="342" t="s">
        <v>197</v>
      </c>
      <c r="DY53" s="342" t="s">
        <v>197</v>
      </c>
      <c r="DZ53" s="342" t="s">
        <v>197</v>
      </c>
      <c r="EA53" s="342" t="s">
        <v>197</v>
      </c>
      <c r="EB53" s="342" t="s">
        <v>197</v>
      </c>
      <c r="EC53" s="342" t="s">
        <v>197</v>
      </c>
      <c r="ED53" s="342" t="s">
        <v>197</v>
      </c>
      <c r="EE53" s="342" t="s">
        <v>197</v>
      </c>
      <c r="EF53" s="343" t="s">
        <v>197</v>
      </c>
      <c r="EG53" s="343" t="s">
        <v>197</v>
      </c>
      <c r="EH53" s="343" t="s">
        <v>197</v>
      </c>
    </row>
    <row r="54" spans="1:140" s="49" customFormat="1" ht="11.25" customHeight="1">
      <c r="A54" s="48" t="s">
        <v>198</v>
      </c>
      <c r="F54" s="49">
        <f t="shared" ref="F54:BQ54" si="123">F52/B52-1</f>
      </c>
      <c r="G54" s="49">
        <f t="shared" si="123"/>
      </c>
      <c r="H54" s="49">
        <f t="shared" si="123"/>
      </c>
      <c r="I54" s="49" t="e">
        <f t="shared" si="123"/>
      </c>
      <c r="J54" s="49" t="e">
        <f t="shared" si="123"/>
      </c>
      <c r="K54" s="49" t="e">
        <f t="shared" si="123"/>
      </c>
      <c r="L54" s="49">
        <f t="shared" si="123"/>
      </c>
      <c r="M54" s="49" t="e">
        <f t="shared" si="123"/>
      </c>
      <c r="N54" s="49" t="e">
        <f t="shared" si="123"/>
      </c>
      <c r="O54" s="49" t="e">
        <f t="shared" si="123"/>
      </c>
      <c r="P54" s="49">
        <f t="shared" si="123"/>
      </c>
      <c r="Q54" s="49">
        <f t="shared" si="123"/>
      </c>
      <c r="R54" s="49">
        <f t="shared" si="123"/>
      </c>
      <c r="S54" s="49">
        <f t="shared" si="123"/>
      </c>
      <c r="T54" s="49">
        <f t="shared" si="123"/>
      </c>
      <c r="U54" s="49">
        <f t="shared" si="123"/>
      </c>
      <c r="V54" s="49">
        <f t="shared" si="123"/>
      </c>
      <c r="W54" s="49">
        <f t="shared" si="123"/>
      </c>
      <c r="X54" s="49">
        <f t="shared" si="123"/>
      </c>
      <c r="Y54" s="49">
        <f t="shared" si="123"/>
      </c>
      <c r="Z54" s="49">
        <f t="shared" si="123"/>
      </c>
      <c r="AA54" s="49">
        <f t="shared" si="123"/>
      </c>
      <c r="AB54" s="49">
        <f t="shared" si="123"/>
      </c>
      <c r="AC54" s="49">
        <f t="shared" si="123"/>
      </c>
      <c r="AD54" s="49">
        <f t="shared" si="123"/>
      </c>
      <c r="AE54" s="49">
        <f t="shared" si="123"/>
      </c>
      <c r="AF54" s="49">
        <f t="shared" si="123"/>
      </c>
      <c r="AG54" s="49">
        <f t="shared" si="123"/>
      </c>
      <c r="AH54" s="49">
        <f t="shared" si="123"/>
      </c>
      <c r="AI54" s="49">
        <f t="shared" si="123"/>
      </c>
      <c r="AJ54" s="49">
        <f t="shared" si="123"/>
      </c>
      <c r="AK54" s="49">
        <f t="shared" si="123"/>
      </c>
      <c r="AL54" s="49">
        <f t="shared" si="123"/>
      </c>
      <c r="AM54" s="49">
        <f t="shared" si="123"/>
      </c>
      <c r="AN54" s="49">
        <f t="shared" si="123"/>
      </c>
      <c r="AO54" s="49">
        <f t="shared" si="123"/>
      </c>
      <c r="AP54" s="49">
        <f t="shared" si="123"/>
      </c>
      <c r="AQ54" s="49">
        <f t="shared" si="123"/>
      </c>
      <c r="AR54" s="49">
        <f t="shared" si="123"/>
      </c>
      <c r="AS54" s="49">
        <f t="shared" si="123"/>
      </c>
      <c r="AT54" s="49">
        <f t="shared" si="123"/>
      </c>
      <c r="AU54" s="49">
        <f t="shared" si="123"/>
      </c>
      <c r="AV54" s="49">
        <f t="shared" si="123"/>
      </c>
      <c r="AW54" s="49">
        <f t="shared" si="123"/>
      </c>
      <c r="AX54" s="49">
        <f t="shared" si="123"/>
      </c>
      <c r="AY54" s="49">
        <f t="shared" si="123"/>
      </c>
      <c r="AZ54" s="49">
        <f t="shared" si="123"/>
      </c>
      <c r="BA54" s="49">
        <f t="shared" si="123"/>
      </c>
      <c r="BB54" s="49">
        <f t="shared" si="123"/>
      </c>
      <c r="BC54" s="49">
        <f t="shared" si="123"/>
      </c>
      <c r="BD54" s="49">
        <f t="shared" si="123"/>
      </c>
      <c r="BE54" s="49">
        <f t="shared" si="123"/>
      </c>
      <c r="BF54" s="49">
        <f t="shared" si="123"/>
      </c>
      <c r="BG54" s="49">
        <f t="shared" si="123"/>
      </c>
      <c r="BH54" s="49">
        <f t="shared" si="123"/>
      </c>
      <c r="BI54" s="49">
        <f t="shared" si="123"/>
      </c>
      <c r="BJ54" s="49">
        <f t="shared" si="123"/>
      </c>
      <c r="BK54" s="340">
        <f t="shared" si="123"/>
      </c>
      <c r="BL54" s="340">
        <f t="shared" si="123"/>
      </c>
      <c r="BM54" s="49">
        <f t="shared" si="123"/>
      </c>
      <c r="BN54" s="49">
        <f t="shared" si="123"/>
      </c>
      <c r="BO54" s="49">
        <f t="shared" si="123"/>
      </c>
      <c r="BP54" s="49">
        <f>BP52/BL52-1</f>
      </c>
      <c r="BQ54" s="49">
        <f t="shared" si="123"/>
      </c>
      <c r="BR54" s="49">
        <f t="shared" ref="BR54:DE54" si="124">BR52/BN52-1</f>
      </c>
      <c r="BS54" s="49">
        <f t="shared" si="124"/>
      </c>
      <c r="BT54" s="49">
        <f t="shared" si="124"/>
      </c>
      <c r="BU54" s="49">
        <f t="shared" si="124"/>
      </c>
      <c r="BV54" s="49">
        <f t="shared" si="124"/>
      </c>
      <c r="BW54" s="49">
        <f t="shared" si="124"/>
      </c>
      <c r="BX54" s="49">
        <f t="shared" si="124"/>
      </c>
      <c r="BY54" s="49">
        <f t="shared" si="124"/>
      </c>
      <c r="BZ54" s="49">
        <f t="shared" si="124"/>
      </c>
      <c r="CA54" s="49">
        <f t="shared" si="124"/>
      </c>
      <c r="CB54" s="49">
        <f t="shared" si="124"/>
      </c>
      <c r="CC54" s="49">
        <f t="shared" si="124"/>
      </c>
      <c r="CD54" s="49">
        <f t="shared" si="124"/>
      </c>
      <c r="CE54" s="49">
        <f t="shared" si="124"/>
      </c>
      <c r="CF54" s="49">
        <f t="shared" si="124"/>
      </c>
      <c r="CG54" s="49">
        <f t="shared" si="124"/>
      </c>
      <c r="CH54" s="49">
        <f t="shared" si="124"/>
      </c>
      <c r="CI54" s="49">
        <f t="shared" si="124"/>
      </c>
      <c r="CJ54" s="49">
        <f t="shared" si="124"/>
      </c>
      <c r="CK54" s="49">
        <f t="shared" si="124"/>
      </c>
      <c r="CL54" s="49">
        <f t="shared" si="124"/>
      </c>
      <c r="CM54" s="49">
        <f t="shared" si="124"/>
      </c>
      <c r="CN54" s="49">
        <f t="shared" si="124"/>
      </c>
      <c r="CO54" s="49">
        <f t="shared" si="124"/>
      </c>
      <c r="CP54" s="49">
        <f t="shared" si="124"/>
      </c>
      <c r="CQ54" s="49">
        <f t="shared" si="124"/>
      </c>
      <c r="CR54" s="49">
        <f t="shared" si="124"/>
      </c>
      <c r="CS54" s="49">
        <f t="shared" si="124"/>
      </c>
      <c r="CT54" s="49">
        <f>CT52/CP52-1</f>
      </c>
      <c r="CU54" s="49">
        <f>CU52/CQ52-1</f>
      </c>
      <c r="CV54" s="341">
        <f t="shared" si="124"/>
      </c>
      <c r="CW54" s="341">
        <f t="shared" si="124"/>
      </c>
      <c r="CX54" s="341">
        <f t="shared" si="124"/>
      </c>
      <c r="CY54" s="341">
        <f t="shared" si="124"/>
      </c>
      <c r="CZ54" s="341">
        <f t="shared" si="124"/>
      </c>
      <c r="DA54" s="341">
        <f t="shared" si="124"/>
      </c>
      <c r="DB54" s="341">
        <f t="shared" si="124"/>
      </c>
      <c r="DC54" s="341">
        <f t="shared" si="124"/>
      </c>
      <c r="DD54" s="341">
        <f t="shared" si="124"/>
      </c>
      <c r="DE54" s="341">
        <f t="shared" si="124"/>
      </c>
      <c r="DI54" s="49" t="e">
        <f t="shared" ref="DI54:EH54" si="125">DI52/DH52-1</f>
      </c>
      <c r="DJ54" s="49" t="e">
        <f t="shared" si="125"/>
      </c>
      <c r="DK54" s="49" t="e">
        <f t="shared" si="125"/>
      </c>
      <c r="DL54" s="49">
        <f t="shared" si="125"/>
      </c>
      <c r="DM54" s="49">
        <f t="shared" si="125"/>
      </c>
      <c r="DN54" s="49">
        <f t="shared" si="125"/>
      </c>
      <c r="DO54" s="49">
        <f t="shared" si="125"/>
      </c>
      <c r="DP54" s="49">
        <f t="shared" si="125"/>
      </c>
      <c r="DQ54" s="49">
        <f t="shared" si="125"/>
      </c>
      <c r="DR54" s="49">
        <f t="shared" si="125"/>
      </c>
      <c r="DS54" s="49">
        <f t="shared" si="125"/>
      </c>
      <c r="DT54" s="49">
        <f t="shared" si="125"/>
      </c>
      <c r="DU54" s="49">
        <f t="shared" si="125"/>
      </c>
      <c r="DV54" s="49">
        <f t="shared" si="125"/>
      </c>
      <c r="DW54" s="49">
        <f t="shared" si="125"/>
      </c>
      <c r="DX54" s="49">
        <f t="shared" si="125"/>
      </c>
      <c r="DY54" s="49">
        <f t="shared" si="125"/>
      </c>
      <c r="DZ54" s="49">
        <f t="shared" si="125"/>
      </c>
      <c r="EA54" s="49">
        <f t="shared" si="125"/>
      </c>
      <c r="EB54" s="49">
        <f t="shared" si="125"/>
      </c>
      <c r="EC54" s="49">
        <f t="shared" si="125"/>
      </c>
      <c r="ED54" s="49">
        <f t="shared" si="125"/>
      </c>
      <c r="EE54" s="49">
        <f t="shared" si="125"/>
      </c>
      <c r="EF54" s="341">
        <f t="shared" si="125"/>
      </c>
      <c r="EG54" s="341">
        <f t="shared" si="125"/>
      </c>
      <c r="EH54" s="341">
        <f t="shared" si="125"/>
      </c>
      <c r="EJ54" s="370"/>
    </row>
    <row r="55" spans="1:140" s="367" customFormat="1" ht="11.25" customHeight="1">
      <c r="A55" s="363" t="s">
        <v>216</v>
      </c>
      <c r="B55" s="364">
        <f>Ticker0027!V58</f>
      </c>
      <c r="C55" s="364">
        <f>Ticker0027!W58</f>
      </c>
      <c r="D55" s="364">
        <f>Ticker0027!X58</f>
      </c>
      <c r="E55" s="364">
        <f>Ticker0027!Y58</f>
      </c>
      <c r="F55" s="364">
        <f>Ticker0027!AA58</f>
      </c>
      <c r="G55" s="364">
        <f>Ticker0027!AB58</f>
      </c>
      <c r="H55" s="364">
        <f>Ticker0027!AC58</f>
      </c>
      <c r="I55" s="364">
        <f>Ticker0027!AD58</f>
      </c>
      <c r="J55" s="364">
        <f>Ticker0027!AF58</f>
      </c>
      <c r="K55" s="364">
        <f>Ticker0027!AG58</f>
      </c>
      <c r="L55" s="364">
        <f>Ticker0027!AH58</f>
      </c>
      <c r="M55" s="364">
        <f>Ticker0027!AI58</f>
      </c>
      <c r="N55" s="364">
        <f>Ticker0027!AK58</f>
      </c>
      <c r="O55" s="364">
        <f>Ticker0027!AL58</f>
      </c>
      <c r="P55" s="364">
        <f>Ticker0027!AM58</f>
      </c>
      <c r="Q55" s="364">
        <f>Ticker0027!AN58</f>
      </c>
      <c r="R55" s="364">
        <f>Ticker0027!AP58</f>
      </c>
      <c r="S55" s="364">
        <f>Ticker0027!AQ58</f>
      </c>
      <c r="T55" s="364">
        <f>Ticker0027!AR58</f>
      </c>
      <c r="U55" s="364">
        <f>Ticker0027!AS58</f>
      </c>
      <c r="V55" s="364">
        <f>Ticker0027!AU58</f>
      </c>
      <c r="W55" s="364">
        <f>Ticker0027!AV58</f>
      </c>
      <c r="X55" s="364">
        <f>Ticker0027!AW58</f>
      </c>
      <c r="Y55" s="364">
        <f>Ticker0027!AX58</f>
      </c>
      <c r="Z55" s="364">
        <f>Ticker0027!AZ58</f>
      </c>
      <c r="AA55" s="364">
        <f>Ticker0027!BA58</f>
      </c>
      <c r="AB55" s="364">
        <f>Ticker0027!BB58</f>
      </c>
      <c r="AC55" s="364">
        <f>Ticker0027!BC58</f>
      </c>
      <c r="AD55" s="364">
        <f>Ticker0027!BE58</f>
      </c>
      <c r="AE55" s="364">
        <f>Ticker0027!BF58</f>
      </c>
      <c r="AF55" s="364">
        <f>Ticker0027!BG58</f>
      </c>
      <c r="AG55" s="364">
        <f>Ticker0027!BH58</f>
      </c>
      <c r="AH55" s="364">
        <f>Ticker0027!BJ58</f>
      </c>
      <c r="AI55" s="364">
        <f>Ticker0027!BK58</f>
      </c>
      <c r="AJ55" s="364">
        <f>Ticker0027!BL58</f>
      </c>
      <c r="AK55" s="364">
        <f>Ticker0027!BM58</f>
      </c>
      <c r="AL55" s="364">
        <f>Ticker0027!BO58</f>
      </c>
      <c r="AM55" s="364">
        <f>Ticker0027!BP58</f>
      </c>
      <c r="AN55" s="364">
        <f>Ticker0027!BQ58</f>
      </c>
      <c r="AO55" s="364">
        <f>Ticker0027!BR58</f>
      </c>
      <c r="AP55" s="364">
        <f>Ticker0027!BT58</f>
      </c>
      <c r="AQ55" s="364">
        <f>Ticker0027!BU58</f>
      </c>
      <c r="AR55" s="364">
        <f>Ticker0027!BV58</f>
      </c>
      <c r="AS55" s="364">
        <f>Ticker0027!BW58</f>
      </c>
      <c r="AT55" s="364">
        <f>Ticker0027!BY58</f>
      </c>
      <c r="AU55" s="364">
        <f>Ticker0027!BZ58</f>
      </c>
      <c r="AV55" s="364">
        <f>Ticker0027!CA58</f>
      </c>
      <c r="AW55" s="364">
        <f>Ticker0027!CB58</f>
      </c>
      <c r="AX55" s="364">
        <f>Ticker0027!CD58</f>
      </c>
      <c r="AY55" s="364">
        <f>Ticker0027!CE58</f>
      </c>
      <c r="AZ55" s="364">
        <f>Ticker0027!CF58</f>
      </c>
      <c r="BA55" s="364">
        <f>Ticker0027!CG58</f>
      </c>
      <c r="BB55" s="364">
        <f>Ticker0027!CI58</f>
      </c>
      <c r="BC55" s="364">
        <f>Ticker0027!CJ58</f>
      </c>
      <c r="BD55" s="364">
        <f>Ticker0027!CK58</f>
      </c>
      <c r="BE55" s="364">
        <f>Ticker0027!CL58</f>
      </c>
      <c r="BF55" s="364">
        <f>Ticker0027!CN58</f>
      </c>
      <c r="BG55" s="364">
        <f>Ticker0027!CO58</f>
      </c>
      <c r="BH55" s="364">
        <f>Ticker0027!CP58</f>
      </c>
      <c r="BI55" s="364">
        <f>Ticker0027!CQ58</f>
      </c>
      <c r="BJ55" s="364">
        <f>Ticker0027!CS58</f>
      </c>
      <c r="BK55" s="365">
        <f>Ticker0027!CT58</f>
      </c>
      <c r="BL55" s="365">
        <f>Ticker0027!CU58</f>
      </c>
      <c r="BM55" s="364">
        <f>Ticker0027!CV58</f>
      </c>
      <c r="BN55" s="364">
        <f>Ticker0027!CX58</f>
      </c>
      <c r="BO55" s="364">
        <f>Ticker0027!CY58</f>
      </c>
      <c r="BP55" s="364">
        <f>Ticker0027!CZ58</f>
      </c>
      <c r="BQ55" s="364">
        <f>Ticker0027!DA58</f>
      </c>
      <c r="BR55" s="364">
        <f>Ticker0027!DC58</f>
      </c>
      <c r="BS55" s="364">
        <f>Ticker0027!DD58</f>
      </c>
      <c r="BT55" s="364">
        <f>Ticker0027!DE58</f>
      </c>
      <c r="BU55" s="364">
        <f>Ticker0027!DF58</f>
      </c>
      <c r="BV55" s="364">
        <f>Ticker0027!DH58</f>
      </c>
      <c r="BW55" s="364">
        <f>Ticker0027!DI58</f>
      </c>
      <c r="BX55" s="364">
        <f>Ticker0027!DJ58</f>
      </c>
      <c r="BY55" s="364">
        <f>Ticker0027!DK58</f>
      </c>
      <c r="BZ55" s="364">
        <f>Ticker0027!DM58</f>
      </c>
      <c r="CA55" s="364">
        <f>Ticker0027!DN58</f>
      </c>
      <c r="CB55" s="364">
        <f>Ticker0027!DO58</f>
      </c>
      <c r="CC55" s="364">
        <f>Ticker0027!DP58</f>
      </c>
      <c r="CD55" s="364">
        <f>Ticker0027!DR58</f>
      </c>
      <c r="CE55" s="364">
        <f>Ticker0027!DS58</f>
      </c>
      <c r="CF55" s="364">
        <f>Ticker0027!DT58</f>
      </c>
      <c r="CG55" s="364">
        <f>Ticker0027!DU58</f>
      </c>
      <c r="CH55" s="364">
        <f>Ticker0027!DW58</f>
      </c>
      <c r="CI55" s="364">
        <f>Ticker0027!DX58</f>
      </c>
      <c r="CJ55" s="364">
        <f>Ticker0027!DY58</f>
      </c>
      <c r="CK55" s="364">
        <f>Ticker0027!DZ58</f>
      </c>
      <c r="CL55" s="364">
        <f>Ticker0027!EB58</f>
      </c>
      <c r="CM55" s="364">
        <f>Ticker0027!EC58</f>
      </c>
      <c r="CN55" s="364">
        <f>Ticker0027!ED58</f>
      </c>
      <c r="CO55" s="364">
        <f>Ticker0027!EE58</f>
      </c>
      <c r="CP55" s="364">
        <f>Ticker0027!EG58</f>
      </c>
      <c r="CQ55" s="364">
        <f>Ticker0027!EH58</f>
      </c>
      <c r="CR55" s="364">
        <f>Ticker0027!EI58</f>
      </c>
      <c r="CS55" s="364">
        <f>Ticker0027!EJ58</f>
      </c>
      <c r="CT55" s="364">
        <f>Ticker0027!EL58</f>
      </c>
      <c r="CU55" s="364">
        <f>Ticker0027!EM58</f>
      </c>
      <c r="CV55" s="366">
        <f>Ticker0027!EN58</f>
      </c>
      <c r="CW55" s="366">
        <f>Ticker0027!EO58</f>
      </c>
      <c r="CX55" s="366">
        <f>Ticker0027!EQ58</f>
      </c>
      <c r="CY55" s="366">
        <f>Ticker0027!ER58</f>
      </c>
      <c r="CZ55" s="366">
        <f>Ticker0027!ES58</f>
      </c>
      <c r="DA55" s="366">
        <f>Ticker0027!ET58</f>
      </c>
      <c r="DB55" s="366">
        <f>Ticker0027!EV58</f>
      </c>
      <c r="DC55" s="366">
        <f>Ticker0027!EW58</f>
      </c>
      <c r="DD55" s="366">
        <f>Ticker0027!EX58</f>
      </c>
      <c r="DE55" s="366">
        <f>Ticker0027!EY58</f>
      </c>
      <c r="DH55" s="364">
        <f>SUM(B55:E55)</f>
      </c>
      <c r="DI55" s="364">
        <f>SUM(F55:I55)</f>
      </c>
      <c r="DJ55" s="364">
        <f>SUM(J55:M55)</f>
      </c>
      <c r="DK55" s="364">
        <f>SUM(N55:Q55)</f>
      </c>
      <c r="DL55" s="364">
        <f>SUM(R55:U55)</f>
      </c>
      <c r="DM55" s="364">
        <f>SUM(V55:Y55)</f>
      </c>
      <c r="DN55" s="364">
        <f>SUM(Z55:AC55)</f>
      </c>
      <c r="DO55" s="364">
        <f>SUM(AD55:AG55)</f>
      </c>
      <c r="DP55" s="364">
        <f>SUM(AH55:AK55)</f>
      </c>
      <c r="DQ55" s="364">
        <f>SUM(AL55:AO55)</f>
      </c>
      <c r="DR55" s="364">
        <f>SUM(AP55:AS55)</f>
      </c>
      <c r="DS55" s="364">
        <f>SUM(AT55:AW55)</f>
      </c>
      <c r="DT55" s="364">
        <f>SUM(AX55:BA55)</f>
      </c>
      <c r="DU55" s="364">
        <f>SUM(BB55:BE55)</f>
      </c>
      <c r="DV55" s="364">
        <f>SUM(BF55:BI55)</f>
      </c>
      <c r="DW55" s="364">
        <f>SUM(BJ55:BM55)</f>
      </c>
      <c r="DX55" s="364">
        <f>SUM(BN55:BQ55)</f>
      </c>
      <c r="DY55" s="364">
        <f>SUM(BR55:BU55)</f>
      </c>
      <c r="DZ55" s="364">
        <f>BV55+BW55+BX55+BY55</f>
      </c>
      <c r="EA55" s="364">
        <f>CC55+CB55+CA55+BZ55</f>
      </c>
      <c r="EB55" s="364">
        <f>+CD55+CE55+CF55+CG55</f>
      </c>
      <c r="EC55" s="364">
        <f>+SUM(CH55:CK55)</f>
      </c>
      <c r="ED55" s="364">
        <f>+SUM(CL55:CO55)</f>
      </c>
      <c r="EE55" s="364">
        <f>+SUM(CP55:CS55)</f>
      </c>
      <c r="EF55" s="366">
        <f>+SUM(CT55:CW55)</f>
      </c>
      <c r="EG55" s="366">
        <f>SUM(CX55:DA55)</f>
      </c>
      <c r="EH55" s="366">
        <f>SUM(DB55:DE55)</f>
      </c>
      <c r="EJ55" s="370"/>
    </row>
    <row r="56" spans="1:140" s="49" customFormat="1" ht="11.25" customHeight="1">
      <c r="A56" s="48" t="s">
        <v>196</v>
      </c>
      <c r="K56" s="49">
        <f t="shared" ref="K56:BV56" si="126">K55/J55-1</f>
      </c>
      <c r="L56" s="49">
        <f t="shared" si="126"/>
      </c>
      <c r="M56" s="49">
        <f t="shared" si="126"/>
      </c>
      <c r="N56" s="49">
        <f t="shared" si="126"/>
      </c>
      <c r="O56" s="49">
        <f t="shared" si="126"/>
      </c>
      <c r="P56" s="49">
        <f t="shared" si="126"/>
      </c>
      <c r="Q56" s="49">
        <f t="shared" si="126"/>
      </c>
      <c r="R56" s="49">
        <f t="shared" si="126"/>
      </c>
      <c r="S56" s="49">
        <f t="shared" si="126"/>
      </c>
      <c r="T56" s="49">
        <f t="shared" si="126"/>
      </c>
      <c r="U56" s="49">
        <f t="shared" si="126"/>
      </c>
      <c r="V56" s="49">
        <f t="shared" si="126"/>
      </c>
      <c r="W56" s="49">
        <f t="shared" si="126"/>
      </c>
      <c r="X56" s="49">
        <f t="shared" si="126"/>
      </c>
      <c r="Y56" s="49">
        <f t="shared" si="126"/>
      </c>
      <c r="Z56" s="49">
        <f t="shared" si="126"/>
      </c>
      <c r="AA56" s="49">
        <f t="shared" si="126"/>
      </c>
      <c r="AB56" s="49">
        <f t="shared" si="126"/>
      </c>
      <c r="AC56" s="49">
        <f t="shared" si="126"/>
      </c>
      <c r="AD56" s="49">
        <f t="shared" si="126"/>
      </c>
      <c r="AE56" s="49">
        <f t="shared" si="126"/>
      </c>
      <c r="AF56" s="49">
        <f t="shared" si="126"/>
      </c>
      <c r="AG56" s="49">
        <f t="shared" si="126"/>
      </c>
      <c r="AH56" s="49">
        <f t="shared" si="126"/>
      </c>
      <c r="AI56" s="49">
        <f t="shared" si="126"/>
      </c>
      <c r="AJ56" s="49">
        <f t="shared" si="126"/>
      </c>
      <c r="AK56" s="49">
        <f t="shared" si="126"/>
      </c>
      <c r="AL56" s="49">
        <f t="shared" si="126"/>
      </c>
      <c r="AM56" s="49">
        <f t="shared" si="126"/>
      </c>
      <c r="AN56" s="49">
        <f t="shared" si="126"/>
      </c>
      <c r="AO56" s="49">
        <f t="shared" si="126"/>
      </c>
      <c r="AP56" s="49">
        <f t="shared" si="126"/>
      </c>
      <c r="AQ56" s="49">
        <f t="shared" si="126"/>
      </c>
      <c r="AR56" s="49">
        <f t="shared" si="126"/>
      </c>
      <c r="AS56" s="49">
        <f t="shared" si="126"/>
      </c>
      <c r="AT56" s="49">
        <f t="shared" si="126"/>
      </c>
      <c r="AU56" s="49">
        <f t="shared" si="126"/>
      </c>
      <c r="AV56" s="49">
        <f t="shared" si="126"/>
      </c>
      <c r="AW56" s="49">
        <f t="shared" si="126"/>
      </c>
      <c r="AX56" s="49">
        <f t="shared" si="126"/>
      </c>
      <c r="AY56" s="49">
        <f t="shared" si="126"/>
      </c>
      <c r="AZ56" s="49">
        <f t="shared" si="126"/>
      </c>
      <c r="BA56" s="49">
        <f t="shared" si="126"/>
      </c>
      <c r="BB56" s="49">
        <f t="shared" si="126"/>
      </c>
      <c r="BC56" s="49">
        <f t="shared" si="126"/>
      </c>
      <c r="BD56" s="49">
        <f t="shared" si="126"/>
      </c>
      <c r="BE56" s="49">
        <f t="shared" si="126"/>
      </c>
      <c r="BF56" s="49">
        <f t="shared" si="126"/>
      </c>
      <c r="BG56" s="49">
        <f t="shared" si="126"/>
      </c>
      <c r="BH56" s="49">
        <f t="shared" si="126"/>
      </c>
      <c r="BI56" s="49">
        <f t="shared" si="126"/>
      </c>
      <c r="BJ56" s="49">
        <f t="shared" si="126"/>
      </c>
      <c r="BK56" s="340">
        <f t="shared" si="126"/>
      </c>
      <c r="BL56" s="340">
        <f t="shared" si="126"/>
      </c>
      <c r="BM56" s="49">
        <f t="shared" si="126"/>
      </c>
      <c r="BN56" s="49">
        <f t="shared" si="126"/>
      </c>
      <c r="BO56" s="49">
        <f t="shared" si="126"/>
      </c>
      <c r="BP56" s="49">
        <f>BP55/BO55-1</f>
      </c>
      <c r="BQ56" s="49">
        <f t="shared" si="126"/>
      </c>
      <c r="BR56" s="49">
        <f t="shared" si="126"/>
      </c>
      <c r="BS56" s="49">
        <f t="shared" si="126"/>
      </c>
      <c r="BT56" s="49">
        <f t="shared" si="126"/>
      </c>
      <c r="BU56" s="49">
        <f t="shared" si="126"/>
      </c>
      <c r="BV56" s="49">
        <f t="shared" si="126"/>
      </c>
      <c r="BW56" s="49">
        <f t="shared" ref="BW56:DE56" si="127">BW55/BV55-1</f>
      </c>
      <c r="BX56" s="49">
        <f t="shared" si="127"/>
      </c>
      <c r="BY56" s="49">
        <f t="shared" si="127"/>
      </c>
      <c r="BZ56" s="49">
        <f t="shared" si="127"/>
      </c>
      <c r="CA56" s="49">
        <f t="shared" si="127"/>
      </c>
      <c r="CB56" s="49">
        <f t="shared" si="127"/>
      </c>
      <c r="CC56" s="49">
        <f t="shared" si="127"/>
      </c>
      <c r="CD56" s="49">
        <f t="shared" si="127"/>
      </c>
      <c r="CE56" s="49">
        <f t="shared" si="127"/>
      </c>
      <c r="CF56" s="49">
        <f t="shared" si="127"/>
      </c>
      <c r="CG56" s="49">
        <f t="shared" si="127"/>
      </c>
      <c r="CH56" s="49">
        <f t="shared" si="127"/>
      </c>
      <c r="CI56" s="49">
        <f t="shared" si="127"/>
      </c>
      <c r="CJ56" s="49">
        <f t="shared" si="127"/>
      </c>
      <c r="CK56" s="49">
        <f t="shared" si="127"/>
      </c>
      <c r="CL56" s="49">
        <f t="shared" si="127"/>
      </c>
      <c r="CM56" s="49">
        <f t="shared" si="127"/>
      </c>
      <c r="CN56" s="49">
        <f t="shared" si="127"/>
      </c>
      <c r="CO56" s="49">
        <f t="shared" si="127"/>
      </c>
      <c r="CP56" s="49">
        <f t="shared" si="127"/>
      </c>
      <c r="CQ56" s="49">
        <f t="shared" si="127"/>
      </c>
      <c r="CR56" s="49">
        <f t="shared" si="127"/>
      </c>
      <c r="CS56" s="49">
        <f t="shared" si="127"/>
      </c>
      <c r="CT56" s="49">
        <f>CT55/CS55-1</f>
      </c>
      <c r="CU56" s="49">
        <f>CU55/CT55-1</f>
      </c>
      <c r="CV56" s="341">
        <f t="shared" si="127"/>
      </c>
      <c r="CW56" s="341">
        <f t="shared" si="127"/>
      </c>
      <c r="CX56" s="341">
        <f t="shared" si="127"/>
      </c>
      <c r="CY56" s="341">
        <f t="shared" si="127"/>
      </c>
      <c r="CZ56" s="341">
        <f t="shared" si="127"/>
      </c>
      <c r="DA56" s="341">
        <f t="shared" si="127"/>
      </c>
      <c r="DB56" s="341">
        <f t="shared" si="127"/>
      </c>
      <c r="DC56" s="341">
        <f t="shared" si="127"/>
      </c>
      <c r="DD56" s="341">
        <f t="shared" si="127"/>
      </c>
      <c r="DE56" s="341">
        <f t="shared" si="127"/>
      </c>
      <c r="DH56" s="342" t="s">
        <v>197</v>
      </c>
      <c r="DI56" s="342" t="s">
        <v>197</v>
      </c>
      <c r="DJ56" s="342" t="s">
        <v>197</v>
      </c>
      <c r="DK56" s="342" t="s">
        <v>197</v>
      </c>
      <c r="DL56" s="342" t="s">
        <v>197</v>
      </c>
      <c r="DM56" s="342" t="s">
        <v>197</v>
      </c>
      <c r="DN56" s="342" t="s">
        <v>197</v>
      </c>
      <c r="DO56" s="342" t="s">
        <v>197</v>
      </c>
      <c r="DP56" s="342" t="s">
        <v>197</v>
      </c>
      <c r="DQ56" s="342" t="s">
        <v>197</v>
      </c>
      <c r="DR56" s="342" t="s">
        <v>197</v>
      </c>
      <c r="DS56" s="342" t="s">
        <v>197</v>
      </c>
      <c r="DT56" s="342" t="s">
        <v>197</v>
      </c>
      <c r="DU56" s="342" t="s">
        <v>197</v>
      </c>
      <c r="DV56" s="342" t="s">
        <v>197</v>
      </c>
      <c r="DW56" s="342" t="s">
        <v>197</v>
      </c>
      <c r="DX56" s="342" t="s">
        <v>197</v>
      </c>
      <c r="DY56" s="342" t="s">
        <v>197</v>
      </c>
      <c r="DZ56" s="342" t="s">
        <v>197</v>
      </c>
      <c r="EA56" s="342" t="s">
        <v>197</v>
      </c>
      <c r="EB56" s="342" t="s">
        <v>197</v>
      </c>
      <c r="EC56" s="342" t="s">
        <v>197</v>
      </c>
      <c r="ED56" s="342" t="s">
        <v>197</v>
      </c>
      <c r="EE56" s="342" t="s">
        <v>197</v>
      </c>
      <c r="EF56" s="343" t="s">
        <v>197</v>
      </c>
      <c r="EG56" s="343" t="s">
        <v>197</v>
      </c>
      <c r="EH56" s="343" t="s">
        <v>197</v>
      </c>
      <c r="EJ56" s="370"/>
    </row>
    <row r="57" spans="1:140" s="49" customFormat="1" ht="11.25" customHeight="1">
      <c r="A57" s="48" t="s">
        <v>198</v>
      </c>
      <c r="N57" s="49">
        <f t="shared" ref="N57:BY57" si="128">N55/J55-1</f>
      </c>
      <c r="O57" s="49">
        <f t="shared" si="128"/>
      </c>
      <c r="P57" s="49">
        <f t="shared" si="128"/>
      </c>
      <c r="Q57" s="49">
        <f t="shared" si="128"/>
      </c>
      <c r="R57" s="49">
        <f t="shared" si="128"/>
      </c>
      <c r="S57" s="49">
        <f t="shared" si="128"/>
      </c>
      <c r="T57" s="49">
        <f t="shared" si="128"/>
      </c>
      <c r="U57" s="49">
        <f t="shared" si="128"/>
      </c>
      <c r="V57" s="49">
        <f t="shared" si="128"/>
      </c>
      <c r="W57" s="49">
        <f t="shared" si="128"/>
      </c>
      <c r="X57" s="49">
        <f t="shared" si="128"/>
      </c>
      <c r="Y57" s="49">
        <f t="shared" si="128"/>
      </c>
      <c r="Z57" s="49">
        <f t="shared" si="128"/>
      </c>
      <c r="AA57" s="49">
        <f t="shared" si="128"/>
      </c>
      <c r="AB57" s="49">
        <f t="shared" si="128"/>
      </c>
      <c r="AC57" s="49">
        <f t="shared" si="128"/>
      </c>
      <c r="AD57" s="49">
        <f t="shared" si="128"/>
      </c>
      <c r="AE57" s="49">
        <f t="shared" si="128"/>
      </c>
      <c r="AF57" s="49">
        <f t="shared" si="128"/>
      </c>
      <c r="AG57" s="49">
        <f t="shared" si="128"/>
      </c>
      <c r="AH57" s="49">
        <f t="shared" si="128"/>
      </c>
      <c r="AI57" s="49">
        <f t="shared" si="128"/>
      </c>
      <c r="AJ57" s="49">
        <f t="shared" si="128"/>
      </c>
      <c r="AK57" s="49">
        <f t="shared" si="128"/>
      </c>
      <c r="AL57" s="49">
        <f t="shared" si="128"/>
      </c>
      <c r="AM57" s="49">
        <f t="shared" si="128"/>
      </c>
      <c r="AN57" s="49">
        <f t="shared" si="128"/>
      </c>
      <c r="AO57" s="49">
        <f t="shared" si="128"/>
      </c>
      <c r="AP57" s="49">
        <f t="shared" si="128"/>
      </c>
      <c r="AQ57" s="49">
        <f t="shared" si="128"/>
      </c>
      <c r="AR57" s="49">
        <f t="shared" si="128"/>
      </c>
      <c r="AS57" s="49">
        <f t="shared" si="128"/>
      </c>
      <c r="AT57" s="49">
        <f t="shared" si="128"/>
      </c>
      <c r="AU57" s="49">
        <f t="shared" si="128"/>
      </c>
      <c r="AV57" s="49">
        <f t="shared" si="128"/>
      </c>
      <c r="AW57" s="49">
        <f t="shared" si="128"/>
      </c>
      <c r="AX57" s="49">
        <f t="shared" si="128"/>
      </c>
      <c r="AY57" s="49">
        <f t="shared" si="128"/>
      </c>
      <c r="AZ57" s="49">
        <f t="shared" si="128"/>
      </c>
      <c r="BA57" s="49">
        <f t="shared" si="128"/>
      </c>
      <c r="BB57" s="49">
        <f t="shared" si="128"/>
      </c>
      <c r="BC57" s="49">
        <f t="shared" si="128"/>
      </c>
      <c r="BD57" s="49">
        <f t="shared" si="128"/>
      </c>
      <c r="BE57" s="49">
        <f t="shared" si="128"/>
      </c>
      <c r="BF57" s="49">
        <f t="shared" si="128"/>
      </c>
      <c r="BG57" s="49">
        <f t="shared" si="128"/>
      </c>
      <c r="BH57" s="49">
        <f t="shared" si="128"/>
      </c>
      <c r="BI57" s="49">
        <f t="shared" si="128"/>
      </c>
      <c r="BJ57" s="49">
        <f t="shared" si="128"/>
      </c>
      <c r="BK57" s="340">
        <f t="shared" si="128"/>
      </c>
      <c r="BL57" s="340">
        <f t="shared" si="128"/>
      </c>
      <c r="BM57" s="49">
        <f t="shared" si="128"/>
      </c>
      <c r="BN57" s="49">
        <f t="shared" si="128"/>
      </c>
      <c r="BO57" s="49">
        <f t="shared" si="128"/>
      </c>
      <c r="BP57" s="49">
        <f>BP55/BL55-1</f>
      </c>
      <c r="BQ57" s="49">
        <f t="shared" si="128"/>
      </c>
      <c r="BR57" s="49">
        <f t="shared" si="128"/>
      </c>
      <c r="BS57" s="49">
        <f t="shared" si="128"/>
      </c>
      <c r="BT57" s="49">
        <f t="shared" si="128"/>
      </c>
      <c r="BU57" s="49">
        <f t="shared" si="128"/>
      </c>
      <c r="BV57" s="49">
        <f t="shared" si="128"/>
      </c>
      <c r="BW57" s="49">
        <f t="shared" si="128"/>
      </c>
      <c r="BX57" s="49">
        <f t="shared" si="128"/>
      </c>
      <c r="BY57" s="49">
        <f t="shared" si="128"/>
      </c>
      <c r="BZ57" s="49">
        <f t="shared" ref="BZ57:DE57" si="129">BZ55/BV55-1</f>
      </c>
      <c r="CA57" s="49">
        <f t="shared" si="129"/>
      </c>
      <c r="CB57" s="49">
        <f t="shared" si="129"/>
      </c>
      <c r="CC57" s="49">
        <f t="shared" si="129"/>
      </c>
      <c r="CD57" s="49">
        <f t="shared" si="129"/>
      </c>
      <c r="CE57" s="49">
        <f t="shared" si="129"/>
      </c>
      <c r="CF57" s="49">
        <f t="shared" si="129"/>
      </c>
      <c r="CG57" s="49">
        <f t="shared" si="129"/>
      </c>
      <c r="CH57" s="49">
        <f t="shared" si="129"/>
      </c>
      <c r="CI57" s="49">
        <f t="shared" si="129"/>
      </c>
      <c r="CJ57" s="49">
        <f t="shared" si="129"/>
      </c>
      <c r="CK57" s="49">
        <f t="shared" si="129"/>
      </c>
      <c r="CL57" s="49">
        <f t="shared" si="129"/>
      </c>
      <c r="CM57" s="49">
        <f t="shared" si="129"/>
      </c>
      <c r="CN57" s="49">
        <f t="shared" si="129"/>
      </c>
      <c r="CO57" s="49">
        <f t="shared" si="129"/>
      </c>
      <c r="CP57" s="49">
        <f t="shared" si="129"/>
      </c>
      <c r="CQ57" s="49">
        <f t="shared" si="129"/>
      </c>
      <c r="CR57" s="49">
        <f t="shared" si="129"/>
      </c>
      <c r="CS57" s="49">
        <f t="shared" si="129"/>
      </c>
      <c r="CT57" s="49">
        <f>CT55/CP55-1</f>
      </c>
      <c r="CU57" s="49">
        <f>CU55/CQ55-1</f>
      </c>
      <c r="CV57" s="341">
        <f t="shared" si="129"/>
      </c>
      <c r="CW57" s="341">
        <f t="shared" si="129"/>
      </c>
      <c r="CX57" s="341">
        <f t="shared" si="129"/>
      </c>
      <c r="CY57" s="341">
        <f t="shared" si="129"/>
      </c>
      <c r="CZ57" s="341">
        <f t="shared" si="129"/>
      </c>
      <c r="DA57" s="341">
        <f t="shared" si="129"/>
      </c>
      <c r="DB57" s="341">
        <f t="shared" si="129"/>
      </c>
      <c r="DC57" s="341">
        <f t="shared" si="129"/>
      </c>
      <c r="DD57" s="341">
        <f t="shared" si="129"/>
      </c>
      <c r="DE57" s="341">
        <f t="shared" si="129"/>
      </c>
      <c r="DK57" s="49">
        <f t="shared" ref="DK57:EH57" si="130">DK55/DJ55-1</f>
      </c>
      <c r="DL57" s="49">
        <f t="shared" si="130"/>
      </c>
      <c r="DM57" s="49">
        <f t="shared" si="130"/>
      </c>
      <c r="DN57" s="49">
        <f t="shared" si="130"/>
      </c>
      <c r="DO57" s="49">
        <f t="shared" si="130"/>
      </c>
      <c r="DP57" s="49">
        <f t="shared" si="130"/>
      </c>
      <c r="DQ57" s="49">
        <f t="shared" si="130"/>
      </c>
      <c r="DR57" s="49">
        <f>DR55/DQ55-1</f>
      </c>
      <c r="DS57" s="49">
        <f t="shared" si="130"/>
      </c>
      <c r="DT57" s="49">
        <f t="shared" si="130"/>
      </c>
      <c r="DU57" s="49">
        <f>DU55/DT55-1</f>
      </c>
      <c r="DV57" s="49">
        <f t="shared" si="130"/>
      </c>
      <c r="DW57" s="49">
        <f t="shared" si="130"/>
      </c>
      <c r="DX57" s="49">
        <f t="shared" si="130"/>
      </c>
      <c r="DY57" s="49">
        <f t="shared" si="130"/>
      </c>
      <c r="DZ57" s="49">
        <f t="shared" si="130"/>
      </c>
      <c r="EA57" s="49">
        <f t="shared" si="130"/>
      </c>
      <c r="EB57" s="49">
        <f t="shared" si="130"/>
      </c>
      <c r="EC57" s="49">
        <f t="shared" si="130"/>
      </c>
      <c r="ED57" s="49">
        <f t="shared" si="130"/>
      </c>
      <c r="EE57" s="49">
        <f t="shared" si="130"/>
      </c>
      <c r="EF57" s="341">
        <f t="shared" si="130"/>
      </c>
      <c r="EG57" s="341">
        <f t="shared" si="130"/>
      </c>
      <c r="EH57" s="341">
        <f t="shared" si="130"/>
      </c>
    </row>
    <row r="58" spans="1:140" s="47" customFormat="1" ht="11.25" customHeight="1">
      <c r="A58" s="336" t="s">
        <v>217</v>
      </c>
      <c r="B58" s="35">
        <f>Ticker0027!V158</f>
      </c>
      <c r="C58" s="35">
        <f>Ticker0027!W158</f>
      </c>
      <c r="D58" s="35">
        <f>Ticker0027!X158</f>
      </c>
      <c r="E58" s="35">
        <f>Ticker0027!Y158</f>
      </c>
      <c r="F58" s="35">
        <f>Ticker0027!AA158</f>
      </c>
      <c r="G58" s="35">
        <f>Ticker0027!AB158</f>
      </c>
      <c r="H58" s="35">
        <f>Ticker0027!AC158</f>
      </c>
      <c r="I58" s="35">
        <f>Ticker0027!AD158</f>
      </c>
      <c r="J58" s="35">
        <f>Ticker0027!AF158</f>
      </c>
      <c r="K58" s="35">
        <f>Ticker0027!AG158</f>
      </c>
      <c r="L58" s="35">
        <f>Ticker0027!AH158</f>
      </c>
      <c r="M58" s="35">
        <f>Ticker0027!AI158</f>
      </c>
      <c r="N58" s="35">
        <f>Ticker0027!AK158</f>
      </c>
      <c r="O58" s="35">
        <f>Ticker0027!AL158</f>
      </c>
      <c r="P58" s="35">
        <f>Ticker0027!AM158</f>
      </c>
      <c r="Q58" s="35">
        <f>Ticker0027!AN158</f>
      </c>
      <c r="R58" s="35">
        <f>Ticker0027!AP158</f>
      </c>
      <c r="S58" s="35">
        <f>Ticker0027!AQ158</f>
      </c>
      <c r="T58" s="35">
        <f>Ticker0027!AR158</f>
      </c>
      <c r="U58" s="35">
        <f>Ticker0027!AS158</f>
      </c>
      <c r="V58" s="35">
        <f>Ticker0027!AU158</f>
      </c>
      <c r="W58" s="35">
        <f>Ticker0027!AV158</f>
      </c>
      <c r="X58" s="35">
        <f>Ticker0027!AW158</f>
      </c>
      <c r="Y58" s="35">
        <f>Ticker0027!AX158</f>
      </c>
      <c r="Z58" s="35">
        <f>Ticker0027!AZ158</f>
      </c>
      <c r="AA58" s="35">
        <f>Ticker0027!BA158</f>
      </c>
      <c r="AB58" s="35">
        <f>Ticker0027!BB158</f>
      </c>
      <c r="AC58" s="35">
        <f>Ticker0027!BC158</f>
      </c>
      <c r="AD58" s="35">
        <f>Ticker0027!BE158</f>
      </c>
      <c r="AE58" s="35">
        <f>Ticker0027!BF158</f>
      </c>
      <c r="AF58" s="35">
        <f>Ticker0027!BG158</f>
      </c>
      <c r="AG58" s="35">
        <f>Ticker0027!BH158</f>
      </c>
      <c r="AH58" s="35">
        <f>Ticker0027!BJ158</f>
      </c>
      <c r="AI58" s="35">
        <f>Ticker0027!BK158</f>
      </c>
      <c r="AJ58" s="35">
        <f>Ticker0027!BL158</f>
      </c>
      <c r="AK58" s="35">
        <f>Ticker0027!BM158</f>
      </c>
      <c r="AL58" s="35">
        <f>Ticker0027!BO158</f>
      </c>
      <c r="AM58" s="35">
        <f>Ticker0027!BP158</f>
      </c>
      <c r="AN58" s="35">
        <f>Ticker0027!BQ158</f>
      </c>
      <c r="AO58" s="35">
        <f>Ticker0027!BR158</f>
      </c>
      <c r="AP58" s="35">
        <f>Ticker0027!BT158</f>
      </c>
      <c r="AQ58" s="35">
        <f>Ticker0027!BU158</f>
      </c>
      <c r="AR58" s="35">
        <f>Ticker0027!BV158</f>
      </c>
      <c r="AS58" s="35">
        <f>Ticker0027!BW158</f>
      </c>
      <c r="AT58" s="35">
        <f>Ticker0027!BY158</f>
      </c>
      <c r="AU58" s="35">
        <f>Ticker0027!BZ158</f>
      </c>
      <c r="AV58" s="35">
        <f>Ticker0027!CA158</f>
      </c>
      <c r="AW58" s="35">
        <f>Ticker0027!CB158</f>
      </c>
      <c r="AX58" s="35">
        <f>Ticker0027!CD158</f>
      </c>
      <c r="AY58" s="35">
        <f>Ticker0027!CE158</f>
      </c>
      <c r="AZ58" s="35">
        <f>Ticker0027!CF158</f>
      </c>
      <c r="BA58" s="35">
        <f>Ticker0027!CG158</f>
      </c>
      <c r="BB58" s="35">
        <f>Ticker0027!CI158</f>
      </c>
      <c r="BC58" s="35">
        <f>Ticker0027!CJ158</f>
      </c>
      <c r="BD58" s="35">
        <f>Ticker0027!CK158</f>
      </c>
      <c r="BE58" s="35">
        <f>Ticker0027!CL158</f>
      </c>
      <c r="BF58" s="35">
        <f>Ticker0027!CN158</f>
      </c>
      <c r="BG58" s="35">
        <f>Ticker0027!CO158</f>
      </c>
      <c r="BH58" s="35">
        <f>Ticker0027!CP158</f>
      </c>
      <c r="BI58" s="35">
        <f>Ticker0027!CQ158</f>
      </c>
      <c r="BJ58" s="35">
        <f>Ticker0027!CS158</f>
      </c>
      <c r="BK58" s="337">
        <f>Ticker0027!CT158</f>
      </c>
      <c r="BL58" s="337">
        <f>Ticker0027!CU158</f>
      </c>
      <c r="BM58" s="35">
        <f>Ticker0027!CV158</f>
      </c>
      <c r="BN58" s="35">
        <f>Ticker0027!CX158</f>
      </c>
      <c r="BO58" s="35">
        <f>Ticker0027!CY158</f>
      </c>
      <c r="BP58" s="35">
        <f>Ticker0027!CZ158</f>
      </c>
      <c r="BQ58" s="35">
        <f>Ticker0027!DA158</f>
      </c>
      <c r="BR58" s="35">
        <f>Ticker0027!DC158</f>
      </c>
      <c r="BS58" s="35">
        <f>Ticker0027!DD158</f>
      </c>
      <c r="BT58" s="35">
        <f>Ticker0027!DE158</f>
      </c>
      <c r="BU58" s="35">
        <f>Ticker0027!DF158</f>
      </c>
      <c r="BV58" s="35">
        <f>Ticker0027!DH158</f>
      </c>
      <c r="BW58" s="35">
        <f>Ticker0027!DI158</f>
      </c>
      <c r="BX58" s="35">
        <f>Ticker0027!DJ158</f>
      </c>
      <c r="BY58" s="35">
        <f>Ticker0027!DK158</f>
      </c>
      <c r="BZ58" s="35">
        <f>Ticker0027!DM158</f>
      </c>
      <c r="CA58" s="35">
        <f>Ticker0027!DN158</f>
      </c>
      <c r="CB58" s="35">
        <f>Ticker0027!DO158</f>
      </c>
      <c r="CC58" s="35">
        <f>Ticker0027!DP158</f>
      </c>
      <c r="CD58" s="35">
        <f>Ticker0027!DR158</f>
      </c>
      <c r="CE58" s="35">
        <f>Ticker0027!DS158</f>
      </c>
      <c r="CF58" s="35">
        <f>Ticker0027!DT158</f>
      </c>
      <c r="CG58" s="35">
        <f>Ticker0027!DU158</f>
      </c>
      <c r="CH58" s="35">
        <f>Ticker0027!DW158</f>
      </c>
      <c r="CI58" s="35">
        <f>Ticker0027!DX158</f>
      </c>
      <c r="CJ58" s="35">
        <f>Ticker0027!DY158</f>
      </c>
      <c r="CK58" s="35">
        <f>Ticker0027!DZ158</f>
      </c>
      <c r="CL58" s="35">
        <f>Ticker0027!EB158</f>
      </c>
      <c r="CM58" s="35">
        <f>Ticker0027!EC158</f>
      </c>
      <c r="CN58" s="35">
        <f>Ticker0027!ED158</f>
      </c>
      <c r="CO58" s="35">
        <f>Ticker0027!EE158</f>
      </c>
      <c r="CP58" s="35">
        <f>Ticker0027!EG158</f>
      </c>
      <c r="CQ58" s="35">
        <f>Ticker0027!EH158</f>
      </c>
      <c r="CR58" s="35">
        <f>Ticker0027!EI158</f>
      </c>
      <c r="CS58" s="35">
        <f>Ticker0027!EJ158</f>
      </c>
      <c r="CT58" s="35">
        <f>Ticker0027!EL158</f>
      </c>
      <c r="CU58" s="35">
        <f>Ticker0027!EM158</f>
      </c>
      <c r="CV58" s="338">
        <f>Ticker0027!EN158</f>
      </c>
      <c r="CW58" s="338">
        <f>Ticker0027!EO158</f>
      </c>
      <c r="CX58" s="338">
        <f>Ticker0027!EQ158</f>
      </c>
      <c r="CY58" s="338">
        <f>Ticker0027!ER158</f>
      </c>
      <c r="CZ58" s="338">
        <f>Ticker0027!ES158</f>
      </c>
      <c r="DA58" s="338">
        <f>Ticker0027!ET158</f>
      </c>
      <c r="DB58" s="338">
        <f>Ticker0027!EV158</f>
      </c>
      <c r="DC58" s="338">
        <f>Ticker0027!EW158</f>
      </c>
      <c r="DD58" s="338">
        <f>Ticker0027!EX158</f>
      </c>
      <c r="DE58" s="338">
        <f>Ticker0027!EY158</f>
      </c>
      <c r="DH58" s="35">
        <f>SUM(B58:E58)</f>
      </c>
      <c r="DI58" s="35">
        <f>SUM(F58:I58)</f>
      </c>
      <c r="DJ58" s="35">
        <f>SUM(J58:M58)</f>
      </c>
      <c r="DK58" s="35">
        <f>SUM(N58:Q58)</f>
      </c>
      <c r="DL58" s="35">
        <f>SUM(R58:U58)</f>
      </c>
      <c r="DM58" s="35">
        <f>SUM(V58:Y58)</f>
      </c>
      <c r="DN58" s="35">
        <f>SUM(Z58:AC58)</f>
      </c>
      <c r="DO58" s="35">
        <f>SUM(AD58:AG58)</f>
      </c>
      <c r="DP58" s="35">
        <f>SUM(AH58:AK58)</f>
      </c>
      <c r="DQ58" s="35">
        <f>SUM(AL58:AO58)</f>
      </c>
      <c r="DR58" s="35">
        <f>SUM(AP58:AS58)</f>
      </c>
      <c r="DS58" s="35">
        <f>SUM(AT58:AW58)</f>
      </c>
      <c r="DT58" s="35">
        <f>SUM(AX58:BA58)</f>
      </c>
      <c r="DU58" s="35">
        <f>SUM(BB58:BE58)</f>
      </c>
      <c r="DV58" s="35">
        <f>SUM(BF58:BI58)</f>
      </c>
      <c r="DW58" s="35">
        <f>SUM(BJ58:BM58)</f>
      </c>
      <c r="DX58" s="35">
        <f>SUM(BN58:BQ58)</f>
      </c>
      <c r="DY58" s="35">
        <f>SUM(BR58:BU58)</f>
      </c>
      <c r="DZ58" s="35">
        <f>BV58+BW58+BX58+BY58</f>
      </c>
      <c r="EA58" s="35">
        <f>CC58+CB58+CA58+BZ58</f>
      </c>
      <c r="EB58" s="35">
        <f>+CD58+CE58+CF58+CG58</f>
      </c>
      <c r="EC58" s="35">
        <f>SUM(CH58:CK58)</f>
      </c>
      <c r="ED58" s="35">
        <f>SUM(CL58:CO58)</f>
      </c>
      <c r="EE58" s="35">
        <f>SUM(CP58:CS58)</f>
      </c>
      <c r="EF58" s="338">
        <f>SUM(CT58:CW58)</f>
      </c>
      <c r="EG58" s="338">
        <f>SUM(CX58:DA58)</f>
      </c>
      <c r="EH58" s="338">
        <f>SUM(DB58:DE58)</f>
      </c>
    </row>
    <row r="59" spans="1:140" s="49" customFormat="1" ht="11.25" customHeight="1">
      <c r="A59" s="48" t="s">
        <v>196</v>
      </c>
      <c r="C59" s="49">
        <f t="shared" ref="C59:AC59" si="131">C58/B58-1</f>
      </c>
      <c r="D59" s="49">
        <f t="shared" si="131"/>
      </c>
      <c r="E59" s="49">
        <f t="shared" si="131"/>
      </c>
      <c r="F59" s="49">
        <f t="shared" si="131"/>
      </c>
      <c r="G59" s="49">
        <f t="shared" si="131"/>
      </c>
      <c r="H59" s="49">
        <f t="shared" si="131"/>
      </c>
      <c r="I59" s="49">
        <f t="shared" si="131"/>
      </c>
      <c r="J59" s="49">
        <f t="shared" si="131"/>
      </c>
      <c r="K59" s="49">
        <f t="shared" si="131"/>
      </c>
      <c r="L59" s="49">
        <f t="shared" si="131"/>
      </c>
      <c r="M59" s="49">
        <f t="shared" si="131"/>
      </c>
      <c r="N59" s="49">
        <f t="shared" si="131"/>
      </c>
      <c r="O59" s="49">
        <f t="shared" si="131"/>
      </c>
      <c r="P59" s="49">
        <f t="shared" si="131"/>
      </c>
      <c r="Q59" s="49">
        <f t="shared" si="131"/>
      </c>
      <c r="R59" s="49">
        <f t="shared" si="131"/>
      </c>
      <c r="S59" s="49">
        <f t="shared" si="131"/>
      </c>
      <c r="T59" s="49">
        <f t="shared" si="131"/>
      </c>
      <c r="U59" s="49">
        <f t="shared" si="131"/>
      </c>
      <c r="V59" s="49">
        <f t="shared" si="131"/>
      </c>
      <c r="W59" s="342" t="s">
        <v>197</v>
      </c>
      <c r="X59" s="342" t="s">
        <v>197</v>
      </c>
      <c r="Y59" s="49">
        <f t="shared" si="131"/>
      </c>
      <c r="Z59" s="49">
        <f t="shared" si="131"/>
      </c>
      <c r="AA59" s="49">
        <f t="shared" si="131"/>
      </c>
      <c r="AB59" s="49">
        <f t="shared" si="131"/>
      </c>
      <c r="AC59" s="49">
        <f t="shared" si="131"/>
      </c>
      <c r="AD59" s="342" t="s">
        <v>197</v>
      </c>
      <c r="AE59" s="342" t="s">
        <v>197</v>
      </c>
      <c r="AF59" s="342" t="s">
        <v>197</v>
      </c>
      <c r="AG59" s="342" t="s">
        <v>197</v>
      </c>
      <c r="AH59" s="342" t="s">
        <v>197</v>
      </c>
      <c r="AI59" s="49">
        <f t="shared" ref="AI59:CS59" si="132">AI58/AH58-1</f>
      </c>
      <c r="AJ59" s="49">
        <f t="shared" si="132"/>
      </c>
      <c r="AK59" s="49">
        <f t="shared" si="132"/>
      </c>
      <c r="AL59" s="342" t="s">
        <v>197</v>
      </c>
      <c r="AM59" s="342" t="s">
        <v>197</v>
      </c>
      <c r="AN59" s="342" t="s">
        <v>197</v>
      </c>
      <c r="AO59" s="49">
        <f t="shared" si="132"/>
      </c>
      <c r="AP59" s="49">
        <f t="shared" si="132"/>
      </c>
      <c r="AQ59" s="49">
        <f t="shared" si="132"/>
      </c>
      <c r="AR59" s="49">
        <f t="shared" si="132"/>
      </c>
      <c r="AS59" s="49">
        <f t="shared" si="132"/>
      </c>
      <c r="AT59" s="342" t="s">
        <v>197</v>
      </c>
      <c r="AU59" s="342" t="s">
        <v>197</v>
      </c>
      <c r="AV59" s="49">
        <f t="shared" si="132"/>
      </c>
      <c r="AW59" s="49">
        <f t="shared" si="132"/>
      </c>
      <c r="AX59" s="49">
        <f t="shared" si="132"/>
      </c>
      <c r="AY59" s="49">
        <f t="shared" si="132"/>
      </c>
      <c r="AZ59" s="49">
        <f t="shared" si="132"/>
      </c>
      <c r="BA59" s="49">
        <f t="shared" si="132"/>
      </c>
      <c r="BB59" s="49">
        <f t="shared" si="132"/>
      </c>
      <c r="BC59" s="49">
        <f t="shared" si="132"/>
      </c>
      <c r="BD59" s="49">
        <f t="shared" si="132"/>
      </c>
      <c r="BE59" s="49">
        <f t="shared" si="132"/>
      </c>
      <c r="BF59" s="49">
        <f t="shared" si="132"/>
      </c>
      <c r="BG59" s="49">
        <f t="shared" si="132"/>
      </c>
      <c r="BH59" s="49">
        <f t="shared" si="132"/>
      </c>
      <c r="BI59" s="49">
        <f t="shared" si="132"/>
      </c>
      <c r="BJ59" s="49">
        <f t="shared" si="132"/>
      </c>
      <c r="BK59" s="340">
        <f t="shared" si="132"/>
      </c>
      <c r="BL59" s="340">
        <f t="shared" si="132"/>
      </c>
      <c r="BM59" s="49">
        <f t="shared" si="132"/>
      </c>
      <c r="BN59" s="49">
        <f t="shared" si="132"/>
      </c>
      <c r="BO59" s="49">
        <f t="shared" si="132"/>
      </c>
      <c r="BP59" s="49">
        <f t="shared" si="132"/>
      </c>
      <c r="BQ59" s="49">
        <f t="shared" si="132"/>
      </c>
      <c r="BR59" s="49">
        <f t="shared" si="132"/>
      </c>
      <c r="BS59" s="49">
        <f t="shared" si="132"/>
      </c>
      <c r="BT59" s="49">
        <f t="shared" si="132"/>
      </c>
      <c r="BU59" s="49">
        <f t="shared" si="132"/>
      </c>
      <c r="BV59" s="49">
        <f t="shared" si="132"/>
      </c>
      <c r="BW59" s="49">
        <f t="shared" si="132"/>
      </c>
      <c r="BX59" s="49">
        <f t="shared" si="132"/>
      </c>
      <c r="BY59" s="49">
        <f t="shared" si="132"/>
      </c>
      <c r="BZ59" s="49">
        <f t="shared" si="132"/>
      </c>
      <c r="CA59" s="49">
        <f t="shared" si="132"/>
      </c>
      <c r="CB59" s="49">
        <f t="shared" si="132"/>
      </c>
      <c r="CC59" s="49">
        <f t="shared" si="132"/>
      </c>
      <c r="CD59" s="49">
        <f t="shared" si="132"/>
      </c>
      <c r="CE59" s="49">
        <f t="shared" si="132"/>
      </c>
      <c r="CF59" s="49">
        <f t="shared" si="132"/>
      </c>
      <c r="CG59" s="49">
        <f t="shared" si="132"/>
      </c>
      <c r="CH59" s="49">
        <f t="shared" si="132"/>
      </c>
      <c r="CI59" s="49">
        <f t="shared" si="132"/>
      </c>
      <c r="CJ59" s="342" t="s">
        <v>197</v>
      </c>
      <c r="CK59" s="342" t="s">
        <v>197</v>
      </c>
      <c r="CL59" s="49">
        <f t="shared" si="132"/>
      </c>
      <c r="CM59" s="49">
        <f t="shared" si="132"/>
      </c>
      <c r="CN59" s="49">
        <f t="shared" si="132"/>
      </c>
      <c r="CO59" s="49">
        <f t="shared" si="132"/>
      </c>
      <c r="CP59" s="49">
        <f t="shared" si="132"/>
      </c>
      <c r="CQ59" s="49">
        <f t="shared" si="132"/>
      </c>
      <c r="CR59" s="49">
        <f t="shared" si="132"/>
      </c>
      <c r="CS59" s="49">
        <f t="shared" si="132"/>
      </c>
      <c r="CT59" s="49">
        <f>CT58/CS58-1</f>
      </c>
      <c r="CU59" s="49">
        <f>CU58/CT58-1</f>
      </c>
      <c r="CV59" s="341">
        <f t="shared" ref="CV59:DE59" si="133">CV58/CU58-1</f>
      </c>
      <c r="CW59" s="341">
        <f t="shared" si="133"/>
      </c>
      <c r="CX59" s="341">
        <f t="shared" si="133"/>
      </c>
      <c r="CY59" s="341">
        <f t="shared" si="133"/>
      </c>
      <c r="CZ59" s="341">
        <f t="shared" si="133"/>
      </c>
      <c r="DA59" s="341">
        <f t="shared" si="133"/>
      </c>
      <c r="DB59" s="341">
        <f t="shared" si="133"/>
      </c>
      <c r="DC59" s="341">
        <f t="shared" si="133"/>
      </c>
      <c r="DD59" s="341">
        <f t="shared" si="133"/>
      </c>
      <c r="DE59" s="341">
        <f t="shared" si="133"/>
      </c>
      <c r="DH59" s="342" t="s">
        <v>197</v>
      </c>
      <c r="DI59" s="342" t="s">
        <v>197</v>
      </c>
      <c r="DJ59" s="342" t="s">
        <v>197</v>
      </c>
      <c r="DK59" s="342" t="s">
        <v>197</v>
      </c>
      <c r="DL59" s="342" t="s">
        <v>197</v>
      </c>
      <c r="DM59" s="342" t="s">
        <v>197</v>
      </c>
      <c r="DN59" s="342" t="s">
        <v>197</v>
      </c>
      <c r="DO59" s="342" t="s">
        <v>197</v>
      </c>
      <c r="DP59" s="342" t="s">
        <v>197</v>
      </c>
      <c r="DQ59" s="342" t="s">
        <v>197</v>
      </c>
      <c r="DR59" s="342" t="s">
        <v>197</v>
      </c>
      <c r="DS59" s="342" t="s">
        <v>197</v>
      </c>
      <c r="DT59" s="342" t="s">
        <v>197</v>
      </c>
      <c r="DU59" s="342" t="s">
        <v>197</v>
      </c>
      <c r="DV59" s="342" t="s">
        <v>197</v>
      </c>
      <c r="DW59" s="342" t="s">
        <v>197</v>
      </c>
      <c r="DX59" s="342" t="s">
        <v>197</v>
      </c>
      <c r="DY59" s="342" t="s">
        <v>197</v>
      </c>
      <c r="DZ59" s="342" t="s">
        <v>197</v>
      </c>
      <c r="EA59" s="342" t="s">
        <v>197</v>
      </c>
      <c r="EB59" s="342" t="s">
        <v>197</v>
      </c>
      <c r="EC59" s="342" t="s">
        <v>197</v>
      </c>
      <c r="ED59" s="342" t="s">
        <v>197</v>
      </c>
      <c r="EE59" s="342" t="s">
        <v>197</v>
      </c>
      <c r="EF59" s="343" t="s">
        <v>197</v>
      </c>
      <c r="EG59" s="343" t="s">
        <v>197</v>
      </c>
      <c r="EH59" s="343" t="s">
        <v>197</v>
      </c>
    </row>
    <row r="60" spans="1:140" s="49" customFormat="1" ht="11.25" customHeight="1">
      <c r="A60" s="48" t="s">
        <v>198</v>
      </c>
      <c r="F60" s="49">
        <f>F58/B58-1</f>
      </c>
      <c r="G60" s="49">
        <f t="shared" ref="G60:BR60" si="134">G58/C58-1</f>
      </c>
      <c r="H60" s="49">
        <f t="shared" si="134"/>
      </c>
      <c r="I60" s="49">
        <f t="shared" si="134"/>
      </c>
      <c r="J60" s="49">
        <f t="shared" si="134"/>
      </c>
      <c r="K60" s="49">
        <f t="shared" si="134"/>
      </c>
      <c r="L60" s="49">
        <f t="shared" si="134"/>
      </c>
      <c r="M60" s="49">
        <f t="shared" si="134"/>
      </c>
      <c r="N60" s="49">
        <f t="shared" si="134"/>
      </c>
      <c r="O60" s="49">
        <f t="shared" si="134"/>
      </c>
      <c r="P60" s="49">
        <f t="shared" si="134"/>
      </c>
      <c r="Q60" s="49">
        <f t="shared" si="134"/>
      </c>
      <c r="R60" s="49">
        <f t="shared" si="134"/>
      </c>
      <c r="S60" s="49">
        <f t="shared" si="134"/>
      </c>
      <c r="T60" s="49">
        <f t="shared" si="134"/>
      </c>
      <c r="U60" s="49">
        <f t="shared" si="134"/>
      </c>
      <c r="V60" s="49">
        <f t="shared" si="134"/>
      </c>
      <c r="W60" s="342" t="s">
        <v>197</v>
      </c>
      <c r="X60" s="49">
        <f t="shared" si="134"/>
      </c>
      <c r="Y60" s="49">
        <f t="shared" si="134"/>
      </c>
      <c r="Z60" s="49">
        <f t="shared" si="134"/>
      </c>
      <c r="AA60" s="342" t="s">
        <v>197</v>
      </c>
      <c r="AB60" s="49">
        <f t="shared" si="134"/>
      </c>
      <c r="AC60" s="49">
        <f t="shared" si="134"/>
      </c>
      <c r="AD60" s="342" t="s">
        <v>197</v>
      </c>
      <c r="AE60" s="49">
        <f t="shared" si="134"/>
      </c>
      <c r="AF60" s="342" t="s">
        <v>197</v>
      </c>
      <c r="AG60" s="342" t="s">
        <v>197</v>
      </c>
      <c r="AH60" s="342" t="s">
        <v>197</v>
      </c>
      <c r="AI60" s="49">
        <f t="shared" si="134"/>
      </c>
      <c r="AJ60" s="342" t="s">
        <v>197</v>
      </c>
      <c r="AK60" s="342" t="s">
        <v>197</v>
      </c>
      <c r="AL60" s="342" t="s">
        <v>197</v>
      </c>
      <c r="AM60" s="342" t="s">
        <v>197</v>
      </c>
      <c r="AN60" s="49">
        <f t="shared" si="134"/>
      </c>
      <c r="AO60" s="49">
        <f t="shared" si="134"/>
      </c>
      <c r="AP60" s="342" t="s">
        <v>197</v>
      </c>
      <c r="AQ60" s="342" t="s">
        <v>197</v>
      </c>
      <c r="AR60" s="49">
        <f t="shared" si="134"/>
      </c>
      <c r="AS60" s="49">
        <f t="shared" si="134"/>
      </c>
      <c r="AT60" s="342" t="s">
        <v>197</v>
      </c>
      <c r="AU60" s="49">
        <f t="shared" si="134"/>
      </c>
      <c r="AV60" s="49">
        <f t="shared" si="134"/>
      </c>
      <c r="AW60" s="49">
        <f t="shared" si="134"/>
      </c>
      <c r="AX60" s="342" t="s">
        <v>197</v>
      </c>
      <c r="AY60" s="49">
        <f t="shared" si="134"/>
      </c>
      <c r="AZ60" s="49">
        <f t="shared" si="134"/>
      </c>
      <c r="BA60" s="49">
        <f t="shared" si="134"/>
      </c>
      <c r="BB60" s="49">
        <f t="shared" si="134"/>
      </c>
      <c r="BC60" s="49">
        <f t="shared" si="134"/>
      </c>
      <c r="BD60" s="49">
        <f t="shared" si="134"/>
      </c>
      <c r="BE60" s="49">
        <f t="shared" si="134"/>
      </c>
      <c r="BF60" s="49">
        <f t="shared" si="134"/>
      </c>
      <c r="BG60" s="49">
        <f t="shared" si="134"/>
      </c>
      <c r="BH60" s="49">
        <f t="shared" si="134"/>
      </c>
      <c r="BI60" s="49">
        <f t="shared" si="134"/>
      </c>
      <c r="BJ60" s="49">
        <f t="shared" si="134"/>
      </c>
      <c r="BK60" s="340">
        <f t="shared" si="134"/>
      </c>
      <c r="BL60" s="340">
        <f t="shared" si="134"/>
      </c>
      <c r="BM60" s="49">
        <f t="shared" si="134"/>
      </c>
      <c r="BN60" s="49">
        <f t="shared" si="134"/>
      </c>
      <c r="BO60" s="49">
        <f t="shared" si="134"/>
      </c>
      <c r="BP60" s="49">
        <f t="shared" si="134"/>
      </c>
      <c r="BQ60" s="49">
        <f t="shared" si="134"/>
      </c>
      <c r="BR60" s="49">
        <f t="shared" si="134"/>
      </c>
      <c r="BS60" s="49">
        <f t="shared" ref="BS60:DE60" si="135">BS58/BO58-1</f>
      </c>
      <c r="BT60" s="49">
        <f t="shared" si="135"/>
      </c>
      <c r="BU60" s="49">
        <f t="shared" si="135"/>
      </c>
      <c r="BV60" s="49">
        <f t="shared" si="135"/>
      </c>
      <c r="BW60" s="49">
        <f t="shared" si="135"/>
      </c>
      <c r="BX60" s="49">
        <f t="shared" si="135"/>
      </c>
      <c r="BY60" s="49">
        <f t="shared" si="135"/>
      </c>
      <c r="BZ60" s="49">
        <f t="shared" si="135"/>
      </c>
      <c r="CA60" s="49">
        <f t="shared" si="135"/>
      </c>
      <c r="CB60" s="49">
        <f t="shared" si="135"/>
      </c>
      <c r="CC60" s="49">
        <f t="shared" si="135"/>
      </c>
      <c r="CD60" s="49">
        <f t="shared" si="135"/>
      </c>
      <c r="CE60" s="49">
        <f t="shared" si="135"/>
      </c>
      <c r="CF60" s="49">
        <f t="shared" si="135"/>
      </c>
      <c r="CG60" s="49">
        <f t="shared" si="135"/>
      </c>
      <c r="CH60" s="49">
        <f t="shared" si="135"/>
      </c>
      <c r="CI60" s="49">
        <f t="shared" si="135"/>
      </c>
      <c r="CJ60" s="342" t="s">
        <v>197</v>
      </c>
      <c r="CK60" s="49">
        <f t="shared" si="135"/>
      </c>
      <c r="CL60" s="49">
        <f t="shared" si="135"/>
      </c>
      <c r="CM60" s="49">
        <f t="shared" si="135"/>
      </c>
      <c r="CN60" s="342" t="s">
        <v>197</v>
      </c>
      <c r="CO60" s="49">
        <f t="shared" si="135"/>
      </c>
      <c r="CP60" s="49">
        <f t="shared" si="135"/>
      </c>
      <c r="CQ60" s="49">
        <f t="shared" si="135"/>
      </c>
      <c r="CR60" s="49">
        <f t="shared" si="135"/>
      </c>
      <c r="CS60" s="49">
        <f t="shared" si="135"/>
      </c>
      <c r="CT60" s="49">
        <f>CT58/CP58-1</f>
      </c>
      <c r="CU60" s="49">
        <f>CU58/CQ58-1</f>
      </c>
      <c r="CV60" s="341">
        <f t="shared" si="135"/>
      </c>
      <c r="CW60" s="341">
        <f t="shared" si="135"/>
      </c>
      <c r="CX60" s="341">
        <f t="shared" si="135"/>
      </c>
      <c r="CY60" s="341">
        <f t="shared" si="135"/>
      </c>
      <c r="CZ60" s="341">
        <f t="shared" si="135"/>
      </c>
      <c r="DA60" s="341">
        <f t="shared" si="135"/>
      </c>
      <c r="DB60" s="341">
        <f t="shared" si="135"/>
      </c>
      <c r="DC60" s="341">
        <f t="shared" si="135"/>
      </c>
      <c r="DD60" s="341">
        <f t="shared" si="135"/>
      </c>
      <c r="DE60" s="341">
        <f t="shared" si="135"/>
      </c>
      <c r="DI60" s="49">
        <f t="shared" ref="DI60:EH60" si="136">DI58/DH58-1</f>
      </c>
      <c r="DJ60" s="49">
        <f t="shared" si="136"/>
      </c>
      <c r="DK60" s="49">
        <f t="shared" si="136"/>
      </c>
      <c r="DL60" s="49">
        <f t="shared" si="136"/>
      </c>
      <c r="DM60" s="49">
        <f t="shared" si="136"/>
      </c>
      <c r="DN60" s="49">
        <f t="shared" si="136"/>
      </c>
      <c r="DO60" s="49">
        <f t="shared" si="136"/>
      </c>
      <c r="DP60" s="49">
        <f t="shared" si="136"/>
      </c>
      <c r="DQ60" s="49">
        <f t="shared" si="136"/>
      </c>
      <c r="DR60" s="49">
        <f t="shared" si="136"/>
      </c>
      <c r="DS60" s="49">
        <f t="shared" si="136"/>
      </c>
      <c r="DT60" s="49">
        <f t="shared" si="136"/>
      </c>
      <c r="DU60" s="49">
        <f t="shared" si="136"/>
      </c>
      <c r="DV60" s="49">
        <f t="shared" si="136"/>
      </c>
      <c r="DW60" s="49">
        <f t="shared" si="136"/>
      </c>
      <c r="DX60" s="49">
        <f t="shared" si="136"/>
      </c>
      <c r="DY60" s="49">
        <f t="shared" si="136"/>
      </c>
      <c r="DZ60" s="49">
        <f t="shared" si="136"/>
      </c>
      <c r="EA60" s="49">
        <f t="shared" si="136"/>
      </c>
      <c r="EB60" s="49">
        <f t="shared" si="136"/>
      </c>
      <c r="EC60" s="49">
        <f t="shared" si="136"/>
      </c>
      <c r="ED60" s="49">
        <f t="shared" si="136"/>
      </c>
      <c r="EE60" s="49">
        <f t="shared" si="136"/>
      </c>
      <c r="EF60" s="341">
        <f t="shared" si="136"/>
      </c>
      <c r="EG60" s="341">
        <f t="shared" si="136"/>
      </c>
      <c r="EH60" s="341">
        <f t="shared" si="136"/>
      </c>
    </row>
    <row r="61" spans="1:140" s="49" customFormat="1" ht="11.25" customHeight="1">
      <c r="A61" s="48" t="s">
        <v>218</v>
      </c>
      <c r="B61" s="49">
        <f t="shared" ref="B61:BM61" si="137">B58/B5</f>
      </c>
      <c r="C61" s="49">
        <f t="shared" si="137"/>
      </c>
      <c r="D61" s="49">
        <f t="shared" si="137"/>
      </c>
      <c r="E61" s="49">
        <f t="shared" si="137"/>
      </c>
      <c r="F61" s="49">
        <f t="shared" si="137"/>
      </c>
      <c r="G61" s="49">
        <f t="shared" si="137"/>
      </c>
      <c r="H61" s="49">
        <f t="shared" si="137"/>
      </c>
      <c r="I61" s="49">
        <f t="shared" si="137"/>
      </c>
      <c r="J61" s="49">
        <f t="shared" si="137"/>
      </c>
      <c r="K61" s="49">
        <f t="shared" si="137"/>
      </c>
      <c r="L61" s="49">
        <f t="shared" si="137"/>
      </c>
      <c r="M61" s="49">
        <f t="shared" si="137"/>
      </c>
      <c r="N61" s="49">
        <f t="shared" si="137"/>
      </c>
      <c r="O61" s="49">
        <f t="shared" si="137"/>
      </c>
      <c r="P61" s="49">
        <f t="shared" si="137"/>
      </c>
      <c r="Q61" s="49">
        <f t="shared" si="137"/>
      </c>
      <c r="R61" s="49">
        <f t="shared" si="137"/>
      </c>
      <c r="S61" s="49">
        <f t="shared" si="137"/>
      </c>
      <c r="T61" s="49">
        <f t="shared" si="137"/>
      </c>
      <c r="U61" s="49">
        <f t="shared" si="137"/>
      </c>
      <c r="V61" s="49">
        <f t="shared" si="137"/>
      </c>
      <c r="W61" s="49">
        <f t="shared" si="137"/>
      </c>
      <c r="X61" s="49">
        <f t="shared" si="137"/>
      </c>
      <c r="Y61" s="49">
        <f t="shared" si="137"/>
      </c>
      <c r="Z61" s="49">
        <f t="shared" si="137"/>
      </c>
      <c r="AA61" s="49">
        <f t="shared" si="137"/>
      </c>
      <c r="AB61" s="49">
        <f t="shared" si="137"/>
      </c>
      <c r="AC61" s="49">
        <f t="shared" si="137"/>
      </c>
      <c r="AD61" s="49">
        <f t="shared" si="137"/>
      </c>
      <c r="AE61" s="49">
        <f t="shared" si="137"/>
      </c>
      <c r="AF61" s="49">
        <f t="shared" si="137"/>
      </c>
      <c r="AG61" s="49">
        <f t="shared" si="137"/>
      </c>
      <c r="AH61" s="49">
        <f t="shared" si="137"/>
      </c>
      <c r="AI61" s="49">
        <f t="shared" si="137"/>
      </c>
      <c r="AJ61" s="49">
        <f t="shared" si="137"/>
      </c>
      <c r="AK61" s="49">
        <f t="shared" si="137"/>
      </c>
      <c r="AL61" s="49">
        <f t="shared" si="137"/>
      </c>
      <c r="AM61" s="49">
        <f t="shared" si="137"/>
      </c>
      <c r="AN61" s="49">
        <f t="shared" si="137"/>
      </c>
      <c r="AO61" s="49">
        <f t="shared" si="137"/>
      </c>
      <c r="AP61" s="49">
        <f t="shared" si="137"/>
      </c>
      <c r="AQ61" s="49">
        <f t="shared" si="137"/>
      </c>
      <c r="AR61" s="49">
        <f t="shared" si="137"/>
      </c>
      <c r="AS61" s="49">
        <f t="shared" si="137"/>
      </c>
      <c r="AT61" s="49">
        <f t="shared" si="137"/>
      </c>
      <c r="AU61" s="49">
        <f t="shared" si="137"/>
      </c>
      <c r="AV61" s="49">
        <f t="shared" si="137"/>
      </c>
      <c r="AW61" s="49">
        <f t="shared" si="137"/>
      </c>
      <c r="AX61" s="49">
        <f t="shared" si="137"/>
      </c>
      <c r="AY61" s="49">
        <f t="shared" si="137"/>
      </c>
      <c r="AZ61" s="49">
        <f t="shared" si="137"/>
      </c>
      <c r="BA61" s="49">
        <f t="shared" si="137"/>
      </c>
      <c r="BB61" s="49">
        <f t="shared" si="137"/>
      </c>
      <c r="BC61" s="49">
        <f t="shared" si="137"/>
      </c>
      <c r="BD61" s="49">
        <f t="shared" si="137"/>
      </c>
      <c r="BE61" s="49">
        <f t="shared" si="137"/>
      </c>
      <c r="BF61" s="49">
        <f t="shared" si="137"/>
      </c>
      <c r="BG61" s="49">
        <f t="shared" si="137"/>
      </c>
      <c r="BH61" s="49">
        <f t="shared" si="137"/>
      </c>
      <c r="BI61" s="49">
        <f t="shared" si="137"/>
      </c>
      <c r="BJ61" s="49">
        <f t="shared" si="137"/>
      </c>
      <c r="BK61" s="340">
        <f t="shared" si="137"/>
      </c>
      <c r="BL61" s="340">
        <f t="shared" si="137"/>
      </c>
      <c r="BM61" s="49">
        <f t="shared" si="137"/>
      </c>
      <c r="BN61" s="49">
        <f t="shared" ref="BN61:CQ61" si="138">BN58/BN5</f>
      </c>
      <c r="BO61" s="49">
        <f t="shared" si="138"/>
      </c>
      <c r="BP61" s="49">
        <f t="shared" si="138"/>
      </c>
      <c r="BQ61" s="49">
        <f t="shared" si="138"/>
      </c>
      <c r="BR61" s="49">
        <f t="shared" si="138"/>
      </c>
      <c r="BS61" s="49">
        <f t="shared" si="138"/>
      </c>
      <c r="BT61" s="49">
        <f t="shared" si="138"/>
      </c>
      <c r="BU61" s="49">
        <f t="shared" si="138"/>
      </c>
      <c r="BV61" s="49">
        <f t="shared" si="138"/>
      </c>
      <c r="BW61" s="49">
        <f t="shared" si="138"/>
      </c>
      <c r="BX61" s="49">
        <f t="shared" si="138"/>
      </c>
      <c r="BY61" s="49">
        <f t="shared" si="138"/>
      </c>
      <c r="BZ61" s="49">
        <f t="shared" si="138"/>
      </c>
      <c r="CA61" s="49">
        <f t="shared" si="138"/>
      </c>
      <c r="CB61" s="49">
        <f t="shared" si="138"/>
      </c>
      <c r="CC61" s="49">
        <f t="shared" si="138"/>
      </c>
      <c r="CD61" s="49">
        <f t="shared" si="138"/>
      </c>
      <c r="CE61" s="49">
        <f t="shared" si="138"/>
      </c>
      <c r="CF61" s="49">
        <f t="shared" si="138"/>
      </c>
      <c r="CG61" s="49">
        <f t="shared" si="138"/>
      </c>
      <c r="CH61" s="49">
        <f t="shared" si="138"/>
      </c>
      <c r="CI61" s="49">
        <f t="shared" si="138"/>
      </c>
      <c r="CJ61" s="49">
        <f t="shared" si="138"/>
      </c>
      <c r="CK61" s="49">
        <f t="shared" si="138"/>
      </c>
      <c r="CL61" s="49">
        <f t="shared" si="138"/>
      </c>
      <c r="CM61" s="49">
        <f t="shared" si="138"/>
      </c>
      <c r="CN61" s="49">
        <f>CN58/CN5</f>
      </c>
      <c r="CO61" s="49">
        <f>CO58/CO5</f>
      </c>
      <c r="CP61" s="49">
        <f>CP58/CP5</f>
      </c>
      <c r="CQ61" s="49">
        <f t="shared" si="138"/>
      </c>
      <c r="CR61" s="49">
        <f>CR58/CR5</f>
      </c>
      <c r="CS61" s="49">
        <f>CS58/CS5</f>
      </c>
      <c r="CT61" s="49">
        <f>CT58/CT5</f>
      </c>
      <c r="CU61" s="49">
        <f>CU58/CU5</f>
      </c>
      <c r="CV61" s="341">
        <f t="shared" ref="CV61:DA61" si="139">CV58/CV5</f>
      </c>
      <c r="CW61" s="341">
        <f t="shared" si="139"/>
      </c>
      <c r="CX61" s="341">
        <f t="shared" si="139"/>
      </c>
      <c r="CY61" s="341">
        <f t="shared" si="139"/>
      </c>
      <c r="CZ61" s="341">
        <f t="shared" si="139"/>
      </c>
      <c r="DA61" s="341">
        <f t="shared" si="139"/>
      </c>
      <c r="DB61" s="341">
        <f>DB58/DB5</f>
      </c>
      <c r="DC61" s="341">
        <f>DC58/DC5</f>
      </c>
      <c r="DD61" s="341">
        <f>DD58/DD5</f>
      </c>
      <c r="DE61" s="341">
        <f>DE58/DE5</f>
      </c>
      <c r="DH61" s="52">
        <f t="shared" ref="DH61:EE61" si="140">DH58/DH5</f>
      </c>
      <c r="DI61" s="52">
        <f t="shared" si="140"/>
      </c>
      <c r="DJ61" s="52">
        <f t="shared" si="140"/>
      </c>
      <c r="DK61" s="52">
        <f t="shared" si="140"/>
      </c>
      <c r="DL61" s="52">
        <f t="shared" si="140"/>
      </c>
      <c r="DM61" s="52">
        <f t="shared" si="140"/>
      </c>
      <c r="DN61" s="52">
        <f t="shared" si="140"/>
      </c>
      <c r="DO61" s="52">
        <f t="shared" si="140"/>
      </c>
      <c r="DP61" s="52">
        <f t="shared" si="140"/>
      </c>
      <c r="DQ61" s="52">
        <f t="shared" si="140"/>
      </c>
      <c r="DR61" s="52">
        <f t="shared" si="140"/>
      </c>
      <c r="DS61" s="52">
        <f t="shared" si="140"/>
      </c>
      <c r="DT61" s="52">
        <f t="shared" si="140"/>
      </c>
      <c r="DU61" s="52">
        <f t="shared" si="140"/>
      </c>
      <c r="DV61" s="52">
        <f t="shared" si="140"/>
      </c>
      <c r="DW61" s="52">
        <f t="shared" si="140"/>
      </c>
      <c r="DX61" s="50">
        <f t="shared" si="140"/>
      </c>
      <c r="DY61" s="50">
        <f t="shared" si="140"/>
      </c>
      <c r="DZ61" s="50">
        <f t="shared" si="140"/>
      </c>
      <c r="EA61" s="50">
        <f t="shared" si="140"/>
      </c>
      <c r="EB61" s="50">
        <f t="shared" si="140"/>
      </c>
      <c r="EC61" s="50">
        <f t="shared" si="140"/>
      </c>
      <c r="ED61" s="50">
        <f t="shared" si="140"/>
      </c>
      <c r="EE61" s="50">
        <f t="shared" si="140"/>
      </c>
      <c r="EF61" s="51">
        <f>EF58/EF5</f>
      </c>
      <c r="EG61" s="51">
        <f>EG58/EG5</f>
      </c>
      <c r="EH61" s="51">
        <f>EH58/EH5</f>
      </c>
    </row>
    <row r="62" spans="1:140" s="47" customFormat="1">
      <c r="A62" s="336" t="s">
        <v>219</v>
      </c>
      <c r="BF62" s="364"/>
      <c r="BG62" s="364"/>
      <c r="BH62" s="364"/>
      <c r="BI62" s="364"/>
      <c r="BJ62" s="364"/>
      <c r="BK62" s="364"/>
      <c r="BL62" s="364"/>
      <c r="BM62" s="364"/>
      <c r="BN62" s="364"/>
      <c r="BO62" s="364"/>
      <c r="BP62" s="364"/>
      <c r="BQ62" s="364"/>
      <c r="BR62" s="364"/>
      <c r="BS62" s="364"/>
      <c r="BT62" s="364"/>
      <c r="BU62" s="364"/>
      <c r="BV62" s="366"/>
      <c r="BW62" s="366"/>
      <c r="BX62" s="371"/>
      <c r="BY62" s="366"/>
      <c r="BZ62" s="366"/>
      <c r="CA62" s="366"/>
      <c r="CB62" s="366"/>
      <c r="CC62" s="366"/>
      <c r="CD62" s="366"/>
      <c r="CE62" s="366"/>
      <c r="CF62" s="366"/>
      <c r="CG62" s="366"/>
      <c r="CH62" s="366"/>
      <c r="CI62" s="366"/>
      <c r="CJ62" s="366"/>
      <c r="CK62" s="366"/>
      <c r="CL62" s="366"/>
      <c r="CN62" s="366"/>
      <c r="CO62" s="366"/>
      <c r="CP62" s="366"/>
      <c r="CQ62" s="366"/>
      <c r="CR62" s="366"/>
      <c r="CS62" s="366"/>
      <c r="CT62" s="366"/>
      <c r="CU62" s="366"/>
      <c r="CV62" s="366"/>
      <c r="CW62" s="366"/>
      <c r="CX62" s="366"/>
      <c r="CY62" s="366"/>
      <c r="CZ62" s="366"/>
      <c r="DA62" s="366"/>
      <c r="DB62" s="366"/>
      <c r="DC62" s="366"/>
      <c r="DD62" s="366"/>
      <c r="DE62" s="366"/>
      <c r="DH62" s="35">
        <f>Ticker0027!Z62+Ticker0027!Z63+Ticker0027!Z64-Ticker0027!Z91-Ticker0027!Z96-Ticker0027!Z97</f>
      </c>
      <c r="DI62" s="35">
        <f>Ticker0027!AE62+Ticker0027!AE63+Ticker0027!AE64-Ticker0027!AE91-Ticker0027!AE96-Ticker0027!AE97</f>
      </c>
      <c r="DJ62" s="35">
        <f>Ticker0027!AJ62+Ticker0027!AJ63+Ticker0027!AJ64-Ticker0027!AJ91-Ticker0027!AJ96-Ticker0027!AJ97</f>
      </c>
      <c r="DK62" s="35">
        <f>Ticker0027!AO62+Ticker0027!AO63+Ticker0027!AO64-Ticker0027!AO91-Ticker0027!AO96-Ticker0027!AO97</f>
      </c>
      <c r="DL62" s="35">
        <f>Ticker0027!AT62+Ticker0027!AT63+Ticker0027!AT64-Ticker0027!AT91-Ticker0027!AT96-Ticker0027!AT97</f>
      </c>
      <c r="DM62" s="35">
        <f>Ticker0027!AY62+Ticker0027!AY63+Ticker0027!AY64-Ticker0027!AY91-Ticker0027!AY96-Ticker0027!AY97</f>
      </c>
      <c r="DN62" s="35">
        <f>Ticker0027!BD62+Ticker0027!BD63+Ticker0027!BD64-Ticker0027!BD91-Ticker0027!BD96-Ticker0027!BD97</f>
      </c>
      <c r="DO62" s="35">
        <f>Ticker0027!BI62+Ticker0027!BI63+Ticker0027!BI64-Ticker0027!BI91-Ticker0027!BI96-Ticker0027!BI97</f>
      </c>
      <c r="DP62" s="35">
        <f>Ticker0027!BN62+Ticker0027!BN63+Ticker0027!BN64-Ticker0027!BN91-Ticker0027!BN96-Ticker0027!BN97</f>
      </c>
      <c r="DQ62" s="35">
        <f>Ticker0027!BS62+Ticker0027!BS63+Ticker0027!BS64-Ticker0027!BS91-Ticker0027!BS96-Ticker0027!BS97</f>
      </c>
      <c r="DR62" s="35">
        <f>Ticker0027!BX62+Ticker0027!BX63+Ticker0027!BX64-Ticker0027!BX91-Ticker0027!BX96-Ticker0027!BX97</f>
      </c>
      <c r="DS62" s="35">
        <f>Ticker0027!CC62+Ticker0027!CC63+Ticker0027!CC64-Ticker0027!CC91-Ticker0027!CC96-Ticker0027!CC97</f>
      </c>
      <c r="DT62" s="35">
        <f>Ticker0027!CH62+Ticker0027!CH63+Ticker0027!CH64-Ticker0027!CH91-Ticker0027!CH96-Ticker0027!CH97</f>
      </c>
      <c r="DU62" s="35">
        <f>Ticker0027!CM62+Ticker0027!CM63+Ticker0027!CM64-Ticker0027!CM91-Ticker0027!CM96-Ticker0027!CM97</f>
      </c>
      <c r="DV62" s="35">
        <f>Ticker0027!CR62+Ticker0027!CR63+Ticker0027!CR64-Ticker0027!CR91-Ticker0027!CR96-Ticker0027!CR97</f>
      </c>
      <c r="DW62" s="35">
        <f>Ticker0027!CW62+Ticker0027!CW63+Ticker0027!CW64-Ticker0027!CW91-Ticker0027!CW96-Ticker0027!CW97</f>
      </c>
      <c r="DX62" s="35">
        <f>Ticker0027!DB62+Ticker0027!DB63+Ticker0027!DB64-Ticker0027!DB91-Ticker0027!DB96-Ticker0027!DB97</f>
      </c>
      <c r="DY62" s="35">
        <f>Ticker0027!DG62+Ticker0027!DG63+Ticker0027!DG64-Ticker0027!DG91-Ticker0027!DG96-Ticker0027!DG97</f>
      </c>
      <c r="DZ62" s="35">
        <f>Ticker0027!DL62+Ticker0027!DL63+Ticker0027!DL64-Ticker0027!DL91-Ticker0027!DL96-Ticker0027!DL97</f>
      </c>
      <c r="EA62" s="35">
        <f>Ticker0027!DQ62+Ticker0027!DQ63+Ticker0027!DQ64-Ticker0027!DQ91-Ticker0027!DQ96-Ticker0027!DQ97</f>
      </c>
      <c r="EB62" s="35">
        <f>Ticker0027!DV62+Ticker0027!DV63+Ticker0027!DV64-Ticker0027!DV91-Ticker0027!DV96-Ticker0027!DV97</f>
      </c>
      <c r="EC62" s="35">
        <f>Ticker0027!EA62+Ticker0027!EA63+Ticker0027!EA64-Ticker0027!EA91-Ticker0027!EA96-Ticker0027!EA97</f>
      </c>
      <c r="ED62" s="35">
        <f>Ticker0027!EF62+Ticker0027!EF63+Ticker0027!EF64-Ticker0027!EF91-Ticker0027!EF96-Ticker0027!EF97</f>
      </c>
      <c r="EE62" s="35">
        <f>Ticker0027!EK62+Ticker0027!EK63+Ticker0027!EK64-Ticker0027!EK91-Ticker0027!EK96-Ticker0027!EK97</f>
      </c>
      <c r="EF62" s="338">
        <f>Ticker0027!EP62+Ticker0027!EP63+Ticker0027!EP64-Ticker0027!EP91-Ticker0027!EP96-Ticker0027!EP97</f>
      </c>
      <c r="EG62" s="338">
        <f>Ticker0027!EU62+Ticker0027!EU63+Ticker0027!EU64-Ticker0027!EU91-Ticker0027!EU96-Ticker0027!EU97</f>
      </c>
      <c r="EH62" s="338">
        <f>Ticker0027!EZ62+Ticker0027!EZ63+Ticker0027!EZ64-Ticker0027!EZ91-Ticker0027!EZ96-Ticker0027!EZ97</f>
      </c>
    </row>
    <row r="63" spans="1:140">
      <c r="A63" s="372"/>
      <c r="B63" s="339"/>
      <c r="C63" s="339"/>
      <c r="D63" s="339"/>
      <c r="E63" s="339"/>
      <c r="F63" s="339"/>
      <c r="G63" s="339"/>
      <c r="H63" s="339"/>
      <c r="I63" s="339"/>
      <c r="J63" s="339"/>
      <c r="K63" s="339"/>
      <c r="L63" s="339"/>
      <c r="M63" s="339"/>
      <c r="N63" s="339"/>
      <c r="O63" s="339"/>
      <c r="P63" s="339"/>
      <c r="Q63" s="339"/>
      <c r="R63" s="339"/>
      <c r="S63" s="339"/>
      <c r="T63" s="339"/>
      <c r="U63" s="339"/>
      <c r="V63" s="339"/>
      <c r="W63" s="339"/>
      <c r="X63" s="339"/>
      <c r="Y63" s="339"/>
      <c r="Z63" s="339"/>
      <c r="AA63" s="339"/>
      <c r="AB63" s="339"/>
      <c r="AC63" s="339"/>
      <c r="AD63" s="339"/>
      <c r="AE63" s="339"/>
      <c r="AF63" s="339"/>
      <c r="AG63" s="339"/>
      <c r="AH63" s="339"/>
      <c r="AI63" s="339"/>
      <c r="AJ63" s="339"/>
      <c r="AK63" s="339"/>
      <c r="AL63" s="339"/>
      <c r="AM63" s="339"/>
      <c r="AN63" s="339"/>
      <c r="AO63" s="339"/>
      <c r="AP63" s="339"/>
      <c r="AQ63" s="339"/>
      <c r="AR63" s="339"/>
      <c r="AS63" s="339"/>
      <c r="AT63" s="339"/>
      <c r="AU63" s="339"/>
      <c r="AV63" s="339"/>
      <c r="AW63" s="339"/>
      <c r="AX63" s="339"/>
      <c r="AY63" s="339"/>
      <c r="AZ63" s="339"/>
      <c r="BA63" s="339"/>
      <c r="BB63" s="339"/>
      <c r="BC63" s="339"/>
      <c r="BD63" s="339"/>
      <c r="BE63" s="339"/>
      <c r="BF63" s="339"/>
      <c r="BG63" s="339"/>
      <c r="BH63" s="339"/>
      <c r="BI63" s="339"/>
      <c r="BJ63" s="339"/>
      <c r="BK63" s="339"/>
      <c r="BL63" s="339"/>
      <c r="BM63" s="339"/>
      <c r="BN63" s="339"/>
      <c r="BO63" s="339"/>
      <c r="BP63" s="339"/>
      <c r="BQ63" s="339"/>
      <c r="BR63" s="339"/>
      <c r="BS63" s="339"/>
      <c r="BT63" s="339"/>
      <c r="BU63" s="373"/>
      <c r="BV63" s="339"/>
      <c r="BW63" s="339"/>
      <c r="BX63" s="339"/>
      <c r="BY63" s="339"/>
      <c r="BZ63" s="339"/>
      <c r="CA63" s="339"/>
      <c r="CB63" s="339"/>
      <c r="CC63" s="339"/>
      <c r="CD63" s="374"/>
      <c r="CE63" s="374"/>
      <c r="CF63" s="374"/>
      <c r="CG63" s="374"/>
      <c r="CH63" s="374"/>
      <c r="CI63" s="374"/>
      <c r="CJ63" s="55"/>
      <c r="CK63" s="375"/>
      <c r="CL63" s="374"/>
      <c r="CM63" s="366"/>
      <c r="CN63" s="339"/>
      <c r="CO63" s="339"/>
      <c r="CP63" s="339"/>
      <c r="CQ63" s="339"/>
      <c r="CR63" s="339"/>
      <c r="CS63" s="339"/>
      <c r="CT63" s="339"/>
      <c r="CU63" s="339"/>
      <c r="CV63" s="339"/>
      <c r="CW63" s="339"/>
      <c r="CX63" s="339"/>
      <c r="CY63" s="339"/>
      <c r="CZ63" s="339"/>
      <c r="DA63" s="339"/>
      <c r="DB63" s="339"/>
      <c r="DC63" s="339"/>
      <c r="DD63" s="339"/>
      <c r="DE63" s="339"/>
      <c r="DH63" s="339"/>
      <c r="DI63" s="55"/>
      <c r="DJ63" s="55"/>
      <c r="DK63" s="55"/>
      <c r="DL63" s="55"/>
      <c r="DM63" s="55"/>
      <c r="DN63" s="55"/>
      <c r="DO63" s="55"/>
      <c r="DP63" s="55"/>
      <c r="DQ63" s="55"/>
      <c r="DR63" s="55"/>
      <c r="DS63" s="55"/>
      <c r="DT63" s="55"/>
      <c r="DU63" s="55"/>
      <c r="DV63" s="55"/>
      <c r="DW63" s="55"/>
      <c r="DX63" s="376"/>
      <c r="DY63" s="376"/>
      <c r="DZ63" s="376"/>
      <c r="EA63" s="376"/>
      <c r="EB63" s="376"/>
      <c r="EC63" s="376"/>
      <c r="ED63" s="376"/>
      <c r="EE63" s="376"/>
      <c r="EF63" s="377"/>
      <c r="EG63" s="377"/>
      <c r="EH63" s="377"/>
    </row>
    <row r="64" spans="1:140" hidden="1" outlineLevel="1">
      <c r="A64" s="336" t="s">
        <v>220</v>
      </c>
      <c r="B64" s="35">
        <f>Ticker0027!V48</f>
      </c>
      <c r="C64" s="35">
        <f>Ticker0027!W48</f>
      </c>
      <c r="D64" s="35">
        <f>Ticker0027!X48</f>
      </c>
      <c r="E64" s="35">
        <f>Ticker0027!Y48</f>
      </c>
      <c r="F64" s="35">
        <f>Ticker0027!AA48</f>
      </c>
      <c r="G64" s="35">
        <f>Ticker0027!AB48</f>
      </c>
      <c r="H64" s="35">
        <f>Ticker0027!AC48</f>
      </c>
      <c r="I64" s="35">
        <f>Ticker0027!AD48</f>
      </c>
      <c r="J64" s="35">
        <f>Ticker0027!AF48</f>
      </c>
      <c r="K64" s="35">
        <f>Ticker0027!AG48</f>
      </c>
      <c r="L64" s="35">
        <f>Ticker0027!AH48</f>
      </c>
      <c r="M64" s="35">
        <f>Ticker0027!AI48</f>
      </c>
      <c r="N64" s="35">
        <f>Ticker0027!AK48</f>
      </c>
      <c r="O64" s="35">
        <f>Ticker0027!AL48</f>
      </c>
      <c r="P64" s="35">
        <f>Ticker0027!AM48</f>
      </c>
      <c r="Q64" s="35">
        <f>Ticker0027!AN48</f>
      </c>
      <c r="R64" s="35">
        <f>Ticker0027!AP48</f>
      </c>
      <c r="S64" s="35">
        <f>Ticker0027!AQ48</f>
      </c>
      <c r="T64" s="35">
        <f>Ticker0027!AR48</f>
      </c>
      <c r="U64" s="35">
        <f>Ticker0027!AS48</f>
      </c>
      <c r="V64" s="35">
        <f>Ticker0027!AU48</f>
      </c>
      <c r="W64" s="35">
        <f>Ticker0027!AV48</f>
      </c>
      <c r="X64" s="35">
        <f>Ticker0027!AW48</f>
      </c>
      <c r="Y64" s="35">
        <f>Ticker0027!AX48</f>
      </c>
      <c r="Z64" s="35">
        <f>Ticker0027!AZ48</f>
      </c>
      <c r="AA64" s="35">
        <f>Ticker0027!BA48</f>
      </c>
      <c r="AB64" s="35">
        <f>Ticker0027!BB48</f>
      </c>
      <c r="AC64" s="35">
        <f>Ticker0027!BC48</f>
      </c>
      <c r="AD64" s="35">
        <f>Ticker0027!BE48</f>
      </c>
      <c r="AE64" s="35">
        <f>Ticker0027!BF48</f>
      </c>
      <c r="AF64" s="35">
        <f>Ticker0027!BG48</f>
      </c>
      <c r="AG64" s="35">
        <f>Ticker0027!BH48</f>
      </c>
      <c r="AH64" s="35">
        <f>Ticker0027!BJ48</f>
      </c>
      <c r="AI64" s="35">
        <f>Ticker0027!BK48</f>
      </c>
      <c r="AJ64" s="35">
        <f>Ticker0027!BL48</f>
      </c>
      <c r="AK64" s="35">
        <f>Ticker0027!BM48</f>
      </c>
      <c r="AL64" s="35">
        <f>Ticker0027!BO48</f>
      </c>
      <c r="AM64" s="35">
        <f>Ticker0027!BP48</f>
      </c>
      <c r="AN64" s="35">
        <f>Ticker0027!BQ48</f>
      </c>
      <c r="AO64" s="35">
        <f>Ticker0027!BR48</f>
      </c>
      <c r="AP64" s="35">
        <f>Ticker0027!BT48</f>
      </c>
      <c r="AQ64" s="35">
        <f>Ticker0027!BU48</f>
      </c>
      <c r="AR64" s="35">
        <f>Ticker0027!BV48</f>
      </c>
      <c r="AS64" s="35">
        <f>Ticker0027!BW48</f>
      </c>
      <c r="AT64" s="35">
        <f>Ticker0027!BY48</f>
      </c>
      <c r="AU64" s="35">
        <f>Ticker0027!BZ48</f>
      </c>
      <c r="AV64" s="35">
        <f>Ticker0027!CA48</f>
      </c>
      <c r="AW64" s="35">
        <f>Ticker0027!CB48</f>
      </c>
      <c r="AX64" s="35">
        <f>Ticker0027!CD48</f>
      </c>
      <c r="AY64" s="35">
        <f>Ticker0027!CE48</f>
      </c>
      <c r="AZ64" s="35">
        <f>Ticker0027!CF48</f>
      </c>
      <c r="BA64" s="35">
        <f>Ticker0027!CG48</f>
      </c>
      <c r="BB64" s="35">
        <f>Ticker0027!CI48</f>
      </c>
      <c r="BC64" s="35">
        <f>Ticker0027!CJ48</f>
      </c>
      <c r="BD64" s="35">
        <f>Ticker0027!CK48</f>
      </c>
      <c r="BE64" s="35">
        <f>Ticker0027!CL48</f>
      </c>
      <c r="BF64" s="35">
        <f>Ticker0027!CN48</f>
      </c>
      <c r="BG64" s="35">
        <f>Ticker0027!CO48</f>
      </c>
      <c r="BH64" s="35">
        <f>Ticker0027!CP48</f>
      </c>
      <c r="BI64" s="35">
        <f>Ticker0027!CQ48</f>
      </c>
      <c r="BJ64" s="35">
        <f>Ticker0027!CS48</f>
      </c>
      <c r="BK64" s="337">
        <f>Ticker0027!CT48</f>
      </c>
      <c r="BL64" s="337">
        <f>Ticker0027!CU48</f>
      </c>
      <c r="BM64" s="35">
        <f>Ticker0027!CV48</f>
      </c>
      <c r="BN64" s="35">
        <f>Ticker0027!CX48</f>
      </c>
      <c r="BO64" s="35">
        <f>Ticker0027!CY48</f>
      </c>
      <c r="BP64" s="35">
        <f>Ticker0027!CZ48</f>
      </c>
      <c r="BQ64" s="35">
        <f>Ticker0027!DA48</f>
      </c>
      <c r="BR64" s="35">
        <f>Ticker0027!DC48</f>
      </c>
      <c r="BS64" s="35">
        <f>Ticker0027!DD48</f>
      </c>
      <c r="BT64" s="35">
        <f>Ticker0027!DE48</f>
      </c>
      <c r="BU64" s="35">
        <f>Ticker0027!DF48</f>
      </c>
      <c r="BV64" s="35">
        <f>Ticker0027!DH48</f>
      </c>
      <c r="BW64" s="35">
        <f>Ticker0027!DI48</f>
      </c>
      <c r="BX64" s="35">
        <f>Ticker0027!DJ48</f>
      </c>
      <c r="BY64" s="35">
        <f>Ticker0027!DK48</f>
      </c>
      <c r="BZ64" s="35">
        <f>Ticker0027!DM48</f>
      </c>
      <c r="CA64" s="35">
        <f>Ticker0027!DN48</f>
      </c>
      <c r="CB64" s="35">
        <f>Ticker0027!DO48</f>
      </c>
      <c r="CC64" s="35">
        <f>Ticker0027!DP48</f>
      </c>
      <c r="CD64" s="35"/>
      <c r="CE64" s="35"/>
      <c r="CF64" s="35"/>
      <c r="CG64" s="35"/>
      <c r="CH64" s="35"/>
      <c r="CI64" s="338"/>
      <c r="CJ64" s="338"/>
      <c r="CK64" s="338"/>
      <c r="CL64" s="338"/>
      <c r="CM64" s="338"/>
      <c r="CN64" s="338"/>
      <c r="CO64" s="338"/>
      <c r="CP64" s="338"/>
      <c r="CQ64" s="338"/>
      <c r="CR64" s="338"/>
      <c r="CS64" s="338"/>
      <c r="CT64" s="338"/>
      <c r="CU64" s="338"/>
      <c r="CV64" s="338"/>
      <c r="CW64" s="338"/>
      <c r="CX64" s="338"/>
      <c r="CY64" s="338"/>
      <c r="CZ64" s="338"/>
      <c r="DA64" s="338"/>
      <c r="DB64" s="338"/>
      <c r="DC64" s="338"/>
      <c r="DD64" s="338"/>
      <c r="DE64" s="338"/>
      <c r="DH64" s="339"/>
      <c r="DI64" s="55"/>
      <c r="DJ64" s="55"/>
      <c r="DK64" s="55"/>
      <c r="DL64" s="55"/>
      <c r="DM64" s="55"/>
      <c r="DN64" s="55"/>
      <c r="DO64" s="55"/>
      <c r="DP64" s="55"/>
      <c r="DQ64" s="55"/>
      <c r="DR64" s="55"/>
      <c r="DS64" s="55"/>
      <c r="DT64" s="55"/>
      <c r="DU64" s="55"/>
      <c r="DV64" s="55"/>
      <c r="DW64" s="55"/>
      <c r="DX64" s="376"/>
      <c r="DY64" s="376"/>
      <c r="DZ64" s="376"/>
      <c r="EA64" s="376"/>
      <c r="EB64" s="376"/>
      <c r="EC64" s="376"/>
      <c r="ED64" s="376"/>
      <c r="EE64" s="50"/>
      <c r="EF64" s="50"/>
      <c r="EG64" s="50"/>
      <c r="EH64" s="50"/>
    </row>
    <row r="65" spans="1:139" s="49" customFormat="1" hidden="1" outlineLevel="1">
      <c r="A65" s="48" t="s">
        <v>198</v>
      </c>
      <c r="BB65" s="49">
        <f>BB64/AX64-1</f>
      </c>
      <c r="BC65" s="49">
        <f>BC64/AY64-1</f>
      </c>
      <c r="BD65" s="49">
        <f>BD64/AZ64-1</f>
      </c>
      <c r="BE65" s="49">
        <f t="shared" ref="BE65:CC65" si="141">BE64/BA64-1</f>
      </c>
      <c r="BF65" s="49">
        <f t="shared" si="141"/>
      </c>
      <c r="BG65" s="49">
        <f t="shared" si="141"/>
      </c>
      <c r="BH65" s="49">
        <f t="shared" si="141"/>
      </c>
      <c r="BI65" s="49">
        <f t="shared" si="141"/>
      </c>
      <c r="BJ65" s="49">
        <f t="shared" si="141"/>
      </c>
      <c r="BK65" s="49">
        <f t="shared" si="141"/>
      </c>
      <c r="BL65" s="49">
        <f t="shared" si="141"/>
      </c>
      <c r="BM65" s="49">
        <f t="shared" si="141"/>
      </c>
      <c r="BN65" s="49">
        <f t="shared" si="141"/>
      </c>
      <c r="BO65" s="49">
        <f t="shared" si="141"/>
      </c>
      <c r="BP65" s="49">
        <f t="shared" si="141"/>
      </c>
      <c r="BQ65" s="49">
        <f t="shared" si="141"/>
      </c>
      <c r="BR65" s="49">
        <f t="shared" si="141"/>
      </c>
      <c r="BS65" s="49">
        <f t="shared" si="141"/>
      </c>
      <c r="BT65" s="49">
        <f t="shared" si="141"/>
      </c>
      <c r="BU65" s="49">
        <f t="shared" si="141"/>
      </c>
      <c r="BV65" s="49">
        <f t="shared" si="141"/>
      </c>
      <c r="BW65" s="49">
        <f t="shared" si="141"/>
      </c>
      <c r="BX65" s="49">
        <f t="shared" si="141"/>
      </c>
      <c r="BY65" s="49">
        <f t="shared" si="141"/>
      </c>
      <c r="BZ65" s="49">
        <f t="shared" si="141"/>
      </c>
      <c r="CA65" s="49">
        <f t="shared" si="141"/>
      </c>
      <c r="CB65" s="49">
        <f t="shared" si="141"/>
      </c>
      <c r="CC65" s="49">
        <f t="shared" si="141"/>
      </c>
      <c r="CI65" s="341"/>
      <c r="CJ65" s="341"/>
      <c r="CK65" s="341"/>
      <c r="CL65" s="341"/>
      <c r="CM65" s="341"/>
      <c r="CN65" s="341"/>
      <c r="CO65" s="341"/>
      <c r="CP65" s="341"/>
      <c r="CQ65" s="341"/>
      <c r="CR65" s="341"/>
      <c r="CS65" s="341"/>
      <c r="CT65" s="341"/>
      <c r="CU65" s="341"/>
      <c r="CV65" s="341"/>
      <c r="CW65" s="341"/>
      <c r="CX65" s="341"/>
      <c r="CY65" s="341"/>
      <c r="CZ65" s="341"/>
      <c r="DA65" s="341"/>
      <c r="DB65" s="341"/>
      <c r="DC65" s="341"/>
      <c r="DD65" s="341"/>
      <c r="DE65" s="341"/>
      <c r="DI65" s="52"/>
      <c r="DK65" s="52"/>
      <c r="DL65" s="52"/>
      <c r="DM65" s="52"/>
      <c r="DN65" s="52"/>
      <c r="DO65" s="52"/>
      <c r="DP65" s="52"/>
      <c r="DQ65" s="52"/>
      <c r="DR65" s="52"/>
      <c r="DS65" s="52"/>
      <c r="DT65" s="52"/>
      <c r="DU65" s="52"/>
      <c r="DV65" s="52"/>
      <c r="DW65" s="52"/>
      <c r="DX65" s="50"/>
      <c r="DY65" s="50"/>
      <c r="DZ65" s="50"/>
      <c r="EA65" s="50"/>
      <c r="EB65" s="50"/>
      <c r="EC65" s="50"/>
      <c r="ED65" s="50"/>
      <c r="EE65" s="50"/>
      <c r="EF65" s="50"/>
      <c r="EG65" s="50"/>
      <c r="EH65" s="50"/>
    </row>
    <row r="66" spans="1:139" hidden="1" outlineLevel="1">
      <c r="A66" s="372"/>
      <c r="B66" s="339"/>
      <c r="C66" s="339"/>
      <c r="D66" s="339"/>
      <c r="E66" s="339"/>
      <c r="F66" s="339"/>
      <c r="G66" s="339"/>
      <c r="H66" s="339"/>
      <c r="I66" s="339"/>
      <c r="J66" s="339"/>
      <c r="K66" s="339"/>
      <c r="L66" s="339"/>
      <c r="M66" s="339"/>
      <c r="N66" s="339"/>
      <c r="O66" s="339"/>
      <c r="P66" s="339"/>
      <c r="Q66" s="339"/>
      <c r="R66" s="339"/>
      <c r="S66" s="339"/>
      <c r="T66" s="339"/>
      <c r="U66" s="339"/>
      <c r="V66" s="339"/>
      <c r="W66" s="339"/>
      <c r="X66" s="339"/>
      <c r="Y66" s="339"/>
      <c r="Z66" s="339"/>
      <c r="AA66" s="339"/>
      <c r="AB66" s="339"/>
      <c r="AC66" s="339"/>
      <c r="AD66" s="339"/>
      <c r="AE66" s="339"/>
      <c r="AF66" s="339"/>
      <c r="AG66" s="339"/>
      <c r="AH66" s="339"/>
      <c r="AI66" s="339"/>
      <c r="AJ66" s="339"/>
      <c r="AK66" s="339"/>
      <c r="AL66" s="339"/>
      <c r="AM66" s="339"/>
      <c r="AN66" s="339"/>
      <c r="AO66" s="339"/>
      <c r="AP66" s="339"/>
      <c r="AQ66" s="339"/>
      <c r="AR66" s="339"/>
      <c r="AS66" s="339"/>
      <c r="AT66" s="339"/>
      <c r="AU66" s="339"/>
      <c r="AV66" s="339"/>
      <c r="AW66" s="339"/>
      <c r="AX66" s="339"/>
      <c r="AY66" s="339"/>
      <c r="AZ66" s="339"/>
      <c r="BA66" s="339"/>
      <c r="BB66" s="339"/>
      <c r="BC66" s="339"/>
      <c r="BD66" s="339"/>
      <c r="BE66" s="339"/>
      <c r="BF66" s="339"/>
      <c r="BG66" s="339"/>
      <c r="BH66" s="339"/>
      <c r="BI66" s="339"/>
      <c r="BJ66" s="339"/>
      <c r="BK66" s="339"/>
      <c r="BL66" s="339"/>
      <c r="BM66" s="339"/>
      <c r="BN66" s="370"/>
      <c r="BO66" s="339"/>
      <c r="BP66" s="339"/>
      <c r="BQ66" s="339"/>
      <c r="BR66" s="339"/>
      <c r="BS66" s="339"/>
      <c r="BT66" s="339"/>
      <c r="BU66" s="339"/>
      <c r="BV66" s="339"/>
      <c r="BW66" s="339"/>
      <c r="BX66" s="339"/>
      <c r="BY66" s="339"/>
      <c r="BZ66" s="339"/>
      <c r="CA66" s="339"/>
      <c r="CB66" s="339"/>
      <c r="CC66" s="339"/>
      <c r="CD66" s="339"/>
      <c r="CE66" s="339"/>
      <c r="CF66" s="339"/>
      <c r="CG66" s="339"/>
      <c r="CH66" s="339"/>
      <c r="CI66" s="339"/>
      <c r="CJ66" s="339"/>
      <c r="CK66" s="339"/>
      <c r="CL66" s="339"/>
      <c r="CM66" s="339"/>
      <c r="CN66" s="339"/>
      <c r="CO66" s="339"/>
      <c r="CP66" s="339"/>
      <c r="CQ66" s="339"/>
      <c r="CR66" s="339"/>
      <c r="CS66" s="339"/>
      <c r="CT66" s="339"/>
      <c r="CU66" s="339"/>
      <c r="CV66" s="339"/>
      <c r="CW66" s="339"/>
      <c r="CX66" s="339"/>
      <c r="CY66" s="339"/>
      <c r="CZ66" s="339"/>
      <c r="DA66" s="339"/>
      <c r="DB66" s="339"/>
      <c r="DC66" s="339"/>
      <c r="DD66" s="339"/>
      <c r="DE66" s="339"/>
      <c r="DH66" s="339"/>
      <c r="DI66" s="55"/>
      <c r="DJ66" s="378"/>
      <c r="DK66" s="378"/>
      <c r="DL66" s="378"/>
      <c r="DM66" s="55"/>
      <c r="DN66" s="55"/>
      <c r="DO66" s="55"/>
      <c r="DP66" s="55"/>
      <c r="DQ66" s="55"/>
      <c r="DR66" s="55"/>
      <c r="DS66" s="55"/>
      <c r="DT66" s="55"/>
      <c r="DU66" s="55"/>
      <c r="DV66" s="55"/>
      <c r="DW66" s="55"/>
      <c r="DX66" s="376"/>
      <c r="DY66" s="376"/>
      <c r="DZ66" s="376"/>
      <c r="EA66" s="376"/>
      <c r="EB66" s="376"/>
      <c r="EC66" s="376"/>
      <c r="ED66" s="379"/>
      <c r="EE66" s="379"/>
      <c r="EF66" s="376"/>
      <c r="EG66" s="376"/>
      <c r="EH66" s="376"/>
    </row>
    <row r="67" spans="1:139" s="35" customFormat="1" hidden="1" outlineLevel="1">
      <c r="A67" s="336" t="s">
        <v>221</v>
      </c>
      <c r="B67" s="35">
        <f>Ticker0027!V67</f>
      </c>
      <c r="C67" s="35">
        <f>Ticker0027!W67</f>
      </c>
      <c r="D67" s="35">
        <f>Ticker0027!X67</f>
      </c>
      <c r="E67" s="35">
        <f>Ticker0027!Y67</f>
      </c>
      <c r="F67" s="35">
        <f>Ticker0027!AA67</f>
      </c>
      <c r="G67" s="35">
        <f>Ticker0027!AB67</f>
      </c>
      <c r="H67" s="35">
        <f>Ticker0027!AC67</f>
      </c>
      <c r="I67" s="35">
        <f>Ticker0027!AD67</f>
      </c>
      <c r="J67" s="35">
        <f>Ticker0027!AF67</f>
      </c>
      <c r="K67" s="35">
        <f>Ticker0027!AG67</f>
      </c>
      <c r="L67" s="35">
        <f>Ticker0027!AH67</f>
      </c>
      <c r="M67" s="35">
        <f>Ticker0027!AI67</f>
      </c>
      <c r="N67" s="35">
        <f>Ticker0027!AK67</f>
      </c>
      <c r="O67" s="35">
        <f>Ticker0027!AL67</f>
      </c>
      <c r="P67" s="35">
        <f>Ticker0027!AM67</f>
      </c>
      <c r="Q67" s="35">
        <f>Ticker0027!AN67</f>
      </c>
      <c r="R67" s="35">
        <f>Ticker0027!AP67</f>
      </c>
      <c r="S67" s="35">
        <f>Ticker0027!AQ67</f>
      </c>
      <c r="T67" s="35">
        <f>Ticker0027!AR67</f>
      </c>
      <c r="U67" s="35">
        <f>Ticker0027!AS67</f>
      </c>
      <c r="V67" s="35">
        <f>Ticker0027!AU67</f>
      </c>
      <c r="W67" s="35">
        <f>Ticker0027!AV67</f>
      </c>
      <c r="X67" s="35">
        <f>Ticker0027!AW67</f>
      </c>
      <c r="Y67" s="35">
        <f>Ticker0027!AX67</f>
      </c>
      <c r="Z67" s="35">
        <f>Ticker0027!AZ67</f>
      </c>
      <c r="AA67" s="35">
        <f>Ticker0027!BA67</f>
      </c>
      <c r="AB67" s="35">
        <f>Ticker0027!BB67</f>
      </c>
      <c r="AC67" s="35">
        <f>Ticker0027!BC67</f>
      </c>
      <c r="AD67" s="35">
        <f>Ticker0027!BE67</f>
      </c>
      <c r="AE67" s="35">
        <f>Ticker0027!BF67</f>
      </c>
      <c r="AF67" s="35">
        <f>Ticker0027!BG67</f>
      </c>
      <c r="AG67" s="35">
        <f>Ticker0027!BH67</f>
      </c>
      <c r="AH67" s="35">
        <f>Ticker0027!BJ67</f>
      </c>
      <c r="AI67" s="35">
        <f>Ticker0027!BK67</f>
      </c>
      <c r="AJ67" s="35">
        <f>Ticker0027!BL67</f>
      </c>
      <c r="AK67" s="35">
        <f>Ticker0027!BM67</f>
      </c>
      <c r="AL67" s="35">
        <f>Ticker0027!BO67</f>
      </c>
      <c r="AM67" s="35">
        <f>Ticker0027!BP67</f>
      </c>
      <c r="AN67" s="35">
        <f>Ticker0027!BQ67</f>
      </c>
      <c r="AO67" s="35">
        <f>Ticker0027!BR67</f>
      </c>
      <c r="AP67" s="35">
        <f>Ticker0027!BT67</f>
      </c>
      <c r="AQ67" s="35">
        <f>Ticker0027!BU67</f>
      </c>
      <c r="AR67" s="35">
        <f>Ticker0027!BV67</f>
      </c>
      <c r="AS67" s="35">
        <f>Ticker0027!BW67</f>
      </c>
      <c r="AT67" s="35">
        <f>Ticker0027!BY67</f>
      </c>
      <c r="AU67" s="35">
        <f>Ticker0027!BZ67</f>
      </c>
      <c r="AV67" s="35">
        <f>Ticker0027!CA67</f>
      </c>
      <c r="AW67" s="35">
        <f>Ticker0027!CB67</f>
      </c>
      <c r="AX67" s="35">
        <f>Ticker0027!CD67</f>
      </c>
      <c r="AY67" s="35">
        <f>Ticker0027!CE67</f>
      </c>
      <c r="AZ67" s="35">
        <f>Ticker0027!CF67</f>
      </c>
      <c r="BA67" s="35">
        <f>Ticker0027!CG67</f>
      </c>
      <c r="BB67" s="35">
        <f>Ticker0027!CI67</f>
      </c>
      <c r="BC67" s="35">
        <f>Ticker0027!CJ67</f>
      </c>
      <c r="BD67" s="35">
        <f>Ticker0027!CK67</f>
      </c>
      <c r="BE67" s="35">
        <f>Ticker0027!CL67</f>
      </c>
      <c r="BF67" s="35">
        <f>Ticker0027!CN67</f>
      </c>
      <c r="BG67" s="35">
        <f>Ticker0027!CO67</f>
      </c>
      <c r="BH67" s="35">
        <f>Ticker0027!CP67</f>
      </c>
      <c r="BI67" s="35">
        <f>Ticker0027!CQ67</f>
      </c>
      <c r="BJ67" s="35">
        <f>Ticker0027!CS67</f>
      </c>
      <c r="BK67" s="35">
        <f>Ticker0027!CT67</f>
      </c>
      <c r="BL67" s="35">
        <f>Ticker0027!CU67</f>
      </c>
      <c r="BM67" s="35">
        <f>Ticker0027!CV67</f>
      </c>
      <c r="BN67" s="35">
        <f>Ticker0027!CX67</f>
      </c>
      <c r="BO67" s="35">
        <f>Ticker0027!CY67</f>
      </c>
      <c r="BP67" s="35">
        <f>Ticker0027!CZ67</f>
      </c>
      <c r="BQ67" s="35">
        <f>Ticker0027!DA67</f>
      </c>
      <c r="BR67" s="35">
        <f>Ticker0027!DC67</f>
      </c>
      <c r="BS67" s="35">
        <f>Ticker0027!DD67</f>
      </c>
      <c r="BT67" s="35">
        <f>Ticker0027!DE67</f>
      </c>
      <c r="BU67" s="35">
        <f>Ticker0027!DF67</f>
      </c>
      <c r="BV67" s="35">
        <f>Ticker0027!DH67</f>
      </c>
      <c r="BW67" s="35">
        <f>Ticker0027!DI67</f>
      </c>
      <c r="BX67" s="35">
        <f>Ticker0027!DJ67</f>
      </c>
      <c r="BY67" s="35">
        <f>Ticker0027!DK67</f>
      </c>
      <c r="BZ67" s="35">
        <f>Ticker0027!DM67</f>
      </c>
      <c r="CA67" s="35">
        <f>Ticker0027!DN67</f>
      </c>
      <c r="CB67" s="35">
        <f>Ticker0027!DO67</f>
      </c>
      <c r="CC67" s="35">
        <f>Ticker0027!DP67</f>
      </c>
      <c r="CI67" s="338"/>
      <c r="CJ67" s="338"/>
      <c r="CK67" s="338"/>
      <c r="CL67" s="338"/>
      <c r="CM67" s="338"/>
      <c r="CN67" s="338"/>
      <c r="CO67" s="338"/>
      <c r="CP67" s="338"/>
      <c r="CQ67" s="338"/>
      <c r="CR67" s="338"/>
      <c r="CS67" s="338"/>
      <c r="CT67" s="338"/>
      <c r="CU67" s="338"/>
      <c r="CV67" s="338"/>
      <c r="CW67" s="338"/>
      <c r="CX67" s="338"/>
      <c r="CY67" s="338"/>
      <c r="CZ67" s="338"/>
      <c r="DA67" s="338"/>
      <c r="DB67" s="338"/>
      <c r="DC67" s="338"/>
      <c r="DD67" s="338"/>
      <c r="DE67" s="338"/>
      <c r="DI67" s="66"/>
      <c r="DJ67" s="380"/>
      <c r="DK67" s="380"/>
      <c r="DL67" s="378"/>
      <c r="DM67" s="66"/>
      <c r="DN67" s="66"/>
      <c r="DO67" s="66"/>
      <c r="DP67" s="66"/>
      <c r="DQ67" s="66"/>
      <c r="DR67" s="66"/>
      <c r="DS67" s="66"/>
      <c r="DT67" s="66"/>
      <c r="DU67" s="66"/>
      <c r="DV67" s="66"/>
      <c r="DW67" s="66"/>
      <c r="DX67" s="67"/>
      <c r="DY67" s="67"/>
      <c r="DZ67" s="67"/>
      <c r="EA67" s="67"/>
      <c r="EB67" s="67"/>
      <c r="EC67" s="67"/>
      <c r="ED67" s="67"/>
      <c r="EE67" s="381"/>
      <c r="EF67" s="67"/>
      <c r="EG67" s="67"/>
      <c r="EH67" s="67"/>
    </row>
    <row r="68" spans="1:139" s="49" customFormat="1" hidden="1" outlineLevel="1">
      <c r="A68" s="48" t="s">
        <v>196</v>
      </c>
      <c r="C68" s="49">
        <f t="shared" ref="C68:BN68" si="142">C67/B67-1</f>
      </c>
      <c r="D68" s="49">
        <f t="shared" si="142"/>
      </c>
      <c r="E68" s="49">
        <f t="shared" si="142"/>
      </c>
      <c r="F68" s="49">
        <f t="shared" si="142"/>
      </c>
      <c r="G68" s="49">
        <f t="shared" si="142"/>
      </c>
      <c r="H68" s="49">
        <f t="shared" si="142"/>
      </c>
      <c r="I68" s="49">
        <f t="shared" si="142"/>
      </c>
      <c r="J68" s="49">
        <f t="shared" si="142"/>
      </c>
      <c r="K68" s="49">
        <f t="shared" si="142"/>
      </c>
      <c r="L68" s="49">
        <f t="shared" si="142"/>
      </c>
      <c r="M68" s="49">
        <f t="shared" si="142"/>
      </c>
      <c r="N68" s="49">
        <f t="shared" si="142"/>
      </c>
      <c r="O68" s="49">
        <f t="shared" si="142"/>
      </c>
      <c r="P68" s="49">
        <f t="shared" si="142"/>
      </c>
      <c r="Q68" s="49">
        <f t="shared" si="142"/>
      </c>
      <c r="R68" s="49">
        <f t="shared" si="142"/>
      </c>
      <c r="S68" s="49">
        <f t="shared" si="142"/>
      </c>
      <c r="T68" s="49">
        <f t="shared" si="142"/>
      </c>
      <c r="U68" s="49">
        <f t="shared" si="142"/>
      </c>
      <c r="V68" s="49">
        <f t="shared" si="142"/>
      </c>
      <c r="W68" s="49">
        <f t="shared" si="142"/>
      </c>
      <c r="X68" s="49">
        <f t="shared" si="142"/>
      </c>
      <c r="Y68" s="49">
        <f t="shared" si="142"/>
      </c>
      <c r="Z68" s="49">
        <f t="shared" si="142"/>
      </c>
      <c r="AA68" s="49">
        <f t="shared" si="142"/>
      </c>
      <c r="AB68" s="49">
        <f t="shared" si="142"/>
      </c>
      <c r="AC68" s="49">
        <f t="shared" si="142"/>
      </c>
      <c r="AD68" s="49">
        <f t="shared" si="142"/>
      </c>
      <c r="AE68" s="49">
        <f t="shared" si="142"/>
      </c>
      <c r="AF68" s="49">
        <f t="shared" si="142"/>
      </c>
      <c r="AG68" s="49">
        <f t="shared" si="142"/>
      </c>
      <c r="AH68" s="49">
        <f t="shared" si="142"/>
      </c>
      <c r="AI68" s="49">
        <f t="shared" si="142"/>
      </c>
      <c r="AJ68" s="49">
        <f t="shared" si="142"/>
      </c>
      <c r="AK68" s="49">
        <f t="shared" si="142"/>
      </c>
      <c r="AL68" s="49">
        <f t="shared" si="142"/>
      </c>
      <c r="AM68" s="49">
        <f t="shared" si="142"/>
      </c>
      <c r="AN68" s="49">
        <f t="shared" si="142"/>
      </c>
      <c r="AO68" s="49">
        <f t="shared" si="142"/>
      </c>
      <c r="AP68" s="49">
        <f t="shared" si="142"/>
      </c>
      <c r="AQ68" s="49">
        <f t="shared" si="142"/>
      </c>
      <c r="AR68" s="49">
        <f t="shared" si="142"/>
      </c>
      <c r="AS68" s="49">
        <f t="shared" si="142"/>
      </c>
      <c r="AT68" s="49">
        <f t="shared" si="142"/>
      </c>
      <c r="AU68" s="49">
        <f t="shared" si="142"/>
      </c>
      <c r="AV68" s="49">
        <f t="shared" si="142"/>
      </c>
      <c r="AW68" s="49">
        <f t="shared" si="142"/>
      </c>
      <c r="AX68" s="49">
        <f t="shared" si="142"/>
      </c>
      <c r="AY68" s="49">
        <f t="shared" si="142"/>
      </c>
      <c r="AZ68" s="49">
        <f t="shared" si="142"/>
      </c>
      <c r="BA68" s="49">
        <f t="shared" si="142"/>
      </c>
      <c r="BB68" s="49">
        <f t="shared" si="142"/>
      </c>
      <c r="BC68" s="49">
        <f t="shared" si="142"/>
      </c>
      <c r="BD68" s="49">
        <f t="shared" si="142"/>
      </c>
      <c r="BE68" s="49">
        <f t="shared" si="142"/>
      </c>
      <c r="BF68" s="49">
        <f t="shared" si="142"/>
      </c>
      <c r="BG68" s="49">
        <f t="shared" si="142"/>
      </c>
      <c r="BH68" s="49">
        <f t="shared" si="142"/>
      </c>
      <c r="BI68" s="49">
        <f t="shared" si="142"/>
      </c>
      <c r="BJ68" s="49">
        <f t="shared" si="142"/>
      </c>
      <c r="BK68" s="49">
        <f t="shared" si="142"/>
      </c>
      <c r="BL68" s="49">
        <f t="shared" si="142"/>
      </c>
      <c r="BM68" s="49">
        <f t="shared" si="142"/>
      </c>
      <c r="BN68" s="49">
        <f t="shared" si="142"/>
      </c>
      <c r="BO68" s="49">
        <f t="shared" ref="BO68:CC68" si="143">BO67/BN67-1</f>
      </c>
      <c r="BP68" s="49">
        <f t="shared" si="143"/>
      </c>
      <c r="BQ68" s="49">
        <f t="shared" si="143"/>
      </c>
      <c r="BR68" s="49">
        <f t="shared" si="143"/>
      </c>
      <c r="BS68" s="49">
        <f t="shared" si="143"/>
      </c>
      <c r="BT68" s="49">
        <f t="shared" si="143"/>
      </c>
      <c r="BU68" s="49">
        <f t="shared" si="143"/>
      </c>
      <c r="BV68" s="49">
        <f t="shared" si="143"/>
      </c>
      <c r="BW68" s="49">
        <f t="shared" si="143"/>
      </c>
      <c r="BX68" s="49">
        <f t="shared" si="143"/>
      </c>
      <c r="BY68" s="49">
        <f t="shared" si="143"/>
      </c>
      <c r="BZ68" s="49">
        <f t="shared" si="143"/>
      </c>
      <c r="CA68" s="49">
        <f t="shared" si="143"/>
      </c>
      <c r="CB68" s="49">
        <f t="shared" si="143"/>
      </c>
      <c r="CC68" s="49">
        <f t="shared" si="143"/>
      </c>
      <c r="CI68" s="341"/>
      <c r="CJ68" s="341"/>
      <c r="CK68" s="341"/>
      <c r="CL68" s="341"/>
      <c r="CM68" s="341"/>
      <c r="CN68" s="341"/>
      <c r="CO68" s="341"/>
      <c r="CP68" s="341"/>
      <c r="CQ68" s="341"/>
      <c r="CR68" s="341"/>
      <c r="CS68" s="341"/>
      <c r="CT68" s="341"/>
      <c r="CU68" s="341"/>
      <c r="CV68" s="341"/>
      <c r="CW68" s="341"/>
      <c r="CX68" s="341"/>
      <c r="CY68" s="341"/>
      <c r="CZ68" s="341"/>
      <c r="DA68" s="341"/>
      <c r="DB68" s="341"/>
      <c r="DC68" s="341"/>
      <c r="DD68" s="341"/>
      <c r="DE68" s="341"/>
      <c r="DI68" s="52"/>
      <c r="DJ68" s="378"/>
      <c r="DK68" s="378"/>
      <c r="DL68" s="378"/>
      <c r="DM68" s="52"/>
      <c r="DN68" s="52"/>
      <c r="DO68" s="52"/>
      <c r="DP68" s="52"/>
      <c r="DQ68" s="52"/>
      <c r="DR68" s="52"/>
      <c r="DS68" s="52"/>
      <c r="DT68" s="52"/>
      <c r="DU68" s="52"/>
      <c r="DV68" s="52"/>
      <c r="DW68" s="382"/>
      <c r="DX68" s="383"/>
      <c r="DY68" s="383"/>
      <c r="DZ68" s="383"/>
      <c r="EA68" s="50"/>
      <c r="EB68" s="50"/>
      <c r="EC68" s="50"/>
      <c r="ED68" s="50"/>
      <c r="EE68" s="50"/>
      <c r="EF68" s="50"/>
      <c r="EG68" s="50"/>
      <c r="EH68" s="50"/>
    </row>
    <row r="69" spans="1:139" s="49" customFormat="1" hidden="1" outlineLevel="1">
      <c r="A69" s="48" t="s">
        <v>198</v>
      </c>
      <c r="F69" s="49">
        <f t="shared" ref="F69:BQ69" si="144">F67/B67-1</f>
      </c>
      <c r="G69" s="49">
        <f t="shared" si="144"/>
      </c>
      <c r="H69" s="49">
        <f t="shared" si="144"/>
      </c>
      <c r="I69" s="49">
        <f t="shared" si="144"/>
      </c>
      <c r="J69" s="49">
        <f t="shared" si="144"/>
      </c>
      <c r="K69" s="49">
        <f t="shared" si="144"/>
      </c>
      <c r="L69" s="49">
        <f t="shared" si="144"/>
      </c>
      <c r="M69" s="49">
        <f t="shared" si="144"/>
      </c>
      <c r="N69" s="49">
        <f t="shared" si="144"/>
      </c>
      <c r="O69" s="49">
        <f t="shared" si="144"/>
      </c>
      <c r="P69" s="49">
        <f t="shared" si="144"/>
      </c>
      <c r="Q69" s="49">
        <f t="shared" si="144"/>
      </c>
      <c r="R69" s="49">
        <f t="shared" si="144"/>
      </c>
      <c r="S69" s="49">
        <f t="shared" si="144"/>
      </c>
      <c r="T69" s="49">
        <f t="shared" si="144"/>
      </c>
      <c r="U69" s="49">
        <f t="shared" si="144"/>
      </c>
      <c r="V69" s="49">
        <f t="shared" si="144"/>
      </c>
      <c r="W69" s="49">
        <f t="shared" si="144"/>
      </c>
      <c r="X69" s="49">
        <f t="shared" si="144"/>
      </c>
      <c r="Y69" s="49">
        <f t="shared" si="144"/>
      </c>
      <c r="Z69" s="49">
        <f t="shared" si="144"/>
      </c>
      <c r="AA69" s="49">
        <f t="shared" si="144"/>
      </c>
      <c r="AB69" s="49">
        <f t="shared" si="144"/>
      </c>
      <c r="AC69" s="49">
        <f t="shared" si="144"/>
      </c>
      <c r="AD69" s="49">
        <f t="shared" si="144"/>
      </c>
      <c r="AE69" s="49">
        <f t="shared" si="144"/>
      </c>
      <c r="AF69" s="49">
        <f t="shared" si="144"/>
      </c>
      <c r="AG69" s="49">
        <f t="shared" si="144"/>
      </c>
      <c r="AH69" s="49">
        <f t="shared" si="144"/>
      </c>
      <c r="AI69" s="49">
        <f t="shared" si="144"/>
      </c>
      <c r="AJ69" s="49">
        <f t="shared" si="144"/>
      </c>
      <c r="AK69" s="49">
        <f t="shared" si="144"/>
      </c>
      <c r="AL69" s="49">
        <f t="shared" si="144"/>
      </c>
      <c r="AM69" s="49">
        <f t="shared" si="144"/>
      </c>
      <c r="AN69" s="49">
        <f t="shared" si="144"/>
      </c>
      <c r="AO69" s="49">
        <f t="shared" si="144"/>
      </c>
      <c r="AP69" s="49">
        <f t="shared" si="144"/>
      </c>
      <c r="AQ69" s="49">
        <f t="shared" si="144"/>
      </c>
      <c r="AR69" s="49">
        <f t="shared" si="144"/>
      </c>
      <c r="AS69" s="49">
        <f t="shared" si="144"/>
      </c>
      <c r="AT69" s="49">
        <f t="shared" si="144"/>
      </c>
      <c r="AU69" s="49">
        <f t="shared" si="144"/>
      </c>
      <c r="AV69" s="49">
        <f t="shared" si="144"/>
      </c>
      <c r="AW69" s="49">
        <f t="shared" si="144"/>
      </c>
      <c r="AX69" s="49">
        <f t="shared" si="144"/>
      </c>
      <c r="AY69" s="49">
        <f t="shared" si="144"/>
      </c>
      <c r="AZ69" s="49">
        <f t="shared" si="144"/>
      </c>
      <c r="BA69" s="49">
        <f t="shared" si="144"/>
      </c>
      <c r="BB69" s="49">
        <f t="shared" si="144"/>
      </c>
      <c r="BC69" s="49">
        <f t="shared" si="144"/>
      </c>
      <c r="BD69" s="49">
        <f t="shared" si="144"/>
      </c>
      <c r="BE69" s="49">
        <f t="shared" si="144"/>
      </c>
      <c r="BF69" s="49">
        <f t="shared" si="144"/>
      </c>
      <c r="BG69" s="49">
        <f t="shared" si="144"/>
      </c>
      <c r="BH69" s="49">
        <f t="shared" si="144"/>
      </c>
      <c r="BI69" s="49">
        <f t="shared" si="144"/>
      </c>
      <c r="BJ69" s="49">
        <f t="shared" si="144"/>
      </c>
      <c r="BK69" s="49">
        <f t="shared" si="144"/>
      </c>
      <c r="BL69" s="49">
        <f t="shared" si="144"/>
      </c>
      <c r="BM69" s="49">
        <f t="shared" si="144"/>
      </c>
      <c r="BN69" s="49">
        <f t="shared" si="144"/>
      </c>
      <c r="BO69" s="49">
        <f t="shared" si="144"/>
      </c>
      <c r="BP69" s="49">
        <f t="shared" si="144"/>
      </c>
      <c r="BQ69" s="49">
        <f t="shared" si="144"/>
      </c>
      <c r="BR69" s="49">
        <f t="shared" ref="BR69:CC69" si="145">BR67/BN67-1</f>
      </c>
      <c r="BS69" s="49">
        <f t="shared" si="145"/>
      </c>
      <c r="BT69" s="49">
        <f t="shared" si="145"/>
      </c>
      <c r="BU69" s="49">
        <f t="shared" si="145"/>
      </c>
      <c r="BV69" s="49">
        <f t="shared" si="145"/>
      </c>
      <c r="BW69" s="49">
        <f t="shared" si="145"/>
      </c>
      <c r="BX69" s="49">
        <f t="shared" si="145"/>
      </c>
      <c r="BY69" s="49">
        <f t="shared" si="145"/>
      </c>
      <c r="BZ69" s="49">
        <f t="shared" si="145"/>
      </c>
      <c r="CA69" s="49">
        <f t="shared" si="145"/>
      </c>
      <c r="CB69" s="49">
        <f t="shared" si="145"/>
      </c>
      <c r="CC69" s="49">
        <f t="shared" si="145"/>
      </c>
      <c r="CI69" s="341"/>
      <c r="CJ69" s="341"/>
      <c r="CK69" s="341"/>
      <c r="CL69" s="341"/>
      <c r="CM69" s="341"/>
      <c r="CN69" s="341"/>
      <c r="CO69" s="341"/>
      <c r="CP69" s="341"/>
      <c r="CQ69" s="341"/>
      <c r="CR69" s="341"/>
      <c r="CS69" s="341"/>
      <c r="CT69" s="341"/>
      <c r="CU69" s="341"/>
      <c r="CV69" s="341"/>
      <c r="CW69" s="341"/>
      <c r="CX69" s="341"/>
      <c r="CY69" s="341"/>
      <c r="CZ69" s="341"/>
      <c r="DA69" s="341"/>
      <c r="DB69" s="341"/>
      <c r="DC69" s="341"/>
      <c r="DD69" s="341"/>
      <c r="DE69" s="341"/>
      <c r="DI69" s="52"/>
      <c r="DJ69" s="382"/>
      <c r="DK69" s="382"/>
      <c r="DL69" s="382"/>
      <c r="DM69" s="52"/>
      <c r="DN69" s="52"/>
      <c r="DO69" s="52"/>
      <c r="DP69" s="52"/>
      <c r="DQ69" s="52"/>
      <c r="DR69" s="52"/>
      <c r="DS69" s="52"/>
      <c r="DT69" s="52"/>
      <c r="DU69" s="52"/>
      <c r="DV69" s="52"/>
      <c r="DW69" s="382"/>
      <c r="DX69" s="383"/>
      <c r="DY69" s="383"/>
      <c r="DZ69" s="383"/>
      <c r="EA69" s="50"/>
      <c r="EB69" s="50"/>
      <c r="EC69" s="50"/>
      <c r="ED69" s="50"/>
      <c r="EE69" s="50"/>
      <c r="EF69" s="50"/>
      <c r="EG69" s="50"/>
      <c r="EH69" s="50"/>
    </row>
    <row r="70" spans="1:139" s="47" customFormat="1" hidden="1" outlineLevel="1">
      <c r="A70" s="372" t="s">
        <v>222</v>
      </c>
      <c r="E70" s="47">
        <f t="shared" ref="E70:BP70" si="146">E67/(E8+D8+C8+B8)*365</f>
      </c>
      <c r="F70" s="47">
        <f t="shared" si="146"/>
      </c>
      <c r="G70" s="47">
        <f t="shared" si="146"/>
      </c>
      <c r="H70" s="47">
        <f t="shared" si="146"/>
      </c>
      <c r="I70" s="47">
        <f t="shared" si="146"/>
      </c>
      <c r="J70" s="47">
        <f t="shared" si="146"/>
      </c>
      <c r="K70" s="47">
        <f t="shared" si="146"/>
      </c>
      <c r="L70" s="47">
        <f t="shared" si="146"/>
      </c>
      <c r="M70" s="47">
        <f t="shared" si="146"/>
      </c>
      <c r="N70" s="47">
        <f t="shared" si="146"/>
      </c>
      <c r="O70" s="47">
        <f t="shared" si="146"/>
      </c>
      <c r="P70" s="47">
        <f t="shared" si="146"/>
      </c>
      <c r="Q70" s="47">
        <f t="shared" si="146"/>
      </c>
      <c r="R70" s="47">
        <f t="shared" si="146"/>
      </c>
      <c r="S70" s="47">
        <f t="shared" si="146"/>
      </c>
      <c r="T70" s="47">
        <f t="shared" si="146"/>
      </c>
      <c r="U70" s="47">
        <f t="shared" si="146"/>
      </c>
      <c r="V70" s="47">
        <f t="shared" si="146"/>
      </c>
      <c r="W70" s="47">
        <f t="shared" si="146"/>
      </c>
      <c r="X70" s="47">
        <f t="shared" si="146"/>
      </c>
      <c r="Y70" s="47">
        <f t="shared" si="146"/>
      </c>
      <c r="Z70" s="47">
        <f t="shared" si="146"/>
      </c>
      <c r="AA70" s="47">
        <f t="shared" si="146"/>
      </c>
      <c r="AB70" s="47">
        <f t="shared" si="146"/>
      </c>
      <c r="AC70" s="47">
        <f t="shared" si="146"/>
      </c>
      <c r="AD70" s="47">
        <f t="shared" si="146"/>
      </c>
      <c r="AE70" s="47">
        <f t="shared" si="146"/>
      </c>
      <c r="AF70" s="47">
        <f t="shared" si="146"/>
      </c>
      <c r="AG70" s="47">
        <f t="shared" si="146"/>
      </c>
      <c r="AH70" s="47">
        <f t="shared" si="146"/>
      </c>
      <c r="AI70" s="47">
        <f t="shared" si="146"/>
      </c>
      <c r="AJ70" s="47">
        <f t="shared" si="146"/>
      </c>
      <c r="AK70" s="47">
        <f t="shared" si="146"/>
      </c>
      <c r="AL70" s="47">
        <f t="shared" si="146"/>
      </c>
      <c r="AM70" s="47">
        <f t="shared" si="146"/>
      </c>
      <c r="AN70" s="47">
        <f t="shared" si="146"/>
      </c>
      <c r="AO70" s="47">
        <f t="shared" si="146"/>
      </c>
      <c r="AP70" s="47">
        <f t="shared" si="146"/>
      </c>
      <c r="AQ70" s="47">
        <f t="shared" si="146"/>
      </c>
      <c r="AR70" s="47">
        <f t="shared" si="146"/>
      </c>
      <c r="AS70" s="47">
        <f t="shared" si="146"/>
      </c>
      <c r="AT70" s="47">
        <f t="shared" si="146"/>
      </c>
      <c r="AU70" s="47">
        <f t="shared" si="146"/>
      </c>
      <c r="AV70" s="47">
        <f t="shared" si="146"/>
      </c>
      <c r="AW70" s="47">
        <f t="shared" si="146"/>
      </c>
      <c r="AX70" s="47">
        <f t="shared" si="146"/>
      </c>
      <c r="AY70" s="47">
        <f t="shared" si="146"/>
      </c>
      <c r="AZ70" s="47">
        <f t="shared" si="146"/>
      </c>
      <c r="BA70" s="47">
        <f t="shared" si="146"/>
      </c>
      <c r="BB70" s="47">
        <f t="shared" si="146"/>
      </c>
      <c r="BC70" s="47">
        <f t="shared" si="146"/>
      </c>
      <c r="BD70" s="47">
        <f t="shared" si="146"/>
      </c>
      <c r="BE70" s="47">
        <f t="shared" si="146"/>
      </c>
      <c r="BF70" s="47">
        <f t="shared" si="146"/>
      </c>
      <c r="BG70" s="47">
        <f t="shared" si="146"/>
      </c>
      <c r="BH70" s="47">
        <f t="shared" si="146"/>
      </c>
      <c r="BI70" s="47">
        <f t="shared" si="146"/>
      </c>
      <c r="BJ70" s="47">
        <f t="shared" si="146"/>
      </c>
      <c r="BK70" s="47">
        <f t="shared" si="146"/>
      </c>
      <c r="BL70" s="47">
        <f t="shared" si="146"/>
      </c>
      <c r="BM70" s="47">
        <f t="shared" si="146"/>
      </c>
      <c r="BN70" s="47">
        <f t="shared" si="146"/>
      </c>
      <c r="BO70" s="47">
        <f t="shared" si="146"/>
      </c>
      <c r="BP70" s="47">
        <f t="shared" si="146"/>
      </c>
      <c r="BQ70" s="47">
        <f t="shared" ref="BQ70:CC70" si="147">BQ67/(BQ8+BP8+BO8+BN8)*365</f>
      </c>
      <c r="BR70" s="47">
        <f t="shared" si="147"/>
      </c>
      <c r="BS70" s="47">
        <f t="shared" si="147"/>
      </c>
      <c r="BT70" s="47">
        <f t="shared" si="147"/>
      </c>
      <c r="BU70" s="47">
        <f t="shared" si="147"/>
      </c>
      <c r="BV70" s="47">
        <f t="shared" si="147"/>
      </c>
      <c r="BW70" s="47">
        <f t="shared" si="147"/>
      </c>
      <c r="BX70" s="47">
        <f t="shared" si="147"/>
      </c>
      <c r="BY70" s="47">
        <f t="shared" si="147"/>
      </c>
      <c r="BZ70" s="47">
        <f t="shared" si="147"/>
      </c>
      <c r="CA70" s="47">
        <f t="shared" si="147"/>
      </c>
      <c r="CB70" s="47">
        <f t="shared" si="147"/>
      </c>
      <c r="CC70" s="47">
        <f t="shared" si="147"/>
      </c>
      <c r="CI70" s="358"/>
      <c r="CJ70" s="358"/>
      <c r="CK70" s="358"/>
      <c r="CL70" s="358"/>
      <c r="CM70" s="358"/>
      <c r="CN70" s="358"/>
      <c r="CO70" s="358"/>
      <c r="CP70" s="358"/>
      <c r="CQ70" s="358"/>
      <c r="CR70" s="358"/>
      <c r="CS70" s="358"/>
      <c r="CT70" s="358"/>
      <c r="CU70" s="358"/>
      <c r="CV70" s="358"/>
      <c r="CW70" s="358"/>
      <c r="CX70" s="358"/>
      <c r="CY70" s="358"/>
      <c r="CZ70" s="358"/>
      <c r="DA70" s="358"/>
      <c r="DB70" s="358"/>
      <c r="DC70" s="358"/>
      <c r="DD70" s="358"/>
      <c r="DE70" s="358"/>
      <c r="DI70" s="384"/>
      <c r="DJ70" s="382"/>
      <c r="DK70" s="384"/>
      <c r="DL70" s="55"/>
      <c r="DM70" s="384"/>
      <c r="DN70" s="384"/>
      <c r="DO70" s="384"/>
      <c r="DP70" s="384"/>
      <c r="DQ70" s="384"/>
      <c r="DR70" s="384"/>
      <c r="DS70" s="384"/>
      <c r="DT70" s="384"/>
      <c r="DU70" s="384"/>
      <c r="DV70" s="384"/>
      <c r="DW70" s="385"/>
      <c r="DX70" s="383"/>
      <c r="DY70" s="383"/>
      <c r="DZ70" s="383"/>
      <c r="EA70" s="68"/>
      <c r="EB70" s="68"/>
      <c r="EC70" s="68"/>
      <c r="ED70" s="386"/>
      <c r="EE70" s="386"/>
      <c r="EF70" s="386"/>
      <c r="EG70" s="386"/>
      <c r="EH70" s="386"/>
    </row>
    <row r="71" spans="1:139" s="47" customFormat="1" hidden="1" outlineLevel="1">
      <c r="A71" s="372" t="s">
        <v>223</v>
      </c>
      <c r="B71" s="47">
        <f t="shared" ref="B71:BM71" si="148">B67/(B8+C8+D8+E8)*365</f>
      </c>
      <c r="C71" s="47">
        <f t="shared" si="148"/>
      </c>
      <c r="D71" s="47">
        <f t="shared" si="148"/>
      </c>
      <c r="E71" s="47">
        <f t="shared" si="148"/>
      </c>
      <c r="F71" s="47">
        <f t="shared" si="148"/>
      </c>
      <c r="G71" s="47">
        <f t="shared" si="148"/>
      </c>
      <c r="H71" s="47">
        <f t="shared" si="148"/>
      </c>
      <c r="I71" s="47">
        <f t="shared" si="148"/>
      </c>
      <c r="J71" s="47">
        <f t="shared" si="148"/>
      </c>
      <c r="K71" s="47">
        <f t="shared" si="148"/>
      </c>
      <c r="L71" s="47">
        <f t="shared" si="148"/>
      </c>
      <c r="M71" s="47">
        <f t="shared" si="148"/>
      </c>
      <c r="N71" s="47">
        <f t="shared" si="148"/>
      </c>
      <c r="O71" s="47">
        <f t="shared" si="148"/>
      </c>
      <c r="P71" s="47">
        <f t="shared" si="148"/>
      </c>
      <c r="Q71" s="47">
        <f t="shared" si="148"/>
      </c>
      <c r="R71" s="47">
        <f t="shared" si="148"/>
      </c>
      <c r="S71" s="47">
        <f t="shared" si="148"/>
      </c>
      <c r="T71" s="47">
        <f t="shared" si="148"/>
      </c>
      <c r="U71" s="47">
        <f t="shared" si="148"/>
      </c>
      <c r="V71" s="47">
        <f t="shared" si="148"/>
      </c>
      <c r="W71" s="47">
        <f t="shared" si="148"/>
      </c>
      <c r="X71" s="47">
        <f t="shared" si="148"/>
      </c>
      <c r="Y71" s="47">
        <f t="shared" si="148"/>
      </c>
      <c r="Z71" s="47">
        <f t="shared" si="148"/>
      </c>
      <c r="AA71" s="47">
        <f t="shared" si="148"/>
      </c>
      <c r="AB71" s="47">
        <f t="shared" si="148"/>
      </c>
      <c r="AC71" s="47">
        <f t="shared" si="148"/>
      </c>
      <c r="AD71" s="47">
        <f t="shared" si="148"/>
      </c>
      <c r="AE71" s="47">
        <f t="shared" si="148"/>
      </c>
      <c r="AF71" s="47">
        <f t="shared" si="148"/>
      </c>
      <c r="AG71" s="47">
        <f t="shared" si="148"/>
      </c>
      <c r="AH71" s="47">
        <f t="shared" si="148"/>
      </c>
      <c r="AI71" s="47">
        <f t="shared" si="148"/>
      </c>
      <c r="AJ71" s="47">
        <f t="shared" si="148"/>
      </c>
      <c r="AK71" s="47">
        <f t="shared" si="148"/>
      </c>
      <c r="AL71" s="47">
        <f t="shared" si="148"/>
      </c>
      <c r="AM71" s="47">
        <f t="shared" si="148"/>
      </c>
      <c r="AN71" s="47">
        <f t="shared" si="148"/>
      </c>
      <c r="AO71" s="47">
        <f t="shared" si="148"/>
      </c>
      <c r="AP71" s="47">
        <f t="shared" si="148"/>
      </c>
      <c r="AQ71" s="47">
        <f t="shared" si="148"/>
      </c>
      <c r="AR71" s="47">
        <f t="shared" si="148"/>
      </c>
      <c r="AS71" s="47">
        <f t="shared" si="148"/>
      </c>
      <c r="AT71" s="47">
        <f t="shared" si="148"/>
      </c>
      <c r="AU71" s="47">
        <f t="shared" si="148"/>
      </c>
      <c r="AV71" s="47">
        <f t="shared" si="148"/>
      </c>
      <c r="AW71" s="47">
        <f t="shared" si="148"/>
      </c>
      <c r="AX71" s="47">
        <f t="shared" si="148"/>
      </c>
      <c r="AY71" s="47">
        <f t="shared" si="148"/>
      </c>
      <c r="AZ71" s="47">
        <f t="shared" si="148"/>
      </c>
      <c r="BA71" s="47">
        <f t="shared" si="148"/>
      </c>
      <c r="BB71" s="47">
        <f t="shared" si="148"/>
      </c>
      <c r="BC71" s="47">
        <f t="shared" si="148"/>
      </c>
      <c r="BD71" s="47">
        <f t="shared" si="148"/>
      </c>
      <c r="BE71" s="47">
        <f t="shared" si="148"/>
      </c>
      <c r="BF71" s="47">
        <f t="shared" si="148"/>
      </c>
      <c r="BG71" s="47">
        <f t="shared" si="148"/>
      </c>
      <c r="BH71" s="47">
        <f t="shared" si="148"/>
      </c>
      <c r="BI71" s="47">
        <f t="shared" si="148"/>
      </c>
      <c r="BJ71" s="47">
        <f t="shared" si="148"/>
      </c>
      <c r="BK71" s="47">
        <f t="shared" si="148"/>
      </c>
      <c r="BL71" s="47">
        <f t="shared" si="148"/>
      </c>
      <c r="BM71" s="47">
        <f t="shared" si="148"/>
      </c>
      <c r="BN71" s="47">
        <f t="shared" ref="BN71:CC71" si="149">BN67/(BN8+BO8+BP8+BQ8)*365</f>
      </c>
      <c r="BO71" s="47">
        <f t="shared" si="149"/>
      </c>
      <c r="BP71" s="47">
        <f t="shared" si="149"/>
      </c>
      <c r="BQ71" s="47">
        <f t="shared" si="149"/>
      </c>
      <c r="BR71" s="47">
        <f t="shared" si="149"/>
      </c>
      <c r="BS71" s="47">
        <f t="shared" si="149"/>
      </c>
      <c r="BT71" s="47">
        <f t="shared" si="149"/>
      </c>
      <c r="BU71" s="47">
        <f t="shared" si="149"/>
      </c>
      <c r="BV71" s="47">
        <f t="shared" si="149"/>
      </c>
      <c r="BW71" s="47">
        <f t="shared" si="149"/>
      </c>
      <c r="BX71" s="47">
        <f t="shared" si="149"/>
      </c>
      <c r="BY71" s="47">
        <f t="shared" si="149"/>
      </c>
      <c r="BZ71" s="47">
        <f t="shared" si="149"/>
      </c>
      <c r="CA71" s="47">
        <f t="shared" si="149"/>
      </c>
      <c r="CB71" s="47">
        <f t="shared" si="149"/>
      </c>
      <c r="CC71" s="47">
        <f t="shared" si="149"/>
      </c>
      <c r="CI71" s="358"/>
      <c r="CJ71" s="358"/>
      <c r="CK71" s="358"/>
      <c r="CL71" s="358"/>
      <c r="CM71" s="358"/>
      <c r="CN71" s="358"/>
      <c r="CO71" s="358"/>
      <c r="CP71" s="358"/>
      <c r="CQ71" s="358"/>
      <c r="CR71" s="358"/>
      <c r="CS71" s="358"/>
      <c r="CT71" s="358"/>
      <c r="CU71" s="358"/>
      <c r="CV71" s="358"/>
      <c r="CW71" s="358"/>
      <c r="CX71" s="358"/>
      <c r="CY71" s="358"/>
      <c r="CZ71" s="358"/>
      <c r="DA71" s="358"/>
      <c r="DB71" s="358"/>
      <c r="DC71" s="358"/>
      <c r="DD71" s="358"/>
      <c r="DE71" s="358"/>
      <c r="DI71" s="384"/>
      <c r="DJ71" s="384"/>
      <c r="DK71" s="384"/>
      <c r="DL71" s="384"/>
      <c r="DM71" s="384"/>
      <c r="DN71" s="384"/>
      <c r="DO71" s="384"/>
      <c r="DP71" s="384"/>
      <c r="DQ71" s="384"/>
      <c r="DR71" s="384"/>
      <c r="DS71" s="384"/>
      <c r="DT71" s="384"/>
      <c r="DU71" s="384"/>
      <c r="DV71" s="384"/>
      <c r="DW71" s="382"/>
      <c r="DX71" s="383"/>
      <c r="DY71" s="383"/>
      <c r="DZ71" s="383"/>
      <c r="EA71" s="68"/>
      <c r="EB71" s="68"/>
      <c r="EC71" s="68"/>
      <c r="ED71" s="68"/>
      <c r="EE71" s="68"/>
      <c r="EF71" s="68"/>
      <c r="EG71" s="68"/>
      <c r="EH71" s="68"/>
    </row>
    <row r="72" spans="1:139" s="47" customFormat="1" hidden="1" outlineLevel="1">
      <c r="A72" s="336" t="s">
        <v>224</v>
      </c>
      <c r="B72" s="35">
        <f>Ticker0027!V65</f>
      </c>
      <c r="C72" s="35">
        <f>Ticker0027!W65</f>
      </c>
      <c r="D72" s="35">
        <f>Ticker0027!X65</f>
      </c>
      <c r="E72" s="35">
        <f>Ticker0027!Y65</f>
      </c>
      <c r="F72" s="35">
        <f>Ticker0027!AA65</f>
      </c>
      <c r="G72" s="35">
        <f>Ticker0027!AB65</f>
      </c>
      <c r="H72" s="35">
        <f>Ticker0027!AC65</f>
      </c>
      <c r="I72" s="35">
        <f>Ticker0027!AD65</f>
      </c>
      <c r="J72" s="35">
        <f>Ticker0027!AF65</f>
      </c>
      <c r="K72" s="35">
        <f>Ticker0027!AG65</f>
      </c>
      <c r="L72" s="35">
        <f>Ticker0027!AH65</f>
      </c>
      <c r="M72" s="35">
        <f>Ticker0027!AI65</f>
      </c>
      <c r="N72" s="35">
        <f>Ticker0027!AK65</f>
      </c>
      <c r="O72" s="35">
        <f>Ticker0027!AL65</f>
      </c>
      <c r="P72" s="35">
        <f>Ticker0027!AM65</f>
      </c>
      <c r="Q72" s="35">
        <f>Ticker0027!AN65</f>
      </c>
      <c r="R72" s="35">
        <f>Ticker0027!AP65</f>
      </c>
      <c r="S72" s="35">
        <f>Ticker0027!AQ65</f>
      </c>
      <c r="T72" s="35">
        <f>Ticker0027!AR65</f>
      </c>
      <c r="U72" s="35">
        <f>Ticker0027!AS65</f>
      </c>
      <c r="V72" s="35">
        <f>Ticker0027!AU65</f>
      </c>
      <c r="W72" s="35">
        <f>Ticker0027!AV65</f>
      </c>
      <c r="X72" s="35">
        <f>Ticker0027!AW65</f>
      </c>
      <c r="Y72" s="35">
        <f>Ticker0027!AX65</f>
      </c>
      <c r="Z72" s="35">
        <f>Ticker0027!AZ65</f>
      </c>
      <c r="AA72" s="35">
        <f>Ticker0027!BA65</f>
      </c>
      <c r="AB72" s="35">
        <f>Ticker0027!BB65</f>
      </c>
      <c r="AC72" s="35">
        <f>Ticker0027!BC65</f>
      </c>
      <c r="AD72" s="35">
        <f>Ticker0027!BE65</f>
      </c>
      <c r="AE72" s="35">
        <f>Ticker0027!BF65</f>
      </c>
      <c r="AF72" s="35">
        <f>Ticker0027!BG65</f>
      </c>
      <c r="AG72" s="35">
        <f>Ticker0027!BH65</f>
      </c>
      <c r="AH72" s="35">
        <f>Ticker0027!BJ65</f>
      </c>
      <c r="AI72" s="35">
        <f>Ticker0027!BK65</f>
      </c>
      <c r="AJ72" s="35">
        <f>Ticker0027!BL65</f>
      </c>
      <c r="AK72" s="35">
        <f>Ticker0027!BM65</f>
      </c>
      <c r="AL72" s="35">
        <f>Ticker0027!BO65</f>
      </c>
      <c r="AM72" s="35">
        <f>Ticker0027!BP65</f>
      </c>
      <c r="AN72" s="35">
        <f>Ticker0027!BQ65</f>
      </c>
      <c r="AO72" s="35">
        <f>Ticker0027!BR65</f>
      </c>
      <c r="AP72" s="35">
        <f>Ticker0027!BT65</f>
      </c>
      <c r="AQ72" s="35">
        <f>Ticker0027!BU65</f>
      </c>
      <c r="AR72" s="35">
        <f>Ticker0027!BV65</f>
      </c>
      <c r="AS72" s="35">
        <f>Ticker0027!BW65</f>
      </c>
      <c r="AT72" s="35">
        <f>Ticker0027!BY65</f>
      </c>
      <c r="AU72" s="35">
        <f>Ticker0027!BZ65</f>
      </c>
      <c r="AV72" s="35">
        <f>Ticker0027!CA65</f>
      </c>
      <c r="AW72" s="35">
        <f>Ticker0027!CB65</f>
      </c>
      <c r="AX72" s="35">
        <f>Ticker0027!CD65</f>
      </c>
      <c r="AY72" s="35">
        <f>Ticker0027!CE65</f>
      </c>
      <c r="AZ72" s="35">
        <f>Ticker0027!CF65</f>
      </c>
      <c r="BA72" s="35">
        <f>Ticker0027!CG65</f>
      </c>
      <c r="BB72" s="35">
        <f>Ticker0027!CI65</f>
      </c>
      <c r="BC72" s="35">
        <f>Ticker0027!CJ65</f>
      </c>
      <c r="BD72" s="35">
        <f>Ticker0027!CK65</f>
      </c>
      <c r="BE72" s="35">
        <f>Ticker0027!CL65</f>
      </c>
      <c r="BF72" s="35">
        <f>Ticker0027!CN65</f>
      </c>
      <c r="BG72" s="35">
        <f>Ticker0027!CO65</f>
      </c>
      <c r="BH72" s="35">
        <f>Ticker0027!CP65</f>
      </c>
      <c r="BI72" s="35">
        <f>Ticker0027!CQ65</f>
      </c>
      <c r="BJ72" s="35">
        <f>Ticker0027!CS65</f>
      </c>
      <c r="BK72" s="35">
        <f>Ticker0027!CT65</f>
      </c>
      <c r="BL72" s="35">
        <f>Ticker0027!CU65</f>
      </c>
      <c r="BM72" s="35">
        <f>Ticker0027!CV65</f>
      </c>
      <c r="BN72" s="35">
        <f>Ticker0027!CX65</f>
      </c>
      <c r="BO72" s="35">
        <f>Ticker0027!CY65</f>
      </c>
      <c r="BP72" s="35">
        <f>Ticker0027!CZ65</f>
      </c>
      <c r="BQ72" s="35">
        <f>Ticker0027!DA65</f>
      </c>
      <c r="BR72" s="35">
        <f>Ticker0027!DC65</f>
      </c>
      <c r="BS72" s="35">
        <f>Ticker0027!DD65</f>
      </c>
      <c r="BT72" s="35">
        <f>Ticker0027!DE65</f>
      </c>
      <c r="BU72" s="35">
        <f>Ticker0027!DF65</f>
      </c>
      <c r="BV72" s="35">
        <f>Ticker0027!DH65</f>
      </c>
      <c r="BW72" s="35">
        <f>Ticker0027!DI65</f>
      </c>
      <c r="BX72" s="35">
        <f>Ticker0027!DJ65</f>
      </c>
      <c r="BY72" s="35">
        <f>Ticker0027!DK65</f>
      </c>
      <c r="BZ72" s="35">
        <f>Ticker0027!DM65</f>
      </c>
      <c r="CA72" s="35">
        <f>Ticker0027!DN65</f>
      </c>
      <c r="CB72" s="35">
        <f>Ticker0027!DO65</f>
      </c>
      <c r="CC72" s="35">
        <f>Ticker0027!DP65</f>
      </c>
      <c r="CD72" s="35"/>
      <c r="CE72" s="35"/>
      <c r="CF72" s="35"/>
      <c r="CG72" s="35"/>
      <c r="CH72" s="35"/>
      <c r="CI72" s="338"/>
      <c r="CJ72" s="338"/>
      <c r="CK72" s="338"/>
      <c r="CL72" s="338"/>
      <c r="CM72" s="338"/>
      <c r="CN72" s="338"/>
      <c r="CO72" s="338"/>
      <c r="CP72" s="338"/>
      <c r="CQ72" s="338"/>
      <c r="CR72" s="338"/>
      <c r="CS72" s="338"/>
      <c r="CT72" s="338"/>
      <c r="CU72" s="338"/>
      <c r="CV72" s="338"/>
      <c r="CW72" s="338"/>
      <c r="CX72" s="338"/>
      <c r="CY72" s="338"/>
      <c r="CZ72" s="338"/>
      <c r="DA72" s="338"/>
      <c r="DB72" s="338"/>
      <c r="DC72" s="338"/>
      <c r="DD72" s="338"/>
      <c r="DE72" s="338"/>
      <c r="DI72" s="384"/>
      <c r="DJ72" s="384"/>
      <c r="DK72" s="384"/>
      <c r="DL72" s="384"/>
      <c r="DM72" s="384"/>
      <c r="DN72" s="384"/>
      <c r="DO72" s="384"/>
      <c r="DP72" s="384"/>
      <c r="DQ72" s="384"/>
      <c r="DR72" s="384"/>
      <c r="DS72" s="384"/>
      <c r="DT72" s="384"/>
      <c r="DU72" s="384"/>
      <c r="DV72" s="384"/>
      <c r="DW72" s="382"/>
      <c r="DX72" s="383"/>
      <c r="DY72" s="383"/>
      <c r="DZ72" s="383"/>
      <c r="EA72" s="68"/>
      <c r="EB72" s="68"/>
      <c r="EC72" s="68"/>
      <c r="ED72" s="68"/>
      <c r="EE72" s="68"/>
      <c r="EF72" s="68"/>
      <c r="EG72" s="68"/>
      <c r="EH72" s="68"/>
    </row>
    <row r="73" spans="1:139" hidden="1" outlineLevel="1">
      <c r="A73" s="372"/>
      <c r="B73" s="339"/>
      <c r="C73" s="339"/>
      <c r="D73" s="339"/>
      <c r="E73" s="339"/>
      <c r="F73" s="339"/>
      <c r="G73" s="339"/>
      <c r="H73" s="339"/>
      <c r="I73" s="339"/>
      <c r="J73" s="339"/>
      <c r="K73" s="339"/>
      <c r="L73" s="339"/>
      <c r="M73" s="339"/>
      <c r="N73" s="339"/>
      <c r="O73" s="339"/>
      <c r="P73" s="339"/>
      <c r="Q73" s="339"/>
      <c r="R73" s="339"/>
      <c r="S73" s="339"/>
      <c r="T73" s="339"/>
      <c r="U73" s="339"/>
      <c r="V73" s="339"/>
      <c r="W73" s="339"/>
      <c r="X73" s="339"/>
      <c r="Y73" s="339"/>
      <c r="Z73" s="339"/>
      <c r="AA73" s="339"/>
      <c r="AB73" s="339"/>
      <c r="AC73" s="339"/>
      <c r="AD73" s="339"/>
      <c r="AE73" s="339"/>
      <c r="AF73" s="339"/>
      <c r="AG73" s="339"/>
      <c r="AH73" s="339"/>
      <c r="AI73" s="339"/>
      <c r="AJ73" s="339"/>
      <c r="AK73" s="339"/>
      <c r="AL73" s="339"/>
      <c r="AM73" s="339"/>
      <c r="AN73" s="339"/>
      <c r="AO73" s="339"/>
      <c r="AP73" s="339"/>
      <c r="AQ73" s="339"/>
      <c r="AR73" s="339"/>
      <c r="AS73" s="339"/>
      <c r="AT73" s="339"/>
      <c r="AU73" s="339"/>
      <c r="AV73" s="339"/>
      <c r="AW73" s="339"/>
      <c r="AX73" s="339"/>
      <c r="AY73" s="339"/>
      <c r="AZ73" s="339"/>
      <c r="BA73" s="339"/>
      <c r="BB73" s="339"/>
      <c r="BC73" s="339"/>
      <c r="BD73" s="339"/>
      <c r="BE73" s="339"/>
      <c r="BF73" s="339"/>
      <c r="BG73" s="339"/>
      <c r="BH73" s="339"/>
      <c r="BI73" s="339"/>
      <c r="BJ73" s="339"/>
      <c r="BK73" s="339"/>
      <c r="BL73" s="339"/>
      <c r="BM73" s="339"/>
      <c r="BN73" s="370"/>
      <c r="BO73" s="339"/>
      <c r="BP73" s="339"/>
      <c r="BQ73" s="339"/>
      <c r="BR73" s="339"/>
      <c r="BS73" s="339"/>
      <c r="BT73" s="339"/>
      <c r="BU73" s="339"/>
      <c r="BV73" s="339"/>
      <c r="BW73" s="339"/>
      <c r="BX73" s="339"/>
      <c r="BY73" s="339"/>
      <c r="BZ73" s="339"/>
      <c r="CA73" s="339"/>
      <c r="CB73" s="339"/>
      <c r="CC73" s="339"/>
      <c r="CD73" s="339"/>
      <c r="CE73" s="339"/>
      <c r="CF73" s="339"/>
      <c r="CG73" s="339"/>
      <c r="CH73" s="339"/>
      <c r="CI73" s="339"/>
      <c r="CJ73" s="339"/>
      <c r="CK73" s="339"/>
      <c r="CL73" s="339"/>
      <c r="CM73" s="339"/>
      <c r="CN73" s="339"/>
      <c r="CO73" s="339"/>
      <c r="CP73" s="339"/>
      <c r="CQ73" s="339"/>
      <c r="CR73" s="339"/>
      <c r="CS73" s="339"/>
      <c r="CT73" s="339"/>
      <c r="CU73" s="339"/>
      <c r="CV73" s="339"/>
      <c r="CW73" s="339"/>
      <c r="CX73" s="339"/>
      <c r="CY73" s="339"/>
      <c r="CZ73" s="339"/>
      <c r="DA73" s="339"/>
      <c r="DB73" s="339"/>
      <c r="DC73" s="339"/>
      <c r="DD73" s="339"/>
      <c r="DE73" s="339"/>
      <c r="DH73" s="339"/>
      <c r="DI73" s="55"/>
      <c r="DJ73" s="55"/>
      <c r="DK73" s="55"/>
      <c r="DL73" s="55"/>
      <c r="DM73" s="55"/>
      <c r="DN73" s="55"/>
      <c r="DO73" s="55"/>
      <c r="DP73" s="55"/>
      <c r="DQ73" s="55"/>
      <c r="DR73" s="55"/>
      <c r="DS73" s="55"/>
      <c r="DT73" s="55"/>
      <c r="DU73" s="55"/>
      <c r="DV73" s="55"/>
      <c r="DW73" s="55"/>
      <c r="DX73" s="376"/>
      <c r="DY73" s="376"/>
      <c r="DZ73" s="376"/>
      <c r="EA73" s="376"/>
      <c r="EB73" s="376"/>
      <c r="EC73" s="376"/>
      <c r="ED73" s="376"/>
      <c r="EE73" s="376"/>
      <c r="EF73" s="376"/>
      <c r="EG73" s="376"/>
      <c r="EH73" s="376"/>
    </row>
    <row r="74" spans="1:139" collapsed="1">
      <c r="A74" s="60" t="s">
        <v>225</v>
      </c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39" t="s">
        <v>115</v>
      </c>
      <c r="BC74" s="39" t="s">
        <v>116</v>
      </c>
      <c r="BD74" s="39" t="s">
        <v>117</v>
      </c>
      <c r="BE74" s="39" t="s">
        <v>118</v>
      </c>
      <c r="BF74" s="61" t="str">
        <f t="shared" ref="BF74:DE74" si="150">BF3</f>
      </c>
      <c r="BG74" s="61" t="str">
        <f t="shared" si="150"/>
      </c>
      <c r="BH74" s="61" t="str">
        <f t="shared" si="150"/>
      </c>
      <c r="BI74" s="61" t="str">
        <f t="shared" si="150"/>
      </c>
      <c r="BJ74" s="61" t="str">
        <f t="shared" si="150"/>
      </c>
      <c r="BK74" s="61" t="str">
        <f t="shared" si="150"/>
      </c>
      <c r="BL74" s="61" t="str">
        <f t="shared" si="150"/>
      </c>
      <c r="BM74" s="61" t="str">
        <f t="shared" si="150"/>
      </c>
      <c r="BN74" s="61" t="str">
        <f t="shared" si="150"/>
      </c>
      <c r="BO74" s="61" t="str">
        <f t="shared" si="150"/>
      </c>
      <c r="BP74" s="61" t="str">
        <f t="shared" si="150"/>
      </c>
      <c r="BQ74" s="61" t="str">
        <f t="shared" si="150"/>
      </c>
      <c r="BR74" s="61" t="str">
        <f t="shared" si="150"/>
      </c>
      <c r="BS74" s="61" t="str">
        <f t="shared" si="150"/>
      </c>
      <c r="BT74" s="61" t="str">
        <f t="shared" si="150"/>
      </c>
      <c r="BU74" s="61" t="str">
        <f t="shared" si="150"/>
      </c>
      <c r="BV74" s="61" t="str">
        <f t="shared" si="150"/>
      </c>
      <c r="BW74" s="61" t="str">
        <f t="shared" si="150"/>
      </c>
      <c r="BX74" s="61" t="str">
        <f t="shared" si="150"/>
      </c>
      <c r="BY74" s="61" t="str">
        <f t="shared" si="150"/>
      </c>
      <c r="BZ74" s="61" t="str">
        <f t="shared" si="150"/>
      </c>
      <c r="CA74" s="61" t="str">
        <f t="shared" si="150"/>
      </c>
      <c r="CB74" s="61" t="str">
        <f t="shared" si="150"/>
      </c>
      <c r="CC74" s="61" t="str">
        <f t="shared" si="150"/>
      </c>
      <c r="CD74" s="61" t="str">
        <f t="shared" si="150"/>
      </c>
      <c r="CE74" s="61" t="str">
        <f t="shared" si="150"/>
      </c>
      <c r="CF74" s="61" t="str">
        <f t="shared" si="150"/>
      </c>
      <c r="CG74" s="61" t="str">
        <f t="shared" si="150"/>
      </c>
      <c r="CH74" s="61" t="str">
        <f t="shared" si="150"/>
      </c>
      <c r="CI74" s="61" t="str">
        <f t="shared" si="150"/>
      </c>
      <c r="CJ74" s="61" t="str">
        <f t="shared" si="150"/>
      </c>
      <c r="CK74" s="61" t="str">
        <f t="shared" si="150"/>
      </c>
      <c r="CL74" s="61" t="str">
        <f t="shared" si="150"/>
      </c>
      <c r="CM74" s="61" t="str">
        <f t="shared" si="150"/>
      </c>
      <c r="CN74" s="61" t="str">
        <f t="shared" si="150"/>
      </c>
      <c r="CO74" s="61" t="str">
        <f t="shared" si="150"/>
      </c>
      <c r="CP74" s="61" t="str">
        <f t="shared" si="150"/>
      </c>
      <c r="CQ74" s="61" t="str">
        <f t="shared" si="150"/>
      </c>
      <c r="CR74" s="61" t="str">
        <f t="shared" si="150"/>
      </c>
      <c r="CS74" s="61" t="str">
        <f t="shared" si="150"/>
      </c>
      <c r="CT74" s="61" t="str">
        <f t="shared" si="150"/>
      </c>
      <c r="CU74" s="61" t="str">
        <f t="shared" si="150"/>
      </c>
      <c r="CV74" s="61" t="str">
        <f t="shared" si="150"/>
      </c>
      <c r="CW74" s="61" t="str">
        <f t="shared" si="150"/>
      </c>
      <c r="CX74" s="61" t="str">
        <f t="shared" si="150"/>
      </c>
      <c r="CY74" s="61" t="str">
        <f t="shared" si="150"/>
      </c>
      <c r="CZ74" s="61" t="str">
        <f t="shared" si="150"/>
      </c>
      <c r="DA74" s="61" t="str">
        <f t="shared" si="150"/>
      </c>
      <c r="DB74" s="61" t="str">
        <f t="shared" si="150"/>
      </c>
      <c r="DC74" s="61" t="str">
        <f t="shared" si="150"/>
      </c>
      <c r="DD74" s="61" t="str">
        <f t="shared" si="150"/>
      </c>
      <c r="DE74" s="61" t="str">
        <f t="shared" si="150"/>
      </c>
      <c r="DH74" s="46">
        <v>2001</v>
      </c>
      <c r="DI74" s="46">
        <v>2002</v>
      </c>
      <c r="DJ74" s="46">
        <v>2003</v>
      </c>
      <c r="DK74" s="46">
        <v>2004</v>
      </c>
      <c r="DL74" s="46">
        <v>2005</v>
      </c>
      <c r="DM74" s="46">
        <v>2006</v>
      </c>
      <c r="DN74" s="46">
        <v>2007</v>
      </c>
      <c r="DO74" s="46">
        <v>2008</v>
      </c>
      <c r="DP74" s="46">
        <v>2009</v>
      </c>
      <c r="DQ74" s="46">
        <v>2010</v>
      </c>
      <c r="DR74" s="46">
        <v>2011</v>
      </c>
      <c r="DS74" s="46">
        <v>2012</v>
      </c>
      <c r="DT74" s="46">
        <v>2013</v>
      </c>
      <c r="DU74" s="46">
        <f>DU4</f>
      </c>
      <c r="DV74" s="46">
        <f t="shared" ref="DV74:EH74" si="151">DV$4</f>
      </c>
      <c r="DW74" s="46">
        <f t="shared" si="151"/>
      </c>
      <c r="DX74" s="46">
        <f t="shared" si="151"/>
      </c>
      <c r="DY74" s="46">
        <f t="shared" si="151"/>
      </c>
      <c r="DZ74" s="46">
        <f t="shared" si="151"/>
      </c>
      <c r="EA74" s="46">
        <f t="shared" si="151"/>
      </c>
      <c r="EB74" s="46">
        <f t="shared" si="151"/>
      </c>
      <c r="EC74" s="46">
        <f t="shared" si="151"/>
      </c>
      <c r="ED74" s="46">
        <f t="shared" si="151"/>
      </c>
      <c r="EE74" s="46">
        <f t="shared" si="151"/>
      </c>
      <c r="EF74" s="46" t="str">
        <f t="shared" si="151"/>
      </c>
      <c r="EG74" s="46" t="str">
        <f t="shared" si="151"/>
      </c>
      <c r="EH74" s="46" t="str">
        <f t="shared" si="151"/>
      </c>
    </row>
    <row r="75" spans="1:139" s="47" customFormat="1">
      <c r="A75" s="35" t="s">
        <v>226</v>
      </c>
      <c r="AX75" s="35"/>
      <c r="AY75" s="35"/>
      <c r="AZ75" s="35"/>
      <c r="BA75" s="35"/>
      <c r="BB75" s="35">
        <v>468</v>
      </c>
      <c r="BC75" s="35">
        <v>417</v>
      </c>
      <c r="BD75" s="35">
        <v>528</v>
      </c>
      <c r="BE75" s="35">
        <v>646</v>
      </c>
      <c r="BF75" s="35">
        <v>587</v>
      </c>
      <c r="BG75" s="35">
        <v>661</v>
      </c>
      <c r="BH75" s="35">
        <v>761</v>
      </c>
      <c r="BI75" s="35">
        <v>810</v>
      </c>
      <c r="BJ75" s="35">
        <v>687</v>
      </c>
      <c r="BK75" s="35">
        <v>781</v>
      </c>
      <c r="BL75" s="35">
        <v>1244</v>
      </c>
      <c r="BM75" s="35">
        <v>1348</v>
      </c>
      <c r="BN75" s="35">
        <v>1027</v>
      </c>
      <c r="BO75" s="35">
        <v>1186</v>
      </c>
      <c r="BP75" s="35">
        <v>1561</v>
      </c>
      <c r="BQ75" s="35">
        <v>1739</v>
      </c>
      <c r="BR75" s="35">
        <v>1723</v>
      </c>
      <c r="BS75" s="35">
        <v>1805</v>
      </c>
      <c r="BT75" s="35">
        <v>1764</v>
      </c>
      <c r="BU75" s="35">
        <v>954</v>
      </c>
      <c r="BV75" s="35">
        <v>1055</v>
      </c>
      <c r="BW75" s="35">
        <v>1313</v>
      </c>
      <c r="BX75" s="35">
        <v>1659</v>
      </c>
      <c r="BY75" s="35">
        <v>1491</v>
      </c>
      <c r="BZ75" s="35">
        <v>1339</v>
      </c>
      <c r="CA75" s="35">
        <v>1654</v>
      </c>
      <c r="CB75" s="35">
        <v>2271</v>
      </c>
      <c r="CC75" s="35">
        <v>2495</v>
      </c>
      <c r="CD75" s="35">
        <v>2760</v>
      </c>
      <c r="CE75" s="35">
        <v>3061</v>
      </c>
      <c r="CF75" s="35">
        <v>3221</v>
      </c>
      <c r="CG75" s="35">
        <v>3420</v>
      </c>
      <c r="CH75" s="35">
        <v>3620</v>
      </c>
      <c r="CI75" s="35">
        <v>2042</v>
      </c>
      <c r="CJ75" s="35">
        <v>1574</v>
      </c>
      <c r="CK75" s="35">
        <v>1831</v>
      </c>
      <c r="CL75" s="35">
        <v>2240</v>
      </c>
      <c r="CM75" s="35">
        <v>2486</v>
      </c>
      <c r="CN75" s="35">
        <v>2856</v>
      </c>
      <c r="CO75" s="35">
        <v>2865</v>
      </c>
      <c r="CP75" s="35">
        <v>2647</v>
      </c>
      <c r="CQ75" s="35">
        <v>2880</v>
      </c>
      <c r="CR75" s="35">
        <v>3279</v>
      </c>
      <c r="CS75" s="35">
        <v>2544</v>
      </c>
      <c r="CT75" s="35">
        <v>3763</v>
      </c>
      <c r="CU75" s="35">
        <v>4287</v>
      </c>
      <c r="CV75" s="338">
        <f t="shared" ref="CV75:DA75" si="152">CV79+CV83+CV87</f>
      </c>
      <c r="CW75" s="338">
        <f t="shared" si="152"/>
      </c>
      <c r="CX75" s="338">
        <f t="shared" si="152"/>
      </c>
      <c r="CY75" s="338">
        <f t="shared" si="152"/>
      </c>
      <c r="CZ75" s="338">
        <f t="shared" si="152"/>
      </c>
      <c r="DA75" s="338">
        <f t="shared" si="152"/>
      </c>
      <c r="DB75" s="338">
        <f>DB79+DB83+DB87</f>
      </c>
      <c r="DC75" s="338">
        <f>DC79+DC83+DC87</f>
      </c>
      <c r="DD75" s="338">
        <f>DD79+DD83+DD87</f>
      </c>
      <c r="DE75" s="338">
        <f>DE79+DE83+DE87</f>
      </c>
      <c r="DQ75" s="35"/>
      <c r="DR75" s="35"/>
      <c r="DS75" s="35">
        <v>1316</v>
      </c>
      <c r="DT75" s="35">
        <v>1511</v>
      </c>
      <c r="DU75" s="35">
        <f>SUM(BB75:BE75)</f>
      </c>
      <c r="DV75" s="35">
        <f>SUM(BF75:BI75)</f>
      </c>
      <c r="DW75" s="35">
        <f>SUM(BJ75:BM75)</f>
      </c>
      <c r="DX75" s="35">
        <f>SUM(BN75:BQ75)</f>
      </c>
      <c r="DY75" s="35">
        <f>SUM(BR75:BU75)</f>
      </c>
      <c r="DZ75" s="35">
        <f>BV75+BW75+BX75+BY75</f>
      </c>
      <c r="EA75" s="35">
        <f>SUM(BZ75:CC75)</f>
      </c>
      <c r="EB75" s="35">
        <f>+CD75+CE75+CF75+CG75</f>
      </c>
      <c r="EC75" s="35">
        <f>SUM(CH75:CK75)</f>
      </c>
      <c r="ED75" s="35">
        <f>SUM(CL75:CO75)</f>
      </c>
      <c r="EE75" s="35">
        <f>SUM(CP75:CS75)</f>
      </c>
      <c r="EF75" s="338">
        <f>SUM(CT75:CW75)</f>
      </c>
      <c r="EG75" s="338">
        <f>SUM(CX75:DA75)</f>
      </c>
      <c r="EH75" s="338">
        <f>SUM(DB75:DE75)</f>
      </c>
      <c r="EI75" s="35"/>
    </row>
    <row r="76" spans="1:139" s="49" customFormat="1">
      <c r="A76" s="48" t="s">
        <v>196</v>
      </c>
      <c r="BC76" s="49">
        <f>BC75/BB75-1</f>
      </c>
      <c r="BD76" s="49">
        <f t="shared" ref="BD76:DE76" si="153">BD75/BC75-1</f>
      </c>
      <c r="BE76" s="49">
        <f t="shared" si="153"/>
      </c>
      <c r="BF76" s="49">
        <f t="shared" si="153"/>
      </c>
      <c r="BG76" s="49">
        <f t="shared" si="153"/>
      </c>
      <c r="BH76" s="49">
        <f t="shared" si="153"/>
      </c>
      <c r="BI76" s="49">
        <f t="shared" si="153"/>
      </c>
      <c r="BJ76" s="49">
        <f t="shared" si="153"/>
      </c>
      <c r="BK76" s="49">
        <f t="shared" si="153"/>
      </c>
      <c r="BL76" s="49">
        <f t="shared" si="153"/>
      </c>
      <c r="BM76" s="49">
        <f t="shared" si="153"/>
      </c>
      <c r="BN76" s="49">
        <f t="shared" si="153"/>
      </c>
      <c r="BO76" s="49">
        <f t="shared" si="153"/>
      </c>
      <c r="BP76" s="49">
        <f t="shared" si="153"/>
      </c>
      <c r="BQ76" s="49">
        <f t="shared" si="153"/>
      </c>
      <c r="BR76" s="49">
        <f t="shared" si="153"/>
      </c>
      <c r="BS76" s="49">
        <f t="shared" si="153"/>
      </c>
      <c r="BT76" s="49">
        <f t="shared" si="153"/>
      </c>
      <c r="BU76" s="49">
        <f t="shared" si="153"/>
      </c>
      <c r="BV76" s="49">
        <f t="shared" si="153"/>
      </c>
      <c r="BW76" s="49">
        <f t="shared" si="153"/>
      </c>
      <c r="BX76" s="49">
        <f t="shared" si="153"/>
      </c>
      <c r="BY76" s="49">
        <f t="shared" si="153"/>
      </c>
      <c r="BZ76" s="49">
        <f t="shared" si="153"/>
      </c>
      <c r="CA76" s="49">
        <f t="shared" si="153"/>
      </c>
      <c r="CB76" s="49">
        <f t="shared" si="153"/>
      </c>
      <c r="CC76" s="49">
        <f t="shared" si="153"/>
      </c>
      <c r="CD76" s="49">
        <f t="shared" si="153"/>
      </c>
      <c r="CE76" s="49">
        <f t="shared" si="153"/>
      </c>
      <c r="CF76" s="49">
        <f t="shared" si="153"/>
      </c>
      <c r="CG76" s="49">
        <f t="shared" si="153"/>
      </c>
      <c r="CH76" s="49">
        <f t="shared" si="153"/>
      </c>
      <c r="CI76" s="49">
        <f t="shared" si="153"/>
      </c>
      <c r="CJ76" s="49">
        <f t="shared" si="153"/>
      </c>
      <c r="CK76" s="49">
        <f t="shared" si="153"/>
      </c>
      <c r="CL76" s="49">
        <f t="shared" si="153"/>
      </c>
      <c r="CM76" s="49">
        <f t="shared" si="153"/>
      </c>
      <c r="CN76" s="49">
        <f t="shared" si="153"/>
      </c>
      <c r="CO76" s="49">
        <f t="shared" si="153"/>
      </c>
      <c r="CP76" s="49">
        <f t="shared" si="153"/>
      </c>
      <c r="CQ76" s="49">
        <f t="shared" si="153"/>
      </c>
      <c r="CR76" s="49">
        <f t="shared" si="153"/>
      </c>
      <c r="CS76" s="49">
        <f t="shared" si="153"/>
      </c>
      <c r="CT76" s="49">
        <f t="shared" si="153"/>
      </c>
      <c r="CU76" s="49">
        <f t="shared" si="153"/>
      </c>
      <c r="CV76" s="341">
        <f t="shared" si="153"/>
      </c>
      <c r="CW76" s="341">
        <f t="shared" si="153"/>
      </c>
      <c r="CX76" s="341">
        <f t="shared" si="153"/>
      </c>
      <c r="CY76" s="341">
        <f t="shared" si="153"/>
      </c>
      <c r="CZ76" s="341">
        <f t="shared" si="153"/>
      </c>
      <c r="DA76" s="341">
        <f t="shared" si="153"/>
      </c>
      <c r="DB76" s="341">
        <f t="shared" si="153"/>
      </c>
      <c r="DC76" s="341">
        <f t="shared" si="153"/>
      </c>
      <c r="DD76" s="341">
        <f t="shared" si="153"/>
      </c>
      <c r="DE76" s="341">
        <f t="shared" si="153"/>
      </c>
      <c r="DH76" s="342" t="s">
        <v>197</v>
      </c>
      <c r="DI76" s="342" t="s">
        <v>197</v>
      </c>
      <c r="DJ76" s="342" t="s">
        <v>197</v>
      </c>
      <c r="DK76" s="342" t="s">
        <v>197</v>
      </c>
      <c r="DL76" s="342" t="s">
        <v>197</v>
      </c>
      <c r="DM76" s="342" t="s">
        <v>197</v>
      </c>
      <c r="DN76" s="342" t="s">
        <v>197</v>
      </c>
      <c r="DO76" s="342" t="s">
        <v>197</v>
      </c>
      <c r="DP76" s="342" t="s">
        <v>197</v>
      </c>
      <c r="DQ76" s="342" t="s">
        <v>197</v>
      </c>
      <c r="DR76" s="342" t="s">
        <v>197</v>
      </c>
      <c r="DS76" s="342" t="s">
        <v>197</v>
      </c>
      <c r="DT76" s="342" t="s">
        <v>197</v>
      </c>
      <c r="DU76" s="342" t="s">
        <v>197</v>
      </c>
      <c r="DV76" s="342" t="s">
        <v>197</v>
      </c>
      <c r="DW76" s="342" t="s">
        <v>197</v>
      </c>
      <c r="DX76" s="342" t="s">
        <v>197</v>
      </c>
      <c r="DY76" s="342" t="s">
        <v>197</v>
      </c>
      <c r="DZ76" s="342" t="s">
        <v>197</v>
      </c>
      <c r="EA76" s="342" t="s">
        <v>197</v>
      </c>
      <c r="EB76" s="342" t="s">
        <v>197</v>
      </c>
      <c r="EC76" s="342" t="s">
        <v>197</v>
      </c>
      <c r="ED76" s="342" t="s">
        <v>197</v>
      </c>
      <c r="EE76" s="342" t="s">
        <v>197</v>
      </c>
      <c r="EF76" s="343" t="s">
        <v>197</v>
      </c>
      <c r="EG76" s="343" t="s">
        <v>197</v>
      </c>
      <c r="EH76" s="343" t="s">
        <v>197</v>
      </c>
    </row>
    <row r="77" spans="1:139" s="49" customFormat="1">
      <c r="A77" s="48" t="s">
        <v>198</v>
      </c>
      <c r="BF77" s="49">
        <f t="shared" ref="BF77:DE77" si="154">BF75/BB75-1</f>
      </c>
      <c r="BG77" s="49">
        <f t="shared" si="154"/>
      </c>
      <c r="BH77" s="49">
        <f t="shared" si="154"/>
      </c>
      <c r="BI77" s="49">
        <f t="shared" si="154"/>
      </c>
      <c r="BJ77" s="49">
        <f t="shared" si="154"/>
      </c>
      <c r="BK77" s="49">
        <f t="shared" si="154"/>
      </c>
      <c r="BL77" s="49">
        <f t="shared" si="154"/>
      </c>
      <c r="BM77" s="49">
        <f t="shared" si="154"/>
      </c>
      <c r="BN77" s="49">
        <f t="shared" si="154"/>
      </c>
      <c r="BO77" s="49">
        <f t="shared" si="154"/>
      </c>
      <c r="BP77" s="49">
        <f t="shared" si="154"/>
      </c>
      <c r="BQ77" s="49">
        <f t="shared" si="154"/>
      </c>
      <c r="BR77" s="49">
        <f t="shared" si="154"/>
      </c>
      <c r="BS77" s="49">
        <f t="shared" si="154"/>
      </c>
      <c r="BT77" s="49">
        <f t="shared" si="154"/>
      </c>
      <c r="BU77" s="49">
        <f t="shared" si="154"/>
      </c>
      <c r="BV77" s="49">
        <f t="shared" si="154"/>
      </c>
      <c r="BW77" s="49">
        <f t="shared" si="154"/>
      </c>
      <c r="BX77" s="49">
        <f t="shared" si="154"/>
      </c>
      <c r="BY77" s="49">
        <f t="shared" si="154"/>
      </c>
      <c r="BZ77" s="49">
        <f t="shared" si="154"/>
      </c>
      <c r="CA77" s="49">
        <f t="shared" si="154"/>
      </c>
      <c r="CB77" s="49">
        <f t="shared" si="154"/>
      </c>
      <c r="CC77" s="49">
        <f t="shared" si="154"/>
      </c>
      <c r="CD77" s="49">
        <f t="shared" si="154"/>
      </c>
      <c r="CE77" s="49">
        <f t="shared" si="154"/>
      </c>
      <c r="CF77" s="49">
        <f t="shared" si="154"/>
      </c>
      <c r="CG77" s="49">
        <f t="shared" si="154"/>
      </c>
      <c r="CH77" s="49">
        <f t="shared" si="154"/>
      </c>
      <c r="CI77" s="49">
        <f t="shared" si="154"/>
      </c>
      <c r="CJ77" s="49">
        <f t="shared" si="154"/>
      </c>
      <c r="CK77" s="49">
        <f t="shared" si="154"/>
      </c>
      <c r="CL77" s="49">
        <f t="shared" si="154"/>
      </c>
      <c r="CM77" s="49">
        <f t="shared" si="154"/>
      </c>
      <c r="CN77" s="49">
        <f t="shared" si="154"/>
      </c>
      <c r="CO77" s="49">
        <f t="shared" si="154"/>
      </c>
      <c r="CP77" s="49">
        <f t="shared" si="154"/>
      </c>
      <c r="CQ77" s="49">
        <f t="shared" si="154"/>
      </c>
      <c r="CR77" s="49">
        <f t="shared" si="154"/>
      </c>
      <c r="CS77" s="49">
        <f t="shared" si="154"/>
      </c>
      <c r="CT77" s="49">
        <f t="shared" si="154"/>
      </c>
      <c r="CU77" s="49">
        <f t="shared" si="154"/>
      </c>
      <c r="CV77" s="341">
        <f t="shared" si="154"/>
      </c>
      <c r="CW77" s="341">
        <f t="shared" si="154"/>
      </c>
      <c r="CX77" s="341">
        <f t="shared" si="154"/>
      </c>
      <c r="CY77" s="341">
        <f t="shared" si="154"/>
      </c>
      <c r="CZ77" s="341">
        <f t="shared" si="154"/>
      </c>
      <c r="DA77" s="341">
        <f t="shared" si="154"/>
      </c>
      <c r="DB77" s="341">
        <f t="shared" si="154"/>
      </c>
      <c r="DC77" s="341">
        <f t="shared" si="154"/>
      </c>
      <c r="DD77" s="341">
        <f t="shared" si="154"/>
      </c>
      <c r="DE77" s="341">
        <f t="shared" si="154"/>
      </c>
      <c r="DQ77" s="62"/>
      <c r="DR77" s="62"/>
      <c r="DS77" s="62"/>
      <c r="DT77" s="49">
        <f>DT75/DS75-1</f>
      </c>
      <c r="DU77" s="49">
        <f t="shared" ref="DU77:EH77" si="155">DU75/DT75-1</f>
      </c>
      <c r="DV77" s="49">
        <f t="shared" si="155"/>
      </c>
      <c r="DW77" s="49">
        <f>DW75/DV75-1</f>
      </c>
      <c r="DX77" s="49">
        <f t="shared" si="155"/>
      </c>
      <c r="DY77" s="49">
        <f t="shared" si="155"/>
      </c>
      <c r="DZ77" s="49">
        <f t="shared" si="155"/>
      </c>
      <c r="EA77" s="49">
        <f t="shared" si="155"/>
      </c>
      <c r="EB77" s="49">
        <f t="shared" si="155"/>
      </c>
      <c r="EC77" s="49">
        <f t="shared" si="155"/>
      </c>
      <c r="ED77" s="49">
        <f t="shared" si="155"/>
      </c>
      <c r="EE77" s="49">
        <f t="shared" si="155"/>
      </c>
      <c r="EF77" s="345">
        <f t="shared" si="155"/>
      </c>
      <c r="EG77" s="345">
        <f t="shared" si="155"/>
      </c>
      <c r="EH77" s="345">
        <f t="shared" si="155"/>
      </c>
    </row>
    <row r="78" spans="1:139" s="49" customFormat="1">
      <c r="A78" s="48" t="s">
        <v>227</v>
      </c>
      <c r="BB78" s="49">
        <f t="shared" ref="BB78:CG78" si="156">BB75/BB$131</f>
      </c>
      <c r="BC78" s="49">
        <f t="shared" si="156"/>
      </c>
      <c r="BD78" s="49">
        <f t="shared" si="156"/>
      </c>
      <c r="BE78" s="49">
        <f t="shared" si="156"/>
      </c>
      <c r="BF78" s="49">
        <f t="shared" si="156"/>
      </c>
      <c r="BG78" s="49">
        <f t="shared" si="156"/>
      </c>
      <c r="BH78" s="49">
        <f t="shared" si="156"/>
      </c>
      <c r="BI78" s="49">
        <f t="shared" si="156"/>
      </c>
      <c r="BJ78" s="49">
        <f t="shared" si="156"/>
      </c>
      <c r="BK78" s="49">
        <f t="shared" si="156"/>
      </c>
      <c r="BL78" s="49">
        <f t="shared" si="156"/>
      </c>
      <c r="BM78" s="49">
        <f t="shared" si="156"/>
      </c>
      <c r="BN78" s="49">
        <f t="shared" si="156"/>
      </c>
      <c r="BO78" s="49">
        <f t="shared" si="156"/>
      </c>
      <c r="BP78" s="49">
        <f t="shared" si="156"/>
      </c>
      <c r="BQ78" s="49">
        <f t="shared" si="156"/>
      </c>
      <c r="BR78" s="49">
        <f t="shared" si="156"/>
      </c>
      <c r="BS78" s="49">
        <f t="shared" si="156"/>
      </c>
      <c r="BT78" s="49">
        <f t="shared" si="156"/>
      </c>
      <c r="BU78" s="49">
        <f t="shared" si="156"/>
      </c>
      <c r="BV78" s="49">
        <f t="shared" si="156"/>
      </c>
      <c r="BW78" s="49">
        <f t="shared" si="156"/>
      </c>
      <c r="BX78" s="49">
        <f t="shared" si="156"/>
      </c>
      <c r="BY78" s="49">
        <f t="shared" si="156"/>
      </c>
      <c r="BZ78" s="49">
        <f t="shared" si="156"/>
      </c>
      <c r="CA78" s="49">
        <f t="shared" si="156"/>
      </c>
      <c r="CB78" s="49">
        <f t="shared" si="156"/>
      </c>
      <c r="CC78" s="49">
        <f t="shared" si="156"/>
      </c>
      <c r="CD78" s="49">
        <f t="shared" si="156"/>
      </c>
      <c r="CE78" s="49">
        <f t="shared" si="156"/>
      </c>
      <c r="CF78" s="49">
        <f t="shared" si="156"/>
      </c>
      <c r="CG78" s="49">
        <f t="shared" si="156"/>
      </c>
      <c r="CH78" s="49">
        <f t="shared" ref="CH78:DE78" si="157">CH75/CH$131</f>
      </c>
      <c r="CI78" s="49">
        <f t="shared" si="157"/>
      </c>
      <c r="CJ78" s="49">
        <f t="shared" si="157"/>
      </c>
      <c r="CK78" s="49">
        <f t="shared" si="157"/>
      </c>
      <c r="CL78" s="49">
        <f t="shared" si="157"/>
      </c>
      <c r="CM78" s="49">
        <f t="shared" si="157"/>
      </c>
      <c r="CN78" s="49">
        <f t="shared" si="157"/>
      </c>
      <c r="CO78" s="49">
        <f t="shared" si="157"/>
      </c>
      <c r="CP78" s="49">
        <f t="shared" si="157"/>
      </c>
      <c r="CQ78" s="49">
        <f t="shared" si="157"/>
      </c>
      <c r="CR78" s="49">
        <f t="shared" si="157"/>
      </c>
      <c r="CS78" s="49">
        <f t="shared" si="157"/>
      </c>
      <c r="CT78" s="49">
        <f t="shared" si="157"/>
      </c>
      <c r="CU78" s="49">
        <f t="shared" si="157"/>
      </c>
      <c r="CV78" s="341">
        <f t="shared" si="157"/>
      </c>
      <c r="CW78" s="341">
        <f t="shared" si="157"/>
      </c>
      <c r="CX78" s="341">
        <f t="shared" si="157"/>
      </c>
      <c r="CY78" s="341">
        <f t="shared" si="157"/>
      </c>
      <c r="CZ78" s="341">
        <f t="shared" si="157"/>
      </c>
      <c r="DA78" s="341">
        <f t="shared" si="157"/>
      </c>
      <c r="DB78" s="341">
        <f t="shared" si="157"/>
      </c>
      <c r="DC78" s="341">
        <f t="shared" si="157"/>
      </c>
      <c r="DD78" s="341">
        <f t="shared" si="157"/>
      </c>
      <c r="DE78" s="341">
        <f t="shared" si="157"/>
      </c>
      <c r="DQ78" s="62"/>
      <c r="DR78" s="62"/>
      <c r="DS78" s="387">
        <f t="shared" ref="DS78:EH78" si="158">DS75/DS$131</f>
      </c>
      <c r="DT78" s="387">
        <f t="shared" si="158"/>
      </c>
      <c r="DU78" s="52">
        <f t="shared" si="158"/>
      </c>
      <c r="DV78" s="52">
        <f t="shared" si="158"/>
      </c>
      <c r="DW78" s="52">
        <f t="shared" si="158"/>
      </c>
      <c r="DX78" s="52">
        <f t="shared" si="158"/>
      </c>
      <c r="DY78" s="52">
        <f t="shared" si="158"/>
      </c>
      <c r="DZ78" s="52">
        <f t="shared" si="158"/>
      </c>
      <c r="EA78" s="52">
        <f t="shared" si="158"/>
      </c>
      <c r="EB78" s="50">
        <f t="shared" si="158"/>
      </c>
      <c r="EC78" s="50">
        <f t="shared" si="158"/>
      </c>
      <c r="ED78" s="50">
        <f t="shared" si="158"/>
      </c>
      <c r="EE78" s="50">
        <f t="shared" si="158"/>
      </c>
      <c r="EF78" s="51">
        <f t="shared" si="158"/>
      </c>
      <c r="EG78" s="51">
        <f t="shared" si="158"/>
      </c>
      <c r="EH78" s="51">
        <f t="shared" si="158"/>
      </c>
    </row>
    <row r="79" spans="1:139" s="47" customFormat="1" ht="11.25" customHeight="1" outlineLevel="1">
      <c r="A79" s="348" t="s">
        <v>228</v>
      </c>
      <c r="BB79" s="35">
        <f>BB75-BB83</f>
      </c>
      <c r="BC79" s="35">
        <f t="shared" ref="BC79:BM79" si="159">BC75-BC83</f>
      </c>
      <c r="BD79" s="35">
        <f t="shared" si="159"/>
      </c>
      <c r="BE79" s="35">
        <f t="shared" si="159"/>
      </c>
      <c r="BF79" s="35">
        <f t="shared" si="159"/>
      </c>
      <c r="BG79" s="35">
        <f t="shared" si="159"/>
      </c>
      <c r="BH79" s="35">
        <f t="shared" si="159"/>
      </c>
      <c r="BI79" s="35">
        <f t="shared" si="159"/>
      </c>
      <c r="BJ79" s="35">
        <f t="shared" si="159"/>
      </c>
      <c r="BK79" s="35">
        <f t="shared" si="159"/>
      </c>
      <c r="BL79" s="35">
        <f t="shared" si="159"/>
      </c>
      <c r="BM79" s="35">
        <f t="shared" si="159"/>
      </c>
      <c r="BN79" s="35">
        <f t="shared" ref="BN79:BY79" si="160">BN75-BN83-BN87</f>
      </c>
      <c r="BO79" s="35">
        <f t="shared" si="160"/>
      </c>
      <c r="BP79" s="35">
        <f t="shared" si="160"/>
      </c>
      <c r="BQ79" s="35">
        <f t="shared" si="160"/>
      </c>
      <c r="BR79" s="35">
        <f t="shared" si="160"/>
      </c>
      <c r="BS79" s="35">
        <f t="shared" si="160"/>
      </c>
      <c r="BT79" s="35">
        <f t="shared" si="160"/>
      </c>
      <c r="BU79" s="35">
        <f t="shared" si="160"/>
      </c>
      <c r="BV79" s="35">
        <f t="shared" si="160"/>
      </c>
      <c r="BW79" s="35">
        <f t="shared" si="160"/>
      </c>
      <c r="BX79" s="35">
        <f t="shared" si="160"/>
      </c>
      <c r="BY79" s="35">
        <f t="shared" si="160"/>
      </c>
      <c r="BZ79" s="35">
        <f>Gaming!AX82</f>
      </c>
      <c r="CA79" s="35">
        <f>Gaming!AY82</f>
      </c>
      <c r="CB79" s="35">
        <f>Gaming!AZ82</f>
      </c>
      <c r="CC79" s="35">
        <f>Gaming!BA82</f>
      </c>
      <c r="CD79" s="35">
        <f>Gaming!BB82</f>
      </c>
      <c r="CE79" s="35">
        <f>Gaming!BC82</f>
      </c>
      <c r="CF79" s="35">
        <f>Gaming!BD82</f>
      </c>
      <c r="CG79" s="35">
        <f>Gaming!BE82</f>
      </c>
      <c r="CH79" s="35">
        <f>Gaming!BF82</f>
      </c>
      <c r="CI79" s="35">
        <f>Gaming!BG82</f>
      </c>
      <c r="CJ79" s="35">
        <f>Gaming!BH82</f>
      </c>
      <c r="CK79" s="35">
        <f>Gaming!BI82</f>
      </c>
      <c r="CL79" s="35">
        <f>Gaming!BJ82</f>
      </c>
      <c r="CM79" s="35">
        <f>Gaming!BK82</f>
      </c>
      <c r="CN79" s="35">
        <f>Gaming!BL82</f>
      </c>
      <c r="CO79" s="35">
        <f>Gaming!BM82</f>
      </c>
      <c r="CP79" s="35">
        <f>Gaming!BN82</f>
      </c>
      <c r="CQ79" s="35">
        <f>Gaming!BO82</f>
      </c>
      <c r="CR79" s="35">
        <f>Gaming!BP82</f>
      </c>
      <c r="CS79" s="35">
        <f>Gaming!BQ82</f>
      </c>
      <c r="CT79" s="35">
        <f>Gaming!BR82</f>
      </c>
      <c r="CU79" s="35">
        <f>Gaming!BS82</f>
      </c>
      <c r="CV79" s="338">
        <f>Gaming!BT82</f>
      </c>
      <c r="CW79" s="338">
        <f>Gaming!BU82</f>
      </c>
      <c r="CX79" s="338">
        <f>Gaming!BV82</f>
      </c>
      <c r="CY79" s="338">
        <f>Gaming!BW82</f>
      </c>
      <c r="CZ79" s="338">
        <f>Gaming!BX82</f>
      </c>
      <c r="DA79" s="338">
        <f>Gaming!BY82</f>
      </c>
      <c r="DB79" s="338">
        <f>Gaming!BZ82</f>
      </c>
      <c r="DC79" s="338">
        <f>Gaming!CA82</f>
      </c>
      <c r="DD79" s="338">
        <f>Gaming!CB82</f>
      </c>
      <c r="DE79" s="338">
        <f>Gaming!CC82</f>
      </c>
      <c r="DH79" s="66"/>
      <c r="DI79" s="66"/>
      <c r="DJ79" s="66"/>
      <c r="DK79" s="66"/>
      <c r="DL79" s="66"/>
      <c r="DM79" s="66"/>
      <c r="DN79" s="66"/>
      <c r="DO79" s="66"/>
      <c r="DP79" s="66"/>
      <c r="DQ79" s="66"/>
      <c r="DR79" s="66"/>
      <c r="DS79" s="66"/>
      <c r="DT79" s="66"/>
      <c r="DU79" s="66">
        <f>SUM(BB79:BE79)</f>
      </c>
      <c r="DV79" s="66">
        <f>SUM(BF79:BI79)</f>
      </c>
      <c r="DW79" s="66">
        <f>SUM(BJ79:BM79)</f>
      </c>
      <c r="DX79" s="66">
        <f>SUM(BN79:BQ79)</f>
      </c>
      <c r="DY79" s="66">
        <f>SUM(BR79:BU79)</f>
      </c>
      <c r="DZ79" s="66">
        <f>BV79+BW79+BX79+BY79</f>
      </c>
      <c r="EA79" s="67">
        <f>SUM(BZ79:CC79)</f>
      </c>
      <c r="EB79" s="67">
        <f>+CD79+CE79+CF79+CG79</f>
      </c>
      <c r="EC79" s="67">
        <f>SUM(CH79:CK79)</f>
      </c>
      <c r="ED79" s="67">
        <f>SUM(CL79:CO79)</f>
      </c>
      <c r="EE79" s="67">
        <f>SUM(CP79:CS79)</f>
      </c>
      <c r="EF79" s="69">
        <f>SUM(CT79:CW79)</f>
      </c>
      <c r="EG79" s="338">
        <f>SUM(CX79:DA79)</f>
      </c>
      <c r="EH79" s="338">
        <f>SUM(DB79:DE79)</f>
      </c>
      <c r="EI79" s="388"/>
    </row>
    <row r="80" spans="1:139" s="49" customFormat="1" ht="11.25" customHeight="1" outlineLevel="1">
      <c r="A80" s="349" t="s">
        <v>196</v>
      </c>
      <c r="BC80" s="49">
        <f t="shared" ref="BC80:DE80" si="161">BC79/BB79-1</f>
      </c>
      <c r="BD80" s="49">
        <f t="shared" si="161"/>
      </c>
      <c r="BE80" s="49">
        <f t="shared" si="161"/>
      </c>
      <c r="BF80" s="49">
        <f t="shared" si="161"/>
      </c>
      <c r="BG80" s="49">
        <f t="shared" si="161"/>
      </c>
      <c r="BH80" s="49">
        <f t="shared" si="161"/>
      </c>
      <c r="BI80" s="49">
        <f t="shared" si="161"/>
      </c>
      <c r="BJ80" s="49">
        <f t="shared" si="161"/>
      </c>
      <c r="BK80" s="49">
        <f t="shared" si="161"/>
      </c>
      <c r="BL80" s="49">
        <f t="shared" si="161"/>
      </c>
      <c r="BM80" s="49">
        <f t="shared" si="161"/>
      </c>
      <c r="BN80" s="49">
        <f t="shared" si="161"/>
      </c>
      <c r="BO80" s="49">
        <f t="shared" si="161"/>
      </c>
      <c r="BP80" s="49">
        <f t="shared" si="161"/>
      </c>
      <c r="BQ80" s="49">
        <f t="shared" si="161"/>
      </c>
      <c r="BR80" s="49">
        <f t="shared" si="161"/>
      </c>
      <c r="BS80" s="49">
        <f t="shared" si="161"/>
      </c>
      <c r="BT80" s="49">
        <f t="shared" si="161"/>
      </c>
      <c r="BU80" s="49">
        <f t="shared" si="161"/>
      </c>
      <c r="BV80" s="49">
        <f t="shared" si="161"/>
      </c>
      <c r="BW80" s="49">
        <f t="shared" si="161"/>
      </c>
      <c r="BX80" s="49">
        <f t="shared" si="161"/>
      </c>
      <c r="BY80" s="49">
        <f t="shared" si="161"/>
      </c>
      <c r="BZ80" s="49">
        <f t="shared" si="161"/>
      </c>
      <c r="CA80" s="49">
        <f t="shared" si="161"/>
      </c>
      <c r="CB80" s="49">
        <f t="shared" si="161"/>
      </c>
      <c r="CC80" s="49">
        <f t="shared" si="161"/>
      </c>
      <c r="CD80" s="49">
        <f t="shared" si="161"/>
      </c>
      <c r="CE80" s="49">
        <f t="shared" si="161"/>
      </c>
      <c r="CF80" s="49">
        <f t="shared" si="161"/>
      </c>
      <c r="CG80" s="49">
        <f t="shared" si="161"/>
      </c>
      <c r="CH80" s="49">
        <f t="shared" si="161"/>
      </c>
      <c r="CI80" s="49">
        <f t="shared" si="161"/>
      </c>
      <c r="CJ80" s="49">
        <f t="shared" si="161"/>
      </c>
      <c r="CK80" s="49">
        <f t="shared" si="161"/>
      </c>
      <c r="CL80" s="49">
        <f t="shared" si="161"/>
      </c>
      <c r="CM80" s="49">
        <f t="shared" si="161"/>
      </c>
      <c r="CN80" s="49">
        <f t="shared" si="161"/>
      </c>
      <c r="CO80" s="49">
        <f t="shared" si="161"/>
      </c>
      <c r="CP80" s="49">
        <f t="shared" si="161"/>
      </c>
      <c r="CQ80" s="49">
        <f t="shared" si="161"/>
      </c>
      <c r="CR80" s="49">
        <f t="shared" si="161"/>
      </c>
      <c r="CS80" s="49">
        <f t="shared" si="161"/>
      </c>
      <c r="CT80" s="49">
        <f t="shared" si="161"/>
      </c>
      <c r="CU80" s="49">
        <f t="shared" si="161"/>
      </c>
      <c r="CV80" s="341">
        <f t="shared" si="161"/>
      </c>
      <c r="CW80" s="341">
        <f t="shared" si="161"/>
      </c>
      <c r="CX80" s="341">
        <f t="shared" si="161"/>
      </c>
      <c r="CY80" s="341">
        <f t="shared" si="161"/>
      </c>
      <c r="CZ80" s="341">
        <f t="shared" si="161"/>
      </c>
      <c r="DA80" s="341">
        <f t="shared" si="161"/>
      </c>
      <c r="DB80" s="341">
        <f t="shared" si="161"/>
      </c>
      <c r="DC80" s="341">
        <f t="shared" si="161"/>
      </c>
      <c r="DD80" s="341">
        <f t="shared" si="161"/>
      </c>
      <c r="DE80" s="341">
        <f t="shared" si="161"/>
      </c>
      <c r="DH80" s="342" t="s">
        <v>197</v>
      </c>
      <c r="DI80" s="342" t="s">
        <v>197</v>
      </c>
      <c r="DJ80" s="342" t="s">
        <v>197</v>
      </c>
      <c r="DK80" s="342" t="s">
        <v>197</v>
      </c>
      <c r="DL80" s="342" t="s">
        <v>197</v>
      </c>
      <c r="DM80" s="342" t="s">
        <v>197</v>
      </c>
      <c r="DN80" s="342" t="s">
        <v>197</v>
      </c>
      <c r="DO80" s="342" t="s">
        <v>197</v>
      </c>
      <c r="DP80" s="342" t="s">
        <v>197</v>
      </c>
      <c r="DQ80" s="342" t="s">
        <v>197</v>
      </c>
      <c r="DR80" s="342" t="s">
        <v>197</v>
      </c>
      <c r="DS80" s="342" t="s">
        <v>197</v>
      </c>
      <c r="DT80" s="342" t="s">
        <v>197</v>
      </c>
      <c r="DU80" s="342" t="s">
        <v>197</v>
      </c>
      <c r="DV80" s="342" t="s">
        <v>197</v>
      </c>
      <c r="DW80" s="342" t="s">
        <v>197</v>
      </c>
      <c r="DX80" s="342" t="s">
        <v>197</v>
      </c>
      <c r="DY80" s="342" t="s">
        <v>197</v>
      </c>
      <c r="DZ80" s="342" t="s">
        <v>197</v>
      </c>
      <c r="EA80" s="342" t="s">
        <v>197</v>
      </c>
      <c r="EB80" s="342" t="s">
        <v>197</v>
      </c>
      <c r="EC80" s="342" t="s">
        <v>197</v>
      </c>
      <c r="ED80" s="342" t="s">
        <v>197</v>
      </c>
      <c r="EE80" s="342" t="s">
        <v>197</v>
      </c>
      <c r="EF80" s="343" t="s">
        <v>197</v>
      </c>
      <c r="EG80" s="343" t="s">
        <v>197</v>
      </c>
      <c r="EH80" s="343" t="s">
        <v>197</v>
      </c>
    </row>
    <row r="81" spans="1:140" s="49" customFormat="1" ht="11.25" customHeight="1" outlineLevel="1">
      <c r="A81" s="349" t="s">
        <v>198</v>
      </c>
      <c r="BF81" s="49">
        <f t="shared" ref="BF81:BX81" si="162">BF79/BB79-1</f>
      </c>
      <c r="BG81" s="49">
        <f t="shared" si="162"/>
      </c>
      <c r="BH81" s="49">
        <f t="shared" si="162"/>
      </c>
      <c r="BI81" s="49">
        <f t="shared" si="162"/>
      </c>
      <c r="BJ81" s="49">
        <f t="shared" si="162"/>
      </c>
      <c r="BK81" s="49">
        <f t="shared" si="162"/>
      </c>
      <c r="BL81" s="49">
        <f t="shared" si="162"/>
      </c>
      <c r="BM81" s="49">
        <f t="shared" si="162"/>
      </c>
      <c r="BN81" s="49">
        <f t="shared" si="162"/>
      </c>
      <c r="BO81" s="49">
        <f t="shared" si="162"/>
      </c>
      <c r="BP81" s="49">
        <f t="shared" si="162"/>
      </c>
      <c r="BQ81" s="49">
        <f t="shared" si="162"/>
      </c>
      <c r="BR81" s="49">
        <f t="shared" si="162"/>
      </c>
      <c r="BS81" s="49">
        <f t="shared" si="162"/>
      </c>
      <c r="BT81" s="49">
        <f t="shared" si="162"/>
      </c>
      <c r="BU81" s="49">
        <f t="shared" si="162"/>
      </c>
      <c r="BV81" s="49">
        <f t="shared" si="162"/>
      </c>
      <c r="BW81" s="49">
        <f t="shared" si="162"/>
      </c>
      <c r="BX81" s="49">
        <f t="shared" si="162"/>
      </c>
      <c r="BY81" s="49">
        <f>BY79/BU79-1</f>
      </c>
      <c r="BZ81" s="49">
        <f t="shared" ref="BZ81:DE81" si="163">BZ79/BV79-1</f>
      </c>
      <c r="CA81" s="49">
        <f t="shared" si="163"/>
      </c>
      <c r="CB81" s="49">
        <f t="shared" si="163"/>
      </c>
      <c r="CC81" s="49">
        <f t="shared" si="163"/>
      </c>
      <c r="CD81" s="49">
        <f t="shared" si="163"/>
      </c>
      <c r="CE81" s="49">
        <f t="shared" si="163"/>
      </c>
      <c r="CF81" s="49">
        <f t="shared" si="163"/>
      </c>
      <c r="CG81" s="49">
        <f t="shared" si="163"/>
      </c>
      <c r="CH81" s="49">
        <f t="shared" si="163"/>
      </c>
      <c r="CI81" s="49">
        <f t="shared" si="163"/>
      </c>
      <c r="CJ81" s="49">
        <f t="shared" si="163"/>
      </c>
      <c r="CK81" s="49">
        <f t="shared" si="163"/>
      </c>
      <c r="CL81" s="49">
        <f t="shared" si="163"/>
      </c>
      <c r="CM81" s="49">
        <f t="shared" si="163"/>
      </c>
      <c r="CN81" s="49">
        <f t="shared" si="163"/>
      </c>
      <c r="CO81" s="49">
        <f t="shared" si="163"/>
      </c>
      <c r="CP81" s="49">
        <f t="shared" si="163"/>
      </c>
      <c r="CQ81" s="49">
        <f t="shared" si="163"/>
      </c>
      <c r="CR81" s="49">
        <f t="shared" si="163"/>
      </c>
      <c r="CS81" s="49">
        <f t="shared" si="163"/>
      </c>
      <c r="CT81" s="49">
        <f t="shared" si="163"/>
      </c>
      <c r="CU81" s="49">
        <f t="shared" si="163"/>
      </c>
      <c r="CV81" s="341">
        <f t="shared" si="163"/>
      </c>
      <c r="CW81" s="341">
        <f t="shared" si="163"/>
      </c>
      <c r="CX81" s="341">
        <f t="shared" si="163"/>
      </c>
      <c r="CY81" s="341">
        <f t="shared" si="163"/>
      </c>
      <c r="CZ81" s="341">
        <f t="shared" si="163"/>
      </c>
      <c r="DA81" s="341">
        <f t="shared" si="163"/>
      </c>
      <c r="DB81" s="341">
        <f t="shared" si="163"/>
      </c>
      <c r="DC81" s="341">
        <f t="shared" si="163"/>
      </c>
      <c r="DD81" s="341">
        <f t="shared" si="163"/>
      </c>
      <c r="DE81" s="341">
        <f t="shared" si="163"/>
      </c>
      <c r="DH81" s="52"/>
      <c r="DI81" s="52"/>
      <c r="DJ81" s="52"/>
      <c r="DK81" s="52"/>
      <c r="DL81" s="52"/>
      <c r="DM81" s="52"/>
      <c r="DN81" s="52"/>
      <c r="DO81" s="52"/>
      <c r="DP81" s="52"/>
      <c r="DQ81" s="52"/>
      <c r="DR81" s="52"/>
      <c r="DS81" s="52"/>
      <c r="DT81" s="52"/>
      <c r="DU81" s="52">
        <f>DU77</f>
      </c>
      <c r="DV81" s="52">
        <f t="shared" ref="DV81:EH81" si="164">DV79/DU79-1</f>
      </c>
      <c r="DW81" s="52">
        <f t="shared" si="164"/>
      </c>
      <c r="DX81" s="52">
        <f t="shared" si="164"/>
      </c>
      <c r="DY81" s="52">
        <f t="shared" si="164"/>
      </c>
      <c r="DZ81" s="52">
        <f>DZ79/DY79-1</f>
      </c>
      <c r="EA81" s="52">
        <f>EA79/DZ79-1</f>
      </c>
      <c r="EB81" s="49">
        <f t="shared" si="164"/>
      </c>
      <c r="EC81" s="49">
        <f t="shared" si="164"/>
      </c>
      <c r="ED81" s="49">
        <f t="shared" si="164"/>
      </c>
      <c r="EE81" s="49">
        <f t="shared" si="164"/>
      </c>
      <c r="EF81" s="345">
        <f t="shared" si="164"/>
      </c>
      <c r="EG81" s="345">
        <f t="shared" si="164"/>
      </c>
      <c r="EH81" s="345">
        <f t="shared" si="164"/>
      </c>
    </row>
    <row r="82" spans="1:140" s="49" customFormat="1" ht="11.25" customHeight="1" outlineLevel="1">
      <c r="A82" s="349" t="s">
        <v>227</v>
      </c>
      <c r="BB82" s="49">
        <f t="shared" ref="BB82:CG82" si="165">BB79/BB$131</f>
      </c>
      <c r="BC82" s="49">
        <f t="shared" si="165"/>
      </c>
      <c r="BD82" s="49">
        <f t="shared" si="165"/>
      </c>
      <c r="BE82" s="49">
        <f t="shared" si="165"/>
      </c>
      <c r="BF82" s="49">
        <f t="shared" si="165"/>
      </c>
      <c r="BG82" s="49">
        <f t="shared" si="165"/>
      </c>
      <c r="BH82" s="49">
        <f t="shared" si="165"/>
      </c>
      <c r="BI82" s="49">
        <f t="shared" si="165"/>
      </c>
      <c r="BJ82" s="49">
        <f t="shared" si="165"/>
      </c>
      <c r="BK82" s="49">
        <f t="shared" si="165"/>
      </c>
      <c r="BL82" s="49">
        <f t="shared" si="165"/>
      </c>
      <c r="BM82" s="49">
        <f t="shared" si="165"/>
      </c>
      <c r="BN82" s="49">
        <f t="shared" si="165"/>
      </c>
      <c r="BO82" s="49">
        <f t="shared" si="165"/>
      </c>
      <c r="BP82" s="49">
        <f t="shared" si="165"/>
      </c>
      <c r="BQ82" s="49">
        <f t="shared" si="165"/>
      </c>
      <c r="BR82" s="49">
        <f t="shared" si="165"/>
      </c>
      <c r="BS82" s="49">
        <f t="shared" si="165"/>
      </c>
      <c r="BT82" s="49">
        <f t="shared" si="165"/>
      </c>
      <c r="BU82" s="49">
        <f t="shared" si="165"/>
      </c>
      <c r="BV82" s="49">
        <f t="shared" si="165"/>
      </c>
      <c r="BW82" s="49">
        <f t="shared" si="165"/>
      </c>
      <c r="BX82" s="49">
        <f t="shared" si="165"/>
      </c>
      <c r="BY82" s="49">
        <f t="shared" si="165"/>
      </c>
      <c r="BZ82" s="49">
        <f t="shared" si="165"/>
      </c>
      <c r="CA82" s="49">
        <f t="shared" si="165"/>
      </c>
      <c r="CB82" s="49">
        <f t="shared" si="165"/>
      </c>
      <c r="CC82" s="49">
        <f t="shared" si="165"/>
      </c>
      <c r="CD82" s="49">
        <f t="shared" si="165"/>
      </c>
      <c r="CE82" s="49">
        <f t="shared" si="165"/>
      </c>
      <c r="CF82" s="49">
        <f t="shared" si="165"/>
      </c>
      <c r="CG82" s="49">
        <f t="shared" si="165"/>
      </c>
      <c r="CH82" s="49">
        <f t="shared" ref="CH82:DE82" si="166">CH79/CH$131</f>
      </c>
      <c r="CI82" s="49">
        <f t="shared" si="166"/>
      </c>
      <c r="CJ82" s="49">
        <f t="shared" si="166"/>
      </c>
      <c r="CK82" s="49">
        <f t="shared" si="166"/>
      </c>
      <c r="CL82" s="49">
        <f t="shared" si="166"/>
      </c>
      <c r="CM82" s="49">
        <f t="shared" si="166"/>
      </c>
      <c r="CN82" s="49">
        <f t="shared" si="166"/>
      </c>
      <c r="CO82" s="49">
        <f t="shared" si="166"/>
      </c>
      <c r="CP82" s="49">
        <f t="shared" si="166"/>
      </c>
      <c r="CQ82" s="49">
        <f t="shared" si="166"/>
      </c>
      <c r="CR82" s="49">
        <f t="shared" si="166"/>
      </c>
      <c r="CS82" s="49">
        <f t="shared" si="166"/>
      </c>
      <c r="CT82" s="49">
        <f t="shared" si="166"/>
      </c>
      <c r="CU82" s="49">
        <f t="shared" si="166"/>
      </c>
      <c r="CV82" s="341">
        <f t="shared" si="166"/>
      </c>
      <c r="CW82" s="341">
        <f t="shared" si="166"/>
      </c>
      <c r="CX82" s="341">
        <f t="shared" si="166"/>
      </c>
      <c r="CY82" s="341">
        <f t="shared" si="166"/>
      </c>
      <c r="CZ82" s="341">
        <f t="shared" si="166"/>
      </c>
      <c r="DA82" s="341">
        <f t="shared" si="166"/>
      </c>
      <c r="DB82" s="341">
        <f t="shared" si="166"/>
      </c>
      <c r="DC82" s="341">
        <f t="shared" si="166"/>
      </c>
      <c r="DD82" s="341">
        <f t="shared" si="166"/>
      </c>
      <c r="DE82" s="341">
        <f t="shared" si="166"/>
      </c>
      <c r="DU82" s="49">
        <f t="shared" ref="DU82:EH82" si="167">DU79/DU$131</f>
      </c>
      <c r="DV82" s="49">
        <f t="shared" si="167"/>
      </c>
      <c r="DW82" s="49">
        <f t="shared" si="167"/>
      </c>
      <c r="DX82" s="49">
        <f t="shared" si="167"/>
      </c>
      <c r="DY82" s="49">
        <f t="shared" si="167"/>
      </c>
      <c r="DZ82" s="49">
        <f t="shared" si="167"/>
      </c>
      <c r="EA82" s="49">
        <f t="shared" si="167"/>
      </c>
      <c r="EB82" s="49">
        <f t="shared" si="167"/>
      </c>
      <c r="EC82" s="49">
        <f t="shared" si="167"/>
      </c>
      <c r="ED82" s="49">
        <f t="shared" si="167"/>
      </c>
      <c r="EE82" s="49">
        <f t="shared" si="167"/>
      </c>
      <c r="EF82" s="341">
        <f t="shared" si="167"/>
      </c>
      <c r="EG82" s="341">
        <f t="shared" si="167"/>
      </c>
      <c r="EH82" s="341">
        <f t="shared" si="167"/>
      </c>
    </row>
    <row r="83" spans="1:140" s="47" customFormat="1" ht="11.25" customHeight="1" outlineLevel="1">
      <c r="A83" s="348" t="s">
        <v>229</v>
      </c>
      <c r="BB83" s="35"/>
      <c r="BC83" s="35"/>
      <c r="BD83" s="35"/>
      <c r="BE83" s="35"/>
      <c r="BF83" s="35"/>
      <c r="BG83" s="35"/>
      <c r="BH83" s="35"/>
      <c r="BI83" s="35"/>
      <c r="BJ83" s="35"/>
      <c r="BK83" s="35">
        <f>Gaming!AI96</f>
      </c>
      <c r="BL83" s="35">
        <f>Gaming!AJ96</f>
      </c>
      <c r="BM83" s="35">
        <f>Gaming!AK96</f>
      </c>
      <c r="BN83" s="35">
        <f>Gaming!AL96</f>
      </c>
      <c r="BO83" s="35">
        <f>Gaming!AM96</f>
      </c>
      <c r="BP83" s="35">
        <f>Gaming!AN96</f>
      </c>
      <c r="BQ83" s="35">
        <f>Gaming!AO96</f>
      </c>
      <c r="BR83" s="35">
        <f>Gaming!AP96</f>
      </c>
      <c r="BS83" s="35">
        <f>Gaming!AQ96</f>
      </c>
      <c r="BT83" s="35">
        <f>Gaming!AR96</f>
      </c>
      <c r="BU83" s="35">
        <f>Gaming!AS96</f>
      </c>
      <c r="BV83" s="35">
        <f>Gaming!AT96</f>
      </c>
      <c r="BW83" s="35">
        <f>Gaming!AU96</f>
      </c>
      <c r="BX83" s="35">
        <f>Gaming!AV96</f>
      </c>
      <c r="BY83" s="35">
        <f>Gaming!AW96</f>
      </c>
      <c r="BZ83" s="35">
        <f>Gaming!AX96</f>
      </c>
      <c r="CA83" s="35">
        <f>Gaming!AY96</f>
      </c>
      <c r="CB83" s="35">
        <f>Gaming!AZ96</f>
      </c>
      <c r="CC83" s="35">
        <f>Gaming!BA96</f>
      </c>
      <c r="CD83" s="35">
        <f>Gaming!BB96</f>
      </c>
      <c r="CE83" s="35">
        <f>Gaming!BC96</f>
      </c>
      <c r="CF83" s="35">
        <f>Gaming!BD96</f>
      </c>
      <c r="CG83" s="35">
        <f>Gaming!BE96</f>
      </c>
      <c r="CH83" s="35">
        <f>Gaming!BF96</f>
      </c>
      <c r="CI83" s="35">
        <f>Gaming!BG96</f>
      </c>
      <c r="CJ83" s="35">
        <f>Gaming!BH96</f>
      </c>
      <c r="CK83" s="35">
        <f>Gaming!BI96</f>
      </c>
      <c r="CL83" s="35">
        <f>Gaming!BJ96</f>
      </c>
      <c r="CM83" s="35">
        <f>Gaming!BK96</f>
      </c>
      <c r="CN83" s="35">
        <f>Gaming!BL96</f>
      </c>
      <c r="CO83" s="35">
        <f>Gaming!BM96</f>
      </c>
      <c r="CP83" s="35">
        <f>Gaming!BN96</f>
      </c>
      <c r="CQ83" s="35">
        <f>Gaming!BO96</f>
      </c>
      <c r="CR83" s="35">
        <f>Gaming!BP96</f>
      </c>
      <c r="CS83" s="35">
        <f>Gaming!BQ96</f>
      </c>
      <c r="CT83" s="35">
        <f>Gaming!BR96</f>
      </c>
      <c r="CU83" s="35">
        <f>Gaming!BS96</f>
      </c>
      <c r="CV83" s="338">
        <f>Gaming!BT96</f>
      </c>
      <c r="CW83" s="338">
        <f>Gaming!BU96</f>
      </c>
      <c r="CX83" s="338">
        <f>Gaming!BV96</f>
      </c>
      <c r="CY83" s="338">
        <f>Gaming!BW96</f>
      </c>
      <c r="CZ83" s="338">
        <f>Gaming!BX96</f>
      </c>
      <c r="DA83" s="338">
        <f>Gaming!BY96</f>
      </c>
      <c r="DB83" s="338">
        <f>Gaming!BZ96</f>
      </c>
      <c r="DC83" s="338">
        <f>Gaming!CA96</f>
      </c>
      <c r="DD83" s="338">
        <f>Gaming!CB96</f>
      </c>
      <c r="DE83" s="338">
        <f>Gaming!CC96</f>
      </c>
      <c r="DH83" s="66"/>
      <c r="DI83" s="66"/>
      <c r="DJ83" s="66"/>
      <c r="DK83" s="66"/>
      <c r="DL83" s="66"/>
      <c r="DM83" s="66"/>
      <c r="DN83" s="66"/>
      <c r="DO83" s="66"/>
      <c r="DP83" s="66"/>
      <c r="DQ83" s="66"/>
      <c r="DR83" s="66"/>
      <c r="DS83" s="66"/>
      <c r="DT83" s="66"/>
      <c r="DU83" s="66"/>
      <c r="DV83" s="66"/>
      <c r="DW83" s="66">
        <f>SUM(BJ83:BM83)</f>
      </c>
      <c r="DX83" s="66">
        <f>SUM(BN83:BQ83)</f>
      </c>
      <c r="DY83" s="66">
        <f>SUM(BR83:BU83)</f>
      </c>
      <c r="DZ83" s="66">
        <f>BV83+BW83+BX83+BY83</f>
      </c>
      <c r="EA83" s="67">
        <f>SUM(BZ83:CC83)</f>
      </c>
      <c r="EB83" s="67">
        <f>+CD83+CE83+CF83+CG83</f>
      </c>
      <c r="EC83" s="67">
        <f>SUM(CH83:CK83)</f>
      </c>
      <c r="ED83" s="67">
        <f>SUM(CL83:CO83)</f>
      </c>
      <c r="EE83" s="67">
        <f>SUM(CP83:CS83)</f>
      </c>
      <c r="EF83" s="69">
        <f>SUM(CT83:CW83)</f>
      </c>
      <c r="EG83" s="338">
        <f>SUM(CX83:DA83)</f>
      </c>
      <c r="EH83" s="338">
        <f>SUM(DB83:DE83)</f>
      </c>
    </row>
    <row r="84" spans="1:140" s="49" customFormat="1" ht="11.25" customHeight="1" outlineLevel="1">
      <c r="A84" s="349" t="s">
        <v>196</v>
      </c>
      <c r="BL84" s="49">
        <f t="shared" ref="BL84:DE84" si="168">BL83/BK83-1</f>
      </c>
      <c r="BM84" s="49">
        <f t="shared" si="168"/>
      </c>
      <c r="BN84" s="49">
        <f t="shared" si="168"/>
      </c>
      <c r="BO84" s="49">
        <f t="shared" si="168"/>
      </c>
      <c r="BP84" s="49">
        <f t="shared" si="168"/>
      </c>
      <c r="BQ84" s="49">
        <f t="shared" si="168"/>
      </c>
      <c r="BR84" s="49">
        <f t="shared" si="168"/>
      </c>
      <c r="BS84" s="49">
        <f t="shared" si="168"/>
      </c>
      <c r="BT84" s="49">
        <f t="shared" si="168"/>
      </c>
      <c r="BU84" s="49">
        <f t="shared" si="168"/>
      </c>
      <c r="BV84" s="49">
        <f t="shared" si="168"/>
      </c>
      <c r="BW84" s="49">
        <f t="shared" si="168"/>
      </c>
      <c r="BX84" s="49">
        <f t="shared" si="168"/>
      </c>
      <c r="BY84" s="49">
        <f t="shared" si="168"/>
      </c>
      <c r="BZ84" s="49">
        <f t="shared" si="168"/>
      </c>
      <c r="CA84" s="49">
        <f t="shared" si="168"/>
      </c>
      <c r="CB84" s="49">
        <f t="shared" si="168"/>
      </c>
      <c r="CC84" s="49">
        <f t="shared" si="168"/>
      </c>
      <c r="CD84" s="49">
        <f t="shared" si="168"/>
      </c>
      <c r="CE84" s="49">
        <f t="shared" si="168"/>
      </c>
      <c r="CF84" s="49">
        <f t="shared" si="168"/>
      </c>
      <c r="CG84" s="49">
        <f t="shared" si="168"/>
      </c>
      <c r="CH84" s="49">
        <f t="shared" si="168"/>
      </c>
      <c r="CI84" s="49">
        <f t="shared" si="168"/>
      </c>
      <c r="CJ84" s="49">
        <f t="shared" si="168"/>
      </c>
      <c r="CK84" s="49">
        <f t="shared" si="168"/>
      </c>
      <c r="CL84" s="49">
        <f t="shared" si="168"/>
      </c>
      <c r="CM84" s="49">
        <f t="shared" si="168"/>
      </c>
      <c r="CN84" s="49">
        <f t="shared" si="168"/>
      </c>
      <c r="CO84" s="49">
        <f t="shared" si="168"/>
      </c>
      <c r="CP84" s="49">
        <f t="shared" si="168"/>
      </c>
      <c r="CQ84" s="49">
        <f t="shared" si="168"/>
      </c>
      <c r="CR84" s="49">
        <f t="shared" si="168"/>
      </c>
      <c r="CS84" s="49">
        <f t="shared" si="168"/>
      </c>
      <c r="CT84" s="49">
        <f t="shared" si="168"/>
      </c>
      <c r="CU84" s="49">
        <f t="shared" si="168"/>
      </c>
      <c r="CV84" s="341">
        <f t="shared" si="168"/>
      </c>
      <c r="CW84" s="341">
        <f t="shared" si="168"/>
      </c>
      <c r="CX84" s="341">
        <f t="shared" si="168"/>
      </c>
      <c r="CY84" s="341">
        <f t="shared" si="168"/>
      </c>
      <c r="CZ84" s="341">
        <f t="shared" si="168"/>
      </c>
      <c r="DA84" s="341">
        <f t="shared" si="168"/>
      </c>
      <c r="DB84" s="341">
        <f t="shared" si="168"/>
      </c>
      <c r="DC84" s="341">
        <f t="shared" si="168"/>
      </c>
      <c r="DD84" s="341">
        <f t="shared" si="168"/>
      </c>
      <c r="DE84" s="341">
        <f t="shared" si="168"/>
      </c>
      <c r="DH84" s="342" t="s">
        <v>197</v>
      </c>
      <c r="DI84" s="342" t="s">
        <v>197</v>
      </c>
      <c r="DJ84" s="342" t="s">
        <v>197</v>
      </c>
      <c r="DK84" s="342" t="s">
        <v>197</v>
      </c>
      <c r="DL84" s="342" t="s">
        <v>197</v>
      </c>
      <c r="DM84" s="342" t="s">
        <v>197</v>
      </c>
      <c r="DN84" s="342" t="s">
        <v>197</v>
      </c>
      <c r="DO84" s="342" t="s">
        <v>197</v>
      </c>
      <c r="DP84" s="342" t="s">
        <v>197</v>
      </c>
      <c r="DQ84" s="342" t="s">
        <v>197</v>
      </c>
      <c r="DR84" s="342" t="s">
        <v>197</v>
      </c>
      <c r="DS84" s="342" t="s">
        <v>197</v>
      </c>
      <c r="DT84" s="342" t="s">
        <v>197</v>
      </c>
      <c r="DU84" s="342" t="s">
        <v>197</v>
      </c>
      <c r="DV84" s="342" t="s">
        <v>197</v>
      </c>
      <c r="DW84" s="342" t="s">
        <v>197</v>
      </c>
      <c r="DX84" s="342" t="s">
        <v>197</v>
      </c>
      <c r="DY84" s="342" t="s">
        <v>197</v>
      </c>
      <c r="DZ84" s="342" t="s">
        <v>197</v>
      </c>
      <c r="EA84" s="342" t="s">
        <v>197</v>
      </c>
      <c r="EB84" s="342" t="s">
        <v>197</v>
      </c>
      <c r="EC84" s="342" t="s">
        <v>197</v>
      </c>
      <c r="ED84" s="342" t="s">
        <v>197</v>
      </c>
      <c r="EE84" s="342" t="s">
        <v>197</v>
      </c>
      <c r="EF84" s="343" t="s">
        <v>197</v>
      </c>
      <c r="EG84" s="343" t="s">
        <v>197</v>
      </c>
      <c r="EH84" s="343" t="s">
        <v>197</v>
      </c>
    </row>
    <row r="85" spans="1:140" s="49" customFormat="1" outlineLevel="1">
      <c r="A85" s="349" t="s">
        <v>198</v>
      </c>
      <c r="BN85" s="341"/>
      <c r="BO85" s="49">
        <f t="shared" ref="BO85:DE85" si="169">BO83/BK83-1</f>
      </c>
      <c r="BP85" s="49">
        <f t="shared" si="169"/>
      </c>
      <c r="BQ85" s="49">
        <f t="shared" si="169"/>
      </c>
      <c r="BR85" s="49">
        <f t="shared" si="169"/>
      </c>
      <c r="BS85" s="49">
        <f t="shared" si="169"/>
      </c>
      <c r="BT85" s="49">
        <f t="shared" si="169"/>
      </c>
      <c r="BU85" s="49">
        <f t="shared" si="169"/>
      </c>
      <c r="BV85" s="49">
        <f t="shared" si="169"/>
      </c>
      <c r="BW85" s="49">
        <f t="shared" si="169"/>
      </c>
      <c r="BX85" s="49">
        <f t="shared" si="169"/>
      </c>
      <c r="BY85" s="49">
        <f t="shared" si="169"/>
      </c>
      <c r="BZ85" s="49">
        <f t="shared" si="169"/>
      </c>
      <c r="CA85" s="49">
        <f t="shared" si="169"/>
      </c>
      <c r="CB85" s="49">
        <f t="shared" si="169"/>
      </c>
      <c r="CC85" s="49">
        <f t="shared" si="169"/>
      </c>
      <c r="CD85" s="49">
        <f t="shared" si="169"/>
      </c>
      <c r="CE85" s="49">
        <f t="shared" si="169"/>
      </c>
      <c r="CF85" s="49">
        <f t="shared" si="169"/>
      </c>
      <c r="CG85" s="49">
        <f t="shared" si="169"/>
      </c>
      <c r="CH85" s="49">
        <f t="shared" si="169"/>
      </c>
      <c r="CI85" s="49">
        <f t="shared" si="169"/>
      </c>
      <c r="CJ85" s="49">
        <f t="shared" si="169"/>
      </c>
      <c r="CK85" s="49">
        <f t="shared" si="169"/>
      </c>
      <c r="CL85" s="49">
        <f t="shared" si="169"/>
      </c>
      <c r="CM85" s="49">
        <f t="shared" si="169"/>
      </c>
      <c r="CN85" s="49">
        <f t="shared" si="169"/>
      </c>
      <c r="CO85" s="49">
        <f t="shared" si="169"/>
      </c>
      <c r="CP85" s="49">
        <f t="shared" si="169"/>
      </c>
      <c r="CQ85" s="49">
        <f t="shared" si="169"/>
      </c>
      <c r="CR85" s="49">
        <f t="shared" si="169"/>
      </c>
      <c r="CS85" s="49">
        <f t="shared" si="169"/>
      </c>
      <c r="CT85" s="49">
        <f t="shared" si="169"/>
      </c>
      <c r="CU85" s="49">
        <f t="shared" si="169"/>
      </c>
      <c r="CV85" s="341">
        <f t="shared" si="169"/>
      </c>
      <c r="CW85" s="341">
        <f t="shared" si="169"/>
      </c>
      <c r="CX85" s="341">
        <f t="shared" si="169"/>
      </c>
      <c r="CY85" s="341">
        <f t="shared" si="169"/>
      </c>
      <c r="CZ85" s="341">
        <f t="shared" si="169"/>
      </c>
      <c r="DA85" s="341">
        <f t="shared" si="169"/>
      </c>
      <c r="DB85" s="341">
        <f t="shared" si="169"/>
      </c>
      <c r="DC85" s="341">
        <f t="shared" si="169"/>
      </c>
      <c r="DD85" s="341">
        <f t="shared" si="169"/>
      </c>
      <c r="DE85" s="341">
        <f t="shared" si="169"/>
      </c>
      <c r="DH85" s="389"/>
      <c r="DQ85" s="62"/>
      <c r="DR85" s="62"/>
      <c r="DS85" s="387"/>
      <c r="DT85" s="387"/>
      <c r="DU85" s="52"/>
      <c r="DV85" s="52"/>
      <c r="DW85" s="52"/>
      <c r="DX85" s="52">
        <f t="shared" ref="DX85:EH85" si="170">DX83/DW83-1</f>
      </c>
      <c r="DY85" s="52">
        <f t="shared" si="170"/>
      </c>
      <c r="DZ85" s="52">
        <f t="shared" si="170"/>
      </c>
      <c r="EA85" s="52">
        <f t="shared" si="170"/>
      </c>
      <c r="EB85" s="49">
        <f t="shared" si="170"/>
      </c>
      <c r="EC85" s="49">
        <f t="shared" si="170"/>
      </c>
      <c r="ED85" s="49">
        <f t="shared" si="170"/>
      </c>
      <c r="EE85" s="49">
        <f t="shared" si="170"/>
      </c>
      <c r="EF85" s="345">
        <f t="shared" si="170"/>
      </c>
      <c r="EG85" s="345">
        <f t="shared" si="170"/>
      </c>
      <c r="EH85" s="345">
        <f t="shared" si="170"/>
      </c>
    </row>
    <row r="86" spans="1:140" s="49" customFormat="1" outlineLevel="1">
      <c r="A86" s="349" t="s">
        <v>227</v>
      </c>
      <c r="BK86" s="49">
        <f t="shared" ref="BK86:DE86" si="171">BK83/BK$131</f>
      </c>
      <c r="BL86" s="49">
        <f t="shared" si="171"/>
      </c>
      <c r="BM86" s="49">
        <f t="shared" si="171"/>
      </c>
      <c r="BN86" s="49">
        <f t="shared" si="171"/>
      </c>
      <c r="BO86" s="49">
        <f t="shared" si="171"/>
      </c>
      <c r="BP86" s="49">
        <f t="shared" si="171"/>
      </c>
      <c r="BQ86" s="49">
        <f t="shared" si="171"/>
      </c>
      <c r="BR86" s="49">
        <f t="shared" si="171"/>
      </c>
      <c r="BS86" s="49">
        <f t="shared" si="171"/>
      </c>
      <c r="BT86" s="49">
        <f t="shared" si="171"/>
      </c>
      <c r="BU86" s="49">
        <f t="shared" si="171"/>
      </c>
      <c r="BV86" s="49">
        <f t="shared" si="171"/>
      </c>
      <c r="BW86" s="49">
        <f t="shared" si="171"/>
      </c>
      <c r="BX86" s="49">
        <f t="shared" si="171"/>
      </c>
      <c r="BY86" s="49">
        <f t="shared" si="171"/>
      </c>
      <c r="BZ86" s="49">
        <f t="shared" si="171"/>
      </c>
      <c r="CA86" s="49">
        <f t="shared" si="171"/>
      </c>
      <c r="CB86" s="49">
        <f t="shared" si="171"/>
      </c>
      <c r="CC86" s="49">
        <f t="shared" si="171"/>
      </c>
      <c r="CD86" s="49">
        <f t="shared" si="171"/>
      </c>
      <c r="CE86" s="49">
        <f t="shared" si="171"/>
      </c>
      <c r="CF86" s="49">
        <f t="shared" si="171"/>
      </c>
      <c r="CG86" s="49">
        <f t="shared" si="171"/>
      </c>
      <c r="CH86" s="49">
        <f t="shared" si="171"/>
      </c>
      <c r="CI86" s="49">
        <f t="shared" si="171"/>
      </c>
      <c r="CJ86" s="49">
        <f t="shared" si="171"/>
      </c>
      <c r="CK86" s="49">
        <f t="shared" si="171"/>
      </c>
      <c r="CL86" s="49">
        <f t="shared" si="171"/>
      </c>
      <c r="CM86" s="49">
        <f t="shared" si="171"/>
      </c>
      <c r="CN86" s="49">
        <f t="shared" si="171"/>
      </c>
      <c r="CO86" s="49">
        <f t="shared" si="171"/>
      </c>
      <c r="CP86" s="49">
        <f t="shared" si="171"/>
      </c>
      <c r="CQ86" s="49">
        <f t="shared" si="171"/>
      </c>
      <c r="CR86" s="49">
        <f t="shared" si="171"/>
      </c>
      <c r="CS86" s="49">
        <f t="shared" si="171"/>
      </c>
      <c r="CT86" s="49">
        <f t="shared" si="171"/>
      </c>
      <c r="CU86" s="49">
        <f t="shared" si="171"/>
      </c>
      <c r="CV86" s="341">
        <f t="shared" si="171"/>
      </c>
      <c r="CW86" s="341">
        <f t="shared" si="171"/>
      </c>
      <c r="CX86" s="341">
        <f t="shared" si="171"/>
      </c>
      <c r="CY86" s="341">
        <f t="shared" si="171"/>
      </c>
      <c r="CZ86" s="341">
        <f t="shared" si="171"/>
      </c>
      <c r="DA86" s="341">
        <f t="shared" si="171"/>
      </c>
      <c r="DB86" s="341">
        <f t="shared" si="171"/>
      </c>
      <c r="DC86" s="341">
        <f t="shared" si="171"/>
      </c>
      <c r="DD86" s="341">
        <f t="shared" si="171"/>
      </c>
      <c r="DE86" s="341">
        <f t="shared" si="171"/>
      </c>
      <c r="DH86" s="389"/>
      <c r="DQ86" s="62"/>
      <c r="DR86" s="62"/>
      <c r="DS86" s="387"/>
      <c r="DT86" s="387"/>
      <c r="DU86" s="52"/>
      <c r="DV86" s="52"/>
      <c r="DW86" s="49">
        <f t="shared" ref="DW86:EH86" si="172">DW83/DW$131</f>
      </c>
      <c r="DX86" s="49">
        <f t="shared" si="172"/>
      </c>
      <c r="DY86" s="49">
        <f t="shared" si="172"/>
      </c>
      <c r="DZ86" s="49">
        <f t="shared" si="172"/>
      </c>
      <c r="EA86" s="49">
        <f t="shared" si="172"/>
      </c>
      <c r="EB86" s="49">
        <f t="shared" si="172"/>
      </c>
      <c r="EC86" s="49">
        <f t="shared" si="172"/>
      </c>
      <c r="ED86" s="49">
        <f t="shared" si="172"/>
      </c>
      <c r="EE86" s="49">
        <f t="shared" si="172"/>
      </c>
      <c r="EF86" s="341">
        <f t="shared" si="172"/>
      </c>
      <c r="EG86" s="341">
        <f t="shared" si="172"/>
      </c>
      <c r="EH86" s="341">
        <f t="shared" si="172"/>
      </c>
    </row>
    <row r="87" spans="1:140" s="47" customFormat="1" outlineLevel="2">
      <c r="A87" s="348" t="s">
        <v>230</v>
      </c>
      <c r="BB87" s="35"/>
      <c r="BC87" s="35"/>
      <c r="BD87" s="35"/>
      <c r="BE87" s="35"/>
      <c r="BF87" s="35"/>
      <c r="BG87" s="35"/>
      <c r="BH87" s="35"/>
      <c r="BI87" s="35"/>
      <c r="BJ87" s="35"/>
      <c r="BK87" s="35"/>
      <c r="BL87" s="35"/>
      <c r="BM87" s="35"/>
      <c r="BN87" s="35">
        <f>Gaming!AL85</f>
      </c>
      <c r="BO87" s="35">
        <f>Gaming!AM85</f>
      </c>
      <c r="BP87" s="35">
        <f>Gaming!AN85</f>
      </c>
      <c r="BQ87" s="35">
        <f>Gaming!AO85</f>
      </c>
      <c r="BR87" s="35">
        <f>Gaming!AP85</f>
      </c>
      <c r="BS87" s="35">
        <f>Gaming!AQ85</f>
      </c>
      <c r="BT87" s="35">
        <f>Gaming!AR85</f>
      </c>
      <c r="BU87" s="35">
        <f>Gaming!AS85</f>
      </c>
      <c r="BV87" s="35">
        <f>Gaming!AT85</f>
      </c>
      <c r="BW87" s="35">
        <f>Gaming!AU85</f>
      </c>
      <c r="BX87" s="35">
        <f>Gaming!AV85</f>
      </c>
      <c r="BY87" s="35">
        <f>Gaming!AW85</f>
      </c>
      <c r="BZ87" s="35">
        <f>Gaming!AX85</f>
      </c>
      <c r="CA87" s="35">
        <f>Gaming!AY85</f>
      </c>
      <c r="CB87" s="35">
        <f>Gaming!AZ85</f>
      </c>
      <c r="CC87" s="35">
        <f>Gaming!BA85</f>
      </c>
      <c r="CD87" s="35">
        <f>Gaming!BB85</f>
      </c>
      <c r="CE87" s="35">
        <f>Gaming!BC85</f>
      </c>
      <c r="CF87" s="35">
        <f>Gaming!BD85</f>
      </c>
      <c r="CG87" s="35">
        <f>Gaming!BE85</f>
      </c>
      <c r="CH87" s="35">
        <f>Gaming!BF85</f>
      </c>
      <c r="CI87" s="35">
        <f>Gaming!BG85</f>
      </c>
      <c r="CJ87" s="35">
        <f>Gaming!BH85</f>
      </c>
      <c r="CK87" s="35">
        <f>Gaming!BI85</f>
      </c>
      <c r="CL87" s="35">
        <f>Gaming!BJ85</f>
      </c>
      <c r="CM87" s="35">
        <f>Gaming!BK85</f>
      </c>
      <c r="CN87" s="35">
        <f>Gaming!BL85</f>
      </c>
      <c r="CO87" s="35">
        <f>Gaming!BM85</f>
      </c>
      <c r="CP87" s="35">
        <f>Gaming!BN85</f>
      </c>
      <c r="CQ87" s="35">
        <f>Gaming!BO85</f>
      </c>
      <c r="CR87" s="35">
        <f>Gaming!BP85</f>
      </c>
      <c r="CS87" s="35">
        <f>Gaming!BQ85</f>
      </c>
      <c r="CT87" s="35">
        <f>Gaming!BR85</f>
      </c>
      <c r="CU87" s="35">
        <f>Gaming!BS85</f>
      </c>
      <c r="CV87" s="338">
        <f>Gaming!BT85</f>
      </c>
      <c r="CW87" s="338">
        <f>Gaming!BU85</f>
      </c>
      <c r="CX87" s="338">
        <f>Gaming!BV85</f>
      </c>
      <c r="CY87" s="338">
        <f>Gaming!BW85</f>
      </c>
      <c r="CZ87" s="338">
        <f>Gaming!BX85</f>
      </c>
      <c r="DA87" s="338">
        <f>Gaming!BY85</f>
      </c>
      <c r="DB87" s="338">
        <f>Gaming!BZ85</f>
      </c>
      <c r="DC87" s="338">
        <f>Gaming!CA85</f>
      </c>
      <c r="DD87" s="338">
        <f>Gaming!CB85</f>
      </c>
      <c r="DE87" s="338">
        <f>Gaming!CC85</f>
      </c>
      <c r="DH87" s="66"/>
      <c r="DI87" s="66"/>
      <c r="DJ87" s="66"/>
      <c r="DK87" s="66"/>
      <c r="DL87" s="66"/>
      <c r="DM87" s="66"/>
      <c r="DN87" s="66"/>
      <c r="DO87" s="66"/>
      <c r="DP87" s="66"/>
      <c r="DQ87" s="66"/>
      <c r="DR87" s="66"/>
      <c r="DS87" s="66"/>
      <c r="DT87" s="66"/>
      <c r="DU87" s="66"/>
      <c r="DV87" s="66"/>
      <c r="DW87" s="66"/>
      <c r="DX87" s="66">
        <f>SUM(BN87:BQ87)</f>
      </c>
      <c r="DY87" s="66">
        <f>SUM(BR87:BU87)</f>
      </c>
      <c r="DZ87" s="66">
        <f>BV87+BW87+BX87+BY87</f>
      </c>
      <c r="EA87" s="67">
        <f>BZ87+CA87+CB87+CC87</f>
      </c>
      <c r="EB87" s="67">
        <f>+CD87+CE87+CF87+CG87</f>
      </c>
      <c r="EC87" s="67">
        <f>SUM(CH87:CK87)</f>
      </c>
      <c r="ED87" s="67">
        <f>SUM(CL87:CO87)</f>
      </c>
      <c r="EE87" s="67">
        <f>SUM(CP87:CS87)</f>
      </c>
      <c r="EF87" s="69">
        <f>SUM(CT87:CW87)</f>
      </c>
      <c r="EG87" s="338">
        <f>SUM(CX87:DA87)</f>
      </c>
      <c r="EH87" s="338">
        <f>SUM(CY87:DB87)</f>
      </c>
    </row>
    <row r="88" spans="1:140" s="49" customFormat="1" outlineLevel="2">
      <c r="A88" s="349" t="s">
        <v>196</v>
      </c>
      <c r="BQ88" s="49">
        <f>BQ87/BP87-1</f>
      </c>
      <c r="BR88" s="49">
        <f>BR87/BQ87-1</f>
      </c>
      <c r="BS88" s="49">
        <f>BS87/BR87-1</f>
      </c>
      <c r="BT88" s="342" t="s">
        <v>197</v>
      </c>
      <c r="BU88" s="342" t="s">
        <v>197</v>
      </c>
      <c r="BV88" s="342" t="s">
        <v>197</v>
      </c>
      <c r="BW88" s="342" t="s">
        <v>197</v>
      </c>
      <c r="BX88" s="342" t="s">
        <v>197</v>
      </c>
      <c r="BY88" s="342" t="s">
        <v>197</v>
      </c>
      <c r="BZ88" s="342" t="s">
        <v>197</v>
      </c>
      <c r="CA88" s="342" t="s">
        <v>197</v>
      </c>
      <c r="CB88" s="342" t="s">
        <v>197</v>
      </c>
      <c r="CC88" s="342" t="s">
        <v>197</v>
      </c>
      <c r="CD88" s="49">
        <f t="shared" ref="CD88:CK88" si="173">CD87/CC87-1</f>
      </c>
      <c r="CE88" s="49">
        <f t="shared" si="173"/>
      </c>
      <c r="CF88" s="49">
        <f t="shared" si="173"/>
      </c>
      <c r="CG88" s="49">
        <f t="shared" si="173"/>
      </c>
      <c r="CH88" s="49">
        <f t="shared" si="173"/>
      </c>
      <c r="CI88" s="49" t="e">
        <f t="shared" si="173"/>
      </c>
      <c r="CJ88" s="49" t="e">
        <f t="shared" si="173"/>
      </c>
      <c r="CK88" s="49" t="e">
        <f t="shared" si="173"/>
      </c>
      <c r="CL88" s="49" t="s">
        <v>197</v>
      </c>
      <c r="CM88" s="49" t="s">
        <v>197</v>
      </c>
      <c r="CN88" s="343" t="s">
        <v>197</v>
      </c>
      <c r="CO88" s="343" t="s">
        <v>197</v>
      </c>
      <c r="CP88" s="343" t="s">
        <v>197</v>
      </c>
      <c r="CQ88" s="343" t="s">
        <v>197</v>
      </c>
      <c r="CR88" s="343" t="s">
        <v>197</v>
      </c>
      <c r="CS88" s="343" t="s">
        <v>197</v>
      </c>
      <c r="CT88" s="343" t="s">
        <v>197</v>
      </c>
      <c r="CU88" s="343" t="s">
        <v>197</v>
      </c>
      <c r="CV88" s="343" t="s">
        <v>197</v>
      </c>
      <c r="CW88" s="343" t="s">
        <v>197</v>
      </c>
      <c r="CX88" s="343" t="s">
        <v>197</v>
      </c>
      <c r="CY88" s="343" t="s">
        <v>197</v>
      </c>
      <c r="CZ88" s="343" t="s">
        <v>197</v>
      </c>
      <c r="DA88" s="343" t="s">
        <v>197</v>
      </c>
      <c r="DB88" s="343" t="s">
        <v>197</v>
      </c>
      <c r="DC88" s="343" t="s">
        <v>197</v>
      </c>
      <c r="DD88" s="343" t="s">
        <v>197</v>
      </c>
      <c r="DE88" s="343" t="s">
        <v>197</v>
      </c>
      <c r="DH88" s="342" t="s">
        <v>197</v>
      </c>
      <c r="DI88" s="342" t="s">
        <v>197</v>
      </c>
      <c r="DJ88" s="342" t="s">
        <v>197</v>
      </c>
      <c r="DK88" s="342" t="s">
        <v>197</v>
      </c>
      <c r="DL88" s="342" t="s">
        <v>197</v>
      </c>
      <c r="DM88" s="342" t="s">
        <v>197</v>
      </c>
      <c r="DN88" s="342" t="s">
        <v>197</v>
      </c>
      <c r="DO88" s="342" t="s">
        <v>197</v>
      </c>
      <c r="DP88" s="342" t="s">
        <v>197</v>
      </c>
      <c r="DQ88" s="342" t="s">
        <v>197</v>
      </c>
      <c r="DR88" s="342" t="s">
        <v>197</v>
      </c>
      <c r="DS88" s="342" t="s">
        <v>197</v>
      </c>
      <c r="DT88" s="342" t="s">
        <v>197</v>
      </c>
      <c r="DU88" s="342" t="s">
        <v>197</v>
      </c>
      <c r="DV88" s="342" t="s">
        <v>197</v>
      </c>
      <c r="DW88" s="342" t="s">
        <v>197</v>
      </c>
      <c r="DX88" s="342" t="s">
        <v>197</v>
      </c>
      <c r="DY88" s="342" t="s">
        <v>197</v>
      </c>
      <c r="DZ88" s="342" t="s">
        <v>197</v>
      </c>
      <c r="EA88" s="342" t="s">
        <v>197</v>
      </c>
      <c r="EB88" s="342" t="s">
        <v>197</v>
      </c>
      <c r="EC88" s="342" t="s">
        <v>197</v>
      </c>
      <c r="ED88" s="342" t="s">
        <v>197</v>
      </c>
      <c r="EE88" s="342" t="s">
        <v>197</v>
      </c>
      <c r="EF88" s="343" t="s">
        <v>197</v>
      </c>
      <c r="EG88" s="343" t="s">
        <v>197</v>
      </c>
      <c r="EH88" s="343" t="s">
        <v>197</v>
      </c>
    </row>
    <row r="89" spans="1:140" s="49" customFormat="1" outlineLevel="2">
      <c r="A89" s="349" t="s">
        <v>198</v>
      </c>
      <c r="BN89" s="341"/>
      <c r="BR89" s="341"/>
      <c r="BT89" s="49">
        <f>BT87/BP87-1</f>
      </c>
      <c r="BU89" s="49">
        <f>BU87/BQ87-1</f>
      </c>
      <c r="BV89" s="49">
        <f>BV87/BR87-1</f>
      </c>
      <c r="BW89" s="342" t="s">
        <v>197</v>
      </c>
      <c r="BX89" s="342" t="s">
        <v>197</v>
      </c>
      <c r="BY89" s="342" t="s">
        <v>197</v>
      </c>
      <c r="BZ89" s="342" t="s">
        <v>197</v>
      </c>
      <c r="CA89" s="342" t="s">
        <v>197</v>
      </c>
      <c r="CB89" s="342" t="s">
        <v>197</v>
      </c>
      <c r="CC89" s="342" t="s">
        <v>197</v>
      </c>
      <c r="CD89" s="342" t="s">
        <v>197</v>
      </c>
      <c r="CE89" s="342" t="s">
        <v>197</v>
      </c>
      <c r="CF89" s="342" t="s">
        <v>197</v>
      </c>
      <c r="CG89" s="342" t="s">
        <v>197</v>
      </c>
      <c r="CH89" s="342" t="s">
        <v>197</v>
      </c>
      <c r="CI89" s="342" t="s">
        <v>197</v>
      </c>
      <c r="CJ89" s="342" t="s">
        <v>197</v>
      </c>
      <c r="CK89" s="342" t="s">
        <v>197</v>
      </c>
      <c r="CL89" s="342" t="s">
        <v>197</v>
      </c>
      <c r="CM89" s="342" t="s">
        <v>197</v>
      </c>
      <c r="CN89" s="343" t="s">
        <v>197</v>
      </c>
      <c r="CO89" s="343" t="s">
        <v>197</v>
      </c>
      <c r="CP89" s="343" t="s">
        <v>197</v>
      </c>
      <c r="CQ89" s="343" t="s">
        <v>197</v>
      </c>
      <c r="CR89" s="343" t="s">
        <v>197</v>
      </c>
      <c r="CS89" s="343" t="s">
        <v>197</v>
      </c>
      <c r="CT89" s="343" t="s">
        <v>197</v>
      </c>
      <c r="CU89" s="343" t="s">
        <v>197</v>
      </c>
      <c r="CV89" s="343" t="s">
        <v>197</v>
      </c>
      <c r="CW89" s="343" t="s">
        <v>197</v>
      </c>
      <c r="CX89" s="343" t="s">
        <v>197</v>
      </c>
      <c r="CY89" s="343" t="s">
        <v>197</v>
      </c>
      <c r="CZ89" s="343" t="s">
        <v>197</v>
      </c>
      <c r="DA89" s="343" t="s">
        <v>197</v>
      </c>
      <c r="DB89" s="343" t="s">
        <v>197</v>
      </c>
      <c r="DC89" s="343" t="s">
        <v>197</v>
      </c>
      <c r="DD89" s="343" t="s">
        <v>197</v>
      </c>
      <c r="DE89" s="343" t="s">
        <v>197</v>
      </c>
      <c r="DH89" s="389"/>
      <c r="DQ89" s="62"/>
      <c r="DR89" s="62"/>
      <c r="DS89" s="387"/>
      <c r="DT89" s="387"/>
      <c r="DU89" s="52"/>
      <c r="DV89" s="52"/>
      <c r="DW89" s="52"/>
      <c r="DX89" s="52"/>
      <c r="DY89" s="52">
        <f>DY87/DX87-1</f>
      </c>
      <c r="DZ89" s="52">
        <f>DZ87/DY87-1</f>
      </c>
      <c r="EA89" s="390" t="s">
        <v>197</v>
      </c>
      <c r="EB89" s="390" t="s">
        <v>197</v>
      </c>
      <c r="EC89" s="390" t="s">
        <v>197</v>
      </c>
      <c r="ED89" s="390" t="s">
        <v>197</v>
      </c>
      <c r="EE89" s="390" t="s">
        <v>197</v>
      </c>
      <c r="EF89" s="391" t="s">
        <v>197</v>
      </c>
      <c r="EG89" s="391" t="s">
        <v>197</v>
      </c>
      <c r="EH89" s="391" t="s">
        <v>197</v>
      </c>
    </row>
    <row r="90" spans="1:140" s="49" customFormat="1" outlineLevel="2">
      <c r="A90" s="349" t="s">
        <v>227</v>
      </c>
      <c r="BN90" s="49">
        <f t="shared" ref="BN90:DE90" si="174">BN87/BN$131</f>
      </c>
      <c r="BO90" s="49">
        <f t="shared" si="174"/>
      </c>
      <c r="BP90" s="49">
        <f t="shared" si="174"/>
      </c>
      <c r="BQ90" s="49">
        <f t="shared" si="174"/>
      </c>
      <c r="BR90" s="49">
        <f t="shared" si="174"/>
      </c>
      <c r="BS90" s="49">
        <f t="shared" si="174"/>
      </c>
      <c r="BT90" s="49">
        <f t="shared" si="174"/>
      </c>
      <c r="BU90" s="49">
        <f t="shared" si="174"/>
      </c>
      <c r="BV90" s="49">
        <f t="shared" si="174"/>
      </c>
      <c r="BW90" s="49">
        <f t="shared" si="174"/>
      </c>
      <c r="BX90" s="49">
        <f t="shared" si="174"/>
      </c>
      <c r="BY90" s="49">
        <f t="shared" si="174"/>
      </c>
      <c r="BZ90" s="49">
        <f t="shared" si="174"/>
      </c>
      <c r="CA90" s="49">
        <f t="shared" si="174"/>
      </c>
      <c r="CB90" s="49">
        <f t="shared" si="174"/>
      </c>
      <c r="CC90" s="49">
        <f t="shared" si="174"/>
      </c>
      <c r="CD90" s="49">
        <f t="shared" si="174"/>
      </c>
      <c r="CE90" s="49">
        <f t="shared" si="174"/>
      </c>
      <c r="CF90" s="49">
        <f t="shared" si="174"/>
      </c>
      <c r="CG90" s="49">
        <f t="shared" si="174"/>
      </c>
      <c r="CH90" s="49">
        <f t="shared" si="174"/>
      </c>
      <c r="CI90" s="49">
        <f t="shared" si="174"/>
      </c>
      <c r="CJ90" s="49">
        <f t="shared" si="174"/>
      </c>
      <c r="CK90" s="49">
        <f t="shared" si="174"/>
      </c>
      <c r="CL90" s="49">
        <f t="shared" si="174"/>
      </c>
      <c r="CM90" s="49">
        <f t="shared" si="174"/>
      </c>
      <c r="CN90" s="49">
        <f t="shared" si="174"/>
      </c>
      <c r="CO90" s="49">
        <f t="shared" si="174"/>
      </c>
      <c r="CP90" s="49">
        <f t="shared" si="174"/>
      </c>
      <c r="CQ90" s="49">
        <f t="shared" si="174"/>
      </c>
      <c r="CR90" s="49">
        <f t="shared" si="174"/>
      </c>
      <c r="CS90" s="49">
        <f t="shared" si="174"/>
      </c>
      <c r="CT90" s="49">
        <f t="shared" si="174"/>
      </c>
      <c r="CU90" s="49">
        <f t="shared" si="174"/>
      </c>
      <c r="CV90" s="341">
        <f t="shared" si="174"/>
      </c>
      <c r="CW90" s="341">
        <f t="shared" si="174"/>
      </c>
      <c r="CX90" s="341">
        <f t="shared" si="174"/>
      </c>
      <c r="CY90" s="341">
        <f t="shared" si="174"/>
      </c>
      <c r="CZ90" s="341">
        <f t="shared" si="174"/>
      </c>
      <c r="DA90" s="341">
        <f t="shared" si="174"/>
      </c>
      <c r="DB90" s="341">
        <f t="shared" si="174"/>
      </c>
      <c r="DC90" s="341">
        <f t="shared" si="174"/>
      </c>
      <c r="DD90" s="341">
        <f t="shared" si="174"/>
      </c>
      <c r="DE90" s="341">
        <f t="shared" si="174"/>
      </c>
      <c r="DH90" s="389"/>
      <c r="DQ90" s="62"/>
      <c r="DR90" s="62"/>
      <c r="DS90" s="387"/>
      <c r="DT90" s="387"/>
      <c r="DU90" s="52"/>
      <c r="DV90" s="52"/>
      <c r="DX90" s="49">
        <f t="shared" ref="DX90:EH90" si="175">DX87/DX$131</f>
      </c>
      <c r="DY90" s="49">
        <f t="shared" si="175"/>
      </c>
      <c r="DZ90" s="49">
        <f t="shared" si="175"/>
      </c>
      <c r="EA90" s="49">
        <f t="shared" si="175"/>
      </c>
      <c r="EB90" s="49">
        <f t="shared" si="175"/>
      </c>
      <c r="EC90" s="49">
        <f t="shared" si="175"/>
      </c>
      <c r="ED90" s="49">
        <f t="shared" si="175"/>
      </c>
      <c r="EE90" s="49">
        <f t="shared" si="175"/>
      </c>
      <c r="EF90" s="341">
        <f t="shared" si="175"/>
      </c>
      <c r="EG90" s="341">
        <f t="shared" si="175"/>
      </c>
      <c r="EH90" s="341">
        <f t="shared" si="175"/>
      </c>
    </row>
    <row r="91" spans="1:140" s="47" customFormat="1">
      <c r="A91" s="35" t="s">
        <v>231</v>
      </c>
      <c r="AX91" s="35"/>
      <c r="AY91" s="35"/>
      <c r="AZ91" s="35"/>
      <c r="BA91" s="35"/>
      <c r="BB91" s="35">
        <v>191</v>
      </c>
      <c r="BC91" s="35">
        <v>208</v>
      </c>
      <c r="BD91" s="35">
        <v>206</v>
      </c>
      <c r="BE91" s="35">
        <v>190</v>
      </c>
      <c r="BF91" s="35">
        <v>181</v>
      </c>
      <c r="BG91" s="35">
        <v>176</v>
      </c>
      <c r="BH91" s="35">
        <v>190</v>
      </c>
      <c r="BI91" s="35">
        <v>203</v>
      </c>
      <c r="BJ91" s="35">
        <v>189</v>
      </c>
      <c r="BK91" s="35">
        <v>214</v>
      </c>
      <c r="BL91" s="35">
        <v>207</v>
      </c>
      <c r="BM91" s="35">
        <v>225</v>
      </c>
      <c r="BN91" s="35">
        <v>205</v>
      </c>
      <c r="BO91" s="35">
        <v>235</v>
      </c>
      <c r="BP91" s="35">
        <v>239</v>
      </c>
      <c r="BQ91" s="35">
        <v>254</v>
      </c>
      <c r="BR91" s="35">
        <v>251</v>
      </c>
      <c r="BS91" s="35">
        <v>281</v>
      </c>
      <c r="BT91" s="35">
        <v>305</v>
      </c>
      <c r="BU91" s="35">
        <v>293</v>
      </c>
      <c r="BV91" s="35">
        <v>266</v>
      </c>
      <c r="BW91" s="35">
        <v>291</v>
      </c>
      <c r="BX91" s="35">
        <v>324</v>
      </c>
      <c r="BY91" s="35">
        <v>331</v>
      </c>
      <c r="BZ91" s="35">
        <v>307</v>
      </c>
      <c r="CA91" s="35">
        <v>203</v>
      </c>
      <c r="CB91" s="35">
        <v>236</v>
      </c>
      <c r="CC91" s="35">
        <v>307</v>
      </c>
      <c r="CD91" s="35">
        <v>372</v>
      </c>
      <c r="CE91" s="35">
        <v>519</v>
      </c>
      <c r="CF91" s="35">
        <v>577</v>
      </c>
      <c r="CG91" s="35">
        <v>643</v>
      </c>
      <c r="CH91" s="35">
        <v>622</v>
      </c>
      <c r="CI91" s="35">
        <v>496</v>
      </c>
      <c r="CJ91" s="35">
        <v>200</v>
      </c>
      <c r="CK91" s="35">
        <v>226</v>
      </c>
      <c r="CL91" s="35">
        <v>295</v>
      </c>
      <c r="CM91" s="35">
        <v>379</v>
      </c>
      <c r="CN91" s="35">
        <v>416</v>
      </c>
      <c r="CO91" s="35">
        <v>463</v>
      </c>
      <c r="CP91" s="35">
        <v>427</v>
      </c>
      <c r="CQ91" s="35">
        <v>454</v>
      </c>
      <c r="CR91" s="35">
        <v>486</v>
      </c>
      <c r="CS91" s="35">
        <v>511</v>
      </c>
      <c r="CT91" s="35">
        <v>509</v>
      </c>
      <c r="CU91" s="35">
        <v>601</v>
      </c>
      <c r="CV91" s="338">
        <f t="shared" ref="CV91:DA91" si="176">CU91*(1+CV92)</f>
      </c>
      <c r="CW91" s="338">
        <f t="shared" si="176"/>
      </c>
      <c r="CX91" s="338">
        <f t="shared" si="176"/>
      </c>
      <c r="CY91" s="338">
        <f t="shared" si="176"/>
      </c>
      <c r="CZ91" s="338">
        <f t="shared" si="176"/>
      </c>
      <c r="DA91" s="338">
        <f t="shared" si="176"/>
      </c>
      <c r="DB91" s="338">
        <f>DA91*(1+DB92)</f>
      </c>
      <c r="DC91" s="338">
        <f>DB91*(1+DC92)</f>
      </c>
      <c r="DD91" s="338">
        <f>DC91*(1+DD92)</f>
      </c>
      <c r="DE91" s="338">
        <f>DD91*(1+DE92)</f>
      </c>
      <c r="DQ91" s="35"/>
      <c r="DR91" s="35"/>
      <c r="DS91" s="35">
        <v>719</v>
      </c>
      <c r="DT91" s="35">
        <v>789</v>
      </c>
      <c r="DU91" s="35">
        <f>SUM(BB91:BE91)</f>
      </c>
      <c r="DV91" s="35">
        <f>SUM(BF91:BI91)</f>
      </c>
      <c r="DW91" s="35">
        <f>SUM(BJ91:BM91)</f>
      </c>
      <c r="DX91" s="35">
        <f>SUM(BN91:BQ91)</f>
      </c>
      <c r="DY91" s="35">
        <f>SUM(BR91:BU91)</f>
      </c>
      <c r="DZ91" s="35">
        <f>BV91+BW91+BX91+BY91</f>
      </c>
      <c r="EA91" s="35">
        <f>SUM(BZ91:CC91)</f>
      </c>
      <c r="EB91" s="35">
        <f>+CD91+CE91+CF91+CG91</f>
      </c>
      <c r="EC91" s="35">
        <f>SUM(CH91:CK91)</f>
      </c>
      <c r="ED91" s="35">
        <f>SUM(CL91:CO91)</f>
      </c>
      <c r="EE91" s="35">
        <f>SUM(CP91:CS91)</f>
      </c>
      <c r="EF91" s="338">
        <f>SUM(CT91:CW91)</f>
      </c>
      <c r="EG91" s="338">
        <f>SUM(CX91:DA91)</f>
      </c>
      <c r="EH91" s="338">
        <f>SUM(DB91:DE91)</f>
      </c>
      <c r="EI91" s="35"/>
    </row>
    <row r="92" spans="1:140" s="49" customFormat="1">
      <c r="A92" s="48" t="s">
        <v>196</v>
      </c>
      <c r="BB92" s="52"/>
      <c r="BC92" s="52">
        <f t="shared" ref="BC92:CU92" si="177">BC91/BB91-1</f>
      </c>
      <c r="BD92" s="52">
        <f t="shared" si="177"/>
      </c>
      <c r="BE92" s="52">
        <f t="shared" si="177"/>
      </c>
      <c r="BF92" s="52">
        <f t="shared" si="177"/>
      </c>
      <c r="BG92" s="52">
        <f t="shared" si="177"/>
      </c>
      <c r="BH92" s="52">
        <f t="shared" si="177"/>
      </c>
      <c r="BI92" s="52">
        <f t="shared" si="177"/>
      </c>
      <c r="BJ92" s="52">
        <f t="shared" si="177"/>
      </c>
      <c r="BK92" s="52">
        <f t="shared" si="177"/>
      </c>
      <c r="BL92" s="52">
        <f t="shared" si="177"/>
      </c>
      <c r="BM92" s="52">
        <f t="shared" si="177"/>
      </c>
      <c r="BN92" s="52">
        <f t="shared" si="177"/>
      </c>
      <c r="BO92" s="52">
        <f t="shared" si="177"/>
      </c>
      <c r="BP92" s="52">
        <f t="shared" si="177"/>
      </c>
      <c r="BQ92" s="52">
        <f t="shared" si="177"/>
      </c>
      <c r="BR92" s="52">
        <f t="shared" si="177"/>
      </c>
      <c r="BS92" s="52">
        <f t="shared" si="177"/>
      </c>
      <c r="BT92" s="52">
        <f t="shared" si="177"/>
      </c>
      <c r="BU92" s="52">
        <f t="shared" si="177"/>
      </c>
      <c r="BV92" s="52">
        <f t="shared" si="177"/>
      </c>
      <c r="BW92" s="52">
        <f t="shared" si="177"/>
      </c>
      <c r="BX92" s="52">
        <f t="shared" si="177"/>
      </c>
      <c r="BY92" s="52">
        <f t="shared" si="177"/>
      </c>
      <c r="BZ92" s="52">
        <f t="shared" si="177"/>
      </c>
      <c r="CA92" s="52">
        <f t="shared" si="177"/>
      </c>
      <c r="CB92" s="52">
        <f t="shared" si="177"/>
      </c>
      <c r="CC92" s="52">
        <f t="shared" si="177"/>
      </c>
      <c r="CD92" s="52">
        <f t="shared" si="177"/>
      </c>
      <c r="CE92" s="52">
        <f t="shared" si="177"/>
      </c>
      <c r="CF92" s="52">
        <f t="shared" si="177"/>
      </c>
      <c r="CG92" s="52">
        <f t="shared" si="177"/>
      </c>
      <c r="CH92" s="52">
        <f t="shared" si="177"/>
      </c>
      <c r="CI92" s="52">
        <f t="shared" si="177"/>
      </c>
      <c r="CJ92" s="52">
        <f t="shared" si="177"/>
      </c>
      <c r="CK92" s="52">
        <f t="shared" si="177"/>
      </c>
      <c r="CL92" s="52">
        <f t="shared" si="177"/>
      </c>
      <c r="CM92" s="52">
        <f t="shared" si="177"/>
      </c>
      <c r="CN92" s="52">
        <f t="shared" si="177"/>
      </c>
      <c r="CO92" s="52">
        <f t="shared" si="177"/>
      </c>
      <c r="CP92" s="52">
        <f t="shared" si="177"/>
      </c>
      <c r="CQ92" s="52">
        <f t="shared" si="177"/>
      </c>
      <c r="CR92" s="52">
        <f t="shared" si="177"/>
      </c>
      <c r="CS92" s="52">
        <f t="shared" si="177"/>
      </c>
      <c r="CT92" s="52">
        <f t="shared" si="177"/>
      </c>
      <c r="CU92" s="52">
        <f t="shared" si="177"/>
      </c>
      <c r="CV92" s="393">
        <v>7.0000000000000007E-2</v>
      </c>
      <c r="CW92" s="393">
        <v>0.05</v>
      </c>
      <c r="CX92" s="393">
        <v>-0.1</v>
      </c>
      <c r="CY92" s="393">
        <v>0.05</v>
      </c>
      <c r="CZ92" s="393">
        <v>7.0000000000000007E-2</v>
      </c>
      <c r="DA92" s="393">
        <v>0.05</v>
      </c>
      <c r="DB92" s="393">
        <v>-0.08</v>
      </c>
      <c r="DC92" s="393">
        <v>0.04</v>
      </c>
      <c r="DD92" s="393">
        <v>0.06</v>
      </c>
      <c r="DE92" s="393">
        <v>0.04</v>
      </c>
      <c r="DH92" s="342" t="s">
        <v>197</v>
      </c>
      <c r="DI92" s="342" t="s">
        <v>197</v>
      </c>
      <c r="DJ92" s="342" t="s">
        <v>197</v>
      </c>
      <c r="DK92" s="342" t="s">
        <v>197</v>
      </c>
      <c r="DL92" s="342" t="s">
        <v>197</v>
      </c>
      <c r="DM92" s="342" t="s">
        <v>197</v>
      </c>
      <c r="DN92" s="342" t="s">
        <v>197</v>
      </c>
      <c r="DO92" s="342" t="s">
        <v>197</v>
      </c>
      <c r="DP92" s="342" t="s">
        <v>197</v>
      </c>
      <c r="DQ92" s="342" t="s">
        <v>197</v>
      </c>
      <c r="DR92" s="342" t="s">
        <v>197</v>
      </c>
      <c r="DS92" s="342" t="s">
        <v>197</v>
      </c>
      <c r="DT92" s="342" t="s">
        <v>197</v>
      </c>
      <c r="DU92" s="342" t="s">
        <v>197</v>
      </c>
      <c r="DV92" s="342" t="s">
        <v>197</v>
      </c>
      <c r="DW92" s="342" t="s">
        <v>197</v>
      </c>
      <c r="DX92" s="342" t="s">
        <v>197</v>
      </c>
      <c r="DY92" s="342" t="s">
        <v>197</v>
      </c>
      <c r="DZ92" s="342" t="s">
        <v>197</v>
      </c>
      <c r="EA92" s="342" t="s">
        <v>197</v>
      </c>
      <c r="EB92" s="342" t="s">
        <v>197</v>
      </c>
      <c r="EC92" s="342" t="s">
        <v>197</v>
      </c>
      <c r="ED92" s="342" t="s">
        <v>197</v>
      </c>
      <c r="EE92" s="342" t="s">
        <v>197</v>
      </c>
      <c r="EF92" s="343" t="s">
        <v>197</v>
      </c>
      <c r="EG92" s="343" t="s">
        <v>197</v>
      </c>
      <c r="EH92" s="343" t="s">
        <v>197</v>
      </c>
    </row>
    <row r="93" spans="1:140" s="49" customFormat="1">
      <c r="A93" s="48" t="s">
        <v>198</v>
      </c>
      <c r="BB93" s="52"/>
      <c r="BC93" s="52"/>
      <c r="BD93" s="52"/>
      <c r="BE93" s="52"/>
      <c r="BF93" s="52">
        <f t="shared" ref="BF93:DA93" si="178">BF91/BB91-1</f>
      </c>
      <c r="BG93" s="52">
        <f t="shared" si="178"/>
      </c>
      <c r="BH93" s="52">
        <f t="shared" si="178"/>
      </c>
      <c r="BI93" s="52">
        <f t="shared" si="178"/>
      </c>
      <c r="BJ93" s="52">
        <f t="shared" si="178"/>
      </c>
      <c r="BK93" s="52">
        <f t="shared" si="178"/>
      </c>
      <c r="BL93" s="52">
        <f t="shared" si="178"/>
      </c>
      <c r="BM93" s="52">
        <f t="shared" si="178"/>
      </c>
      <c r="BN93" s="52">
        <f t="shared" si="178"/>
      </c>
      <c r="BO93" s="52">
        <f t="shared" si="178"/>
      </c>
      <c r="BP93" s="52">
        <f t="shared" si="178"/>
      </c>
      <c r="BQ93" s="52">
        <f t="shared" si="178"/>
      </c>
      <c r="BR93" s="52">
        <f t="shared" si="178"/>
      </c>
      <c r="BS93" s="52">
        <f t="shared" si="178"/>
      </c>
      <c r="BT93" s="52">
        <f t="shared" si="178"/>
      </c>
      <c r="BU93" s="52">
        <f t="shared" si="178"/>
      </c>
      <c r="BV93" s="52">
        <f t="shared" si="178"/>
      </c>
      <c r="BW93" s="52">
        <f t="shared" si="178"/>
      </c>
      <c r="BX93" s="52">
        <f t="shared" si="178"/>
      </c>
      <c r="BY93" s="52">
        <f t="shared" si="178"/>
      </c>
      <c r="BZ93" s="52">
        <f t="shared" si="178"/>
      </c>
      <c r="CA93" s="52">
        <f t="shared" si="178"/>
      </c>
      <c r="CB93" s="52">
        <f t="shared" si="178"/>
      </c>
      <c r="CC93" s="52">
        <f t="shared" si="178"/>
      </c>
      <c r="CD93" s="52">
        <f t="shared" si="178"/>
      </c>
      <c r="CE93" s="52">
        <f t="shared" si="178"/>
      </c>
      <c r="CF93" s="52">
        <f t="shared" si="178"/>
      </c>
      <c r="CG93" s="52">
        <f t="shared" si="178"/>
      </c>
      <c r="CH93" s="52">
        <f t="shared" si="178"/>
      </c>
      <c r="CI93" s="52">
        <f t="shared" si="178"/>
      </c>
      <c r="CJ93" s="52">
        <f t="shared" si="178"/>
      </c>
      <c r="CK93" s="52">
        <f t="shared" si="178"/>
      </c>
      <c r="CL93" s="52">
        <f t="shared" si="178"/>
      </c>
      <c r="CM93" s="52">
        <f t="shared" si="178"/>
      </c>
      <c r="CN93" s="52">
        <f t="shared" si="178"/>
      </c>
      <c r="CO93" s="52">
        <f t="shared" si="178"/>
      </c>
      <c r="CP93" s="52">
        <f t="shared" si="178"/>
      </c>
      <c r="CQ93" s="52">
        <f t="shared" si="178"/>
      </c>
      <c r="CR93" s="52">
        <f t="shared" si="178"/>
      </c>
      <c r="CS93" s="52">
        <f t="shared" si="178"/>
      </c>
      <c r="CT93" s="52">
        <f t="shared" si="178"/>
      </c>
      <c r="CU93" s="52">
        <f t="shared" si="178"/>
      </c>
      <c r="CV93" s="53">
        <f t="shared" si="178"/>
      </c>
      <c r="CW93" s="53">
        <f t="shared" si="178"/>
      </c>
      <c r="CX93" s="53">
        <f t="shared" si="178"/>
      </c>
      <c r="CY93" s="53">
        <f t="shared" si="178"/>
      </c>
      <c r="CZ93" s="53">
        <f t="shared" si="178"/>
      </c>
      <c r="DA93" s="53">
        <f t="shared" si="178"/>
      </c>
      <c r="DB93" s="53">
        <f>DB91/CX91-1</f>
      </c>
      <c r="DC93" s="53">
        <f>DC91/CY91-1</f>
      </c>
      <c r="DD93" s="53">
        <f>DD91/CZ91-1</f>
      </c>
      <c r="DE93" s="53">
        <f>DE91/DA91-1</f>
      </c>
      <c r="DQ93" s="62"/>
      <c r="DR93" s="62"/>
      <c r="DS93" s="62"/>
      <c r="DT93" s="394">
        <f t="shared" ref="DT93:EH93" si="179">DT91/DS91-1</f>
      </c>
      <c r="DU93" s="49">
        <f t="shared" si="179"/>
      </c>
      <c r="DV93" s="49">
        <f t="shared" si="179"/>
      </c>
      <c r="DW93" s="49">
        <f>DW91/DV91-1</f>
      </c>
      <c r="DX93" s="49">
        <f t="shared" si="179"/>
      </c>
      <c r="DY93" s="49">
        <f t="shared" si="179"/>
      </c>
      <c r="DZ93" s="49">
        <f t="shared" si="179"/>
      </c>
      <c r="EA93" s="49">
        <f t="shared" si="179"/>
      </c>
      <c r="EB93" s="49">
        <f t="shared" si="179"/>
      </c>
      <c r="EC93" s="49">
        <f t="shared" si="179"/>
      </c>
      <c r="ED93" s="49">
        <f t="shared" si="179"/>
      </c>
      <c r="EE93" s="49">
        <f t="shared" si="179"/>
      </c>
      <c r="EF93" s="345">
        <f t="shared" si="179"/>
      </c>
      <c r="EG93" s="345">
        <f t="shared" si="179"/>
      </c>
      <c r="EH93" s="345">
        <f t="shared" si="179"/>
      </c>
    </row>
    <row r="94" spans="1:140" s="49" customFormat="1">
      <c r="A94" s="48" t="s">
        <v>227</v>
      </c>
      <c r="BB94" s="52">
        <f t="shared" ref="BB94:CG94" si="180">BB91/BB$131</f>
      </c>
      <c r="BC94" s="52">
        <f t="shared" si="180"/>
      </c>
      <c r="BD94" s="52">
        <f t="shared" si="180"/>
      </c>
      <c r="BE94" s="52">
        <f t="shared" si="180"/>
      </c>
      <c r="BF94" s="52">
        <f t="shared" si="180"/>
      </c>
      <c r="BG94" s="52">
        <f t="shared" si="180"/>
      </c>
      <c r="BH94" s="52">
        <f t="shared" si="180"/>
      </c>
      <c r="BI94" s="52">
        <f t="shared" si="180"/>
      </c>
      <c r="BJ94" s="52">
        <f t="shared" si="180"/>
      </c>
      <c r="BK94" s="52">
        <f t="shared" si="180"/>
      </c>
      <c r="BL94" s="52">
        <f t="shared" si="180"/>
      </c>
      <c r="BM94" s="52">
        <f t="shared" si="180"/>
      </c>
      <c r="BN94" s="52">
        <f t="shared" si="180"/>
      </c>
      <c r="BO94" s="52">
        <f t="shared" si="180"/>
      </c>
      <c r="BP94" s="52">
        <f t="shared" si="180"/>
      </c>
      <c r="BQ94" s="52">
        <f t="shared" si="180"/>
      </c>
      <c r="BR94" s="52">
        <f t="shared" si="180"/>
      </c>
      <c r="BS94" s="52">
        <f t="shared" si="180"/>
      </c>
      <c r="BT94" s="52">
        <f t="shared" si="180"/>
      </c>
      <c r="BU94" s="52">
        <f t="shared" si="180"/>
      </c>
      <c r="BV94" s="52">
        <f t="shared" si="180"/>
      </c>
      <c r="BW94" s="52">
        <f t="shared" si="180"/>
      </c>
      <c r="BX94" s="52">
        <f t="shared" si="180"/>
      </c>
      <c r="BY94" s="52">
        <f t="shared" si="180"/>
      </c>
      <c r="BZ94" s="52">
        <f t="shared" si="180"/>
      </c>
      <c r="CA94" s="52">
        <f t="shared" si="180"/>
      </c>
      <c r="CB94" s="52">
        <f t="shared" si="180"/>
      </c>
      <c r="CC94" s="52">
        <f t="shared" si="180"/>
      </c>
      <c r="CD94" s="52">
        <f t="shared" si="180"/>
      </c>
      <c r="CE94" s="52">
        <f t="shared" si="180"/>
      </c>
      <c r="CF94" s="52">
        <f t="shared" si="180"/>
      </c>
      <c r="CG94" s="52">
        <f t="shared" si="180"/>
      </c>
      <c r="CH94" s="52">
        <f t="shared" ref="CH94:DE94" si="181">CH91/CH$131</f>
      </c>
      <c r="CI94" s="52">
        <f t="shared" si="181"/>
      </c>
      <c r="CJ94" s="52">
        <f t="shared" si="181"/>
      </c>
      <c r="CK94" s="52">
        <f t="shared" si="181"/>
      </c>
      <c r="CL94" s="52">
        <f t="shared" si="181"/>
      </c>
      <c r="CM94" s="52">
        <f t="shared" si="181"/>
      </c>
      <c r="CN94" s="52">
        <f t="shared" si="181"/>
      </c>
      <c r="CO94" s="52">
        <f t="shared" si="181"/>
      </c>
      <c r="CP94" s="52">
        <f t="shared" si="181"/>
      </c>
      <c r="CQ94" s="52">
        <f t="shared" si="181"/>
      </c>
      <c r="CR94" s="52">
        <f t="shared" si="181"/>
      </c>
      <c r="CS94" s="52">
        <f t="shared" si="181"/>
      </c>
      <c r="CT94" s="52">
        <f t="shared" si="181"/>
      </c>
      <c r="CU94" s="52">
        <f t="shared" si="181"/>
      </c>
      <c r="CV94" s="53">
        <f t="shared" si="181"/>
      </c>
      <c r="CW94" s="53">
        <f t="shared" si="181"/>
      </c>
      <c r="CX94" s="53">
        <f t="shared" si="181"/>
      </c>
      <c r="CY94" s="53">
        <f t="shared" si="181"/>
      </c>
      <c r="CZ94" s="53">
        <f t="shared" si="181"/>
      </c>
      <c r="DA94" s="53">
        <f t="shared" si="181"/>
      </c>
      <c r="DB94" s="53">
        <f t="shared" si="181"/>
      </c>
      <c r="DC94" s="53">
        <f t="shared" si="181"/>
      </c>
      <c r="DD94" s="53">
        <f t="shared" si="181"/>
      </c>
      <c r="DE94" s="53">
        <f t="shared" si="181"/>
      </c>
      <c r="DQ94" s="62"/>
      <c r="DR94" s="62"/>
      <c r="DS94" s="394">
        <f t="shared" ref="DS94:EH94" si="182">DS91/DS$131</f>
      </c>
      <c r="DT94" s="394">
        <f t="shared" si="182"/>
      </c>
      <c r="DU94" s="49">
        <f t="shared" si="182"/>
      </c>
      <c r="DV94" s="49">
        <f t="shared" si="182"/>
      </c>
      <c r="DW94" s="49">
        <f t="shared" si="182"/>
      </c>
      <c r="DX94" s="49">
        <f t="shared" si="182"/>
      </c>
      <c r="DY94" s="49">
        <f t="shared" si="182"/>
      </c>
      <c r="DZ94" s="49">
        <f t="shared" si="182"/>
      </c>
      <c r="EA94" s="49">
        <f t="shared" si="182"/>
      </c>
      <c r="EB94" s="49">
        <f t="shared" si="182"/>
      </c>
      <c r="EC94" s="49">
        <f t="shared" si="182"/>
      </c>
      <c r="ED94" s="49">
        <f t="shared" si="182"/>
      </c>
      <c r="EE94" s="49">
        <f t="shared" si="182"/>
      </c>
      <c r="EF94" s="341">
        <f t="shared" si="182"/>
      </c>
      <c r="EG94" s="341">
        <f t="shared" si="182"/>
      </c>
      <c r="EH94" s="341">
        <f t="shared" si="182"/>
      </c>
    </row>
    <row r="95" spans="1:140" s="47" customFormat="1">
      <c r="A95" s="35" t="s">
        <v>232</v>
      </c>
      <c r="AX95" s="35"/>
      <c r="AY95" s="35"/>
      <c r="AZ95" s="35"/>
      <c r="BA95" s="35"/>
      <c r="BB95" s="35">
        <f t="shared" ref="BB95:BZ95" si="183">+BB103+BB99</f>
      </c>
      <c r="BC95" s="35">
        <f t="shared" si="183"/>
      </c>
      <c r="BD95" s="35">
        <f t="shared" si="183"/>
      </c>
      <c r="BE95" s="35">
        <f t="shared" si="183"/>
      </c>
      <c r="BF95" s="35">
        <f t="shared" si="183"/>
      </c>
      <c r="BG95" s="35">
        <f t="shared" si="183"/>
      </c>
      <c r="BH95" s="35">
        <f t="shared" si="183"/>
      </c>
      <c r="BI95" s="35">
        <f t="shared" si="183"/>
      </c>
      <c r="BJ95" s="35">
        <f t="shared" si="183"/>
      </c>
      <c r="BK95" s="35">
        <f t="shared" si="183"/>
      </c>
      <c r="BL95" s="35">
        <f t="shared" si="183"/>
      </c>
      <c r="BM95" s="35">
        <f t="shared" si="183"/>
      </c>
      <c r="BN95" s="35">
        <f t="shared" si="183"/>
      </c>
      <c r="BO95" s="35">
        <f t="shared" si="183"/>
      </c>
      <c r="BP95" s="35">
        <f t="shared" si="183"/>
      </c>
      <c r="BQ95" s="35">
        <f t="shared" si="183"/>
      </c>
      <c r="BR95" s="35">
        <f t="shared" si="183"/>
      </c>
      <c r="BS95" s="35">
        <f t="shared" si="183"/>
      </c>
      <c r="BT95" s="35">
        <f t="shared" si="183"/>
      </c>
      <c r="BU95" s="35">
        <f t="shared" si="183"/>
      </c>
      <c r="BV95" s="35">
        <f t="shared" si="183"/>
      </c>
      <c r="BW95" s="35">
        <f t="shared" si="183"/>
      </c>
      <c r="BX95" s="35">
        <f t="shared" si="183"/>
      </c>
      <c r="BY95" s="35">
        <f t="shared" si="183"/>
      </c>
      <c r="BZ95" s="35">
        <f t="shared" si="183"/>
      </c>
      <c r="CA95" s="35">
        <v>1752</v>
      </c>
      <c r="CB95" s="35">
        <v>1900</v>
      </c>
      <c r="CC95" s="35">
        <v>1903</v>
      </c>
      <c r="CD95" s="35">
        <v>2048</v>
      </c>
      <c r="CE95" s="35">
        <v>2366</v>
      </c>
      <c r="CF95" s="35">
        <v>2936</v>
      </c>
      <c r="CG95" s="35">
        <v>3263</v>
      </c>
      <c r="CH95" s="35">
        <v>3750</v>
      </c>
      <c r="CI95" s="35">
        <v>3806</v>
      </c>
      <c r="CJ95" s="35">
        <v>3833</v>
      </c>
      <c r="CK95" s="35">
        <v>3616</v>
      </c>
      <c r="CL95" s="35">
        <v>4284</v>
      </c>
      <c r="CM95" s="35">
        <v>10323</v>
      </c>
      <c r="CN95" s="35">
        <v>14514</v>
      </c>
      <c r="CO95" s="35">
        <v>18404</v>
      </c>
      <c r="CP95" s="35">
        <v>22563</v>
      </c>
      <c r="CQ95" s="35">
        <v>26272</v>
      </c>
      <c r="CR95" s="35">
        <v>30771</v>
      </c>
      <c r="CS95" s="35">
        <v>35580</v>
      </c>
      <c r="CT95" s="35">
        <v>39112</v>
      </c>
      <c r="CU95" s="35">
        <v>41096</v>
      </c>
      <c r="CV95" s="338">
        <f t="shared" ref="CV95:DA95" si="184">+CV103+CV99</f>
      </c>
      <c r="CW95" s="338">
        <f t="shared" si="184"/>
      </c>
      <c r="CX95" s="338">
        <f t="shared" si="184"/>
      </c>
      <c r="CY95" s="338">
        <f t="shared" si="184"/>
      </c>
      <c r="CZ95" s="338">
        <f t="shared" si="184"/>
      </c>
      <c r="DA95" s="338">
        <f t="shared" si="184"/>
      </c>
      <c r="DB95" s="338">
        <f>+DB103+DB99</f>
      </c>
      <c r="DC95" s="338">
        <f>+DC103+DC99</f>
      </c>
      <c r="DD95" s="338">
        <f>+DD103+DD99</f>
      </c>
      <c r="DE95" s="338">
        <f>+DE103+DE99</f>
      </c>
      <c r="DQ95" s="35"/>
      <c r="DR95" s="35"/>
      <c r="DS95" s="35">
        <v>129</v>
      </c>
      <c r="DT95" s="35">
        <v>199</v>
      </c>
      <c r="DU95" s="35">
        <f>SUM(BB95:BE95)</f>
      </c>
      <c r="DV95" s="35">
        <f>SUM(BF95:BI95)</f>
      </c>
      <c r="DW95" s="35">
        <f>SUM(BJ95:BM95)</f>
      </c>
      <c r="DX95" s="35">
        <f>SUM(BN95:BQ95)</f>
      </c>
      <c r="DY95" s="35">
        <f>SUM(BR95:BU95)</f>
      </c>
      <c r="DZ95" s="35">
        <f>BV95+BW95+BX95+BY95</f>
      </c>
      <c r="EA95" s="35">
        <f>SUM(BZ95:CC95)</f>
      </c>
      <c r="EB95" s="35">
        <f>+CD95+CE95+CF95+CG95</f>
      </c>
      <c r="EC95" s="35">
        <f>SUM(CH95:CK95)</f>
      </c>
      <c r="ED95" s="35">
        <f>SUM(CL95:CO95)</f>
      </c>
      <c r="EE95" s="35">
        <f>SUM(CP95:CS95)</f>
      </c>
      <c r="EF95" s="338">
        <f>SUM(CT95:CW95)</f>
      </c>
      <c r="EG95" s="338">
        <f>SUM(CX95:DA95)</f>
      </c>
      <c r="EH95" s="338">
        <f>SUM(DB95:DE95)</f>
      </c>
      <c r="EI95" s="35"/>
      <c r="EJ95" s="395"/>
    </row>
    <row r="96" spans="1:140" s="49" customFormat="1">
      <c r="A96" s="48" t="s">
        <v>196</v>
      </c>
      <c r="BC96" s="52">
        <f t="shared" ref="BC96:DE96" si="185">BC95/BB95-1</f>
      </c>
      <c r="BD96" s="52">
        <f t="shared" si="185"/>
      </c>
      <c r="BE96" s="52">
        <f t="shared" si="185"/>
      </c>
      <c r="BF96" s="52">
        <f t="shared" si="185"/>
      </c>
      <c r="BG96" s="52">
        <f t="shared" si="185"/>
      </c>
      <c r="BH96" s="52">
        <f t="shared" si="185"/>
      </c>
      <c r="BI96" s="52">
        <f t="shared" si="185"/>
      </c>
      <c r="BJ96" s="52">
        <f t="shared" si="185"/>
      </c>
      <c r="BK96" s="52">
        <f t="shared" si="185"/>
      </c>
      <c r="BL96" s="52">
        <f t="shared" si="185"/>
      </c>
      <c r="BM96" s="52">
        <f t="shared" si="185"/>
      </c>
      <c r="BN96" s="52">
        <f t="shared" si="185"/>
      </c>
      <c r="BO96" s="52">
        <f t="shared" si="185"/>
      </c>
      <c r="BP96" s="52">
        <f t="shared" si="185"/>
      </c>
      <c r="BQ96" s="52">
        <f t="shared" si="185"/>
      </c>
      <c r="BR96" s="52">
        <f t="shared" si="185"/>
      </c>
      <c r="BS96" s="52">
        <f t="shared" si="185"/>
      </c>
      <c r="BT96" s="52">
        <f t="shared" si="185"/>
      </c>
      <c r="BU96" s="52">
        <f t="shared" si="185"/>
      </c>
      <c r="BV96" s="52">
        <f t="shared" si="185"/>
      </c>
      <c r="BW96" s="52">
        <f t="shared" si="185"/>
      </c>
      <c r="BX96" s="52">
        <f t="shared" si="185"/>
      </c>
      <c r="BY96" s="52">
        <f t="shared" si="185"/>
      </c>
      <c r="BZ96" s="52">
        <f t="shared" si="185"/>
      </c>
      <c r="CA96" s="52">
        <f t="shared" si="185"/>
      </c>
      <c r="CB96" s="52">
        <f t="shared" si="185"/>
      </c>
      <c r="CC96" s="52">
        <f t="shared" si="185"/>
      </c>
      <c r="CD96" s="52">
        <f t="shared" si="185"/>
      </c>
      <c r="CE96" s="52">
        <f t="shared" si="185"/>
      </c>
      <c r="CF96" s="52">
        <f t="shared" si="185"/>
      </c>
      <c r="CG96" s="52">
        <f t="shared" si="185"/>
      </c>
      <c r="CH96" s="52">
        <f t="shared" si="185"/>
      </c>
      <c r="CI96" s="52">
        <f t="shared" si="185"/>
      </c>
      <c r="CJ96" s="52">
        <f t="shared" si="185"/>
      </c>
      <c r="CK96" s="52">
        <f t="shared" si="185"/>
      </c>
      <c r="CL96" s="52">
        <f t="shared" si="185"/>
      </c>
      <c r="CM96" s="52">
        <f t="shared" si="185"/>
      </c>
      <c r="CN96" s="52">
        <f t="shared" si="185"/>
      </c>
      <c r="CO96" s="52">
        <f t="shared" si="185"/>
      </c>
      <c r="CP96" s="52">
        <f t="shared" si="185"/>
      </c>
      <c r="CQ96" s="52">
        <f t="shared" si="185"/>
      </c>
      <c r="CR96" s="52">
        <f t="shared" si="185"/>
      </c>
      <c r="CS96" s="52">
        <f t="shared" si="185"/>
      </c>
      <c r="CT96" s="52">
        <f t="shared" si="185"/>
      </c>
      <c r="CU96" s="52">
        <f t="shared" si="185"/>
      </c>
      <c r="CV96" s="53">
        <f t="shared" si="185"/>
      </c>
      <c r="CW96" s="53">
        <f t="shared" si="185"/>
      </c>
      <c r="CX96" s="53">
        <f t="shared" si="185"/>
      </c>
      <c r="CY96" s="53">
        <f t="shared" si="185"/>
      </c>
      <c r="CZ96" s="53">
        <f t="shared" si="185"/>
      </c>
      <c r="DA96" s="53">
        <f t="shared" si="185"/>
      </c>
      <c r="DB96" s="53">
        <f t="shared" si="185"/>
      </c>
      <c r="DC96" s="53">
        <f t="shared" si="185"/>
      </c>
      <c r="DD96" s="53">
        <f t="shared" si="185"/>
      </c>
      <c r="DE96" s="53">
        <f t="shared" si="185"/>
      </c>
      <c r="DH96" s="342" t="s">
        <v>197</v>
      </c>
      <c r="DI96" s="342" t="s">
        <v>197</v>
      </c>
      <c r="DJ96" s="342" t="s">
        <v>197</v>
      </c>
      <c r="DK96" s="342" t="s">
        <v>197</v>
      </c>
      <c r="DL96" s="342" t="s">
        <v>197</v>
      </c>
      <c r="DM96" s="342" t="s">
        <v>197</v>
      </c>
      <c r="DN96" s="342" t="s">
        <v>197</v>
      </c>
      <c r="DO96" s="342" t="s">
        <v>197</v>
      </c>
      <c r="DP96" s="342" t="s">
        <v>197</v>
      </c>
      <c r="DQ96" s="342" t="s">
        <v>197</v>
      </c>
      <c r="DR96" s="342" t="s">
        <v>197</v>
      </c>
      <c r="DS96" s="342" t="s">
        <v>197</v>
      </c>
      <c r="DT96" s="342" t="s">
        <v>197</v>
      </c>
      <c r="DU96" s="342" t="s">
        <v>197</v>
      </c>
      <c r="DV96" s="342" t="s">
        <v>197</v>
      </c>
      <c r="DW96" s="342" t="s">
        <v>197</v>
      </c>
      <c r="DX96" s="342" t="s">
        <v>197</v>
      </c>
      <c r="DY96" s="342" t="s">
        <v>197</v>
      </c>
      <c r="DZ96" s="342" t="s">
        <v>197</v>
      </c>
      <c r="EA96" s="342" t="s">
        <v>197</v>
      </c>
      <c r="EB96" s="342" t="s">
        <v>197</v>
      </c>
      <c r="EC96" s="342" t="s">
        <v>197</v>
      </c>
      <c r="ED96" s="342" t="s">
        <v>197</v>
      </c>
      <c r="EE96" s="342" t="s">
        <v>197</v>
      </c>
      <c r="EF96" s="343" t="s">
        <v>197</v>
      </c>
      <c r="EG96" s="343" t="s">
        <v>197</v>
      </c>
      <c r="EH96" s="343" t="s">
        <v>197</v>
      </c>
      <c r="EI96" s="339"/>
      <c r="EJ96" s="339"/>
    </row>
    <row r="97" spans="1:140" s="49" customFormat="1">
      <c r="A97" s="48" t="s">
        <v>198</v>
      </c>
      <c r="BF97" s="52">
        <f t="shared" ref="BF97:DE97" si="186">BF95/BB95-1</f>
      </c>
      <c r="BG97" s="52">
        <f t="shared" si="186"/>
      </c>
      <c r="BH97" s="52">
        <f t="shared" si="186"/>
      </c>
      <c r="BI97" s="52">
        <f t="shared" si="186"/>
      </c>
      <c r="BJ97" s="52">
        <f t="shared" si="186"/>
      </c>
      <c r="BK97" s="52">
        <f t="shared" si="186"/>
      </c>
      <c r="BL97" s="52">
        <f t="shared" si="186"/>
      </c>
      <c r="BM97" s="52">
        <f t="shared" si="186"/>
      </c>
      <c r="BN97" s="52">
        <f t="shared" si="186"/>
      </c>
      <c r="BO97" s="52">
        <f t="shared" si="186"/>
      </c>
      <c r="BP97" s="52">
        <f t="shared" si="186"/>
      </c>
      <c r="BQ97" s="52">
        <f t="shared" si="186"/>
      </c>
      <c r="BR97" s="52">
        <f t="shared" si="186"/>
      </c>
      <c r="BS97" s="52">
        <f t="shared" si="186"/>
      </c>
      <c r="BT97" s="52">
        <f t="shared" si="186"/>
      </c>
      <c r="BU97" s="52">
        <f t="shared" si="186"/>
      </c>
      <c r="BV97" s="52">
        <f t="shared" si="186"/>
      </c>
      <c r="BW97" s="52">
        <f t="shared" si="186"/>
      </c>
      <c r="BX97" s="52">
        <f t="shared" si="186"/>
      </c>
      <c r="BY97" s="52">
        <f t="shared" si="186"/>
      </c>
      <c r="BZ97" s="52">
        <f t="shared" si="186"/>
      </c>
      <c r="CA97" s="52">
        <f t="shared" si="186"/>
      </c>
      <c r="CB97" s="52">
        <f t="shared" si="186"/>
      </c>
      <c r="CC97" s="52">
        <f t="shared" si="186"/>
      </c>
      <c r="CD97" s="52">
        <f t="shared" si="186"/>
      </c>
      <c r="CE97" s="52">
        <f t="shared" si="186"/>
      </c>
      <c r="CF97" s="52">
        <f t="shared" si="186"/>
      </c>
      <c r="CG97" s="52">
        <f t="shared" si="186"/>
      </c>
      <c r="CH97" s="52">
        <f t="shared" si="186"/>
      </c>
      <c r="CI97" s="52">
        <f t="shared" si="186"/>
      </c>
      <c r="CJ97" s="52">
        <f t="shared" si="186"/>
      </c>
      <c r="CK97" s="52">
        <f t="shared" si="186"/>
      </c>
      <c r="CL97" s="52">
        <f t="shared" si="186"/>
      </c>
      <c r="CM97" s="52">
        <f t="shared" si="186"/>
      </c>
      <c r="CN97" s="52">
        <f t="shared" si="186"/>
      </c>
      <c r="CO97" s="52">
        <f t="shared" si="186"/>
      </c>
      <c r="CP97" s="52">
        <f t="shared" si="186"/>
      </c>
      <c r="CQ97" s="52">
        <f t="shared" si="186"/>
      </c>
      <c r="CR97" s="52">
        <f t="shared" si="186"/>
      </c>
      <c r="CS97" s="52">
        <f t="shared" si="186"/>
      </c>
      <c r="CT97" s="52">
        <f t="shared" si="186"/>
      </c>
      <c r="CU97" s="52">
        <f t="shared" si="186"/>
      </c>
      <c r="CV97" s="53">
        <f t="shared" si="186"/>
      </c>
      <c r="CW97" s="53">
        <f t="shared" si="186"/>
      </c>
      <c r="CX97" s="53">
        <f t="shared" si="186"/>
      </c>
      <c r="CY97" s="53">
        <f t="shared" si="186"/>
      </c>
      <c r="CZ97" s="53">
        <f t="shared" si="186"/>
      </c>
      <c r="DA97" s="53">
        <f t="shared" si="186"/>
      </c>
      <c r="DB97" s="53">
        <f t="shared" si="186"/>
      </c>
      <c r="DC97" s="53">
        <f t="shared" si="186"/>
      </c>
      <c r="DD97" s="53">
        <f t="shared" si="186"/>
      </c>
      <c r="DE97" s="53">
        <f t="shared" si="186"/>
      </c>
      <c r="DQ97" s="62"/>
      <c r="DR97" s="62"/>
      <c r="DS97" s="394"/>
      <c r="DT97" s="394">
        <f t="shared" ref="DT97:EH97" si="187">DT95/DS95-1</f>
      </c>
      <c r="DU97" s="49">
        <f t="shared" si="187"/>
      </c>
      <c r="DV97" s="49">
        <f t="shared" si="187"/>
      </c>
      <c r="DW97" s="49">
        <f t="shared" si="187"/>
      </c>
      <c r="DX97" s="49">
        <f t="shared" si="187"/>
      </c>
      <c r="DY97" s="49">
        <f t="shared" si="187"/>
      </c>
      <c r="DZ97" s="49">
        <f t="shared" si="187"/>
      </c>
      <c r="EA97" s="49">
        <f t="shared" si="187"/>
      </c>
      <c r="EB97" s="49">
        <f t="shared" si="187"/>
      </c>
      <c r="EC97" s="49">
        <f t="shared" si="187"/>
      </c>
      <c r="ED97" s="49">
        <f t="shared" si="187"/>
      </c>
      <c r="EE97" s="49">
        <f t="shared" si="187"/>
      </c>
      <c r="EF97" s="345">
        <f t="shared" si="187"/>
      </c>
      <c r="EG97" s="345">
        <f t="shared" si="187"/>
      </c>
      <c r="EH97" s="345">
        <f t="shared" si="187"/>
      </c>
    </row>
    <row r="98" spans="1:140" s="49" customFormat="1">
      <c r="A98" s="48" t="s">
        <v>227</v>
      </c>
      <c r="BB98" s="52">
        <f t="shared" ref="BB98:CR98" si="188">BB95/BB$131</f>
      </c>
      <c r="BC98" s="52">
        <f t="shared" si="188"/>
      </c>
      <c r="BD98" s="52">
        <f t="shared" si="188"/>
      </c>
      <c r="BE98" s="52">
        <f t="shared" si="188"/>
      </c>
      <c r="BF98" s="52">
        <f t="shared" si="188"/>
      </c>
      <c r="BG98" s="52">
        <f t="shared" si="188"/>
      </c>
      <c r="BH98" s="52">
        <f t="shared" si="188"/>
      </c>
      <c r="BI98" s="52">
        <f t="shared" si="188"/>
      </c>
      <c r="BJ98" s="52">
        <f t="shared" si="188"/>
      </c>
      <c r="BK98" s="52">
        <f t="shared" si="188"/>
      </c>
      <c r="BL98" s="52">
        <f t="shared" si="188"/>
      </c>
      <c r="BM98" s="52">
        <f t="shared" si="188"/>
      </c>
      <c r="BN98" s="52">
        <f t="shared" si="188"/>
      </c>
      <c r="BO98" s="52">
        <f t="shared" si="188"/>
      </c>
      <c r="BP98" s="52">
        <f t="shared" si="188"/>
      </c>
      <c r="BQ98" s="52">
        <f t="shared" si="188"/>
      </c>
      <c r="BR98" s="52">
        <f t="shared" si="188"/>
      </c>
      <c r="BS98" s="52">
        <f t="shared" si="188"/>
      </c>
      <c r="BT98" s="52">
        <f t="shared" si="188"/>
      </c>
      <c r="BU98" s="52">
        <f t="shared" si="188"/>
      </c>
      <c r="BV98" s="52">
        <f t="shared" si="188"/>
      </c>
      <c r="BW98" s="52">
        <f t="shared" si="188"/>
      </c>
      <c r="BX98" s="52">
        <f t="shared" si="188"/>
      </c>
      <c r="BY98" s="52">
        <f t="shared" si="188"/>
      </c>
      <c r="BZ98" s="52">
        <f t="shared" si="188"/>
      </c>
      <c r="CA98" s="52">
        <f t="shared" si="188"/>
      </c>
      <c r="CB98" s="52">
        <f t="shared" si="188"/>
      </c>
      <c r="CC98" s="52">
        <f t="shared" si="188"/>
      </c>
      <c r="CD98" s="52">
        <f t="shared" si="188"/>
      </c>
      <c r="CE98" s="52">
        <f t="shared" si="188"/>
      </c>
      <c r="CF98" s="52">
        <f t="shared" si="188"/>
      </c>
      <c r="CG98" s="52">
        <f t="shared" si="188"/>
      </c>
      <c r="CH98" s="52">
        <f t="shared" si="188"/>
      </c>
      <c r="CI98" s="52">
        <f t="shared" si="188"/>
      </c>
      <c r="CJ98" s="52">
        <f t="shared" si="188"/>
      </c>
      <c r="CK98" s="52">
        <f t="shared" si="188"/>
      </c>
      <c r="CL98" s="52">
        <f t="shared" si="188"/>
      </c>
      <c r="CM98" s="52">
        <f t="shared" si="188"/>
      </c>
      <c r="CN98" s="52">
        <f>CN95/CN$131</f>
      </c>
      <c r="CO98" s="52">
        <f>CO95/CO$131</f>
      </c>
      <c r="CP98" s="52">
        <f>CP95/CP$131</f>
      </c>
      <c r="CQ98" s="52">
        <f>CQ95/CQ$131</f>
      </c>
      <c r="CR98" s="52">
        <f t="shared" si="188"/>
      </c>
      <c r="CS98" s="52">
        <f>CS95/CS$131</f>
      </c>
      <c r="CT98" s="52">
        <f>CT95/CT$131</f>
      </c>
      <c r="CU98" s="52">
        <f t="shared" ref="CU98:DA98" si="189">CU95/CU$131</f>
      </c>
      <c r="CV98" s="53">
        <f t="shared" si="189"/>
      </c>
      <c r="CW98" s="53">
        <f t="shared" si="189"/>
      </c>
      <c r="CX98" s="53">
        <f t="shared" si="189"/>
      </c>
      <c r="CY98" s="53">
        <f t="shared" si="189"/>
      </c>
      <c r="CZ98" s="53">
        <f t="shared" si="189"/>
      </c>
      <c r="DA98" s="53">
        <f t="shared" si="189"/>
      </c>
      <c r="DB98" s="53">
        <f>DB95/DB$131</f>
      </c>
      <c r="DC98" s="53">
        <f>DC95/DC$131</f>
      </c>
      <c r="DD98" s="53">
        <f>DD95/DD$131</f>
      </c>
      <c r="DE98" s="53">
        <f>DE95/DE$131</f>
      </c>
      <c r="DQ98" s="62"/>
      <c r="DR98" s="62"/>
      <c r="DS98" s="394">
        <f t="shared" ref="DS98:EE98" si="190">DS95/DS$131</f>
      </c>
      <c r="DT98" s="394">
        <f t="shared" si="190"/>
      </c>
      <c r="DU98" s="49">
        <f t="shared" si="190"/>
      </c>
      <c r="DV98" s="49">
        <f t="shared" si="190"/>
      </c>
      <c r="DW98" s="49">
        <f t="shared" si="190"/>
      </c>
      <c r="DX98" s="49">
        <f t="shared" si="190"/>
      </c>
      <c r="DY98" s="49">
        <f t="shared" si="190"/>
      </c>
      <c r="DZ98" s="49">
        <f t="shared" si="190"/>
      </c>
      <c r="EA98" s="49">
        <f t="shared" si="190"/>
      </c>
      <c r="EB98" s="49">
        <f t="shared" si="190"/>
      </c>
      <c r="EC98" s="49">
        <f t="shared" si="190"/>
      </c>
      <c r="ED98" s="49">
        <f t="shared" si="190"/>
      </c>
      <c r="EE98" s="49">
        <f t="shared" si="190"/>
      </c>
      <c r="EF98" s="341">
        <f>EF95/EF$131</f>
      </c>
      <c r="EG98" s="341">
        <f>EG95/EG$131</f>
      </c>
      <c r="EH98" s="341">
        <f>EH95/EH$131</f>
      </c>
    </row>
    <row r="99" spans="1:140" s="47" customFormat="1">
      <c r="A99" s="348" t="s">
        <v>233</v>
      </c>
      <c r="AX99" s="35"/>
      <c r="AY99" s="35"/>
      <c r="AZ99" s="35"/>
      <c r="BA99" s="35"/>
      <c r="BB99" s="35">
        <v>57</v>
      </c>
      <c r="BC99" s="35">
        <v>83</v>
      </c>
      <c r="BD99" s="35">
        <v>90</v>
      </c>
      <c r="BE99" s="35">
        <v>88</v>
      </c>
      <c r="BF99" s="35">
        <v>88</v>
      </c>
      <c r="BG99" s="35">
        <v>73</v>
      </c>
      <c r="BH99" s="35">
        <v>82</v>
      </c>
      <c r="BI99" s="35">
        <v>97</v>
      </c>
      <c r="BJ99" s="35">
        <v>143</v>
      </c>
      <c r="BK99" s="35">
        <v>151</v>
      </c>
      <c r="BL99" s="35">
        <v>240</v>
      </c>
      <c r="BM99" s="35">
        <v>296</v>
      </c>
      <c r="BN99" s="35">
        <v>409</v>
      </c>
      <c r="BO99" s="35">
        <v>416</v>
      </c>
      <c r="BP99" s="35">
        <v>501</v>
      </c>
      <c r="BQ99" s="35">
        <v>606</v>
      </c>
      <c r="BR99" s="35">
        <v>701</v>
      </c>
      <c r="BS99" s="35">
        <v>760</v>
      </c>
      <c r="BT99" s="35">
        <v>792</v>
      </c>
      <c r="BU99" s="35">
        <v>679</v>
      </c>
      <c r="BV99" s="35">
        <v>634</v>
      </c>
      <c r="BW99" s="35">
        <v>655</v>
      </c>
      <c r="BX99" s="35">
        <v>726</v>
      </c>
      <c r="BY99" s="35">
        <v>968</v>
      </c>
      <c r="BZ99" s="35">
        <v>1141</v>
      </c>
      <c r="CA99" s="35">
        <f t="shared" ref="CA99:CS99" si="191">CA95-CA103</f>
      </c>
      <c r="CB99" s="35">
        <f t="shared" si="191"/>
      </c>
      <c r="CC99" s="35">
        <f t="shared" si="191"/>
      </c>
      <c r="CD99" s="35">
        <f t="shared" si="191"/>
      </c>
      <c r="CE99" s="35">
        <f t="shared" si="191"/>
      </c>
      <c r="CF99" s="35">
        <f t="shared" si="191"/>
      </c>
      <c r="CG99" s="35">
        <f t="shared" si="191"/>
      </c>
      <c r="CH99" s="35">
        <f t="shared" si="191"/>
      </c>
      <c r="CI99" s="35">
        <f t="shared" si="191"/>
      </c>
      <c r="CJ99" s="35">
        <f t="shared" si="191"/>
      </c>
      <c r="CK99" s="35">
        <f>CK95-CK103</f>
      </c>
      <c r="CL99" s="35">
        <f t="shared" si="191"/>
      </c>
      <c r="CM99" s="35">
        <f t="shared" si="191"/>
      </c>
      <c r="CN99" s="35">
        <f t="shared" si="191"/>
      </c>
      <c r="CO99" s="35">
        <f t="shared" si="191"/>
      </c>
      <c r="CP99" s="35">
        <f t="shared" si="191"/>
      </c>
      <c r="CQ99" s="35">
        <f t="shared" si="191"/>
      </c>
      <c r="CR99" s="35">
        <f t="shared" si="191"/>
      </c>
      <c r="CS99" s="35">
        <f t="shared" si="191"/>
      </c>
      <c r="CT99" s="35">
        <f>CT95-CT103</f>
      </c>
      <c r="CU99" s="35">
        <f>CU95-CU103</f>
      </c>
      <c r="CV99" s="338">
        <f>Datacenter!BT15</f>
      </c>
      <c r="CW99" s="338">
        <f>Datacenter!BU15</f>
      </c>
      <c r="CX99" s="338">
        <f>Datacenter!BV15</f>
      </c>
      <c r="CY99" s="338">
        <f>Datacenter!BW15</f>
      </c>
      <c r="CZ99" s="338">
        <f>Datacenter!BX15</f>
      </c>
      <c r="DA99" s="338">
        <f>Datacenter!BY15</f>
      </c>
      <c r="DB99" s="338">
        <f>Datacenter!BZ15</f>
      </c>
      <c r="DC99" s="338">
        <f>Datacenter!CA15</f>
      </c>
      <c r="DD99" s="338">
        <f>Datacenter!CB15</f>
      </c>
      <c r="DE99" s="338">
        <f>Datacenter!CC15</f>
      </c>
      <c r="DQ99" s="35"/>
      <c r="DR99" s="35"/>
      <c r="DS99" s="35">
        <v>129</v>
      </c>
      <c r="DT99" s="35">
        <v>199</v>
      </c>
      <c r="DU99" s="35">
        <f>SUM(BB99:BE99)</f>
      </c>
      <c r="DV99" s="35">
        <f>SUM(BF99:BI99)</f>
      </c>
      <c r="DW99" s="35">
        <f>SUM(BJ99:BM99)</f>
      </c>
      <c r="DX99" s="35">
        <f>SUM(BN99:BQ99)</f>
      </c>
      <c r="DY99" s="35">
        <f>SUM(BR99:BU99)</f>
      </c>
      <c r="DZ99" s="35">
        <f>BV99+BW99+BX99+BY99</f>
      </c>
      <c r="EA99" s="35">
        <f>SUM(BZ99:CC99)</f>
      </c>
      <c r="EB99" s="35">
        <f>+CD99+CE99+CF99+CG99</f>
      </c>
      <c r="EC99" s="35">
        <f>SUM(CH99:CK99)</f>
      </c>
      <c r="ED99" s="35">
        <f>SUM(CL99:CO99)</f>
      </c>
      <c r="EE99" s="35">
        <f>SUM(CP99:CS99)</f>
      </c>
      <c r="EF99" s="338">
        <f>SUM(CT99:CW99)</f>
      </c>
      <c r="EG99" s="338">
        <f>SUM(CX99:DA99)</f>
      </c>
      <c r="EH99" s="338">
        <f>SUM(DB99:DE99)</f>
      </c>
      <c r="EI99" s="35"/>
      <c r="EJ99" s="395"/>
    </row>
    <row r="100" spans="1:140" s="49" customFormat="1">
      <c r="A100" s="349" t="s">
        <v>196</v>
      </c>
      <c r="BC100" s="52">
        <f t="shared" ref="BC100:BP100" si="192">BC99/BB99-1</f>
      </c>
      <c r="BD100" s="52">
        <f t="shared" si="192"/>
      </c>
      <c r="BE100" s="52">
        <f t="shared" si="192"/>
      </c>
      <c r="BF100" s="52">
        <f t="shared" si="192"/>
      </c>
      <c r="BG100" s="52">
        <f t="shared" si="192"/>
      </c>
      <c r="BH100" s="52">
        <f t="shared" si="192"/>
      </c>
      <c r="BI100" s="52">
        <f t="shared" si="192"/>
      </c>
      <c r="BJ100" s="52">
        <f t="shared" si="192"/>
      </c>
      <c r="BK100" s="52">
        <f t="shared" si="192"/>
      </c>
      <c r="BL100" s="52">
        <f t="shared" si="192"/>
      </c>
      <c r="BM100" s="52">
        <f t="shared" si="192"/>
      </c>
      <c r="BN100" s="52">
        <f t="shared" si="192"/>
      </c>
      <c r="BO100" s="52">
        <f t="shared" si="192"/>
      </c>
      <c r="BP100" s="52">
        <f t="shared" si="192"/>
      </c>
      <c r="BQ100" s="52">
        <f>BQ99/BP99-1</f>
      </c>
      <c r="BR100" s="52">
        <f>BR99/BQ99-1</f>
      </c>
      <c r="BS100" s="52">
        <f>BS99/BR99-1</f>
      </c>
      <c r="BT100" s="52">
        <f>BT99/BS99-1</f>
      </c>
      <c r="BU100" s="52">
        <f>BU99/BT99-1</f>
      </c>
      <c r="BV100" s="52">
        <f t="shared" ref="BV100:DA100" si="193">BV99/BU99-1</f>
      </c>
      <c r="BW100" s="52">
        <f t="shared" si="193"/>
      </c>
      <c r="BX100" s="52">
        <f>BX99/BW99-1</f>
      </c>
      <c r="BY100" s="52">
        <f t="shared" si="193"/>
      </c>
      <c r="BZ100" s="52">
        <f t="shared" si="193"/>
      </c>
      <c r="CA100" s="52">
        <f t="shared" si="193"/>
      </c>
      <c r="CB100" s="52">
        <f t="shared" si="193"/>
      </c>
      <c r="CC100" s="52">
        <f t="shared" si="193"/>
      </c>
      <c r="CD100" s="52">
        <f t="shared" si="193"/>
      </c>
      <c r="CE100" s="52">
        <f t="shared" si="193"/>
      </c>
      <c r="CF100" s="52">
        <f t="shared" si="193"/>
      </c>
      <c r="CG100" s="52">
        <f t="shared" si="193"/>
      </c>
      <c r="CH100" s="52">
        <f t="shared" si="193"/>
      </c>
      <c r="CI100" s="52">
        <f t="shared" si="193"/>
      </c>
      <c r="CJ100" s="52">
        <f t="shared" si="193"/>
      </c>
      <c r="CK100" s="52">
        <f t="shared" si="193"/>
      </c>
      <c r="CL100" s="52">
        <f t="shared" si="193"/>
      </c>
      <c r="CM100" s="52">
        <f t="shared" si="193"/>
      </c>
      <c r="CN100" s="52">
        <f t="shared" si="193"/>
      </c>
      <c r="CO100" s="52">
        <f t="shared" si="193"/>
      </c>
      <c r="CP100" s="52">
        <f t="shared" si="193"/>
      </c>
      <c r="CQ100" s="52">
        <f t="shared" si="193"/>
      </c>
      <c r="CR100" s="52">
        <f t="shared" si="193"/>
      </c>
      <c r="CS100" s="52">
        <f t="shared" si="193"/>
      </c>
      <c r="CT100" s="52">
        <f t="shared" si="193"/>
      </c>
      <c r="CU100" s="52">
        <f t="shared" si="193"/>
      </c>
      <c r="CV100" s="53">
        <f t="shared" si="193"/>
      </c>
      <c r="CW100" s="53">
        <f t="shared" si="193"/>
      </c>
      <c r="CX100" s="53">
        <f t="shared" si="193"/>
      </c>
      <c r="CY100" s="53">
        <f t="shared" si="193"/>
      </c>
      <c r="CZ100" s="53">
        <f t="shared" si="193"/>
      </c>
      <c r="DA100" s="53">
        <f t="shared" si="193"/>
      </c>
      <c r="DB100" s="53">
        <f>DB99/DA99-1</f>
      </c>
      <c r="DC100" s="53">
        <f>DC99/DB99-1</f>
      </c>
      <c r="DD100" s="53">
        <f>DD99/DC99-1</f>
      </c>
      <c r="DE100" s="53">
        <f>DE99/DD99-1</f>
      </c>
      <c r="DH100" s="342" t="s">
        <v>197</v>
      </c>
      <c r="DI100" s="342" t="s">
        <v>197</v>
      </c>
      <c r="DJ100" s="342" t="s">
        <v>197</v>
      </c>
      <c r="DK100" s="342" t="s">
        <v>197</v>
      </c>
      <c r="DL100" s="342" t="s">
        <v>197</v>
      </c>
      <c r="DM100" s="342" t="s">
        <v>197</v>
      </c>
      <c r="DN100" s="342" t="s">
        <v>197</v>
      </c>
      <c r="DO100" s="342" t="s">
        <v>197</v>
      </c>
      <c r="DP100" s="342" t="s">
        <v>197</v>
      </c>
      <c r="DQ100" s="342" t="s">
        <v>197</v>
      </c>
      <c r="DR100" s="342" t="s">
        <v>197</v>
      </c>
      <c r="DS100" s="342" t="s">
        <v>197</v>
      </c>
      <c r="DT100" s="342" t="s">
        <v>197</v>
      </c>
      <c r="DU100" s="342" t="s">
        <v>197</v>
      </c>
      <c r="DV100" s="342" t="s">
        <v>197</v>
      </c>
      <c r="DW100" s="342" t="s">
        <v>197</v>
      </c>
      <c r="DX100" s="342" t="s">
        <v>197</v>
      </c>
      <c r="DY100" s="342" t="s">
        <v>197</v>
      </c>
      <c r="DZ100" s="342" t="s">
        <v>197</v>
      </c>
      <c r="EA100" s="342" t="s">
        <v>197</v>
      </c>
      <c r="EB100" s="342" t="s">
        <v>197</v>
      </c>
      <c r="EC100" s="342" t="s">
        <v>197</v>
      </c>
      <c r="ED100" s="342" t="s">
        <v>197</v>
      </c>
      <c r="EE100" s="342" t="s">
        <v>197</v>
      </c>
      <c r="EF100" s="343" t="s">
        <v>197</v>
      </c>
      <c r="EG100" s="343" t="s">
        <v>197</v>
      </c>
      <c r="EH100" s="343" t="s">
        <v>197</v>
      </c>
      <c r="EI100" s="339"/>
      <c r="EJ100" s="339"/>
    </row>
    <row r="101" spans="1:140" s="49" customFormat="1">
      <c r="A101" s="349" t="s">
        <v>198</v>
      </c>
      <c r="BF101" s="52">
        <f t="shared" ref="BF101:DE101" si="194">BF99/BB99-1</f>
      </c>
      <c r="BG101" s="52">
        <f t="shared" si="194"/>
      </c>
      <c r="BH101" s="52">
        <f t="shared" si="194"/>
      </c>
      <c r="BI101" s="52">
        <f t="shared" si="194"/>
      </c>
      <c r="BJ101" s="52">
        <f t="shared" si="194"/>
      </c>
      <c r="BK101" s="52">
        <f t="shared" si="194"/>
      </c>
      <c r="BL101" s="52">
        <f t="shared" si="194"/>
      </c>
      <c r="BM101" s="52">
        <f t="shared" si="194"/>
      </c>
      <c r="BN101" s="52">
        <f t="shared" si="194"/>
      </c>
      <c r="BO101" s="52">
        <f t="shared" si="194"/>
      </c>
      <c r="BP101" s="52">
        <f t="shared" si="194"/>
      </c>
      <c r="BQ101" s="52">
        <f t="shared" si="194"/>
      </c>
      <c r="BR101" s="52">
        <f t="shared" si="194"/>
      </c>
      <c r="BS101" s="52">
        <f t="shared" si="194"/>
      </c>
      <c r="BT101" s="52">
        <f t="shared" si="194"/>
      </c>
      <c r="BU101" s="52">
        <f t="shared" si="194"/>
      </c>
      <c r="BV101" s="52">
        <f t="shared" si="194"/>
      </c>
      <c r="BW101" s="52">
        <f t="shared" si="194"/>
      </c>
      <c r="BX101" s="52">
        <f t="shared" si="194"/>
      </c>
      <c r="BY101" s="52">
        <f t="shared" si="194"/>
      </c>
      <c r="BZ101" s="52">
        <f t="shared" si="194"/>
      </c>
      <c r="CA101" s="52">
        <f t="shared" si="194"/>
      </c>
      <c r="CB101" s="52">
        <f t="shared" si="194"/>
      </c>
      <c r="CC101" s="52">
        <f t="shared" si="194"/>
      </c>
      <c r="CD101" s="52">
        <f t="shared" si="194"/>
      </c>
      <c r="CE101" s="52">
        <f t="shared" si="194"/>
      </c>
      <c r="CF101" s="52">
        <f t="shared" si="194"/>
      </c>
      <c r="CG101" s="52">
        <f t="shared" si="194"/>
      </c>
      <c r="CH101" s="52">
        <f t="shared" si="194"/>
      </c>
      <c r="CI101" s="52">
        <f t="shared" si="194"/>
      </c>
      <c r="CJ101" s="52">
        <f t="shared" si="194"/>
      </c>
      <c r="CK101" s="52">
        <f t="shared" si="194"/>
      </c>
      <c r="CL101" s="52">
        <f t="shared" si="194"/>
      </c>
      <c r="CM101" s="52">
        <f t="shared" si="194"/>
      </c>
      <c r="CN101" s="52">
        <f t="shared" si="194"/>
      </c>
      <c r="CO101" s="52">
        <f t="shared" si="194"/>
      </c>
      <c r="CP101" s="52">
        <f t="shared" si="194"/>
      </c>
      <c r="CQ101" s="52">
        <f t="shared" si="194"/>
      </c>
      <c r="CR101" s="52">
        <f t="shared" si="194"/>
      </c>
      <c r="CS101" s="52">
        <f t="shared" si="194"/>
      </c>
      <c r="CT101" s="52">
        <f t="shared" si="194"/>
      </c>
      <c r="CU101" s="52">
        <f t="shared" si="194"/>
      </c>
      <c r="CV101" s="53">
        <f t="shared" si="194"/>
      </c>
      <c r="CW101" s="53">
        <f t="shared" si="194"/>
      </c>
      <c r="CX101" s="53">
        <f t="shared" si="194"/>
      </c>
      <c r="CY101" s="53">
        <f t="shared" si="194"/>
      </c>
      <c r="CZ101" s="53">
        <f t="shared" si="194"/>
      </c>
      <c r="DA101" s="53">
        <f t="shared" si="194"/>
      </c>
      <c r="DB101" s="53">
        <f t="shared" si="194"/>
      </c>
      <c r="DC101" s="53">
        <f t="shared" si="194"/>
      </c>
      <c r="DD101" s="53">
        <f t="shared" si="194"/>
      </c>
      <c r="DE101" s="53">
        <f t="shared" si="194"/>
      </c>
      <c r="DQ101" s="62"/>
      <c r="DR101" s="62"/>
      <c r="DS101" s="394"/>
      <c r="DT101" s="394">
        <f t="shared" ref="DT101:EH101" si="195">DT99/DS99-1</f>
      </c>
      <c r="DU101" s="49">
        <f t="shared" si="195"/>
      </c>
      <c r="DV101" s="49">
        <f t="shared" si="195"/>
      </c>
      <c r="DW101" s="49">
        <f t="shared" si="195"/>
      </c>
      <c r="DX101" s="49">
        <f t="shared" si="195"/>
      </c>
      <c r="DY101" s="49">
        <f t="shared" si="195"/>
      </c>
      <c r="DZ101" s="49">
        <f>DZ99/DY99-1</f>
      </c>
      <c r="EA101" s="49">
        <f>EA99/DZ99-1</f>
      </c>
      <c r="EB101" s="49">
        <f t="shared" si="195"/>
      </c>
      <c r="EC101" s="49">
        <f t="shared" si="195"/>
      </c>
      <c r="ED101" s="49">
        <f t="shared" si="195"/>
      </c>
      <c r="EE101" s="49">
        <f t="shared" si="195"/>
      </c>
      <c r="EF101" s="345">
        <f t="shared" si="195"/>
      </c>
      <c r="EG101" s="345">
        <f t="shared" si="195"/>
      </c>
      <c r="EH101" s="345">
        <f t="shared" si="195"/>
      </c>
    </row>
    <row r="102" spans="1:140" s="49" customFormat="1">
      <c r="A102" s="349" t="s">
        <v>227</v>
      </c>
      <c r="BB102" s="52">
        <f t="shared" ref="BB102:CR102" si="196">BB99/BB$131</f>
      </c>
      <c r="BC102" s="52">
        <f t="shared" si="196"/>
      </c>
      <c r="BD102" s="52">
        <f t="shared" si="196"/>
      </c>
      <c r="BE102" s="52">
        <f t="shared" si="196"/>
      </c>
      <c r="BF102" s="52">
        <f t="shared" si="196"/>
      </c>
      <c r="BG102" s="52">
        <f t="shared" si="196"/>
      </c>
      <c r="BH102" s="52">
        <f t="shared" si="196"/>
      </c>
      <c r="BI102" s="52">
        <f t="shared" si="196"/>
      </c>
      <c r="BJ102" s="52">
        <f t="shared" si="196"/>
      </c>
      <c r="BK102" s="52">
        <f t="shared" si="196"/>
      </c>
      <c r="BL102" s="52">
        <f t="shared" si="196"/>
      </c>
      <c r="BM102" s="52">
        <f t="shared" si="196"/>
      </c>
      <c r="BN102" s="52">
        <f t="shared" si="196"/>
      </c>
      <c r="BO102" s="52">
        <f t="shared" si="196"/>
      </c>
      <c r="BP102" s="52">
        <f t="shared" si="196"/>
      </c>
      <c r="BQ102" s="52">
        <f t="shared" si="196"/>
      </c>
      <c r="BR102" s="52">
        <f t="shared" si="196"/>
      </c>
      <c r="BS102" s="52">
        <f t="shared" si="196"/>
      </c>
      <c r="BT102" s="52">
        <f t="shared" si="196"/>
      </c>
      <c r="BU102" s="52">
        <f t="shared" si="196"/>
      </c>
      <c r="BV102" s="52">
        <f t="shared" si="196"/>
      </c>
      <c r="BW102" s="52">
        <f t="shared" si="196"/>
      </c>
      <c r="BX102" s="52">
        <f t="shared" si="196"/>
      </c>
      <c r="BY102" s="52">
        <f t="shared" si="196"/>
      </c>
      <c r="BZ102" s="52">
        <f t="shared" si="196"/>
      </c>
      <c r="CA102" s="52">
        <f t="shared" si="196"/>
      </c>
      <c r="CB102" s="52">
        <f t="shared" si="196"/>
      </c>
      <c r="CC102" s="52">
        <f t="shared" si="196"/>
      </c>
      <c r="CD102" s="52">
        <f t="shared" si="196"/>
      </c>
      <c r="CE102" s="52">
        <f t="shared" si="196"/>
      </c>
      <c r="CF102" s="52">
        <f t="shared" si="196"/>
      </c>
      <c r="CG102" s="52">
        <f t="shared" si="196"/>
      </c>
      <c r="CH102" s="52">
        <f t="shared" si="196"/>
      </c>
      <c r="CI102" s="52">
        <f t="shared" si="196"/>
      </c>
      <c r="CJ102" s="52">
        <f t="shared" si="196"/>
      </c>
      <c r="CK102" s="52">
        <f t="shared" si="196"/>
      </c>
      <c r="CL102" s="52">
        <f t="shared" si="196"/>
      </c>
      <c r="CM102" s="52">
        <f t="shared" si="196"/>
      </c>
      <c r="CN102" s="52">
        <f>CN99/CN$131</f>
      </c>
      <c r="CO102" s="52">
        <f>CO99/CO$131</f>
      </c>
      <c r="CP102" s="52">
        <f>CP99/CP$131</f>
      </c>
      <c r="CQ102" s="52">
        <f>CQ99/CQ$131</f>
      </c>
      <c r="CR102" s="52">
        <f t="shared" si="196"/>
      </c>
      <c r="CS102" s="52">
        <f>CS99/CS$131</f>
      </c>
      <c r="CT102" s="52">
        <f>CT99/CT$131</f>
      </c>
      <c r="CU102" s="52">
        <f t="shared" ref="CU102:DA102" si="197">CU99/CU$131</f>
      </c>
      <c r="CV102" s="53">
        <f t="shared" si="197"/>
      </c>
      <c r="CW102" s="53">
        <f t="shared" si="197"/>
      </c>
      <c r="CX102" s="53">
        <f t="shared" si="197"/>
      </c>
      <c r="CY102" s="53">
        <f t="shared" si="197"/>
      </c>
      <c r="CZ102" s="53">
        <f t="shared" si="197"/>
      </c>
      <c r="DA102" s="53">
        <f t="shared" si="197"/>
      </c>
      <c r="DB102" s="53">
        <f>DB99/DB$131</f>
      </c>
      <c r="DC102" s="53">
        <f>DC99/DC$131</f>
      </c>
      <c r="DD102" s="53">
        <f>DD99/DD$131</f>
      </c>
      <c r="DE102" s="53">
        <f>DE99/DE$131</f>
      </c>
      <c r="DQ102" s="62"/>
      <c r="DR102" s="62"/>
      <c r="DS102" s="394">
        <f t="shared" ref="DS102:EE102" si="198">DS99/DS$131</f>
      </c>
      <c r="DT102" s="394">
        <f t="shared" si="198"/>
      </c>
      <c r="DU102" s="49">
        <f t="shared" si="198"/>
      </c>
      <c r="DV102" s="49">
        <f t="shared" si="198"/>
      </c>
      <c r="DW102" s="49">
        <f t="shared" si="198"/>
      </c>
      <c r="DX102" s="49">
        <f t="shared" si="198"/>
      </c>
      <c r="DY102" s="49">
        <f t="shared" si="198"/>
      </c>
      <c r="DZ102" s="49">
        <f t="shared" si="198"/>
      </c>
      <c r="EA102" s="49">
        <f t="shared" si="198"/>
      </c>
      <c r="EB102" s="49">
        <f t="shared" si="198"/>
      </c>
      <c r="EC102" s="49">
        <f t="shared" si="198"/>
      </c>
      <c r="ED102" s="49">
        <f t="shared" si="198"/>
      </c>
      <c r="EE102" s="49">
        <f t="shared" si="198"/>
      </c>
      <c r="EF102" s="341">
        <f>EF99/EF$131</f>
      </c>
      <c r="EG102" s="341">
        <f>EG99/EG$131</f>
      </c>
      <c r="EH102" s="341">
        <f>EH99/EH$131</f>
      </c>
    </row>
    <row r="103" spans="1:140" s="47" customFormat="1">
      <c r="A103" s="348" t="s">
        <v>234</v>
      </c>
      <c r="R103" s="35">
        <v>7.6820000000000004</v>
      </c>
      <c r="S103" s="35">
        <v>10.039999999999999</v>
      </c>
      <c r="T103" s="35">
        <v>12.151999999999999</v>
      </c>
      <c r="U103" s="35">
        <v>12.194000000000001</v>
      </c>
      <c r="V103" s="35">
        <v>8.5060000000000002</v>
      </c>
      <c r="W103" s="35">
        <v>10.813000000000001</v>
      </c>
      <c r="X103" s="35">
        <v>13.422000000000001</v>
      </c>
      <c r="Y103" s="35">
        <v>15.798</v>
      </c>
      <c r="Z103" s="35">
        <v>16.855</v>
      </c>
      <c r="AA103" s="35">
        <v>19.779</v>
      </c>
      <c r="AB103" s="35">
        <v>22.664000000000001</v>
      </c>
      <c r="AC103" s="35">
        <v>24.78</v>
      </c>
      <c r="AD103" s="35">
        <v>25.155000000000001</v>
      </c>
      <c r="AE103" s="35">
        <v>28.201000000000001</v>
      </c>
      <c r="AF103" s="35">
        <v>29.138000000000002</v>
      </c>
      <c r="AG103" s="35">
        <v>25.207000000000001</v>
      </c>
      <c r="AH103" s="35">
        <v>22.558</v>
      </c>
      <c r="AI103" s="35">
        <v>25.286000000000001</v>
      </c>
      <c r="AJ103" s="35">
        <v>32.670999999999999</v>
      </c>
      <c r="AK103" s="35">
        <v>35.529000000000003</v>
      </c>
      <c r="AL103" s="35">
        <v>36.21</v>
      </c>
      <c r="AM103" s="35">
        <v>39.957999999999998</v>
      </c>
      <c r="AN103" s="35">
        <v>37.779000000000003</v>
      </c>
      <c r="AO103" s="35">
        <v>40.692999999999998</v>
      </c>
      <c r="AP103" s="35">
        <v>55.057000000000002</v>
      </c>
      <c r="AQ103" s="35">
        <v>63.344999999999999</v>
      </c>
      <c r="AR103" s="35">
        <v>68.16</v>
      </c>
      <c r="AS103" s="35">
        <v>72.688999999999993</v>
      </c>
      <c r="AT103" s="35">
        <v>86.837999999999994</v>
      </c>
      <c r="AU103" s="35">
        <v>133.47200000000001</v>
      </c>
      <c r="AV103" s="35">
        <v>156.471</v>
      </c>
      <c r="AW103" s="35">
        <v>122.11799999999999</v>
      </c>
      <c r="AX103" s="35">
        <v>83.08</v>
      </c>
      <c r="AY103" s="35">
        <v>98.168000000000006</v>
      </c>
      <c r="AZ103" s="35">
        <v>104.06699999999999</v>
      </c>
      <c r="BA103" s="35">
        <v>105.56</v>
      </c>
      <c r="BB103" s="35">
        <v>98.704999999999998</v>
      </c>
      <c r="BC103" s="35">
        <v>102.574</v>
      </c>
      <c r="BD103" s="35">
        <v>120.708</v>
      </c>
      <c r="BE103" s="35">
        <v>141.11600000000001</v>
      </c>
      <c r="BF103" s="35">
        <v>146.67500000000001</v>
      </c>
      <c r="BG103" s="35">
        <v>163.148</v>
      </c>
      <c r="BH103" s="35">
        <v>171.37700000000001</v>
      </c>
      <c r="BI103" s="35">
        <v>176.94</v>
      </c>
      <c r="BJ103" s="35">
        <v>196.81</v>
      </c>
      <c r="BK103" s="35">
        <v>214.80099999999999</v>
      </c>
      <c r="BL103" s="35">
        <v>224.21100000000001</v>
      </c>
      <c r="BM103" s="35">
        <v>221.67599999999999</v>
      </c>
      <c r="BN103" s="35">
        <v>188.65100000000001</v>
      </c>
      <c r="BO103" s="35">
        <v>211.96199999999999</v>
      </c>
      <c r="BP103" s="35">
        <v>225.69900000000001</v>
      </c>
      <c r="BQ103" s="35">
        <v>237.58099999999999</v>
      </c>
      <c r="BR103" s="35">
        <v>251</v>
      </c>
      <c r="BS103" s="35">
        <v>268.46199999999999</v>
      </c>
      <c r="BT103" s="35">
        <v>279.21100000000001</v>
      </c>
      <c r="BU103" s="35">
        <v>290.07</v>
      </c>
      <c r="BV103" s="35">
        <v>305.21699999999998</v>
      </c>
      <c r="BW103" s="35">
        <v>310.32400000000001</v>
      </c>
      <c r="BX103" s="35">
        <v>335.25099999999998</v>
      </c>
      <c r="BY103" s="35">
        <v>379.78399999999999</v>
      </c>
      <c r="BZ103" s="35">
        <v>428.74599999999998</v>
      </c>
      <c r="CA103" s="35">
        <v>540</v>
      </c>
      <c r="CB103" s="35">
        <v>615</v>
      </c>
      <c r="CC103" s="35">
        <f>BY103*1.31</f>
      </c>
      <c r="CD103" s="35">
        <f>BZ103*1.25</f>
      </c>
      <c r="CE103" s="35">
        <f>CA103*1.2</f>
      </c>
      <c r="CF103" s="35">
        <f t="shared" ref="CF103:CK103" si="199">+CE103*(1+CF104)</f>
      </c>
      <c r="CG103" s="35">
        <f t="shared" si="199"/>
      </c>
      <c r="CH103" s="35">
        <f t="shared" si="199"/>
      </c>
      <c r="CI103" s="35">
        <f t="shared" si="199"/>
      </c>
      <c r="CJ103" s="35">
        <f t="shared" si="199"/>
      </c>
      <c r="CK103" s="35">
        <f t="shared" si="199"/>
      </c>
      <c r="CL103" s="35">
        <v>927</v>
      </c>
      <c r="CM103" s="35">
        <v>1711</v>
      </c>
      <c r="CN103" s="35">
        <f>CO103/1.28</f>
      </c>
      <c r="CO103" s="35">
        <v>3331</v>
      </c>
      <c r="CP103" s="35">
        <v>3171</v>
      </c>
      <c r="CQ103" s="35">
        <v>3668</v>
      </c>
      <c r="CR103" s="35">
        <v>3127</v>
      </c>
      <c r="CS103" s="35">
        <v>3024</v>
      </c>
      <c r="CT103" s="35">
        <v>4957</v>
      </c>
      <c r="CU103" s="35">
        <v>7252</v>
      </c>
      <c r="CV103" s="338">
        <f>+CU103*(1+CV104)</f>
      </c>
      <c r="CW103" s="338">
        <f>+CV103*(1+CW104)</f>
      </c>
      <c r="CX103" s="338">
        <f t="shared" ref="CX103:DE103" si="200">+CW103*(1+CX104)</f>
      </c>
      <c r="CY103" s="338">
        <f t="shared" si="200"/>
      </c>
      <c r="CZ103" s="338">
        <f t="shared" si="200"/>
      </c>
      <c r="DA103" s="338">
        <f t="shared" si="200"/>
      </c>
      <c r="DB103" s="338">
        <f t="shared" si="200"/>
      </c>
      <c r="DC103" s="338">
        <f t="shared" si="200"/>
      </c>
      <c r="DD103" s="338">
        <f t="shared" si="200"/>
      </c>
      <c r="DE103" s="338">
        <f t="shared" si="200"/>
      </c>
      <c r="DQ103" s="35"/>
      <c r="DR103" s="35"/>
      <c r="DS103" s="35">
        <v>56</v>
      </c>
      <c r="DT103" s="35">
        <v>99</v>
      </c>
      <c r="DU103" s="35">
        <f>SUM(BB103:BE103)</f>
      </c>
      <c r="DV103" s="35">
        <f>SUM(BF103:BI103)</f>
      </c>
      <c r="DW103" s="35">
        <f>SUM(BJ103:BM103)</f>
      </c>
      <c r="DX103" s="35">
        <f>SUM(BN103:BQ103)</f>
      </c>
      <c r="DY103" s="35">
        <f>SUM(BR103:BU103)</f>
      </c>
      <c r="DZ103" s="35">
        <f>BV103+BW103+BX103+BY103</f>
      </c>
      <c r="EA103" s="35">
        <f>SUM(BZ103:CC103)</f>
      </c>
      <c r="EB103" s="35">
        <f>+CD103+CE103+CF103+CG103</f>
      </c>
      <c r="EC103" s="35">
        <f>SUM(CH103:CK103)</f>
      </c>
      <c r="ED103" s="35">
        <f>SUM(CL103:CO103)</f>
      </c>
      <c r="EE103" s="35">
        <f>SUM(CP103:CS103)</f>
      </c>
      <c r="EF103" s="338">
        <f>SUM(CT103:CW103)</f>
      </c>
      <c r="EG103" s="338">
        <f>SUM(CX103:DA103)</f>
      </c>
      <c r="EH103" s="338">
        <f>SUM(DB103:DE103)</f>
      </c>
      <c r="EI103" s="35"/>
      <c r="EJ103" s="27"/>
    </row>
    <row r="104" spans="1:140" s="49" customFormat="1">
      <c r="A104" s="349" t="s">
        <v>196</v>
      </c>
      <c r="BC104" s="49">
        <f t="shared" ref="BC104:CA104" si="201">BC103/BB103-1</f>
      </c>
      <c r="BD104" s="49">
        <f t="shared" si="201"/>
      </c>
      <c r="BE104" s="49">
        <f t="shared" si="201"/>
      </c>
      <c r="BF104" s="49">
        <f t="shared" si="201"/>
      </c>
      <c r="BG104" s="49">
        <f t="shared" si="201"/>
      </c>
      <c r="BH104" s="49">
        <f t="shared" si="201"/>
      </c>
      <c r="BI104" s="49">
        <f t="shared" si="201"/>
      </c>
      <c r="BJ104" s="49">
        <f t="shared" si="201"/>
      </c>
      <c r="BK104" s="49">
        <f t="shared" si="201"/>
      </c>
      <c r="BL104" s="49">
        <f t="shared" si="201"/>
      </c>
      <c r="BM104" s="49">
        <f t="shared" si="201"/>
      </c>
      <c r="BN104" s="49">
        <f t="shared" si="201"/>
      </c>
      <c r="BO104" s="49">
        <f t="shared" si="201"/>
      </c>
      <c r="BP104" s="49">
        <f t="shared" si="201"/>
      </c>
      <c r="BQ104" s="49">
        <f t="shared" si="201"/>
      </c>
      <c r="BR104" s="49">
        <f t="shared" si="201"/>
      </c>
      <c r="BS104" s="49">
        <f t="shared" si="201"/>
      </c>
      <c r="BT104" s="49">
        <f t="shared" si="201"/>
      </c>
      <c r="BU104" s="49">
        <f t="shared" si="201"/>
      </c>
      <c r="BV104" s="49">
        <f t="shared" si="201"/>
      </c>
      <c r="BW104" s="49">
        <f t="shared" si="201"/>
      </c>
      <c r="BX104" s="49">
        <f t="shared" si="201"/>
      </c>
      <c r="BY104" s="49">
        <f t="shared" si="201"/>
      </c>
      <c r="BZ104" s="49">
        <f t="shared" si="201"/>
      </c>
      <c r="CA104" s="49">
        <f t="shared" si="201"/>
      </c>
      <c r="CB104" s="49">
        <f>CB103/CA103-1</f>
      </c>
      <c r="CC104" s="49">
        <f>CC103/CB103-1</f>
      </c>
      <c r="CD104" s="49">
        <f>CD103/CC103-1</f>
      </c>
      <c r="CE104" s="49">
        <f>CE103/CD103-1</f>
      </c>
      <c r="CF104" s="49">
        <v>0</v>
      </c>
      <c r="CG104" s="49">
        <v>0.1</v>
      </c>
      <c r="CH104" s="49">
        <v>0.05</v>
      </c>
      <c r="CI104" s="49">
        <v>7.0000000000000007E-2</v>
      </c>
      <c r="CJ104" s="49">
        <v>0.25</v>
      </c>
      <c r="CK104" s="49">
        <v>0.05</v>
      </c>
      <c r="CL104" s="49">
        <f>CL103/CK103-1</f>
      </c>
      <c r="CM104" s="49">
        <f>CM103/CL103-1</f>
      </c>
      <c r="CN104" s="49">
        <v>0.56999999999999995</v>
      </c>
      <c r="CO104" s="49">
        <f t="shared" ref="CO104:CU104" si="202">CO103/CN103-1</f>
      </c>
      <c r="CP104" s="49">
        <f t="shared" si="202"/>
      </c>
      <c r="CQ104" s="49">
        <f t="shared" si="202"/>
      </c>
      <c r="CR104" s="49">
        <f t="shared" si="202"/>
      </c>
      <c r="CS104" s="49">
        <f t="shared" si="202"/>
      </c>
      <c r="CT104" s="49">
        <f t="shared" si="202"/>
      </c>
      <c r="CU104" s="49">
        <f t="shared" si="202"/>
      </c>
      <c r="CV104" s="341">
        <v>0.21</v>
      </c>
      <c r="CW104" s="341">
        <v>0.12</v>
      </c>
      <c r="CX104" s="341">
        <v>0.05</v>
      </c>
      <c r="CY104" s="341">
        <v>0.08</v>
      </c>
      <c r="CZ104" s="341">
        <v>0.11</v>
      </c>
      <c r="DA104" s="341">
        <v>7.0000000000000007E-2</v>
      </c>
      <c r="DB104" s="341">
        <v>0.02</v>
      </c>
      <c r="DC104" s="341">
        <v>0.02</v>
      </c>
      <c r="DD104" s="341">
        <v>0.03</v>
      </c>
      <c r="DE104" s="341">
        <v>0.03</v>
      </c>
      <c r="DF104" s="341"/>
      <c r="DH104" s="342" t="s">
        <v>197</v>
      </c>
      <c r="DI104" s="342" t="s">
        <v>197</v>
      </c>
      <c r="DJ104" s="342" t="s">
        <v>197</v>
      </c>
      <c r="DK104" s="342" t="s">
        <v>197</v>
      </c>
      <c r="DL104" s="342" t="s">
        <v>197</v>
      </c>
      <c r="DM104" s="342" t="s">
        <v>197</v>
      </c>
      <c r="DN104" s="342" t="s">
        <v>197</v>
      </c>
      <c r="DO104" s="342" t="s">
        <v>197</v>
      </c>
      <c r="DP104" s="342" t="s">
        <v>197</v>
      </c>
      <c r="DQ104" s="342" t="s">
        <v>197</v>
      </c>
      <c r="DR104" s="342" t="s">
        <v>197</v>
      </c>
      <c r="DS104" s="342" t="s">
        <v>197</v>
      </c>
      <c r="DT104" s="342" t="s">
        <v>197</v>
      </c>
      <c r="DU104" s="342" t="s">
        <v>197</v>
      </c>
      <c r="DV104" s="342" t="s">
        <v>197</v>
      </c>
      <c r="DW104" s="342" t="s">
        <v>197</v>
      </c>
      <c r="DX104" s="342" t="s">
        <v>197</v>
      </c>
      <c r="DY104" s="342" t="s">
        <v>197</v>
      </c>
      <c r="DZ104" s="342" t="s">
        <v>197</v>
      </c>
      <c r="EA104" s="342" t="s">
        <v>197</v>
      </c>
      <c r="EB104" s="342" t="s">
        <v>197</v>
      </c>
      <c r="EC104" s="342" t="s">
        <v>197</v>
      </c>
      <c r="ED104" s="342" t="s">
        <v>197</v>
      </c>
      <c r="EE104" s="342" t="s">
        <v>197</v>
      </c>
      <c r="EF104" s="343" t="s">
        <v>197</v>
      </c>
      <c r="EG104" s="343" t="s">
        <v>197</v>
      </c>
      <c r="EH104" s="343" t="s">
        <v>197</v>
      </c>
      <c r="EJ104" s="339"/>
    </row>
    <row r="105" spans="1:140" s="49" customFormat="1">
      <c r="A105" s="349" t="s">
        <v>198</v>
      </c>
      <c r="BF105" s="52">
        <f t="shared" ref="BF105:DE105" si="203">BF103/BB103-1</f>
      </c>
      <c r="BG105" s="52">
        <f t="shared" si="203"/>
      </c>
      <c r="BH105" s="52">
        <f t="shared" si="203"/>
      </c>
      <c r="BI105" s="52">
        <f t="shared" si="203"/>
      </c>
      <c r="BJ105" s="52">
        <f t="shared" si="203"/>
      </c>
      <c r="BK105" s="52">
        <f t="shared" si="203"/>
      </c>
      <c r="BL105" s="52">
        <f t="shared" si="203"/>
      </c>
      <c r="BM105" s="52">
        <f t="shared" si="203"/>
      </c>
      <c r="BN105" s="52">
        <f t="shared" si="203"/>
      </c>
      <c r="BO105" s="52">
        <f t="shared" si="203"/>
      </c>
      <c r="BP105" s="52">
        <f t="shared" si="203"/>
      </c>
      <c r="BQ105" s="52">
        <f t="shared" si="203"/>
      </c>
      <c r="BR105" s="52">
        <f t="shared" si="203"/>
      </c>
      <c r="BS105" s="52">
        <f t="shared" si="203"/>
      </c>
      <c r="BT105" s="52">
        <f t="shared" si="203"/>
      </c>
      <c r="BU105" s="52">
        <f t="shared" si="203"/>
      </c>
      <c r="BV105" s="52">
        <f t="shared" si="203"/>
      </c>
      <c r="BW105" s="52">
        <f t="shared" si="203"/>
      </c>
      <c r="BX105" s="52">
        <f t="shared" si="203"/>
      </c>
      <c r="BY105" s="52">
        <f t="shared" si="203"/>
      </c>
      <c r="BZ105" s="52">
        <f t="shared" si="203"/>
      </c>
      <c r="CA105" s="52">
        <f t="shared" si="203"/>
      </c>
      <c r="CB105" s="52">
        <f t="shared" si="203"/>
      </c>
      <c r="CC105" s="52">
        <f t="shared" si="203"/>
      </c>
      <c r="CD105" s="52">
        <f t="shared" si="203"/>
      </c>
      <c r="CE105" s="52">
        <f t="shared" si="203"/>
      </c>
      <c r="CF105" s="52">
        <f t="shared" si="203"/>
      </c>
      <c r="CG105" s="52">
        <f t="shared" si="203"/>
      </c>
      <c r="CH105" s="52">
        <f t="shared" si="203"/>
      </c>
      <c r="CI105" s="52">
        <f t="shared" si="203"/>
      </c>
      <c r="CJ105" s="52">
        <f t="shared" si="203"/>
      </c>
      <c r="CK105" s="52">
        <f t="shared" si="203"/>
      </c>
      <c r="CL105" s="52">
        <f t="shared" si="203"/>
      </c>
      <c r="CM105" s="52">
        <f t="shared" si="203"/>
      </c>
      <c r="CN105" s="52">
        <f t="shared" si="203"/>
      </c>
      <c r="CO105" s="52">
        <f t="shared" si="203"/>
      </c>
      <c r="CP105" s="52">
        <f t="shared" si="203"/>
      </c>
      <c r="CQ105" s="52">
        <f t="shared" si="203"/>
      </c>
      <c r="CR105" s="52">
        <f t="shared" si="203"/>
      </c>
      <c r="CS105" s="52">
        <f t="shared" si="203"/>
      </c>
      <c r="CT105" s="52">
        <f t="shared" si="203"/>
      </c>
      <c r="CU105" s="52">
        <f t="shared" si="203"/>
      </c>
      <c r="CV105" s="53">
        <f t="shared" si="203"/>
      </c>
      <c r="CW105" s="53">
        <f t="shared" si="203"/>
      </c>
      <c r="CX105" s="53">
        <f t="shared" si="203"/>
      </c>
      <c r="CY105" s="53">
        <f t="shared" si="203"/>
      </c>
      <c r="CZ105" s="53">
        <f t="shared" si="203"/>
      </c>
      <c r="DA105" s="53">
        <f t="shared" si="203"/>
      </c>
      <c r="DB105" s="53">
        <f t="shared" si="203"/>
      </c>
      <c r="DC105" s="53">
        <f t="shared" si="203"/>
      </c>
      <c r="DD105" s="53">
        <f t="shared" si="203"/>
      </c>
      <c r="DE105" s="53">
        <f t="shared" si="203"/>
      </c>
      <c r="DQ105" s="62"/>
      <c r="DR105" s="62"/>
      <c r="DS105" s="394"/>
      <c r="DT105" s="394">
        <f t="shared" ref="DT105:EH105" si="204">DT103/DS103-1</f>
      </c>
      <c r="DU105" s="49">
        <f t="shared" si="204"/>
      </c>
      <c r="DV105" s="49">
        <f t="shared" si="204"/>
      </c>
      <c r="DW105" s="49">
        <f t="shared" si="204"/>
      </c>
      <c r="DX105" s="49">
        <f t="shared" si="204"/>
      </c>
      <c r="DY105" s="49">
        <f t="shared" si="204"/>
      </c>
      <c r="DZ105" s="49">
        <f t="shared" si="204"/>
      </c>
      <c r="EA105" s="49">
        <f t="shared" si="204"/>
      </c>
      <c r="EB105" s="49">
        <f t="shared" si="204"/>
      </c>
      <c r="EC105" s="49">
        <f t="shared" si="204"/>
      </c>
      <c r="ED105" s="49">
        <f t="shared" si="204"/>
      </c>
      <c r="EE105" s="49">
        <f t="shared" si="204"/>
      </c>
      <c r="EF105" s="345">
        <f t="shared" si="204"/>
      </c>
      <c r="EG105" s="345">
        <f t="shared" si="204"/>
      </c>
      <c r="EH105" s="345">
        <f t="shared" si="204"/>
      </c>
    </row>
    <row r="106" spans="1:140" s="49" customFormat="1">
      <c r="A106" s="349" t="s">
        <v>227</v>
      </c>
      <c r="BB106" s="49">
        <f t="shared" ref="BB106:BZ106" si="205">BB103/BB$131</f>
      </c>
      <c r="BC106" s="49">
        <f t="shared" si="205"/>
      </c>
      <c r="BD106" s="49">
        <f t="shared" si="205"/>
      </c>
      <c r="BE106" s="49">
        <f t="shared" si="205"/>
      </c>
      <c r="BF106" s="49">
        <f t="shared" si="205"/>
      </c>
      <c r="BG106" s="49">
        <f t="shared" si="205"/>
      </c>
      <c r="BH106" s="49">
        <f t="shared" si="205"/>
      </c>
      <c r="BI106" s="49">
        <f t="shared" si="205"/>
      </c>
      <c r="BJ106" s="49">
        <f t="shared" si="205"/>
      </c>
      <c r="BK106" s="49">
        <f t="shared" si="205"/>
      </c>
      <c r="BL106" s="49">
        <f t="shared" si="205"/>
      </c>
      <c r="BM106" s="49">
        <f t="shared" si="205"/>
      </c>
      <c r="BN106" s="49">
        <f t="shared" si="205"/>
      </c>
      <c r="BO106" s="49">
        <f t="shared" si="205"/>
      </c>
      <c r="BP106" s="49">
        <f t="shared" si="205"/>
      </c>
      <c r="BQ106" s="49">
        <f t="shared" si="205"/>
      </c>
      <c r="BR106" s="49">
        <f t="shared" si="205"/>
      </c>
      <c r="BS106" s="49">
        <f t="shared" si="205"/>
      </c>
      <c r="BT106" s="49">
        <f t="shared" si="205"/>
      </c>
      <c r="BU106" s="49">
        <f t="shared" si="205"/>
      </c>
      <c r="BV106" s="49">
        <f t="shared" si="205"/>
      </c>
      <c r="BW106" s="49">
        <f t="shared" si="205"/>
      </c>
      <c r="BX106" s="49">
        <f t="shared" si="205"/>
      </c>
      <c r="BY106" s="49">
        <f t="shared" si="205"/>
      </c>
      <c r="BZ106" s="49">
        <f t="shared" si="205"/>
      </c>
      <c r="CA106" s="49">
        <f>CA103/CA5</f>
      </c>
      <c r="CB106" s="49">
        <f t="shared" ref="CB106:CS106" si="206">CB103/CB$131</f>
      </c>
      <c r="CC106" s="49">
        <f t="shared" si="206"/>
      </c>
      <c r="CD106" s="49">
        <f t="shared" si="206"/>
      </c>
      <c r="CE106" s="49">
        <f t="shared" si="206"/>
      </c>
      <c r="CF106" s="49">
        <f t="shared" si="206"/>
      </c>
      <c r="CG106" s="49">
        <f t="shared" si="206"/>
      </c>
      <c r="CH106" s="49">
        <f t="shared" si="206"/>
      </c>
      <c r="CI106" s="49">
        <f t="shared" si="206"/>
      </c>
      <c r="CJ106" s="49">
        <f t="shared" si="206"/>
      </c>
      <c r="CK106" s="49">
        <f t="shared" si="206"/>
      </c>
      <c r="CL106" s="49">
        <f t="shared" si="206"/>
      </c>
      <c r="CM106" s="49">
        <f t="shared" si="206"/>
      </c>
      <c r="CN106" s="49">
        <f t="shared" si="206"/>
      </c>
      <c r="CO106" s="49">
        <f t="shared" si="206"/>
      </c>
      <c r="CP106" s="49">
        <f t="shared" si="206"/>
      </c>
      <c r="CQ106" s="49">
        <f t="shared" si="206"/>
      </c>
      <c r="CR106" s="49">
        <f t="shared" si="206"/>
      </c>
      <c r="CS106" s="49">
        <f t="shared" si="206"/>
      </c>
      <c r="CT106" s="49">
        <f>CT103/CT$131</f>
      </c>
      <c r="CU106" s="49">
        <f t="shared" ref="CU106:DA106" si="207">CU103/CU$131</f>
      </c>
      <c r="CV106" s="341">
        <f t="shared" si="207"/>
      </c>
      <c r="CW106" s="341">
        <f t="shared" si="207"/>
      </c>
      <c r="CX106" s="341">
        <f t="shared" si="207"/>
      </c>
      <c r="CY106" s="341">
        <f t="shared" si="207"/>
      </c>
      <c r="CZ106" s="341">
        <f t="shared" si="207"/>
      </c>
      <c r="DA106" s="341">
        <f t="shared" si="207"/>
      </c>
      <c r="DB106" s="341">
        <f>DB103/DB$131</f>
      </c>
      <c r="DC106" s="341">
        <f>DC103/DC$131</f>
      </c>
      <c r="DD106" s="341">
        <f>DD103/DD$131</f>
      </c>
      <c r="DE106" s="341">
        <f>DE103/DE$131</f>
      </c>
      <c r="DQ106" s="62"/>
      <c r="DR106" s="62"/>
      <c r="DS106" s="394">
        <f t="shared" ref="DS106:EE106" si="208">DS103/DS$131</f>
      </c>
      <c r="DT106" s="394">
        <f t="shared" si="208"/>
      </c>
      <c r="DU106" s="49">
        <f t="shared" si="208"/>
      </c>
      <c r="DV106" s="49">
        <f t="shared" si="208"/>
      </c>
      <c r="DW106" s="49">
        <f t="shared" si="208"/>
      </c>
      <c r="DX106" s="49">
        <f t="shared" si="208"/>
      </c>
      <c r="DY106" s="49">
        <f t="shared" si="208"/>
      </c>
      <c r="DZ106" s="49">
        <f t="shared" si="208"/>
      </c>
      <c r="EA106" s="49">
        <f t="shared" si="208"/>
      </c>
      <c r="EB106" s="49">
        <f t="shared" si="208"/>
      </c>
      <c r="EC106" s="49">
        <f t="shared" si="208"/>
      </c>
      <c r="ED106" s="49">
        <f t="shared" si="208"/>
      </c>
      <c r="EE106" s="49">
        <f t="shared" si="208"/>
      </c>
      <c r="EF106" s="341">
        <f>EF103/EF$131</f>
      </c>
      <c r="EG106" s="341">
        <f>EG103/EG$131</f>
      </c>
      <c r="EH106" s="341">
        <f>EH103/EH$131</f>
      </c>
    </row>
    <row r="107" spans="1:140" s="47" customFormat="1">
      <c r="A107" s="35" t="s">
        <v>235</v>
      </c>
      <c r="AX107" s="35"/>
      <c r="AY107" s="35"/>
      <c r="AZ107" s="35"/>
      <c r="BA107" s="35"/>
      <c r="BB107" s="35">
        <v>35</v>
      </c>
      <c r="BC107" s="35">
        <v>40</v>
      </c>
      <c r="BD107" s="35">
        <v>52</v>
      </c>
      <c r="BE107" s="35">
        <v>56</v>
      </c>
      <c r="BF107" s="35">
        <v>77</v>
      </c>
      <c r="BG107" s="35">
        <v>71</v>
      </c>
      <c r="BH107" s="35">
        <v>79</v>
      </c>
      <c r="BI107" s="35">
        <v>93</v>
      </c>
      <c r="BJ107" s="35">
        <v>113</v>
      </c>
      <c r="BK107" s="35">
        <v>119</v>
      </c>
      <c r="BL107" s="35">
        <v>127</v>
      </c>
      <c r="BM107" s="35">
        <v>128</v>
      </c>
      <c r="BN107" s="35">
        <v>140</v>
      </c>
      <c r="BO107" s="35">
        <v>142</v>
      </c>
      <c r="BP107" s="35">
        <v>144</v>
      </c>
      <c r="BQ107" s="35">
        <v>132</v>
      </c>
      <c r="BR107" s="35">
        <v>145</v>
      </c>
      <c r="BS107" s="35">
        <v>161</v>
      </c>
      <c r="BT107" s="35">
        <v>172</v>
      </c>
      <c r="BU107" s="35">
        <v>163</v>
      </c>
      <c r="BV107" s="35">
        <v>166</v>
      </c>
      <c r="BW107" s="35">
        <v>209</v>
      </c>
      <c r="BX107" s="35">
        <v>162</v>
      </c>
      <c r="BY107" s="35">
        <v>163</v>
      </c>
      <c r="BZ107" s="35">
        <v>155</v>
      </c>
      <c r="CA107" s="35">
        <v>111</v>
      </c>
      <c r="CB107" s="35">
        <v>125</v>
      </c>
      <c r="CC107" s="35">
        <v>145</v>
      </c>
      <c r="CD107" s="35">
        <v>154</v>
      </c>
      <c r="CE107" s="35">
        <v>152</v>
      </c>
      <c r="CF107" s="35">
        <v>135</v>
      </c>
      <c r="CG107" s="35">
        <v>125</v>
      </c>
      <c r="CH107" s="35">
        <v>138</v>
      </c>
      <c r="CI107" s="35">
        <v>220</v>
      </c>
      <c r="CJ107" s="35">
        <v>251</v>
      </c>
      <c r="CK107" s="35">
        <v>294</v>
      </c>
      <c r="CL107" s="35">
        <v>296</v>
      </c>
      <c r="CM107" s="35">
        <v>253</v>
      </c>
      <c r="CN107" s="35">
        <v>261</v>
      </c>
      <c r="CO107" s="35">
        <v>281</v>
      </c>
      <c r="CP107" s="35">
        <v>329</v>
      </c>
      <c r="CQ107" s="35">
        <v>346</v>
      </c>
      <c r="CR107" s="35">
        <v>449</v>
      </c>
      <c r="CS107" s="35">
        <v>570</v>
      </c>
      <c r="CT107" s="35">
        <v>567</v>
      </c>
      <c r="CU107" s="35">
        <v>586</v>
      </c>
      <c r="CV107" s="338">
        <f>Automotive!AV17</f>
      </c>
      <c r="CW107" s="338">
        <f>Automotive!AW17</f>
      </c>
      <c r="CX107" s="338">
        <f>Automotive!AX17</f>
      </c>
      <c r="CY107" s="338">
        <f>Automotive!AY17</f>
      </c>
      <c r="CZ107" s="338">
        <f>Automotive!AZ17</f>
      </c>
      <c r="DA107" s="338">
        <f>Automotive!BA17</f>
      </c>
      <c r="DB107" s="338">
        <f>Automotive!BB17</f>
      </c>
      <c r="DC107" s="338">
        <f>Automotive!BC17</f>
      </c>
      <c r="DD107" s="338">
        <f>Automotive!BD17</f>
      </c>
      <c r="DE107" s="338">
        <f>Automotive!BE17</f>
      </c>
      <c r="DQ107" s="35"/>
      <c r="DR107" s="35"/>
      <c r="DS107" s="35">
        <v>56</v>
      </c>
      <c r="DT107" s="35">
        <v>99</v>
      </c>
      <c r="DU107" s="35">
        <f>SUM(BB107:BE107)</f>
      </c>
      <c r="DV107" s="35">
        <f>SUM(BF107:BI107)</f>
      </c>
      <c r="DW107" s="35">
        <f>SUM(BJ107:BM107)</f>
      </c>
      <c r="DX107" s="35">
        <f>SUM(BN107:BQ107)</f>
      </c>
      <c r="DY107" s="35">
        <f>SUM(BR107:BU107)</f>
      </c>
      <c r="DZ107" s="35">
        <f>BV107+BW107+BX107+BY107</f>
      </c>
      <c r="EA107" s="35">
        <f>SUM(BZ107:CC107)</f>
      </c>
      <c r="EB107" s="35">
        <f>+CD107+CE107+CF107+CG107</f>
      </c>
      <c r="EC107" s="35">
        <f>SUM(CH107:CK107)</f>
      </c>
      <c r="ED107" s="35">
        <f>SUM(CL107:CO107)</f>
      </c>
      <c r="EE107" s="35">
        <f>SUM(CP107:CS107)</f>
      </c>
      <c r="EF107" s="338">
        <f>SUM(CT107:CW107)</f>
      </c>
      <c r="EG107" s="338">
        <f>SUM(CX107:DA107)</f>
      </c>
      <c r="EH107" s="338">
        <f>SUM(DB107:DE107)</f>
      </c>
      <c r="EI107" s="35"/>
      <c r="EJ107" s="27"/>
    </row>
    <row r="108" spans="1:140" s="49" customFormat="1">
      <c r="A108" s="48" t="s">
        <v>196</v>
      </c>
      <c r="BC108" s="49">
        <f t="shared" ref="BC108:DE108" si="209">BC107/BB107-1</f>
      </c>
      <c r="BD108" s="49">
        <f t="shared" si="209"/>
      </c>
      <c r="BE108" s="49">
        <f t="shared" si="209"/>
      </c>
      <c r="BF108" s="49">
        <f t="shared" si="209"/>
      </c>
      <c r="BG108" s="49">
        <f t="shared" si="209"/>
      </c>
      <c r="BH108" s="49">
        <f t="shared" si="209"/>
      </c>
      <c r="BI108" s="49">
        <f t="shared" si="209"/>
      </c>
      <c r="BJ108" s="49">
        <f t="shared" si="209"/>
      </c>
      <c r="BK108" s="49">
        <f t="shared" si="209"/>
      </c>
      <c r="BL108" s="49">
        <f t="shared" si="209"/>
      </c>
      <c r="BM108" s="49">
        <f t="shared" si="209"/>
      </c>
      <c r="BN108" s="49">
        <f t="shared" si="209"/>
      </c>
      <c r="BO108" s="49">
        <f t="shared" si="209"/>
      </c>
      <c r="BP108" s="49">
        <f t="shared" si="209"/>
      </c>
      <c r="BQ108" s="49">
        <f t="shared" si="209"/>
      </c>
      <c r="BR108" s="49">
        <f t="shared" si="209"/>
      </c>
      <c r="BS108" s="49">
        <f t="shared" si="209"/>
      </c>
      <c r="BT108" s="49">
        <f t="shared" si="209"/>
      </c>
      <c r="BU108" s="49">
        <f t="shared" si="209"/>
      </c>
      <c r="BV108" s="49">
        <f t="shared" si="209"/>
      </c>
      <c r="BW108" s="49">
        <f t="shared" si="209"/>
      </c>
      <c r="BX108" s="49">
        <f t="shared" si="209"/>
      </c>
      <c r="BY108" s="49">
        <f t="shared" si="209"/>
      </c>
      <c r="BZ108" s="49">
        <f t="shared" si="209"/>
      </c>
      <c r="CA108" s="49">
        <f t="shared" si="209"/>
      </c>
      <c r="CB108" s="49">
        <f t="shared" si="209"/>
      </c>
      <c r="CC108" s="49">
        <f t="shared" si="209"/>
      </c>
      <c r="CD108" s="49">
        <f t="shared" si="209"/>
      </c>
      <c r="CE108" s="49">
        <f t="shared" si="209"/>
      </c>
      <c r="CF108" s="49">
        <f t="shared" si="209"/>
      </c>
      <c r="CG108" s="49">
        <f t="shared" si="209"/>
      </c>
      <c r="CH108" s="49">
        <f t="shared" si="209"/>
      </c>
      <c r="CI108" s="49">
        <f t="shared" si="209"/>
      </c>
      <c r="CJ108" s="49">
        <f t="shared" si="209"/>
      </c>
      <c r="CK108" s="49">
        <f t="shared" si="209"/>
      </c>
      <c r="CL108" s="49">
        <f t="shared" si="209"/>
      </c>
      <c r="CM108" s="49">
        <f t="shared" si="209"/>
      </c>
      <c r="CN108" s="49">
        <f t="shared" si="209"/>
      </c>
      <c r="CO108" s="49">
        <f t="shared" si="209"/>
      </c>
      <c r="CP108" s="49">
        <f t="shared" si="209"/>
      </c>
      <c r="CQ108" s="49">
        <f t="shared" si="209"/>
      </c>
      <c r="CR108" s="49">
        <f t="shared" si="209"/>
      </c>
      <c r="CS108" s="49">
        <f t="shared" si="209"/>
      </c>
      <c r="CT108" s="49">
        <f t="shared" si="209"/>
      </c>
      <c r="CU108" s="49">
        <f t="shared" si="209"/>
      </c>
      <c r="CV108" s="341">
        <f t="shared" si="209"/>
      </c>
      <c r="CW108" s="341">
        <f t="shared" si="209"/>
      </c>
      <c r="CX108" s="341">
        <f t="shared" si="209"/>
      </c>
      <c r="CY108" s="341">
        <f t="shared" si="209"/>
      </c>
      <c r="CZ108" s="341">
        <f t="shared" si="209"/>
      </c>
      <c r="DA108" s="341">
        <f t="shared" si="209"/>
      </c>
      <c r="DB108" s="341">
        <f t="shared" si="209"/>
      </c>
      <c r="DC108" s="341">
        <f t="shared" si="209"/>
      </c>
      <c r="DD108" s="341">
        <f t="shared" si="209"/>
      </c>
      <c r="DE108" s="341">
        <f t="shared" si="209"/>
      </c>
      <c r="DH108" s="342" t="s">
        <v>197</v>
      </c>
      <c r="DI108" s="342" t="s">
        <v>197</v>
      </c>
      <c r="DJ108" s="342" t="s">
        <v>197</v>
      </c>
      <c r="DK108" s="342" t="s">
        <v>197</v>
      </c>
      <c r="DL108" s="342" t="s">
        <v>197</v>
      </c>
      <c r="DM108" s="342" t="s">
        <v>197</v>
      </c>
      <c r="DN108" s="342" t="s">
        <v>197</v>
      </c>
      <c r="DO108" s="342" t="s">
        <v>197</v>
      </c>
      <c r="DP108" s="342" t="s">
        <v>197</v>
      </c>
      <c r="DQ108" s="342" t="s">
        <v>197</v>
      </c>
      <c r="DR108" s="342" t="s">
        <v>197</v>
      </c>
      <c r="DS108" s="342" t="s">
        <v>197</v>
      </c>
      <c r="DT108" s="342" t="s">
        <v>197</v>
      </c>
      <c r="DU108" s="342" t="s">
        <v>197</v>
      </c>
      <c r="DV108" s="342" t="s">
        <v>197</v>
      </c>
      <c r="DW108" s="342" t="s">
        <v>197</v>
      </c>
      <c r="DX108" s="342" t="s">
        <v>197</v>
      </c>
      <c r="DY108" s="342" t="s">
        <v>197</v>
      </c>
      <c r="DZ108" s="342" t="s">
        <v>197</v>
      </c>
      <c r="EA108" s="342" t="s">
        <v>197</v>
      </c>
      <c r="EB108" s="342" t="s">
        <v>197</v>
      </c>
      <c r="EC108" s="342" t="s">
        <v>197</v>
      </c>
      <c r="ED108" s="342" t="s">
        <v>197</v>
      </c>
      <c r="EE108" s="342" t="s">
        <v>197</v>
      </c>
      <c r="EF108" s="343" t="s">
        <v>197</v>
      </c>
      <c r="EG108" s="343" t="s">
        <v>197</v>
      </c>
      <c r="EH108" s="343" t="s">
        <v>197</v>
      </c>
      <c r="EJ108" s="339"/>
    </row>
    <row r="109" spans="1:140" s="49" customFormat="1">
      <c r="A109" s="48" t="s">
        <v>198</v>
      </c>
      <c r="BF109" s="52">
        <f t="shared" ref="BF109:DE109" si="210">BF107/BB107-1</f>
      </c>
      <c r="BG109" s="52">
        <f t="shared" si="210"/>
      </c>
      <c r="BH109" s="52">
        <f t="shared" si="210"/>
      </c>
      <c r="BI109" s="52">
        <f t="shared" si="210"/>
      </c>
      <c r="BJ109" s="52">
        <f t="shared" si="210"/>
      </c>
      <c r="BK109" s="52">
        <f t="shared" si="210"/>
      </c>
      <c r="BL109" s="52">
        <f t="shared" si="210"/>
      </c>
      <c r="BM109" s="52">
        <f t="shared" si="210"/>
      </c>
      <c r="BN109" s="52">
        <f t="shared" si="210"/>
      </c>
      <c r="BO109" s="52">
        <f t="shared" si="210"/>
      </c>
      <c r="BP109" s="52">
        <f t="shared" si="210"/>
      </c>
      <c r="BQ109" s="52">
        <f>BQ107/BM107-1</f>
      </c>
      <c r="BR109" s="52">
        <f>BR107/BN107-1</f>
      </c>
      <c r="BS109" s="52">
        <f>BS107/BO107-1</f>
      </c>
      <c r="BT109" s="52">
        <f>BT107/BP107-1</f>
      </c>
      <c r="BU109" s="52">
        <f t="shared" si="210"/>
      </c>
      <c r="BV109" s="52">
        <f t="shared" si="210"/>
      </c>
      <c r="BW109" s="52">
        <f t="shared" si="210"/>
      </c>
      <c r="BX109" s="52">
        <f t="shared" si="210"/>
      </c>
      <c r="BY109" s="52">
        <f t="shared" si="210"/>
      </c>
      <c r="BZ109" s="52">
        <f t="shared" si="210"/>
      </c>
      <c r="CA109" s="52">
        <f t="shared" si="210"/>
      </c>
      <c r="CB109" s="52">
        <f t="shared" si="210"/>
      </c>
      <c r="CC109" s="52">
        <f t="shared" si="210"/>
      </c>
      <c r="CD109" s="52">
        <f t="shared" si="210"/>
      </c>
      <c r="CE109" s="52">
        <f t="shared" si="210"/>
      </c>
      <c r="CF109" s="52">
        <f t="shared" si="210"/>
      </c>
      <c r="CG109" s="52">
        <f t="shared" si="210"/>
      </c>
      <c r="CH109" s="52">
        <f t="shared" si="210"/>
      </c>
      <c r="CI109" s="52">
        <f t="shared" si="210"/>
      </c>
      <c r="CJ109" s="52">
        <f t="shared" si="210"/>
      </c>
      <c r="CK109" s="52">
        <f t="shared" si="210"/>
      </c>
      <c r="CL109" s="52">
        <f t="shared" si="210"/>
      </c>
      <c r="CM109" s="52">
        <f t="shared" si="210"/>
      </c>
      <c r="CN109" s="52">
        <f t="shared" si="210"/>
      </c>
      <c r="CO109" s="52">
        <f t="shared" si="210"/>
      </c>
      <c r="CP109" s="52">
        <f t="shared" si="210"/>
      </c>
      <c r="CQ109" s="52">
        <f t="shared" si="210"/>
      </c>
      <c r="CR109" s="52">
        <f t="shared" si="210"/>
      </c>
      <c r="CS109" s="52">
        <f t="shared" si="210"/>
      </c>
      <c r="CT109" s="52">
        <f t="shared" si="210"/>
      </c>
      <c r="CU109" s="52">
        <f t="shared" si="210"/>
      </c>
      <c r="CV109" s="53">
        <f t="shared" si="210"/>
      </c>
      <c r="CW109" s="53">
        <f t="shared" si="210"/>
      </c>
      <c r="CX109" s="53">
        <f t="shared" si="210"/>
      </c>
      <c r="CY109" s="53">
        <f t="shared" si="210"/>
      </c>
      <c r="CZ109" s="53">
        <f t="shared" si="210"/>
      </c>
      <c r="DA109" s="53">
        <f t="shared" si="210"/>
      </c>
      <c r="DB109" s="53">
        <f t="shared" si="210"/>
      </c>
      <c r="DC109" s="53">
        <f t="shared" si="210"/>
      </c>
      <c r="DD109" s="53">
        <f t="shared" si="210"/>
      </c>
      <c r="DE109" s="53">
        <f t="shared" si="210"/>
      </c>
      <c r="DQ109" s="62"/>
      <c r="DR109" s="62"/>
      <c r="DS109" s="394"/>
      <c r="DT109" s="394">
        <f t="shared" ref="DT109:EH109" si="211">DT107/DS107-1</f>
      </c>
      <c r="DU109" s="49">
        <f t="shared" si="211"/>
      </c>
      <c r="DV109" s="49">
        <f t="shared" si="211"/>
      </c>
      <c r="DW109" s="49">
        <f t="shared" si="211"/>
      </c>
      <c r="DX109" s="49">
        <f t="shared" si="211"/>
      </c>
      <c r="DY109" s="49">
        <f t="shared" si="211"/>
      </c>
      <c r="DZ109" s="49">
        <f t="shared" si="211"/>
      </c>
      <c r="EA109" s="49">
        <f t="shared" si="211"/>
      </c>
      <c r="EB109" s="49">
        <f t="shared" si="211"/>
      </c>
      <c r="EC109" s="49">
        <f t="shared" si="211"/>
      </c>
      <c r="ED109" s="49">
        <f t="shared" si="211"/>
      </c>
      <c r="EE109" s="49">
        <f t="shared" si="211"/>
      </c>
      <c r="EF109" s="345">
        <f t="shared" si="211"/>
      </c>
      <c r="EG109" s="345">
        <f t="shared" si="211"/>
      </c>
      <c r="EH109" s="345">
        <f t="shared" si="211"/>
      </c>
    </row>
    <row r="110" spans="1:140" s="49" customFormat="1">
      <c r="A110" s="48" t="s">
        <v>227</v>
      </c>
      <c r="BB110" s="49">
        <f t="shared" ref="BB110:CO110" si="212">BB107/BB$131</f>
      </c>
      <c r="BC110" s="49">
        <f t="shared" si="212"/>
      </c>
      <c r="BD110" s="49">
        <f t="shared" si="212"/>
      </c>
      <c r="BE110" s="49">
        <f t="shared" si="212"/>
      </c>
      <c r="BF110" s="49">
        <f t="shared" si="212"/>
      </c>
      <c r="BG110" s="49">
        <f t="shared" si="212"/>
      </c>
      <c r="BH110" s="49">
        <f t="shared" si="212"/>
      </c>
      <c r="BI110" s="49">
        <f t="shared" si="212"/>
      </c>
      <c r="BJ110" s="49">
        <f t="shared" si="212"/>
      </c>
      <c r="BK110" s="49">
        <f t="shared" si="212"/>
      </c>
      <c r="BL110" s="49">
        <f t="shared" si="212"/>
      </c>
      <c r="BM110" s="49">
        <f t="shared" si="212"/>
      </c>
      <c r="BN110" s="49">
        <f t="shared" si="212"/>
      </c>
      <c r="BO110" s="49">
        <f t="shared" si="212"/>
      </c>
      <c r="BP110" s="49">
        <f t="shared" si="212"/>
      </c>
      <c r="BQ110" s="49">
        <f t="shared" si="212"/>
      </c>
      <c r="BR110" s="49">
        <f t="shared" si="212"/>
      </c>
      <c r="BS110" s="49">
        <f t="shared" si="212"/>
      </c>
      <c r="BT110" s="49">
        <f t="shared" si="212"/>
      </c>
      <c r="BU110" s="49">
        <f t="shared" si="212"/>
      </c>
      <c r="BV110" s="49">
        <f t="shared" si="212"/>
      </c>
      <c r="BW110" s="49">
        <f t="shared" si="212"/>
      </c>
      <c r="BX110" s="49">
        <f t="shared" si="212"/>
      </c>
      <c r="BY110" s="49">
        <f t="shared" si="212"/>
      </c>
      <c r="BZ110" s="49">
        <f t="shared" si="212"/>
      </c>
      <c r="CA110" s="49">
        <f>CA107/CA$131</f>
      </c>
      <c r="CB110" s="49">
        <f t="shared" si="212"/>
      </c>
      <c r="CC110" s="49">
        <f t="shared" si="212"/>
      </c>
      <c r="CD110" s="49">
        <f t="shared" si="212"/>
      </c>
      <c r="CE110" s="49">
        <f t="shared" si="212"/>
      </c>
      <c r="CF110" s="49">
        <f t="shared" si="212"/>
      </c>
      <c r="CG110" s="49">
        <f t="shared" si="212"/>
      </c>
      <c r="CH110" s="49">
        <f t="shared" si="212"/>
      </c>
      <c r="CI110" s="49">
        <f t="shared" si="212"/>
      </c>
      <c r="CJ110" s="49">
        <f t="shared" si="212"/>
      </c>
      <c r="CK110" s="49">
        <f t="shared" si="212"/>
      </c>
      <c r="CL110" s="49">
        <f t="shared" si="212"/>
      </c>
      <c r="CM110" s="49">
        <f t="shared" si="212"/>
      </c>
      <c r="CN110" s="49">
        <f t="shared" si="212"/>
      </c>
      <c r="CO110" s="49">
        <f t="shared" si="212"/>
      </c>
      <c r="CP110" s="49">
        <f>CP107/CP$131</f>
      </c>
      <c r="CQ110" s="49">
        <f>CQ107/CQ$131</f>
      </c>
      <c r="CR110" s="49">
        <f>CR107/CR$131</f>
      </c>
      <c r="CS110" s="49">
        <f>CS107/CS$131</f>
      </c>
      <c r="CT110" s="49">
        <f>CT107/CT$131</f>
      </c>
      <c r="CU110" s="49">
        <f t="shared" ref="CU110:DA110" si="213">CU107/CU$131</f>
      </c>
      <c r="CV110" s="341">
        <f t="shared" si="213"/>
      </c>
      <c r="CW110" s="341">
        <f t="shared" si="213"/>
      </c>
      <c r="CX110" s="341">
        <f t="shared" si="213"/>
      </c>
      <c r="CY110" s="341">
        <f t="shared" si="213"/>
      </c>
      <c r="CZ110" s="341">
        <f t="shared" si="213"/>
      </c>
      <c r="DA110" s="341">
        <f t="shared" si="213"/>
      </c>
      <c r="DB110" s="341">
        <f>DB107/DB$131</f>
      </c>
      <c r="DC110" s="341">
        <f>DC107/DC$131</f>
      </c>
      <c r="DD110" s="341">
        <f>DD107/DD$131</f>
      </c>
      <c r="DE110" s="341">
        <f>DE107/DE$131</f>
      </c>
      <c r="DQ110" s="62"/>
      <c r="DR110" s="62"/>
      <c r="DS110" s="394">
        <f t="shared" ref="DS110:EC110" si="214">DS107/DS$131</f>
      </c>
      <c r="DT110" s="394">
        <f t="shared" si="214"/>
      </c>
      <c r="DU110" s="49">
        <f t="shared" si="214"/>
      </c>
      <c r="DV110" s="49">
        <f t="shared" si="214"/>
      </c>
      <c r="DW110" s="49">
        <f t="shared" si="214"/>
      </c>
      <c r="DX110" s="49">
        <f t="shared" si="214"/>
      </c>
      <c r="DY110" s="49">
        <f t="shared" si="214"/>
      </c>
      <c r="DZ110" s="49">
        <f t="shared" si="214"/>
      </c>
      <c r="EA110" s="49">
        <f>EA107/EA$131</f>
      </c>
      <c r="EB110" s="49">
        <f t="shared" si="214"/>
      </c>
      <c r="EC110" s="49">
        <f t="shared" si="214"/>
      </c>
      <c r="ED110" s="49">
        <f>ED107/ED$131</f>
      </c>
      <c r="EE110" s="49">
        <f>EE107/EE$131</f>
      </c>
      <c r="EF110" s="341">
        <f>EF107/EF$131</f>
      </c>
      <c r="EG110" s="341">
        <f>EG107/EG$131</f>
      </c>
      <c r="EH110" s="341">
        <f>EH107/EH$131</f>
      </c>
    </row>
    <row r="111" spans="1:140" s="47" customFormat="1">
      <c r="A111" s="35" t="s">
        <v>236</v>
      </c>
      <c r="AX111" s="35"/>
      <c r="AY111" s="35"/>
      <c r="AZ111" s="35"/>
      <c r="BA111" s="35"/>
      <c r="BB111" s="35">
        <f>BB135-BB127</f>
      </c>
      <c r="BC111" s="35">
        <f t="shared" ref="BC111:BI111" si="215">BC135-BC127</f>
      </c>
      <c r="BD111" s="35">
        <f t="shared" si="215"/>
      </c>
      <c r="BE111" s="35">
        <f t="shared" si="215"/>
      </c>
      <c r="BF111" s="35">
        <f t="shared" si="215"/>
      </c>
      <c r="BG111" s="35">
        <f t="shared" si="215"/>
      </c>
      <c r="BH111" s="35">
        <f t="shared" si="215"/>
      </c>
      <c r="BI111" s="35">
        <f t="shared" si="215"/>
      </c>
      <c r="BJ111" s="35">
        <f>BJ135-BJ127</f>
      </c>
      <c r="BK111" s="35">
        <f>BK135-BK127</f>
      </c>
      <c r="BL111" s="35">
        <f>BL135-BL127</f>
      </c>
      <c r="BM111" s="35">
        <f>BM135-BM127</f>
      </c>
      <c r="BN111" s="35">
        <f>BN135-BN127</f>
      </c>
      <c r="BO111" s="35">
        <v>251</v>
      </c>
      <c r="BP111" s="35">
        <v>191</v>
      </c>
      <c r="BQ111" s="35">
        <v>180</v>
      </c>
      <c r="BR111" s="35">
        <v>387</v>
      </c>
      <c r="BS111" s="35">
        <v>116</v>
      </c>
      <c r="BT111" s="35">
        <v>148</v>
      </c>
      <c r="BU111" s="35">
        <v>116</v>
      </c>
      <c r="BV111" s="35">
        <v>99</v>
      </c>
      <c r="BW111" s="35">
        <v>111</v>
      </c>
      <c r="BX111" s="35">
        <v>143</v>
      </c>
      <c r="BY111" s="35">
        <v>152</v>
      </c>
      <c r="BZ111" s="35">
        <v>138</v>
      </c>
      <c r="CA111" s="35">
        <v>146</v>
      </c>
      <c r="CB111" s="35">
        <v>194</v>
      </c>
      <c r="CC111" s="35">
        <v>153</v>
      </c>
      <c r="CD111" s="35">
        <v>327</v>
      </c>
      <c r="CE111" s="35">
        <v>409</v>
      </c>
      <c r="CF111" s="35">
        <v>234</v>
      </c>
      <c r="CG111" s="35">
        <v>192</v>
      </c>
      <c r="CH111" s="35">
        <v>158</v>
      </c>
      <c r="CI111" s="35">
        <v>140</v>
      </c>
      <c r="CJ111" s="35">
        <v>73</v>
      </c>
      <c r="CK111" s="35">
        <v>84</v>
      </c>
      <c r="CL111" s="35">
        <v>77</v>
      </c>
      <c r="CM111" s="35">
        <v>66</v>
      </c>
      <c r="CN111" s="35">
        <v>73</v>
      </c>
      <c r="CO111" s="35">
        <v>90</v>
      </c>
      <c r="CP111" s="35">
        <v>78</v>
      </c>
      <c r="CQ111" s="35">
        <v>88</v>
      </c>
      <c r="CR111" s="35">
        <v>97</v>
      </c>
      <c r="CS111" s="35">
        <v>126</v>
      </c>
      <c r="CT111" s="35">
        <v>111</v>
      </c>
      <c r="CU111" s="35">
        <v>173</v>
      </c>
      <c r="CV111" s="338">
        <f t="shared" ref="CV111:DE111" si="216">CU111*(1+CV112)</f>
      </c>
      <c r="CW111" s="338">
        <f t="shared" si="216"/>
      </c>
      <c r="CX111" s="338">
        <f t="shared" si="216"/>
      </c>
      <c r="CY111" s="338">
        <f t="shared" si="216"/>
      </c>
      <c r="CZ111" s="338">
        <f t="shared" si="216"/>
      </c>
      <c r="DA111" s="338">
        <f t="shared" si="216"/>
      </c>
      <c r="DB111" s="338">
        <f t="shared" si="216"/>
      </c>
      <c r="DC111" s="338">
        <f t="shared" si="216"/>
      </c>
      <c r="DD111" s="338">
        <f t="shared" si="216"/>
      </c>
      <c r="DE111" s="338">
        <f t="shared" si="216"/>
      </c>
      <c r="DQ111" s="35"/>
      <c r="DR111" s="35"/>
      <c r="DS111" s="35">
        <f>2060-DS127</f>
      </c>
      <c r="DT111" s="35">
        <f>1532-DT127</f>
      </c>
      <c r="DU111" s="35">
        <f>SUM(BB111:BE111)</f>
      </c>
      <c r="DV111" s="35">
        <f>SUM(BF111:BI111)</f>
      </c>
      <c r="DW111" s="35">
        <f>SUM(BJ111:BM111)</f>
      </c>
      <c r="DX111" s="35">
        <f>SUM(BN111:BQ111)</f>
      </c>
      <c r="DY111" s="35">
        <f>SUM(BR111:BU111)</f>
      </c>
      <c r="DZ111" s="35">
        <f>BV111+BW111+BX111+BY111</f>
      </c>
      <c r="EA111" s="35">
        <f>SUM(BZ111:CC111)</f>
      </c>
      <c r="EB111" s="35">
        <f>+CD111+CE111+CF111+CG111</f>
      </c>
      <c r="EC111" s="35">
        <f>SUM(CH111:CK111)</f>
      </c>
      <c r="ED111" s="35">
        <f>SUM(CL111:CO111)</f>
      </c>
      <c r="EE111" s="35">
        <f>SUM(CP111:CS111)</f>
      </c>
      <c r="EF111" s="338">
        <f>SUM(CT111:CW111)</f>
      </c>
      <c r="EG111" s="338">
        <f>SUM(CX111:DA111)</f>
      </c>
      <c r="EH111" s="338">
        <f>SUM(DB111:DE111)</f>
      </c>
    </row>
    <row r="112" spans="1:140" s="49" customFormat="1">
      <c r="A112" s="48" t="s">
        <v>196</v>
      </c>
      <c r="BC112" s="49">
        <f t="shared" ref="BC112:CQ112" si="217">BC111/BB111-1</f>
      </c>
      <c r="BD112" s="49">
        <f t="shared" si="217"/>
      </c>
      <c r="BE112" s="49">
        <f t="shared" si="217"/>
      </c>
      <c r="BF112" s="49">
        <f t="shared" si="217"/>
      </c>
      <c r="BG112" s="49">
        <f t="shared" si="217"/>
      </c>
      <c r="BH112" s="49">
        <f t="shared" si="217"/>
      </c>
      <c r="BI112" s="49">
        <f t="shared" si="217"/>
      </c>
      <c r="BJ112" s="49">
        <f t="shared" si="217"/>
      </c>
      <c r="BK112" s="49">
        <f t="shared" si="217"/>
      </c>
      <c r="BL112" s="49">
        <f t="shared" si="217"/>
      </c>
      <c r="BM112" s="49">
        <f t="shared" si="217"/>
      </c>
      <c r="BN112" s="49">
        <f t="shared" si="217"/>
      </c>
      <c r="BO112" s="49">
        <f t="shared" si="217"/>
      </c>
      <c r="BP112" s="49">
        <f t="shared" si="217"/>
      </c>
      <c r="BQ112" s="49">
        <f t="shared" si="217"/>
      </c>
      <c r="BR112" s="49">
        <f t="shared" si="217"/>
      </c>
      <c r="BS112" s="49">
        <f t="shared" si="217"/>
      </c>
      <c r="BT112" s="49">
        <f t="shared" si="217"/>
      </c>
      <c r="BU112" s="49">
        <f t="shared" si="217"/>
      </c>
      <c r="BV112" s="49">
        <f t="shared" si="217"/>
      </c>
      <c r="BW112" s="49">
        <f t="shared" si="217"/>
      </c>
      <c r="BX112" s="49">
        <f t="shared" si="217"/>
      </c>
      <c r="BY112" s="49">
        <f t="shared" si="217"/>
      </c>
      <c r="BZ112" s="49">
        <f t="shared" si="217"/>
      </c>
      <c r="CA112" s="49">
        <f t="shared" si="217"/>
      </c>
      <c r="CB112" s="49">
        <f t="shared" si="217"/>
      </c>
      <c r="CC112" s="49">
        <f t="shared" si="217"/>
      </c>
      <c r="CD112" s="49">
        <f t="shared" si="217"/>
      </c>
      <c r="CE112" s="49">
        <f t="shared" si="217"/>
      </c>
      <c r="CF112" s="49">
        <f t="shared" si="217"/>
      </c>
      <c r="CG112" s="49">
        <f t="shared" si="217"/>
      </c>
      <c r="CH112" s="49">
        <f t="shared" si="217"/>
      </c>
      <c r="CI112" s="49">
        <f t="shared" si="217"/>
      </c>
      <c r="CJ112" s="49">
        <f t="shared" si="217"/>
      </c>
      <c r="CK112" s="49">
        <f t="shared" si="217"/>
      </c>
      <c r="CL112" s="49">
        <f t="shared" si="217"/>
      </c>
      <c r="CM112" s="49">
        <f t="shared" si="217"/>
      </c>
      <c r="CN112" s="49">
        <f t="shared" si="217"/>
      </c>
      <c r="CO112" s="49">
        <f t="shared" si="217"/>
      </c>
      <c r="CP112" s="49">
        <f t="shared" si="217"/>
      </c>
      <c r="CQ112" s="49">
        <f t="shared" si="217"/>
      </c>
      <c r="CR112" s="49">
        <f>CR111/CQ111-1</f>
      </c>
      <c r="CS112" s="49">
        <f>CS111/CR111-1</f>
      </c>
      <c r="CT112" s="49">
        <f>CT111/CS111-1</f>
      </c>
      <c r="CU112" s="49">
        <f>CU111/CT111-1</f>
      </c>
      <c r="CV112" s="341">
        <v>0</v>
      </c>
      <c r="CW112" s="341">
        <v>0</v>
      </c>
      <c r="CX112" s="341">
        <v>0</v>
      </c>
      <c r="CY112" s="341">
        <v>0</v>
      </c>
      <c r="CZ112" s="341">
        <v>0</v>
      </c>
      <c r="DA112" s="341">
        <v>0</v>
      </c>
      <c r="DB112" s="341">
        <v>0</v>
      </c>
      <c r="DC112" s="341">
        <v>0</v>
      </c>
      <c r="DD112" s="341">
        <v>0</v>
      </c>
      <c r="DE112" s="341">
        <v>0</v>
      </c>
      <c r="DH112" s="342" t="s">
        <v>197</v>
      </c>
      <c r="DI112" s="342" t="s">
        <v>197</v>
      </c>
      <c r="DJ112" s="342" t="s">
        <v>197</v>
      </c>
      <c r="DK112" s="342" t="s">
        <v>197</v>
      </c>
      <c r="DL112" s="342" t="s">
        <v>197</v>
      </c>
      <c r="DM112" s="342" t="s">
        <v>197</v>
      </c>
      <c r="DN112" s="342" t="s">
        <v>197</v>
      </c>
      <c r="DO112" s="342" t="s">
        <v>197</v>
      </c>
      <c r="DP112" s="342" t="s">
        <v>197</v>
      </c>
      <c r="DQ112" s="342" t="s">
        <v>197</v>
      </c>
      <c r="DR112" s="342" t="s">
        <v>197</v>
      </c>
      <c r="DS112" s="342" t="s">
        <v>197</v>
      </c>
      <c r="DT112" s="342" t="s">
        <v>197</v>
      </c>
      <c r="DU112" s="342" t="s">
        <v>197</v>
      </c>
      <c r="DV112" s="342" t="s">
        <v>197</v>
      </c>
      <c r="DW112" s="342" t="s">
        <v>197</v>
      </c>
      <c r="DX112" s="342" t="s">
        <v>197</v>
      </c>
      <c r="DY112" s="342" t="s">
        <v>197</v>
      </c>
      <c r="DZ112" s="342" t="s">
        <v>197</v>
      </c>
      <c r="EA112" s="342" t="s">
        <v>197</v>
      </c>
      <c r="EB112" s="342" t="s">
        <v>197</v>
      </c>
      <c r="EC112" s="342" t="s">
        <v>197</v>
      </c>
      <c r="ED112" s="342" t="s">
        <v>197</v>
      </c>
      <c r="EE112" s="342" t="s">
        <v>197</v>
      </c>
      <c r="EF112" s="343" t="s">
        <v>197</v>
      </c>
      <c r="EG112" s="343" t="s">
        <v>197</v>
      </c>
      <c r="EH112" s="343" t="s">
        <v>197</v>
      </c>
    </row>
    <row r="113" spans="1:138" s="49" customFormat="1">
      <c r="A113" s="48" t="s">
        <v>198</v>
      </c>
      <c r="BF113" s="49">
        <f t="shared" ref="BF113:DE113" si="218">BF111/BB111-1</f>
      </c>
      <c r="BG113" s="49">
        <f t="shared" si="218"/>
      </c>
      <c r="BH113" s="49">
        <f t="shared" si="218"/>
      </c>
      <c r="BI113" s="49">
        <f t="shared" si="218"/>
      </c>
      <c r="BJ113" s="49">
        <f t="shared" si="218"/>
      </c>
      <c r="BK113" s="49">
        <f t="shared" si="218"/>
      </c>
      <c r="BL113" s="49">
        <f t="shared" si="218"/>
      </c>
      <c r="BM113" s="49">
        <f t="shared" si="218"/>
      </c>
      <c r="BN113" s="49">
        <f t="shared" si="218"/>
      </c>
      <c r="BO113" s="49">
        <f t="shared" si="218"/>
      </c>
      <c r="BP113" s="49">
        <f t="shared" si="218"/>
      </c>
      <c r="BQ113" s="49">
        <f t="shared" si="218"/>
      </c>
      <c r="BR113" s="49">
        <f t="shared" si="218"/>
      </c>
      <c r="BS113" s="49">
        <f t="shared" si="218"/>
      </c>
      <c r="BT113" s="49">
        <f t="shared" si="218"/>
      </c>
      <c r="BU113" s="49">
        <f t="shared" si="218"/>
      </c>
      <c r="BV113" s="49">
        <f t="shared" si="218"/>
      </c>
      <c r="BW113" s="49">
        <f t="shared" si="218"/>
      </c>
      <c r="BX113" s="49">
        <f t="shared" si="218"/>
      </c>
      <c r="BY113" s="49">
        <f t="shared" si="218"/>
      </c>
      <c r="BZ113" s="49">
        <f t="shared" si="218"/>
      </c>
      <c r="CA113" s="49">
        <f t="shared" si="218"/>
      </c>
      <c r="CB113" s="49">
        <f t="shared" si="218"/>
      </c>
      <c r="CC113" s="49">
        <f t="shared" si="218"/>
      </c>
      <c r="CD113" s="49">
        <f t="shared" si="218"/>
      </c>
      <c r="CE113" s="49">
        <f t="shared" si="218"/>
      </c>
      <c r="CF113" s="49">
        <f t="shared" si="218"/>
      </c>
      <c r="CG113" s="49">
        <f t="shared" si="218"/>
      </c>
      <c r="CH113" s="49">
        <f t="shared" si="218"/>
      </c>
      <c r="CI113" s="49">
        <f t="shared" si="218"/>
      </c>
      <c r="CJ113" s="49">
        <f t="shared" si="218"/>
      </c>
      <c r="CK113" s="49">
        <f t="shared" si="218"/>
      </c>
      <c r="CL113" s="49">
        <f t="shared" si="218"/>
      </c>
      <c r="CM113" s="49">
        <f t="shared" si="218"/>
      </c>
      <c r="CN113" s="49">
        <f t="shared" si="218"/>
      </c>
      <c r="CO113" s="49">
        <f t="shared" si="218"/>
      </c>
      <c r="CP113" s="49">
        <f t="shared" si="218"/>
      </c>
      <c r="CQ113" s="49">
        <f t="shared" si="218"/>
      </c>
      <c r="CR113" s="49">
        <f t="shared" si="218"/>
      </c>
      <c r="CS113" s="49">
        <f t="shared" si="218"/>
      </c>
      <c r="CT113" s="49">
        <f t="shared" si="218"/>
      </c>
      <c r="CU113" s="49">
        <f t="shared" si="218"/>
      </c>
      <c r="CV113" s="341">
        <f t="shared" si="218"/>
      </c>
      <c r="CW113" s="341">
        <f t="shared" si="218"/>
      </c>
      <c r="CX113" s="341">
        <f t="shared" si="218"/>
      </c>
      <c r="CY113" s="341">
        <f t="shared" si="218"/>
      </c>
      <c r="CZ113" s="341">
        <f t="shared" si="218"/>
      </c>
      <c r="DA113" s="341">
        <f t="shared" si="218"/>
      </c>
      <c r="DB113" s="341">
        <f t="shared" si="218"/>
      </c>
      <c r="DC113" s="341">
        <f t="shared" si="218"/>
      </c>
      <c r="DD113" s="341">
        <f t="shared" si="218"/>
      </c>
      <c r="DE113" s="341">
        <f t="shared" si="218"/>
      </c>
      <c r="DQ113" s="62"/>
      <c r="DR113" s="62"/>
      <c r="DS113" s="394"/>
      <c r="DT113" s="49">
        <f t="shared" ref="DT113:EH113" si="219">DT111/DS111-1</f>
      </c>
      <c r="DU113" s="49">
        <f t="shared" si="219"/>
      </c>
      <c r="DV113" s="49">
        <f t="shared" si="219"/>
      </c>
      <c r="DW113" s="49">
        <f t="shared" si="219"/>
      </c>
      <c r="DX113" s="49">
        <f t="shared" si="219"/>
      </c>
      <c r="DY113" s="49">
        <f t="shared" si="219"/>
      </c>
      <c r="DZ113" s="49">
        <f t="shared" si="219"/>
      </c>
      <c r="EA113" s="49">
        <f t="shared" si="219"/>
      </c>
      <c r="EB113" s="49">
        <f t="shared" si="219"/>
      </c>
      <c r="EC113" s="49">
        <f t="shared" si="219"/>
      </c>
      <c r="ED113" s="49">
        <f t="shared" si="219"/>
      </c>
      <c r="EE113" s="49">
        <f t="shared" si="219"/>
      </c>
      <c r="EF113" s="345">
        <f t="shared" si="219"/>
      </c>
      <c r="EG113" s="345">
        <f t="shared" si="219"/>
      </c>
      <c r="EH113" s="345">
        <f t="shared" si="219"/>
      </c>
    </row>
    <row r="114" spans="1:138" s="49" customFormat="1">
      <c r="A114" s="48" t="s">
        <v>227</v>
      </c>
      <c r="BB114" s="49">
        <f t="shared" ref="BB114:CO114" si="220">BB111/BB$131</f>
      </c>
      <c r="BC114" s="49">
        <f t="shared" si="220"/>
      </c>
      <c r="BD114" s="49">
        <f t="shared" si="220"/>
      </c>
      <c r="BE114" s="49">
        <f t="shared" si="220"/>
      </c>
      <c r="BF114" s="49">
        <f t="shared" si="220"/>
      </c>
      <c r="BG114" s="49">
        <f t="shared" si="220"/>
      </c>
      <c r="BH114" s="49">
        <f t="shared" si="220"/>
      </c>
      <c r="BI114" s="49">
        <f t="shared" si="220"/>
      </c>
      <c r="BJ114" s="49">
        <f t="shared" si="220"/>
      </c>
      <c r="BK114" s="49">
        <f t="shared" si="220"/>
      </c>
      <c r="BL114" s="49">
        <f t="shared" si="220"/>
      </c>
      <c r="BM114" s="49">
        <f t="shared" si="220"/>
      </c>
      <c r="BN114" s="49">
        <f t="shared" si="220"/>
      </c>
      <c r="BO114" s="49">
        <f t="shared" si="220"/>
      </c>
      <c r="BP114" s="49">
        <f t="shared" si="220"/>
      </c>
      <c r="BQ114" s="49">
        <f t="shared" si="220"/>
      </c>
      <c r="BR114" s="49">
        <f t="shared" si="220"/>
      </c>
      <c r="BS114" s="49">
        <f t="shared" si="220"/>
      </c>
      <c r="BT114" s="49">
        <f t="shared" si="220"/>
      </c>
      <c r="BU114" s="49">
        <f t="shared" si="220"/>
      </c>
      <c r="BV114" s="49">
        <f t="shared" si="220"/>
      </c>
      <c r="BW114" s="49">
        <f t="shared" si="220"/>
      </c>
      <c r="BX114" s="49">
        <f t="shared" si="220"/>
      </c>
      <c r="BY114" s="49">
        <f t="shared" si="220"/>
      </c>
      <c r="BZ114" s="49">
        <f t="shared" si="220"/>
      </c>
      <c r="CA114" s="49">
        <f>CA111/CA$131</f>
      </c>
      <c r="CB114" s="49">
        <f t="shared" si="220"/>
      </c>
      <c r="CC114" s="49">
        <f t="shared" si="220"/>
      </c>
      <c r="CD114" s="49">
        <f t="shared" si="220"/>
      </c>
      <c r="CE114" s="49">
        <f t="shared" si="220"/>
      </c>
      <c r="CF114" s="49">
        <f t="shared" si="220"/>
      </c>
      <c r="CG114" s="49">
        <f t="shared" si="220"/>
      </c>
      <c r="CH114" s="49">
        <f t="shared" si="220"/>
      </c>
      <c r="CI114" s="49">
        <f t="shared" si="220"/>
      </c>
      <c r="CJ114" s="49">
        <f t="shared" si="220"/>
      </c>
      <c r="CK114" s="49">
        <f t="shared" si="220"/>
      </c>
      <c r="CL114" s="49">
        <f t="shared" si="220"/>
      </c>
      <c r="CM114" s="49">
        <f t="shared" si="220"/>
      </c>
      <c r="CN114" s="49">
        <f t="shared" si="220"/>
      </c>
      <c r="CO114" s="49">
        <f t="shared" si="220"/>
      </c>
      <c r="CP114" s="49">
        <f>CP111/CP$131</f>
      </c>
      <c r="CQ114" s="49">
        <f>CQ111/CQ$131</f>
      </c>
      <c r="CR114" s="49">
        <f>CR111/CR$131</f>
      </c>
      <c r="CS114" s="49">
        <f>CS111/CS$131</f>
      </c>
      <c r="CT114" s="49">
        <f>CT111/CT$131</f>
      </c>
      <c r="CU114" s="49">
        <f t="shared" ref="CU114:DA114" si="221">CU111/CU$131</f>
      </c>
      <c r="CV114" s="341">
        <f t="shared" si="221"/>
      </c>
      <c r="CW114" s="341">
        <f t="shared" si="221"/>
      </c>
      <c r="CX114" s="341">
        <f t="shared" si="221"/>
      </c>
      <c r="CY114" s="341">
        <f t="shared" si="221"/>
      </c>
      <c r="CZ114" s="341">
        <f t="shared" si="221"/>
      </c>
      <c r="DA114" s="341">
        <f t="shared" si="221"/>
      </c>
      <c r="DB114" s="341">
        <f>DB111/DB$131</f>
      </c>
      <c r="DC114" s="341">
        <f>DC111/DC$131</f>
      </c>
      <c r="DD114" s="341">
        <f>DD111/DD$131</f>
      </c>
      <c r="DE114" s="341">
        <f>DE111/DE$131</f>
      </c>
      <c r="DQ114" s="62"/>
      <c r="DR114" s="62"/>
      <c r="DS114" s="52">
        <f t="shared" ref="DS114:EC114" si="222">DS111/DS$131</f>
      </c>
      <c r="DT114" s="52">
        <f t="shared" si="222"/>
      </c>
      <c r="DU114" s="52">
        <f t="shared" si="222"/>
      </c>
      <c r="DV114" s="52">
        <f t="shared" si="222"/>
      </c>
      <c r="DW114" s="52">
        <f t="shared" si="222"/>
      </c>
      <c r="DX114" s="52">
        <f t="shared" si="222"/>
      </c>
      <c r="DY114" s="52">
        <f t="shared" si="222"/>
      </c>
      <c r="DZ114" s="52">
        <f t="shared" si="222"/>
      </c>
      <c r="EA114" s="52">
        <f>EA111/EA$131</f>
      </c>
      <c r="EB114" s="50">
        <f t="shared" si="222"/>
      </c>
      <c r="EC114" s="50">
        <f t="shared" si="222"/>
      </c>
      <c r="ED114" s="50">
        <f>ED111/ED$131</f>
      </c>
      <c r="EE114" s="50">
        <f>EE111/EE$131</f>
      </c>
      <c r="EF114" s="51">
        <f>EF111/EF$131</f>
      </c>
      <c r="EG114" s="51">
        <f>EG111/EG$131</f>
      </c>
      <c r="EH114" s="51">
        <f>EH111/EH$131</f>
      </c>
    </row>
    <row r="115" spans="1:138" s="47" customFormat="1" outlineLevel="1">
      <c r="A115" s="348" t="s">
        <v>237</v>
      </c>
      <c r="BB115" s="35">
        <v>181.82250625</v>
      </c>
      <c r="BC115" s="35">
        <v>170.214811575</v>
      </c>
      <c r="BD115" s="35">
        <v>168.17775605999998</v>
      </c>
      <c r="BE115" s="35">
        <v>149.23465897935</v>
      </c>
      <c r="BF115" s="35">
        <v>84.949943220568514</v>
      </c>
      <c r="BG115" s="35">
        <v>50.035314856437751</v>
      </c>
      <c r="BH115" s="35">
        <v>76.732375086848691</v>
      </c>
      <c r="BI115" s="35">
        <v>67.973596697492042</v>
      </c>
      <c r="BJ115" s="35">
        <v>59.954454532421643</v>
      </c>
      <c r="BK115" s="35">
        <v>79.628186694000263</v>
      </c>
      <c r="BL115" s="35">
        <v>95.224245816133617</v>
      </c>
      <c r="BM115" s="35">
        <v>79.039500881909447</v>
      </c>
      <c r="BN115" s="35">
        <v>77.498913756200054</v>
      </c>
      <c r="BO115" s="35">
        <v>73.590911088630847</v>
      </c>
      <c r="BP115" s="35">
        <v>116.4690429822441</v>
      </c>
      <c r="BQ115" s="35">
        <v>112.05944110235518</v>
      </c>
      <c r="BR115" s="35">
        <v>70.80804444087417</v>
      </c>
      <c r="BS115" s="35">
        <v>70.977497979903418</v>
      </c>
      <c r="BT115" s="35">
        <v>122.55360043692733</v>
      </c>
      <c r="BU115" s="35">
        <v>85.304377630548231</v>
      </c>
      <c r="BV115" s="35">
        <v>93.315625094273713</v>
      </c>
      <c r="BW115" s="35">
        <v>58.971417792370993</v>
      </c>
      <c r="BX115" s="35">
        <v>46.914289444409491</v>
      </c>
      <c r="BY115" s="35">
        <v>19.792710690987231</v>
      </c>
      <c r="BZ115" s="35">
        <f>+BZ111-BZ123</f>
      </c>
      <c r="CA115" s="35">
        <f>+CA111-CA123</f>
      </c>
      <c r="CB115" s="35">
        <f>+CB111-CB123</f>
      </c>
      <c r="CC115" s="35">
        <f>+CC111-CC123</f>
      </c>
      <c r="CD115" s="35">
        <f t="shared" ref="CD115:CI115" si="223">+CD111-CD123-CD119</f>
      </c>
      <c r="CE115" s="35">
        <f t="shared" si="223"/>
      </c>
      <c r="CF115" s="35">
        <f t="shared" si="223"/>
      </c>
      <c r="CG115" s="35">
        <f t="shared" si="223"/>
      </c>
      <c r="CH115" s="35">
        <f t="shared" si="223"/>
      </c>
      <c r="CI115" s="35">
        <f t="shared" si="223"/>
      </c>
      <c r="CJ115" s="35">
        <f>+CJ111-CJ123-CJ119</f>
      </c>
      <c r="CK115" s="35">
        <f>+CK111-CK123-CK119</f>
      </c>
      <c r="CL115" s="35">
        <f>+CL111-CL123-CL119</f>
      </c>
      <c r="CM115" s="35">
        <f t="shared" ref="CM115:DE115" si="224">+CL115*(1+CM116)</f>
      </c>
      <c r="CN115" s="35">
        <f t="shared" si="224"/>
      </c>
      <c r="CO115" s="35">
        <f t="shared" si="224"/>
      </c>
      <c r="CP115" s="35">
        <f t="shared" si="224"/>
      </c>
      <c r="CQ115" s="35">
        <f t="shared" si="224"/>
      </c>
      <c r="CR115" s="35">
        <f>CR111-CR123</f>
      </c>
      <c r="CS115" s="35">
        <f>CS111-CS123</f>
      </c>
      <c r="CT115" s="35">
        <f>CT111-CT123</f>
      </c>
      <c r="CU115" s="338">
        <f t="shared" si="224"/>
      </c>
      <c r="CV115" s="338">
        <f t="shared" si="224"/>
      </c>
      <c r="CW115" s="338">
        <f t="shared" si="224"/>
      </c>
      <c r="CX115" s="338">
        <f t="shared" si="224"/>
      </c>
      <c r="CY115" s="338">
        <f t="shared" si="224"/>
      </c>
      <c r="CZ115" s="338">
        <f t="shared" si="224"/>
      </c>
      <c r="DA115" s="338">
        <f t="shared" si="224"/>
      </c>
      <c r="DB115" s="338">
        <f t="shared" si="224"/>
      </c>
      <c r="DC115" s="338">
        <f t="shared" si="224"/>
      </c>
      <c r="DD115" s="338">
        <f t="shared" si="224"/>
      </c>
      <c r="DE115" s="338">
        <f t="shared" si="224"/>
      </c>
      <c r="DH115" s="66"/>
      <c r="DI115" s="66"/>
      <c r="DJ115" s="66"/>
      <c r="DK115" s="66"/>
      <c r="DL115" s="66"/>
      <c r="DM115" s="66"/>
      <c r="DN115" s="66"/>
      <c r="DO115" s="66"/>
      <c r="DP115" s="66"/>
      <c r="DQ115" s="66"/>
      <c r="DR115" s="66"/>
      <c r="DS115" s="66"/>
      <c r="DT115" s="66"/>
      <c r="DU115" s="66"/>
      <c r="DV115" s="66"/>
      <c r="DW115" s="66"/>
      <c r="DX115" s="66">
        <f>SUM(BN115:BQ115)</f>
      </c>
      <c r="DY115" s="66">
        <f>SUM(BR115:BU115)</f>
      </c>
      <c r="DZ115" s="66">
        <f>BV115+BW115+BX115+BY115</f>
      </c>
      <c r="EA115" s="67">
        <f>SUM(BZ115:CC115)</f>
      </c>
      <c r="EB115" s="67">
        <f>+CD115+CE115+CF115+CG115</f>
      </c>
      <c r="EC115" s="67">
        <f>SUM(CH115:CK115)</f>
      </c>
      <c r="ED115" s="67">
        <f>SUM(CL115:CO115)</f>
      </c>
      <c r="EE115" s="67">
        <f>SUM(CP115:CS115)</f>
      </c>
      <c r="EF115" s="69">
        <f>SUM(CT115:CW115)</f>
      </c>
      <c r="EG115" s="69">
        <f>SUM(CU115:CX115)</f>
      </c>
      <c r="EH115" s="338">
        <f>SUM(DB115:DE115)</f>
      </c>
    </row>
    <row r="116" spans="1:138" s="49" customFormat="1" outlineLevel="1">
      <c r="A116" s="349" t="s">
        <v>196</v>
      </c>
      <c r="BO116" s="49">
        <f t="shared" ref="BO116:CL116" si="225">BO115/BN115-1</f>
      </c>
      <c r="BP116" s="49">
        <f t="shared" si="225"/>
      </c>
      <c r="BQ116" s="49">
        <f t="shared" si="225"/>
      </c>
      <c r="BR116" s="49">
        <f t="shared" si="225"/>
      </c>
      <c r="BS116" s="49">
        <f t="shared" si="225"/>
      </c>
      <c r="BT116" s="49">
        <f t="shared" si="225"/>
      </c>
      <c r="BU116" s="49">
        <f t="shared" si="225"/>
      </c>
      <c r="BV116" s="49">
        <f t="shared" si="225"/>
      </c>
      <c r="BW116" s="49">
        <f t="shared" si="225"/>
      </c>
      <c r="BX116" s="49">
        <f t="shared" si="225"/>
      </c>
      <c r="BY116" s="49">
        <f t="shared" si="225"/>
      </c>
      <c r="BZ116" s="49">
        <f t="shared" si="225"/>
      </c>
      <c r="CA116" s="49">
        <f t="shared" si="225"/>
      </c>
      <c r="CB116" s="49">
        <f t="shared" si="225"/>
      </c>
      <c r="CC116" s="49">
        <f t="shared" si="225"/>
      </c>
      <c r="CD116" s="49">
        <f t="shared" si="225"/>
      </c>
      <c r="CE116" s="49">
        <f t="shared" si="225"/>
      </c>
      <c r="CF116" s="49">
        <f t="shared" si="225"/>
      </c>
      <c r="CG116" s="49">
        <f t="shared" si="225"/>
      </c>
      <c r="CH116" s="49">
        <f t="shared" si="225"/>
      </c>
      <c r="CI116" s="49">
        <f t="shared" si="225"/>
      </c>
      <c r="CJ116" s="49">
        <f t="shared" si="225"/>
      </c>
      <c r="CK116" s="49">
        <f t="shared" si="225"/>
      </c>
      <c r="CL116" s="49">
        <f t="shared" si="225"/>
      </c>
      <c r="CM116" s="49">
        <v>-0.2</v>
      </c>
      <c r="CN116" s="49">
        <v>0.17</v>
      </c>
      <c r="CO116" s="49">
        <v>0</v>
      </c>
      <c r="CP116" s="49">
        <v>0</v>
      </c>
      <c r="CQ116" s="49">
        <v>0.1</v>
      </c>
      <c r="CR116" s="49">
        <f>CR115/CQ115-1</f>
      </c>
      <c r="CS116" s="49">
        <f>CS115/CR115-1</f>
      </c>
      <c r="CT116" s="49">
        <f>CT115/CS115-1</f>
      </c>
      <c r="CU116" s="341">
        <v>7.0000000000000007E-2</v>
      </c>
      <c r="CV116" s="341">
        <v>0.1</v>
      </c>
      <c r="CW116" s="341">
        <v>-0.01</v>
      </c>
      <c r="CX116" s="341">
        <v>-0.02</v>
      </c>
      <c r="CY116" s="341">
        <v>0.1</v>
      </c>
      <c r="CZ116" s="341">
        <v>0.12</v>
      </c>
      <c r="DA116" s="341">
        <v>-0.01</v>
      </c>
      <c r="DB116" s="341">
        <v>-0.02</v>
      </c>
      <c r="DC116" s="341">
        <v>0.1</v>
      </c>
      <c r="DD116" s="341">
        <v>0.12</v>
      </c>
      <c r="DE116" s="341">
        <v>-0.01</v>
      </c>
      <c r="DH116" s="342" t="s">
        <v>197</v>
      </c>
      <c r="DI116" s="342" t="s">
        <v>197</v>
      </c>
      <c r="DJ116" s="342" t="s">
        <v>197</v>
      </c>
      <c r="DK116" s="342" t="s">
        <v>197</v>
      </c>
      <c r="DL116" s="342" t="s">
        <v>197</v>
      </c>
      <c r="DM116" s="342" t="s">
        <v>197</v>
      </c>
      <c r="DN116" s="342" t="s">
        <v>197</v>
      </c>
      <c r="DO116" s="342" t="s">
        <v>197</v>
      </c>
      <c r="DP116" s="342" t="s">
        <v>197</v>
      </c>
      <c r="DQ116" s="342" t="s">
        <v>197</v>
      </c>
      <c r="DR116" s="342" t="s">
        <v>197</v>
      </c>
      <c r="DS116" s="342" t="s">
        <v>197</v>
      </c>
      <c r="DT116" s="342" t="s">
        <v>197</v>
      </c>
      <c r="DU116" s="342" t="s">
        <v>197</v>
      </c>
      <c r="DV116" s="342" t="s">
        <v>197</v>
      </c>
      <c r="DW116" s="342" t="s">
        <v>197</v>
      </c>
      <c r="DX116" s="342" t="s">
        <v>197</v>
      </c>
      <c r="DY116" s="342" t="s">
        <v>197</v>
      </c>
      <c r="DZ116" s="342" t="s">
        <v>197</v>
      </c>
      <c r="EA116" s="342" t="s">
        <v>197</v>
      </c>
      <c r="EB116" s="342" t="s">
        <v>197</v>
      </c>
      <c r="EC116" s="342" t="s">
        <v>197</v>
      </c>
      <c r="ED116" s="342" t="s">
        <v>197</v>
      </c>
      <c r="EE116" s="342" t="s">
        <v>197</v>
      </c>
      <c r="EF116" s="343" t="s">
        <v>197</v>
      </c>
      <c r="EG116" s="343" t="s">
        <v>197</v>
      </c>
      <c r="EH116" s="343" t="s">
        <v>197</v>
      </c>
    </row>
    <row r="117" spans="1:138" s="49" customFormat="1" outlineLevel="1">
      <c r="A117" s="349" t="s">
        <v>198</v>
      </c>
      <c r="BR117" s="49">
        <f t="shared" ref="BR117:CL117" si="226">BR115/BN115-1</f>
      </c>
      <c r="BS117" s="49">
        <f t="shared" si="226"/>
      </c>
      <c r="BT117" s="49">
        <f t="shared" si="226"/>
      </c>
      <c r="BU117" s="49">
        <f t="shared" si="226"/>
      </c>
      <c r="BV117" s="49">
        <f t="shared" si="226"/>
      </c>
      <c r="BW117" s="49">
        <f t="shared" si="226"/>
      </c>
      <c r="BX117" s="49">
        <f t="shared" si="226"/>
      </c>
      <c r="BY117" s="49">
        <f t="shared" si="226"/>
      </c>
      <c r="BZ117" s="49">
        <f t="shared" si="226"/>
      </c>
      <c r="CA117" s="49">
        <f t="shared" si="226"/>
      </c>
      <c r="CB117" s="49">
        <f t="shared" si="226"/>
      </c>
      <c r="CC117" s="49">
        <f t="shared" si="226"/>
      </c>
      <c r="CD117" s="49">
        <f t="shared" si="226"/>
      </c>
      <c r="CE117" s="49">
        <f t="shared" si="226"/>
      </c>
      <c r="CF117" s="49">
        <f t="shared" si="226"/>
      </c>
      <c r="CG117" s="49">
        <f t="shared" si="226"/>
      </c>
      <c r="CH117" s="49">
        <f t="shared" si="226"/>
      </c>
      <c r="CI117" s="49">
        <f t="shared" si="226"/>
      </c>
      <c r="CJ117" s="49">
        <f t="shared" si="226"/>
      </c>
      <c r="CK117" s="49">
        <f t="shared" si="226"/>
      </c>
      <c r="CL117" s="49">
        <f t="shared" si="226"/>
      </c>
      <c r="CM117" s="49">
        <f>CM115/CI115-1</f>
      </c>
      <c r="CN117" s="49">
        <f>CN115/CJ115-1</f>
      </c>
      <c r="CO117" s="49">
        <f>CO115/CK115-1</f>
      </c>
      <c r="CP117" s="49">
        <f>CP115/CL115-1</f>
      </c>
      <c r="CQ117" s="49">
        <f t="shared" ref="CQ117:DE117" si="227">CQ115/CM115-1</f>
      </c>
      <c r="CR117" s="49">
        <f t="shared" si="227"/>
      </c>
      <c r="CS117" s="49">
        <f t="shared" si="227"/>
      </c>
      <c r="CT117" s="49">
        <f t="shared" si="227"/>
      </c>
      <c r="CU117" s="341">
        <f t="shared" si="227"/>
      </c>
      <c r="CV117" s="341">
        <f t="shared" si="227"/>
      </c>
      <c r="CW117" s="341">
        <f t="shared" si="227"/>
      </c>
      <c r="CX117" s="341">
        <f t="shared" si="227"/>
      </c>
      <c r="CY117" s="341">
        <f t="shared" si="227"/>
      </c>
      <c r="CZ117" s="341">
        <f t="shared" si="227"/>
      </c>
      <c r="DA117" s="341">
        <f t="shared" si="227"/>
      </c>
      <c r="DB117" s="341">
        <f t="shared" si="227"/>
      </c>
      <c r="DC117" s="341">
        <f t="shared" si="227"/>
      </c>
      <c r="DD117" s="341">
        <f t="shared" si="227"/>
      </c>
      <c r="DE117" s="341">
        <f t="shared" si="227"/>
      </c>
      <c r="DH117" s="389"/>
      <c r="DQ117" s="62"/>
      <c r="DR117" s="62"/>
      <c r="DS117" s="387"/>
      <c r="DT117" s="387"/>
      <c r="DU117" s="52"/>
      <c r="DV117" s="52"/>
      <c r="DW117" s="52"/>
      <c r="DX117" s="52"/>
      <c r="DY117" s="52">
        <f t="shared" ref="DY117:EH117" si="228">DY115/DX115-1</f>
      </c>
      <c r="DZ117" s="52">
        <f t="shared" si="228"/>
      </c>
      <c r="EA117" s="52">
        <f t="shared" si="228"/>
      </c>
      <c r="EB117" s="49">
        <f t="shared" si="228"/>
      </c>
      <c r="EC117" s="49">
        <f t="shared" si="228"/>
      </c>
      <c r="ED117" s="49">
        <f t="shared" si="228"/>
      </c>
      <c r="EE117" s="49">
        <f t="shared" si="228"/>
      </c>
      <c r="EF117" s="345">
        <f t="shared" si="228"/>
      </c>
      <c r="EG117" s="345">
        <f t="shared" si="228"/>
      </c>
      <c r="EH117" s="345">
        <f t="shared" si="228"/>
      </c>
    </row>
    <row r="118" spans="1:138" s="49" customFormat="1" outlineLevel="1">
      <c r="A118" s="349" t="s">
        <v>227</v>
      </c>
      <c r="BN118" s="49">
        <f t="shared" ref="BN118:CH118" si="229">BN115/BN$131</f>
      </c>
      <c r="BO118" s="49">
        <f t="shared" si="229"/>
      </c>
      <c r="BP118" s="49">
        <f t="shared" si="229"/>
      </c>
      <c r="BQ118" s="49">
        <f t="shared" si="229"/>
      </c>
      <c r="BR118" s="49">
        <f t="shared" si="229"/>
      </c>
      <c r="BS118" s="49">
        <f t="shared" si="229"/>
      </c>
      <c r="BT118" s="49">
        <f t="shared" si="229"/>
      </c>
      <c r="BU118" s="49">
        <f t="shared" si="229"/>
      </c>
      <c r="BV118" s="49">
        <f t="shared" si="229"/>
      </c>
      <c r="BW118" s="49">
        <f t="shared" si="229"/>
      </c>
      <c r="BX118" s="49">
        <f t="shared" si="229"/>
      </c>
      <c r="BY118" s="49">
        <f t="shared" si="229"/>
      </c>
      <c r="BZ118" s="49">
        <f t="shared" si="229"/>
      </c>
      <c r="CA118" s="49">
        <f t="shared" si="229"/>
      </c>
      <c r="CB118" s="49">
        <f t="shared" si="229"/>
      </c>
      <c r="CC118" s="49">
        <f t="shared" si="229"/>
      </c>
      <c r="CD118" s="49">
        <f t="shared" si="229"/>
      </c>
      <c r="CE118" s="49">
        <f t="shared" si="229"/>
      </c>
      <c r="CF118" s="49">
        <f t="shared" si="229"/>
      </c>
      <c r="CG118" s="49">
        <f t="shared" si="229"/>
      </c>
      <c r="CH118" s="49">
        <f t="shared" si="229"/>
      </c>
      <c r="CI118" s="49">
        <f>CI115/CI$131</f>
      </c>
      <c r="CJ118" s="49">
        <f>CJ115/CJ$131</f>
      </c>
      <c r="CK118" s="49">
        <f>CK115/CK$131</f>
      </c>
      <c r="CL118" s="49">
        <f>CL115/CL$131</f>
      </c>
      <c r="CM118" s="49">
        <f t="shared" ref="CM118:CR118" si="230">CM115/CM$131</f>
      </c>
      <c r="CN118" s="49">
        <f t="shared" si="230"/>
      </c>
      <c r="CO118" s="49">
        <f>CO115/CO$131</f>
      </c>
      <c r="CP118" s="49">
        <f>CP115/CP$131</f>
      </c>
      <c r="CQ118" s="49">
        <f t="shared" si="230"/>
      </c>
      <c r="CR118" s="49">
        <f t="shared" si="230"/>
      </c>
      <c r="CS118" s="49">
        <f>CS115/CS$131</f>
      </c>
      <c r="CT118" s="49">
        <f>CT115/CT$131</f>
      </c>
      <c r="CU118" s="341">
        <f t="shared" ref="CU118:DA118" si="231">CU115/CU$131</f>
      </c>
      <c r="CV118" s="341">
        <f t="shared" si="231"/>
      </c>
      <c r="CW118" s="341">
        <f t="shared" si="231"/>
      </c>
      <c r="CX118" s="341">
        <f t="shared" si="231"/>
      </c>
      <c r="CY118" s="341">
        <f t="shared" si="231"/>
      </c>
      <c r="CZ118" s="341">
        <f t="shared" si="231"/>
      </c>
      <c r="DA118" s="341">
        <f t="shared" si="231"/>
      </c>
      <c r="DB118" s="341">
        <f>DB115/DB$131</f>
      </c>
      <c r="DC118" s="341">
        <f>DC115/DC$131</f>
      </c>
      <c r="DD118" s="341">
        <f>DD115/DD$131</f>
      </c>
      <c r="DE118" s="341">
        <f>DE115/DE$131</f>
      </c>
      <c r="DH118" s="389"/>
      <c r="DQ118" s="62"/>
      <c r="DR118" s="62"/>
      <c r="DS118" s="387"/>
      <c r="DT118" s="387"/>
      <c r="DU118" s="52"/>
      <c r="DV118" s="52"/>
      <c r="DX118" s="49">
        <f t="shared" ref="DX118:EC118" si="232">DX115/DX$131</f>
      </c>
      <c r="DY118" s="49">
        <f t="shared" si="232"/>
      </c>
      <c r="DZ118" s="49">
        <f t="shared" si="232"/>
      </c>
      <c r="EA118" s="49">
        <f t="shared" si="232"/>
      </c>
      <c r="EB118" s="49">
        <f t="shared" si="232"/>
      </c>
      <c r="EC118" s="49">
        <f t="shared" si="232"/>
      </c>
      <c r="ED118" s="49">
        <f>ED115/ED$131</f>
      </c>
      <c r="EE118" s="49">
        <f>EE115/EE$131</f>
      </c>
      <c r="EF118" s="341">
        <f>EF115/EF$131</f>
      </c>
      <c r="EG118" s="341">
        <f>EG115/EG$131</f>
      </c>
      <c r="EH118" s="341">
        <f>EH115/EH$131</f>
      </c>
    </row>
    <row r="119" spans="1:138" s="47" customFormat="1" outlineLevel="1">
      <c r="A119" s="348" t="s">
        <v>238</v>
      </c>
      <c r="BB119" s="35"/>
      <c r="BC119" s="35"/>
      <c r="BD119" s="35"/>
      <c r="BE119" s="35"/>
      <c r="BF119" s="35"/>
      <c r="BG119" s="35"/>
      <c r="BH119" s="35"/>
      <c r="BI119" s="35"/>
      <c r="BJ119" s="35"/>
      <c r="BK119" s="35"/>
      <c r="BL119" s="35"/>
      <c r="BM119" s="35"/>
      <c r="BN119" s="35">
        <v>0</v>
      </c>
      <c r="BO119" s="35">
        <v>150</v>
      </c>
      <c r="BP119" s="35">
        <v>70</v>
      </c>
      <c r="BQ119" s="35">
        <v>50</v>
      </c>
      <c r="BR119" s="35">
        <v>289</v>
      </c>
      <c r="BS119" s="35">
        <v>18</v>
      </c>
      <c r="BT119" s="35">
        <v>0</v>
      </c>
      <c r="BU119" s="35">
        <v>0</v>
      </c>
      <c r="BV119" s="35">
        <v>0</v>
      </c>
      <c r="BW119" s="35">
        <v>0</v>
      </c>
      <c r="BX119" s="35">
        <v>0</v>
      </c>
      <c r="BY119" s="35">
        <v>0</v>
      </c>
      <c r="BZ119" s="35">
        <v>0</v>
      </c>
      <c r="CA119" s="35">
        <v>0</v>
      </c>
      <c r="CB119" s="35">
        <v>0</v>
      </c>
      <c r="CC119" s="35">
        <v>0</v>
      </c>
      <c r="CD119" s="35">
        <v>155</v>
      </c>
      <c r="CE119" s="35">
        <v>266</v>
      </c>
      <c r="CF119" s="35">
        <v>105</v>
      </c>
      <c r="CG119" s="35">
        <v>24</v>
      </c>
      <c r="CH119" s="35">
        <v>5</v>
      </c>
      <c r="CI119" s="35">
        <v>5</v>
      </c>
      <c r="CJ119" s="35">
        <v>0</v>
      </c>
      <c r="CK119" s="35">
        <v>0</v>
      </c>
      <c r="CL119" s="35">
        <v>0</v>
      </c>
      <c r="CM119" s="35">
        <f>CL119</f>
      </c>
      <c r="CN119" s="35">
        <f>CM119</f>
      </c>
      <c r="CO119" s="35">
        <f>CN119</f>
      </c>
      <c r="CP119" s="35">
        <f>CO119</f>
      </c>
      <c r="CQ119" s="35">
        <f t="shared" ref="CQ119:DE119" si="233">CP119</f>
      </c>
      <c r="CR119" s="35">
        <f t="shared" si="233"/>
      </c>
      <c r="CS119" s="35">
        <f t="shared" si="233"/>
      </c>
      <c r="CT119" s="35">
        <f t="shared" si="233"/>
      </c>
      <c r="CU119" s="338">
        <f t="shared" si="233"/>
      </c>
      <c r="CV119" s="338">
        <f t="shared" si="233"/>
      </c>
      <c r="CW119" s="338">
        <f t="shared" si="233"/>
      </c>
      <c r="CX119" s="338">
        <f t="shared" si="233"/>
      </c>
      <c r="CY119" s="338">
        <f t="shared" si="233"/>
      </c>
      <c r="CZ119" s="338">
        <f t="shared" si="233"/>
      </c>
      <c r="DA119" s="338">
        <f t="shared" si="233"/>
      </c>
      <c r="DB119" s="338">
        <f t="shared" si="233"/>
      </c>
      <c r="DC119" s="338">
        <f t="shared" si="233"/>
      </c>
      <c r="DD119" s="338">
        <f t="shared" si="233"/>
      </c>
      <c r="DE119" s="338">
        <f t="shared" si="233"/>
      </c>
      <c r="DH119" s="66"/>
      <c r="DI119" s="66"/>
      <c r="DJ119" s="66"/>
      <c r="DK119" s="66"/>
      <c r="DL119" s="66"/>
      <c r="DM119" s="66"/>
      <c r="DN119" s="66"/>
      <c r="DO119" s="66"/>
      <c r="DP119" s="66"/>
      <c r="DQ119" s="66"/>
      <c r="DR119" s="66"/>
      <c r="DS119" s="66"/>
      <c r="DT119" s="66"/>
      <c r="DU119" s="66"/>
      <c r="DV119" s="66"/>
      <c r="DW119" s="66"/>
      <c r="DX119" s="66">
        <f>SUM(BN119:BQ119)</f>
      </c>
      <c r="DY119" s="66">
        <f>SUM(BR119:BU119)</f>
      </c>
      <c r="DZ119" s="66">
        <f>BV119+BW119+BX119+BY119</f>
      </c>
      <c r="EA119" s="67">
        <f>SUM(BZ119:CC119)</f>
      </c>
      <c r="EB119" s="67">
        <f>+CD119+CE119+CF119+CG119</f>
      </c>
      <c r="EC119" s="67">
        <f>SUM(CH119:CK119)</f>
      </c>
      <c r="ED119" s="67">
        <f>SUM(CL119:CO119)</f>
      </c>
      <c r="EE119" s="67">
        <f>SUM(CP119:CS119)</f>
      </c>
      <c r="EF119" s="69">
        <f>SUM(CT119:CW119)</f>
      </c>
      <c r="EG119" s="69">
        <f>SUM(CU119:CX119)</f>
      </c>
      <c r="EH119" s="69">
        <f>SUM(CV119:CY119)</f>
      </c>
    </row>
    <row r="120" spans="1:138" s="49" customFormat="1" outlineLevel="1">
      <c r="A120" s="349" t="s">
        <v>196</v>
      </c>
      <c r="BP120" s="49">
        <f>BP119/BO119-1</f>
      </c>
      <c r="BQ120" s="49">
        <f>BQ119/BP119-1</f>
      </c>
      <c r="BR120" s="49">
        <f>BR119/BQ119-1</f>
      </c>
      <c r="BS120" s="49">
        <f>BS119/BR119-1</f>
      </c>
      <c r="BT120" s="49">
        <f>BT119/BS119-1</f>
      </c>
      <c r="BU120" s="342" t="s">
        <v>197</v>
      </c>
      <c r="BV120" s="342" t="s">
        <v>197</v>
      </c>
      <c r="BW120" s="342" t="s">
        <v>197</v>
      </c>
      <c r="BX120" s="342" t="s">
        <v>197</v>
      </c>
      <c r="BY120" s="342" t="s">
        <v>197</v>
      </c>
      <c r="BZ120" s="342" t="s">
        <v>197</v>
      </c>
      <c r="CA120" s="343" t="s">
        <v>197</v>
      </c>
      <c r="CB120" s="343" t="s">
        <v>197</v>
      </c>
      <c r="CC120" s="343" t="s">
        <v>197</v>
      </c>
      <c r="CD120" s="343" t="s">
        <v>197</v>
      </c>
      <c r="CE120" s="49">
        <f t="shared" ref="CE120:CL120" si="234">CE119/CD119-1</f>
      </c>
      <c r="CF120" s="49">
        <f t="shared" si="234"/>
      </c>
      <c r="CG120" s="49">
        <f t="shared" si="234"/>
      </c>
      <c r="CH120" s="49">
        <f t="shared" si="234"/>
      </c>
      <c r="CI120" s="49">
        <f t="shared" si="234"/>
      </c>
      <c r="CJ120" s="49">
        <f t="shared" si="234"/>
      </c>
      <c r="CK120" s="49" t="e">
        <f t="shared" si="234"/>
      </c>
      <c r="CL120" s="49" t="e">
        <f t="shared" si="234"/>
      </c>
      <c r="CM120" s="49" t="s">
        <v>197</v>
      </c>
      <c r="CN120" s="49" t="s">
        <v>197</v>
      </c>
      <c r="CO120" s="49" t="s">
        <v>197</v>
      </c>
      <c r="CP120" s="49" t="s">
        <v>197</v>
      </c>
      <c r="CQ120" s="49" t="s">
        <v>197</v>
      </c>
      <c r="CR120" s="49" t="s">
        <v>197</v>
      </c>
      <c r="CS120" s="49" t="s">
        <v>197</v>
      </c>
      <c r="CT120" s="49" t="s">
        <v>197</v>
      </c>
      <c r="CU120" s="343" t="s">
        <v>197</v>
      </c>
      <c r="CV120" s="343" t="s">
        <v>197</v>
      </c>
      <c r="CW120" s="343" t="s">
        <v>197</v>
      </c>
      <c r="CX120" s="343" t="s">
        <v>197</v>
      </c>
      <c r="CY120" s="343" t="s">
        <v>197</v>
      </c>
      <c r="CZ120" s="343" t="s">
        <v>197</v>
      </c>
      <c r="DA120" s="343" t="s">
        <v>197</v>
      </c>
      <c r="DB120" s="343" t="s">
        <v>197</v>
      </c>
      <c r="DC120" s="343" t="s">
        <v>197</v>
      </c>
      <c r="DD120" s="343" t="s">
        <v>197</v>
      </c>
      <c r="DE120" s="343" t="s">
        <v>197</v>
      </c>
      <c r="DH120" s="342" t="s">
        <v>197</v>
      </c>
      <c r="DI120" s="342" t="s">
        <v>197</v>
      </c>
      <c r="DJ120" s="342" t="s">
        <v>197</v>
      </c>
      <c r="DK120" s="342" t="s">
        <v>197</v>
      </c>
      <c r="DL120" s="342" t="s">
        <v>197</v>
      </c>
      <c r="DM120" s="342" t="s">
        <v>197</v>
      </c>
      <c r="DN120" s="342" t="s">
        <v>197</v>
      </c>
      <c r="DO120" s="342" t="s">
        <v>197</v>
      </c>
      <c r="DP120" s="342" t="s">
        <v>197</v>
      </c>
      <c r="DQ120" s="342" t="s">
        <v>197</v>
      </c>
      <c r="DR120" s="342" t="s">
        <v>197</v>
      </c>
      <c r="DS120" s="342" t="s">
        <v>197</v>
      </c>
      <c r="DT120" s="342" t="s">
        <v>197</v>
      </c>
      <c r="DU120" s="342" t="s">
        <v>197</v>
      </c>
      <c r="DV120" s="342" t="s">
        <v>197</v>
      </c>
      <c r="DW120" s="342" t="s">
        <v>197</v>
      </c>
      <c r="DX120" s="342" t="s">
        <v>197</v>
      </c>
      <c r="DY120" s="342" t="s">
        <v>197</v>
      </c>
      <c r="DZ120" s="342" t="s">
        <v>197</v>
      </c>
      <c r="EA120" s="342" t="s">
        <v>197</v>
      </c>
      <c r="EB120" s="342" t="s">
        <v>197</v>
      </c>
      <c r="EC120" s="342" t="s">
        <v>197</v>
      </c>
      <c r="ED120" s="342" t="s">
        <v>197</v>
      </c>
      <c r="EE120" s="342" t="s">
        <v>197</v>
      </c>
      <c r="EF120" s="343" t="s">
        <v>197</v>
      </c>
      <c r="EG120" s="343" t="s">
        <v>197</v>
      </c>
      <c r="EH120" s="343" t="s">
        <v>197</v>
      </c>
    </row>
    <row r="121" spans="1:138" s="49" customFormat="1" outlineLevel="1">
      <c r="A121" s="349" t="s">
        <v>198</v>
      </c>
      <c r="BS121" s="49">
        <f>BS119/BO119-1</f>
      </c>
      <c r="BT121" s="49">
        <f>BT119/BP119-1</f>
      </c>
      <c r="BU121" s="49">
        <f>BU119/BQ119-1</f>
      </c>
      <c r="BV121" s="49">
        <f>BV119/BR119-1</f>
      </c>
      <c r="BW121" s="49">
        <f>BW119/BS119-1</f>
      </c>
      <c r="BX121" s="342" t="s">
        <v>197</v>
      </c>
      <c r="BY121" s="342" t="s">
        <v>197</v>
      </c>
      <c r="BZ121" s="342" t="s">
        <v>197</v>
      </c>
      <c r="CA121" s="343" t="s">
        <v>197</v>
      </c>
      <c r="CB121" s="343" t="s">
        <v>197</v>
      </c>
      <c r="CC121" s="343" t="s">
        <v>197</v>
      </c>
      <c r="CD121" s="343" t="s">
        <v>197</v>
      </c>
      <c r="CE121" s="343" t="s">
        <v>197</v>
      </c>
      <c r="CF121" s="343" t="s">
        <v>197</v>
      </c>
      <c r="CG121" s="342" t="s">
        <v>197</v>
      </c>
      <c r="CH121" s="342" t="s">
        <v>197</v>
      </c>
      <c r="CI121" s="342" t="s">
        <v>197</v>
      </c>
      <c r="CJ121" s="342" t="s">
        <v>197</v>
      </c>
      <c r="CK121" s="342" t="s">
        <v>197</v>
      </c>
      <c r="CL121" s="342" t="s">
        <v>197</v>
      </c>
      <c r="CM121" s="342" t="s">
        <v>197</v>
      </c>
      <c r="CN121" s="342" t="s">
        <v>197</v>
      </c>
      <c r="CO121" s="342" t="s">
        <v>197</v>
      </c>
      <c r="CP121" s="342" t="s">
        <v>197</v>
      </c>
      <c r="CQ121" s="342" t="s">
        <v>197</v>
      </c>
      <c r="CR121" s="342" t="s">
        <v>197</v>
      </c>
      <c r="CS121" s="342" t="s">
        <v>197</v>
      </c>
      <c r="CT121" s="342" t="s">
        <v>197</v>
      </c>
      <c r="CU121" s="343" t="s">
        <v>197</v>
      </c>
      <c r="CV121" s="343" t="s">
        <v>197</v>
      </c>
      <c r="CW121" s="343" t="s">
        <v>197</v>
      </c>
      <c r="CX121" s="343" t="s">
        <v>197</v>
      </c>
      <c r="CY121" s="343" t="s">
        <v>197</v>
      </c>
      <c r="CZ121" s="343" t="s">
        <v>197</v>
      </c>
      <c r="DA121" s="343" t="s">
        <v>197</v>
      </c>
      <c r="DB121" s="343" t="s">
        <v>197</v>
      </c>
      <c r="DC121" s="343" t="s">
        <v>197</v>
      </c>
      <c r="DD121" s="343" t="s">
        <v>197</v>
      </c>
      <c r="DE121" s="343" t="s">
        <v>197</v>
      </c>
      <c r="DH121" s="389"/>
      <c r="DQ121" s="62"/>
      <c r="DR121" s="62"/>
      <c r="DS121" s="387"/>
      <c r="DT121" s="387"/>
      <c r="DU121" s="52"/>
      <c r="DV121" s="52"/>
      <c r="DW121" s="52"/>
      <c r="DX121" s="52"/>
      <c r="DY121" s="52" t="s">
        <v>239</v>
      </c>
      <c r="DZ121" s="52">
        <f>DZ119/DY119-1</f>
      </c>
      <c r="EA121" s="390" t="s">
        <v>197</v>
      </c>
      <c r="EB121" s="390" t="s">
        <v>197</v>
      </c>
      <c r="EC121" s="390" t="s">
        <v>197</v>
      </c>
      <c r="ED121" s="390" t="s">
        <v>197</v>
      </c>
      <c r="EE121" s="390" t="s">
        <v>197</v>
      </c>
      <c r="EF121" s="391" t="s">
        <v>197</v>
      </c>
      <c r="EG121" s="391" t="s">
        <v>197</v>
      </c>
      <c r="EH121" s="391" t="s">
        <v>197</v>
      </c>
    </row>
    <row r="122" spans="1:138" s="49" customFormat="1" outlineLevel="1">
      <c r="A122" s="349" t="s">
        <v>227</v>
      </c>
      <c r="BN122" s="49">
        <f t="shared" ref="BN122:CG122" si="235">BN119/BN$131</f>
      </c>
      <c r="BO122" s="49">
        <f t="shared" si="235"/>
      </c>
      <c r="BP122" s="49">
        <f t="shared" si="235"/>
      </c>
      <c r="BQ122" s="49">
        <f t="shared" si="235"/>
      </c>
      <c r="BR122" s="49">
        <f t="shared" si="235"/>
      </c>
      <c r="BS122" s="49">
        <f t="shared" si="235"/>
      </c>
      <c r="BT122" s="49">
        <f t="shared" si="235"/>
      </c>
      <c r="BU122" s="49">
        <f t="shared" si="235"/>
      </c>
      <c r="BV122" s="49">
        <f t="shared" si="235"/>
      </c>
      <c r="BW122" s="49">
        <f t="shared" si="235"/>
      </c>
      <c r="BX122" s="49">
        <f t="shared" si="235"/>
      </c>
      <c r="BY122" s="49">
        <f t="shared" si="235"/>
      </c>
      <c r="BZ122" s="49">
        <f t="shared" si="235"/>
      </c>
      <c r="CA122" s="49">
        <f t="shared" si="235"/>
      </c>
      <c r="CB122" s="49">
        <f t="shared" si="235"/>
      </c>
      <c r="CC122" s="49">
        <f t="shared" si="235"/>
      </c>
      <c r="CD122" s="49">
        <f>CD119/CD$131</f>
      </c>
      <c r="CE122" s="49">
        <f>CE119/CE$131</f>
      </c>
      <c r="CF122" s="49">
        <f>CF119/CF$131</f>
      </c>
      <c r="CG122" s="49">
        <f t="shared" si="235"/>
      </c>
      <c r="CH122" s="49">
        <f>CH119/CH$131</f>
      </c>
      <c r="CI122" s="49">
        <f>CI119/CI$131</f>
      </c>
      <c r="CJ122" s="49">
        <f>CJ119/CJ$131</f>
      </c>
      <c r="CK122" s="49">
        <f>CK119/CK$131</f>
      </c>
      <c r="CL122" s="49">
        <f>CL119/CL$131</f>
      </c>
      <c r="CM122" s="49">
        <f t="shared" ref="CM122:CS122" si="236">CM119/CM$131</f>
      </c>
      <c r="CN122" s="49">
        <f t="shared" si="236"/>
      </c>
      <c r="CO122" s="49">
        <f>CO119/CO$131</f>
      </c>
      <c r="CP122" s="49">
        <f>CP119/CP$131</f>
      </c>
      <c r="CQ122" s="49">
        <f t="shared" si="236"/>
      </c>
      <c r="CR122" s="49">
        <f t="shared" si="236"/>
      </c>
      <c r="CS122" s="49">
        <f t="shared" si="236"/>
      </c>
      <c r="CT122" s="49">
        <f>CT119/CT$131</f>
      </c>
      <c r="CU122" s="341">
        <f t="shared" ref="CU122:DA122" si="237">CU119/CU$131</f>
      </c>
      <c r="CV122" s="341">
        <f t="shared" si="237"/>
      </c>
      <c r="CW122" s="341">
        <f t="shared" si="237"/>
      </c>
      <c r="CX122" s="341">
        <f t="shared" si="237"/>
      </c>
      <c r="CY122" s="341">
        <f t="shared" si="237"/>
      </c>
      <c r="CZ122" s="341">
        <f t="shared" si="237"/>
      </c>
      <c r="DA122" s="341">
        <f t="shared" si="237"/>
      </c>
      <c r="DB122" s="341">
        <f>DB119/DB$131</f>
      </c>
      <c r="DC122" s="341">
        <f>DC119/DC$131</f>
      </c>
      <c r="DD122" s="341">
        <f>DD119/DD$131</f>
      </c>
      <c r="DE122" s="341">
        <f>DE119/DE$131</f>
      </c>
      <c r="DH122" s="389"/>
      <c r="DQ122" s="62"/>
      <c r="DR122" s="62"/>
      <c r="DS122" s="387"/>
      <c r="DT122" s="387"/>
      <c r="DU122" s="52"/>
      <c r="DV122" s="52"/>
      <c r="DX122" s="49">
        <f t="shared" ref="DX122:EC122" si="238">DX119/DX$131</f>
      </c>
      <c r="DY122" s="49">
        <f t="shared" si="238"/>
      </c>
      <c r="DZ122" s="49">
        <f t="shared" si="238"/>
      </c>
      <c r="EA122" s="49">
        <f t="shared" si="238"/>
      </c>
      <c r="EB122" s="49">
        <f t="shared" si="238"/>
      </c>
      <c r="EC122" s="49">
        <f t="shared" si="238"/>
      </c>
      <c r="ED122" s="49">
        <f>ED119/ED$131</f>
      </c>
      <c r="EE122" s="49">
        <f>EE119/EE$131</f>
      </c>
      <c r="EF122" s="341">
        <f>EF119/EF$131</f>
      </c>
      <c r="EG122" s="341">
        <f>EG119/EG$131</f>
      </c>
      <c r="EH122" s="341">
        <f>EH119/EH$131</f>
      </c>
    </row>
    <row r="123" spans="1:138" s="47" customFormat="1" outlineLevel="1">
      <c r="A123" s="348" t="s">
        <v>240</v>
      </c>
      <c r="BB123" s="35">
        <f t="shared" ref="BB123:BY123" si="239">BB111-BB237</f>
      </c>
      <c r="BC123" s="35">
        <f t="shared" si="239"/>
      </c>
      <c r="BD123" s="35">
        <f t="shared" si="239"/>
      </c>
      <c r="BE123" s="35">
        <f t="shared" si="239"/>
      </c>
      <c r="BF123" s="35">
        <f t="shared" si="239"/>
      </c>
      <c r="BG123" s="35">
        <f t="shared" si="239"/>
      </c>
      <c r="BH123" s="35">
        <f t="shared" si="239"/>
      </c>
      <c r="BI123" s="35">
        <f t="shared" si="239"/>
      </c>
      <c r="BJ123" s="35">
        <f t="shared" si="239"/>
      </c>
      <c r="BK123" s="35">
        <f t="shared" si="239"/>
      </c>
      <c r="BL123" s="35">
        <f t="shared" si="239"/>
      </c>
      <c r="BM123" s="35">
        <f t="shared" si="239"/>
      </c>
      <c r="BN123" s="35">
        <f t="shared" si="239"/>
      </c>
      <c r="BO123" s="35">
        <f t="shared" si="239"/>
      </c>
      <c r="BP123" s="35">
        <f t="shared" si="239"/>
      </c>
      <c r="BQ123" s="35">
        <f t="shared" si="239"/>
      </c>
      <c r="BR123" s="35">
        <f t="shared" si="239"/>
      </c>
      <c r="BS123" s="35">
        <f t="shared" si="239"/>
      </c>
      <c r="BT123" s="35">
        <f t="shared" si="239"/>
      </c>
      <c r="BU123" s="35">
        <f t="shared" si="239"/>
      </c>
      <c r="BV123" s="35">
        <f t="shared" si="239"/>
      </c>
      <c r="BW123" s="35">
        <f t="shared" si="239"/>
      </c>
      <c r="BX123" s="35">
        <f t="shared" si="239"/>
      </c>
      <c r="BY123" s="35">
        <f t="shared" si="239"/>
      </c>
      <c r="BZ123" s="35">
        <v>50</v>
      </c>
      <c r="CA123" s="35">
        <v>40</v>
      </c>
      <c r="CB123" s="35">
        <f t="shared" ref="CB123:CI123" si="240">+CA123</f>
      </c>
      <c r="CC123" s="35">
        <f t="shared" si="240"/>
      </c>
      <c r="CD123" s="35">
        <f t="shared" si="240"/>
      </c>
      <c r="CE123" s="35">
        <f>+CD123</f>
      </c>
      <c r="CF123" s="35">
        <f>+CE123</f>
      </c>
      <c r="CG123" s="35">
        <f t="shared" si="240"/>
      </c>
      <c r="CH123" s="35">
        <f t="shared" si="240"/>
      </c>
      <c r="CI123" s="35">
        <f t="shared" si="240"/>
      </c>
      <c r="CJ123" s="35">
        <v>20</v>
      </c>
      <c r="CK123" s="35">
        <v>20</v>
      </c>
      <c r="CL123" s="35">
        <v>20</v>
      </c>
      <c r="CM123" s="35">
        <f>+CL123</f>
      </c>
      <c r="CN123" s="35">
        <f>+CM123</f>
      </c>
      <c r="CO123" s="35">
        <f>+CN123</f>
      </c>
      <c r="CP123" s="35">
        <f>+CO123</f>
      </c>
      <c r="CQ123" s="35">
        <f t="shared" ref="CQ123:CW123" si="241">+CP123</f>
      </c>
      <c r="CR123" s="35">
        <f t="shared" si="241"/>
      </c>
      <c r="CS123" s="35">
        <f t="shared" si="241"/>
      </c>
      <c r="CT123" s="35">
        <f t="shared" si="241"/>
      </c>
      <c r="CU123" s="338">
        <f t="shared" si="241"/>
      </c>
      <c r="CV123" s="338">
        <f t="shared" si="241"/>
      </c>
      <c r="CW123" s="338">
        <f t="shared" si="241"/>
      </c>
      <c r="CX123" s="338">
        <v>26</v>
      </c>
      <c r="CY123" s="338">
        <f>+CX123</f>
      </c>
      <c r="CZ123" s="338">
        <f>+CY123</f>
      </c>
      <c r="DA123" s="338">
        <f>+CZ123</f>
      </c>
      <c r="DB123" s="338">
        <v>26</v>
      </c>
      <c r="DC123" s="338">
        <f>+DB123</f>
      </c>
      <c r="DD123" s="338">
        <f>+DC123</f>
      </c>
      <c r="DE123" s="338">
        <f>+DD123</f>
      </c>
      <c r="DH123" s="66"/>
      <c r="DI123" s="66"/>
      <c r="DJ123" s="66"/>
      <c r="DK123" s="66"/>
      <c r="DL123" s="66"/>
      <c r="DM123" s="66"/>
      <c r="DN123" s="66"/>
      <c r="DO123" s="66"/>
      <c r="DP123" s="66"/>
      <c r="DQ123" s="66"/>
      <c r="DR123" s="66"/>
      <c r="DS123" s="66"/>
      <c r="DT123" s="66"/>
      <c r="DU123" s="66">
        <f>SUM(BB123:BE123)</f>
      </c>
      <c r="DV123" s="66">
        <f>SUM(BF123:BI123)</f>
      </c>
      <c r="DW123" s="66">
        <f>SUM(BJ123:BM123)</f>
      </c>
      <c r="DX123" s="66">
        <f>SUM(BN123:BQ123)</f>
      </c>
      <c r="DY123" s="66">
        <f>SUM(BR123:BU123)</f>
      </c>
      <c r="DZ123" s="66">
        <f>BV123+BW123+BX123+BY123</f>
      </c>
      <c r="EA123" s="67">
        <f>SUM(BZ123:CC123)</f>
      </c>
      <c r="EB123" s="67">
        <f>+CD123+CE123+CF123+CG123</f>
      </c>
      <c r="EC123" s="67">
        <f>SUM(CH123:CK123)</f>
      </c>
      <c r="ED123" s="67">
        <f>SUM(CL123:CO123)</f>
      </c>
      <c r="EE123" s="67">
        <f>SUM(CP123:CS123)</f>
      </c>
      <c r="EF123" s="69">
        <f>SUM(CT123:CW123)</f>
      </c>
      <c r="EG123" s="69">
        <f>SUM(CX123:DA123)</f>
      </c>
      <c r="EH123" s="69">
        <f>SUM(DB123:DE123)</f>
      </c>
    </row>
    <row r="124" spans="1:138" s="49" customFormat="1" outlineLevel="1">
      <c r="A124" s="349" t="s">
        <v>196</v>
      </c>
      <c r="BC124" s="49">
        <f t="shared" ref="BC124:DE124" si="242">BC123/BB123-1</f>
      </c>
      <c r="BD124" s="49">
        <f t="shared" si="242"/>
      </c>
      <c r="BE124" s="49">
        <f t="shared" si="242"/>
      </c>
      <c r="BF124" s="49">
        <f t="shared" si="242"/>
      </c>
      <c r="BG124" s="49">
        <f t="shared" si="242"/>
      </c>
      <c r="BH124" s="49">
        <f t="shared" si="242"/>
      </c>
      <c r="BI124" s="49">
        <f t="shared" si="242"/>
      </c>
      <c r="BJ124" s="49">
        <f t="shared" si="242"/>
      </c>
      <c r="BK124" s="49">
        <f t="shared" si="242"/>
      </c>
      <c r="BL124" s="49">
        <f t="shared" si="242"/>
      </c>
      <c r="BM124" s="49">
        <f t="shared" si="242"/>
      </c>
      <c r="BN124" s="49">
        <f t="shared" si="242"/>
      </c>
      <c r="BO124" s="49">
        <f t="shared" si="242"/>
      </c>
      <c r="BP124" s="49">
        <f t="shared" si="242"/>
      </c>
      <c r="BQ124" s="49">
        <f t="shared" si="242"/>
      </c>
      <c r="BR124" s="49">
        <f t="shared" si="242"/>
      </c>
      <c r="BS124" s="49">
        <f t="shared" si="242"/>
      </c>
      <c r="BT124" s="49">
        <f t="shared" si="242"/>
      </c>
      <c r="BU124" s="49">
        <f t="shared" si="242"/>
      </c>
      <c r="BV124" s="49">
        <f t="shared" si="242"/>
      </c>
      <c r="BW124" s="49">
        <f t="shared" si="242"/>
      </c>
      <c r="BX124" s="49">
        <f t="shared" si="242"/>
      </c>
      <c r="BY124" s="49">
        <f t="shared" si="242"/>
      </c>
      <c r="BZ124" s="49">
        <f t="shared" si="242"/>
      </c>
      <c r="CA124" s="49">
        <f t="shared" si="242"/>
      </c>
      <c r="CB124" s="49">
        <f t="shared" si="242"/>
      </c>
      <c r="CC124" s="49">
        <f t="shared" si="242"/>
      </c>
      <c r="CD124" s="49">
        <f t="shared" si="242"/>
      </c>
      <c r="CE124" s="49">
        <f t="shared" si="242"/>
      </c>
      <c r="CF124" s="49">
        <f t="shared" si="242"/>
      </c>
      <c r="CG124" s="49">
        <f t="shared" si="242"/>
      </c>
      <c r="CH124" s="49">
        <f t="shared" si="242"/>
      </c>
      <c r="CI124" s="49">
        <f t="shared" si="242"/>
      </c>
      <c r="CJ124" s="49">
        <f t="shared" si="242"/>
      </c>
      <c r="CK124" s="49">
        <f t="shared" si="242"/>
      </c>
      <c r="CL124" s="49">
        <f t="shared" si="242"/>
      </c>
      <c r="CM124" s="49">
        <f t="shared" si="242"/>
      </c>
      <c r="CN124" s="49">
        <f t="shared" si="242"/>
      </c>
      <c r="CO124" s="49">
        <f t="shared" si="242"/>
      </c>
      <c r="CP124" s="49">
        <f t="shared" si="242"/>
      </c>
      <c r="CQ124" s="49">
        <f t="shared" si="242"/>
      </c>
      <c r="CR124" s="49">
        <f t="shared" si="242"/>
      </c>
      <c r="CS124" s="49">
        <f t="shared" si="242"/>
      </c>
      <c r="CT124" s="49">
        <f t="shared" si="242"/>
      </c>
      <c r="CU124" s="341">
        <f t="shared" si="242"/>
      </c>
      <c r="CV124" s="341">
        <f t="shared" si="242"/>
      </c>
      <c r="CW124" s="341">
        <f t="shared" si="242"/>
      </c>
      <c r="CX124" s="341">
        <f t="shared" si="242"/>
      </c>
      <c r="CY124" s="341">
        <f t="shared" si="242"/>
      </c>
      <c r="CZ124" s="341">
        <f t="shared" si="242"/>
      </c>
      <c r="DA124" s="341">
        <f t="shared" si="242"/>
      </c>
      <c r="DB124" s="341">
        <f t="shared" si="242"/>
      </c>
      <c r="DC124" s="341">
        <f t="shared" si="242"/>
      </c>
      <c r="DD124" s="341">
        <f t="shared" si="242"/>
      </c>
      <c r="DE124" s="341">
        <f t="shared" si="242"/>
      </c>
      <c r="DH124" s="342" t="s">
        <v>197</v>
      </c>
      <c r="DI124" s="342" t="s">
        <v>197</v>
      </c>
      <c r="DJ124" s="342" t="s">
        <v>197</v>
      </c>
      <c r="DK124" s="342" t="s">
        <v>197</v>
      </c>
      <c r="DL124" s="342" t="s">
        <v>197</v>
      </c>
      <c r="DM124" s="342" t="s">
        <v>197</v>
      </c>
      <c r="DN124" s="342" t="s">
        <v>197</v>
      </c>
      <c r="DO124" s="342" t="s">
        <v>197</v>
      </c>
      <c r="DP124" s="342" t="s">
        <v>197</v>
      </c>
      <c r="DQ124" s="342" t="s">
        <v>197</v>
      </c>
      <c r="DR124" s="342" t="s">
        <v>197</v>
      </c>
      <c r="DS124" s="342" t="s">
        <v>197</v>
      </c>
      <c r="DT124" s="342" t="s">
        <v>197</v>
      </c>
      <c r="DU124" s="342" t="s">
        <v>197</v>
      </c>
      <c r="DV124" s="342" t="s">
        <v>197</v>
      </c>
      <c r="DW124" s="342" t="s">
        <v>197</v>
      </c>
      <c r="DX124" s="342" t="s">
        <v>197</v>
      </c>
      <c r="DY124" s="342" t="s">
        <v>197</v>
      </c>
      <c r="DZ124" s="342" t="s">
        <v>197</v>
      </c>
      <c r="EA124" s="342" t="s">
        <v>197</v>
      </c>
      <c r="EB124" s="342" t="s">
        <v>197</v>
      </c>
      <c r="EC124" s="342" t="s">
        <v>197</v>
      </c>
      <c r="ED124" s="342" t="s">
        <v>197</v>
      </c>
      <c r="EE124" s="342" t="s">
        <v>197</v>
      </c>
      <c r="EF124" s="343" t="s">
        <v>197</v>
      </c>
      <c r="EG124" s="343" t="s">
        <v>197</v>
      </c>
      <c r="EH124" s="343" t="s">
        <v>197</v>
      </c>
    </row>
    <row r="125" spans="1:138" s="49" customFormat="1" outlineLevel="1">
      <c r="A125" s="349" t="s">
        <v>198</v>
      </c>
      <c r="BF125" s="49">
        <f>BF123/BB123-1</f>
      </c>
      <c r="BG125" s="49">
        <f>BG123/BC123-1</f>
      </c>
      <c r="BH125" s="49">
        <f>BH123/BD123-1</f>
      </c>
      <c r="BI125" s="49">
        <f>BI123/BE123-1</f>
      </c>
      <c r="BJ125" s="49">
        <f>BJ123/BF123-1</f>
      </c>
      <c r="BK125" s="49">
        <f t="shared" ref="BK125:CL125" si="243">BK123/BG123-1</f>
      </c>
      <c r="BL125" s="49">
        <f t="shared" si="243"/>
      </c>
      <c r="BM125" s="49">
        <f t="shared" si="243"/>
      </c>
      <c r="BN125" s="49">
        <f t="shared" si="243"/>
      </c>
      <c r="BO125" s="49">
        <f t="shared" si="243"/>
      </c>
      <c r="BP125" s="49">
        <f t="shared" si="243"/>
      </c>
      <c r="BQ125" s="49">
        <f t="shared" si="243"/>
      </c>
      <c r="BR125" s="49">
        <f t="shared" si="243"/>
      </c>
      <c r="BS125" s="49">
        <f t="shared" si="243"/>
      </c>
      <c r="BT125" s="49">
        <f t="shared" si="243"/>
      </c>
      <c r="BU125" s="49">
        <f t="shared" si="243"/>
      </c>
      <c r="BV125" s="49">
        <f t="shared" si="243"/>
      </c>
      <c r="BW125" s="49">
        <f t="shared" si="243"/>
      </c>
      <c r="BX125" s="49">
        <f t="shared" si="243"/>
      </c>
      <c r="BY125" s="49">
        <f t="shared" si="243"/>
      </c>
      <c r="BZ125" s="49">
        <f t="shared" si="243"/>
      </c>
      <c r="CA125" s="49">
        <f t="shared" si="243"/>
      </c>
      <c r="CB125" s="49">
        <f t="shared" si="243"/>
      </c>
      <c r="CC125" s="49">
        <f t="shared" si="243"/>
      </c>
      <c r="CD125" s="49">
        <f t="shared" si="243"/>
      </c>
      <c r="CE125" s="49">
        <f t="shared" si="243"/>
      </c>
      <c r="CF125" s="49">
        <f t="shared" si="243"/>
      </c>
      <c r="CG125" s="49">
        <f t="shared" si="243"/>
      </c>
      <c r="CH125" s="49">
        <f t="shared" si="243"/>
      </c>
      <c r="CI125" s="49">
        <f t="shared" si="243"/>
      </c>
      <c r="CJ125" s="49">
        <f t="shared" si="243"/>
      </c>
      <c r="CK125" s="49">
        <f t="shared" si="243"/>
      </c>
      <c r="CL125" s="49">
        <f t="shared" si="243"/>
      </c>
      <c r="CM125" s="49">
        <f>CM123/CI123-1</f>
      </c>
      <c r="CN125" s="49">
        <f>CN123/CJ123-1</f>
      </c>
      <c r="CO125" s="49">
        <f>CO123/CK123-1</f>
      </c>
      <c r="CP125" s="49">
        <f>CP123/CL123-1</f>
      </c>
      <c r="CQ125" s="49">
        <f t="shared" ref="CQ125:DE125" si="244">CQ123/CM123-1</f>
      </c>
      <c r="CR125" s="49">
        <f t="shared" si="244"/>
      </c>
      <c r="CS125" s="49">
        <f t="shared" si="244"/>
      </c>
      <c r="CT125" s="49">
        <f t="shared" si="244"/>
      </c>
      <c r="CU125" s="341">
        <f t="shared" si="244"/>
      </c>
      <c r="CV125" s="341">
        <f t="shared" si="244"/>
      </c>
      <c r="CW125" s="341">
        <f t="shared" si="244"/>
      </c>
      <c r="CX125" s="341">
        <f t="shared" si="244"/>
      </c>
      <c r="CY125" s="341">
        <f t="shared" si="244"/>
      </c>
      <c r="CZ125" s="341">
        <f t="shared" si="244"/>
      </c>
      <c r="DA125" s="341">
        <f t="shared" si="244"/>
      </c>
      <c r="DB125" s="341">
        <f t="shared" si="244"/>
      </c>
      <c r="DC125" s="341">
        <f t="shared" si="244"/>
      </c>
      <c r="DD125" s="341">
        <f t="shared" si="244"/>
      </c>
      <c r="DE125" s="341">
        <f t="shared" si="244"/>
      </c>
      <c r="DV125" s="49">
        <f t="shared" ref="DV125:EH125" si="245">DV123/DU123-1</f>
      </c>
      <c r="DW125" s="49">
        <f t="shared" si="245"/>
      </c>
      <c r="DX125" s="49">
        <f t="shared" si="245"/>
      </c>
      <c r="DY125" s="49">
        <f t="shared" si="245"/>
      </c>
      <c r="DZ125" s="49">
        <f t="shared" si="245"/>
      </c>
      <c r="EA125" s="49">
        <f t="shared" si="245"/>
      </c>
      <c r="EB125" s="49">
        <f t="shared" si="245"/>
      </c>
      <c r="EC125" s="49">
        <f t="shared" si="245"/>
      </c>
      <c r="ED125" s="49">
        <f t="shared" si="245"/>
      </c>
      <c r="EE125" s="49">
        <f t="shared" si="245"/>
      </c>
      <c r="EF125" s="345">
        <f t="shared" si="245"/>
      </c>
      <c r="EG125" s="345">
        <f t="shared" si="245"/>
      </c>
      <c r="EH125" s="345">
        <f t="shared" si="245"/>
      </c>
    </row>
    <row r="126" spans="1:138" s="49" customFormat="1" outlineLevel="1">
      <c r="A126" s="349" t="s">
        <v>241</v>
      </c>
      <c r="BB126" s="49">
        <f t="shared" ref="BB126:BY126" si="246">BB123/BB$272</f>
      </c>
      <c r="BC126" s="49">
        <f t="shared" si="246"/>
      </c>
      <c r="BD126" s="49">
        <f t="shared" si="246"/>
      </c>
      <c r="BE126" s="49">
        <f t="shared" si="246"/>
      </c>
      <c r="BF126" s="49">
        <f t="shared" si="246"/>
      </c>
      <c r="BG126" s="49">
        <f t="shared" si="246"/>
      </c>
      <c r="BH126" s="49">
        <f t="shared" si="246"/>
      </c>
      <c r="BI126" s="49">
        <f t="shared" si="246"/>
      </c>
      <c r="BJ126" s="49">
        <f t="shared" si="246"/>
      </c>
      <c r="BK126" s="49">
        <f t="shared" si="246"/>
      </c>
      <c r="BL126" s="49">
        <f t="shared" si="246"/>
      </c>
      <c r="BM126" s="49">
        <f t="shared" si="246"/>
      </c>
      <c r="BN126" s="49">
        <f t="shared" si="246"/>
      </c>
      <c r="BO126" s="49">
        <f t="shared" si="246"/>
      </c>
      <c r="BP126" s="49">
        <f t="shared" si="246"/>
      </c>
      <c r="BQ126" s="49">
        <f t="shared" si="246"/>
      </c>
      <c r="BR126" s="49">
        <f t="shared" si="246"/>
      </c>
      <c r="BS126" s="49">
        <f t="shared" si="246"/>
      </c>
      <c r="BT126" s="49">
        <f t="shared" si="246"/>
      </c>
      <c r="BU126" s="49">
        <f t="shared" si="246"/>
      </c>
      <c r="BV126" s="49">
        <f t="shared" si="246"/>
      </c>
      <c r="BW126" s="49">
        <f t="shared" si="246"/>
      </c>
      <c r="BX126" s="49">
        <f t="shared" si="246"/>
      </c>
      <c r="BY126" s="49">
        <f t="shared" si="246"/>
      </c>
      <c r="BZ126" s="49">
        <f t="shared" ref="BZ126:CH126" si="247">BZ123/BZ$131</f>
      </c>
      <c r="CA126" s="49">
        <f t="shared" si="247"/>
      </c>
      <c r="CB126" s="49">
        <f t="shared" si="247"/>
      </c>
      <c r="CC126" s="49">
        <f t="shared" si="247"/>
      </c>
      <c r="CD126" s="49">
        <f t="shared" si="247"/>
      </c>
      <c r="CE126" s="49">
        <f t="shared" si="247"/>
      </c>
      <c r="CF126" s="49">
        <f t="shared" si="247"/>
      </c>
      <c r="CG126" s="49">
        <f t="shared" si="247"/>
      </c>
      <c r="CH126" s="49">
        <f t="shared" si="247"/>
      </c>
      <c r="CI126" s="49">
        <f>CI123/CI$131</f>
      </c>
      <c r="CJ126" s="49">
        <f>CJ123/CJ$131</f>
      </c>
      <c r="CK126" s="49">
        <f>CK123/CK$131</f>
      </c>
      <c r="CL126" s="49">
        <f>CL123/CL$131</f>
      </c>
      <c r="CM126" s="49">
        <f t="shared" ref="CM126:DA126" si="248">CM123/CM$131</f>
      </c>
      <c r="CN126" s="49">
        <f t="shared" si="248"/>
      </c>
      <c r="CO126" s="49">
        <f t="shared" si="248"/>
      </c>
      <c r="CP126" s="49">
        <f t="shared" si="248"/>
      </c>
      <c r="CQ126" s="49">
        <f t="shared" si="248"/>
      </c>
      <c r="CR126" s="49">
        <f t="shared" si="248"/>
      </c>
      <c r="CS126" s="49">
        <f t="shared" si="248"/>
      </c>
      <c r="CT126" s="49">
        <f>CT123/CT$131</f>
      </c>
      <c r="CU126" s="341">
        <f t="shared" si="248"/>
      </c>
      <c r="CV126" s="341">
        <f t="shared" si="248"/>
      </c>
      <c r="CW126" s="341">
        <f t="shared" si="248"/>
      </c>
      <c r="CX126" s="341">
        <f t="shared" si="248"/>
      </c>
      <c r="CY126" s="341">
        <f t="shared" si="248"/>
      </c>
      <c r="CZ126" s="341">
        <f t="shared" si="248"/>
      </c>
      <c r="DA126" s="341">
        <f t="shared" si="248"/>
      </c>
      <c r="DB126" s="341">
        <f>DB123/DB$131</f>
      </c>
      <c r="DC126" s="341">
        <f>DC123/DC$131</f>
      </c>
      <c r="DD126" s="341">
        <f>DD123/DD$131</f>
      </c>
      <c r="DE126" s="341">
        <f>DE123/DE$131</f>
      </c>
      <c r="DV126" s="49">
        <f t="shared" ref="DV126:EC126" si="249">DV123/DV131</f>
      </c>
      <c r="DW126" s="49">
        <f t="shared" si="249"/>
      </c>
      <c r="DX126" s="49">
        <f t="shared" si="249"/>
      </c>
      <c r="DY126" s="49">
        <f t="shared" si="249"/>
      </c>
      <c r="DZ126" s="49">
        <f t="shared" si="249"/>
      </c>
      <c r="EA126" s="49">
        <f t="shared" si="249"/>
      </c>
      <c r="EB126" s="49">
        <f t="shared" si="249"/>
      </c>
      <c r="EC126" s="49">
        <f t="shared" si="249"/>
      </c>
      <c r="ED126" s="49">
        <f>ED123/ED131</f>
      </c>
      <c r="EE126" s="49">
        <f>EE123/EE131</f>
      </c>
      <c r="EF126" s="341">
        <f>EF123/EF131</f>
      </c>
      <c r="EG126" s="341">
        <f>EG123/EG131</f>
      </c>
      <c r="EH126" s="341">
        <f>EH123/EH131</f>
      </c>
    </row>
    <row r="127" spans="1:138" s="47" customFormat="1">
      <c r="A127" s="35" t="s">
        <v>242</v>
      </c>
      <c r="AX127" s="35"/>
      <c r="AY127" s="35"/>
      <c r="AZ127" s="35"/>
      <c r="BA127" s="35"/>
      <c r="BB127" s="35">
        <v>66</v>
      </c>
      <c r="BC127" s="35">
        <v>66</v>
      </c>
      <c r="BD127" s="35">
        <v>66</v>
      </c>
      <c r="BE127" s="35">
        <v>66</v>
      </c>
      <c r="BF127" s="35">
        <v>66</v>
      </c>
      <c r="BG127" s="35">
        <v>66</v>
      </c>
      <c r="BH127" s="35">
        <v>66</v>
      </c>
      <c r="BI127" s="35">
        <v>66</v>
      </c>
      <c r="BJ127" s="35">
        <v>66</v>
      </c>
      <c r="BK127" s="35">
        <v>66</v>
      </c>
      <c r="BL127" s="35">
        <v>66</v>
      </c>
      <c r="BM127" s="35">
        <v>66</v>
      </c>
      <c r="BN127" s="35">
        <v>43</v>
      </c>
      <c r="BO127" s="338"/>
      <c r="BP127" s="338"/>
      <c r="BQ127" s="338"/>
      <c r="BR127" s="338"/>
      <c r="BS127" s="338"/>
      <c r="BT127" s="396"/>
      <c r="BU127" s="338"/>
      <c r="BV127" s="338"/>
      <c r="BW127" s="338"/>
      <c r="BX127" s="338"/>
      <c r="BY127" s="338"/>
      <c r="BZ127" s="338"/>
      <c r="CA127" s="338"/>
      <c r="CB127" s="338"/>
      <c r="CC127" s="338"/>
      <c r="CD127" s="56"/>
      <c r="CE127" s="338"/>
      <c r="CF127" s="338"/>
      <c r="CG127" s="338"/>
      <c r="CH127" s="338"/>
      <c r="CI127" s="338"/>
      <c r="CJ127" s="338"/>
      <c r="CK127" s="338"/>
      <c r="CL127" s="338"/>
      <c r="CM127" s="338"/>
      <c r="CN127" s="338"/>
      <c r="CO127" s="338"/>
      <c r="CP127" s="338"/>
      <c r="CQ127" s="338"/>
      <c r="CR127" s="338"/>
      <c r="CS127" s="338"/>
      <c r="CT127" s="338"/>
      <c r="CU127" s="338"/>
      <c r="CV127" s="338"/>
      <c r="CW127" s="338"/>
      <c r="CX127" s="338"/>
      <c r="CY127" s="338"/>
      <c r="CZ127" s="338"/>
      <c r="DA127" s="338"/>
      <c r="DB127" s="338"/>
      <c r="DC127" s="338"/>
      <c r="DD127" s="338"/>
      <c r="DE127" s="338"/>
      <c r="DQ127" s="35"/>
      <c r="DR127" s="35"/>
      <c r="DS127" s="35">
        <f>DT127</f>
      </c>
      <c r="DT127" s="35">
        <f>SUM(BB127:BE127)</f>
      </c>
      <c r="DU127" s="35">
        <f>SUM(BB127:BE127)</f>
      </c>
      <c r="DV127" s="35">
        <f>SUM(BF127:BI127)</f>
      </c>
      <c r="DW127" s="35">
        <f>+BJ127+BK127+BL127+BM127</f>
      </c>
      <c r="DX127" s="35">
        <f>BN127</f>
      </c>
      <c r="DY127" s="35"/>
      <c r="DZ127" s="35"/>
      <c r="EA127" s="338"/>
      <c r="EB127" s="338"/>
      <c r="EC127" s="338"/>
      <c r="ED127" s="338"/>
      <c r="EE127" s="338"/>
      <c r="EF127" s="338"/>
      <c r="EG127" s="338"/>
      <c r="EH127" s="338"/>
    </row>
    <row r="128" spans="1:138" s="49" customFormat="1">
      <c r="A128" s="48" t="s">
        <v>196</v>
      </c>
      <c r="BC128" s="49">
        <f t="shared" ref="BC128:BN128" si="250">BC127/BB127-1</f>
      </c>
      <c r="BD128" s="49">
        <f t="shared" si="250"/>
      </c>
      <c r="BE128" s="49">
        <f t="shared" si="250"/>
      </c>
      <c r="BF128" s="49">
        <f t="shared" si="250"/>
      </c>
      <c r="BG128" s="49">
        <f t="shared" si="250"/>
      </c>
      <c r="BH128" s="49">
        <f t="shared" si="250"/>
      </c>
      <c r="BI128" s="49">
        <f t="shared" si="250"/>
      </c>
      <c r="BJ128" s="49">
        <f t="shared" si="250"/>
      </c>
      <c r="BK128" s="49">
        <f t="shared" si="250"/>
      </c>
      <c r="BL128" s="49">
        <f t="shared" si="250"/>
      </c>
      <c r="BM128" s="49">
        <f t="shared" si="250"/>
      </c>
      <c r="BN128" s="49">
        <f t="shared" si="250"/>
      </c>
      <c r="BO128" s="341"/>
      <c r="BP128" s="341"/>
      <c r="BQ128" s="341"/>
      <c r="BR128" s="341"/>
      <c r="BS128" s="341"/>
      <c r="BT128" s="341"/>
      <c r="BU128" s="341"/>
      <c r="BV128" s="341"/>
      <c r="BW128" s="341"/>
      <c r="BX128" s="341"/>
      <c r="BY128" s="341"/>
      <c r="BZ128" s="341"/>
      <c r="CA128" s="341"/>
      <c r="CB128" s="341"/>
      <c r="CC128" s="341"/>
      <c r="CD128" s="341"/>
      <c r="CE128" s="341"/>
      <c r="CF128" s="341"/>
      <c r="CG128" s="397"/>
      <c r="CH128" s="397"/>
      <c r="CI128" s="341"/>
      <c r="CJ128" s="341"/>
      <c r="CK128" s="341"/>
      <c r="CL128" s="341"/>
      <c r="CM128" s="341"/>
      <c r="CN128" s="341"/>
      <c r="CO128" s="341"/>
      <c r="CP128" s="341"/>
      <c r="CQ128" s="341"/>
      <c r="CR128" s="341"/>
      <c r="CS128" s="341"/>
      <c r="CT128" s="341"/>
      <c r="CU128" s="341"/>
      <c r="CV128" s="341"/>
      <c r="CW128" s="341"/>
      <c r="CX128" s="341"/>
      <c r="CY128" s="341"/>
      <c r="CZ128" s="341"/>
      <c r="DA128" s="341"/>
      <c r="DB128" s="341"/>
      <c r="DC128" s="341"/>
      <c r="DD128" s="341"/>
      <c r="DE128" s="341"/>
      <c r="DH128" s="342" t="s">
        <v>197</v>
      </c>
      <c r="DI128" s="342" t="s">
        <v>197</v>
      </c>
      <c r="DJ128" s="342" t="s">
        <v>197</v>
      </c>
      <c r="DK128" s="342" t="s">
        <v>197</v>
      </c>
      <c r="DL128" s="342" t="s">
        <v>197</v>
      </c>
      <c r="DM128" s="342" t="s">
        <v>197</v>
      </c>
      <c r="DN128" s="342" t="s">
        <v>197</v>
      </c>
      <c r="DO128" s="342" t="s">
        <v>197</v>
      </c>
      <c r="DP128" s="342" t="s">
        <v>197</v>
      </c>
      <c r="DQ128" s="342" t="s">
        <v>197</v>
      </c>
      <c r="DR128" s="342" t="s">
        <v>197</v>
      </c>
      <c r="DS128" s="342" t="s">
        <v>197</v>
      </c>
      <c r="DT128" s="342" t="s">
        <v>197</v>
      </c>
      <c r="DU128" s="342" t="s">
        <v>197</v>
      </c>
      <c r="DV128" s="342" t="s">
        <v>197</v>
      </c>
      <c r="DW128" s="342" t="s">
        <v>197</v>
      </c>
      <c r="DX128" s="342" t="s">
        <v>197</v>
      </c>
      <c r="DY128" s="342" t="s">
        <v>197</v>
      </c>
      <c r="DZ128" s="342" t="s">
        <v>197</v>
      </c>
      <c r="EA128" s="342" t="s">
        <v>197</v>
      </c>
      <c r="EB128" s="342" t="s">
        <v>197</v>
      </c>
      <c r="EC128" s="342" t="s">
        <v>197</v>
      </c>
      <c r="ED128" s="342" t="s">
        <v>197</v>
      </c>
      <c r="EE128" s="342" t="s">
        <v>197</v>
      </c>
      <c r="EF128" s="343" t="s">
        <v>197</v>
      </c>
      <c r="EG128" s="343" t="s">
        <v>197</v>
      </c>
      <c r="EH128" s="343" t="s">
        <v>197</v>
      </c>
    </row>
    <row r="129" spans="1:140" s="49" customFormat="1">
      <c r="A129" s="48" t="s">
        <v>198</v>
      </c>
      <c r="BB129" s="397"/>
      <c r="BC129" s="397"/>
      <c r="BD129" s="397"/>
      <c r="BE129" s="397"/>
      <c r="BF129" s="397"/>
      <c r="BG129" s="397"/>
      <c r="BH129" s="397"/>
      <c r="BI129" s="397"/>
      <c r="BJ129" s="397"/>
      <c r="BK129" s="397"/>
      <c r="BL129" s="397"/>
      <c r="BM129" s="397"/>
      <c r="BN129" s="397"/>
      <c r="BO129" s="397"/>
      <c r="BP129" s="397"/>
      <c r="BQ129" s="397"/>
      <c r="BR129" s="397"/>
      <c r="BS129" s="397"/>
      <c r="BT129" s="397"/>
      <c r="BU129" s="397"/>
      <c r="BV129" s="397"/>
      <c r="BW129" s="397"/>
      <c r="BX129" s="397"/>
      <c r="BY129" s="397"/>
      <c r="BZ129" s="397"/>
      <c r="CA129" s="397"/>
      <c r="CB129" s="397"/>
      <c r="CC129" s="397"/>
      <c r="CD129" s="397"/>
      <c r="CE129" s="397"/>
      <c r="CF129" s="397"/>
      <c r="CG129" s="397"/>
      <c r="CH129" s="397"/>
      <c r="CI129" s="397"/>
      <c r="CJ129" s="397"/>
      <c r="CK129" s="397"/>
      <c r="CL129" s="397"/>
      <c r="CM129" s="397"/>
      <c r="CN129" s="397"/>
      <c r="CO129" s="397"/>
      <c r="CP129" s="397"/>
      <c r="CQ129" s="397"/>
      <c r="CR129" s="397"/>
      <c r="CS129" s="397"/>
      <c r="CT129" s="397"/>
      <c r="CU129" s="397"/>
      <c r="CV129" s="397"/>
      <c r="CW129" s="397"/>
      <c r="CX129" s="397"/>
      <c r="CY129" s="397"/>
      <c r="CZ129" s="397"/>
      <c r="DA129" s="397"/>
      <c r="DB129" s="397"/>
      <c r="DC129" s="397"/>
      <c r="DD129" s="397"/>
      <c r="DE129" s="397"/>
    </row>
    <row r="130" spans="1:140" s="49" customFormat="1">
      <c r="A130" s="48" t="s">
        <v>227</v>
      </c>
      <c r="BJ130" s="394"/>
      <c r="BK130" s="394"/>
      <c r="BL130" s="394"/>
      <c r="BM130" s="341"/>
      <c r="BN130" s="362"/>
      <c r="BO130" s="362"/>
      <c r="BP130" s="362"/>
      <c r="BQ130" s="362"/>
      <c r="BR130" s="362"/>
      <c r="BS130" s="341"/>
      <c r="BT130" s="341"/>
      <c r="BU130" s="341"/>
      <c r="BV130" s="341"/>
      <c r="BW130" s="341"/>
      <c r="BX130" s="341"/>
      <c r="BY130" s="341"/>
      <c r="BZ130" s="341"/>
      <c r="CA130" s="341"/>
      <c r="CB130" s="341"/>
      <c r="CC130" s="341"/>
      <c r="CD130" s="341"/>
      <c r="CE130" s="341"/>
      <c r="CF130" s="341"/>
      <c r="CG130" s="341"/>
      <c r="CH130" s="341"/>
      <c r="CI130" s="341"/>
      <c r="CJ130" s="341"/>
      <c r="CK130" s="341"/>
      <c r="CL130" s="341"/>
      <c r="CM130" s="341"/>
      <c r="CN130" s="341"/>
      <c r="CO130" s="341"/>
      <c r="CP130" s="341"/>
      <c r="CQ130" s="341"/>
      <c r="CR130" s="341"/>
      <c r="CS130" s="341"/>
      <c r="CT130" s="341"/>
      <c r="CU130" s="341"/>
      <c r="CV130" s="341"/>
      <c r="CW130" s="341"/>
      <c r="CX130" s="341"/>
      <c r="CY130" s="341"/>
      <c r="CZ130" s="341"/>
      <c r="DA130" s="341"/>
      <c r="DB130" s="341"/>
      <c r="DC130" s="341"/>
      <c r="DD130" s="341"/>
      <c r="DE130" s="341"/>
      <c r="DS130" s="394">
        <f t="shared" ref="DS130:DX130" si="251">DS127/DS$131</f>
      </c>
      <c r="DT130" s="394">
        <f t="shared" si="251"/>
      </c>
      <c r="DU130" s="394">
        <f t="shared" si="251"/>
      </c>
      <c r="DV130" s="394">
        <f t="shared" si="251"/>
      </c>
      <c r="DW130" s="394">
        <f t="shared" si="251"/>
      </c>
      <c r="DX130" s="394">
        <f t="shared" si="251"/>
      </c>
      <c r="DY130" s="394"/>
      <c r="DZ130" s="394"/>
      <c r="EA130" s="398"/>
      <c r="EB130" s="65"/>
      <c r="EC130" s="65"/>
      <c r="ED130" s="65"/>
      <c r="EE130" s="65"/>
      <c r="EF130" s="65"/>
      <c r="EG130" s="65"/>
      <c r="EH130" s="65"/>
    </row>
    <row r="131" spans="1:140" s="47" customFormat="1">
      <c r="A131" s="35" t="s">
        <v>243</v>
      </c>
      <c r="AX131" s="35"/>
      <c r="AY131" s="35"/>
      <c r="AZ131" s="35"/>
      <c r="BA131" s="35"/>
      <c r="BB131" s="35">
        <f t="shared" ref="BB131:BN131" si="252">SUM(BB75,BB91,BB99,BB107,BB111,BB127)</f>
      </c>
      <c r="BC131" s="35">
        <f t="shared" si="252"/>
      </c>
      <c r="BD131" s="35">
        <f t="shared" si="252"/>
      </c>
      <c r="BE131" s="35">
        <f t="shared" si="252"/>
      </c>
      <c r="BF131" s="35">
        <f t="shared" si="252"/>
      </c>
      <c r="BG131" s="35">
        <f t="shared" si="252"/>
      </c>
      <c r="BH131" s="35">
        <f t="shared" si="252"/>
      </c>
      <c r="BI131" s="35">
        <f t="shared" si="252"/>
      </c>
      <c r="BJ131" s="35">
        <f t="shared" si="252"/>
      </c>
      <c r="BK131" s="35">
        <f t="shared" si="252"/>
      </c>
      <c r="BL131" s="35">
        <f t="shared" si="252"/>
      </c>
      <c r="BM131" s="35">
        <f t="shared" si="252"/>
      </c>
      <c r="BN131" s="35">
        <f t="shared" si="252"/>
      </c>
      <c r="BO131" s="35">
        <f t="shared" ref="BO131:BZ131" si="253">SUM(BO75,BO91,BO99,BO107,BO111)</f>
      </c>
      <c r="BP131" s="35">
        <f t="shared" si="253"/>
      </c>
      <c r="BQ131" s="35">
        <f t="shared" si="253"/>
      </c>
      <c r="BR131" s="35">
        <f t="shared" si="253"/>
      </c>
      <c r="BS131" s="35">
        <f t="shared" si="253"/>
      </c>
      <c r="BT131" s="35">
        <f t="shared" si="253"/>
      </c>
      <c r="BU131" s="35">
        <f t="shared" si="253"/>
      </c>
      <c r="BV131" s="35">
        <f t="shared" si="253"/>
      </c>
      <c r="BW131" s="35">
        <f t="shared" si="253"/>
      </c>
      <c r="BX131" s="35">
        <f t="shared" si="253"/>
      </c>
      <c r="BY131" s="35">
        <f t="shared" si="253"/>
      </c>
      <c r="BZ131" s="35">
        <f t="shared" si="253"/>
      </c>
      <c r="CA131" s="35">
        <f t="shared" ref="CA131:CL131" si="254">SUM(CA75,CA91,CA99,CA107,CA111)+CA103</f>
      </c>
      <c r="CB131" s="35">
        <f t="shared" si="254"/>
      </c>
      <c r="CC131" s="35">
        <f t="shared" si="254"/>
      </c>
      <c r="CD131" s="35">
        <f t="shared" si="254"/>
      </c>
      <c r="CE131" s="35">
        <f t="shared" si="254"/>
      </c>
      <c r="CF131" s="35">
        <f t="shared" si="254"/>
      </c>
      <c r="CG131" s="35">
        <f t="shared" si="254"/>
      </c>
      <c r="CH131" s="35">
        <f t="shared" si="254"/>
      </c>
      <c r="CI131" s="35">
        <f t="shared" si="254"/>
      </c>
      <c r="CJ131" s="35">
        <f t="shared" si="254"/>
      </c>
      <c r="CK131" s="35">
        <f t="shared" si="254"/>
      </c>
      <c r="CL131" s="35">
        <f t="shared" si="254"/>
      </c>
      <c r="CM131" s="35">
        <f t="shared" ref="CM131:DE131" si="255">SUM(CM75,CM91,CM99,CM107,CM111,CM103)</f>
      </c>
      <c r="CN131" s="35">
        <f t="shared" si="255"/>
      </c>
      <c r="CO131" s="35">
        <f t="shared" si="255"/>
      </c>
      <c r="CP131" s="35">
        <f t="shared" si="255"/>
      </c>
      <c r="CQ131" s="35">
        <f t="shared" si="255"/>
      </c>
      <c r="CR131" s="35">
        <f t="shared" si="255"/>
      </c>
      <c r="CS131" s="35">
        <f t="shared" si="255"/>
      </c>
      <c r="CT131" s="35">
        <f t="shared" si="255"/>
      </c>
      <c r="CU131" s="35">
        <f t="shared" si="255"/>
      </c>
      <c r="CV131" s="338">
        <f t="shared" si="255"/>
      </c>
      <c r="CW131" s="338">
        <f t="shared" si="255"/>
      </c>
      <c r="CX131" s="338">
        <f t="shared" si="255"/>
      </c>
      <c r="CY131" s="338">
        <f t="shared" si="255"/>
      </c>
      <c r="CZ131" s="338">
        <f t="shared" si="255"/>
      </c>
      <c r="DA131" s="338">
        <f t="shared" si="255"/>
      </c>
      <c r="DB131" s="338">
        <f t="shared" si="255"/>
      </c>
      <c r="DC131" s="338">
        <f t="shared" si="255"/>
      </c>
      <c r="DD131" s="338">
        <f t="shared" si="255"/>
      </c>
      <c r="DE131" s="338">
        <f t="shared" si="255"/>
      </c>
      <c r="DQ131" s="35"/>
      <c r="DR131" s="35"/>
      <c r="DS131" s="35">
        <f>DS127+DS111+DS107+DS99+DS91+DS75</f>
      </c>
      <c r="DT131" s="35">
        <f>DT127+DT111+DT107+DT99+DT91+DT75</f>
      </c>
      <c r="DU131" s="35">
        <f>DU111+DU107+DU99+DU91+DU75+DU127</f>
      </c>
      <c r="DV131" s="35">
        <f>DV111+DV107+DV99+DV91+DV75+DV127</f>
      </c>
      <c r="DW131" s="35">
        <f>DW111+DW107+DW99+DW91+DW75+DW127</f>
      </c>
      <c r="DX131" s="35">
        <f>DX111+DX107+DX99+DX91+DX75+DX127</f>
      </c>
      <c r="DY131" s="35">
        <f>DY111+DY107+DY99+DY91+DY75</f>
      </c>
      <c r="DZ131" s="35">
        <f>DZ111+DZ107+DZ99+DZ91+DZ75</f>
      </c>
      <c r="EA131" s="35">
        <f>EA111+EA107+EA99+EA91+EA75</f>
      </c>
      <c r="EB131" s="35">
        <f>+CD131+CE131+CF131+CG131</f>
      </c>
      <c r="EC131" s="35">
        <f>SUM(CH131:CK131)</f>
      </c>
      <c r="ED131" s="35">
        <f>SUM(CL131:CO131)</f>
      </c>
      <c r="EE131" s="35">
        <f>SUM(CP131:CS131)</f>
      </c>
      <c r="EF131" s="338">
        <f>SUM(CT131:CW131)</f>
      </c>
      <c r="EG131" s="338">
        <f>SUM(CX131:DA131)</f>
      </c>
      <c r="EH131" s="338">
        <f>SUM(DB131:DE131)</f>
      </c>
      <c r="EJ131" s="49"/>
    </row>
    <row r="132" spans="1:140" s="49" customFormat="1">
      <c r="A132" s="48" t="s">
        <v>196</v>
      </c>
      <c r="BC132" s="49">
        <f t="shared" ref="BC132:CM132" si="256">BC131/BB131-1</f>
      </c>
      <c r="BD132" s="49">
        <f t="shared" si="256"/>
      </c>
      <c r="BE132" s="49">
        <f t="shared" si="256"/>
      </c>
      <c r="BF132" s="49">
        <f t="shared" si="256"/>
      </c>
      <c r="BG132" s="49">
        <f t="shared" si="256"/>
      </c>
      <c r="BH132" s="49">
        <f t="shared" si="256"/>
      </c>
      <c r="BI132" s="49">
        <f t="shared" si="256"/>
      </c>
      <c r="BJ132" s="49">
        <f t="shared" si="256"/>
      </c>
      <c r="BK132" s="49">
        <f t="shared" si="256"/>
      </c>
      <c r="BL132" s="49">
        <f t="shared" si="256"/>
      </c>
      <c r="BM132" s="49">
        <f t="shared" si="256"/>
      </c>
      <c r="BN132" s="49">
        <f t="shared" si="256"/>
      </c>
      <c r="BO132" s="49">
        <f t="shared" si="256"/>
      </c>
      <c r="BP132" s="49">
        <f t="shared" si="256"/>
      </c>
      <c r="BQ132" s="49">
        <f t="shared" si="256"/>
      </c>
      <c r="BR132" s="49">
        <f t="shared" si="256"/>
      </c>
      <c r="BS132" s="49">
        <f t="shared" si="256"/>
      </c>
      <c r="BT132" s="49">
        <f t="shared" si="256"/>
      </c>
      <c r="BU132" s="49">
        <f t="shared" si="256"/>
      </c>
      <c r="BV132" s="49">
        <f t="shared" si="256"/>
      </c>
      <c r="BW132" s="49">
        <f t="shared" si="256"/>
      </c>
      <c r="BX132" s="49">
        <f t="shared" si="256"/>
      </c>
      <c r="BY132" s="49">
        <f t="shared" si="256"/>
      </c>
      <c r="BZ132" s="49">
        <f t="shared" si="256"/>
      </c>
      <c r="CA132" s="49">
        <f t="shared" si="256"/>
      </c>
      <c r="CB132" s="49">
        <f t="shared" si="256"/>
      </c>
      <c r="CC132" s="49">
        <f t="shared" si="256"/>
      </c>
      <c r="CD132" s="49">
        <f t="shared" si="256"/>
      </c>
      <c r="CE132" s="49">
        <f t="shared" si="256"/>
      </c>
      <c r="CF132" s="49">
        <f t="shared" si="256"/>
      </c>
      <c r="CG132" s="49">
        <f t="shared" si="256"/>
      </c>
      <c r="CH132" s="49">
        <f t="shared" si="256"/>
      </c>
      <c r="CI132" s="49">
        <f t="shared" si="256"/>
      </c>
      <c r="CJ132" s="49">
        <f t="shared" si="256"/>
      </c>
      <c r="CK132" s="49">
        <f t="shared" si="256"/>
      </c>
      <c r="CL132" s="49">
        <f t="shared" si="256"/>
      </c>
      <c r="CM132" s="49">
        <f t="shared" si="256"/>
      </c>
      <c r="CN132" s="49">
        <f>CN131/CM131-1</f>
      </c>
      <c r="CO132" s="49">
        <f>CO131/CN131-1</f>
      </c>
      <c r="CP132" s="49">
        <f>CP131/CO131-1</f>
      </c>
      <c r="CQ132" s="49">
        <f t="shared" ref="CQ132:DE132" si="257">CQ131/CP131-1</f>
      </c>
      <c r="CR132" s="49">
        <f t="shared" si="257"/>
      </c>
      <c r="CS132" s="49">
        <f t="shared" si="257"/>
      </c>
      <c r="CT132" s="49">
        <f t="shared" si="257"/>
      </c>
      <c r="CU132" s="49">
        <f t="shared" si="257"/>
      </c>
      <c r="CV132" s="341">
        <f t="shared" si="257"/>
      </c>
      <c r="CW132" s="341">
        <f t="shared" si="257"/>
      </c>
      <c r="CX132" s="341">
        <f t="shared" si="257"/>
      </c>
      <c r="CY132" s="341">
        <f t="shared" si="257"/>
      </c>
      <c r="CZ132" s="341">
        <f t="shared" si="257"/>
      </c>
      <c r="DA132" s="341">
        <f t="shared" si="257"/>
      </c>
      <c r="DB132" s="341">
        <f t="shared" si="257"/>
      </c>
      <c r="DC132" s="341">
        <f t="shared" si="257"/>
      </c>
      <c r="DD132" s="341">
        <f t="shared" si="257"/>
      </c>
      <c r="DE132" s="341">
        <f t="shared" si="257"/>
      </c>
      <c r="DH132" s="342" t="s">
        <v>197</v>
      </c>
      <c r="DI132" s="342" t="s">
        <v>197</v>
      </c>
      <c r="DJ132" s="342" t="s">
        <v>197</v>
      </c>
      <c r="DK132" s="342" t="s">
        <v>197</v>
      </c>
      <c r="DL132" s="342" t="s">
        <v>197</v>
      </c>
      <c r="DM132" s="342" t="s">
        <v>197</v>
      </c>
      <c r="DN132" s="342" t="s">
        <v>197</v>
      </c>
      <c r="DO132" s="342" t="s">
        <v>197</v>
      </c>
      <c r="DP132" s="342" t="s">
        <v>197</v>
      </c>
      <c r="DQ132" s="342" t="s">
        <v>197</v>
      </c>
      <c r="DR132" s="342" t="s">
        <v>197</v>
      </c>
      <c r="DS132" s="342" t="s">
        <v>197</v>
      </c>
      <c r="DT132" s="342" t="s">
        <v>197</v>
      </c>
      <c r="DU132" s="342" t="s">
        <v>197</v>
      </c>
      <c r="DV132" s="342" t="s">
        <v>197</v>
      </c>
      <c r="DW132" s="342" t="s">
        <v>197</v>
      </c>
      <c r="DX132" s="342" t="s">
        <v>197</v>
      </c>
      <c r="DY132" s="342" t="s">
        <v>197</v>
      </c>
      <c r="DZ132" s="342" t="s">
        <v>197</v>
      </c>
      <c r="EA132" s="342" t="s">
        <v>197</v>
      </c>
      <c r="EB132" s="342" t="s">
        <v>197</v>
      </c>
      <c r="EC132" s="342" t="s">
        <v>197</v>
      </c>
      <c r="ED132" s="342" t="s">
        <v>197</v>
      </c>
      <c r="EE132" s="342" t="s">
        <v>197</v>
      </c>
      <c r="EF132" s="343" t="s">
        <v>197</v>
      </c>
      <c r="EG132" s="343" t="s">
        <v>197</v>
      </c>
      <c r="EH132" s="343" t="s">
        <v>197</v>
      </c>
    </row>
    <row r="133" spans="1:140" s="49" customFormat="1">
      <c r="A133" s="48" t="s">
        <v>198</v>
      </c>
      <c r="BF133" s="49">
        <f t="shared" ref="BF133:CM133" si="258">BF131/BB131-1</f>
      </c>
      <c r="BG133" s="49">
        <f t="shared" si="258"/>
      </c>
      <c r="BH133" s="49">
        <f t="shared" si="258"/>
      </c>
      <c r="BI133" s="49">
        <f t="shared" si="258"/>
      </c>
      <c r="BJ133" s="49">
        <f t="shared" si="258"/>
      </c>
      <c r="BK133" s="49">
        <f t="shared" si="258"/>
      </c>
      <c r="BL133" s="49">
        <f t="shared" si="258"/>
      </c>
      <c r="BM133" s="49">
        <f t="shared" si="258"/>
      </c>
      <c r="BN133" s="49">
        <f t="shared" si="258"/>
      </c>
      <c r="BO133" s="49">
        <f t="shared" si="258"/>
      </c>
      <c r="BP133" s="49">
        <f t="shared" si="258"/>
      </c>
      <c r="BQ133" s="49">
        <f t="shared" si="258"/>
      </c>
      <c r="BR133" s="49">
        <f t="shared" si="258"/>
      </c>
      <c r="BS133" s="49">
        <f t="shared" si="258"/>
      </c>
      <c r="BT133" s="49">
        <f t="shared" si="258"/>
      </c>
      <c r="BU133" s="49">
        <f t="shared" si="258"/>
      </c>
      <c r="BV133" s="49">
        <f t="shared" si="258"/>
      </c>
      <c r="BW133" s="49">
        <f t="shared" si="258"/>
      </c>
      <c r="BX133" s="49">
        <f t="shared" si="258"/>
      </c>
      <c r="BY133" s="49">
        <f t="shared" si="258"/>
      </c>
      <c r="BZ133" s="49">
        <f t="shared" si="258"/>
      </c>
      <c r="CA133" s="49">
        <f t="shared" si="258"/>
      </c>
      <c r="CB133" s="49">
        <f t="shared" si="258"/>
      </c>
      <c r="CC133" s="49">
        <f t="shared" si="258"/>
      </c>
      <c r="CD133" s="49">
        <f t="shared" si="258"/>
      </c>
      <c r="CE133" s="49">
        <f t="shared" si="258"/>
      </c>
      <c r="CF133" s="49">
        <f t="shared" si="258"/>
      </c>
      <c r="CG133" s="49">
        <f t="shared" si="258"/>
      </c>
      <c r="CH133" s="49">
        <f t="shared" si="258"/>
      </c>
      <c r="CI133" s="49">
        <f t="shared" si="258"/>
      </c>
      <c r="CJ133" s="49">
        <f t="shared" si="258"/>
      </c>
      <c r="CK133" s="49">
        <f t="shared" si="258"/>
      </c>
      <c r="CL133" s="49">
        <f t="shared" si="258"/>
      </c>
      <c r="CM133" s="49">
        <f t="shared" si="258"/>
      </c>
      <c r="CN133" s="49">
        <f>CN131/CJ131-1</f>
      </c>
      <c r="CO133" s="49">
        <f>CO131/CK131-1</f>
      </c>
      <c r="CP133" s="49">
        <f>CP131/CL131-1</f>
      </c>
      <c r="CQ133" s="49">
        <f t="shared" ref="CQ133:DE133" si="259">CQ131/CM131-1</f>
      </c>
      <c r="CR133" s="49">
        <f t="shared" si="259"/>
      </c>
      <c r="CS133" s="49">
        <f t="shared" si="259"/>
      </c>
      <c r="CT133" s="49">
        <f t="shared" si="259"/>
      </c>
      <c r="CU133" s="49">
        <f t="shared" si="259"/>
      </c>
      <c r="CV133" s="341">
        <f t="shared" si="259"/>
      </c>
      <c r="CW133" s="341">
        <f t="shared" si="259"/>
      </c>
      <c r="CX133" s="341">
        <f t="shared" si="259"/>
      </c>
      <c r="CY133" s="341">
        <f t="shared" si="259"/>
      </c>
      <c r="CZ133" s="341">
        <f t="shared" si="259"/>
      </c>
      <c r="DA133" s="341">
        <f t="shared" si="259"/>
      </c>
      <c r="DB133" s="341">
        <f t="shared" si="259"/>
      </c>
      <c r="DC133" s="341">
        <f t="shared" si="259"/>
      </c>
      <c r="DD133" s="341">
        <f t="shared" si="259"/>
      </c>
      <c r="DE133" s="341">
        <f t="shared" si="259"/>
      </c>
      <c r="DQ133" s="62"/>
      <c r="DR133" s="62"/>
      <c r="DS133" s="394"/>
      <c r="DT133" s="394">
        <f t="shared" ref="DT133:EH133" si="260">DT131/DS131-1</f>
      </c>
      <c r="DU133" s="49">
        <f t="shared" si="260"/>
      </c>
      <c r="DV133" s="49">
        <f t="shared" si="260"/>
      </c>
      <c r="DW133" s="49">
        <f t="shared" si="260"/>
      </c>
      <c r="DX133" s="49">
        <f t="shared" si="260"/>
      </c>
      <c r="DY133" s="49">
        <f t="shared" si="260"/>
      </c>
      <c r="DZ133" s="49">
        <f t="shared" si="260"/>
      </c>
      <c r="EA133" s="49">
        <f t="shared" si="260"/>
      </c>
      <c r="EB133" s="49">
        <f t="shared" si="260"/>
      </c>
      <c r="EC133" s="49">
        <f t="shared" si="260"/>
      </c>
      <c r="ED133" s="49">
        <f t="shared" si="260"/>
      </c>
      <c r="EE133" s="49">
        <f t="shared" si="260"/>
      </c>
      <c r="EF133" s="345">
        <f t="shared" si="260"/>
      </c>
      <c r="EG133" s="345">
        <f t="shared" si="260"/>
      </c>
      <c r="EH133" s="345">
        <f t="shared" si="260"/>
      </c>
    </row>
    <row r="134" spans="1:140" s="49" customFormat="1">
      <c r="A134" s="48" t="s">
        <v>227</v>
      </c>
      <c r="BB134" s="49">
        <f>BB131/BB$131</f>
      </c>
      <c r="BC134" s="49">
        <f t="shared" ref="BC134:BJ134" si="261">BC131/BC$131</f>
      </c>
      <c r="BD134" s="49">
        <f t="shared" si="261"/>
      </c>
      <c r="BE134" s="49">
        <f t="shared" si="261"/>
      </c>
      <c r="BF134" s="49">
        <f t="shared" si="261"/>
      </c>
      <c r="BG134" s="49">
        <f t="shared" si="261"/>
      </c>
      <c r="BH134" s="49">
        <f t="shared" si="261"/>
      </c>
      <c r="BI134" s="49">
        <f t="shared" si="261"/>
      </c>
      <c r="BJ134" s="49">
        <f t="shared" si="261"/>
      </c>
      <c r="BK134" s="49">
        <f>BK131/BK$131</f>
      </c>
      <c r="BL134" s="49">
        <f>BL131/BL$131</f>
      </c>
      <c r="BM134" s="49">
        <f>BM131/BM$131</f>
      </c>
      <c r="BN134" s="49">
        <f>BN131/BN$131</f>
      </c>
      <c r="BO134" s="49">
        <f t="shared" ref="BO134:BU134" si="262">BO131/BO$131</f>
      </c>
      <c r="BP134" s="49">
        <f t="shared" si="262"/>
      </c>
      <c r="BQ134" s="49">
        <f>BQ131/BQ$131</f>
      </c>
      <c r="BR134" s="49">
        <f t="shared" si="262"/>
      </c>
      <c r="BS134" s="49">
        <f t="shared" si="262"/>
      </c>
      <c r="BT134" s="49">
        <f t="shared" si="262"/>
      </c>
      <c r="BU134" s="49">
        <f t="shared" si="262"/>
      </c>
      <c r="BV134" s="49">
        <f>BV131/BV$131</f>
      </c>
      <c r="BW134" s="49">
        <f>BW131/BW$131</f>
      </c>
      <c r="BX134" s="49">
        <f>BX131/BX$131</f>
      </c>
      <c r="BY134" s="49">
        <f>BY131/BY$131</f>
      </c>
      <c r="BZ134" s="49">
        <f>BZ131/BZ$131</f>
      </c>
      <c r="CA134" s="49">
        <f t="shared" ref="CA134:CF134" si="263">CA131/CA$131</f>
      </c>
      <c r="CB134" s="49">
        <f t="shared" si="263"/>
      </c>
      <c r="CC134" s="49">
        <f t="shared" si="263"/>
      </c>
      <c r="CD134" s="49">
        <f t="shared" si="263"/>
      </c>
      <c r="CE134" s="49">
        <f t="shared" si="263"/>
      </c>
      <c r="CF134" s="49">
        <f t="shared" si="263"/>
      </c>
      <c r="CG134" s="49">
        <f>CG131/CG$131</f>
      </c>
      <c r="CH134" s="49">
        <f t="shared" ref="CH134:CS134" si="264">CH131/CH$131</f>
      </c>
      <c r="CI134" s="49">
        <f t="shared" si="264"/>
      </c>
      <c r="CJ134" s="49">
        <f t="shared" si="264"/>
      </c>
      <c r="CK134" s="49">
        <f t="shared" si="264"/>
      </c>
      <c r="CL134" s="49">
        <f t="shared" si="264"/>
      </c>
      <c r="CM134" s="49">
        <f t="shared" si="264"/>
      </c>
      <c r="CN134" s="49">
        <f t="shared" si="264"/>
      </c>
      <c r="CO134" s="49">
        <f t="shared" si="264"/>
      </c>
      <c r="CP134" s="49">
        <f t="shared" si="264"/>
      </c>
      <c r="CQ134" s="49">
        <f t="shared" si="264"/>
      </c>
      <c r="CR134" s="49">
        <f t="shared" si="264"/>
      </c>
      <c r="CS134" s="49">
        <f t="shared" si="264"/>
      </c>
      <c r="CT134" s="49">
        <f>CT131/CT$131</f>
      </c>
      <c r="CU134" s="49">
        <f t="shared" ref="CU134:DA134" si="265">CU131/CU$131</f>
      </c>
      <c r="CV134" s="341">
        <f t="shared" si="265"/>
      </c>
      <c r="CW134" s="341">
        <f t="shared" si="265"/>
      </c>
      <c r="CX134" s="341">
        <f t="shared" si="265"/>
      </c>
      <c r="CY134" s="341">
        <f t="shared" si="265"/>
      </c>
      <c r="CZ134" s="341">
        <f t="shared" si="265"/>
      </c>
      <c r="DA134" s="341">
        <f t="shared" si="265"/>
      </c>
      <c r="DB134" s="341">
        <f>DB131/DB$131</f>
      </c>
      <c r="DC134" s="341">
        <f>DC131/DC$131</f>
      </c>
      <c r="DD134" s="341">
        <f>DD131/DD$131</f>
      </c>
      <c r="DE134" s="341">
        <f>DE131/DE$131</f>
      </c>
      <c r="DQ134" s="62"/>
      <c r="DR134" s="62"/>
      <c r="DS134" s="62"/>
      <c r="DT134" s="62"/>
      <c r="DU134" s="62"/>
      <c r="DV134" s="394"/>
      <c r="DW134" s="394"/>
      <c r="DX134" s="62"/>
      <c r="DY134" s="62"/>
      <c r="DZ134" s="62"/>
      <c r="EA134" s="62"/>
      <c r="EB134" s="62"/>
      <c r="EC134" s="62"/>
      <c r="ED134" s="62"/>
      <c r="EE134" s="62"/>
      <c r="EF134" s="62"/>
      <c r="EG134" s="62"/>
      <c r="EH134" s="62"/>
    </row>
    <row r="135" spans="1:140">
      <c r="A135" s="35" t="s">
        <v>244</v>
      </c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  <c r="AG135" s="38"/>
      <c r="AH135" s="38"/>
      <c r="AI135" s="38"/>
      <c r="AJ135" s="38"/>
      <c r="AK135" s="38"/>
      <c r="AL135" s="38"/>
      <c r="AM135" s="38"/>
      <c r="AN135" s="38"/>
      <c r="AO135" s="38"/>
      <c r="AP135" s="38"/>
      <c r="AQ135" s="38"/>
      <c r="AR135" s="38"/>
      <c r="AS135" s="38"/>
      <c r="AT135" s="38"/>
      <c r="AU135" s="38"/>
      <c r="AV135" s="38"/>
      <c r="AW135" s="38"/>
      <c r="AX135" s="38"/>
      <c r="AY135" s="38"/>
      <c r="AZ135" s="38"/>
      <c r="BA135" s="38"/>
      <c r="BB135" s="38">
        <v>352</v>
      </c>
      <c r="BC135" s="38">
        <v>355</v>
      </c>
      <c r="BD135" s="38">
        <v>350</v>
      </c>
      <c r="BE135" s="38">
        <v>271</v>
      </c>
      <c r="BF135" s="38">
        <v>219</v>
      </c>
      <c r="BG135" s="38">
        <v>173</v>
      </c>
      <c r="BH135" s="38">
        <v>193</v>
      </c>
      <c r="BI135" s="38">
        <v>198</v>
      </c>
      <c r="BJ135" s="38">
        <v>173</v>
      </c>
      <c r="BK135" s="38">
        <v>163</v>
      </c>
      <c r="BL135" s="38">
        <v>186</v>
      </c>
      <c r="BM135" s="38">
        <v>176</v>
      </c>
      <c r="BN135" s="38">
        <v>156</v>
      </c>
      <c r="BO135" s="35">
        <v>251</v>
      </c>
      <c r="CI135" s="49"/>
      <c r="CJ135" s="49"/>
      <c r="CK135" s="49"/>
      <c r="CL135" s="49"/>
      <c r="CM135" s="49"/>
      <c r="CN135" s="49"/>
      <c r="CO135" s="49"/>
      <c r="CP135" s="49"/>
      <c r="CQ135" s="49"/>
      <c r="CR135" s="49"/>
      <c r="CS135" s="49"/>
      <c r="CT135" s="49"/>
      <c r="CU135" s="49"/>
      <c r="DQ135" s="399"/>
      <c r="DR135" s="399"/>
      <c r="DS135" s="35"/>
      <c r="DT135" s="35"/>
      <c r="DU135" s="35">
        <f>SUM(BB129:BE129)</f>
      </c>
      <c r="DV135" s="35">
        <f>SUM(BF129:BI129)</f>
      </c>
      <c r="DW135" s="35">
        <f>+BJ129+BK129+BL129+BM129</f>
      </c>
      <c r="DX135" s="35">
        <f>BN129</f>
      </c>
      <c r="DY135" s="66">
        <f>SUM(BR129:BU129)</f>
      </c>
      <c r="DZ135" s="66">
        <f>BV129+BW129+BX129+BY129</f>
      </c>
      <c r="EA135" s="67">
        <f>SUM(BZ129:CC129)</f>
      </c>
      <c r="EB135" s="67">
        <f>+CD129+CE129+CF129+CG129</f>
      </c>
      <c r="EC135" s="67">
        <f>SUM(CH129:CK129)</f>
      </c>
      <c r="ED135" s="67">
        <f>SUM(CL129:CO129)</f>
      </c>
      <c r="EE135" s="67">
        <f>SUM(CP129:CS129)</f>
      </c>
      <c r="EF135" s="69">
        <f>SUM(CT129:CW129)</f>
      </c>
      <c r="EG135" s="338">
        <f>SUM(CX135:DA135)</f>
      </c>
      <c r="EH135" s="338">
        <f>SUM(DB135:DE135)</f>
      </c>
      <c r="EJ135" s="49"/>
    </row>
    <row r="136" spans="1:140">
      <c r="A136" s="400"/>
      <c r="BB136" s="401"/>
      <c r="BC136" s="401"/>
      <c r="BD136" s="401"/>
      <c r="BE136" s="401"/>
      <c r="BF136" s="401"/>
      <c r="BG136" s="401"/>
      <c r="BH136" s="401"/>
      <c r="BI136" s="401"/>
      <c r="BJ136" s="401"/>
      <c r="BK136" s="401"/>
      <c r="BL136" s="401"/>
      <c r="BM136" s="401"/>
      <c r="BN136" s="401"/>
      <c r="BO136" s="401"/>
      <c r="BP136" s="401"/>
      <c r="BQ136" s="401"/>
      <c r="BR136" s="401"/>
      <c r="BS136" s="401"/>
      <c r="BT136" s="401"/>
      <c r="BU136" s="401"/>
      <c r="BV136" s="401"/>
      <c r="BW136" s="401"/>
      <c r="BX136" s="401"/>
      <c r="BY136" s="401"/>
      <c r="BZ136" s="401"/>
      <c r="CA136" s="401"/>
      <c r="CB136" s="401"/>
      <c r="CC136" s="401"/>
      <c r="CD136" s="401"/>
      <c r="CE136" s="401"/>
      <c r="CF136" s="401"/>
      <c r="CG136" s="401"/>
      <c r="CH136" s="401"/>
      <c r="CI136" s="401"/>
      <c r="CJ136" s="401"/>
      <c r="CK136" s="401"/>
      <c r="CL136" s="401"/>
      <c r="CM136" s="401"/>
      <c r="CN136" s="401"/>
      <c r="CO136" s="401"/>
      <c r="CP136" s="401"/>
      <c r="CQ136" s="401"/>
      <c r="CR136" s="401"/>
      <c r="CS136" s="401"/>
      <c r="CT136" s="401"/>
      <c r="CU136" s="401"/>
      <c r="CV136" s="401"/>
      <c r="CW136" s="401"/>
      <c r="CX136" s="401"/>
      <c r="CY136" s="401"/>
      <c r="CZ136" s="401"/>
      <c r="DA136" s="401"/>
      <c r="DB136" s="401"/>
      <c r="DC136" s="401"/>
      <c r="DD136" s="401"/>
      <c r="DE136" s="401"/>
      <c r="DQ136" s="399"/>
      <c r="DR136" s="399"/>
      <c r="DS136" s="38"/>
      <c r="DT136" s="38"/>
      <c r="DU136" s="35"/>
      <c r="DV136" s="402"/>
      <c r="DW136" s="402"/>
      <c r="DX136" s="402"/>
      <c r="DY136" s="402"/>
      <c r="DZ136" s="402"/>
      <c r="EA136" s="402"/>
      <c r="EB136" s="402"/>
      <c r="EC136" s="402"/>
      <c r="ED136" s="402"/>
      <c r="EE136" s="402"/>
      <c r="EF136" s="402"/>
      <c r="EG136" s="402"/>
      <c r="EH136" s="402"/>
    </row>
    <row r="137" spans="1:140">
      <c r="A137" s="73" t="s">
        <v>246</v>
      </c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  <c r="AA137" s="73"/>
      <c r="AB137" s="73"/>
      <c r="AC137" s="73"/>
      <c r="AD137" s="73"/>
      <c r="AE137" s="73"/>
      <c r="AF137" s="73"/>
      <c r="AG137" s="73"/>
      <c r="AH137" s="73"/>
      <c r="AI137" s="73"/>
      <c r="AJ137" s="73"/>
      <c r="AK137" s="73"/>
      <c r="AL137" s="73"/>
      <c r="AM137" s="73"/>
      <c r="AN137" s="73"/>
      <c r="AO137" s="73"/>
      <c r="AP137" s="73"/>
      <c r="AQ137" s="73"/>
      <c r="AR137" s="73"/>
      <c r="AS137" s="73"/>
      <c r="AT137" s="73"/>
      <c r="AU137" s="73"/>
      <c r="AV137" s="73"/>
      <c r="AW137" s="73"/>
      <c r="AX137" s="73"/>
      <c r="AY137" s="73"/>
      <c r="AZ137" s="73"/>
      <c r="BA137" s="73"/>
      <c r="BB137" s="73"/>
      <c r="BC137" s="73"/>
      <c r="BD137" s="73"/>
      <c r="BE137" s="73"/>
      <c r="BF137" s="73"/>
      <c r="BG137" s="73"/>
      <c r="BH137" s="73"/>
      <c r="BI137" s="73"/>
      <c r="BJ137" s="73"/>
      <c r="BK137" s="73"/>
      <c r="BL137" s="73"/>
      <c r="BM137" s="73"/>
      <c r="BN137" s="73"/>
      <c r="BO137" s="73"/>
      <c r="BP137" s="73"/>
      <c r="BQ137" s="73"/>
      <c r="BR137" s="74" t="str">
        <f t="shared" ref="BR137:DE137" si="266">+BR3</f>
      </c>
      <c r="BS137" s="74" t="str">
        <f t="shared" si="266"/>
      </c>
      <c r="BT137" s="74" t="str">
        <f t="shared" si="266"/>
      </c>
      <c r="BU137" s="74" t="str">
        <f t="shared" si="266"/>
      </c>
      <c r="BV137" s="74" t="str">
        <f t="shared" si="266"/>
      </c>
      <c r="BW137" s="74" t="str">
        <f t="shared" si="266"/>
      </c>
      <c r="BX137" s="74" t="str">
        <f t="shared" si="266"/>
      </c>
      <c r="BY137" s="74" t="str">
        <f t="shared" si="266"/>
      </c>
      <c r="BZ137" s="74" t="str">
        <f t="shared" si="266"/>
      </c>
      <c r="CA137" s="74" t="str">
        <f t="shared" si="266"/>
      </c>
      <c r="CB137" s="74" t="str">
        <f t="shared" si="266"/>
      </c>
      <c r="CC137" s="74" t="str">
        <f t="shared" si="266"/>
      </c>
      <c r="CD137" s="74" t="str">
        <f t="shared" si="266"/>
      </c>
      <c r="CE137" s="74" t="str">
        <f t="shared" si="266"/>
      </c>
      <c r="CF137" s="74" t="str">
        <f t="shared" si="266"/>
      </c>
      <c r="CG137" s="74" t="str">
        <f t="shared" si="266"/>
      </c>
      <c r="CH137" s="74" t="str">
        <f t="shared" si="266"/>
      </c>
      <c r="CI137" s="74" t="str">
        <f t="shared" si="266"/>
      </c>
      <c r="CJ137" s="74" t="str">
        <f t="shared" si="266"/>
      </c>
      <c r="CK137" s="74" t="str">
        <f t="shared" si="266"/>
      </c>
      <c r="CL137" s="74" t="str">
        <f t="shared" si="266"/>
      </c>
      <c r="CM137" s="74" t="str">
        <f t="shared" si="266"/>
      </c>
      <c r="CN137" s="74" t="str">
        <f t="shared" si="266"/>
      </c>
      <c r="CO137" s="74" t="str">
        <f t="shared" si="266"/>
      </c>
      <c r="CP137" s="74" t="str">
        <f t="shared" si="266"/>
      </c>
      <c r="CQ137" s="74" t="str">
        <f t="shared" si="266"/>
      </c>
      <c r="CR137" s="74" t="str">
        <f t="shared" si="266"/>
      </c>
      <c r="CS137" s="74" t="str">
        <f t="shared" si="266"/>
      </c>
      <c r="CT137" s="74" t="str">
        <f t="shared" si="266"/>
      </c>
      <c r="CU137" s="74" t="str">
        <f t="shared" si="266"/>
      </c>
      <c r="CV137" s="74" t="str">
        <f t="shared" si="266"/>
      </c>
      <c r="CW137" s="74" t="str">
        <f t="shared" si="266"/>
      </c>
      <c r="CX137" s="74" t="str">
        <f t="shared" si="266"/>
      </c>
      <c r="CY137" s="74" t="str">
        <f t="shared" si="266"/>
      </c>
      <c r="CZ137" s="74" t="str">
        <f t="shared" si="266"/>
      </c>
      <c r="DA137" s="74" t="str">
        <f t="shared" si="266"/>
      </c>
      <c r="DB137" s="74" t="str">
        <f t="shared" si="266"/>
      </c>
      <c r="DC137" s="74" t="str">
        <f t="shared" si="266"/>
      </c>
      <c r="DD137" s="74" t="str">
        <f t="shared" si="266"/>
      </c>
      <c r="DE137" s="74" t="str">
        <f t="shared" si="266"/>
      </c>
      <c r="DH137" s="73"/>
      <c r="DI137" s="73"/>
      <c r="DJ137" s="73"/>
      <c r="DK137" s="73"/>
      <c r="DL137" s="73"/>
      <c r="DM137" s="73"/>
      <c r="DN137" s="73"/>
      <c r="DO137" s="73"/>
      <c r="DP137" s="73"/>
      <c r="DQ137" s="73"/>
      <c r="DR137" s="73"/>
      <c r="DS137" s="73"/>
      <c r="DT137" s="73"/>
      <c r="DU137" s="75" t="s">
        <v>48</v>
      </c>
      <c r="DV137" s="75" t="s">
        <v>49</v>
      </c>
      <c r="DW137" s="75" t="s">
        <v>50</v>
      </c>
      <c r="DX137" s="75" t="s">
        <v>51</v>
      </c>
      <c r="DY137" s="75">
        <f t="shared" ref="DY137:EH137" si="267">DY4</f>
      </c>
      <c r="DZ137" s="75">
        <f t="shared" si="267"/>
      </c>
      <c r="EA137" s="75">
        <f t="shared" si="267"/>
      </c>
      <c r="EB137" s="75">
        <f t="shared" si="267"/>
      </c>
      <c r="EC137" s="75">
        <f t="shared" si="267"/>
      </c>
      <c r="ED137" s="75">
        <f t="shared" si="267"/>
      </c>
      <c r="EE137" s="75">
        <f t="shared" si="267"/>
      </c>
      <c r="EF137" s="75" t="str">
        <f t="shared" si="267"/>
      </c>
      <c r="EG137" s="75" t="str">
        <f t="shared" si="267"/>
      </c>
      <c r="EH137" s="75" t="str">
        <f t="shared" si="267"/>
      </c>
    </row>
    <row r="138" spans="1:140" s="47" customFormat="1">
      <c r="A138" s="35" t="s">
        <v>247</v>
      </c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  <c r="AM138" s="35"/>
      <c r="AN138" s="35"/>
      <c r="AO138" s="35"/>
      <c r="AP138" s="35"/>
      <c r="AQ138" s="35"/>
      <c r="AR138" s="35"/>
      <c r="AS138" s="35"/>
      <c r="AT138" s="35"/>
      <c r="AU138" s="35"/>
      <c r="AV138" s="35"/>
      <c r="AW138" s="35"/>
      <c r="AX138" s="35"/>
      <c r="AY138" s="35"/>
      <c r="AZ138" s="35"/>
      <c r="BA138" s="35"/>
      <c r="BB138" s="35">
        <f t="shared" ref="BB138:BJ138" si="268">BB75*BB141</f>
      </c>
      <c r="BC138" s="35">
        <f t="shared" si="268"/>
      </c>
      <c r="BD138" s="35">
        <f t="shared" si="268"/>
      </c>
      <c r="BE138" s="35">
        <f t="shared" si="268"/>
      </c>
      <c r="BF138" s="35">
        <f t="shared" si="268"/>
      </c>
      <c r="BG138" s="35">
        <f t="shared" si="268"/>
      </c>
      <c r="BH138" s="35">
        <f t="shared" si="268"/>
      </c>
      <c r="BI138" s="35">
        <f t="shared" si="268"/>
      </c>
      <c r="BJ138" s="35">
        <f t="shared" si="268"/>
      </c>
      <c r="BK138" s="35">
        <f>BK142+BK146</f>
      </c>
      <c r="BL138" s="35">
        <f t="shared" ref="BL138:CG138" si="269">BL142+BL146</f>
      </c>
      <c r="BM138" s="35">
        <f t="shared" si="269"/>
      </c>
      <c r="BN138" s="35">
        <f t="shared" si="269"/>
      </c>
      <c r="BO138" s="35">
        <f t="shared" si="269"/>
      </c>
      <c r="BP138" s="35">
        <f t="shared" si="269"/>
      </c>
      <c r="BQ138" s="35">
        <f t="shared" si="269"/>
      </c>
      <c r="BR138" s="35">
        <f t="shared" si="269"/>
      </c>
      <c r="BS138" s="35">
        <f t="shared" si="269"/>
      </c>
      <c r="BT138" s="35">
        <f t="shared" si="269"/>
      </c>
      <c r="BU138" s="35">
        <f t="shared" si="269"/>
      </c>
      <c r="BV138" s="35">
        <f t="shared" si="269"/>
      </c>
      <c r="BW138" s="35">
        <f t="shared" si="269"/>
      </c>
      <c r="BX138" s="35">
        <f t="shared" si="269"/>
      </c>
      <c r="BY138" s="35">
        <f t="shared" si="269"/>
      </c>
      <c r="BZ138" s="35">
        <f t="shared" si="269"/>
      </c>
      <c r="CA138" s="35">
        <f t="shared" si="269"/>
      </c>
      <c r="CB138" s="35">
        <f t="shared" si="269"/>
      </c>
      <c r="CC138" s="35">
        <f t="shared" si="269"/>
      </c>
      <c r="CD138" s="35">
        <f t="shared" si="269"/>
      </c>
      <c r="CE138" s="35">
        <f t="shared" si="269"/>
      </c>
      <c r="CF138" s="35">
        <f t="shared" si="269"/>
      </c>
      <c r="CG138" s="35">
        <f t="shared" si="269"/>
      </c>
      <c r="CH138" s="35">
        <f>CH142+CH146</f>
      </c>
      <c r="CI138" s="35">
        <f t="shared" ref="CI138:DE138" si="270">CI142+CI146</f>
      </c>
      <c r="CJ138" s="35">
        <f t="shared" si="270"/>
      </c>
      <c r="CK138" s="35">
        <f t="shared" si="270"/>
      </c>
      <c r="CL138" s="35">
        <f>CL142+CL146</f>
      </c>
      <c r="CM138" s="35">
        <f>CM142+CM146</f>
      </c>
      <c r="CN138" s="35">
        <f>CN142+CN146</f>
      </c>
      <c r="CO138" s="35">
        <f t="shared" si="270"/>
      </c>
      <c r="CP138" s="35">
        <f t="shared" si="270"/>
      </c>
      <c r="CQ138" s="35">
        <f t="shared" si="270"/>
      </c>
      <c r="CR138" s="35">
        <f t="shared" si="270"/>
      </c>
      <c r="CS138" s="35">
        <f t="shared" si="270"/>
      </c>
      <c r="CT138" s="35">
        <f>CT142+CT146</f>
      </c>
      <c r="CU138" s="35">
        <f t="shared" si="270"/>
      </c>
      <c r="CV138" s="338">
        <f t="shared" si="270"/>
      </c>
      <c r="CW138" s="338">
        <f t="shared" si="270"/>
      </c>
      <c r="CX138" s="338">
        <f t="shared" si="270"/>
      </c>
      <c r="CY138" s="338">
        <f t="shared" si="270"/>
      </c>
      <c r="CZ138" s="338">
        <f t="shared" si="270"/>
      </c>
      <c r="DA138" s="338">
        <f t="shared" si="270"/>
      </c>
      <c r="DB138" s="338">
        <f t="shared" si="270"/>
      </c>
      <c r="DC138" s="338">
        <f t="shared" si="270"/>
      </c>
      <c r="DD138" s="338">
        <f t="shared" si="270"/>
      </c>
      <c r="DE138" s="338">
        <f t="shared" si="270"/>
      </c>
      <c r="DQ138" s="35"/>
      <c r="DR138" s="35"/>
      <c r="DS138" s="35"/>
      <c r="DT138" s="35"/>
      <c r="DU138" s="35">
        <f>SUM(BB138:BE138)</f>
      </c>
      <c r="DV138" s="35">
        <f>SUM(BF138:BI138)</f>
      </c>
      <c r="DW138" s="35">
        <f>SUM(BJ138:BM138)</f>
      </c>
      <c r="DX138" s="35">
        <f>SUM(BN138:BQ138)</f>
      </c>
      <c r="DY138" s="35">
        <f>SUM(BR138:BU138)</f>
      </c>
      <c r="DZ138" s="35">
        <f>BV138+BW138+BX138+BY138</f>
      </c>
      <c r="EA138" s="35">
        <f>SUM(BZ138:CC138)</f>
      </c>
      <c r="EB138" s="35">
        <f>+CD138+CE138+CF138+CG138</f>
      </c>
      <c r="EC138" s="35">
        <f>SUM(CH138:CK138)</f>
      </c>
      <c r="ED138" s="35">
        <f>SUM(CL138:CO138)</f>
      </c>
      <c r="EE138" s="35">
        <f>SUM(CP138:CS138)</f>
      </c>
      <c r="EF138" s="338">
        <f>SUM(CT138:CW138)</f>
      </c>
      <c r="EG138" s="338">
        <f>SUM(CX138:DA138)</f>
      </c>
      <c r="EH138" s="338">
        <f>SUM(DB138:DE138)</f>
      </c>
    </row>
    <row r="139" spans="1:140" s="47" customFormat="1">
      <c r="A139" s="372" t="s">
        <v>196</v>
      </c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  <c r="AM139" s="35"/>
      <c r="AN139" s="35"/>
      <c r="AO139" s="35"/>
      <c r="AP139" s="35"/>
      <c r="AQ139" s="35"/>
      <c r="AR139" s="35"/>
      <c r="AS139" s="35"/>
      <c r="AT139" s="35"/>
      <c r="AU139" s="35"/>
      <c r="AV139" s="35"/>
      <c r="AW139" s="35"/>
      <c r="AX139" s="35"/>
      <c r="AY139" s="35"/>
      <c r="AZ139" s="35"/>
      <c r="BA139" s="35"/>
      <c r="BB139" s="35"/>
      <c r="BC139" s="49">
        <f>BC138/BB138-1</f>
      </c>
      <c r="BD139" s="49">
        <f t="shared" ref="BD139:DE139" si="271">BD138/BC138-1</f>
      </c>
      <c r="BE139" s="49">
        <f t="shared" si="271"/>
      </c>
      <c r="BF139" s="49">
        <f t="shared" si="271"/>
      </c>
      <c r="BG139" s="49">
        <f t="shared" si="271"/>
      </c>
      <c r="BH139" s="49">
        <f t="shared" si="271"/>
      </c>
      <c r="BI139" s="49">
        <f t="shared" si="271"/>
      </c>
      <c r="BJ139" s="49">
        <f t="shared" si="271"/>
      </c>
      <c r="BK139" s="49">
        <f t="shared" si="271"/>
      </c>
      <c r="BL139" s="49">
        <f t="shared" si="271"/>
      </c>
      <c r="BM139" s="49">
        <f t="shared" si="271"/>
      </c>
      <c r="BN139" s="49">
        <f t="shared" si="271"/>
      </c>
      <c r="BO139" s="49">
        <f t="shared" si="271"/>
      </c>
      <c r="BP139" s="49">
        <f t="shared" si="271"/>
      </c>
      <c r="BQ139" s="49">
        <f t="shared" si="271"/>
      </c>
      <c r="BR139" s="49">
        <f t="shared" si="271"/>
      </c>
      <c r="BS139" s="49">
        <f t="shared" si="271"/>
      </c>
      <c r="BT139" s="49">
        <f t="shared" si="271"/>
      </c>
      <c r="BU139" s="49">
        <f t="shared" si="271"/>
      </c>
      <c r="BV139" s="49">
        <f t="shared" si="271"/>
      </c>
      <c r="BW139" s="49">
        <f t="shared" si="271"/>
      </c>
      <c r="BX139" s="49">
        <f t="shared" si="271"/>
      </c>
      <c r="BY139" s="49">
        <f t="shared" si="271"/>
      </c>
      <c r="BZ139" s="49">
        <f t="shared" si="271"/>
      </c>
      <c r="CA139" s="49">
        <f t="shared" si="271"/>
      </c>
      <c r="CB139" s="49">
        <f t="shared" si="271"/>
      </c>
      <c r="CC139" s="49">
        <f t="shared" si="271"/>
      </c>
      <c r="CD139" s="49">
        <f t="shared" si="271"/>
      </c>
      <c r="CE139" s="49">
        <f t="shared" si="271"/>
      </c>
      <c r="CF139" s="49">
        <f t="shared" si="271"/>
      </c>
      <c r="CG139" s="49">
        <f t="shared" si="271"/>
      </c>
      <c r="CH139" s="49">
        <f t="shared" si="271"/>
      </c>
      <c r="CI139" s="49">
        <f t="shared" si="271"/>
      </c>
      <c r="CJ139" s="49">
        <f t="shared" si="271"/>
      </c>
      <c r="CK139" s="49">
        <f t="shared" si="271"/>
      </c>
      <c r="CL139" s="49">
        <f t="shared" si="271"/>
      </c>
      <c r="CM139" s="49">
        <f t="shared" si="271"/>
      </c>
      <c r="CN139" s="49">
        <f t="shared" si="271"/>
      </c>
      <c r="CO139" s="49">
        <f t="shared" si="271"/>
      </c>
      <c r="CP139" s="49">
        <f t="shared" si="271"/>
      </c>
      <c r="CQ139" s="49">
        <f t="shared" si="271"/>
      </c>
      <c r="CR139" s="49">
        <f t="shared" si="271"/>
      </c>
      <c r="CS139" s="49">
        <f t="shared" si="271"/>
      </c>
      <c r="CT139" s="49">
        <f t="shared" si="271"/>
      </c>
      <c r="CU139" s="49">
        <f t="shared" si="271"/>
      </c>
      <c r="CV139" s="341">
        <f t="shared" si="271"/>
      </c>
      <c r="CW139" s="341">
        <f t="shared" si="271"/>
      </c>
      <c r="CX139" s="341">
        <f t="shared" si="271"/>
      </c>
      <c r="CY139" s="341">
        <f t="shared" si="271"/>
      </c>
      <c r="CZ139" s="341">
        <f t="shared" si="271"/>
      </c>
      <c r="DA139" s="341">
        <f t="shared" si="271"/>
      </c>
      <c r="DB139" s="341">
        <f t="shared" si="271"/>
      </c>
      <c r="DC139" s="341">
        <f t="shared" si="271"/>
      </c>
      <c r="DD139" s="341">
        <f t="shared" si="271"/>
      </c>
      <c r="DE139" s="341">
        <f t="shared" si="271"/>
      </c>
      <c r="DH139" s="342" t="s">
        <v>197</v>
      </c>
      <c r="DI139" s="342" t="s">
        <v>197</v>
      </c>
      <c r="DJ139" s="342" t="s">
        <v>197</v>
      </c>
      <c r="DK139" s="342" t="s">
        <v>197</v>
      </c>
      <c r="DL139" s="342" t="s">
        <v>197</v>
      </c>
      <c r="DM139" s="342" t="s">
        <v>197</v>
      </c>
      <c r="DN139" s="342" t="s">
        <v>197</v>
      </c>
      <c r="DO139" s="342" t="s">
        <v>197</v>
      </c>
      <c r="DP139" s="342" t="s">
        <v>197</v>
      </c>
      <c r="DQ139" s="342" t="s">
        <v>197</v>
      </c>
      <c r="DR139" s="342" t="s">
        <v>197</v>
      </c>
      <c r="DS139" s="342" t="s">
        <v>197</v>
      </c>
      <c r="DT139" s="342" t="s">
        <v>197</v>
      </c>
      <c r="DU139" s="342" t="s">
        <v>197</v>
      </c>
      <c r="DV139" s="342" t="s">
        <v>197</v>
      </c>
      <c r="DW139" s="342" t="s">
        <v>197</v>
      </c>
      <c r="DX139" s="342" t="s">
        <v>197</v>
      </c>
      <c r="DY139" s="342" t="s">
        <v>197</v>
      </c>
      <c r="DZ139" s="342" t="s">
        <v>197</v>
      </c>
      <c r="EA139" s="342" t="s">
        <v>197</v>
      </c>
      <c r="EB139" s="342" t="s">
        <v>197</v>
      </c>
      <c r="EC139" s="342" t="s">
        <v>197</v>
      </c>
      <c r="ED139" s="342" t="s">
        <v>197</v>
      </c>
      <c r="EE139" s="342" t="s">
        <v>197</v>
      </c>
      <c r="EF139" s="343" t="s">
        <v>197</v>
      </c>
      <c r="EG139" s="343" t="s">
        <v>197</v>
      </c>
      <c r="EH139" s="343" t="s">
        <v>197</v>
      </c>
    </row>
    <row r="140" spans="1:140" s="47" customFormat="1">
      <c r="A140" s="372" t="s">
        <v>198</v>
      </c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/>
      <c r="AK140" s="35"/>
      <c r="AL140" s="35"/>
      <c r="AM140" s="35"/>
      <c r="AN140" s="35"/>
      <c r="AO140" s="35"/>
      <c r="AP140" s="35"/>
      <c r="AQ140" s="35"/>
      <c r="AR140" s="35"/>
      <c r="AS140" s="35"/>
      <c r="AT140" s="35"/>
      <c r="AU140" s="35"/>
      <c r="AV140" s="35"/>
      <c r="AW140" s="35"/>
      <c r="AX140" s="35"/>
      <c r="AY140" s="35"/>
      <c r="AZ140" s="35"/>
      <c r="BA140" s="35"/>
      <c r="BB140" s="35"/>
      <c r="BC140" s="35"/>
      <c r="BD140" s="35"/>
      <c r="BE140" s="35"/>
      <c r="BF140" s="394">
        <f>BF138/BB138-1</f>
      </c>
      <c r="BG140" s="394">
        <f t="shared" ref="BG140:DE140" si="272">BG138/BC138-1</f>
      </c>
      <c r="BH140" s="394">
        <f t="shared" si="272"/>
      </c>
      <c r="BI140" s="394">
        <f t="shared" si="272"/>
      </c>
      <c r="BJ140" s="394">
        <f t="shared" si="272"/>
      </c>
      <c r="BK140" s="394">
        <f t="shared" si="272"/>
      </c>
      <c r="BL140" s="394">
        <f t="shared" si="272"/>
      </c>
      <c r="BM140" s="394">
        <f t="shared" si="272"/>
      </c>
      <c r="BN140" s="394">
        <f t="shared" si="272"/>
      </c>
      <c r="BO140" s="394">
        <f t="shared" si="272"/>
      </c>
      <c r="BP140" s="394">
        <f t="shared" si="272"/>
      </c>
      <c r="BQ140" s="394">
        <f t="shared" si="272"/>
      </c>
      <c r="BR140" s="394">
        <f t="shared" si="272"/>
      </c>
      <c r="BS140" s="394">
        <f t="shared" si="272"/>
      </c>
      <c r="BT140" s="394">
        <f t="shared" si="272"/>
      </c>
      <c r="BU140" s="394">
        <f t="shared" si="272"/>
      </c>
      <c r="BV140" s="394">
        <f t="shared" si="272"/>
      </c>
      <c r="BW140" s="394">
        <f t="shared" si="272"/>
      </c>
      <c r="BX140" s="394">
        <f t="shared" si="272"/>
      </c>
      <c r="BY140" s="394">
        <f t="shared" si="272"/>
      </c>
      <c r="BZ140" s="394">
        <f t="shared" si="272"/>
      </c>
      <c r="CA140" s="394">
        <f t="shared" si="272"/>
      </c>
      <c r="CB140" s="394">
        <f t="shared" si="272"/>
      </c>
      <c r="CC140" s="394">
        <f t="shared" si="272"/>
      </c>
      <c r="CD140" s="394">
        <f t="shared" si="272"/>
      </c>
      <c r="CE140" s="394">
        <f t="shared" si="272"/>
      </c>
      <c r="CF140" s="394">
        <f t="shared" si="272"/>
      </c>
      <c r="CG140" s="394">
        <f t="shared" si="272"/>
      </c>
      <c r="CH140" s="394">
        <f t="shared" si="272"/>
      </c>
      <c r="CI140" s="394">
        <f t="shared" si="272"/>
      </c>
      <c r="CJ140" s="394">
        <f t="shared" si="272"/>
      </c>
      <c r="CK140" s="394">
        <f t="shared" si="272"/>
      </c>
      <c r="CL140" s="394">
        <f t="shared" si="272"/>
      </c>
      <c r="CM140" s="394">
        <f t="shared" si="272"/>
      </c>
      <c r="CN140" s="394">
        <f t="shared" si="272"/>
      </c>
      <c r="CO140" s="394">
        <f t="shared" si="272"/>
      </c>
      <c r="CP140" s="394">
        <f t="shared" si="272"/>
      </c>
      <c r="CQ140" s="394">
        <f t="shared" si="272"/>
      </c>
      <c r="CR140" s="394">
        <f t="shared" si="272"/>
      </c>
      <c r="CS140" s="394">
        <f t="shared" si="272"/>
      </c>
      <c r="CT140" s="394">
        <f t="shared" si="272"/>
      </c>
      <c r="CU140" s="394">
        <f t="shared" si="272"/>
      </c>
      <c r="CV140" s="398">
        <f t="shared" si="272"/>
      </c>
      <c r="CW140" s="398">
        <f t="shared" si="272"/>
      </c>
      <c r="CX140" s="398">
        <f t="shared" si="272"/>
      </c>
      <c r="CY140" s="398">
        <f t="shared" si="272"/>
      </c>
      <c r="CZ140" s="398">
        <f t="shared" si="272"/>
      </c>
      <c r="DA140" s="398">
        <f t="shared" si="272"/>
      </c>
      <c r="DB140" s="398">
        <f t="shared" si="272"/>
      </c>
      <c r="DC140" s="398">
        <f t="shared" si="272"/>
      </c>
      <c r="DD140" s="398">
        <f t="shared" si="272"/>
      </c>
      <c r="DE140" s="398">
        <f t="shared" si="272"/>
      </c>
      <c r="DQ140" s="35"/>
      <c r="DR140" s="35"/>
      <c r="DS140" s="35"/>
      <c r="DT140" s="35"/>
      <c r="DU140" s="35"/>
      <c r="DV140" s="49">
        <f t="shared" ref="DV140:EH140" si="273">DV138/DU138-1</f>
      </c>
      <c r="DW140" s="49">
        <f t="shared" si="273"/>
      </c>
      <c r="DX140" s="49">
        <f t="shared" si="273"/>
      </c>
      <c r="DY140" s="49">
        <f t="shared" si="273"/>
      </c>
      <c r="DZ140" s="49">
        <f t="shared" si="273"/>
      </c>
      <c r="EA140" s="49">
        <f t="shared" si="273"/>
      </c>
      <c r="EB140" s="49">
        <f t="shared" si="273"/>
      </c>
      <c r="EC140" s="49">
        <f t="shared" si="273"/>
      </c>
      <c r="ED140" s="49">
        <f t="shared" si="273"/>
      </c>
      <c r="EE140" s="49">
        <f t="shared" si="273"/>
      </c>
      <c r="EF140" s="341">
        <f t="shared" si="273"/>
      </c>
      <c r="EG140" s="341">
        <f t="shared" si="273"/>
      </c>
      <c r="EH140" s="341">
        <f t="shared" si="273"/>
      </c>
    </row>
    <row r="141" spans="1:140" s="49" customFormat="1">
      <c r="A141" s="403" t="s">
        <v>248</v>
      </c>
      <c r="B141" s="404"/>
      <c r="C141" s="404"/>
      <c r="D141" s="404"/>
      <c r="E141" s="404"/>
      <c r="F141" s="404"/>
      <c r="G141" s="404"/>
      <c r="H141" s="404"/>
      <c r="I141" s="404"/>
      <c r="J141" s="404"/>
      <c r="K141" s="404"/>
      <c r="L141" s="404"/>
      <c r="M141" s="404"/>
      <c r="N141" s="404"/>
      <c r="O141" s="404"/>
      <c r="P141" s="404"/>
      <c r="Q141" s="404"/>
      <c r="R141" s="404"/>
      <c r="S141" s="404"/>
      <c r="T141" s="404"/>
      <c r="U141" s="404"/>
      <c r="V141" s="404"/>
      <c r="W141" s="404"/>
      <c r="X141" s="404"/>
      <c r="Y141" s="404"/>
      <c r="Z141" s="404"/>
      <c r="AA141" s="404"/>
      <c r="AB141" s="404"/>
      <c r="AC141" s="404"/>
      <c r="AD141" s="404"/>
      <c r="AE141" s="404"/>
      <c r="AF141" s="404"/>
      <c r="AG141" s="404"/>
      <c r="AH141" s="404"/>
      <c r="AI141" s="404"/>
      <c r="AJ141" s="404"/>
      <c r="AK141" s="404"/>
      <c r="AL141" s="404"/>
      <c r="AM141" s="404"/>
      <c r="AN141" s="404"/>
      <c r="AO141" s="404"/>
      <c r="AP141" s="404"/>
      <c r="AQ141" s="404"/>
      <c r="AR141" s="404"/>
      <c r="AS141" s="404"/>
      <c r="AT141" s="404"/>
      <c r="AU141" s="404"/>
      <c r="AV141" s="404"/>
      <c r="AW141" s="404"/>
      <c r="AX141" s="404"/>
      <c r="AY141" s="404"/>
      <c r="AZ141" s="404"/>
      <c r="BA141" s="404"/>
      <c r="BB141" s="341">
        <f t="shared" ref="BB141:BJ141" si="274">BB18</f>
      </c>
      <c r="BC141" s="341">
        <f t="shared" si="274"/>
      </c>
      <c r="BD141" s="341">
        <f t="shared" si="274"/>
      </c>
      <c r="BE141" s="341">
        <f t="shared" si="274"/>
      </c>
      <c r="BF141" s="341">
        <f t="shared" si="274"/>
      </c>
      <c r="BG141" s="341">
        <f t="shared" si="274"/>
      </c>
      <c r="BH141" s="341">
        <f t="shared" si="274"/>
      </c>
      <c r="BI141" s="341">
        <f t="shared" si="274"/>
      </c>
      <c r="BJ141" s="341">
        <f t="shared" si="274"/>
      </c>
      <c r="BK141" s="341">
        <f t="shared" ref="BK141:DE141" si="275">BK138/BK75</f>
      </c>
      <c r="BL141" s="341">
        <f t="shared" si="275"/>
      </c>
      <c r="BM141" s="341">
        <f t="shared" si="275"/>
      </c>
      <c r="BN141" s="341">
        <f t="shared" si="275"/>
      </c>
      <c r="BO141" s="341">
        <f t="shared" si="275"/>
      </c>
      <c r="BP141" s="341">
        <f t="shared" si="275"/>
      </c>
      <c r="BQ141" s="341">
        <f t="shared" si="275"/>
      </c>
      <c r="BR141" s="341">
        <f t="shared" si="275"/>
      </c>
      <c r="BS141" s="341">
        <f t="shared" si="275"/>
      </c>
      <c r="BT141" s="341">
        <f t="shared" si="275"/>
      </c>
      <c r="BU141" s="341">
        <f t="shared" si="275"/>
      </c>
      <c r="BV141" s="341">
        <f t="shared" si="275"/>
      </c>
      <c r="BW141" s="341">
        <f t="shared" si="275"/>
      </c>
      <c r="BX141" s="341">
        <f t="shared" si="275"/>
      </c>
      <c r="BY141" s="341">
        <f t="shared" si="275"/>
      </c>
      <c r="BZ141" s="341">
        <f t="shared" si="275"/>
      </c>
      <c r="CA141" s="341">
        <f t="shared" si="275"/>
      </c>
      <c r="CB141" s="341">
        <f t="shared" si="275"/>
      </c>
      <c r="CC141" s="341">
        <f t="shared" si="275"/>
      </c>
      <c r="CD141" s="341">
        <f t="shared" si="275"/>
      </c>
      <c r="CE141" s="341">
        <f t="shared" si="275"/>
      </c>
      <c r="CF141" s="341">
        <f t="shared" si="275"/>
      </c>
      <c r="CG141" s="341">
        <f t="shared" si="275"/>
      </c>
      <c r="CH141" s="341">
        <f t="shared" si="275"/>
      </c>
      <c r="CI141" s="341">
        <f t="shared" si="275"/>
      </c>
      <c r="CJ141" s="341">
        <f t="shared" si="275"/>
      </c>
      <c r="CK141" s="341">
        <f t="shared" si="275"/>
      </c>
      <c r="CL141" s="341">
        <f t="shared" si="275"/>
      </c>
      <c r="CM141" s="341">
        <f t="shared" si="275"/>
      </c>
      <c r="CN141" s="341">
        <f t="shared" si="275"/>
      </c>
      <c r="CO141" s="341">
        <f t="shared" si="275"/>
      </c>
      <c r="CP141" s="341">
        <f t="shared" si="275"/>
      </c>
      <c r="CQ141" s="341">
        <f t="shared" si="275"/>
      </c>
      <c r="CR141" s="341">
        <f t="shared" si="275"/>
      </c>
      <c r="CS141" s="341">
        <f t="shared" si="275"/>
      </c>
      <c r="CT141" s="341">
        <f t="shared" si="275"/>
      </c>
      <c r="CU141" s="341">
        <f t="shared" si="275"/>
      </c>
      <c r="CV141" s="341">
        <f t="shared" si="275"/>
      </c>
      <c r="CW141" s="341">
        <f t="shared" si="275"/>
      </c>
      <c r="CX141" s="341">
        <f t="shared" si="275"/>
      </c>
      <c r="CY141" s="341">
        <f t="shared" si="275"/>
      </c>
      <c r="CZ141" s="341">
        <f t="shared" si="275"/>
      </c>
      <c r="DA141" s="341">
        <f t="shared" si="275"/>
      </c>
      <c r="DB141" s="341">
        <f t="shared" si="275"/>
      </c>
      <c r="DC141" s="341">
        <f t="shared" si="275"/>
      </c>
      <c r="DD141" s="341">
        <f t="shared" si="275"/>
      </c>
      <c r="DE141" s="341">
        <f t="shared" si="275"/>
      </c>
      <c r="DQ141" s="62"/>
      <c r="DR141" s="62"/>
      <c r="DS141" s="62"/>
      <c r="DU141" s="49">
        <f t="shared" ref="DU141:EH141" si="276">DU138/DU75</f>
      </c>
      <c r="DV141" s="49">
        <f t="shared" si="276"/>
      </c>
      <c r="DW141" s="49">
        <f t="shared" si="276"/>
      </c>
      <c r="DX141" s="49">
        <f t="shared" si="276"/>
      </c>
      <c r="DY141" s="49">
        <f t="shared" si="276"/>
      </c>
      <c r="DZ141" s="49">
        <f t="shared" si="276"/>
      </c>
      <c r="EA141" s="49">
        <f t="shared" si="276"/>
      </c>
      <c r="EB141" s="49">
        <f t="shared" si="276"/>
      </c>
      <c r="EC141" s="49">
        <f t="shared" si="276"/>
      </c>
      <c r="ED141" s="49">
        <f t="shared" si="276"/>
      </c>
      <c r="EE141" s="49">
        <f t="shared" si="276"/>
      </c>
      <c r="EF141" s="345">
        <f t="shared" si="276"/>
      </c>
      <c r="EG141" s="345">
        <f t="shared" si="276"/>
      </c>
      <c r="EH141" s="345">
        <f t="shared" si="276"/>
      </c>
    </row>
    <row r="142" spans="1:140" s="49" customFormat="1" outlineLevel="1">
      <c r="A142" s="346" t="s">
        <v>249</v>
      </c>
      <c r="B142" s="404"/>
      <c r="C142" s="404"/>
      <c r="D142" s="404"/>
      <c r="E142" s="404"/>
      <c r="F142" s="404"/>
      <c r="G142" s="404"/>
      <c r="H142" s="404"/>
      <c r="I142" s="404"/>
      <c r="J142" s="404"/>
      <c r="K142" s="404"/>
      <c r="L142" s="404"/>
      <c r="M142" s="404"/>
      <c r="N142" s="404"/>
      <c r="O142" s="404"/>
      <c r="P142" s="404"/>
      <c r="Q142" s="404"/>
      <c r="R142" s="404"/>
      <c r="S142" s="404"/>
      <c r="T142" s="404"/>
      <c r="U142" s="404"/>
      <c r="V142" s="404"/>
      <c r="W142" s="404"/>
      <c r="X142" s="404"/>
      <c r="Y142" s="404"/>
      <c r="Z142" s="404"/>
      <c r="AA142" s="404"/>
      <c r="AB142" s="404"/>
      <c r="AC142" s="404"/>
      <c r="AD142" s="404"/>
      <c r="AE142" s="404"/>
      <c r="AF142" s="404"/>
      <c r="AG142" s="404"/>
      <c r="AH142" s="404"/>
      <c r="AI142" s="404"/>
      <c r="AJ142" s="404"/>
      <c r="AK142" s="404"/>
      <c r="AL142" s="404"/>
      <c r="AM142" s="404"/>
      <c r="AN142" s="404"/>
      <c r="AO142" s="404"/>
      <c r="AP142" s="404"/>
      <c r="AQ142" s="404"/>
      <c r="AR142" s="404"/>
      <c r="AS142" s="404"/>
      <c r="AT142" s="404"/>
      <c r="AU142" s="404"/>
      <c r="AV142" s="404"/>
      <c r="AW142" s="404"/>
      <c r="AX142" s="404"/>
      <c r="AY142" s="404"/>
      <c r="AZ142" s="404"/>
      <c r="BA142" s="404"/>
      <c r="BB142" s="398"/>
      <c r="BC142" s="398"/>
      <c r="BD142" s="398"/>
      <c r="BE142" s="398"/>
      <c r="BF142" s="398"/>
      <c r="BG142" s="398"/>
      <c r="BH142" s="398"/>
      <c r="BI142" s="398"/>
      <c r="BJ142" s="399">
        <f t="shared" ref="BJ142:DE142" si="277">BJ79*BJ145+BJ87*BJ145</f>
      </c>
      <c r="BK142" s="399">
        <f t="shared" si="277"/>
      </c>
      <c r="BL142" s="399">
        <f t="shared" si="277"/>
      </c>
      <c r="BM142" s="399">
        <f t="shared" si="277"/>
      </c>
      <c r="BN142" s="399">
        <f t="shared" si="277"/>
      </c>
      <c r="BO142" s="399">
        <f t="shared" si="277"/>
      </c>
      <c r="BP142" s="399">
        <f t="shared" si="277"/>
      </c>
      <c r="BQ142" s="399">
        <f t="shared" si="277"/>
      </c>
      <c r="BR142" s="399">
        <f t="shared" si="277"/>
      </c>
      <c r="BS142" s="399">
        <f t="shared" si="277"/>
      </c>
      <c r="BT142" s="399">
        <f t="shared" si="277"/>
      </c>
      <c r="BU142" s="399">
        <f t="shared" si="277"/>
      </c>
      <c r="BV142" s="399">
        <f t="shared" si="277"/>
      </c>
      <c r="BW142" s="399">
        <f t="shared" si="277"/>
      </c>
      <c r="BX142" s="399">
        <f t="shared" si="277"/>
      </c>
      <c r="BY142" s="399">
        <f t="shared" si="277"/>
      </c>
      <c r="BZ142" s="399">
        <f t="shared" si="277"/>
      </c>
      <c r="CA142" s="399">
        <f t="shared" si="277"/>
      </c>
      <c r="CB142" s="399">
        <f t="shared" si="277"/>
      </c>
      <c r="CC142" s="399">
        <f t="shared" si="277"/>
      </c>
      <c r="CD142" s="399">
        <f t="shared" si="277"/>
      </c>
      <c r="CE142" s="399">
        <f t="shared" si="277"/>
      </c>
      <c r="CF142" s="399">
        <f t="shared" si="277"/>
      </c>
      <c r="CG142" s="399">
        <f t="shared" si="277"/>
      </c>
      <c r="CH142" s="399">
        <f t="shared" si="277"/>
      </c>
      <c r="CI142" s="399">
        <f t="shared" si="277"/>
      </c>
      <c r="CJ142" s="399">
        <f t="shared" si="277"/>
      </c>
      <c r="CK142" s="399">
        <f t="shared" si="277"/>
      </c>
      <c r="CL142" s="399">
        <f t="shared" si="277"/>
      </c>
      <c r="CM142" s="399">
        <f t="shared" si="277"/>
      </c>
      <c r="CN142" s="399">
        <f t="shared" si="277"/>
      </c>
      <c r="CO142" s="399">
        <f t="shared" si="277"/>
      </c>
      <c r="CP142" s="399">
        <f t="shared" si="277"/>
      </c>
      <c r="CQ142" s="399">
        <f t="shared" si="277"/>
      </c>
      <c r="CR142" s="399">
        <f t="shared" si="277"/>
      </c>
      <c r="CS142" s="399">
        <f t="shared" si="277"/>
      </c>
      <c r="CT142" s="399">
        <f t="shared" si="277"/>
      </c>
      <c r="CU142" s="399">
        <f t="shared" si="277"/>
      </c>
      <c r="CV142" s="405">
        <f t="shared" si="277"/>
      </c>
      <c r="CW142" s="405">
        <f t="shared" si="277"/>
      </c>
      <c r="CX142" s="405">
        <f t="shared" si="277"/>
      </c>
      <c r="CY142" s="405">
        <f t="shared" si="277"/>
      </c>
      <c r="CZ142" s="405">
        <f t="shared" si="277"/>
      </c>
      <c r="DA142" s="405">
        <f t="shared" si="277"/>
      </c>
      <c r="DB142" s="405">
        <f t="shared" si="277"/>
      </c>
      <c r="DC142" s="405">
        <f t="shared" si="277"/>
      </c>
      <c r="DD142" s="405">
        <f t="shared" si="277"/>
      </c>
      <c r="DE142" s="405">
        <f t="shared" si="277"/>
      </c>
      <c r="DH142" s="399"/>
      <c r="DI142" s="399"/>
      <c r="DJ142" s="399"/>
      <c r="DK142" s="399"/>
      <c r="DL142" s="399"/>
      <c r="DM142" s="399"/>
      <c r="DN142" s="399"/>
      <c r="DO142" s="399"/>
      <c r="DP142" s="399"/>
      <c r="DQ142" s="399"/>
      <c r="DR142" s="399"/>
      <c r="DS142" s="399"/>
      <c r="DT142" s="399"/>
      <c r="DU142" s="399"/>
      <c r="DV142" s="399"/>
      <c r="DW142" s="399">
        <f>SUM(BJ142:BM142)</f>
      </c>
      <c r="DX142" s="399">
        <f>SUM(BN142:BQ142)</f>
      </c>
      <c r="DY142" s="399">
        <f>SUM(BR142:BU142)</f>
      </c>
      <c r="DZ142" s="399">
        <f>BV142+BW142+BX142+BY142</f>
      </c>
      <c r="EA142" s="399">
        <f>SUM(BZ142:CC142)</f>
      </c>
      <c r="EB142" s="399">
        <f>+CD142+CE142+CF142+CG142</f>
      </c>
      <c r="EC142" s="399">
        <f>SUM(CH142:CK142)</f>
      </c>
      <c r="ED142" s="399">
        <f>SUM(CL142:CO142)</f>
      </c>
      <c r="EE142" s="399">
        <f>SUM(CP142:CS142)</f>
      </c>
      <c r="EF142" s="405">
        <f>SUM(CT142:CW142)</f>
      </c>
      <c r="EG142" s="338">
        <f>SUM(CX142:DA142)</f>
      </c>
      <c r="EH142" s="338">
        <f>SUM(DB142:DE142)</f>
      </c>
    </row>
    <row r="143" spans="1:140" s="49" customFormat="1" outlineLevel="1">
      <c r="A143" s="406" t="s">
        <v>196</v>
      </c>
      <c r="B143" s="404"/>
      <c r="C143" s="404"/>
      <c r="D143" s="404"/>
      <c r="E143" s="404"/>
      <c r="F143" s="404"/>
      <c r="G143" s="404"/>
      <c r="H143" s="404"/>
      <c r="I143" s="404"/>
      <c r="J143" s="404"/>
      <c r="K143" s="404"/>
      <c r="L143" s="404"/>
      <c r="M143" s="404"/>
      <c r="N143" s="404"/>
      <c r="O143" s="404"/>
      <c r="P143" s="404"/>
      <c r="Q143" s="404"/>
      <c r="R143" s="404"/>
      <c r="S143" s="404"/>
      <c r="T143" s="404"/>
      <c r="U143" s="404"/>
      <c r="V143" s="404"/>
      <c r="W143" s="404"/>
      <c r="X143" s="404"/>
      <c r="Y143" s="404"/>
      <c r="Z143" s="404"/>
      <c r="AA143" s="404"/>
      <c r="AB143" s="404"/>
      <c r="AC143" s="404"/>
      <c r="AD143" s="404"/>
      <c r="AE143" s="404"/>
      <c r="AF143" s="404"/>
      <c r="AG143" s="404"/>
      <c r="AH143" s="404"/>
      <c r="AI143" s="404"/>
      <c r="AJ143" s="404"/>
      <c r="AK143" s="404"/>
      <c r="AL143" s="404"/>
      <c r="AM143" s="404"/>
      <c r="AN143" s="404"/>
      <c r="AO143" s="404"/>
      <c r="AP143" s="404"/>
      <c r="AQ143" s="404"/>
      <c r="AR143" s="404"/>
      <c r="AS143" s="404"/>
      <c r="AT143" s="404"/>
      <c r="AU143" s="404"/>
      <c r="AV143" s="404"/>
      <c r="AW143" s="404"/>
      <c r="AX143" s="404"/>
      <c r="AY143" s="404"/>
      <c r="AZ143" s="404"/>
      <c r="BA143" s="404"/>
      <c r="BB143" s="398"/>
      <c r="BK143" s="49">
        <f t="shared" ref="BK143:DE143" si="278">BK142/BJ142-1</f>
      </c>
      <c r="BL143" s="49">
        <f t="shared" si="278"/>
      </c>
      <c r="BM143" s="49">
        <f t="shared" si="278"/>
      </c>
      <c r="BN143" s="49">
        <f t="shared" si="278"/>
      </c>
      <c r="BO143" s="49">
        <f t="shared" si="278"/>
      </c>
      <c r="BP143" s="49">
        <f t="shared" si="278"/>
      </c>
      <c r="BQ143" s="49">
        <f t="shared" si="278"/>
      </c>
      <c r="BR143" s="49">
        <f t="shared" si="278"/>
      </c>
      <c r="BS143" s="49">
        <f t="shared" si="278"/>
      </c>
      <c r="BT143" s="49">
        <f t="shared" si="278"/>
      </c>
      <c r="BU143" s="49">
        <f t="shared" si="278"/>
      </c>
      <c r="BV143" s="49">
        <f t="shared" si="278"/>
      </c>
      <c r="BW143" s="49">
        <f t="shared" si="278"/>
      </c>
      <c r="BX143" s="49">
        <f t="shared" si="278"/>
      </c>
      <c r="BY143" s="49">
        <f t="shared" si="278"/>
      </c>
      <c r="BZ143" s="49">
        <f t="shared" si="278"/>
      </c>
      <c r="CA143" s="49">
        <f t="shared" si="278"/>
      </c>
      <c r="CB143" s="49">
        <f t="shared" si="278"/>
      </c>
      <c r="CC143" s="49">
        <f t="shared" si="278"/>
      </c>
      <c r="CD143" s="49">
        <f t="shared" si="278"/>
      </c>
      <c r="CE143" s="49">
        <f t="shared" si="278"/>
      </c>
      <c r="CF143" s="49">
        <f t="shared" si="278"/>
      </c>
      <c r="CG143" s="49">
        <f t="shared" si="278"/>
      </c>
      <c r="CH143" s="49">
        <f t="shared" si="278"/>
      </c>
      <c r="CI143" s="49">
        <f t="shared" si="278"/>
      </c>
      <c r="CJ143" s="49">
        <f t="shared" si="278"/>
      </c>
      <c r="CK143" s="49">
        <f t="shared" si="278"/>
      </c>
      <c r="CL143" s="49">
        <f t="shared" si="278"/>
      </c>
      <c r="CM143" s="49">
        <f t="shared" si="278"/>
      </c>
      <c r="CN143" s="49">
        <f t="shared" si="278"/>
      </c>
      <c r="CO143" s="49">
        <f t="shared" si="278"/>
      </c>
      <c r="CP143" s="49">
        <f t="shared" si="278"/>
      </c>
      <c r="CQ143" s="49">
        <f t="shared" si="278"/>
      </c>
      <c r="CR143" s="49">
        <f t="shared" si="278"/>
      </c>
      <c r="CS143" s="49">
        <f t="shared" si="278"/>
      </c>
      <c r="CT143" s="49">
        <f t="shared" si="278"/>
      </c>
      <c r="CU143" s="49">
        <f t="shared" si="278"/>
      </c>
      <c r="CV143" s="341">
        <f t="shared" si="278"/>
      </c>
      <c r="CW143" s="341">
        <f t="shared" si="278"/>
      </c>
      <c r="CX143" s="341">
        <f t="shared" si="278"/>
      </c>
      <c r="CY143" s="341">
        <f t="shared" si="278"/>
      </c>
      <c r="CZ143" s="341">
        <f t="shared" si="278"/>
      </c>
      <c r="DA143" s="341">
        <f t="shared" si="278"/>
      </c>
      <c r="DB143" s="341">
        <f t="shared" si="278"/>
      </c>
      <c r="DC143" s="341">
        <f t="shared" si="278"/>
      </c>
      <c r="DD143" s="341">
        <f t="shared" si="278"/>
      </c>
      <c r="DE143" s="341">
        <f t="shared" si="278"/>
      </c>
      <c r="DH143" s="342" t="s">
        <v>197</v>
      </c>
      <c r="DI143" s="342" t="s">
        <v>197</v>
      </c>
      <c r="DJ143" s="342" t="s">
        <v>197</v>
      </c>
      <c r="DK143" s="342" t="s">
        <v>197</v>
      </c>
      <c r="DL143" s="342" t="s">
        <v>197</v>
      </c>
      <c r="DM143" s="342" t="s">
        <v>197</v>
      </c>
      <c r="DN143" s="342" t="s">
        <v>197</v>
      </c>
      <c r="DO143" s="342" t="s">
        <v>197</v>
      </c>
      <c r="DP143" s="342" t="s">
        <v>197</v>
      </c>
      <c r="DQ143" s="342" t="s">
        <v>197</v>
      </c>
      <c r="DR143" s="342" t="s">
        <v>197</v>
      </c>
      <c r="DS143" s="342" t="s">
        <v>197</v>
      </c>
      <c r="DT143" s="342" t="s">
        <v>197</v>
      </c>
      <c r="DU143" s="342" t="s">
        <v>197</v>
      </c>
      <c r="DV143" s="342" t="s">
        <v>197</v>
      </c>
      <c r="DW143" s="342" t="s">
        <v>197</v>
      </c>
      <c r="DX143" s="342" t="s">
        <v>197</v>
      </c>
      <c r="DY143" s="342" t="s">
        <v>197</v>
      </c>
      <c r="DZ143" s="342" t="s">
        <v>197</v>
      </c>
      <c r="EA143" s="342" t="s">
        <v>197</v>
      </c>
      <c r="EB143" s="342" t="s">
        <v>197</v>
      </c>
      <c r="EC143" s="342" t="s">
        <v>197</v>
      </c>
      <c r="ED143" s="342" t="s">
        <v>197</v>
      </c>
      <c r="EE143" s="342" t="s">
        <v>197</v>
      </c>
      <c r="EF143" s="343" t="s">
        <v>197</v>
      </c>
      <c r="EG143" s="343" t="s">
        <v>197</v>
      </c>
      <c r="EH143" s="343" t="s">
        <v>197</v>
      </c>
    </row>
    <row r="144" spans="1:140" s="49" customFormat="1" ht="11.25" customHeight="1" outlineLevel="1">
      <c r="A144" s="406" t="s">
        <v>198</v>
      </c>
      <c r="B144" s="404"/>
      <c r="C144" s="404"/>
      <c r="D144" s="404"/>
      <c r="E144" s="404"/>
      <c r="F144" s="404"/>
      <c r="G144" s="404"/>
      <c r="H144" s="404"/>
      <c r="I144" s="404"/>
      <c r="J144" s="404"/>
      <c r="K144" s="404"/>
      <c r="L144" s="404"/>
      <c r="M144" s="404"/>
      <c r="N144" s="404"/>
      <c r="O144" s="404"/>
      <c r="P144" s="404"/>
      <c r="Q144" s="404"/>
      <c r="R144" s="404"/>
      <c r="S144" s="404"/>
      <c r="T144" s="404"/>
      <c r="U144" s="404"/>
      <c r="V144" s="404"/>
      <c r="W144" s="404"/>
      <c r="X144" s="404"/>
      <c r="Y144" s="404"/>
      <c r="Z144" s="404"/>
      <c r="AA144" s="404"/>
      <c r="AB144" s="404"/>
      <c r="AC144" s="404"/>
      <c r="AD144" s="404"/>
      <c r="AE144" s="404"/>
      <c r="AF144" s="404"/>
      <c r="AG144" s="404"/>
      <c r="AH144" s="404"/>
      <c r="AI144" s="404"/>
      <c r="AJ144" s="404"/>
      <c r="AK144" s="404"/>
      <c r="AL144" s="404"/>
      <c r="AM144" s="404"/>
      <c r="AN144" s="404"/>
      <c r="AO144" s="404"/>
      <c r="AP144" s="404"/>
      <c r="AQ144" s="404"/>
      <c r="AR144" s="404"/>
      <c r="AS144" s="404"/>
      <c r="AT144" s="404"/>
      <c r="AU144" s="404"/>
      <c r="AV144" s="404"/>
      <c r="AW144" s="404"/>
      <c r="AX144" s="404"/>
      <c r="AY144" s="404"/>
      <c r="AZ144" s="404"/>
      <c r="BA144" s="404"/>
      <c r="BB144" s="398"/>
      <c r="BC144" s="35"/>
      <c r="BD144" s="35"/>
      <c r="BE144" s="35"/>
      <c r="BF144" s="394"/>
      <c r="BG144" s="394"/>
      <c r="BH144" s="394"/>
      <c r="BI144" s="394"/>
      <c r="BJ144" s="394"/>
      <c r="BK144" s="394"/>
      <c r="BL144" s="394"/>
      <c r="BM144" s="394"/>
      <c r="BN144" s="394">
        <f t="shared" ref="BN144:DE144" si="279">BN142/BJ142-1</f>
      </c>
      <c r="BO144" s="394">
        <f t="shared" si="279"/>
      </c>
      <c r="BP144" s="394">
        <f t="shared" si="279"/>
      </c>
      <c r="BQ144" s="394">
        <f t="shared" si="279"/>
      </c>
      <c r="BR144" s="394">
        <f t="shared" si="279"/>
      </c>
      <c r="BS144" s="394">
        <f t="shared" si="279"/>
      </c>
      <c r="BT144" s="394">
        <f t="shared" si="279"/>
      </c>
      <c r="BU144" s="394">
        <f t="shared" si="279"/>
      </c>
      <c r="BV144" s="394">
        <f t="shared" si="279"/>
      </c>
      <c r="BW144" s="394">
        <f t="shared" si="279"/>
      </c>
      <c r="BX144" s="394">
        <f t="shared" si="279"/>
      </c>
      <c r="BY144" s="394">
        <f t="shared" si="279"/>
      </c>
      <c r="BZ144" s="394">
        <f t="shared" si="279"/>
      </c>
      <c r="CA144" s="394">
        <f t="shared" si="279"/>
      </c>
      <c r="CB144" s="394">
        <f t="shared" si="279"/>
      </c>
      <c r="CC144" s="394">
        <f t="shared" si="279"/>
      </c>
      <c r="CD144" s="394">
        <f t="shared" si="279"/>
      </c>
      <c r="CE144" s="394">
        <f t="shared" si="279"/>
      </c>
      <c r="CF144" s="394">
        <f t="shared" si="279"/>
      </c>
      <c r="CG144" s="394">
        <f t="shared" si="279"/>
      </c>
      <c r="CH144" s="394">
        <f t="shared" si="279"/>
      </c>
      <c r="CI144" s="394">
        <f t="shared" si="279"/>
      </c>
      <c r="CJ144" s="394">
        <f t="shared" si="279"/>
      </c>
      <c r="CK144" s="394">
        <f t="shared" si="279"/>
      </c>
      <c r="CL144" s="394">
        <f t="shared" si="279"/>
      </c>
      <c r="CM144" s="394">
        <f t="shared" si="279"/>
      </c>
      <c r="CN144" s="394">
        <f t="shared" si="279"/>
      </c>
      <c r="CO144" s="394">
        <f t="shared" si="279"/>
      </c>
      <c r="CP144" s="394">
        <f t="shared" si="279"/>
      </c>
      <c r="CQ144" s="394">
        <f t="shared" si="279"/>
      </c>
      <c r="CR144" s="394">
        <f t="shared" si="279"/>
      </c>
      <c r="CS144" s="394">
        <f t="shared" si="279"/>
      </c>
      <c r="CT144" s="394">
        <f t="shared" si="279"/>
      </c>
      <c r="CU144" s="394">
        <f t="shared" si="279"/>
      </c>
      <c r="CV144" s="398">
        <f t="shared" si="279"/>
      </c>
      <c r="CW144" s="398">
        <f t="shared" si="279"/>
      </c>
      <c r="CX144" s="398">
        <f t="shared" si="279"/>
      </c>
      <c r="CY144" s="398">
        <f t="shared" si="279"/>
      </c>
      <c r="CZ144" s="398">
        <f t="shared" si="279"/>
      </c>
      <c r="DA144" s="398">
        <f t="shared" si="279"/>
      </c>
      <c r="DB144" s="398">
        <f t="shared" si="279"/>
      </c>
      <c r="DC144" s="398">
        <f t="shared" si="279"/>
      </c>
      <c r="DD144" s="398">
        <f t="shared" si="279"/>
      </c>
      <c r="DE144" s="398">
        <f t="shared" si="279"/>
      </c>
      <c r="DQ144" s="62"/>
      <c r="DR144" s="62"/>
      <c r="DS144" s="62"/>
      <c r="DU144" s="399"/>
      <c r="DX144" s="49">
        <f t="shared" ref="DX144:EH144" si="280">DX142/DW142-1</f>
      </c>
      <c r="DY144" s="49">
        <f t="shared" si="280"/>
      </c>
      <c r="DZ144" s="49">
        <f t="shared" si="280"/>
      </c>
      <c r="EA144" s="49">
        <f t="shared" si="280"/>
      </c>
      <c r="EB144" s="49">
        <f t="shared" si="280"/>
      </c>
      <c r="EC144" s="49">
        <f t="shared" si="280"/>
      </c>
      <c r="ED144" s="49">
        <f t="shared" si="280"/>
      </c>
      <c r="EE144" s="49">
        <f t="shared" si="280"/>
      </c>
      <c r="EF144" s="341">
        <f t="shared" si="280"/>
      </c>
      <c r="EG144" s="341">
        <f t="shared" si="280"/>
      </c>
      <c r="EH144" s="341">
        <f t="shared" si="280"/>
      </c>
    </row>
    <row r="145" spans="1:140" s="49" customFormat="1" ht="11.25" customHeight="1" outlineLevel="1">
      <c r="A145" s="407" t="s">
        <v>248</v>
      </c>
      <c r="B145" s="404"/>
      <c r="C145" s="404"/>
      <c r="D145" s="404"/>
      <c r="E145" s="404"/>
      <c r="F145" s="404"/>
      <c r="G145" s="404"/>
      <c r="H145" s="404"/>
      <c r="I145" s="404"/>
      <c r="J145" s="404"/>
      <c r="K145" s="404"/>
      <c r="L145" s="404"/>
      <c r="M145" s="404"/>
      <c r="N145" s="404"/>
      <c r="O145" s="404"/>
      <c r="P145" s="404"/>
      <c r="Q145" s="404"/>
      <c r="R145" s="404"/>
      <c r="S145" s="404"/>
      <c r="T145" s="404"/>
      <c r="U145" s="404"/>
      <c r="V145" s="404"/>
      <c r="W145" s="404"/>
      <c r="X145" s="404"/>
      <c r="Y145" s="404"/>
      <c r="Z145" s="404"/>
      <c r="AA145" s="404"/>
      <c r="AB145" s="404"/>
      <c r="AC145" s="404"/>
      <c r="AD145" s="404"/>
      <c r="AE145" s="404"/>
      <c r="AF145" s="404"/>
      <c r="AG145" s="404"/>
      <c r="AH145" s="404"/>
      <c r="AI145" s="404"/>
      <c r="AJ145" s="404"/>
      <c r="AK145" s="404"/>
      <c r="AL145" s="404"/>
      <c r="AM145" s="404"/>
      <c r="AN145" s="404"/>
      <c r="AO145" s="404"/>
      <c r="AP145" s="404"/>
      <c r="AQ145" s="404"/>
      <c r="AR145" s="404"/>
      <c r="AS145" s="404"/>
      <c r="AT145" s="404"/>
      <c r="AU145" s="404"/>
      <c r="AV145" s="404"/>
      <c r="AW145" s="404"/>
      <c r="AX145" s="404"/>
      <c r="AY145" s="404"/>
      <c r="AZ145" s="404"/>
      <c r="BA145" s="404"/>
      <c r="BB145" s="398"/>
      <c r="BC145" s="398"/>
      <c r="BD145" s="398"/>
      <c r="BE145" s="398"/>
      <c r="BF145" s="398"/>
      <c r="BG145" s="398"/>
      <c r="BH145" s="398"/>
      <c r="BI145" s="398"/>
      <c r="BJ145" s="398">
        <f>BJ141</f>
      </c>
      <c r="BK145" s="398">
        <v>0.57499999999999996</v>
      </c>
      <c r="BL145" s="398">
        <v>0.59599999999999997</v>
      </c>
      <c r="BM145" s="398">
        <v>0.59699999999999998</v>
      </c>
      <c r="BN145" s="398">
        <v>0.58699999999999997</v>
      </c>
      <c r="BO145" s="398">
        <v>0.59</v>
      </c>
      <c r="BP145" s="398">
        <v>0.59</v>
      </c>
      <c r="BQ145" s="398">
        <v>0.61499999999999999</v>
      </c>
      <c r="BR145" s="398">
        <v>0.65</v>
      </c>
      <c r="BS145" s="398">
        <v>0.61499999999999999</v>
      </c>
      <c r="BT145" s="398">
        <v>0.57999999999999996</v>
      </c>
      <c r="BU145" s="398">
        <v>0.41499999999999998</v>
      </c>
      <c r="BV145" s="398">
        <v>0.505</v>
      </c>
      <c r="BW145" s="398">
        <v>0.56999999999999995</v>
      </c>
      <c r="BX145" s="398">
        <v>0.63500000000000001</v>
      </c>
      <c r="BY145" s="398">
        <v>0.61499999999999999</v>
      </c>
      <c r="BZ145" s="398">
        <v>0.61</v>
      </c>
      <c r="CA145" s="398">
        <v>0.61</v>
      </c>
      <c r="CB145" s="398">
        <v>0.61499999999999999</v>
      </c>
      <c r="CC145" s="398">
        <v>0.59499999999999997</v>
      </c>
      <c r="CD145" s="398">
        <f>CC145+0.015</f>
      </c>
      <c r="CE145" s="398">
        <v>0.625</v>
      </c>
      <c r="CF145" s="398">
        <v>0.60499999999999998</v>
      </c>
      <c r="CG145" s="398">
        <v>0.6</v>
      </c>
      <c r="CH145" s="398">
        <v>0.6</v>
      </c>
      <c r="CI145" s="398">
        <v>0.157</v>
      </c>
      <c r="CJ145" s="398">
        <v>0.44500000000000001</v>
      </c>
      <c r="CK145" s="398">
        <v>0.55500000000000005</v>
      </c>
      <c r="CL145" s="398">
        <v>0.56799999999999995</v>
      </c>
      <c r="CM145" s="398">
        <v>0.55500000000000005</v>
      </c>
      <c r="CN145" s="398">
        <v>0.56000000000000005</v>
      </c>
      <c r="CO145" s="398">
        <v>0.59</v>
      </c>
      <c r="CP145" s="398">
        <v>0.6</v>
      </c>
      <c r="CQ145" s="398">
        <v>0.58799999999999997</v>
      </c>
      <c r="CR145" s="398">
        <v>0.59</v>
      </c>
      <c r="CS145" s="398">
        <v>0.56999999999999995</v>
      </c>
      <c r="CT145" s="398">
        <v>0.56999999999999995</v>
      </c>
      <c r="CU145" s="398">
        <v>0.6</v>
      </c>
      <c r="CV145" s="398">
        <v>0.6</v>
      </c>
      <c r="CW145" s="398">
        <f t="shared" ref="CW145:DE145" si="281">CV145</f>
      </c>
      <c r="CX145" s="398">
        <f t="shared" si="281"/>
      </c>
      <c r="CY145" s="398">
        <f t="shared" si="281"/>
      </c>
      <c r="CZ145" s="398">
        <f t="shared" si="281"/>
      </c>
      <c r="DA145" s="398">
        <f t="shared" si="281"/>
      </c>
      <c r="DB145" s="398">
        <f t="shared" si="281"/>
      </c>
      <c r="DC145" s="398">
        <f t="shared" si="281"/>
      </c>
      <c r="DD145" s="398">
        <f t="shared" si="281"/>
      </c>
      <c r="DE145" s="398">
        <f t="shared" si="281"/>
      </c>
      <c r="DQ145" s="62"/>
      <c r="DR145" s="62"/>
      <c r="DS145" s="62"/>
      <c r="DW145" s="49">
        <f t="shared" ref="DW145:EH145" si="282">DW142/(DW79+DW87)</f>
      </c>
      <c r="DX145" s="49">
        <f t="shared" si="282"/>
      </c>
      <c r="DY145" s="49">
        <f t="shared" si="282"/>
      </c>
      <c r="DZ145" s="49">
        <f t="shared" si="282"/>
      </c>
      <c r="EA145" s="49">
        <f t="shared" si="282"/>
      </c>
      <c r="EB145" s="49">
        <f t="shared" si="282"/>
      </c>
      <c r="EC145" s="49">
        <f t="shared" si="282"/>
      </c>
      <c r="ED145" s="49">
        <f t="shared" si="282"/>
      </c>
      <c r="EE145" s="49">
        <f t="shared" si="282"/>
      </c>
      <c r="EF145" s="345">
        <f t="shared" si="282"/>
      </c>
      <c r="EG145" s="345">
        <f t="shared" si="282"/>
      </c>
      <c r="EH145" s="345">
        <f t="shared" si="282"/>
      </c>
    </row>
    <row r="146" spans="1:140" s="49" customFormat="1" ht="11.25" customHeight="1" outlineLevel="1">
      <c r="A146" s="346" t="s">
        <v>229</v>
      </c>
      <c r="B146" s="404"/>
      <c r="C146" s="404"/>
      <c r="D146" s="404"/>
      <c r="E146" s="404"/>
      <c r="F146" s="404"/>
      <c r="G146" s="404"/>
      <c r="H146" s="404"/>
      <c r="I146" s="404"/>
      <c r="J146" s="404"/>
      <c r="K146" s="404"/>
      <c r="L146" s="404"/>
      <c r="M146" s="404"/>
      <c r="N146" s="404"/>
      <c r="O146" s="404"/>
      <c r="P146" s="404"/>
      <c r="Q146" s="404"/>
      <c r="R146" s="404"/>
      <c r="S146" s="404"/>
      <c r="T146" s="404"/>
      <c r="U146" s="404"/>
      <c r="V146" s="404"/>
      <c r="W146" s="404"/>
      <c r="X146" s="404"/>
      <c r="Y146" s="404"/>
      <c r="Z146" s="404"/>
      <c r="AA146" s="404"/>
      <c r="AB146" s="404"/>
      <c r="AC146" s="404"/>
      <c r="AD146" s="404"/>
      <c r="AE146" s="404"/>
      <c r="AF146" s="404"/>
      <c r="AG146" s="404"/>
      <c r="AH146" s="404"/>
      <c r="AI146" s="404"/>
      <c r="AJ146" s="404"/>
      <c r="AK146" s="404"/>
      <c r="AL146" s="404"/>
      <c r="AM146" s="404"/>
      <c r="AN146" s="404"/>
      <c r="AO146" s="404"/>
      <c r="AP146" s="404"/>
      <c r="AQ146" s="404"/>
      <c r="AR146" s="404"/>
      <c r="AS146" s="404"/>
      <c r="AT146" s="404"/>
      <c r="AU146" s="404"/>
      <c r="AV146" s="404"/>
      <c r="AW146" s="404"/>
      <c r="AX146" s="404"/>
      <c r="AY146" s="404"/>
      <c r="AZ146" s="404"/>
      <c r="BA146" s="404"/>
      <c r="BB146" s="398"/>
      <c r="BC146" s="398"/>
      <c r="BD146" s="398"/>
      <c r="BE146" s="398"/>
      <c r="BF146" s="398"/>
      <c r="BG146" s="398"/>
      <c r="BH146" s="398"/>
      <c r="BI146" s="398"/>
      <c r="BJ146" s="405"/>
      <c r="BK146" s="399">
        <f t="shared" ref="BK146:DE146" si="283">BK83*BK149</f>
      </c>
      <c r="BL146" s="399">
        <f t="shared" si="283"/>
      </c>
      <c r="BM146" s="399">
        <f t="shared" si="283"/>
      </c>
      <c r="BN146" s="399">
        <f t="shared" si="283"/>
      </c>
      <c r="BO146" s="399">
        <f t="shared" si="283"/>
      </c>
      <c r="BP146" s="399">
        <f t="shared" si="283"/>
      </c>
      <c r="BQ146" s="399">
        <f t="shared" si="283"/>
      </c>
      <c r="BR146" s="399">
        <f t="shared" si="283"/>
      </c>
      <c r="BS146" s="399">
        <f t="shared" si="283"/>
      </c>
      <c r="BT146" s="399">
        <f t="shared" si="283"/>
      </c>
      <c r="BU146" s="399">
        <f t="shared" si="283"/>
      </c>
      <c r="BV146" s="399">
        <f t="shared" si="283"/>
      </c>
      <c r="BW146" s="399">
        <f t="shared" si="283"/>
      </c>
      <c r="BX146" s="399">
        <f t="shared" si="283"/>
      </c>
      <c r="BY146" s="399">
        <f t="shared" si="283"/>
      </c>
      <c r="BZ146" s="399">
        <f t="shared" si="283"/>
      </c>
      <c r="CA146" s="399">
        <f t="shared" si="283"/>
      </c>
      <c r="CB146" s="399">
        <f t="shared" si="283"/>
      </c>
      <c r="CC146" s="399">
        <f t="shared" si="283"/>
      </c>
      <c r="CD146" s="399">
        <f t="shared" si="283"/>
      </c>
      <c r="CE146" s="399">
        <f t="shared" si="283"/>
      </c>
      <c r="CF146" s="399">
        <f t="shared" si="283"/>
      </c>
      <c r="CG146" s="399">
        <f t="shared" si="283"/>
      </c>
      <c r="CH146" s="399">
        <f t="shared" si="283"/>
      </c>
      <c r="CI146" s="399">
        <f t="shared" si="283"/>
      </c>
      <c r="CJ146" s="399">
        <f t="shared" si="283"/>
      </c>
      <c r="CK146" s="399">
        <f t="shared" si="283"/>
      </c>
      <c r="CL146" s="399">
        <f t="shared" si="283"/>
      </c>
      <c r="CM146" s="399">
        <f t="shared" si="283"/>
      </c>
      <c r="CN146" s="399">
        <f t="shared" si="283"/>
      </c>
      <c r="CO146" s="399">
        <f t="shared" si="283"/>
      </c>
      <c r="CP146" s="399">
        <f t="shared" si="283"/>
      </c>
      <c r="CQ146" s="399">
        <f t="shared" si="283"/>
      </c>
      <c r="CR146" s="399">
        <f t="shared" si="283"/>
      </c>
      <c r="CS146" s="399">
        <f t="shared" si="283"/>
      </c>
      <c r="CT146" s="399">
        <f t="shared" si="283"/>
      </c>
      <c r="CU146" s="399">
        <f t="shared" si="283"/>
      </c>
      <c r="CV146" s="405">
        <f t="shared" si="283"/>
      </c>
      <c r="CW146" s="405">
        <f t="shared" si="283"/>
      </c>
      <c r="CX146" s="405">
        <f t="shared" si="283"/>
      </c>
      <c r="CY146" s="405">
        <f t="shared" si="283"/>
      </c>
      <c r="CZ146" s="405">
        <f t="shared" si="283"/>
      </c>
      <c r="DA146" s="405">
        <f t="shared" si="283"/>
      </c>
      <c r="DB146" s="405">
        <f t="shared" si="283"/>
      </c>
      <c r="DC146" s="405">
        <f t="shared" si="283"/>
      </c>
      <c r="DD146" s="405">
        <f t="shared" si="283"/>
      </c>
      <c r="DE146" s="405">
        <f t="shared" si="283"/>
      </c>
      <c r="DH146" s="399"/>
      <c r="DI146" s="399"/>
      <c r="DJ146" s="399"/>
      <c r="DK146" s="399"/>
      <c r="DL146" s="399"/>
      <c r="DM146" s="399"/>
      <c r="DN146" s="399"/>
      <c r="DO146" s="399"/>
      <c r="DP146" s="399"/>
      <c r="DQ146" s="399"/>
      <c r="DR146" s="399"/>
      <c r="DS146" s="399"/>
      <c r="DT146" s="399"/>
      <c r="DU146" s="399"/>
      <c r="DV146" s="399"/>
      <c r="DW146" s="399">
        <f>SUM(BJ146:BM146)</f>
      </c>
      <c r="DX146" s="399">
        <f>SUM(BN146:BQ146)</f>
      </c>
      <c r="DY146" s="399">
        <f>SUM(BR146:BU146)</f>
      </c>
      <c r="DZ146" s="399">
        <f>BV146+BW146+BX146+BY146</f>
      </c>
      <c r="EA146" s="399">
        <f>SUM(BZ146:CC146)</f>
      </c>
      <c r="EB146" s="399">
        <f>+CD146+CE146+CF146+CG146</f>
      </c>
      <c r="EC146" s="399">
        <f>SUM(CH146:CK146)</f>
      </c>
      <c r="ED146" s="399">
        <f>SUM(CL146:CO146)</f>
      </c>
      <c r="EE146" s="399">
        <f>SUM(CP146:CS146)</f>
      </c>
      <c r="EF146" s="405">
        <f>SUM(CT146:CW146)</f>
      </c>
      <c r="EG146" s="338">
        <f>SUM(CX146:DA146)</f>
      </c>
      <c r="EH146" s="338">
        <f>SUM(DB146:DE146)</f>
      </c>
    </row>
    <row r="147" spans="1:140" s="49" customFormat="1" ht="11.25" customHeight="1" outlineLevel="1">
      <c r="A147" s="406" t="s">
        <v>196</v>
      </c>
      <c r="B147" s="404"/>
      <c r="C147" s="404"/>
      <c r="D147" s="404"/>
      <c r="E147" s="404"/>
      <c r="F147" s="404"/>
      <c r="G147" s="404"/>
      <c r="H147" s="404"/>
      <c r="I147" s="404"/>
      <c r="J147" s="404"/>
      <c r="K147" s="404"/>
      <c r="L147" s="404"/>
      <c r="M147" s="404"/>
      <c r="N147" s="404"/>
      <c r="O147" s="404"/>
      <c r="P147" s="404"/>
      <c r="Q147" s="404"/>
      <c r="R147" s="404"/>
      <c r="S147" s="404"/>
      <c r="T147" s="404"/>
      <c r="U147" s="404"/>
      <c r="V147" s="404"/>
      <c r="W147" s="404"/>
      <c r="X147" s="404"/>
      <c r="Y147" s="404"/>
      <c r="Z147" s="404"/>
      <c r="AA147" s="404"/>
      <c r="AB147" s="404"/>
      <c r="AC147" s="404"/>
      <c r="AD147" s="404"/>
      <c r="AE147" s="404"/>
      <c r="AF147" s="404"/>
      <c r="AG147" s="404"/>
      <c r="AH147" s="404"/>
      <c r="AI147" s="404"/>
      <c r="AJ147" s="404"/>
      <c r="AK147" s="404"/>
      <c r="AL147" s="404"/>
      <c r="AM147" s="404"/>
      <c r="AN147" s="404"/>
      <c r="AO147" s="404"/>
      <c r="AP147" s="404"/>
      <c r="AQ147" s="404"/>
      <c r="AR147" s="404"/>
      <c r="AS147" s="404"/>
      <c r="AT147" s="404"/>
      <c r="AU147" s="404"/>
      <c r="AV147" s="404"/>
      <c r="AW147" s="404"/>
      <c r="AX147" s="404"/>
      <c r="AY147" s="404"/>
      <c r="AZ147" s="404"/>
      <c r="BA147" s="404"/>
      <c r="BB147" s="398"/>
      <c r="BL147" s="49">
        <f t="shared" ref="BL147:DE147" si="284">BL146/BK146-1</f>
      </c>
      <c r="BM147" s="49">
        <f t="shared" si="284"/>
      </c>
      <c r="BN147" s="49">
        <f t="shared" si="284"/>
      </c>
      <c r="BO147" s="49">
        <f t="shared" si="284"/>
      </c>
      <c r="BP147" s="49">
        <f t="shared" si="284"/>
      </c>
      <c r="BQ147" s="49">
        <f t="shared" si="284"/>
      </c>
      <c r="BR147" s="49">
        <f t="shared" si="284"/>
      </c>
      <c r="BS147" s="49">
        <f t="shared" si="284"/>
      </c>
      <c r="BT147" s="49">
        <f t="shared" si="284"/>
      </c>
      <c r="BU147" s="49">
        <f t="shared" si="284"/>
      </c>
      <c r="BV147" s="49">
        <f t="shared" si="284"/>
      </c>
      <c r="BW147" s="49">
        <f t="shared" si="284"/>
      </c>
      <c r="BX147" s="49">
        <f t="shared" si="284"/>
      </c>
      <c r="BY147" s="49">
        <f t="shared" si="284"/>
      </c>
      <c r="BZ147" s="49">
        <f t="shared" si="284"/>
      </c>
      <c r="CA147" s="49">
        <f t="shared" si="284"/>
      </c>
      <c r="CB147" s="49">
        <f t="shared" si="284"/>
      </c>
      <c r="CC147" s="49">
        <f t="shared" si="284"/>
      </c>
      <c r="CD147" s="49">
        <f t="shared" si="284"/>
      </c>
      <c r="CE147" s="49">
        <f t="shared" si="284"/>
      </c>
      <c r="CF147" s="49">
        <f t="shared" si="284"/>
      </c>
      <c r="CG147" s="49">
        <f t="shared" si="284"/>
      </c>
      <c r="CH147" s="49">
        <f t="shared" si="284"/>
      </c>
      <c r="CI147" s="49">
        <f t="shared" si="284"/>
      </c>
      <c r="CJ147" s="49">
        <f t="shared" si="284"/>
      </c>
      <c r="CK147" s="49">
        <f t="shared" si="284"/>
      </c>
      <c r="CL147" s="49">
        <f t="shared" si="284"/>
      </c>
      <c r="CM147" s="49">
        <f t="shared" si="284"/>
      </c>
      <c r="CN147" s="49">
        <f t="shared" si="284"/>
      </c>
      <c r="CO147" s="49">
        <f t="shared" si="284"/>
      </c>
      <c r="CP147" s="49">
        <f t="shared" si="284"/>
      </c>
      <c r="CQ147" s="49">
        <f t="shared" si="284"/>
      </c>
      <c r="CR147" s="49">
        <f t="shared" si="284"/>
      </c>
      <c r="CS147" s="49">
        <f t="shared" si="284"/>
      </c>
      <c r="CT147" s="49">
        <f t="shared" si="284"/>
      </c>
      <c r="CU147" s="49">
        <f t="shared" si="284"/>
      </c>
      <c r="CV147" s="341">
        <f t="shared" si="284"/>
      </c>
      <c r="CW147" s="341">
        <f t="shared" si="284"/>
      </c>
      <c r="CX147" s="341">
        <f t="shared" si="284"/>
      </c>
      <c r="CY147" s="341">
        <f t="shared" si="284"/>
      </c>
      <c r="CZ147" s="341">
        <f t="shared" si="284"/>
      </c>
      <c r="DA147" s="341">
        <f t="shared" si="284"/>
      </c>
      <c r="DB147" s="341">
        <f t="shared" si="284"/>
      </c>
      <c r="DC147" s="341">
        <f t="shared" si="284"/>
      </c>
      <c r="DD147" s="341">
        <f t="shared" si="284"/>
      </c>
      <c r="DE147" s="341">
        <f t="shared" si="284"/>
      </c>
      <c r="DH147" s="342" t="s">
        <v>197</v>
      </c>
      <c r="DI147" s="342" t="s">
        <v>197</v>
      </c>
      <c r="DJ147" s="342" t="s">
        <v>197</v>
      </c>
      <c r="DK147" s="342" t="s">
        <v>197</v>
      </c>
      <c r="DL147" s="342" t="s">
        <v>197</v>
      </c>
      <c r="DM147" s="342" t="s">
        <v>197</v>
      </c>
      <c r="DN147" s="342" t="s">
        <v>197</v>
      </c>
      <c r="DO147" s="342" t="s">
        <v>197</v>
      </c>
      <c r="DP147" s="342" t="s">
        <v>197</v>
      </c>
      <c r="DQ147" s="342" t="s">
        <v>197</v>
      </c>
      <c r="DR147" s="342" t="s">
        <v>197</v>
      </c>
      <c r="DS147" s="342" t="s">
        <v>197</v>
      </c>
      <c r="DT147" s="342" t="s">
        <v>197</v>
      </c>
      <c r="DU147" s="342" t="s">
        <v>197</v>
      </c>
      <c r="DV147" s="342" t="s">
        <v>197</v>
      </c>
      <c r="DW147" s="342" t="s">
        <v>197</v>
      </c>
      <c r="DX147" s="342" t="s">
        <v>197</v>
      </c>
      <c r="DY147" s="342" t="s">
        <v>197</v>
      </c>
      <c r="DZ147" s="342" t="s">
        <v>197</v>
      </c>
      <c r="EA147" s="342" t="s">
        <v>197</v>
      </c>
      <c r="EB147" s="342" t="s">
        <v>197</v>
      </c>
      <c r="EC147" s="342" t="s">
        <v>197</v>
      </c>
      <c r="ED147" s="342" t="s">
        <v>197</v>
      </c>
      <c r="EE147" s="342" t="s">
        <v>197</v>
      </c>
      <c r="EF147" s="343" t="s">
        <v>197</v>
      </c>
      <c r="EG147" s="343" t="s">
        <v>197</v>
      </c>
      <c r="EH147" s="343" t="s">
        <v>197</v>
      </c>
    </row>
    <row r="148" spans="1:140" s="49" customFormat="1" ht="11.25" customHeight="1" outlineLevel="1">
      <c r="A148" s="406" t="s">
        <v>198</v>
      </c>
      <c r="B148" s="404"/>
      <c r="C148" s="404"/>
      <c r="D148" s="404"/>
      <c r="E148" s="404"/>
      <c r="F148" s="404"/>
      <c r="G148" s="404"/>
      <c r="H148" s="404"/>
      <c r="I148" s="404"/>
      <c r="J148" s="404"/>
      <c r="K148" s="404"/>
      <c r="L148" s="404"/>
      <c r="M148" s="404"/>
      <c r="N148" s="404"/>
      <c r="O148" s="404"/>
      <c r="P148" s="404"/>
      <c r="Q148" s="404"/>
      <c r="R148" s="404"/>
      <c r="S148" s="404"/>
      <c r="T148" s="404"/>
      <c r="U148" s="404"/>
      <c r="V148" s="404"/>
      <c r="W148" s="404"/>
      <c r="X148" s="404"/>
      <c r="Y148" s="404"/>
      <c r="Z148" s="404"/>
      <c r="AA148" s="404"/>
      <c r="AB148" s="404"/>
      <c r="AC148" s="404"/>
      <c r="AD148" s="404"/>
      <c r="AE148" s="404"/>
      <c r="AF148" s="404"/>
      <c r="AG148" s="404"/>
      <c r="AH148" s="404"/>
      <c r="AI148" s="404"/>
      <c r="AJ148" s="404"/>
      <c r="AK148" s="404"/>
      <c r="AL148" s="404"/>
      <c r="AM148" s="404"/>
      <c r="AN148" s="404"/>
      <c r="AO148" s="404"/>
      <c r="AP148" s="404"/>
      <c r="AQ148" s="404"/>
      <c r="AR148" s="404"/>
      <c r="AS148" s="404"/>
      <c r="AT148" s="404"/>
      <c r="AU148" s="404"/>
      <c r="AV148" s="404"/>
      <c r="AW148" s="404"/>
      <c r="AX148" s="404"/>
      <c r="AY148" s="404"/>
      <c r="AZ148" s="404"/>
      <c r="BA148" s="404"/>
      <c r="BB148" s="398"/>
      <c r="BC148" s="35"/>
      <c r="BD148" s="35"/>
      <c r="BE148" s="35"/>
      <c r="BF148" s="394"/>
      <c r="BG148" s="394"/>
      <c r="BH148" s="394"/>
      <c r="BI148" s="394"/>
      <c r="BJ148" s="394"/>
      <c r="BK148" s="394"/>
      <c r="BL148" s="394"/>
      <c r="BM148" s="394"/>
      <c r="BN148" s="394"/>
      <c r="BO148" s="394">
        <f t="shared" ref="BO148:DE148" si="285">BO146/BK146-1</f>
      </c>
      <c r="BP148" s="394">
        <f t="shared" si="285"/>
      </c>
      <c r="BQ148" s="394">
        <f t="shared" si="285"/>
      </c>
      <c r="BR148" s="394">
        <f t="shared" si="285"/>
      </c>
      <c r="BS148" s="394">
        <f t="shared" si="285"/>
      </c>
      <c r="BT148" s="394">
        <f t="shared" si="285"/>
      </c>
      <c r="BU148" s="394">
        <f t="shared" si="285"/>
      </c>
      <c r="BV148" s="394">
        <f t="shared" si="285"/>
      </c>
      <c r="BW148" s="394">
        <f t="shared" si="285"/>
      </c>
      <c r="BX148" s="394">
        <f t="shared" si="285"/>
      </c>
      <c r="BY148" s="394">
        <f t="shared" si="285"/>
      </c>
      <c r="BZ148" s="394">
        <f t="shared" si="285"/>
      </c>
      <c r="CA148" s="394">
        <f t="shared" si="285"/>
      </c>
      <c r="CB148" s="394">
        <f t="shared" si="285"/>
      </c>
      <c r="CC148" s="394">
        <f t="shared" si="285"/>
      </c>
      <c r="CD148" s="394">
        <f t="shared" si="285"/>
      </c>
      <c r="CE148" s="394">
        <f t="shared" si="285"/>
      </c>
      <c r="CF148" s="394">
        <f t="shared" si="285"/>
      </c>
      <c r="CG148" s="394">
        <f t="shared" si="285"/>
      </c>
      <c r="CH148" s="394">
        <f t="shared" si="285"/>
      </c>
      <c r="CI148" s="394">
        <f t="shared" si="285"/>
      </c>
      <c r="CJ148" s="394">
        <f t="shared" si="285"/>
      </c>
      <c r="CK148" s="394">
        <f t="shared" si="285"/>
      </c>
      <c r="CL148" s="394">
        <f t="shared" si="285"/>
      </c>
      <c r="CM148" s="394">
        <f t="shared" si="285"/>
      </c>
      <c r="CN148" s="394">
        <f t="shared" si="285"/>
      </c>
      <c r="CO148" s="394">
        <f t="shared" si="285"/>
      </c>
      <c r="CP148" s="394">
        <f t="shared" si="285"/>
      </c>
      <c r="CQ148" s="394">
        <f t="shared" si="285"/>
      </c>
      <c r="CR148" s="394">
        <f t="shared" si="285"/>
      </c>
      <c r="CS148" s="394">
        <f t="shared" si="285"/>
      </c>
      <c r="CT148" s="394">
        <f t="shared" si="285"/>
      </c>
      <c r="CU148" s="394">
        <f t="shared" si="285"/>
      </c>
      <c r="CV148" s="398">
        <f t="shared" si="285"/>
      </c>
      <c r="CW148" s="398">
        <f t="shared" si="285"/>
      </c>
      <c r="CX148" s="398">
        <f t="shared" si="285"/>
      </c>
      <c r="CY148" s="398">
        <f t="shared" si="285"/>
      </c>
      <c r="CZ148" s="398">
        <f t="shared" si="285"/>
      </c>
      <c r="DA148" s="398">
        <f t="shared" si="285"/>
      </c>
      <c r="DB148" s="398">
        <f t="shared" si="285"/>
      </c>
      <c r="DC148" s="398">
        <f t="shared" si="285"/>
      </c>
      <c r="DD148" s="398">
        <f t="shared" si="285"/>
      </c>
      <c r="DE148" s="398">
        <f t="shared" si="285"/>
      </c>
      <c r="DQ148" s="62"/>
      <c r="DR148" s="62"/>
      <c r="DS148" s="62"/>
      <c r="DU148" s="399"/>
      <c r="DX148" s="49">
        <f t="shared" ref="DX148:EH148" si="286">DX146/DW146-1</f>
      </c>
      <c r="DY148" s="49">
        <f t="shared" si="286"/>
      </c>
      <c r="DZ148" s="49">
        <f t="shared" si="286"/>
      </c>
      <c r="EA148" s="49">
        <f t="shared" si="286"/>
      </c>
      <c r="EB148" s="49">
        <f t="shared" si="286"/>
      </c>
      <c r="EC148" s="49">
        <f t="shared" si="286"/>
      </c>
      <c r="ED148" s="49">
        <f t="shared" si="286"/>
      </c>
      <c r="EE148" s="49">
        <f t="shared" si="286"/>
      </c>
      <c r="EF148" s="341">
        <f t="shared" si="286"/>
      </c>
      <c r="EG148" s="341">
        <f t="shared" si="286"/>
      </c>
      <c r="EH148" s="341">
        <f t="shared" si="286"/>
      </c>
    </row>
    <row r="149" spans="1:140" s="49" customFormat="1" ht="11.25" customHeight="1" outlineLevel="1">
      <c r="A149" s="407" t="s">
        <v>248</v>
      </c>
      <c r="B149" s="404"/>
      <c r="C149" s="404"/>
      <c r="D149" s="404"/>
      <c r="E149" s="404"/>
      <c r="F149" s="404"/>
      <c r="G149" s="404"/>
      <c r="H149" s="404"/>
      <c r="I149" s="404"/>
      <c r="J149" s="404"/>
      <c r="K149" s="404"/>
      <c r="L149" s="404"/>
      <c r="M149" s="404"/>
      <c r="N149" s="404"/>
      <c r="O149" s="404"/>
      <c r="P149" s="404"/>
      <c r="Q149" s="404"/>
      <c r="R149" s="404"/>
      <c r="S149" s="404"/>
      <c r="T149" s="404"/>
      <c r="U149" s="404"/>
      <c r="V149" s="404"/>
      <c r="W149" s="404"/>
      <c r="X149" s="404"/>
      <c r="Y149" s="404"/>
      <c r="Z149" s="404"/>
      <c r="AA149" s="404"/>
      <c r="AB149" s="404"/>
      <c r="AC149" s="404"/>
      <c r="AD149" s="404"/>
      <c r="AE149" s="404"/>
      <c r="AF149" s="404"/>
      <c r="AG149" s="404"/>
      <c r="AH149" s="404"/>
      <c r="AI149" s="404"/>
      <c r="AJ149" s="404"/>
      <c r="AK149" s="404"/>
      <c r="AL149" s="404"/>
      <c r="AM149" s="404"/>
      <c r="AN149" s="404"/>
      <c r="AO149" s="404"/>
      <c r="AP149" s="404"/>
      <c r="AQ149" s="404"/>
      <c r="AR149" s="404"/>
      <c r="AS149" s="404"/>
      <c r="AT149" s="404"/>
      <c r="AU149" s="404"/>
      <c r="AV149" s="404"/>
      <c r="AW149" s="404"/>
      <c r="AX149" s="404"/>
      <c r="AY149" s="404"/>
      <c r="AZ149" s="404"/>
      <c r="BA149" s="404"/>
      <c r="BB149" s="398"/>
      <c r="BC149" s="398"/>
      <c r="BD149" s="398"/>
      <c r="BE149" s="398"/>
      <c r="BF149" s="398"/>
      <c r="BG149" s="398"/>
      <c r="BH149" s="398"/>
      <c r="BI149" s="398"/>
      <c r="BJ149" s="398"/>
      <c r="BK149" s="398">
        <v>0.42</v>
      </c>
      <c r="BL149" s="398">
        <v>0.42</v>
      </c>
      <c r="BM149" s="398">
        <v>0.42</v>
      </c>
      <c r="BN149" s="398">
        <v>0.42</v>
      </c>
      <c r="BO149" s="398">
        <f t="shared" ref="BO149:BY149" si="287">BN149</f>
      </c>
      <c r="BP149" s="398">
        <f t="shared" si="287"/>
      </c>
      <c r="BQ149" s="398">
        <f t="shared" si="287"/>
      </c>
      <c r="BR149" s="398">
        <v>0.42</v>
      </c>
      <c r="BS149" s="398">
        <f t="shared" si="287"/>
      </c>
      <c r="BT149" s="398">
        <f t="shared" si="287"/>
      </c>
      <c r="BU149" s="398">
        <f t="shared" si="287"/>
      </c>
      <c r="BV149" s="398">
        <v>0.42</v>
      </c>
      <c r="BW149" s="398">
        <f t="shared" si="287"/>
      </c>
      <c r="BX149" s="398">
        <f t="shared" si="287"/>
      </c>
      <c r="BY149" s="398">
        <f t="shared" si="287"/>
      </c>
      <c r="BZ149" s="398">
        <v>0.42</v>
      </c>
      <c r="CA149" s="398">
        <f>BZ149</f>
      </c>
      <c r="CB149" s="398">
        <v>0.42</v>
      </c>
      <c r="CC149" s="398">
        <f>CB149</f>
      </c>
      <c r="CD149" s="398">
        <f>CC149</f>
      </c>
      <c r="CE149" s="398">
        <f>CD149</f>
      </c>
      <c r="CF149" s="398">
        <v>0.42</v>
      </c>
      <c r="CG149" s="398">
        <v>0.4</v>
      </c>
      <c r="CH149" s="398">
        <v>0.4</v>
      </c>
      <c r="CI149" s="398">
        <v>0.37</v>
      </c>
      <c r="CJ149" s="398">
        <v>0.37</v>
      </c>
      <c r="CK149" s="398">
        <v>0.4</v>
      </c>
      <c r="CL149" s="398">
        <v>0.4</v>
      </c>
      <c r="CM149" s="398">
        <v>0.4</v>
      </c>
      <c r="CN149" s="398">
        <v>0.4</v>
      </c>
      <c r="CO149" s="398">
        <f>CN149</f>
      </c>
      <c r="CP149" s="398">
        <v>0.4</v>
      </c>
      <c r="CQ149" s="398">
        <v>0.4</v>
      </c>
      <c r="CR149" s="398">
        <f t="shared" ref="CR149:DE149" si="288">CQ149</f>
      </c>
      <c r="CS149" s="398">
        <f t="shared" si="288"/>
      </c>
      <c r="CT149" s="398">
        <f t="shared" si="288"/>
      </c>
      <c r="CU149" s="398">
        <f t="shared" si="288"/>
      </c>
      <c r="CV149" s="398">
        <f t="shared" si="288"/>
      </c>
      <c r="CW149" s="398">
        <f t="shared" si="288"/>
      </c>
      <c r="CX149" s="398">
        <f t="shared" si="288"/>
      </c>
      <c r="CY149" s="398">
        <f t="shared" si="288"/>
      </c>
      <c r="CZ149" s="398">
        <f t="shared" si="288"/>
      </c>
      <c r="DA149" s="398">
        <f t="shared" si="288"/>
      </c>
      <c r="DB149" s="398">
        <f t="shared" si="288"/>
      </c>
      <c r="DC149" s="398">
        <f t="shared" si="288"/>
      </c>
      <c r="DD149" s="398">
        <f t="shared" si="288"/>
      </c>
      <c r="DE149" s="398">
        <f t="shared" si="288"/>
      </c>
      <c r="DQ149" s="62"/>
      <c r="DR149" s="62"/>
      <c r="DS149" s="62"/>
      <c r="DW149" s="49">
        <f t="shared" ref="DW149:EH149" si="289">DW146/DW83</f>
      </c>
      <c r="DX149" s="49">
        <f t="shared" si="289"/>
      </c>
      <c r="DY149" s="49">
        <f t="shared" si="289"/>
      </c>
      <c r="DZ149" s="49">
        <f t="shared" si="289"/>
      </c>
      <c r="EA149" s="49">
        <f t="shared" si="289"/>
      </c>
      <c r="EB149" s="49">
        <f t="shared" si="289"/>
      </c>
      <c r="EC149" s="49">
        <f t="shared" si="289"/>
      </c>
      <c r="ED149" s="49">
        <f t="shared" si="289"/>
      </c>
      <c r="EE149" s="49">
        <f t="shared" si="289"/>
      </c>
      <c r="EF149" s="345">
        <f t="shared" si="289"/>
      </c>
      <c r="EG149" s="345">
        <f t="shared" si="289"/>
      </c>
      <c r="EH149" s="345">
        <f t="shared" si="289"/>
      </c>
    </row>
    <row r="150" spans="1:140" s="47" customFormat="1" ht="11.25" customHeight="1">
      <c r="A150" s="35" t="s">
        <v>250</v>
      </c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  <c r="AH150" s="35"/>
      <c r="AI150" s="35"/>
      <c r="AJ150" s="35"/>
      <c r="AK150" s="35"/>
      <c r="AL150" s="35"/>
      <c r="AM150" s="35"/>
      <c r="AN150" s="35"/>
      <c r="AO150" s="35"/>
      <c r="AP150" s="35"/>
      <c r="AQ150" s="35"/>
      <c r="AR150" s="35"/>
      <c r="AS150" s="35"/>
      <c r="AT150" s="35"/>
      <c r="AU150" s="35"/>
      <c r="AV150" s="35"/>
      <c r="AW150" s="35"/>
      <c r="AX150" s="35"/>
      <c r="AY150" s="35"/>
      <c r="AZ150" s="35"/>
      <c r="BA150" s="35"/>
      <c r="BB150" s="35">
        <f t="shared" ref="BB150:CG150" si="290">BB91*BB153</f>
      </c>
      <c r="BC150" s="35">
        <f t="shared" si="290"/>
      </c>
      <c r="BD150" s="35">
        <f t="shared" si="290"/>
      </c>
      <c r="BE150" s="35">
        <f t="shared" si="290"/>
      </c>
      <c r="BF150" s="35">
        <f t="shared" si="290"/>
      </c>
      <c r="BG150" s="35">
        <f t="shared" si="290"/>
      </c>
      <c r="BH150" s="35">
        <f t="shared" si="290"/>
      </c>
      <c r="BI150" s="35">
        <f t="shared" si="290"/>
      </c>
      <c r="BJ150" s="35">
        <f t="shared" si="290"/>
      </c>
      <c r="BK150" s="35">
        <f t="shared" si="290"/>
      </c>
      <c r="BL150" s="35">
        <f t="shared" si="290"/>
      </c>
      <c r="BM150" s="35">
        <f t="shared" si="290"/>
      </c>
      <c r="BN150" s="35">
        <f t="shared" si="290"/>
      </c>
      <c r="BO150" s="35">
        <f t="shared" si="290"/>
      </c>
      <c r="BP150" s="35">
        <f t="shared" si="290"/>
      </c>
      <c r="BQ150" s="35">
        <f t="shared" si="290"/>
      </c>
      <c r="BR150" s="35">
        <f t="shared" si="290"/>
      </c>
      <c r="BS150" s="35">
        <f t="shared" si="290"/>
      </c>
      <c r="BT150" s="35">
        <f t="shared" si="290"/>
      </c>
      <c r="BU150" s="35">
        <f t="shared" si="290"/>
      </c>
      <c r="BV150" s="35">
        <f t="shared" si="290"/>
      </c>
      <c r="BW150" s="35">
        <f t="shared" si="290"/>
      </c>
      <c r="BX150" s="35">
        <f t="shared" si="290"/>
      </c>
      <c r="BY150" s="35">
        <f t="shared" si="290"/>
      </c>
      <c r="BZ150" s="35">
        <f t="shared" si="290"/>
      </c>
      <c r="CA150" s="35">
        <f t="shared" si="290"/>
      </c>
      <c r="CB150" s="35">
        <f t="shared" si="290"/>
      </c>
      <c r="CC150" s="35">
        <f t="shared" si="290"/>
      </c>
      <c r="CD150" s="35">
        <f t="shared" si="290"/>
      </c>
      <c r="CE150" s="35">
        <f t="shared" si="290"/>
      </c>
      <c r="CF150" s="35">
        <f t="shared" si="290"/>
      </c>
      <c r="CG150" s="35">
        <f t="shared" si="290"/>
      </c>
      <c r="CH150" s="35">
        <f t="shared" ref="CH150:DE150" si="291">CH91*CH153</f>
      </c>
      <c r="CI150" s="35">
        <f t="shared" si="291"/>
      </c>
      <c r="CJ150" s="35">
        <f t="shared" si="291"/>
      </c>
      <c r="CK150" s="35">
        <f t="shared" si="291"/>
      </c>
      <c r="CL150" s="35">
        <f t="shared" si="291"/>
      </c>
      <c r="CM150" s="35">
        <f t="shared" si="291"/>
      </c>
      <c r="CN150" s="35">
        <f t="shared" si="291"/>
      </c>
      <c r="CO150" s="35">
        <f t="shared" si="291"/>
      </c>
      <c r="CP150" s="35">
        <f t="shared" si="291"/>
      </c>
      <c r="CQ150" s="35">
        <f t="shared" si="291"/>
      </c>
      <c r="CR150" s="35">
        <f t="shared" si="291"/>
      </c>
      <c r="CS150" s="35">
        <f t="shared" si="291"/>
      </c>
      <c r="CT150" s="35">
        <f t="shared" si="291"/>
      </c>
      <c r="CU150" s="35">
        <f t="shared" si="291"/>
      </c>
      <c r="CV150" s="338">
        <f t="shared" si="291"/>
      </c>
      <c r="CW150" s="338">
        <f t="shared" si="291"/>
      </c>
      <c r="CX150" s="338">
        <f t="shared" si="291"/>
      </c>
      <c r="CY150" s="338">
        <f t="shared" si="291"/>
      </c>
      <c r="CZ150" s="338">
        <f t="shared" si="291"/>
      </c>
      <c r="DA150" s="338">
        <f t="shared" si="291"/>
      </c>
      <c r="DB150" s="338">
        <f t="shared" si="291"/>
      </c>
      <c r="DC150" s="338">
        <f t="shared" si="291"/>
      </c>
      <c r="DD150" s="338">
        <f t="shared" si="291"/>
      </c>
      <c r="DE150" s="338">
        <f t="shared" si="291"/>
      </c>
      <c r="DQ150" s="35"/>
      <c r="DR150" s="35"/>
      <c r="DS150" s="35"/>
      <c r="DT150" s="35"/>
      <c r="DU150" s="35">
        <f>SUM(BB150:BE150)</f>
      </c>
      <c r="DV150" s="35">
        <f>SUM(BF150:BI150)</f>
      </c>
      <c r="DW150" s="35">
        <f>SUM(BJ150:BM150)</f>
      </c>
      <c r="DX150" s="35">
        <f>SUM(BN150:BQ150)</f>
      </c>
      <c r="DY150" s="35">
        <f>SUM(BR150:BU150)</f>
      </c>
      <c r="DZ150" s="35">
        <f>BV150+BW150+BX150+BY150</f>
      </c>
      <c r="EA150" s="35">
        <f>SUM(BZ150:CC150)</f>
      </c>
      <c r="EB150" s="35">
        <f>+CD150+CE150+CF150+CG150</f>
      </c>
      <c r="EC150" s="35">
        <f>SUM(CH150:CK150)</f>
      </c>
      <c r="ED150" s="35">
        <f>SUM(CL150:CO150)</f>
      </c>
      <c r="EE150" s="35">
        <f>SUM(CP150:CS150)</f>
      </c>
      <c r="EF150" s="338">
        <f>SUM(CT150:CW150)</f>
      </c>
      <c r="EG150" s="338">
        <f>SUM(CX150:DA150)</f>
      </c>
      <c r="EH150" s="338">
        <f>SUM(DB150:DE150)</f>
      </c>
    </row>
    <row r="151" spans="1:140" s="47" customFormat="1" ht="11.25" customHeight="1">
      <c r="A151" s="372" t="s">
        <v>196</v>
      </c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  <c r="AH151" s="35"/>
      <c r="AI151" s="35"/>
      <c r="AJ151" s="35"/>
      <c r="AK151" s="35"/>
      <c r="AL151" s="35"/>
      <c r="AM151" s="35"/>
      <c r="AN151" s="35"/>
      <c r="AO151" s="35"/>
      <c r="AP151" s="35"/>
      <c r="AQ151" s="35"/>
      <c r="AR151" s="35"/>
      <c r="AS151" s="35"/>
      <c r="AT151" s="35"/>
      <c r="AU151" s="35"/>
      <c r="AV151" s="35"/>
      <c r="AW151" s="35"/>
      <c r="AX151" s="35"/>
      <c r="AY151" s="35"/>
      <c r="AZ151" s="35"/>
      <c r="BA151" s="35"/>
      <c r="BB151" s="35"/>
      <c r="BC151" s="49">
        <f t="shared" ref="BC151:DE151" si="292">BC150/BB150-1</f>
      </c>
      <c r="BD151" s="49">
        <f t="shared" si="292"/>
      </c>
      <c r="BE151" s="49">
        <f t="shared" si="292"/>
      </c>
      <c r="BF151" s="49">
        <f t="shared" si="292"/>
      </c>
      <c r="BG151" s="49">
        <f t="shared" si="292"/>
      </c>
      <c r="BH151" s="49">
        <f t="shared" si="292"/>
      </c>
      <c r="BI151" s="49">
        <f t="shared" si="292"/>
      </c>
      <c r="BJ151" s="49">
        <f t="shared" si="292"/>
      </c>
      <c r="BK151" s="49">
        <f t="shared" si="292"/>
      </c>
      <c r="BL151" s="49">
        <f t="shared" si="292"/>
      </c>
      <c r="BM151" s="49">
        <f t="shared" si="292"/>
      </c>
      <c r="BN151" s="49">
        <f t="shared" si="292"/>
      </c>
      <c r="BO151" s="49">
        <f t="shared" si="292"/>
      </c>
      <c r="BP151" s="49">
        <f t="shared" si="292"/>
      </c>
      <c r="BQ151" s="49">
        <f t="shared" si="292"/>
      </c>
      <c r="BR151" s="49">
        <f t="shared" si="292"/>
      </c>
      <c r="BS151" s="49">
        <f t="shared" si="292"/>
      </c>
      <c r="BT151" s="49">
        <f t="shared" si="292"/>
      </c>
      <c r="BU151" s="49">
        <f t="shared" si="292"/>
      </c>
      <c r="BV151" s="49">
        <f t="shared" si="292"/>
      </c>
      <c r="BW151" s="49">
        <f t="shared" si="292"/>
      </c>
      <c r="BX151" s="49">
        <f t="shared" si="292"/>
      </c>
      <c r="BY151" s="49">
        <f t="shared" si="292"/>
      </c>
      <c r="BZ151" s="49">
        <f t="shared" si="292"/>
      </c>
      <c r="CA151" s="49">
        <f t="shared" si="292"/>
      </c>
      <c r="CB151" s="49">
        <f t="shared" si="292"/>
      </c>
      <c r="CC151" s="49">
        <f t="shared" si="292"/>
      </c>
      <c r="CD151" s="49">
        <f t="shared" si="292"/>
      </c>
      <c r="CE151" s="49">
        <f t="shared" si="292"/>
      </c>
      <c r="CF151" s="49">
        <f t="shared" si="292"/>
      </c>
      <c r="CG151" s="49">
        <f t="shared" si="292"/>
      </c>
      <c r="CH151" s="49">
        <f t="shared" si="292"/>
      </c>
      <c r="CI151" s="49">
        <f t="shared" si="292"/>
      </c>
      <c r="CJ151" s="49">
        <f t="shared" si="292"/>
      </c>
      <c r="CK151" s="49">
        <f t="shared" si="292"/>
      </c>
      <c r="CL151" s="49">
        <f t="shared" si="292"/>
      </c>
      <c r="CM151" s="49">
        <f t="shared" si="292"/>
      </c>
      <c r="CN151" s="49">
        <f t="shared" si="292"/>
      </c>
      <c r="CO151" s="49">
        <f t="shared" si="292"/>
      </c>
      <c r="CP151" s="49">
        <f t="shared" si="292"/>
      </c>
      <c r="CQ151" s="49">
        <f t="shared" si="292"/>
      </c>
      <c r="CR151" s="49">
        <f t="shared" si="292"/>
      </c>
      <c r="CS151" s="49">
        <f t="shared" si="292"/>
      </c>
      <c r="CT151" s="49">
        <f t="shared" si="292"/>
      </c>
      <c r="CU151" s="49">
        <f t="shared" si="292"/>
      </c>
      <c r="CV151" s="341">
        <f t="shared" si="292"/>
      </c>
      <c r="CW151" s="341">
        <f t="shared" si="292"/>
      </c>
      <c r="CX151" s="341">
        <f t="shared" si="292"/>
      </c>
      <c r="CY151" s="341">
        <f t="shared" si="292"/>
      </c>
      <c r="CZ151" s="341">
        <f t="shared" si="292"/>
      </c>
      <c r="DA151" s="341">
        <f t="shared" si="292"/>
      </c>
      <c r="DB151" s="341">
        <f t="shared" si="292"/>
      </c>
      <c r="DC151" s="341">
        <f t="shared" si="292"/>
      </c>
      <c r="DD151" s="341">
        <f t="shared" si="292"/>
      </c>
      <c r="DE151" s="341">
        <f t="shared" si="292"/>
      </c>
      <c r="DH151" s="342" t="s">
        <v>197</v>
      </c>
      <c r="DI151" s="342" t="s">
        <v>197</v>
      </c>
      <c r="DJ151" s="342" t="s">
        <v>197</v>
      </c>
      <c r="DK151" s="342" t="s">
        <v>197</v>
      </c>
      <c r="DL151" s="342" t="s">
        <v>197</v>
      </c>
      <c r="DM151" s="342" t="s">
        <v>197</v>
      </c>
      <c r="DN151" s="342" t="s">
        <v>197</v>
      </c>
      <c r="DO151" s="342" t="s">
        <v>197</v>
      </c>
      <c r="DP151" s="342" t="s">
        <v>197</v>
      </c>
      <c r="DQ151" s="342" t="s">
        <v>197</v>
      </c>
      <c r="DR151" s="342" t="s">
        <v>197</v>
      </c>
      <c r="DS151" s="342" t="s">
        <v>197</v>
      </c>
      <c r="DT151" s="342" t="s">
        <v>197</v>
      </c>
      <c r="DU151" s="342" t="s">
        <v>197</v>
      </c>
      <c r="DV151" s="342" t="s">
        <v>197</v>
      </c>
      <c r="DW151" s="342" t="s">
        <v>197</v>
      </c>
      <c r="DX151" s="342" t="s">
        <v>197</v>
      </c>
      <c r="DY151" s="342" t="s">
        <v>197</v>
      </c>
      <c r="DZ151" s="342" t="s">
        <v>197</v>
      </c>
      <c r="EA151" s="342" t="s">
        <v>197</v>
      </c>
      <c r="EB151" s="342" t="s">
        <v>197</v>
      </c>
      <c r="EC151" s="342" t="s">
        <v>197</v>
      </c>
      <c r="ED151" s="342" t="s">
        <v>197</v>
      </c>
      <c r="EE151" s="342" t="s">
        <v>197</v>
      </c>
      <c r="EF151" s="343" t="s">
        <v>197</v>
      </c>
      <c r="EG151" s="343" t="s">
        <v>197</v>
      </c>
      <c r="EH151" s="343" t="s">
        <v>197</v>
      </c>
    </row>
    <row r="152" spans="1:140" s="47" customFormat="1" ht="11.25" customHeight="1">
      <c r="A152" s="372" t="s">
        <v>198</v>
      </c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  <c r="AH152" s="35"/>
      <c r="AI152" s="35"/>
      <c r="AJ152" s="35"/>
      <c r="AK152" s="35"/>
      <c r="AL152" s="35"/>
      <c r="AM152" s="35"/>
      <c r="AN152" s="35"/>
      <c r="AO152" s="35"/>
      <c r="AP152" s="35"/>
      <c r="AQ152" s="35"/>
      <c r="AR152" s="35"/>
      <c r="AS152" s="35"/>
      <c r="AT152" s="35"/>
      <c r="AU152" s="35"/>
      <c r="AV152" s="35"/>
      <c r="AW152" s="35"/>
      <c r="AX152" s="35"/>
      <c r="AY152" s="35"/>
      <c r="AZ152" s="35"/>
      <c r="BA152" s="35"/>
      <c r="BB152" s="35"/>
      <c r="BC152" s="35"/>
      <c r="BD152" s="35"/>
      <c r="BE152" s="35"/>
      <c r="BF152" s="394">
        <f t="shared" ref="BF152:DE152" si="293">BF150/BB150-1</f>
      </c>
      <c r="BG152" s="394">
        <f t="shared" si="293"/>
      </c>
      <c r="BH152" s="394">
        <f t="shared" si="293"/>
      </c>
      <c r="BI152" s="394">
        <f t="shared" si="293"/>
      </c>
      <c r="BJ152" s="394">
        <f t="shared" si="293"/>
      </c>
      <c r="BK152" s="394">
        <f t="shared" si="293"/>
      </c>
      <c r="BL152" s="394">
        <f t="shared" si="293"/>
      </c>
      <c r="BM152" s="394">
        <f t="shared" si="293"/>
      </c>
      <c r="BN152" s="394">
        <f t="shared" si="293"/>
      </c>
      <c r="BO152" s="394">
        <f t="shared" si="293"/>
      </c>
      <c r="BP152" s="394">
        <f t="shared" si="293"/>
      </c>
      <c r="BQ152" s="394">
        <f t="shared" si="293"/>
      </c>
      <c r="BR152" s="394">
        <f t="shared" si="293"/>
      </c>
      <c r="BS152" s="394">
        <f t="shared" si="293"/>
      </c>
      <c r="BT152" s="394">
        <f t="shared" si="293"/>
      </c>
      <c r="BU152" s="394">
        <f t="shared" si="293"/>
      </c>
      <c r="BV152" s="394">
        <f t="shared" si="293"/>
      </c>
      <c r="BW152" s="394">
        <f t="shared" si="293"/>
      </c>
      <c r="BX152" s="394">
        <f t="shared" si="293"/>
      </c>
      <c r="BY152" s="394">
        <f t="shared" si="293"/>
      </c>
      <c r="BZ152" s="394">
        <f t="shared" si="293"/>
      </c>
      <c r="CA152" s="394">
        <f t="shared" si="293"/>
      </c>
      <c r="CB152" s="394">
        <f t="shared" si="293"/>
      </c>
      <c r="CC152" s="394">
        <f t="shared" si="293"/>
      </c>
      <c r="CD152" s="394">
        <f t="shared" si="293"/>
      </c>
      <c r="CE152" s="394">
        <f t="shared" si="293"/>
      </c>
      <c r="CF152" s="394">
        <f t="shared" si="293"/>
      </c>
      <c r="CG152" s="394">
        <f t="shared" si="293"/>
      </c>
      <c r="CH152" s="394">
        <f t="shared" si="293"/>
      </c>
      <c r="CI152" s="394">
        <f t="shared" si="293"/>
      </c>
      <c r="CJ152" s="394">
        <f t="shared" si="293"/>
      </c>
      <c r="CK152" s="394">
        <f t="shared" si="293"/>
      </c>
      <c r="CL152" s="394">
        <f t="shared" si="293"/>
      </c>
      <c r="CM152" s="394">
        <f t="shared" si="293"/>
      </c>
      <c r="CN152" s="394">
        <f t="shared" si="293"/>
      </c>
      <c r="CO152" s="394">
        <f t="shared" si="293"/>
      </c>
      <c r="CP152" s="394">
        <f t="shared" si="293"/>
      </c>
      <c r="CQ152" s="394">
        <f t="shared" si="293"/>
      </c>
      <c r="CR152" s="394">
        <f t="shared" si="293"/>
      </c>
      <c r="CS152" s="394">
        <f t="shared" si="293"/>
      </c>
      <c r="CT152" s="394">
        <f t="shared" si="293"/>
      </c>
      <c r="CU152" s="394">
        <f t="shared" si="293"/>
      </c>
      <c r="CV152" s="398">
        <f t="shared" si="293"/>
      </c>
      <c r="CW152" s="398">
        <f t="shared" si="293"/>
      </c>
      <c r="CX152" s="398">
        <f t="shared" si="293"/>
      </c>
      <c r="CY152" s="398">
        <f t="shared" si="293"/>
      </c>
      <c r="CZ152" s="398">
        <f t="shared" si="293"/>
      </c>
      <c r="DA152" s="398">
        <f t="shared" si="293"/>
      </c>
      <c r="DB152" s="398">
        <f t="shared" si="293"/>
      </c>
      <c r="DC152" s="398">
        <f t="shared" si="293"/>
      </c>
      <c r="DD152" s="398">
        <f t="shared" si="293"/>
      </c>
      <c r="DE152" s="398">
        <f t="shared" si="293"/>
      </c>
      <c r="DQ152" s="35"/>
      <c r="DR152" s="35"/>
      <c r="DS152" s="35"/>
      <c r="DT152" s="35"/>
      <c r="DU152" s="35"/>
      <c r="DV152" s="49">
        <f t="shared" ref="DV152:EH152" si="294">DV150/DU150-1</f>
      </c>
      <c r="DW152" s="49">
        <f t="shared" si="294"/>
      </c>
      <c r="DX152" s="49">
        <f t="shared" si="294"/>
      </c>
      <c r="DY152" s="49">
        <f t="shared" si="294"/>
      </c>
      <c r="DZ152" s="49">
        <f t="shared" si="294"/>
      </c>
      <c r="EA152" s="49">
        <f t="shared" si="294"/>
      </c>
      <c r="EB152" s="49">
        <f t="shared" si="294"/>
      </c>
      <c r="EC152" s="49">
        <f t="shared" si="294"/>
      </c>
      <c r="ED152" s="49">
        <f t="shared" si="294"/>
      </c>
      <c r="EE152" s="49">
        <f t="shared" si="294"/>
      </c>
      <c r="EF152" s="341">
        <f t="shared" si="294"/>
      </c>
      <c r="EG152" s="341">
        <f t="shared" si="294"/>
      </c>
      <c r="EH152" s="341">
        <f t="shared" si="294"/>
      </c>
    </row>
    <row r="153" spans="1:140" s="49" customFormat="1" ht="11.25" customHeight="1">
      <c r="A153" s="403" t="s">
        <v>248</v>
      </c>
      <c r="B153" s="404"/>
      <c r="C153" s="404"/>
      <c r="D153" s="404"/>
      <c r="E153" s="404"/>
      <c r="F153" s="404"/>
      <c r="G153" s="404"/>
      <c r="H153" s="404"/>
      <c r="I153" s="404"/>
      <c r="J153" s="404"/>
      <c r="K153" s="404"/>
      <c r="L153" s="404"/>
      <c r="M153" s="404"/>
      <c r="N153" s="404"/>
      <c r="O153" s="404"/>
      <c r="P153" s="404"/>
      <c r="Q153" s="404"/>
      <c r="R153" s="404"/>
      <c r="S153" s="404"/>
      <c r="T153" s="404"/>
      <c r="U153" s="404"/>
      <c r="V153" s="404"/>
      <c r="W153" s="404"/>
      <c r="X153" s="404"/>
      <c r="Y153" s="404"/>
      <c r="Z153" s="404"/>
      <c r="AA153" s="404"/>
      <c r="AB153" s="404"/>
      <c r="AC153" s="404"/>
      <c r="AD153" s="404"/>
      <c r="AE153" s="404"/>
      <c r="AF153" s="404"/>
      <c r="AG153" s="404"/>
      <c r="AH153" s="404"/>
      <c r="AI153" s="404"/>
      <c r="AJ153" s="404"/>
      <c r="AK153" s="404"/>
      <c r="AL153" s="404"/>
      <c r="AM153" s="404"/>
      <c r="AN153" s="404"/>
      <c r="AO153" s="404"/>
      <c r="AP153" s="404"/>
      <c r="AQ153" s="404"/>
      <c r="AR153" s="404"/>
      <c r="AS153" s="404"/>
      <c r="AT153" s="404"/>
      <c r="AU153" s="404"/>
      <c r="AV153" s="404"/>
      <c r="AW153" s="404"/>
      <c r="AX153" s="404"/>
      <c r="AY153" s="404"/>
      <c r="AZ153" s="404"/>
      <c r="BA153" s="404"/>
      <c r="BB153" s="398">
        <f>BB141*1.3</f>
      </c>
      <c r="BC153" s="398">
        <f>BC141*1.3</f>
      </c>
      <c r="BD153" s="398">
        <f>BD141*1.3</f>
      </c>
      <c r="BE153" s="398">
        <f>BE141*1.2</f>
      </c>
      <c r="BF153" s="398">
        <f>BF141*1.15</f>
      </c>
      <c r="BG153" s="398">
        <f>BG141*1.15</f>
      </c>
      <c r="BH153" s="398">
        <f>BH141*1.15</f>
      </c>
      <c r="BI153" s="398">
        <f>BI141*1.15</f>
      </c>
      <c r="BJ153" s="398">
        <f>BJ141*1.1</f>
      </c>
      <c r="BK153" s="398">
        <v>0.64</v>
      </c>
      <c r="BL153" s="398">
        <v>0.64500000000000002</v>
      </c>
      <c r="BM153" s="398">
        <v>0.65</v>
      </c>
      <c r="BN153" s="398">
        <v>0.65</v>
      </c>
      <c r="BO153" s="398">
        <f>BN153</f>
      </c>
      <c r="BP153" s="398">
        <v>0.66</v>
      </c>
      <c r="BQ153" s="398">
        <v>0.67</v>
      </c>
      <c r="BR153" s="398">
        <v>0.68</v>
      </c>
      <c r="BS153" s="398">
        <v>0.67500000000000004</v>
      </c>
      <c r="BT153" s="398">
        <v>0.67500000000000004</v>
      </c>
      <c r="BU153" s="398">
        <f>BT153+0.005</f>
      </c>
      <c r="BV153" s="398">
        <f>BU153+0.005</f>
      </c>
      <c r="BW153" s="398">
        <f>BV153+0.005</f>
      </c>
      <c r="BX153" s="398">
        <f>BW153+0.005</f>
      </c>
      <c r="BY153" s="398">
        <f t="shared" ref="BY153:CF153" si="295">BX153</f>
      </c>
      <c r="BZ153" s="398">
        <f t="shared" si="295"/>
      </c>
      <c r="CA153" s="398">
        <f t="shared" si="295"/>
      </c>
      <c r="CB153" s="398">
        <f t="shared" si="295"/>
      </c>
      <c r="CC153" s="398">
        <f t="shared" si="295"/>
      </c>
      <c r="CD153" s="398">
        <f t="shared" si="295"/>
      </c>
      <c r="CE153" s="398">
        <f t="shared" si="295"/>
      </c>
      <c r="CF153" s="398">
        <f t="shared" si="295"/>
      </c>
      <c r="CG153" s="398">
        <v>0.7</v>
      </c>
      <c r="CH153" s="398">
        <v>0.69</v>
      </c>
      <c r="CI153" s="398">
        <v>0.65</v>
      </c>
      <c r="CJ153" s="398">
        <v>0.65</v>
      </c>
      <c r="CK153" s="398">
        <v>0.68</v>
      </c>
      <c r="CL153" s="398">
        <v>0.69</v>
      </c>
      <c r="CM153" s="398">
        <v>0.69</v>
      </c>
      <c r="CN153" s="398">
        <v>0.7</v>
      </c>
      <c r="CO153" s="398">
        <v>0.7</v>
      </c>
      <c r="CP153" s="398">
        <v>0.7</v>
      </c>
      <c r="CQ153" s="398">
        <v>0.7</v>
      </c>
      <c r="CR153" s="398">
        <f t="shared" ref="CR153:DE153" si="296">CQ153</f>
      </c>
      <c r="CS153" s="398">
        <f t="shared" si="296"/>
      </c>
      <c r="CT153" s="398">
        <f t="shared" si="296"/>
      </c>
      <c r="CU153" s="398">
        <f t="shared" si="296"/>
      </c>
      <c r="CV153" s="398">
        <f t="shared" si="296"/>
      </c>
      <c r="CW153" s="398">
        <f t="shared" si="296"/>
      </c>
      <c r="CX153" s="398">
        <f t="shared" si="296"/>
      </c>
      <c r="CY153" s="398">
        <f t="shared" si="296"/>
      </c>
      <c r="CZ153" s="398">
        <f t="shared" si="296"/>
      </c>
      <c r="DA153" s="398">
        <f t="shared" si="296"/>
      </c>
      <c r="DB153" s="398">
        <f t="shared" si="296"/>
      </c>
      <c r="DC153" s="398">
        <f t="shared" si="296"/>
      </c>
      <c r="DD153" s="398">
        <f t="shared" si="296"/>
      </c>
      <c r="DE153" s="398">
        <f t="shared" si="296"/>
      </c>
      <c r="DQ153" s="62"/>
      <c r="DR153" s="62"/>
      <c r="DS153" s="62"/>
      <c r="DU153" s="49">
        <f t="shared" ref="DU153:EH153" si="297">DU150/DU91</f>
      </c>
      <c r="DV153" s="49">
        <f t="shared" si="297"/>
      </c>
      <c r="DW153" s="49">
        <f t="shared" si="297"/>
      </c>
      <c r="DX153" s="49">
        <f t="shared" si="297"/>
      </c>
      <c r="DY153" s="49">
        <f t="shared" si="297"/>
      </c>
      <c r="DZ153" s="49">
        <f t="shared" si="297"/>
      </c>
      <c r="EA153" s="49">
        <f t="shared" si="297"/>
      </c>
      <c r="EB153" s="49">
        <f t="shared" si="297"/>
      </c>
      <c r="EC153" s="49">
        <f t="shared" si="297"/>
      </c>
      <c r="ED153" s="49">
        <f t="shared" si="297"/>
      </c>
      <c r="EE153" s="49">
        <f t="shared" si="297"/>
      </c>
      <c r="EF153" s="345">
        <f t="shared" si="297"/>
      </c>
      <c r="EG153" s="345">
        <f t="shared" si="297"/>
      </c>
      <c r="EH153" s="345">
        <f t="shared" si="297"/>
      </c>
    </row>
    <row r="154" spans="1:140" s="47" customFormat="1" ht="11.25" customHeight="1">
      <c r="A154" s="35" t="s">
        <v>233</v>
      </c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  <c r="AH154" s="35"/>
      <c r="AI154" s="35"/>
      <c r="AJ154" s="35"/>
      <c r="AK154" s="35"/>
      <c r="AL154" s="35"/>
      <c r="AM154" s="35"/>
      <c r="AN154" s="35"/>
      <c r="AO154" s="35"/>
      <c r="AP154" s="35"/>
      <c r="AQ154" s="35"/>
      <c r="AR154" s="35"/>
      <c r="AS154" s="35"/>
      <c r="AT154" s="35"/>
      <c r="AU154" s="35"/>
      <c r="AV154" s="35"/>
      <c r="AW154" s="35"/>
      <c r="AX154" s="35"/>
      <c r="AY154" s="35"/>
      <c r="AZ154" s="35"/>
      <c r="BA154" s="35"/>
      <c r="BB154" s="35">
        <f t="shared" ref="BB154:CS154" si="298">BB99*BB157</f>
      </c>
      <c r="BC154" s="35">
        <f t="shared" si="298"/>
      </c>
      <c r="BD154" s="35">
        <f t="shared" si="298"/>
      </c>
      <c r="BE154" s="35">
        <f t="shared" si="298"/>
      </c>
      <c r="BF154" s="35">
        <f t="shared" si="298"/>
      </c>
      <c r="BG154" s="35">
        <f t="shared" si="298"/>
      </c>
      <c r="BH154" s="35">
        <f t="shared" si="298"/>
      </c>
      <c r="BI154" s="35">
        <f t="shared" si="298"/>
      </c>
      <c r="BJ154" s="35">
        <f t="shared" si="298"/>
      </c>
      <c r="BK154" s="35">
        <f t="shared" si="298"/>
      </c>
      <c r="BL154" s="35">
        <f t="shared" si="298"/>
      </c>
      <c r="BM154" s="35">
        <f t="shared" si="298"/>
      </c>
      <c r="BN154" s="35">
        <f t="shared" si="298"/>
      </c>
      <c r="BO154" s="35">
        <f t="shared" si="298"/>
      </c>
      <c r="BP154" s="35">
        <f t="shared" si="298"/>
      </c>
      <c r="BQ154" s="35">
        <f t="shared" si="298"/>
      </c>
      <c r="BR154" s="35">
        <f t="shared" si="298"/>
      </c>
      <c r="BS154" s="35">
        <f t="shared" si="298"/>
      </c>
      <c r="BT154" s="35">
        <f t="shared" si="298"/>
      </c>
      <c r="BU154" s="35">
        <f t="shared" si="298"/>
      </c>
      <c r="BV154" s="35">
        <f t="shared" si="298"/>
      </c>
      <c r="BW154" s="35">
        <f t="shared" si="298"/>
      </c>
      <c r="BX154" s="35">
        <f t="shared" si="298"/>
      </c>
      <c r="BY154" s="35">
        <f t="shared" si="298"/>
      </c>
      <c r="BZ154" s="35">
        <f t="shared" si="298"/>
      </c>
      <c r="CA154" s="35">
        <f t="shared" si="298"/>
      </c>
      <c r="CB154" s="35">
        <f t="shared" si="298"/>
      </c>
      <c r="CC154" s="35">
        <f t="shared" si="298"/>
      </c>
      <c r="CD154" s="35">
        <f t="shared" si="298"/>
      </c>
      <c r="CE154" s="35">
        <f t="shared" si="298"/>
      </c>
      <c r="CF154" s="35">
        <f t="shared" si="298"/>
      </c>
      <c r="CG154" s="35">
        <f t="shared" si="298"/>
      </c>
      <c r="CH154" s="35">
        <f>CH99*CH157</f>
      </c>
      <c r="CI154" s="35">
        <f t="shared" si="298"/>
      </c>
      <c r="CJ154" s="35">
        <f t="shared" si="298"/>
      </c>
      <c r="CK154" s="35">
        <f t="shared" si="298"/>
      </c>
      <c r="CL154" s="35">
        <f t="shared" si="298"/>
      </c>
      <c r="CM154" s="35">
        <f>CM99*CM157</f>
      </c>
      <c r="CN154" s="35">
        <f>CN99*CN157</f>
      </c>
      <c r="CO154" s="35">
        <f t="shared" si="298"/>
      </c>
      <c r="CP154" s="35">
        <f t="shared" si="298"/>
      </c>
      <c r="CQ154" s="35">
        <f t="shared" si="298"/>
      </c>
      <c r="CR154" s="35">
        <f t="shared" si="298"/>
      </c>
      <c r="CS154" s="35">
        <f t="shared" si="298"/>
      </c>
      <c r="CT154" s="35">
        <f>CT99*CT157</f>
      </c>
      <c r="CU154" s="35">
        <f t="shared" ref="CU154:DA154" si="299">CU99*CU157</f>
      </c>
      <c r="CV154" s="338">
        <f t="shared" si="299"/>
      </c>
      <c r="CW154" s="338">
        <f t="shared" si="299"/>
      </c>
      <c r="CX154" s="338">
        <f t="shared" si="299"/>
      </c>
      <c r="CY154" s="338">
        <f t="shared" si="299"/>
      </c>
      <c r="CZ154" s="338">
        <f t="shared" si="299"/>
      </c>
      <c r="DA154" s="338">
        <f t="shared" si="299"/>
      </c>
      <c r="DB154" s="338">
        <f>DB99*DB157</f>
      </c>
      <c r="DC154" s="338">
        <f>DC99*DC157</f>
      </c>
      <c r="DD154" s="338">
        <f>DD99*DD157</f>
      </c>
      <c r="DE154" s="338">
        <f>DE99*DE157</f>
      </c>
      <c r="DQ154" s="35"/>
      <c r="DR154" s="35"/>
      <c r="DS154" s="35"/>
      <c r="DT154" s="35"/>
      <c r="DU154" s="35">
        <f>SUM(BB154:BE154)</f>
      </c>
      <c r="DV154" s="35">
        <f>SUM(BF154:BI154)</f>
      </c>
      <c r="DW154" s="35">
        <f>SUM(BJ154:BM154)</f>
      </c>
      <c r="DX154" s="35">
        <f>SUM(BN154:BQ154)</f>
      </c>
      <c r="DY154" s="35">
        <f>SUM(BR154:BU154)</f>
      </c>
      <c r="DZ154" s="35">
        <f>BV154+BW154+BX154+BY154</f>
      </c>
      <c r="EA154" s="35">
        <f>SUM(BZ154:CC154)</f>
      </c>
      <c r="EB154" s="35">
        <f>+CD154+CE154+CF154+CG154</f>
      </c>
      <c r="EC154" s="35">
        <f>SUM(CH154:CK154)</f>
      </c>
      <c r="ED154" s="35">
        <f>SUM(CL154:CO154)</f>
      </c>
      <c r="EE154" s="35">
        <f>SUM(CP154:CS154)</f>
      </c>
      <c r="EF154" s="338">
        <f>SUM(CT154:CW154)</f>
      </c>
      <c r="EG154" s="338">
        <f>SUM(CX154:DA154)</f>
      </c>
      <c r="EH154" s="338">
        <f>SUM(DB154:DE154)</f>
      </c>
      <c r="EI154" s="339"/>
    </row>
    <row r="155" spans="1:140" s="47" customFormat="1" ht="11.25" customHeight="1">
      <c r="A155" s="372" t="s">
        <v>196</v>
      </c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  <c r="AG155" s="35"/>
      <c r="AH155" s="35"/>
      <c r="AI155" s="35"/>
      <c r="AJ155" s="35"/>
      <c r="AK155" s="35"/>
      <c r="AL155" s="35"/>
      <c r="AM155" s="35"/>
      <c r="AN155" s="35"/>
      <c r="AO155" s="35"/>
      <c r="AP155" s="35"/>
      <c r="AQ155" s="35"/>
      <c r="AR155" s="35"/>
      <c r="AS155" s="35"/>
      <c r="AT155" s="35"/>
      <c r="AU155" s="35"/>
      <c r="AV155" s="35"/>
      <c r="AW155" s="35"/>
      <c r="AX155" s="35"/>
      <c r="AY155" s="35"/>
      <c r="AZ155" s="35"/>
      <c r="BA155" s="35"/>
      <c r="BB155" s="35"/>
      <c r="BC155" s="49">
        <f t="shared" ref="BC155:DE155" si="300">BC154/BB154-1</f>
      </c>
      <c r="BD155" s="49">
        <f t="shared" si="300"/>
      </c>
      <c r="BE155" s="49">
        <f t="shared" si="300"/>
      </c>
      <c r="BF155" s="49">
        <f t="shared" si="300"/>
      </c>
      <c r="BG155" s="49">
        <f t="shared" si="300"/>
      </c>
      <c r="BH155" s="49">
        <f t="shared" si="300"/>
      </c>
      <c r="BI155" s="49">
        <f t="shared" si="300"/>
      </c>
      <c r="BJ155" s="49">
        <f t="shared" si="300"/>
      </c>
      <c r="BK155" s="49">
        <f t="shared" si="300"/>
      </c>
      <c r="BL155" s="49">
        <f t="shared" si="300"/>
      </c>
      <c r="BM155" s="49">
        <f t="shared" si="300"/>
      </c>
      <c r="BN155" s="49">
        <f t="shared" si="300"/>
      </c>
      <c r="BO155" s="49">
        <f t="shared" si="300"/>
      </c>
      <c r="BP155" s="49">
        <f t="shared" si="300"/>
      </c>
      <c r="BQ155" s="49">
        <f t="shared" si="300"/>
      </c>
      <c r="BR155" s="49">
        <f t="shared" si="300"/>
      </c>
      <c r="BS155" s="49">
        <f t="shared" si="300"/>
      </c>
      <c r="BT155" s="49">
        <f t="shared" si="300"/>
      </c>
      <c r="BU155" s="49">
        <f t="shared" si="300"/>
      </c>
      <c r="BV155" s="49">
        <f t="shared" si="300"/>
      </c>
      <c r="BW155" s="49">
        <f t="shared" si="300"/>
      </c>
      <c r="BX155" s="49">
        <f t="shared" si="300"/>
      </c>
      <c r="BY155" s="49">
        <f t="shared" si="300"/>
      </c>
      <c r="BZ155" s="49">
        <f t="shared" si="300"/>
      </c>
      <c r="CA155" s="49">
        <f t="shared" si="300"/>
      </c>
      <c r="CB155" s="49">
        <f t="shared" si="300"/>
      </c>
      <c r="CC155" s="49">
        <f t="shared" si="300"/>
      </c>
      <c r="CD155" s="49">
        <f t="shared" si="300"/>
      </c>
      <c r="CE155" s="49">
        <f t="shared" si="300"/>
      </c>
      <c r="CF155" s="49">
        <f t="shared" si="300"/>
      </c>
      <c r="CG155" s="49">
        <f t="shared" si="300"/>
      </c>
      <c r="CH155" s="49">
        <f t="shared" si="300"/>
      </c>
      <c r="CI155" s="49">
        <f t="shared" si="300"/>
      </c>
      <c r="CJ155" s="49">
        <f t="shared" si="300"/>
      </c>
      <c r="CK155" s="49">
        <f t="shared" si="300"/>
      </c>
      <c r="CL155" s="49">
        <f t="shared" si="300"/>
      </c>
      <c r="CM155" s="49">
        <f t="shared" si="300"/>
      </c>
      <c r="CN155" s="49">
        <f t="shared" si="300"/>
      </c>
      <c r="CO155" s="49">
        <f t="shared" si="300"/>
      </c>
      <c r="CP155" s="49">
        <f t="shared" si="300"/>
      </c>
      <c r="CQ155" s="49">
        <f t="shared" si="300"/>
      </c>
      <c r="CR155" s="49">
        <f t="shared" si="300"/>
      </c>
      <c r="CS155" s="49">
        <f t="shared" si="300"/>
      </c>
      <c r="CT155" s="49">
        <f t="shared" si="300"/>
      </c>
      <c r="CU155" s="49">
        <f t="shared" si="300"/>
      </c>
      <c r="CV155" s="341">
        <f t="shared" si="300"/>
      </c>
      <c r="CW155" s="341">
        <f t="shared" si="300"/>
      </c>
      <c r="CX155" s="341">
        <f t="shared" si="300"/>
      </c>
      <c r="CY155" s="341">
        <f t="shared" si="300"/>
      </c>
      <c r="CZ155" s="341">
        <f t="shared" si="300"/>
      </c>
      <c r="DA155" s="341">
        <f t="shared" si="300"/>
      </c>
      <c r="DB155" s="341">
        <f t="shared" si="300"/>
      </c>
      <c r="DC155" s="341">
        <f t="shared" si="300"/>
      </c>
      <c r="DD155" s="341">
        <f t="shared" si="300"/>
      </c>
      <c r="DE155" s="341">
        <f t="shared" si="300"/>
      </c>
      <c r="DH155" s="342" t="s">
        <v>197</v>
      </c>
      <c r="DI155" s="342" t="s">
        <v>197</v>
      </c>
      <c r="DJ155" s="342" t="s">
        <v>197</v>
      </c>
      <c r="DK155" s="342" t="s">
        <v>197</v>
      </c>
      <c r="DL155" s="342" t="s">
        <v>197</v>
      </c>
      <c r="DM155" s="342" t="s">
        <v>197</v>
      </c>
      <c r="DN155" s="342" t="s">
        <v>197</v>
      </c>
      <c r="DO155" s="342" t="s">
        <v>197</v>
      </c>
      <c r="DP155" s="342" t="s">
        <v>197</v>
      </c>
      <c r="DQ155" s="342" t="s">
        <v>197</v>
      </c>
      <c r="DR155" s="342" t="s">
        <v>197</v>
      </c>
      <c r="DS155" s="342" t="s">
        <v>197</v>
      </c>
      <c r="DT155" s="342" t="s">
        <v>197</v>
      </c>
      <c r="DU155" s="342" t="s">
        <v>197</v>
      </c>
      <c r="DV155" s="342" t="s">
        <v>197</v>
      </c>
      <c r="DW155" s="342" t="s">
        <v>197</v>
      </c>
      <c r="DX155" s="342" t="s">
        <v>197</v>
      </c>
      <c r="DY155" s="342" t="s">
        <v>197</v>
      </c>
      <c r="DZ155" s="342" t="s">
        <v>197</v>
      </c>
      <c r="EA155" s="342" t="s">
        <v>197</v>
      </c>
      <c r="EB155" s="342" t="s">
        <v>197</v>
      </c>
      <c r="EC155" s="342" t="s">
        <v>197</v>
      </c>
      <c r="ED155" s="342" t="s">
        <v>197</v>
      </c>
      <c r="EE155" s="342" t="s">
        <v>197</v>
      </c>
      <c r="EF155" s="343" t="s">
        <v>197</v>
      </c>
      <c r="EG155" s="343" t="s">
        <v>197</v>
      </c>
      <c r="EH155" s="343" t="s">
        <v>197</v>
      </c>
      <c r="EI155" s="339"/>
    </row>
    <row r="156" spans="1:140" s="47" customFormat="1" ht="12.75" customHeight="1">
      <c r="A156" s="372" t="s">
        <v>198</v>
      </c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5"/>
      <c r="AI156" s="35"/>
      <c r="AJ156" s="35"/>
      <c r="AK156" s="35"/>
      <c r="AL156" s="35"/>
      <c r="AM156" s="35"/>
      <c r="AN156" s="35"/>
      <c r="AO156" s="35"/>
      <c r="AP156" s="35"/>
      <c r="AQ156" s="35"/>
      <c r="AR156" s="35"/>
      <c r="AS156" s="35"/>
      <c r="AT156" s="35"/>
      <c r="AU156" s="35"/>
      <c r="AV156" s="35"/>
      <c r="AW156" s="35"/>
      <c r="AX156" s="35"/>
      <c r="AY156" s="35"/>
      <c r="AZ156" s="35"/>
      <c r="BA156" s="35"/>
      <c r="BB156" s="35"/>
      <c r="BC156" s="35"/>
      <c r="BD156" s="35"/>
      <c r="BE156" s="35"/>
      <c r="BF156" s="394">
        <f t="shared" ref="BF156:DE156" si="301">BF154/BB154-1</f>
      </c>
      <c r="BG156" s="394">
        <f t="shared" si="301"/>
      </c>
      <c r="BH156" s="394">
        <f t="shared" si="301"/>
      </c>
      <c r="BI156" s="394">
        <f t="shared" si="301"/>
      </c>
      <c r="BJ156" s="394">
        <f t="shared" si="301"/>
      </c>
      <c r="BK156" s="394">
        <f t="shared" si="301"/>
      </c>
      <c r="BL156" s="394">
        <f t="shared" si="301"/>
      </c>
      <c r="BM156" s="394">
        <f t="shared" si="301"/>
      </c>
      <c r="BN156" s="394">
        <f t="shared" si="301"/>
      </c>
      <c r="BO156" s="394">
        <f t="shared" si="301"/>
      </c>
      <c r="BP156" s="394">
        <f t="shared" si="301"/>
      </c>
      <c r="BQ156" s="394">
        <f t="shared" si="301"/>
      </c>
      <c r="BR156" s="394">
        <f t="shared" si="301"/>
      </c>
      <c r="BS156" s="394">
        <f t="shared" si="301"/>
      </c>
      <c r="BT156" s="394">
        <f t="shared" si="301"/>
      </c>
      <c r="BU156" s="394">
        <f t="shared" si="301"/>
      </c>
      <c r="BV156" s="394">
        <f t="shared" si="301"/>
      </c>
      <c r="BW156" s="394">
        <f t="shared" si="301"/>
      </c>
      <c r="BX156" s="394">
        <f t="shared" si="301"/>
      </c>
      <c r="BY156" s="394">
        <f t="shared" si="301"/>
      </c>
      <c r="BZ156" s="394">
        <f t="shared" si="301"/>
      </c>
      <c r="CA156" s="394">
        <f t="shared" si="301"/>
      </c>
      <c r="CB156" s="394">
        <f t="shared" si="301"/>
      </c>
      <c r="CC156" s="394">
        <f t="shared" si="301"/>
      </c>
      <c r="CD156" s="394">
        <f t="shared" si="301"/>
      </c>
      <c r="CE156" s="394">
        <f t="shared" si="301"/>
      </c>
      <c r="CF156" s="394">
        <f t="shared" si="301"/>
      </c>
      <c r="CG156" s="394">
        <f t="shared" si="301"/>
      </c>
      <c r="CH156" s="394">
        <f t="shared" si="301"/>
      </c>
      <c r="CI156" s="394">
        <f t="shared" si="301"/>
      </c>
      <c r="CJ156" s="394">
        <f t="shared" si="301"/>
      </c>
      <c r="CK156" s="394">
        <f t="shared" si="301"/>
      </c>
      <c r="CL156" s="394">
        <f t="shared" si="301"/>
      </c>
      <c r="CM156" s="394">
        <f t="shared" si="301"/>
      </c>
      <c r="CN156" s="394">
        <f t="shared" si="301"/>
      </c>
      <c r="CO156" s="394">
        <f t="shared" si="301"/>
      </c>
      <c r="CP156" s="394">
        <f t="shared" si="301"/>
      </c>
      <c r="CQ156" s="394">
        <f t="shared" si="301"/>
      </c>
      <c r="CR156" s="394">
        <f t="shared" si="301"/>
      </c>
      <c r="CS156" s="394">
        <f t="shared" si="301"/>
      </c>
      <c r="CT156" s="394">
        <f t="shared" si="301"/>
      </c>
      <c r="CU156" s="394">
        <f t="shared" si="301"/>
      </c>
      <c r="CV156" s="398">
        <f t="shared" si="301"/>
      </c>
      <c r="CW156" s="398">
        <f t="shared" si="301"/>
      </c>
      <c r="CX156" s="398">
        <f t="shared" si="301"/>
      </c>
      <c r="CY156" s="398">
        <f t="shared" si="301"/>
      </c>
      <c r="CZ156" s="398">
        <f t="shared" si="301"/>
      </c>
      <c r="DA156" s="398">
        <f t="shared" si="301"/>
      </c>
      <c r="DB156" s="398">
        <f t="shared" si="301"/>
      </c>
      <c r="DC156" s="398">
        <f t="shared" si="301"/>
      </c>
      <c r="DD156" s="398">
        <f t="shared" si="301"/>
      </c>
      <c r="DE156" s="398">
        <f t="shared" si="301"/>
      </c>
      <c r="DQ156" s="35"/>
      <c r="DR156" s="35"/>
      <c r="DS156" s="35"/>
      <c r="DT156" s="35"/>
      <c r="DU156" s="35"/>
      <c r="DV156" s="49">
        <f t="shared" ref="DV156:EH156" si="302">DV154/DU154-1</f>
      </c>
      <c r="DW156" s="49">
        <f t="shared" si="302"/>
      </c>
      <c r="DX156" s="49">
        <f t="shared" si="302"/>
      </c>
      <c r="DY156" s="49">
        <f t="shared" si="302"/>
      </c>
      <c r="DZ156" s="49">
        <f t="shared" si="302"/>
      </c>
      <c r="EA156" s="49">
        <f t="shared" si="302"/>
      </c>
      <c r="EB156" s="49">
        <f t="shared" si="302"/>
      </c>
      <c r="EC156" s="49">
        <f t="shared" si="302"/>
      </c>
      <c r="ED156" s="49">
        <f t="shared" si="302"/>
      </c>
      <c r="EE156" s="49">
        <f t="shared" si="302"/>
      </c>
      <c r="EF156" s="341">
        <f t="shared" si="302"/>
      </c>
      <c r="EG156" s="341">
        <f t="shared" si="302"/>
      </c>
      <c r="EH156" s="341">
        <f t="shared" si="302"/>
      </c>
      <c r="EI156" s="339"/>
      <c r="EJ156" s="408"/>
    </row>
    <row r="157" spans="1:140" s="49" customFormat="1" ht="12.75" customHeight="1">
      <c r="A157" s="403" t="s">
        <v>248</v>
      </c>
      <c r="B157" s="404"/>
      <c r="C157" s="404"/>
      <c r="D157" s="404"/>
      <c r="E157" s="404"/>
      <c r="F157" s="404"/>
      <c r="G157" s="404"/>
      <c r="H157" s="404"/>
      <c r="I157" s="404"/>
      <c r="J157" s="404"/>
      <c r="K157" s="404"/>
      <c r="L157" s="404"/>
      <c r="M157" s="404"/>
      <c r="N157" s="404"/>
      <c r="O157" s="404"/>
      <c r="P157" s="404"/>
      <c r="Q157" s="404"/>
      <c r="R157" s="404"/>
      <c r="S157" s="404"/>
      <c r="T157" s="404"/>
      <c r="U157" s="404"/>
      <c r="V157" s="404"/>
      <c r="W157" s="404"/>
      <c r="X157" s="404"/>
      <c r="Y157" s="404"/>
      <c r="Z157" s="404"/>
      <c r="AA157" s="404"/>
      <c r="AB157" s="404"/>
      <c r="AC157" s="404"/>
      <c r="AD157" s="404"/>
      <c r="AE157" s="404"/>
      <c r="AF157" s="404"/>
      <c r="AG157" s="404"/>
      <c r="AH157" s="404"/>
      <c r="AI157" s="404"/>
      <c r="AJ157" s="404"/>
      <c r="AK157" s="404"/>
      <c r="AL157" s="404"/>
      <c r="AM157" s="404"/>
      <c r="AN157" s="404"/>
      <c r="AO157" s="404"/>
      <c r="AP157" s="404"/>
      <c r="AQ157" s="404"/>
      <c r="AR157" s="404"/>
      <c r="AS157" s="404"/>
      <c r="AT157" s="404"/>
      <c r="AU157" s="404"/>
      <c r="AV157" s="404"/>
      <c r="AW157" s="404"/>
      <c r="AX157" s="404"/>
      <c r="AY157" s="404"/>
      <c r="AZ157" s="404"/>
      <c r="BA157" s="404"/>
      <c r="BB157" s="398">
        <f>BB141*1.47</f>
      </c>
      <c r="BC157" s="398">
        <f>BC141*1.47</f>
      </c>
      <c r="BD157" s="398">
        <f>BD141*1.47</f>
      </c>
      <c r="BE157" s="398">
        <f>BE141*1.4</f>
      </c>
      <c r="BF157" s="398">
        <f>BF141*1.4</f>
      </c>
      <c r="BG157" s="398">
        <f>BG141*1.35</f>
      </c>
      <c r="BH157" s="398">
        <f>BH141*1.35</f>
      </c>
      <c r="BI157" s="398">
        <f>BI141*1.35</f>
      </c>
      <c r="BJ157" s="398">
        <f>BJ141*1.35</f>
      </c>
      <c r="BK157" s="398">
        <v>0.79</v>
      </c>
      <c r="BL157" s="398">
        <v>0.79</v>
      </c>
      <c r="BM157" s="398">
        <v>0.79</v>
      </c>
      <c r="BN157" s="398">
        <v>0.79</v>
      </c>
      <c r="BO157" s="398">
        <v>0.79</v>
      </c>
      <c r="BP157" s="398">
        <v>0.82</v>
      </c>
      <c r="BQ157" s="398">
        <v>0.83</v>
      </c>
      <c r="BR157" s="398">
        <v>0.84</v>
      </c>
      <c r="BS157" s="398">
        <v>0.83</v>
      </c>
      <c r="BT157" s="398">
        <v>0.81499999999999995</v>
      </c>
      <c r="BU157" s="398">
        <v>0.80500000000000005</v>
      </c>
      <c r="BV157" s="398">
        <v>0.80500000000000005</v>
      </c>
      <c r="BW157" s="398">
        <f>BV157</f>
      </c>
      <c r="BX157" s="398">
        <v>0.81</v>
      </c>
      <c r="BY157" s="398">
        <v>0.8</v>
      </c>
      <c r="BZ157" s="398">
        <f>BY157-0.01</f>
      </c>
      <c r="CA157" s="398">
        <v>0.8</v>
      </c>
      <c r="CB157" s="398">
        <v>0.8</v>
      </c>
      <c r="CC157" s="398">
        <v>0.8</v>
      </c>
      <c r="CD157" s="398">
        <v>0.8</v>
      </c>
      <c r="CE157" s="398">
        <f>CD157</f>
      </c>
      <c r="CF157" s="398">
        <v>0.8</v>
      </c>
      <c r="CG157" s="398">
        <v>0.8</v>
      </c>
      <c r="CH157" s="398">
        <v>0.79700000000000004</v>
      </c>
      <c r="CI157" s="398">
        <v>0.55400000000000005</v>
      </c>
      <c r="CJ157" s="398">
        <v>0.6</v>
      </c>
      <c r="CK157" s="398">
        <v>0.77</v>
      </c>
      <c r="CL157" s="398">
        <v>0.77</v>
      </c>
      <c r="CM157" s="398">
        <v>0.77</v>
      </c>
      <c r="CN157" s="398">
        <v>0.81</v>
      </c>
      <c r="CO157" s="398">
        <v>0.81499999999999995</v>
      </c>
      <c r="CP157" s="398">
        <v>0.82899999999999996</v>
      </c>
      <c r="CQ157" s="398">
        <v>0.78620000000000001</v>
      </c>
      <c r="CR157" s="398">
        <v>0.77500000000000002</v>
      </c>
      <c r="CS157" s="398">
        <v>0.75149999999999995</v>
      </c>
      <c r="CT157" s="398">
        <v>0.59399999999999997</v>
      </c>
      <c r="CU157" s="398">
        <v>0.74</v>
      </c>
      <c r="CV157" s="398">
        <v>0.75</v>
      </c>
      <c r="CW157" s="398">
        <v>0.76</v>
      </c>
      <c r="CX157" s="398">
        <v>0.76</v>
      </c>
      <c r="CY157" s="398">
        <v>0.76</v>
      </c>
      <c r="CZ157" s="398">
        <v>0.76</v>
      </c>
      <c r="DA157" s="398">
        <v>0.76</v>
      </c>
      <c r="DB157" s="398">
        <v>0.76</v>
      </c>
      <c r="DC157" s="398">
        <v>0.76</v>
      </c>
      <c r="DD157" s="398">
        <v>0.76</v>
      </c>
      <c r="DE157" s="398">
        <v>0.76</v>
      </c>
      <c r="DQ157" s="62"/>
      <c r="DR157" s="62"/>
      <c r="DS157" s="62"/>
      <c r="DU157" s="49">
        <f t="shared" ref="DU157:EE157" si="303">DU154/DU99</f>
      </c>
      <c r="DV157" s="49">
        <f t="shared" si="303"/>
      </c>
      <c r="DW157" s="49">
        <f t="shared" si="303"/>
      </c>
      <c r="DX157" s="49">
        <f t="shared" si="303"/>
      </c>
      <c r="DY157" s="49">
        <f t="shared" si="303"/>
      </c>
      <c r="DZ157" s="49">
        <f t="shared" si="303"/>
      </c>
      <c r="EA157" s="49">
        <f t="shared" si="303"/>
      </c>
      <c r="EB157" s="49">
        <f t="shared" si="303"/>
      </c>
      <c r="EC157" s="49">
        <f t="shared" si="303"/>
      </c>
      <c r="ED157" s="49">
        <f t="shared" si="303"/>
      </c>
      <c r="EE157" s="49">
        <f t="shared" si="303"/>
      </c>
      <c r="EF157" s="345">
        <f>EF154/EF99</f>
      </c>
      <c r="EG157" s="345">
        <f>EG154/EG99</f>
      </c>
      <c r="EH157" s="345">
        <f>EH154/EH99</f>
      </c>
    </row>
    <row r="158" spans="1:140" s="47" customFormat="1" ht="12.75" customHeight="1">
      <c r="A158" s="35" t="s">
        <v>234</v>
      </c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  <c r="AH158" s="35"/>
      <c r="AI158" s="35"/>
      <c r="AJ158" s="35"/>
      <c r="AK158" s="35"/>
      <c r="AL158" s="35"/>
      <c r="AM158" s="35"/>
      <c r="AN158" s="35"/>
      <c r="AO158" s="35"/>
      <c r="AP158" s="35"/>
      <c r="AQ158" s="35"/>
      <c r="AR158" s="35"/>
      <c r="AS158" s="35"/>
      <c r="AT158" s="35"/>
      <c r="AU158" s="35"/>
      <c r="AV158" s="35"/>
      <c r="AW158" s="35"/>
      <c r="AX158" s="35"/>
      <c r="AY158" s="35"/>
      <c r="AZ158" s="35"/>
      <c r="BA158" s="35"/>
      <c r="BB158" s="409">
        <v>64.927999999999997</v>
      </c>
      <c r="BC158" s="409">
        <v>68.162000000000006</v>
      </c>
      <c r="BD158" s="409">
        <v>81.207999999999998</v>
      </c>
      <c r="BE158" s="409">
        <v>99.984999999999999</v>
      </c>
      <c r="BF158" s="409">
        <v>105.741</v>
      </c>
      <c r="BG158" s="409">
        <v>116.02200000000001</v>
      </c>
      <c r="BH158" s="409">
        <v>122.28700000000001</v>
      </c>
      <c r="BI158" s="409">
        <v>125.125</v>
      </c>
      <c r="BJ158" s="409">
        <v>126.31699999999999</v>
      </c>
      <c r="BK158" s="409">
        <v>134.99600000000001</v>
      </c>
      <c r="BL158" s="409">
        <v>146.01599999999999</v>
      </c>
      <c r="BM158" s="409">
        <v>148.16900000000001</v>
      </c>
      <c r="BN158" s="409">
        <v>124.117</v>
      </c>
      <c r="BO158" s="409">
        <v>138.399</v>
      </c>
      <c r="BP158" s="409">
        <v>148.364</v>
      </c>
      <c r="BQ158" s="409">
        <v>152.32499999999999</v>
      </c>
      <c r="BR158" s="35">
        <f>162.002+10.883</f>
      </c>
      <c r="BS158" s="35">
        <f>164.794+11.106</f>
      </c>
      <c r="BT158" s="35">
        <f>183.649+10.226</f>
      </c>
      <c r="BU158" s="35">
        <f>189.725+9.764</f>
      </c>
      <c r="BV158" s="35">
        <f>197.131+9.708</f>
      </c>
      <c r="BW158" s="35">
        <f>200.29+9.735</f>
      </c>
      <c r="BX158" s="35">
        <f>217.534+9.763</f>
      </c>
      <c r="BY158" s="35">
        <f>251.496+9.763</f>
      </c>
      <c r="BZ158" s="35">
        <f>286.196+9.158</f>
      </c>
      <c r="CA158" s="35">
        <f t="shared" ref="CA158:CS158" si="304">+CA161*CA103</f>
      </c>
      <c r="CB158" s="35">
        <f t="shared" si="304"/>
      </c>
      <c r="CC158" s="35">
        <f t="shared" si="304"/>
      </c>
      <c r="CD158" s="35">
        <f t="shared" si="304"/>
      </c>
      <c r="CE158" s="35">
        <f t="shared" si="304"/>
      </c>
      <c r="CF158" s="35">
        <f t="shared" si="304"/>
      </c>
      <c r="CG158" s="35">
        <f t="shared" si="304"/>
      </c>
      <c r="CH158" s="35">
        <f>+CH161*CH103</f>
      </c>
      <c r="CI158" s="35">
        <f t="shared" si="304"/>
      </c>
      <c r="CJ158" s="35">
        <f t="shared" si="304"/>
      </c>
      <c r="CK158" s="35">
        <f t="shared" si="304"/>
      </c>
      <c r="CL158" s="35">
        <f t="shared" si="304"/>
      </c>
      <c r="CM158" s="35">
        <f>+CM161*CM103</f>
      </c>
      <c r="CN158" s="35">
        <f>+CN161*CN103</f>
      </c>
      <c r="CO158" s="35">
        <f t="shared" si="304"/>
      </c>
      <c r="CP158" s="35">
        <f t="shared" si="304"/>
      </c>
      <c r="CQ158" s="35">
        <f t="shared" si="304"/>
      </c>
      <c r="CR158" s="35">
        <f t="shared" si="304"/>
      </c>
      <c r="CS158" s="35">
        <f t="shared" si="304"/>
      </c>
      <c r="CT158" s="35">
        <f>+CT161*CT103</f>
      </c>
      <c r="CU158" s="35">
        <f t="shared" ref="CU158:DA158" si="305">+CU161*CU103</f>
      </c>
      <c r="CV158" s="338">
        <f t="shared" si="305"/>
      </c>
      <c r="CW158" s="338">
        <f t="shared" si="305"/>
      </c>
      <c r="CX158" s="338">
        <f t="shared" si="305"/>
      </c>
      <c r="CY158" s="338">
        <f t="shared" si="305"/>
      </c>
      <c r="CZ158" s="338">
        <f t="shared" si="305"/>
      </c>
      <c r="DA158" s="338">
        <f t="shared" si="305"/>
      </c>
      <c r="DB158" s="338">
        <f>+DB161*DB103</f>
      </c>
      <c r="DC158" s="338">
        <f>+DC161*DC103</f>
      </c>
      <c r="DD158" s="338">
        <f>+DD161*DD103</f>
      </c>
      <c r="DE158" s="338">
        <f>+DE161*DE103</f>
      </c>
      <c r="DQ158" s="35"/>
      <c r="DR158" s="35"/>
      <c r="DS158" s="35"/>
      <c r="DT158" s="35"/>
      <c r="DU158" s="35">
        <f>SUM(BB158:BE158)</f>
      </c>
      <c r="DV158" s="35">
        <f>SUM(BF158:BI158)</f>
      </c>
      <c r="DW158" s="35">
        <f>SUM(BJ158:BM158)</f>
      </c>
      <c r="DX158" s="35">
        <f>SUM(BN158:BQ158)</f>
      </c>
      <c r="DY158" s="35">
        <f>SUM(BR158:BU158)</f>
      </c>
      <c r="DZ158" s="35">
        <f>BV158+BW158+BX158+BY158</f>
      </c>
      <c r="EA158" s="35">
        <f>SUM(BZ158:CC158)</f>
      </c>
      <c r="EB158" s="35">
        <f>+CD158+CE158+CF158+CG158</f>
      </c>
      <c r="EC158" s="35">
        <f>SUM(CH158:CK158)</f>
      </c>
      <c r="ED158" s="35">
        <f>SUM(CL158:CO158)</f>
      </c>
      <c r="EE158" s="35">
        <f>SUM(CP158:CS158)</f>
      </c>
      <c r="EF158" s="338">
        <f>SUM(CT158:CW158)</f>
      </c>
      <c r="EG158" s="338">
        <f>SUM(CX158:DA158)</f>
      </c>
      <c r="EH158" s="338">
        <f>SUM(DB158:DE158)</f>
      </c>
    </row>
    <row r="159" spans="1:140" s="47" customFormat="1">
      <c r="A159" s="372" t="s">
        <v>196</v>
      </c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/>
      <c r="AK159" s="35"/>
      <c r="AL159" s="35"/>
      <c r="AM159" s="35"/>
      <c r="AN159" s="35"/>
      <c r="AO159" s="35"/>
      <c r="AP159" s="35"/>
      <c r="AQ159" s="35"/>
      <c r="AR159" s="35"/>
      <c r="AS159" s="35"/>
      <c r="AT159" s="35"/>
      <c r="AU159" s="35"/>
      <c r="AV159" s="35"/>
      <c r="AW159" s="35"/>
      <c r="AX159" s="35"/>
      <c r="AY159" s="35"/>
      <c r="AZ159" s="35"/>
      <c r="BA159" s="35"/>
      <c r="BB159" s="35"/>
      <c r="BC159" s="49">
        <f t="shared" ref="BC159:DE159" si="306">BC158/BB158-1</f>
      </c>
      <c r="BD159" s="49">
        <f t="shared" si="306"/>
      </c>
      <c r="BE159" s="49">
        <f t="shared" si="306"/>
      </c>
      <c r="BF159" s="49">
        <f t="shared" si="306"/>
      </c>
      <c r="BG159" s="49">
        <f t="shared" si="306"/>
      </c>
      <c r="BH159" s="49">
        <f t="shared" si="306"/>
      </c>
      <c r="BI159" s="49">
        <f t="shared" si="306"/>
      </c>
      <c r="BJ159" s="49">
        <f t="shared" si="306"/>
      </c>
      <c r="BK159" s="49">
        <f t="shared" si="306"/>
      </c>
      <c r="BL159" s="49">
        <f t="shared" si="306"/>
      </c>
      <c r="BM159" s="49">
        <f t="shared" si="306"/>
      </c>
      <c r="BN159" s="49">
        <f t="shared" si="306"/>
      </c>
      <c r="BO159" s="49">
        <f t="shared" si="306"/>
      </c>
      <c r="BP159" s="49">
        <f t="shared" si="306"/>
      </c>
      <c r="BQ159" s="49">
        <f t="shared" si="306"/>
      </c>
      <c r="BR159" s="49">
        <f t="shared" si="306"/>
      </c>
      <c r="BS159" s="49">
        <f t="shared" si="306"/>
      </c>
      <c r="BT159" s="49">
        <f t="shared" si="306"/>
      </c>
      <c r="BU159" s="49">
        <f t="shared" si="306"/>
      </c>
      <c r="BV159" s="49">
        <f t="shared" si="306"/>
      </c>
      <c r="BW159" s="49">
        <f t="shared" si="306"/>
      </c>
      <c r="BX159" s="49">
        <f t="shared" si="306"/>
      </c>
      <c r="BY159" s="49">
        <f t="shared" si="306"/>
      </c>
      <c r="BZ159" s="49">
        <f t="shared" si="306"/>
      </c>
      <c r="CA159" s="49">
        <f t="shared" si="306"/>
      </c>
      <c r="CB159" s="49">
        <f t="shared" si="306"/>
      </c>
      <c r="CC159" s="49">
        <f t="shared" si="306"/>
      </c>
      <c r="CD159" s="49">
        <f t="shared" si="306"/>
      </c>
      <c r="CE159" s="49">
        <f t="shared" si="306"/>
      </c>
      <c r="CF159" s="49">
        <f t="shared" si="306"/>
      </c>
      <c r="CG159" s="49">
        <f t="shared" si="306"/>
      </c>
      <c r="CH159" s="49">
        <f t="shared" si="306"/>
      </c>
      <c r="CI159" s="49">
        <f t="shared" si="306"/>
      </c>
      <c r="CJ159" s="49">
        <f t="shared" si="306"/>
      </c>
      <c r="CK159" s="49">
        <f t="shared" si="306"/>
      </c>
      <c r="CL159" s="49">
        <f t="shared" si="306"/>
      </c>
      <c r="CM159" s="49">
        <f t="shared" si="306"/>
      </c>
      <c r="CN159" s="49">
        <f t="shared" si="306"/>
      </c>
      <c r="CO159" s="49">
        <f t="shared" si="306"/>
      </c>
      <c r="CP159" s="49">
        <f t="shared" si="306"/>
      </c>
      <c r="CQ159" s="49">
        <f t="shared" si="306"/>
      </c>
      <c r="CR159" s="49">
        <f t="shared" si="306"/>
      </c>
      <c r="CS159" s="49">
        <f t="shared" si="306"/>
      </c>
      <c r="CT159" s="49">
        <f t="shared" si="306"/>
      </c>
      <c r="CU159" s="49">
        <f t="shared" si="306"/>
      </c>
      <c r="CV159" s="341">
        <f t="shared" si="306"/>
      </c>
      <c r="CW159" s="341">
        <f t="shared" si="306"/>
      </c>
      <c r="CX159" s="341">
        <f t="shared" si="306"/>
      </c>
      <c r="CY159" s="341">
        <f t="shared" si="306"/>
      </c>
      <c r="CZ159" s="341">
        <f t="shared" si="306"/>
      </c>
      <c r="DA159" s="341">
        <f t="shared" si="306"/>
      </c>
      <c r="DB159" s="341">
        <f t="shared" si="306"/>
      </c>
      <c r="DC159" s="341">
        <f t="shared" si="306"/>
      </c>
      <c r="DD159" s="341">
        <f t="shared" si="306"/>
      </c>
      <c r="DE159" s="341">
        <f t="shared" si="306"/>
      </c>
      <c r="DH159" s="342" t="s">
        <v>197</v>
      </c>
      <c r="DI159" s="342" t="s">
        <v>197</v>
      </c>
      <c r="DJ159" s="342" t="s">
        <v>197</v>
      </c>
      <c r="DK159" s="342" t="s">
        <v>197</v>
      </c>
      <c r="DL159" s="342" t="s">
        <v>197</v>
      </c>
      <c r="DM159" s="342" t="s">
        <v>197</v>
      </c>
      <c r="DN159" s="342" t="s">
        <v>197</v>
      </c>
      <c r="DO159" s="342" t="s">
        <v>197</v>
      </c>
      <c r="DP159" s="342" t="s">
        <v>197</v>
      </c>
      <c r="DQ159" s="342" t="s">
        <v>197</v>
      </c>
      <c r="DR159" s="342" t="s">
        <v>197</v>
      </c>
      <c r="DS159" s="342" t="s">
        <v>197</v>
      </c>
      <c r="DT159" s="342" t="s">
        <v>197</v>
      </c>
      <c r="DU159" s="342" t="s">
        <v>197</v>
      </c>
      <c r="DV159" s="342" t="s">
        <v>197</v>
      </c>
      <c r="DW159" s="342" t="s">
        <v>197</v>
      </c>
      <c r="DX159" s="342" t="s">
        <v>197</v>
      </c>
      <c r="DY159" s="342" t="s">
        <v>197</v>
      </c>
      <c r="DZ159" s="342" t="s">
        <v>197</v>
      </c>
      <c r="EA159" s="342" t="s">
        <v>197</v>
      </c>
      <c r="EB159" s="342" t="s">
        <v>197</v>
      </c>
      <c r="EC159" s="342" t="s">
        <v>197</v>
      </c>
      <c r="ED159" s="342" t="s">
        <v>197</v>
      </c>
      <c r="EE159" s="342" t="s">
        <v>197</v>
      </c>
      <c r="EF159" s="343" t="s">
        <v>197</v>
      </c>
      <c r="EG159" s="343" t="s">
        <v>197</v>
      </c>
      <c r="EH159" s="343" t="s">
        <v>197</v>
      </c>
    </row>
    <row r="160" spans="1:140" s="47" customFormat="1">
      <c r="A160" s="372" t="s">
        <v>198</v>
      </c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  <c r="AI160" s="35"/>
      <c r="AJ160" s="35"/>
      <c r="AK160" s="35"/>
      <c r="AL160" s="35"/>
      <c r="AM160" s="35"/>
      <c r="AN160" s="35"/>
      <c r="AO160" s="35"/>
      <c r="AP160" s="35"/>
      <c r="AQ160" s="35"/>
      <c r="AR160" s="35"/>
      <c r="AS160" s="35"/>
      <c r="AT160" s="35"/>
      <c r="AU160" s="35"/>
      <c r="AV160" s="35"/>
      <c r="AW160" s="35"/>
      <c r="AX160" s="35"/>
      <c r="AY160" s="35"/>
      <c r="AZ160" s="35"/>
      <c r="BA160" s="35"/>
      <c r="BB160" s="35"/>
      <c r="BC160" s="35"/>
      <c r="BD160" s="35"/>
      <c r="BE160" s="35"/>
      <c r="BF160" s="394">
        <f t="shared" ref="BF160:DE160" si="307">BF158/BB158-1</f>
      </c>
      <c r="BG160" s="394">
        <f t="shared" si="307"/>
      </c>
      <c r="BH160" s="394">
        <f t="shared" si="307"/>
      </c>
      <c r="BI160" s="394">
        <f t="shared" si="307"/>
      </c>
      <c r="BJ160" s="394">
        <f t="shared" si="307"/>
      </c>
      <c r="BK160" s="394">
        <f t="shared" si="307"/>
      </c>
      <c r="BL160" s="394">
        <f t="shared" si="307"/>
      </c>
      <c r="BM160" s="394">
        <f t="shared" si="307"/>
      </c>
      <c r="BN160" s="394">
        <f t="shared" si="307"/>
      </c>
      <c r="BO160" s="394">
        <f t="shared" si="307"/>
      </c>
      <c r="BP160" s="394">
        <f t="shared" si="307"/>
      </c>
      <c r="BQ160" s="394">
        <f t="shared" si="307"/>
      </c>
      <c r="BR160" s="394">
        <f t="shared" si="307"/>
      </c>
      <c r="BS160" s="394">
        <f t="shared" si="307"/>
      </c>
      <c r="BT160" s="394">
        <f t="shared" si="307"/>
      </c>
      <c r="BU160" s="394">
        <f t="shared" si="307"/>
      </c>
      <c r="BV160" s="394">
        <f t="shared" si="307"/>
      </c>
      <c r="BW160" s="394">
        <f t="shared" si="307"/>
      </c>
      <c r="BX160" s="394">
        <f t="shared" si="307"/>
      </c>
      <c r="BY160" s="394">
        <f t="shared" si="307"/>
      </c>
      <c r="BZ160" s="394">
        <f t="shared" si="307"/>
      </c>
      <c r="CA160" s="394">
        <f t="shared" si="307"/>
      </c>
      <c r="CB160" s="394">
        <f t="shared" si="307"/>
      </c>
      <c r="CC160" s="394">
        <f t="shared" si="307"/>
      </c>
      <c r="CD160" s="394">
        <f t="shared" si="307"/>
      </c>
      <c r="CE160" s="394">
        <f t="shared" si="307"/>
      </c>
      <c r="CF160" s="394">
        <f t="shared" si="307"/>
      </c>
      <c r="CG160" s="394">
        <f t="shared" si="307"/>
      </c>
      <c r="CH160" s="394">
        <f t="shared" si="307"/>
      </c>
      <c r="CI160" s="394">
        <f t="shared" si="307"/>
      </c>
      <c r="CJ160" s="394">
        <f t="shared" si="307"/>
      </c>
      <c r="CK160" s="394">
        <f t="shared" si="307"/>
      </c>
      <c r="CL160" s="394">
        <f t="shared" si="307"/>
      </c>
      <c r="CM160" s="394">
        <f t="shared" si="307"/>
      </c>
      <c r="CN160" s="394">
        <f t="shared" si="307"/>
      </c>
      <c r="CO160" s="394">
        <f t="shared" si="307"/>
      </c>
      <c r="CP160" s="394">
        <f t="shared" si="307"/>
      </c>
      <c r="CQ160" s="394">
        <f t="shared" si="307"/>
      </c>
      <c r="CR160" s="394">
        <f t="shared" si="307"/>
      </c>
      <c r="CS160" s="394">
        <f t="shared" si="307"/>
      </c>
      <c r="CT160" s="394">
        <f t="shared" si="307"/>
      </c>
      <c r="CU160" s="394">
        <f t="shared" si="307"/>
      </c>
      <c r="CV160" s="398">
        <f t="shared" si="307"/>
      </c>
      <c r="CW160" s="398">
        <f t="shared" si="307"/>
      </c>
      <c r="CX160" s="398">
        <f t="shared" si="307"/>
      </c>
      <c r="CY160" s="398">
        <f t="shared" si="307"/>
      </c>
      <c r="CZ160" s="398">
        <f t="shared" si="307"/>
      </c>
      <c r="DA160" s="398">
        <f t="shared" si="307"/>
      </c>
      <c r="DB160" s="398">
        <f t="shared" si="307"/>
      </c>
      <c r="DC160" s="398">
        <f t="shared" si="307"/>
      </c>
      <c r="DD160" s="398">
        <f t="shared" si="307"/>
      </c>
      <c r="DE160" s="398">
        <f t="shared" si="307"/>
      </c>
      <c r="DQ160" s="35"/>
      <c r="DR160" s="35"/>
      <c r="DS160" s="35"/>
      <c r="DT160" s="35"/>
      <c r="DU160" s="35"/>
      <c r="DV160" s="49">
        <f t="shared" ref="DV160:EH160" si="308">DV158/DU158-1</f>
      </c>
      <c r="DW160" s="49">
        <f t="shared" si="308"/>
      </c>
      <c r="DX160" s="49">
        <f t="shared" si="308"/>
      </c>
      <c r="DY160" s="49">
        <f t="shared" si="308"/>
      </c>
      <c r="DZ160" s="49">
        <f t="shared" si="308"/>
      </c>
      <c r="EA160" s="49">
        <f t="shared" si="308"/>
      </c>
      <c r="EB160" s="49">
        <f t="shared" si="308"/>
      </c>
      <c r="EC160" s="49">
        <f t="shared" si="308"/>
      </c>
      <c r="ED160" s="49">
        <f t="shared" si="308"/>
      </c>
      <c r="EE160" s="49">
        <f t="shared" si="308"/>
      </c>
      <c r="EF160" s="341">
        <f t="shared" si="308"/>
      </c>
      <c r="EG160" s="341">
        <f t="shared" si="308"/>
      </c>
      <c r="EH160" s="341">
        <f t="shared" si="308"/>
      </c>
    </row>
    <row r="161" spans="1:138" s="49" customFormat="1">
      <c r="A161" s="403" t="s">
        <v>248</v>
      </c>
      <c r="B161" s="404"/>
      <c r="C161" s="404"/>
      <c r="D161" s="404"/>
      <c r="E161" s="404"/>
      <c r="F161" s="404"/>
      <c r="G161" s="404"/>
      <c r="H161" s="404"/>
      <c r="I161" s="404"/>
      <c r="J161" s="404"/>
      <c r="K161" s="404"/>
      <c r="L161" s="404"/>
      <c r="M161" s="404"/>
      <c r="N161" s="404"/>
      <c r="O161" s="404"/>
      <c r="P161" s="404"/>
      <c r="Q161" s="404"/>
      <c r="R161" s="404"/>
      <c r="S161" s="404"/>
      <c r="T161" s="404"/>
      <c r="U161" s="404"/>
      <c r="V161" s="404"/>
      <c r="W161" s="404"/>
      <c r="X161" s="404"/>
      <c r="Y161" s="404"/>
      <c r="Z161" s="404"/>
      <c r="AA161" s="404"/>
      <c r="AB161" s="404"/>
      <c r="AC161" s="404"/>
      <c r="AD161" s="404"/>
      <c r="AE161" s="404"/>
      <c r="AF161" s="404"/>
      <c r="AG161" s="404"/>
      <c r="AH161" s="404"/>
      <c r="AI161" s="404"/>
      <c r="AJ161" s="404"/>
      <c r="AK161" s="404"/>
      <c r="AL161" s="404"/>
      <c r="AM161" s="404"/>
      <c r="AN161" s="404"/>
      <c r="AO161" s="404"/>
      <c r="AP161" s="404"/>
      <c r="AQ161" s="404"/>
      <c r="AR161" s="404"/>
      <c r="AS161" s="404"/>
      <c r="AT161" s="404"/>
      <c r="AU161" s="404"/>
      <c r="AV161" s="404"/>
      <c r="AW161" s="404"/>
      <c r="AX161" s="404"/>
      <c r="AY161" s="404"/>
      <c r="AZ161" s="404"/>
      <c r="BA161" s="404"/>
      <c r="BB161" s="394">
        <f t="shared" ref="BB161:BZ161" si="309">+BB158/BB103</f>
      </c>
      <c r="BC161" s="394">
        <f t="shared" si="309"/>
      </c>
      <c r="BD161" s="394">
        <f t="shared" si="309"/>
      </c>
      <c r="BE161" s="394">
        <f t="shared" si="309"/>
      </c>
      <c r="BF161" s="394">
        <f t="shared" si="309"/>
      </c>
      <c r="BG161" s="394">
        <f t="shared" si="309"/>
      </c>
      <c r="BH161" s="394">
        <f t="shared" si="309"/>
      </c>
      <c r="BI161" s="394">
        <f t="shared" si="309"/>
      </c>
      <c r="BJ161" s="394">
        <f t="shared" si="309"/>
      </c>
      <c r="BK161" s="394">
        <f t="shared" si="309"/>
      </c>
      <c r="BL161" s="394">
        <f t="shared" si="309"/>
      </c>
      <c r="BM161" s="394">
        <f t="shared" si="309"/>
      </c>
      <c r="BN161" s="394">
        <f t="shared" si="309"/>
      </c>
      <c r="BO161" s="394">
        <f t="shared" si="309"/>
      </c>
      <c r="BP161" s="394">
        <f t="shared" si="309"/>
      </c>
      <c r="BQ161" s="394">
        <f t="shared" si="309"/>
      </c>
      <c r="BR161" s="394">
        <f t="shared" si="309"/>
      </c>
      <c r="BS161" s="394">
        <f t="shared" si="309"/>
      </c>
      <c r="BT161" s="394">
        <f t="shared" si="309"/>
      </c>
      <c r="BU161" s="394">
        <f t="shared" si="309"/>
      </c>
      <c r="BV161" s="394">
        <f t="shared" si="309"/>
      </c>
      <c r="BW161" s="394">
        <f t="shared" si="309"/>
      </c>
      <c r="BX161" s="394">
        <f t="shared" si="309"/>
      </c>
      <c r="BY161" s="394">
        <f t="shared" si="309"/>
      </c>
      <c r="BZ161" s="394">
        <f t="shared" si="309"/>
      </c>
      <c r="CA161" s="394">
        <v>0.69</v>
      </c>
      <c r="CB161" s="398">
        <v>0.7</v>
      </c>
      <c r="CC161" s="398">
        <f>CB161</f>
      </c>
      <c r="CD161" s="398">
        <f t="shared" ref="CD161:CI161" si="310">CC161</f>
      </c>
      <c r="CE161" s="398">
        <f t="shared" si="310"/>
      </c>
      <c r="CF161" s="398">
        <v>0.7</v>
      </c>
      <c r="CG161" s="398">
        <v>0.68</v>
      </c>
      <c r="CH161" s="398">
        <v>0.67</v>
      </c>
      <c r="CI161" s="398">
        <f t="shared" si="310"/>
      </c>
      <c r="CJ161" s="398">
        <v>0.67</v>
      </c>
      <c r="CK161" s="398">
        <v>0.68500000000000005</v>
      </c>
      <c r="CL161" s="398">
        <v>0.7</v>
      </c>
      <c r="CM161" s="398">
        <v>0.72</v>
      </c>
      <c r="CN161" s="398">
        <v>0.73499999999999999</v>
      </c>
      <c r="CO161" s="398">
        <v>0.75</v>
      </c>
      <c r="CP161" s="398">
        <v>0.76</v>
      </c>
      <c r="CQ161" s="398">
        <v>0.75</v>
      </c>
      <c r="CR161" s="398">
        <f t="shared" ref="CR161:DE161" si="311">CQ161</f>
      </c>
      <c r="CS161" s="398">
        <f t="shared" si="311"/>
      </c>
      <c r="CT161" s="398">
        <f t="shared" si="311"/>
      </c>
      <c r="CU161" s="398">
        <v>0.76</v>
      </c>
      <c r="CV161" s="398">
        <v>0.76</v>
      </c>
      <c r="CW161" s="398">
        <f t="shared" si="311"/>
      </c>
      <c r="CX161" s="398">
        <f t="shared" si="311"/>
      </c>
      <c r="CY161" s="398">
        <f t="shared" si="311"/>
      </c>
      <c r="CZ161" s="398">
        <f t="shared" si="311"/>
      </c>
      <c r="DA161" s="398">
        <f t="shared" si="311"/>
      </c>
      <c r="DB161" s="398">
        <f t="shared" si="311"/>
      </c>
      <c r="DC161" s="398">
        <f t="shared" si="311"/>
      </c>
      <c r="DD161" s="398">
        <f t="shared" si="311"/>
      </c>
      <c r="DE161" s="398">
        <f t="shared" si="311"/>
      </c>
      <c r="DQ161" s="62"/>
      <c r="DR161" s="62"/>
      <c r="DS161" s="62"/>
      <c r="DU161" s="49">
        <f t="shared" ref="DU161:EE161" si="312">DU158/DU103</f>
      </c>
      <c r="DV161" s="49">
        <f t="shared" si="312"/>
      </c>
      <c r="DW161" s="49">
        <f t="shared" si="312"/>
      </c>
      <c r="DX161" s="49">
        <f t="shared" si="312"/>
      </c>
      <c r="DY161" s="49">
        <f t="shared" si="312"/>
      </c>
      <c r="DZ161" s="49">
        <f t="shared" si="312"/>
      </c>
      <c r="EA161" s="49">
        <f t="shared" si="312"/>
      </c>
      <c r="EB161" s="49">
        <f t="shared" si="312"/>
      </c>
      <c r="EC161" s="49">
        <f t="shared" si="312"/>
      </c>
      <c r="ED161" s="49">
        <f t="shared" si="312"/>
      </c>
      <c r="EE161" s="49">
        <f t="shared" si="312"/>
      </c>
      <c r="EF161" s="345">
        <f>EF158/EF103</f>
      </c>
      <c r="EG161" s="345">
        <f>EG158/EG103</f>
      </c>
      <c r="EH161" s="345">
        <f>EH158/EH103</f>
      </c>
    </row>
    <row r="162" spans="1:138" s="47" customFormat="1">
      <c r="A162" s="35" t="s">
        <v>235</v>
      </c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  <c r="AG162" s="35"/>
      <c r="AH162" s="35"/>
      <c r="AI162" s="35"/>
      <c r="AJ162" s="35"/>
      <c r="AK162" s="35"/>
      <c r="AL162" s="35"/>
      <c r="AM162" s="35"/>
      <c r="AN162" s="35"/>
      <c r="AO162" s="35"/>
      <c r="AP162" s="35"/>
      <c r="AQ162" s="35"/>
      <c r="AR162" s="35"/>
      <c r="AS162" s="35"/>
      <c r="AT162" s="35"/>
      <c r="AU162" s="35"/>
      <c r="AV162" s="35"/>
      <c r="AW162" s="35"/>
      <c r="AX162" s="35"/>
      <c r="AY162" s="35"/>
      <c r="AZ162" s="35"/>
      <c r="BA162" s="35"/>
      <c r="BB162" s="35">
        <f t="shared" ref="BB162:CS162" si="313">BB107*BB165</f>
      </c>
      <c r="BC162" s="35">
        <f t="shared" si="313"/>
      </c>
      <c r="BD162" s="35">
        <f t="shared" si="313"/>
      </c>
      <c r="BE162" s="35">
        <f t="shared" si="313"/>
      </c>
      <c r="BF162" s="35">
        <f t="shared" si="313"/>
      </c>
      <c r="BG162" s="35">
        <f t="shared" si="313"/>
      </c>
      <c r="BH162" s="35">
        <f t="shared" si="313"/>
      </c>
      <c r="BI162" s="35">
        <f t="shared" si="313"/>
      </c>
      <c r="BJ162" s="35">
        <f t="shared" si="313"/>
      </c>
      <c r="BK162" s="35">
        <f t="shared" si="313"/>
      </c>
      <c r="BL162" s="35">
        <f t="shared" si="313"/>
      </c>
      <c r="BM162" s="35">
        <f t="shared" si="313"/>
      </c>
      <c r="BN162" s="35">
        <f t="shared" si="313"/>
      </c>
      <c r="BO162" s="35">
        <f t="shared" si="313"/>
      </c>
      <c r="BP162" s="35">
        <f t="shared" si="313"/>
      </c>
      <c r="BQ162" s="35">
        <f t="shared" si="313"/>
      </c>
      <c r="BR162" s="35">
        <f t="shared" si="313"/>
      </c>
      <c r="BS162" s="35">
        <f t="shared" si="313"/>
      </c>
      <c r="BT162" s="35">
        <f t="shared" si="313"/>
      </c>
      <c r="BU162" s="35">
        <f t="shared" si="313"/>
      </c>
      <c r="BV162" s="35">
        <f t="shared" si="313"/>
      </c>
      <c r="BW162" s="35">
        <f t="shared" si="313"/>
      </c>
      <c r="BX162" s="35">
        <f t="shared" si="313"/>
      </c>
      <c r="BY162" s="35">
        <f t="shared" si="313"/>
      </c>
      <c r="BZ162" s="35">
        <f t="shared" si="313"/>
      </c>
      <c r="CA162" s="35">
        <f t="shared" si="313"/>
      </c>
      <c r="CB162" s="35">
        <f t="shared" si="313"/>
      </c>
      <c r="CC162" s="35">
        <f t="shared" si="313"/>
      </c>
      <c r="CD162" s="35">
        <f t="shared" si="313"/>
      </c>
      <c r="CE162" s="35">
        <f t="shared" si="313"/>
      </c>
      <c r="CF162" s="35">
        <f t="shared" si="313"/>
      </c>
      <c r="CG162" s="35">
        <f t="shared" si="313"/>
      </c>
      <c r="CH162" s="35">
        <f>CH107*CH165</f>
      </c>
      <c r="CI162" s="35">
        <f t="shared" si="313"/>
      </c>
      <c r="CJ162" s="35">
        <f t="shared" si="313"/>
      </c>
      <c r="CK162" s="35">
        <f t="shared" si="313"/>
      </c>
      <c r="CL162" s="35">
        <f t="shared" si="313"/>
      </c>
      <c r="CM162" s="35">
        <f>CM107*CM165</f>
      </c>
      <c r="CN162" s="35">
        <f>CN107*CN165</f>
      </c>
      <c r="CO162" s="35">
        <f t="shared" si="313"/>
      </c>
      <c r="CP162" s="35">
        <f t="shared" si="313"/>
      </c>
      <c r="CQ162" s="35">
        <f t="shared" si="313"/>
      </c>
      <c r="CR162" s="35">
        <f t="shared" si="313"/>
      </c>
      <c r="CS162" s="35">
        <f t="shared" si="313"/>
      </c>
      <c r="CT162" s="35">
        <f>CT107*CT165</f>
      </c>
      <c r="CU162" s="35">
        <f t="shared" ref="CU162:DA162" si="314">CU107*CU165</f>
      </c>
      <c r="CV162" s="338">
        <f t="shared" si="314"/>
      </c>
      <c r="CW162" s="338">
        <f t="shared" si="314"/>
      </c>
      <c r="CX162" s="338">
        <f t="shared" si="314"/>
      </c>
      <c r="CY162" s="338">
        <f t="shared" si="314"/>
      </c>
      <c r="CZ162" s="338">
        <f t="shared" si="314"/>
      </c>
      <c r="DA162" s="338">
        <f t="shared" si="314"/>
      </c>
      <c r="DB162" s="338">
        <f>DB107*DB165</f>
      </c>
      <c r="DC162" s="338">
        <f>DC107*DC165</f>
      </c>
      <c r="DD162" s="338">
        <f>DD107*DD165</f>
      </c>
      <c r="DE162" s="338">
        <f>DE107*DE165</f>
      </c>
      <c r="DQ162" s="35"/>
      <c r="DR162" s="35"/>
      <c r="DS162" s="35"/>
      <c r="DT162" s="35"/>
      <c r="DU162" s="35">
        <f>SUM(BB162:BE162)</f>
      </c>
      <c r="DV162" s="35">
        <f>SUM(BF162:BI162)</f>
      </c>
      <c r="DW162" s="35">
        <f>SUM(BJ162:BM162)</f>
      </c>
      <c r="DX162" s="35">
        <f>SUM(BN162:BQ162)</f>
      </c>
      <c r="DY162" s="35">
        <f>SUM(BR162:BU162)</f>
      </c>
      <c r="DZ162" s="35">
        <f>BV162+BW162+BX162+BY162</f>
      </c>
      <c r="EA162" s="35">
        <f>SUM(BZ162:CC162)</f>
      </c>
      <c r="EB162" s="35">
        <f>+CD162+CE162+CF162+CG162</f>
      </c>
      <c r="EC162" s="35">
        <f>SUM(CH162:CK162)</f>
      </c>
      <c r="ED162" s="35">
        <f>SUM(CL162:CO162)</f>
      </c>
      <c r="EE162" s="35">
        <f>SUM(CP162:CS162)</f>
      </c>
      <c r="EF162" s="338">
        <f>SUM(CT162:CW162)</f>
      </c>
      <c r="EG162" s="338">
        <f>SUM(CX162:DA162)</f>
      </c>
      <c r="EH162" s="338">
        <f>SUM(DB162:DE162)</f>
      </c>
    </row>
    <row r="163" spans="1:138" s="47" customFormat="1">
      <c r="A163" s="372" t="s">
        <v>196</v>
      </c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  <c r="AG163" s="35"/>
      <c r="AH163" s="35"/>
      <c r="AI163" s="35"/>
      <c r="AJ163" s="35"/>
      <c r="AK163" s="35"/>
      <c r="AL163" s="35"/>
      <c r="AM163" s="35"/>
      <c r="AN163" s="35"/>
      <c r="AO163" s="35"/>
      <c r="AP163" s="35"/>
      <c r="AQ163" s="35"/>
      <c r="AR163" s="35"/>
      <c r="AS163" s="35"/>
      <c r="AT163" s="35"/>
      <c r="AU163" s="35"/>
      <c r="AV163" s="35"/>
      <c r="AW163" s="35"/>
      <c r="AX163" s="35"/>
      <c r="AY163" s="35"/>
      <c r="AZ163" s="35"/>
      <c r="BA163" s="35"/>
      <c r="BB163" s="35"/>
      <c r="BC163" s="49">
        <f t="shared" ref="BC163:DE163" si="315">BC162/BB162-1</f>
      </c>
      <c r="BD163" s="49">
        <f t="shared" si="315"/>
      </c>
      <c r="BE163" s="49">
        <f t="shared" si="315"/>
      </c>
      <c r="BF163" s="49">
        <f t="shared" si="315"/>
      </c>
      <c r="BG163" s="49">
        <f t="shared" si="315"/>
      </c>
      <c r="BH163" s="49">
        <f t="shared" si="315"/>
      </c>
      <c r="BI163" s="49">
        <f t="shared" si="315"/>
      </c>
      <c r="BJ163" s="49">
        <f t="shared" si="315"/>
      </c>
      <c r="BK163" s="49">
        <f t="shared" si="315"/>
      </c>
      <c r="BL163" s="49">
        <f t="shared" si="315"/>
      </c>
      <c r="BM163" s="49">
        <f t="shared" si="315"/>
      </c>
      <c r="BN163" s="49">
        <f t="shared" si="315"/>
      </c>
      <c r="BO163" s="49">
        <f t="shared" si="315"/>
      </c>
      <c r="BP163" s="49">
        <f t="shared" si="315"/>
      </c>
      <c r="BQ163" s="49">
        <f t="shared" si="315"/>
      </c>
      <c r="BR163" s="49">
        <f t="shared" si="315"/>
      </c>
      <c r="BS163" s="49">
        <f t="shared" si="315"/>
      </c>
      <c r="BT163" s="49">
        <f t="shared" si="315"/>
      </c>
      <c r="BU163" s="49">
        <f t="shared" si="315"/>
      </c>
      <c r="BV163" s="49">
        <f t="shared" si="315"/>
      </c>
      <c r="BW163" s="49">
        <f t="shared" si="315"/>
      </c>
      <c r="BX163" s="49">
        <f t="shared" si="315"/>
      </c>
      <c r="BY163" s="49">
        <f t="shared" si="315"/>
      </c>
      <c r="BZ163" s="49">
        <f t="shared" si="315"/>
      </c>
      <c r="CA163" s="49">
        <f t="shared" si="315"/>
      </c>
      <c r="CB163" s="49">
        <f t="shared" si="315"/>
      </c>
      <c r="CC163" s="49">
        <f t="shared" si="315"/>
      </c>
      <c r="CD163" s="49">
        <f t="shared" si="315"/>
      </c>
      <c r="CE163" s="49">
        <f t="shared" si="315"/>
      </c>
      <c r="CF163" s="49">
        <f t="shared" si="315"/>
      </c>
      <c r="CG163" s="49">
        <f t="shared" si="315"/>
      </c>
      <c r="CH163" s="49">
        <f t="shared" si="315"/>
      </c>
      <c r="CI163" s="49">
        <f t="shared" si="315"/>
      </c>
      <c r="CJ163" s="49">
        <f t="shared" si="315"/>
      </c>
      <c r="CK163" s="49">
        <f t="shared" si="315"/>
      </c>
      <c r="CL163" s="49">
        <f t="shared" si="315"/>
      </c>
      <c r="CM163" s="49">
        <f t="shared" si="315"/>
      </c>
      <c r="CN163" s="49">
        <f t="shared" si="315"/>
      </c>
      <c r="CO163" s="49">
        <f t="shared" si="315"/>
      </c>
      <c r="CP163" s="49">
        <f t="shared" si="315"/>
      </c>
      <c r="CQ163" s="49">
        <f t="shared" si="315"/>
      </c>
      <c r="CR163" s="49">
        <f t="shared" si="315"/>
      </c>
      <c r="CS163" s="49">
        <f t="shared" si="315"/>
      </c>
      <c r="CT163" s="49">
        <f t="shared" si="315"/>
      </c>
      <c r="CU163" s="49">
        <f t="shared" si="315"/>
      </c>
      <c r="CV163" s="341">
        <f t="shared" si="315"/>
      </c>
      <c r="CW163" s="341">
        <f t="shared" si="315"/>
      </c>
      <c r="CX163" s="341">
        <f t="shared" si="315"/>
      </c>
      <c r="CY163" s="341">
        <f t="shared" si="315"/>
      </c>
      <c r="CZ163" s="341">
        <f t="shared" si="315"/>
      </c>
      <c r="DA163" s="341">
        <f t="shared" si="315"/>
      </c>
      <c r="DB163" s="341">
        <f t="shared" si="315"/>
      </c>
      <c r="DC163" s="341">
        <f t="shared" si="315"/>
      </c>
      <c r="DD163" s="341">
        <f t="shared" si="315"/>
      </c>
      <c r="DE163" s="341">
        <f t="shared" si="315"/>
      </c>
      <c r="DH163" s="342" t="s">
        <v>197</v>
      </c>
      <c r="DI163" s="342" t="s">
        <v>197</v>
      </c>
      <c r="DJ163" s="342" t="s">
        <v>197</v>
      </c>
      <c r="DK163" s="342" t="s">
        <v>197</v>
      </c>
      <c r="DL163" s="342" t="s">
        <v>197</v>
      </c>
      <c r="DM163" s="342" t="s">
        <v>197</v>
      </c>
      <c r="DN163" s="342" t="s">
        <v>197</v>
      </c>
      <c r="DO163" s="342" t="s">
        <v>197</v>
      </c>
      <c r="DP163" s="342" t="s">
        <v>197</v>
      </c>
      <c r="DQ163" s="342" t="s">
        <v>197</v>
      </c>
      <c r="DR163" s="342" t="s">
        <v>197</v>
      </c>
      <c r="DS163" s="342" t="s">
        <v>197</v>
      </c>
      <c r="DT163" s="342" t="s">
        <v>197</v>
      </c>
      <c r="DU163" s="342" t="s">
        <v>197</v>
      </c>
      <c r="DV163" s="342" t="s">
        <v>197</v>
      </c>
      <c r="DW163" s="342" t="s">
        <v>197</v>
      </c>
      <c r="DX163" s="342" t="s">
        <v>197</v>
      </c>
      <c r="DY163" s="342" t="s">
        <v>197</v>
      </c>
      <c r="DZ163" s="342" t="s">
        <v>197</v>
      </c>
      <c r="EA163" s="342" t="s">
        <v>197</v>
      </c>
      <c r="EB163" s="342" t="s">
        <v>197</v>
      </c>
      <c r="EC163" s="342" t="s">
        <v>197</v>
      </c>
      <c r="ED163" s="342" t="s">
        <v>197</v>
      </c>
      <c r="EE163" s="342" t="s">
        <v>197</v>
      </c>
      <c r="EF163" s="343" t="s">
        <v>197</v>
      </c>
      <c r="EG163" s="343" t="s">
        <v>197</v>
      </c>
      <c r="EH163" s="343" t="s">
        <v>197</v>
      </c>
    </row>
    <row r="164" spans="1:138" s="47" customFormat="1">
      <c r="A164" s="372" t="s">
        <v>198</v>
      </c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5"/>
      <c r="AI164" s="35"/>
      <c r="AJ164" s="35"/>
      <c r="AK164" s="35"/>
      <c r="AL164" s="35"/>
      <c r="AM164" s="35"/>
      <c r="AN164" s="35"/>
      <c r="AO164" s="35"/>
      <c r="AP164" s="35"/>
      <c r="AQ164" s="35"/>
      <c r="AR164" s="35"/>
      <c r="AS164" s="35"/>
      <c r="AT164" s="35"/>
      <c r="AU164" s="35"/>
      <c r="AV164" s="35"/>
      <c r="AW164" s="35"/>
      <c r="AX164" s="35"/>
      <c r="AY164" s="35"/>
      <c r="AZ164" s="35"/>
      <c r="BA164" s="35"/>
      <c r="BB164" s="35"/>
      <c r="BC164" s="35"/>
      <c r="BD164" s="35"/>
      <c r="BE164" s="35"/>
      <c r="BF164" s="394">
        <f t="shared" ref="BF164:DE164" si="316">BF162/BB162-1</f>
      </c>
      <c r="BG164" s="394">
        <f t="shared" si="316"/>
      </c>
      <c r="BH164" s="394">
        <f t="shared" si="316"/>
      </c>
      <c r="BI164" s="394">
        <f t="shared" si="316"/>
      </c>
      <c r="BJ164" s="394">
        <f t="shared" si="316"/>
      </c>
      <c r="BK164" s="394">
        <f t="shared" si="316"/>
      </c>
      <c r="BL164" s="394">
        <f t="shared" si="316"/>
      </c>
      <c r="BM164" s="394">
        <f t="shared" si="316"/>
      </c>
      <c r="BN164" s="394">
        <f t="shared" si="316"/>
      </c>
      <c r="BO164" s="394">
        <f t="shared" si="316"/>
      </c>
      <c r="BP164" s="394">
        <f t="shared" si="316"/>
      </c>
      <c r="BQ164" s="394">
        <f t="shared" si="316"/>
      </c>
      <c r="BR164" s="394">
        <f t="shared" si="316"/>
      </c>
      <c r="BS164" s="394">
        <f t="shared" si="316"/>
      </c>
      <c r="BT164" s="394">
        <f t="shared" si="316"/>
      </c>
      <c r="BU164" s="394">
        <f t="shared" si="316"/>
      </c>
      <c r="BV164" s="394">
        <f t="shared" si="316"/>
      </c>
      <c r="BW164" s="394">
        <f t="shared" si="316"/>
      </c>
      <c r="BX164" s="394">
        <f t="shared" si="316"/>
      </c>
      <c r="BY164" s="394">
        <f t="shared" si="316"/>
      </c>
      <c r="BZ164" s="394">
        <f t="shared" si="316"/>
      </c>
      <c r="CA164" s="394">
        <f t="shared" si="316"/>
      </c>
      <c r="CB164" s="394">
        <f t="shared" si="316"/>
      </c>
      <c r="CC164" s="394">
        <f t="shared" si="316"/>
      </c>
      <c r="CD164" s="394">
        <f t="shared" si="316"/>
      </c>
      <c r="CE164" s="394">
        <f t="shared" si="316"/>
      </c>
      <c r="CF164" s="394">
        <f t="shared" si="316"/>
      </c>
      <c r="CG164" s="394">
        <f t="shared" si="316"/>
      </c>
      <c r="CH164" s="394">
        <f t="shared" si="316"/>
      </c>
      <c r="CI164" s="394">
        <f t="shared" si="316"/>
      </c>
      <c r="CJ164" s="394">
        <f t="shared" si="316"/>
      </c>
      <c r="CK164" s="394">
        <f t="shared" si="316"/>
      </c>
      <c r="CL164" s="394">
        <f t="shared" si="316"/>
      </c>
      <c r="CM164" s="394">
        <f t="shared" si="316"/>
      </c>
      <c r="CN164" s="394">
        <f t="shared" si="316"/>
      </c>
      <c r="CO164" s="394">
        <f t="shared" si="316"/>
      </c>
      <c r="CP164" s="394">
        <f t="shared" si="316"/>
      </c>
      <c r="CQ164" s="394">
        <f t="shared" si="316"/>
      </c>
      <c r="CR164" s="394">
        <f t="shared" si="316"/>
      </c>
      <c r="CS164" s="394">
        <f t="shared" si="316"/>
      </c>
      <c r="CT164" s="394">
        <f t="shared" si="316"/>
      </c>
      <c r="CU164" s="394">
        <f t="shared" si="316"/>
      </c>
      <c r="CV164" s="398">
        <f t="shared" si="316"/>
      </c>
      <c r="CW164" s="398">
        <f t="shared" si="316"/>
      </c>
      <c r="CX164" s="398">
        <f t="shared" si="316"/>
      </c>
      <c r="CY164" s="398">
        <f t="shared" si="316"/>
      </c>
      <c r="CZ164" s="398">
        <f t="shared" si="316"/>
      </c>
      <c r="DA164" s="398">
        <f t="shared" si="316"/>
      </c>
      <c r="DB164" s="398">
        <f t="shared" si="316"/>
      </c>
      <c r="DC164" s="398">
        <f t="shared" si="316"/>
      </c>
      <c r="DD164" s="398">
        <f t="shared" si="316"/>
      </c>
      <c r="DE164" s="398">
        <f t="shared" si="316"/>
      </c>
      <c r="DQ164" s="35"/>
      <c r="DR164" s="35"/>
      <c r="DS164" s="35"/>
      <c r="DT164" s="35"/>
      <c r="DU164" s="35"/>
      <c r="DV164" s="49">
        <f t="shared" ref="DV164:EH164" si="317">DV162/DU162-1</f>
      </c>
      <c r="DW164" s="49">
        <f t="shared" si="317"/>
      </c>
      <c r="DX164" s="49">
        <f t="shared" si="317"/>
      </c>
      <c r="DY164" s="49">
        <f t="shared" si="317"/>
      </c>
      <c r="DZ164" s="49">
        <f t="shared" si="317"/>
      </c>
      <c r="EA164" s="49">
        <f t="shared" si="317"/>
      </c>
      <c r="EB164" s="49">
        <f t="shared" si="317"/>
      </c>
      <c r="EC164" s="49">
        <f t="shared" si="317"/>
      </c>
      <c r="ED164" s="49">
        <f t="shared" si="317"/>
      </c>
      <c r="EE164" s="49">
        <f t="shared" si="317"/>
      </c>
      <c r="EF164" s="341">
        <f t="shared" si="317"/>
      </c>
      <c r="EG164" s="341">
        <f t="shared" si="317"/>
      </c>
      <c r="EH164" s="341">
        <f t="shared" si="317"/>
      </c>
    </row>
    <row r="165" spans="1:138" s="49" customFormat="1">
      <c r="A165" s="403" t="s">
        <v>248</v>
      </c>
      <c r="B165" s="404"/>
      <c r="C165" s="404"/>
      <c r="D165" s="404"/>
      <c r="E165" s="404"/>
      <c r="F165" s="404"/>
      <c r="G165" s="404"/>
      <c r="H165" s="404"/>
      <c r="I165" s="404"/>
      <c r="J165" s="404"/>
      <c r="K165" s="404"/>
      <c r="L165" s="404"/>
      <c r="M165" s="404"/>
      <c r="N165" s="404"/>
      <c r="O165" s="404"/>
      <c r="P165" s="404"/>
      <c r="Q165" s="404"/>
      <c r="R165" s="404"/>
      <c r="S165" s="404"/>
      <c r="T165" s="404"/>
      <c r="U165" s="404"/>
      <c r="V165" s="404"/>
      <c r="W165" s="404"/>
      <c r="X165" s="404"/>
      <c r="Y165" s="404"/>
      <c r="Z165" s="404"/>
      <c r="AA165" s="404"/>
      <c r="AB165" s="404"/>
      <c r="AC165" s="404"/>
      <c r="AD165" s="404"/>
      <c r="AE165" s="404"/>
      <c r="AF165" s="404"/>
      <c r="AG165" s="404"/>
      <c r="AH165" s="404"/>
      <c r="AI165" s="404"/>
      <c r="AJ165" s="404"/>
      <c r="AK165" s="404"/>
      <c r="AL165" s="404"/>
      <c r="AM165" s="404"/>
      <c r="AN165" s="404"/>
      <c r="AO165" s="404"/>
      <c r="AP165" s="404"/>
      <c r="AQ165" s="404"/>
      <c r="AR165" s="404"/>
      <c r="AS165" s="404"/>
      <c r="AT165" s="404"/>
      <c r="AU165" s="404"/>
      <c r="AV165" s="404"/>
      <c r="AW165" s="404"/>
      <c r="AX165" s="404"/>
      <c r="AY165" s="404"/>
      <c r="AZ165" s="404"/>
      <c r="BA165" s="404"/>
      <c r="BB165" s="398">
        <f>BB141*0.6</f>
      </c>
      <c r="BC165" s="398">
        <f>BC141*0.6</f>
      </c>
      <c r="BD165" s="398">
        <f>BD141*0.6</f>
      </c>
      <c r="BE165" s="398">
        <f>BE141*0.55</f>
      </c>
      <c r="BF165" s="398">
        <f>BF141*0.55</f>
      </c>
      <c r="BG165" s="398">
        <f>BG141*0.5</f>
      </c>
      <c r="BH165" s="398">
        <f>BH141*0.55</f>
      </c>
      <c r="BI165" s="398">
        <f>BI141*0.55</f>
      </c>
      <c r="BJ165" s="398">
        <f>BJ141*0.5</f>
      </c>
      <c r="BK165" s="398">
        <v>0.28999999999999998</v>
      </c>
      <c r="BL165" s="398">
        <v>0.28999999999999998</v>
      </c>
      <c r="BM165" s="398">
        <v>0.3</v>
      </c>
      <c r="BN165" s="398">
        <v>0.3</v>
      </c>
      <c r="BO165" s="398">
        <v>0.31</v>
      </c>
      <c r="BP165" s="398">
        <v>0.33</v>
      </c>
      <c r="BQ165" s="398">
        <v>0.33</v>
      </c>
      <c r="BR165" s="398">
        <v>0.35</v>
      </c>
      <c r="BS165" s="398">
        <v>0.31</v>
      </c>
      <c r="BT165" s="398">
        <f>BS165</f>
      </c>
      <c r="BU165" s="398">
        <v>0.32</v>
      </c>
      <c r="BV165" s="398">
        <v>0.32</v>
      </c>
      <c r="BW165" s="398">
        <v>0.35</v>
      </c>
      <c r="BX165" s="398">
        <v>0.4</v>
      </c>
      <c r="BY165" s="398">
        <v>0.4</v>
      </c>
      <c r="BZ165" s="398">
        <v>0.37</v>
      </c>
      <c r="CA165" s="398">
        <v>0.4</v>
      </c>
      <c r="CB165" s="398">
        <v>0.4</v>
      </c>
      <c r="CC165" s="398">
        <v>0.4</v>
      </c>
      <c r="CD165" s="398">
        <f>CC165</f>
      </c>
      <c r="CE165" s="398">
        <f>CD165</f>
      </c>
      <c r="CF165" s="398">
        <f>CE165</f>
      </c>
      <c r="CG165" s="398">
        <f>CF165</f>
      </c>
      <c r="CH165" s="398">
        <f>CG165</f>
      </c>
      <c r="CI165" s="398">
        <v>0.42</v>
      </c>
      <c r="CJ165" s="398">
        <v>0.42</v>
      </c>
      <c r="CK165" s="398">
        <v>0.44</v>
      </c>
      <c r="CL165" s="398">
        <v>0.44</v>
      </c>
      <c r="CM165" s="398">
        <v>0.44</v>
      </c>
      <c r="CN165" s="398">
        <v>0.45</v>
      </c>
      <c r="CO165" s="398">
        <f t="shared" ref="CO165:DE165" si="318">CN165+0.01</f>
      </c>
      <c r="CP165" s="398">
        <v>0.48</v>
      </c>
      <c r="CQ165" s="398">
        <v>0.48</v>
      </c>
      <c r="CR165" s="398">
        <f t="shared" si="318"/>
      </c>
      <c r="CS165" s="398">
        <f>CR165+0.02</f>
      </c>
      <c r="CT165" s="398">
        <v>0.5</v>
      </c>
      <c r="CU165" s="398">
        <v>0.5</v>
      </c>
      <c r="CV165" s="398">
        <f t="shared" si="318"/>
      </c>
      <c r="CW165" s="398">
        <f t="shared" si="318"/>
      </c>
      <c r="CX165" s="398">
        <f t="shared" si="318"/>
      </c>
      <c r="CY165" s="398">
        <f t="shared" si="318"/>
      </c>
      <c r="CZ165" s="398">
        <f t="shared" si="318"/>
      </c>
      <c r="DA165" s="398">
        <f t="shared" si="318"/>
      </c>
      <c r="DB165" s="398">
        <f t="shared" si="318"/>
      </c>
      <c r="DC165" s="398">
        <f t="shared" si="318"/>
      </c>
      <c r="DD165" s="398">
        <f t="shared" si="318"/>
      </c>
      <c r="DE165" s="398">
        <f t="shared" si="318"/>
      </c>
      <c r="DQ165" s="62"/>
      <c r="DR165" s="62"/>
      <c r="DS165" s="62"/>
      <c r="DU165" s="49">
        <f t="shared" ref="DU165:EC165" si="319">DU162/DU107</f>
      </c>
      <c r="DV165" s="49">
        <f t="shared" si="319"/>
      </c>
      <c r="DW165" s="49">
        <f t="shared" si="319"/>
      </c>
      <c r="DX165" s="49">
        <f t="shared" si="319"/>
      </c>
      <c r="DY165" s="49">
        <f t="shared" si="319"/>
      </c>
      <c r="DZ165" s="49">
        <f t="shared" si="319"/>
      </c>
      <c r="EA165" s="49">
        <f t="shared" si="319"/>
      </c>
      <c r="EB165" s="49">
        <f t="shared" si="319"/>
      </c>
      <c r="EC165" s="49">
        <f t="shared" si="319"/>
      </c>
      <c r="ED165" s="49">
        <f>ED162/ED107</f>
      </c>
      <c r="EE165" s="49">
        <f>EE162/EE107</f>
      </c>
      <c r="EF165" s="345">
        <f>EF162/EF107</f>
      </c>
      <c r="EG165" s="345">
        <f>EG162/EG107</f>
      </c>
      <c r="EH165" s="345">
        <f>EH162/EH107</f>
      </c>
    </row>
    <row r="166" spans="1:138" s="47" customFormat="1">
      <c r="A166" s="35" t="s">
        <v>251</v>
      </c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  <c r="AG166" s="35"/>
      <c r="AH166" s="35"/>
      <c r="AI166" s="35"/>
      <c r="AJ166" s="35"/>
      <c r="AK166" s="35"/>
      <c r="AL166" s="35"/>
      <c r="AM166" s="35"/>
      <c r="AN166" s="35"/>
      <c r="AO166" s="35"/>
      <c r="AP166" s="35"/>
      <c r="AQ166" s="35"/>
      <c r="AR166" s="35"/>
      <c r="AS166" s="35"/>
      <c r="AT166" s="35"/>
      <c r="AU166" s="35"/>
      <c r="AV166" s="35"/>
      <c r="AW166" s="35"/>
      <c r="AX166" s="35"/>
      <c r="AY166" s="35"/>
      <c r="AZ166" s="35"/>
      <c r="BA166" s="35"/>
      <c r="BB166" s="35">
        <f t="shared" ref="BB166:CS166" si="320">BB111*BB169</f>
      </c>
      <c r="BC166" s="35">
        <f t="shared" si="320"/>
      </c>
      <c r="BD166" s="35">
        <f t="shared" si="320"/>
      </c>
      <c r="BE166" s="35">
        <f t="shared" si="320"/>
      </c>
      <c r="BF166" s="35">
        <f t="shared" si="320"/>
      </c>
      <c r="BG166" s="35">
        <f t="shared" si="320"/>
      </c>
      <c r="BH166" s="35">
        <f t="shared" si="320"/>
      </c>
      <c r="BI166" s="35">
        <f t="shared" si="320"/>
      </c>
      <c r="BJ166" s="35">
        <f t="shared" si="320"/>
      </c>
      <c r="BK166" s="35">
        <f t="shared" si="320"/>
      </c>
      <c r="BL166" s="35">
        <f t="shared" si="320"/>
      </c>
      <c r="BM166" s="35">
        <f t="shared" si="320"/>
      </c>
      <c r="BN166" s="35">
        <f t="shared" si="320"/>
      </c>
      <c r="BO166" s="35">
        <f t="shared" si="320"/>
      </c>
      <c r="BP166" s="35">
        <f t="shared" si="320"/>
      </c>
      <c r="BQ166" s="35">
        <f t="shared" si="320"/>
      </c>
      <c r="BR166" s="35">
        <f t="shared" si="320"/>
      </c>
      <c r="BS166" s="35">
        <f t="shared" si="320"/>
      </c>
      <c r="BT166" s="35">
        <f t="shared" si="320"/>
      </c>
      <c r="BU166" s="35">
        <f t="shared" si="320"/>
      </c>
      <c r="BV166" s="35">
        <f t="shared" si="320"/>
      </c>
      <c r="BW166" s="35">
        <f t="shared" si="320"/>
      </c>
      <c r="BX166" s="35">
        <f t="shared" si="320"/>
      </c>
      <c r="BY166" s="35">
        <f t="shared" si="320"/>
      </c>
      <c r="BZ166" s="35">
        <f t="shared" si="320"/>
      </c>
      <c r="CA166" s="35">
        <f t="shared" si="320"/>
      </c>
      <c r="CB166" s="35">
        <f t="shared" si="320"/>
      </c>
      <c r="CC166" s="35">
        <f t="shared" si="320"/>
      </c>
      <c r="CD166" s="35">
        <f t="shared" si="320"/>
      </c>
      <c r="CE166" s="35">
        <f t="shared" si="320"/>
      </c>
      <c r="CF166" s="35">
        <f t="shared" si="320"/>
      </c>
      <c r="CG166" s="35">
        <f t="shared" si="320"/>
      </c>
      <c r="CH166" s="35">
        <f>CH111*CH169</f>
      </c>
      <c r="CI166" s="35">
        <f>CI111*CI169</f>
      </c>
      <c r="CJ166" s="35">
        <f t="shared" si="320"/>
      </c>
      <c r="CK166" s="35">
        <f t="shared" si="320"/>
      </c>
      <c r="CL166" s="35">
        <f t="shared" si="320"/>
      </c>
      <c r="CM166" s="35">
        <f>CM111*CM169</f>
      </c>
      <c r="CN166" s="35">
        <f>CN111*CN169</f>
      </c>
      <c r="CO166" s="35">
        <f t="shared" si="320"/>
      </c>
      <c r="CP166" s="35">
        <f t="shared" si="320"/>
      </c>
      <c r="CQ166" s="35">
        <f t="shared" si="320"/>
      </c>
      <c r="CR166" s="35">
        <f t="shared" si="320"/>
      </c>
      <c r="CS166" s="35">
        <f t="shared" si="320"/>
      </c>
      <c r="CT166" s="35">
        <f>CT111*CT169</f>
      </c>
      <c r="CU166" s="35">
        <f t="shared" ref="CU166:DA166" si="321">CU111*CU169</f>
      </c>
      <c r="CV166" s="338">
        <f t="shared" si="321"/>
      </c>
      <c r="CW166" s="338">
        <f t="shared" si="321"/>
      </c>
      <c r="CX166" s="338">
        <f t="shared" si="321"/>
      </c>
      <c r="CY166" s="338">
        <f t="shared" si="321"/>
      </c>
      <c r="CZ166" s="338">
        <f t="shared" si="321"/>
      </c>
      <c r="DA166" s="338">
        <f t="shared" si="321"/>
      </c>
      <c r="DB166" s="338">
        <f>DB111*DB169</f>
      </c>
      <c r="DC166" s="338">
        <f>DC111*DC169</f>
      </c>
      <c r="DD166" s="338">
        <f>DD111*DD169</f>
      </c>
      <c r="DE166" s="338">
        <f>DE111*DE169</f>
      </c>
      <c r="DQ166" s="35"/>
      <c r="DR166" s="35"/>
      <c r="DS166" s="35"/>
      <c r="DT166" s="35"/>
      <c r="DU166" s="35">
        <f>SUM(BB166:BE166)</f>
      </c>
      <c r="DV166" s="35">
        <f>SUM(BF166:BI166)</f>
      </c>
      <c r="DW166" s="35">
        <f>SUM(BJ166:BM166)</f>
      </c>
      <c r="DX166" s="35">
        <f>SUM(BN166:BQ166)</f>
      </c>
      <c r="DY166" s="35">
        <f>SUM(BR166:BU166)</f>
      </c>
      <c r="DZ166" s="35">
        <f>BV166+BW166+BX166+BY166</f>
      </c>
      <c r="EA166" s="35">
        <f>SUM(BZ166:CC166)</f>
      </c>
      <c r="EB166" s="35">
        <f>+CD166+CE166+CF166+CG166</f>
      </c>
      <c r="EC166" s="35">
        <f>SUM(CH166:CK166)</f>
      </c>
      <c r="ED166" s="35">
        <f>SUM(CL166:CO166)</f>
      </c>
      <c r="EE166" s="35">
        <f>SUM(CP166:CS166)</f>
      </c>
      <c r="EF166" s="338">
        <f>SUM(CT166:CW166)</f>
      </c>
      <c r="EG166" s="338">
        <f>SUM(CX166:DA166)</f>
      </c>
      <c r="EH166" s="338">
        <f>SUM(DB166:DE166)</f>
      </c>
    </row>
    <row r="167" spans="1:138" s="47" customFormat="1">
      <c r="A167" s="372" t="s">
        <v>196</v>
      </c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  <c r="AI167" s="35"/>
      <c r="AJ167" s="35"/>
      <c r="AK167" s="35"/>
      <c r="AL167" s="35"/>
      <c r="AM167" s="35"/>
      <c r="AN167" s="35"/>
      <c r="AO167" s="35"/>
      <c r="AP167" s="35"/>
      <c r="AQ167" s="35"/>
      <c r="AR167" s="35"/>
      <c r="AS167" s="35"/>
      <c r="AT167" s="35"/>
      <c r="AU167" s="35"/>
      <c r="AV167" s="35"/>
      <c r="AW167" s="35"/>
      <c r="AX167" s="35"/>
      <c r="AY167" s="35"/>
      <c r="AZ167" s="35"/>
      <c r="BA167" s="35"/>
      <c r="BB167" s="35"/>
      <c r="BC167" s="49">
        <f t="shared" ref="BC167:DE167" si="322">BC166/BB166-1</f>
      </c>
      <c r="BD167" s="49">
        <f t="shared" si="322"/>
      </c>
      <c r="BE167" s="49">
        <f t="shared" si="322"/>
      </c>
      <c r="BF167" s="49">
        <f t="shared" si="322"/>
      </c>
      <c r="BG167" s="49">
        <f t="shared" si="322"/>
      </c>
      <c r="BH167" s="49">
        <f t="shared" si="322"/>
      </c>
      <c r="BI167" s="49">
        <f t="shared" si="322"/>
      </c>
      <c r="BJ167" s="49">
        <f t="shared" si="322"/>
      </c>
      <c r="BK167" s="49">
        <f t="shared" si="322"/>
      </c>
      <c r="BL167" s="49">
        <f t="shared" si="322"/>
      </c>
      <c r="BM167" s="49">
        <f t="shared" si="322"/>
      </c>
      <c r="BN167" s="49">
        <f t="shared" si="322"/>
      </c>
      <c r="BO167" s="49">
        <f t="shared" si="322"/>
      </c>
      <c r="BP167" s="49">
        <f t="shared" si="322"/>
      </c>
      <c r="BQ167" s="49">
        <f t="shared" si="322"/>
      </c>
      <c r="BR167" s="49">
        <f t="shared" si="322"/>
      </c>
      <c r="BS167" s="49">
        <f t="shared" si="322"/>
      </c>
      <c r="BT167" s="49">
        <f t="shared" si="322"/>
      </c>
      <c r="BU167" s="49">
        <f t="shared" si="322"/>
      </c>
      <c r="BV167" s="49">
        <f t="shared" si="322"/>
      </c>
      <c r="BW167" s="49">
        <f t="shared" si="322"/>
      </c>
      <c r="BX167" s="49">
        <f t="shared" si="322"/>
      </c>
      <c r="BY167" s="49">
        <f t="shared" si="322"/>
      </c>
      <c r="BZ167" s="49">
        <f t="shared" si="322"/>
      </c>
      <c r="CA167" s="49">
        <f t="shared" si="322"/>
      </c>
      <c r="CB167" s="49">
        <f t="shared" si="322"/>
      </c>
      <c r="CC167" s="49">
        <f t="shared" si="322"/>
      </c>
      <c r="CD167" s="49">
        <f t="shared" si="322"/>
      </c>
      <c r="CE167" s="49">
        <f t="shared" si="322"/>
      </c>
      <c r="CF167" s="49">
        <f t="shared" si="322"/>
      </c>
      <c r="CG167" s="49">
        <f t="shared" si="322"/>
      </c>
      <c r="CH167" s="49">
        <f t="shared" si="322"/>
      </c>
      <c r="CI167" s="49">
        <f t="shared" si="322"/>
      </c>
      <c r="CJ167" s="49">
        <f t="shared" si="322"/>
      </c>
      <c r="CK167" s="49">
        <f t="shared" si="322"/>
      </c>
      <c r="CL167" s="49">
        <f t="shared" si="322"/>
      </c>
      <c r="CM167" s="49">
        <f t="shared" si="322"/>
      </c>
      <c r="CN167" s="49">
        <f t="shared" si="322"/>
      </c>
      <c r="CO167" s="49">
        <f t="shared" si="322"/>
      </c>
      <c r="CP167" s="49">
        <f t="shared" si="322"/>
      </c>
      <c r="CQ167" s="49">
        <f t="shared" si="322"/>
      </c>
      <c r="CR167" s="49">
        <f t="shared" si="322"/>
      </c>
      <c r="CS167" s="49">
        <f t="shared" si="322"/>
      </c>
      <c r="CT167" s="49">
        <f t="shared" si="322"/>
      </c>
      <c r="CU167" s="49">
        <f t="shared" si="322"/>
      </c>
      <c r="CV167" s="341">
        <f t="shared" si="322"/>
      </c>
      <c r="CW167" s="341">
        <f t="shared" si="322"/>
      </c>
      <c r="CX167" s="341">
        <f t="shared" si="322"/>
      </c>
      <c r="CY167" s="341">
        <f t="shared" si="322"/>
      </c>
      <c r="CZ167" s="341">
        <f t="shared" si="322"/>
      </c>
      <c r="DA167" s="341">
        <f t="shared" si="322"/>
      </c>
      <c r="DB167" s="341">
        <f t="shared" si="322"/>
      </c>
      <c r="DC167" s="341">
        <f t="shared" si="322"/>
      </c>
      <c r="DD167" s="341">
        <f t="shared" si="322"/>
      </c>
      <c r="DE167" s="341">
        <f t="shared" si="322"/>
      </c>
      <c r="DH167" s="342" t="s">
        <v>197</v>
      </c>
      <c r="DI167" s="342" t="s">
        <v>197</v>
      </c>
      <c r="DJ167" s="342" t="s">
        <v>197</v>
      </c>
      <c r="DK167" s="342" t="s">
        <v>197</v>
      </c>
      <c r="DL167" s="342" t="s">
        <v>197</v>
      </c>
      <c r="DM167" s="342" t="s">
        <v>197</v>
      </c>
      <c r="DN167" s="342" t="s">
        <v>197</v>
      </c>
      <c r="DO167" s="342" t="s">
        <v>197</v>
      </c>
      <c r="DP167" s="342" t="s">
        <v>197</v>
      </c>
      <c r="DQ167" s="342" t="s">
        <v>197</v>
      </c>
      <c r="DR167" s="342" t="s">
        <v>197</v>
      </c>
      <c r="DS167" s="342" t="s">
        <v>197</v>
      </c>
      <c r="DT167" s="342" t="s">
        <v>197</v>
      </c>
      <c r="DU167" s="342" t="s">
        <v>197</v>
      </c>
      <c r="DV167" s="342" t="s">
        <v>197</v>
      </c>
      <c r="DW167" s="342" t="s">
        <v>197</v>
      </c>
      <c r="DX167" s="342" t="s">
        <v>197</v>
      </c>
      <c r="DY167" s="342" t="s">
        <v>197</v>
      </c>
      <c r="DZ167" s="342" t="s">
        <v>197</v>
      </c>
      <c r="EA167" s="342" t="s">
        <v>197</v>
      </c>
      <c r="EB167" s="342" t="s">
        <v>197</v>
      </c>
      <c r="EC167" s="342" t="s">
        <v>197</v>
      </c>
      <c r="ED167" s="342" t="s">
        <v>197</v>
      </c>
      <c r="EE167" s="342" t="s">
        <v>197</v>
      </c>
      <c r="EF167" s="343" t="s">
        <v>197</v>
      </c>
      <c r="EG167" s="343" t="s">
        <v>197</v>
      </c>
      <c r="EH167" s="343" t="s">
        <v>197</v>
      </c>
    </row>
    <row r="168" spans="1:138" s="47" customFormat="1">
      <c r="A168" s="372" t="s">
        <v>198</v>
      </c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  <c r="AG168" s="35"/>
      <c r="AH168" s="35"/>
      <c r="AI168" s="35"/>
      <c r="AJ168" s="35"/>
      <c r="AK168" s="35"/>
      <c r="AL168" s="35"/>
      <c r="AM168" s="35"/>
      <c r="AN168" s="35"/>
      <c r="AO168" s="35"/>
      <c r="AP168" s="35"/>
      <c r="AQ168" s="35"/>
      <c r="AR168" s="35"/>
      <c r="AS168" s="35"/>
      <c r="AT168" s="35"/>
      <c r="AU168" s="35"/>
      <c r="AV168" s="35"/>
      <c r="AW168" s="35"/>
      <c r="AX168" s="35"/>
      <c r="AY168" s="35"/>
      <c r="AZ168" s="35"/>
      <c r="BA168" s="35"/>
      <c r="BB168" s="35"/>
      <c r="BC168" s="35"/>
      <c r="BD168" s="35"/>
      <c r="BE168" s="35"/>
      <c r="BF168" s="394">
        <f t="shared" ref="BF168:DE168" si="323">BF166/BB166-1</f>
      </c>
      <c r="BG168" s="394">
        <f t="shared" si="323"/>
      </c>
      <c r="BH168" s="394">
        <f t="shared" si="323"/>
      </c>
      <c r="BI168" s="394">
        <f t="shared" si="323"/>
      </c>
      <c r="BJ168" s="394">
        <f t="shared" si="323"/>
      </c>
      <c r="BK168" s="394">
        <f t="shared" si="323"/>
      </c>
      <c r="BL168" s="394">
        <f t="shared" si="323"/>
      </c>
      <c r="BM168" s="394">
        <f t="shared" si="323"/>
      </c>
      <c r="BN168" s="394">
        <f t="shared" si="323"/>
      </c>
      <c r="BO168" s="394">
        <f t="shared" si="323"/>
      </c>
      <c r="BP168" s="394">
        <f t="shared" si="323"/>
      </c>
      <c r="BQ168" s="394">
        <f t="shared" si="323"/>
      </c>
      <c r="BR168" s="394">
        <f t="shared" si="323"/>
      </c>
      <c r="BS168" s="394">
        <f t="shared" si="323"/>
      </c>
      <c r="BT168" s="394">
        <f t="shared" si="323"/>
      </c>
      <c r="BU168" s="394">
        <f t="shared" si="323"/>
      </c>
      <c r="BV168" s="394">
        <f t="shared" si="323"/>
      </c>
      <c r="BW168" s="394">
        <f t="shared" si="323"/>
      </c>
      <c r="BX168" s="394">
        <f t="shared" si="323"/>
      </c>
      <c r="BY168" s="394">
        <f t="shared" si="323"/>
      </c>
      <c r="BZ168" s="394">
        <f t="shared" si="323"/>
      </c>
      <c r="CA168" s="394">
        <f t="shared" si="323"/>
      </c>
      <c r="CB168" s="394">
        <f t="shared" si="323"/>
      </c>
      <c r="CC168" s="394">
        <f t="shared" si="323"/>
      </c>
      <c r="CD168" s="394">
        <f t="shared" si="323"/>
      </c>
      <c r="CE168" s="394">
        <f t="shared" si="323"/>
      </c>
      <c r="CF168" s="394">
        <f t="shared" si="323"/>
      </c>
      <c r="CG168" s="394">
        <f t="shared" si="323"/>
      </c>
      <c r="CH168" s="394">
        <f t="shared" si="323"/>
      </c>
      <c r="CI168" s="394">
        <f t="shared" si="323"/>
      </c>
      <c r="CJ168" s="394">
        <f t="shared" si="323"/>
      </c>
      <c r="CK168" s="394">
        <f t="shared" si="323"/>
      </c>
      <c r="CL168" s="394">
        <f t="shared" si="323"/>
      </c>
      <c r="CM168" s="394">
        <f t="shared" si="323"/>
      </c>
      <c r="CN168" s="394">
        <f t="shared" si="323"/>
      </c>
      <c r="CO168" s="394">
        <f t="shared" si="323"/>
      </c>
      <c r="CP168" s="394">
        <f t="shared" si="323"/>
      </c>
      <c r="CQ168" s="394">
        <f t="shared" si="323"/>
      </c>
      <c r="CR168" s="394">
        <f t="shared" si="323"/>
      </c>
      <c r="CS168" s="394">
        <f t="shared" si="323"/>
      </c>
      <c r="CT168" s="394">
        <f t="shared" si="323"/>
      </c>
      <c r="CU168" s="394">
        <f t="shared" si="323"/>
      </c>
      <c r="CV168" s="398">
        <f t="shared" si="323"/>
      </c>
      <c r="CW168" s="398">
        <f t="shared" si="323"/>
      </c>
      <c r="CX168" s="398">
        <f t="shared" si="323"/>
      </c>
      <c r="CY168" s="398">
        <f t="shared" si="323"/>
      </c>
      <c r="CZ168" s="398">
        <f t="shared" si="323"/>
      </c>
      <c r="DA168" s="398">
        <f t="shared" si="323"/>
      </c>
      <c r="DB168" s="398">
        <f t="shared" si="323"/>
      </c>
      <c r="DC168" s="398">
        <f t="shared" si="323"/>
      </c>
      <c r="DD168" s="398">
        <f t="shared" si="323"/>
      </c>
      <c r="DE168" s="398">
        <f t="shared" si="323"/>
      </c>
      <c r="DQ168" s="35"/>
      <c r="DR168" s="35"/>
      <c r="DS168" s="35"/>
      <c r="DT168" s="35"/>
      <c r="DU168" s="35"/>
      <c r="DV168" s="49">
        <f t="shared" ref="DV168:EH168" si="324">DV166/DU166-1</f>
      </c>
      <c r="DW168" s="49">
        <f t="shared" si="324"/>
      </c>
      <c r="DX168" s="49">
        <f t="shared" si="324"/>
      </c>
      <c r="DY168" s="49">
        <f t="shared" si="324"/>
      </c>
      <c r="DZ168" s="49">
        <f t="shared" si="324"/>
      </c>
      <c r="EA168" s="49">
        <f t="shared" si="324"/>
      </c>
      <c r="EB168" s="49">
        <f t="shared" si="324"/>
      </c>
      <c r="EC168" s="49">
        <f t="shared" si="324"/>
      </c>
      <c r="ED168" s="49">
        <f t="shared" si="324"/>
      </c>
      <c r="EE168" s="49">
        <f t="shared" si="324"/>
      </c>
      <c r="EF168" s="341">
        <f t="shared" si="324"/>
      </c>
      <c r="EG168" s="341">
        <f t="shared" si="324"/>
      </c>
      <c r="EH168" s="341">
        <f t="shared" si="324"/>
      </c>
    </row>
    <row r="169" spans="1:138" s="49" customFormat="1">
      <c r="A169" s="403" t="s">
        <v>248</v>
      </c>
      <c r="B169" s="404"/>
      <c r="C169" s="404"/>
      <c r="D169" s="404"/>
      <c r="E169" s="404"/>
      <c r="F169" s="404"/>
      <c r="G169" s="404"/>
      <c r="H169" s="404"/>
      <c r="I169" s="404"/>
      <c r="J169" s="404"/>
      <c r="K169" s="404"/>
      <c r="L169" s="404"/>
      <c r="M169" s="404"/>
      <c r="N169" s="404"/>
      <c r="O169" s="404"/>
      <c r="P169" s="404"/>
      <c r="Q169" s="404"/>
      <c r="R169" s="404"/>
      <c r="S169" s="404"/>
      <c r="T169" s="404"/>
      <c r="U169" s="404"/>
      <c r="V169" s="404"/>
      <c r="W169" s="404"/>
      <c r="X169" s="404"/>
      <c r="Y169" s="404"/>
      <c r="Z169" s="404"/>
      <c r="AA169" s="404"/>
      <c r="AB169" s="404"/>
      <c r="AC169" s="404"/>
      <c r="AD169" s="404"/>
      <c r="AE169" s="404"/>
      <c r="AF169" s="404"/>
      <c r="AG169" s="404"/>
      <c r="AH169" s="404"/>
      <c r="AI169" s="404"/>
      <c r="AJ169" s="404"/>
      <c r="AK169" s="404"/>
      <c r="AL169" s="404"/>
      <c r="AM169" s="404"/>
      <c r="AN169" s="404"/>
      <c r="AO169" s="404"/>
      <c r="AP169" s="404"/>
      <c r="AQ169" s="404"/>
      <c r="AR169" s="404"/>
      <c r="AS169" s="404"/>
      <c r="AT169" s="404"/>
      <c r="AU169" s="404"/>
      <c r="AV169" s="404"/>
      <c r="AW169" s="404"/>
      <c r="AX169" s="404"/>
      <c r="AY169" s="404"/>
      <c r="AZ169" s="404"/>
      <c r="BA169" s="404"/>
      <c r="BB169" s="398">
        <f>BB141*0.55</f>
      </c>
      <c r="BC169" s="398">
        <f>BC141*0.55</f>
      </c>
      <c r="BD169" s="398">
        <f>BD141*0.55</f>
      </c>
      <c r="BE169" s="398">
        <f>BE141*0.55</f>
      </c>
      <c r="BF169" s="398">
        <f>BF141*0.5</f>
      </c>
      <c r="BG169" s="398">
        <f>BG141*0.45</f>
      </c>
      <c r="BH169" s="398">
        <f>BH141*0.45</f>
      </c>
      <c r="BI169" s="398">
        <f>BI141*0.45</f>
      </c>
      <c r="BJ169" s="398">
        <f>BJ141*0.45</f>
      </c>
      <c r="BK169" s="398">
        <f>BK141*0.45</f>
      </c>
      <c r="BL169" s="398">
        <v>0.26</v>
      </c>
      <c r="BM169" s="398">
        <v>0.28000000000000003</v>
      </c>
      <c r="BN169" s="398">
        <v>0.28000000000000003</v>
      </c>
      <c r="BO169" s="398">
        <v>0.41</v>
      </c>
      <c r="BP169" s="398">
        <v>0.41</v>
      </c>
      <c r="BQ169" s="398">
        <v>0.41</v>
      </c>
      <c r="BR169" s="398">
        <v>0.52</v>
      </c>
      <c r="BS169" s="398">
        <v>0.41</v>
      </c>
      <c r="BT169" s="398">
        <v>0.3</v>
      </c>
      <c r="BU169" s="398">
        <f>BT169</f>
      </c>
      <c r="BV169" s="398">
        <v>0.3</v>
      </c>
      <c r="BW169" s="398">
        <f t="shared" ref="BW169:CB169" si="325">BV169</f>
      </c>
      <c r="BX169" s="398">
        <f t="shared" si="325"/>
      </c>
      <c r="BY169" s="398">
        <f t="shared" si="325"/>
      </c>
      <c r="BZ169" s="398">
        <f t="shared" si="325"/>
      </c>
      <c r="CA169" s="398">
        <f t="shared" si="325"/>
      </c>
      <c r="CB169" s="398">
        <f t="shared" si="325"/>
      </c>
      <c r="CC169" s="398">
        <v>0.3</v>
      </c>
      <c r="CD169" s="398">
        <v>0.5</v>
      </c>
      <c r="CE169" s="398">
        <v>0.47</v>
      </c>
      <c r="CF169" s="398">
        <v>0.36</v>
      </c>
      <c r="CG169" s="398">
        <v>0.3</v>
      </c>
      <c r="CH169" s="398">
        <v>0.28999999999999998</v>
      </c>
      <c r="CI169" s="398">
        <v>0.27</v>
      </c>
      <c r="CJ169" s="398">
        <v>0.15</v>
      </c>
      <c r="CK169" s="398">
        <f>CJ169</f>
      </c>
      <c r="CL169" s="398">
        <v>0.15</v>
      </c>
      <c r="CM169" s="398">
        <v>0.15</v>
      </c>
      <c r="CN169" s="398">
        <v>0.25</v>
      </c>
      <c r="CO169" s="398">
        <v>0.3</v>
      </c>
      <c r="CP169" s="398">
        <v>0.3</v>
      </c>
      <c r="CQ169" s="398">
        <v>0.3</v>
      </c>
      <c r="CR169" s="398">
        <f t="shared" ref="CR169:DE169" si="326">CQ169</f>
      </c>
      <c r="CS169" s="398">
        <f t="shared" si="326"/>
      </c>
      <c r="CT169" s="398">
        <f t="shared" si="326"/>
      </c>
      <c r="CU169" s="398">
        <v>0.3</v>
      </c>
      <c r="CV169" s="398">
        <f t="shared" si="326"/>
      </c>
      <c r="CW169" s="398">
        <f t="shared" si="326"/>
      </c>
      <c r="CX169" s="398">
        <f t="shared" si="326"/>
      </c>
      <c r="CY169" s="398">
        <f t="shared" si="326"/>
      </c>
      <c r="CZ169" s="398">
        <f t="shared" si="326"/>
      </c>
      <c r="DA169" s="398">
        <f t="shared" si="326"/>
      </c>
      <c r="DB169" s="398">
        <f t="shared" si="326"/>
      </c>
      <c r="DC169" s="398">
        <f t="shared" si="326"/>
      </c>
      <c r="DD169" s="398">
        <f t="shared" si="326"/>
      </c>
      <c r="DE169" s="398">
        <f t="shared" si="326"/>
      </c>
      <c r="DQ169" s="62"/>
      <c r="DR169" s="62"/>
      <c r="DS169" s="62"/>
      <c r="DU169" s="49">
        <f t="shared" ref="DU169:EC169" si="327">DU166/DU111</f>
      </c>
      <c r="DV169" s="49">
        <f t="shared" si="327"/>
      </c>
      <c r="DW169" s="49">
        <f t="shared" si="327"/>
      </c>
      <c r="DX169" s="49">
        <f t="shared" si="327"/>
      </c>
      <c r="DY169" s="49">
        <f t="shared" si="327"/>
      </c>
      <c r="DZ169" s="49">
        <f t="shared" si="327"/>
      </c>
      <c r="EA169" s="49">
        <f t="shared" si="327"/>
      </c>
      <c r="EB169" s="49">
        <f t="shared" si="327"/>
      </c>
      <c r="EC169" s="49">
        <f t="shared" si="327"/>
      </c>
      <c r="ED169" s="49">
        <f>ED166/ED111</f>
      </c>
      <c r="EE169" s="49">
        <f>EE166/EE111</f>
      </c>
      <c r="EF169" s="345">
        <f>EF166/EF111</f>
      </c>
      <c r="EG169" s="345">
        <f>EG166/EG111</f>
      </c>
      <c r="EH169" s="345">
        <f>EH166/EH111</f>
      </c>
    </row>
    <row r="170" spans="1:138" s="47" customFormat="1">
      <c r="A170" s="35" t="s">
        <v>242</v>
      </c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  <c r="AG170" s="35"/>
      <c r="AH170" s="35"/>
      <c r="AI170" s="35"/>
      <c r="AJ170" s="35"/>
      <c r="AK170" s="35"/>
      <c r="AL170" s="35"/>
      <c r="AM170" s="35"/>
      <c r="AN170" s="35"/>
      <c r="AO170" s="35"/>
      <c r="AP170" s="35"/>
      <c r="AQ170" s="35"/>
      <c r="AR170" s="35"/>
      <c r="AS170" s="35"/>
      <c r="AT170" s="35"/>
      <c r="AU170" s="35"/>
      <c r="AV170" s="35"/>
      <c r="AW170" s="35"/>
      <c r="AX170" s="35"/>
      <c r="AY170" s="35"/>
      <c r="AZ170" s="35"/>
      <c r="BA170" s="35"/>
      <c r="BB170" s="35">
        <f t="shared" ref="BB170:BN170" si="328">BB127*BB173</f>
      </c>
      <c r="BC170" s="35">
        <f t="shared" si="328"/>
      </c>
      <c r="BD170" s="35">
        <f t="shared" si="328"/>
      </c>
      <c r="BE170" s="35">
        <f t="shared" si="328"/>
      </c>
      <c r="BF170" s="35">
        <f t="shared" si="328"/>
      </c>
      <c r="BG170" s="35">
        <f t="shared" si="328"/>
      </c>
      <c r="BH170" s="35">
        <f t="shared" si="328"/>
      </c>
      <c r="BI170" s="35">
        <f t="shared" si="328"/>
      </c>
      <c r="BJ170" s="35">
        <f t="shared" si="328"/>
      </c>
      <c r="BK170" s="35">
        <f t="shared" si="328"/>
      </c>
      <c r="BL170" s="35">
        <f t="shared" si="328"/>
      </c>
      <c r="BM170" s="35">
        <f t="shared" si="328"/>
      </c>
      <c r="BN170" s="35">
        <f t="shared" si="328"/>
      </c>
      <c r="BO170" s="35"/>
      <c r="BP170" s="35"/>
      <c r="BQ170" s="35"/>
      <c r="BR170" s="35"/>
      <c r="BS170" s="35"/>
      <c r="BT170" s="35"/>
      <c r="BU170" s="35"/>
      <c r="BV170" s="35"/>
      <c r="BW170" s="35"/>
      <c r="BX170" s="35"/>
      <c r="BY170" s="35"/>
      <c r="BZ170" s="35"/>
      <c r="CA170" s="35"/>
      <c r="CB170" s="35"/>
      <c r="CC170" s="35"/>
      <c r="CD170" s="35"/>
      <c r="CE170" s="35"/>
      <c r="CF170" s="35"/>
      <c r="CG170" s="35"/>
      <c r="CH170" s="35"/>
      <c r="CI170" s="35"/>
      <c r="CJ170" s="35"/>
      <c r="CK170" s="35"/>
      <c r="CL170" s="35"/>
      <c r="CM170" s="35"/>
      <c r="CN170" s="35"/>
      <c r="CO170" s="35"/>
      <c r="CP170" s="35"/>
      <c r="CQ170" s="35"/>
      <c r="CR170" s="35"/>
      <c r="CS170" s="35"/>
      <c r="CT170" s="35"/>
      <c r="CU170" s="35"/>
      <c r="CV170" s="35"/>
      <c r="CW170" s="35"/>
      <c r="CX170" s="35"/>
      <c r="CY170" s="35"/>
      <c r="CZ170" s="35"/>
      <c r="DA170" s="35"/>
      <c r="DB170" s="35"/>
      <c r="DC170" s="35"/>
      <c r="DD170" s="35"/>
      <c r="DE170" s="35"/>
      <c r="DQ170" s="35"/>
      <c r="DR170" s="35"/>
      <c r="DS170" s="35"/>
      <c r="DT170" s="35"/>
      <c r="DU170" s="35">
        <f>SUM(BB170:BE170)</f>
      </c>
      <c r="DV170" s="35">
        <f>SUM(BF170:BI170)</f>
      </c>
      <c r="DW170" s="35">
        <f>SUM(BJ170:BM170)</f>
      </c>
      <c r="DX170" s="35">
        <f>SUM(BN170:BQ170)</f>
      </c>
      <c r="DY170" s="35"/>
      <c r="DZ170" s="35"/>
      <c r="EA170" s="35"/>
      <c r="EB170" s="35"/>
      <c r="EC170" s="35"/>
      <c r="ED170" s="35"/>
      <c r="EE170" s="35"/>
      <c r="EF170" s="338"/>
      <c r="EG170" s="338"/>
      <c r="EH170" s="338"/>
    </row>
    <row r="171" spans="1:138" s="47" customFormat="1">
      <c r="A171" s="372" t="s">
        <v>196</v>
      </c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5"/>
      <c r="AI171" s="35"/>
      <c r="AJ171" s="35"/>
      <c r="AK171" s="35"/>
      <c r="AL171" s="35"/>
      <c r="AM171" s="35"/>
      <c r="AN171" s="35"/>
      <c r="AO171" s="35"/>
      <c r="AP171" s="35"/>
      <c r="AQ171" s="35"/>
      <c r="AR171" s="35"/>
      <c r="AS171" s="35"/>
      <c r="AT171" s="35"/>
      <c r="AU171" s="35"/>
      <c r="AV171" s="35"/>
      <c r="AW171" s="35"/>
      <c r="AX171" s="35"/>
      <c r="AY171" s="35"/>
      <c r="AZ171" s="35"/>
      <c r="BA171" s="35"/>
      <c r="BB171" s="35"/>
      <c r="BC171" s="49">
        <f t="shared" ref="BC171:BN171" si="329">BC170/BB170-1</f>
      </c>
      <c r="BD171" s="49">
        <f t="shared" si="329"/>
      </c>
      <c r="BE171" s="49">
        <f t="shared" si="329"/>
      </c>
      <c r="BF171" s="49">
        <f t="shared" si="329"/>
      </c>
      <c r="BG171" s="49">
        <f t="shared" si="329"/>
      </c>
      <c r="BH171" s="49">
        <f t="shared" si="329"/>
      </c>
      <c r="BI171" s="49">
        <f t="shared" si="329"/>
      </c>
      <c r="BJ171" s="49">
        <f t="shared" si="329"/>
      </c>
      <c r="BK171" s="49">
        <f t="shared" si="329"/>
      </c>
      <c r="BL171" s="49">
        <f t="shared" si="329"/>
      </c>
      <c r="BM171" s="49">
        <f t="shared" si="329"/>
      </c>
      <c r="BN171" s="49">
        <f t="shared" si="329"/>
      </c>
      <c r="BO171" s="49"/>
      <c r="BP171" s="341"/>
      <c r="BQ171" s="341"/>
      <c r="BR171" s="341"/>
      <c r="BS171" s="341"/>
      <c r="BT171" s="341"/>
      <c r="BU171" s="341"/>
      <c r="BV171" s="341"/>
      <c r="BW171" s="341"/>
      <c r="BX171" s="341"/>
      <c r="BY171" s="341"/>
      <c r="BZ171" s="341"/>
      <c r="CA171" s="341"/>
      <c r="CB171" s="341"/>
      <c r="CC171" s="341"/>
      <c r="CD171" s="341"/>
      <c r="CE171" s="341"/>
      <c r="CF171" s="341"/>
      <c r="CG171" s="341"/>
      <c r="CH171" s="341"/>
      <c r="CI171" s="64"/>
      <c r="CJ171" s="64"/>
      <c r="CK171" s="341"/>
      <c r="CL171" s="341"/>
      <c r="CM171" s="341"/>
      <c r="CN171" s="341"/>
      <c r="CO171" s="341"/>
      <c r="CP171" s="341"/>
      <c r="CQ171" s="341"/>
      <c r="CR171" s="341"/>
      <c r="CS171" s="341"/>
      <c r="CT171" s="341"/>
      <c r="CU171" s="341"/>
      <c r="CV171" s="341"/>
      <c r="CW171" s="341"/>
      <c r="CX171" s="341"/>
      <c r="CY171" s="341"/>
      <c r="CZ171" s="341"/>
      <c r="DA171" s="341"/>
      <c r="DB171" s="341"/>
      <c r="DC171" s="341"/>
      <c r="DD171" s="341"/>
      <c r="DE171" s="341"/>
      <c r="DH171" s="342" t="s">
        <v>197</v>
      </c>
      <c r="DI171" s="342" t="s">
        <v>197</v>
      </c>
      <c r="DJ171" s="342" t="s">
        <v>197</v>
      </c>
      <c r="DK171" s="342" t="s">
        <v>197</v>
      </c>
      <c r="DL171" s="342" t="s">
        <v>197</v>
      </c>
      <c r="DM171" s="342" t="s">
        <v>197</v>
      </c>
      <c r="DN171" s="342" t="s">
        <v>197</v>
      </c>
      <c r="DO171" s="342" t="s">
        <v>197</v>
      </c>
      <c r="DP171" s="342" t="s">
        <v>197</v>
      </c>
      <c r="DQ171" s="342" t="s">
        <v>197</v>
      </c>
      <c r="DR171" s="342" t="s">
        <v>197</v>
      </c>
      <c r="DS171" s="342" t="s">
        <v>197</v>
      </c>
      <c r="DT171" s="342" t="s">
        <v>197</v>
      </c>
      <c r="DU171" s="342" t="s">
        <v>197</v>
      </c>
      <c r="DV171" s="342" t="s">
        <v>197</v>
      </c>
      <c r="DW171" s="342" t="s">
        <v>197</v>
      </c>
      <c r="DX171" s="342" t="s">
        <v>197</v>
      </c>
      <c r="DY171" s="342" t="s">
        <v>197</v>
      </c>
      <c r="DZ171" s="342" t="s">
        <v>197</v>
      </c>
      <c r="EA171" s="342" t="s">
        <v>197</v>
      </c>
      <c r="EB171" s="342" t="s">
        <v>197</v>
      </c>
      <c r="EC171" s="342" t="s">
        <v>197</v>
      </c>
      <c r="ED171" s="342" t="s">
        <v>197</v>
      </c>
      <c r="EE171" s="342" t="s">
        <v>197</v>
      </c>
      <c r="EF171" s="343" t="s">
        <v>197</v>
      </c>
      <c r="EG171" s="343" t="s">
        <v>197</v>
      </c>
      <c r="EH171" s="343" t="s">
        <v>197</v>
      </c>
    </row>
    <row r="172" spans="1:138" s="47" customFormat="1">
      <c r="A172" s="372" t="s">
        <v>198</v>
      </c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  <c r="AH172" s="35"/>
      <c r="AI172" s="35"/>
      <c r="AJ172" s="35"/>
      <c r="AK172" s="35"/>
      <c r="AL172" s="35"/>
      <c r="AM172" s="35"/>
      <c r="AN172" s="35"/>
      <c r="AO172" s="35"/>
      <c r="AP172" s="35"/>
      <c r="AQ172" s="35"/>
      <c r="AR172" s="35"/>
      <c r="AS172" s="35"/>
      <c r="AT172" s="35"/>
      <c r="AU172" s="35"/>
      <c r="AV172" s="35"/>
      <c r="AW172" s="35"/>
      <c r="AX172" s="35"/>
      <c r="AY172" s="35"/>
      <c r="AZ172" s="35"/>
      <c r="BA172" s="35"/>
      <c r="BB172" s="35"/>
      <c r="BC172" s="35"/>
      <c r="BD172" s="35"/>
      <c r="BE172" s="35"/>
      <c r="BF172" s="394">
        <f t="shared" ref="BF172:BN172" si="330">BF170/BB170-1</f>
      </c>
      <c r="BG172" s="394">
        <f t="shared" si="330"/>
      </c>
      <c r="BH172" s="394">
        <f t="shared" si="330"/>
      </c>
      <c r="BI172" s="394">
        <f t="shared" si="330"/>
      </c>
      <c r="BJ172" s="394">
        <f t="shared" si="330"/>
      </c>
      <c r="BK172" s="394">
        <f t="shared" si="330"/>
      </c>
      <c r="BL172" s="394">
        <f t="shared" si="330"/>
      </c>
      <c r="BM172" s="394">
        <f t="shared" si="330"/>
      </c>
      <c r="BN172" s="394">
        <f t="shared" si="330"/>
      </c>
      <c r="BO172" s="394"/>
      <c r="BP172" s="398"/>
      <c r="BQ172" s="398"/>
      <c r="BR172" s="398"/>
      <c r="BS172" s="398"/>
      <c r="BT172" s="398"/>
      <c r="BU172" s="398"/>
      <c r="BV172" s="398"/>
      <c r="BW172" s="398"/>
      <c r="BX172" s="398"/>
      <c r="BY172" s="398"/>
      <c r="BZ172" s="398"/>
      <c r="CA172" s="398"/>
      <c r="CB172" s="398"/>
      <c r="CC172" s="398"/>
      <c r="CD172" s="398"/>
      <c r="CE172" s="398"/>
      <c r="CF172" s="398"/>
      <c r="CG172" s="398"/>
      <c r="CH172" s="398"/>
      <c r="CI172" s="65"/>
      <c r="CJ172" s="65"/>
      <c r="CK172" s="65"/>
      <c r="CL172" s="398"/>
      <c r="CM172" s="398"/>
      <c r="CN172" s="398"/>
      <c r="CO172" s="398"/>
      <c r="CP172" s="398"/>
      <c r="CQ172" s="398"/>
      <c r="CR172" s="398"/>
      <c r="CS172" s="398"/>
      <c r="CT172" s="398"/>
      <c r="CU172" s="398"/>
      <c r="CV172" s="410"/>
      <c r="CW172" s="411"/>
      <c r="CX172" s="411"/>
      <c r="CY172" s="411"/>
      <c r="CZ172" s="411"/>
      <c r="DA172" s="411"/>
      <c r="DB172" s="411"/>
      <c r="DC172" s="411"/>
      <c r="DD172" s="411"/>
      <c r="DE172" s="411"/>
      <c r="DQ172" s="35"/>
      <c r="DR172" s="35"/>
      <c r="DS172" s="35"/>
      <c r="DT172" s="35"/>
      <c r="DU172" s="35"/>
      <c r="DV172" s="49">
        <f>DV170/DU170-1</f>
      </c>
      <c r="DW172" s="49">
        <f>DW170/DV170-1</f>
      </c>
      <c r="DX172" s="49">
        <f>DX170/DW170-1</f>
      </c>
      <c r="DY172" s="49"/>
      <c r="DZ172" s="49"/>
      <c r="EA172" s="49"/>
      <c r="EB172" s="341"/>
      <c r="EC172" s="341"/>
      <c r="ED172" s="341"/>
      <c r="EE172" s="341"/>
      <c r="EF172" s="341"/>
      <c r="EG172" s="341"/>
      <c r="EH172" s="341"/>
    </row>
    <row r="173" spans="1:138" s="49" customFormat="1">
      <c r="A173" s="403" t="s">
        <v>248</v>
      </c>
      <c r="B173" s="404"/>
      <c r="C173" s="404"/>
      <c r="D173" s="404"/>
      <c r="E173" s="404"/>
      <c r="F173" s="404"/>
      <c r="G173" s="404"/>
      <c r="H173" s="404"/>
      <c r="I173" s="404"/>
      <c r="J173" s="404"/>
      <c r="K173" s="404"/>
      <c r="L173" s="404"/>
      <c r="M173" s="404"/>
      <c r="N173" s="404"/>
      <c r="O173" s="404"/>
      <c r="P173" s="404"/>
      <c r="Q173" s="404"/>
      <c r="R173" s="404"/>
      <c r="S173" s="404"/>
      <c r="T173" s="404"/>
      <c r="U173" s="404"/>
      <c r="V173" s="404"/>
      <c r="W173" s="404"/>
      <c r="X173" s="404"/>
      <c r="Y173" s="404"/>
      <c r="Z173" s="404"/>
      <c r="AA173" s="404"/>
      <c r="AB173" s="404"/>
      <c r="AC173" s="404"/>
      <c r="AD173" s="404"/>
      <c r="AE173" s="404"/>
      <c r="AF173" s="404"/>
      <c r="AG173" s="404"/>
      <c r="AH173" s="404"/>
      <c r="AI173" s="404"/>
      <c r="AJ173" s="404"/>
      <c r="AK173" s="404"/>
      <c r="AL173" s="404"/>
      <c r="AM173" s="404"/>
      <c r="AN173" s="404"/>
      <c r="AO173" s="404"/>
      <c r="AP173" s="404"/>
      <c r="AQ173" s="404"/>
      <c r="AR173" s="404"/>
      <c r="AS173" s="404"/>
      <c r="AT173" s="404"/>
      <c r="AU173" s="404"/>
      <c r="AV173" s="404"/>
      <c r="AW173" s="404"/>
      <c r="AX173" s="404"/>
      <c r="AY173" s="404"/>
      <c r="AZ173" s="404"/>
      <c r="BA173" s="404"/>
      <c r="BB173" s="398">
        <v>1</v>
      </c>
      <c r="BC173" s="398">
        <f>BB173</f>
      </c>
      <c r="BD173" s="398">
        <f t="shared" ref="BD173:BN173" si="331">BC173</f>
      </c>
      <c r="BE173" s="398">
        <f t="shared" si="331"/>
      </c>
      <c r="BF173" s="398">
        <f t="shared" si="331"/>
      </c>
      <c r="BG173" s="398">
        <f t="shared" si="331"/>
      </c>
      <c r="BH173" s="398">
        <f t="shared" si="331"/>
      </c>
      <c r="BI173" s="398">
        <f t="shared" si="331"/>
      </c>
      <c r="BJ173" s="398">
        <f t="shared" si="331"/>
      </c>
      <c r="BK173" s="398">
        <f t="shared" si="331"/>
      </c>
      <c r="BL173" s="398">
        <f t="shared" si="331"/>
      </c>
      <c r="BM173" s="398">
        <f t="shared" si="331"/>
      </c>
      <c r="BN173" s="398">
        <f t="shared" si="331"/>
      </c>
      <c r="BO173" s="398"/>
      <c r="BP173" s="398"/>
      <c r="BQ173" s="398"/>
      <c r="BR173" s="398"/>
      <c r="BS173" s="398"/>
      <c r="BT173" s="398"/>
      <c r="BU173" s="398"/>
      <c r="BV173" s="398"/>
      <c r="BW173" s="398"/>
      <c r="BX173" s="398"/>
      <c r="BY173" s="398"/>
      <c r="BZ173" s="398"/>
      <c r="CA173" s="398"/>
      <c r="CB173" s="398"/>
      <c r="CC173" s="398"/>
      <c r="CD173" s="398"/>
      <c r="CE173" s="398"/>
      <c r="CF173" s="398"/>
      <c r="CG173" s="398"/>
      <c r="CH173" s="398"/>
      <c r="CI173" s="398"/>
      <c r="CJ173" s="398"/>
      <c r="CK173" s="398"/>
      <c r="CL173" s="398"/>
      <c r="CM173" s="398"/>
      <c r="CN173" s="398"/>
      <c r="CO173" s="398"/>
      <c r="CP173" s="398"/>
      <c r="CQ173" s="398"/>
      <c r="CR173" s="398"/>
      <c r="CS173" s="398"/>
      <c r="CT173" s="398"/>
      <c r="CU173" s="398"/>
      <c r="CV173" s="398"/>
      <c r="CW173" s="398"/>
      <c r="CX173" s="398"/>
      <c r="CY173" s="398"/>
      <c r="CZ173" s="398"/>
      <c r="DA173" s="398"/>
      <c r="DB173" s="398"/>
      <c r="DC173" s="398"/>
      <c r="DD173" s="398"/>
      <c r="DE173" s="398"/>
      <c r="DQ173" s="62"/>
      <c r="DR173" s="62"/>
      <c r="DS173" s="62"/>
      <c r="DU173" s="49">
        <f>DU170/DU127</f>
      </c>
      <c r="DV173" s="49">
        <f>DV170/DV127</f>
      </c>
      <c r="DW173" s="49">
        <f>DW170/DW127</f>
      </c>
      <c r="DX173" s="49">
        <f>DX170/DX127</f>
      </c>
      <c r="EB173" s="341"/>
      <c r="EC173" s="341"/>
      <c r="ED173" s="341"/>
      <c r="EE173" s="341"/>
      <c r="EF173" s="341"/>
      <c r="EG173" s="341"/>
      <c r="EH173" s="341"/>
    </row>
    <row r="174" spans="1:138" s="47" customFormat="1">
      <c r="A174" s="35" t="s">
        <v>243</v>
      </c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  <c r="AG174" s="35"/>
      <c r="AH174" s="35"/>
      <c r="AI174" s="35"/>
      <c r="AJ174" s="35"/>
      <c r="AK174" s="35"/>
      <c r="AL174" s="35"/>
      <c r="AM174" s="35"/>
      <c r="AN174" s="35"/>
      <c r="AO174" s="35"/>
      <c r="AP174" s="35"/>
      <c r="AQ174" s="35"/>
      <c r="AR174" s="35"/>
      <c r="AS174" s="35"/>
      <c r="AT174" s="35"/>
      <c r="AU174" s="35"/>
      <c r="AV174" s="35"/>
      <c r="AW174" s="35"/>
      <c r="AX174" s="35"/>
      <c r="AY174" s="35"/>
      <c r="AZ174" s="35"/>
      <c r="BA174" s="35"/>
      <c r="BB174" s="35">
        <f t="shared" ref="BB174:BZ174" si="332">BB170+BB166+BB162+BB154+BB150+BB138</f>
      </c>
      <c r="BC174" s="35">
        <f t="shared" si="332"/>
      </c>
      <c r="BD174" s="35">
        <f t="shared" si="332"/>
      </c>
      <c r="BE174" s="35">
        <f t="shared" si="332"/>
      </c>
      <c r="BF174" s="35">
        <f t="shared" si="332"/>
      </c>
      <c r="BG174" s="35">
        <f t="shared" si="332"/>
      </c>
      <c r="BH174" s="35">
        <f t="shared" si="332"/>
      </c>
      <c r="BI174" s="35">
        <f t="shared" si="332"/>
      </c>
      <c r="BJ174" s="35">
        <f t="shared" si="332"/>
      </c>
      <c r="BK174" s="35">
        <f t="shared" si="332"/>
      </c>
      <c r="BL174" s="35">
        <f t="shared" si="332"/>
      </c>
      <c r="BM174" s="35">
        <f t="shared" si="332"/>
      </c>
      <c r="BN174" s="35">
        <f t="shared" si="332"/>
      </c>
      <c r="BO174" s="35">
        <f t="shared" si="332"/>
      </c>
      <c r="BP174" s="35">
        <f t="shared" si="332"/>
      </c>
      <c r="BQ174" s="35">
        <f t="shared" si="332"/>
      </c>
      <c r="BR174" s="35">
        <f t="shared" si="332"/>
      </c>
      <c r="BS174" s="35">
        <f t="shared" si="332"/>
      </c>
      <c r="BT174" s="35">
        <f t="shared" si="332"/>
      </c>
      <c r="BU174" s="35">
        <f t="shared" si="332"/>
      </c>
      <c r="BV174" s="35">
        <f t="shared" si="332"/>
      </c>
      <c r="BW174" s="35">
        <f t="shared" si="332"/>
      </c>
      <c r="BX174" s="35">
        <f t="shared" si="332"/>
      </c>
      <c r="BY174" s="35">
        <f t="shared" si="332"/>
      </c>
      <c r="BZ174" s="35">
        <f t="shared" si="332"/>
      </c>
      <c r="CA174" s="35">
        <f t="shared" ref="CA174:CS174" si="333">CA170+CA166+CA162+CA154+CA150+CA138+CA158</f>
      </c>
      <c r="CB174" s="35">
        <f>CB170+CB166+CB162+CB154+CB150+CB138+CB158</f>
      </c>
      <c r="CC174" s="35">
        <f t="shared" si="333"/>
      </c>
      <c r="CD174" s="35">
        <f t="shared" si="333"/>
      </c>
      <c r="CE174" s="35">
        <f t="shared" si="333"/>
      </c>
      <c r="CF174" s="35">
        <f t="shared" si="333"/>
      </c>
      <c r="CG174" s="35">
        <f>CG170+CG166+CG162+CG154+CG150+CG138+CG158</f>
      </c>
      <c r="CH174" s="35">
        <f>CH170+CH166+CH162+CH154+CH150+CH138+CH158</f>
      </c>
      <c r="CI174" s="35">
        <f t="shared" si="333"/>
      </c>
      <c r="CJ174" s="35">
        <f t="shared" si="333"/>
      </c>
      <c r="CK174" s="35">
        <f t="shared" si="333"/>
      </c>
      <c r="CL174" s="35">
        <f t="shared" si="333"/>
      </c>
      <c r="CM174" s="35">
        <f>CM170+CM166+CM162+CM154+CM150+CM138+CM158</f>
      </c>
      <c r="CN174" s="35">
        <f t="shared" si="333"/>
      </c>
      <c r="CO174" s="35">
        <f t="shared" si="333"/>
      </c>
      <c r="CP174" s="35">
        <f t="shared" si="333"/>
      </c>
      <c r="CQ174" s="35">
        <f t="shared" si="333"/>
      </c>
      <c r="CR174" s="35">
        <f t="shared" si="333"/>
      </c>
      <c r="CS174" s="35">
        <f t="shared" si="333"/>
      </c>
      <c r="CT174" s="35">
        <f>CT170+CT166+CT162+CT154+CT150+CT138+CT158</f>
      </c>
      <c r="CU174" s="35">
        <f t="shared" ref="CU174:DA174" si="334">CU170+CU166+CU162+CU154+CU150+CU138+CU158</f>
      </c>
      <c r="CV174" s="35">
        <f t="shared" si="334"/>
      </c>
      <c r="CW174" s="35">
        <f t="shared" si="334"/>
      </c>
      <c r="CX174" s="35">
        <f t="shared" si="334"/>
      </c>
      <c r="CY174" s="35">
        <f t="shared" si="334"/>
      </c>
      <c r="CZ174" s="35">
        <f t="shared" si="334"/>
      </c>
      <c r="DA174" s="35">
        <f t="shared" si="334"/>
      </c>
      <c r="DB174" s="35">
        <f>DB170+DB166+DB162+DB154+DB150+DB138+DB158</f>
      </c>
      <c r="DC174" s="35">
        <f>DC170+DC166+DC162+DC154+DC150+DC138+DC158</f>
      </c>
      <c r="DD174" s="35">
        <f>DD170+DD166+DD162+DD154+DD150+DD138+DD158</f>
      </c>
      <c r="DE174" s="35">
        <f>DE170+DE166+DE162+DE154+DE150+DE138+DE158</f>
      </c>
      <c r="DQ174" s="35"/>
      <c r="DR174" s="35"/>
      <c r="DS174" s="35"/>
      <c r="DT174" s="35"/>
      <c r="DU174" s="35">
        <f>SUM(BB174:BE174)</f>
      </c>
      <c r="DV174" s="35">
        <f>SUM(BF174:BI174)</f>
      </c>
      <c r="DW174" s="35">
        <f>SUM(BJ174:BM174)</f>
      </c>
      <c r="DX174" s="35">
        <f>SUM(BN174:BQ174)</f>
      </c>
      <c r="DY174" s="35">
        <f>SUM(BR174:BU174)</f>
      </c>
      <c r="DZ174" s="35">
        <f>BV174+BW174+BX174+BY174</f>
      </c>
      <c r="EA174" s="35">
        <f>SUM(BZ174:CC174)</f>
      </c>
      <c r="EB174" s="35">
        <f>+CD174+CE174+CF174+CG174</f>
      </c>
      <c r="EC174" s="35">
        <f>SUM(CH174:CK174)</f>
      </c>
      <c r="ED174" s="35">
        <f>SUM(CL174:CO174)</f>
      </c>
      <c r="EE174" s="35">
        <f>SUM(CP174:CS174)</f>
      </c>
      <c r="EF174" s="338">
        <f>SUM(CT174:CW174)</f>
      </c>
      <c r="EG174" s="338">
        <f>SUM(CX174:DA174)</f>
      </c>
      <c r="EH174" s="338">
        <f>SUM(DB174:DE174)</f>
      </c>
    </row>
    <row r="175" spans="1:138" s="47" customFormat="1">
      <c r="A175" s="372" t="s">
        <v>196</v>
      </c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  <c r="AG175" s="35"/>
      <c r="AH175" s="35"/>
      <c r="AI175" s="35"/>
      <c r="AJ175" s="35"/>
      <c r="AK175" s="35"/>
      <c r="AL175" s="35"/>
      <c r="AM175" s="35"/>
      <c r="AN175" s="35"/>
      <c r="AO175" s="35"/>
      <c r="AP175" s="35"/>
      <c r="AQ175" s="35"/>
      <c r="AR175" s="35"/>
      <c r="AS175" s="35"/>
      <c r="AT175" s="35"/>
      <c r="AU175" s="35"/>
      <c r="AV175" s="35"/>
      <c r="AW175" s="35"/>
      <c r="AX175" s="35"/>
      <c r="AY175" s="35"/>
      <c r="AZ175" s="35"/>
      <c r="BA175" s="35"/>
      <c r="BB175" s="35"/>
      <c r="BC175" s="49">
        <f t="shared" ref="BC175:DE175" si="335">BC174/BB174-1</f>
      </c>
      <c r="BD175" s="49">
        <f t="shared" si="335"/>
      </c>
      <c r="BE175" s="49">
        <f t="shared" si="335"/>
      </c>
      <c r="BF175" s="49">
        <f t="shared" si="335"/>
      </c>
      <c r="BG175" s="49">
        <f t="shared" si="335"/>
      </c>
      <c r="BH175" s="49">
        <f t="shared" si="335"/>
      </c>
      <c r="BI175" s="49">
        <f t="shared" si="335"/>
      </c>
      <c r="BJ175" s="49">
        <f t="shared" si="335"/>
      </c>
      <c r="BK175" s="49">
        <f t="shared" si="335"/>
      </c>
      <c r="BL175" s="49">
        <f t="shared" si="335"/>
      </c>
      <c r="BM175" s="49">
        <f t="shared" si="335"/>
      </c>
      <c r="BN175" s="49">
        <f t="shared" si="335"/>
      </c>
      <c r="BO175" s="49">
        <f t="shared" si="335"/>
      </c>
      <c r="BP175" s="49">
        <f t="shared" si="335"/>
      </c>
      <c r="BQ175" s="49">
        <f t="shared" si="335"/>
      </c>
      <c r="BR175" s="49">
        <f t="shared" si="335"/>
      </c>
      <c r="BS175" s="49">
        <f t="shared" si="335"/>
      </c>
      <c r="BT175" s="49">
        <f t="shared" si="335"/>
      </c>
      <c r="BU175" s="49">
        <f t="shared" si="335"/>
      </c>
      <c r="BV175" s="49">
        <f t="shared" si="335"/>
      </c>
      <c r="BW175" s="49">
        <f t="shared" si="335"/>
      </c>
      <c r="BX175" s="341">
        <f t="shared" si="335"/>
      </c>
      <c r="BY175" s="341">
        <f t="shared" si="335"/>
      </c>
      <c r="BZ175" s="341">
        <f t="shared" si="335"/>
      </c>
      <c r="CA175" s="341">
        <f t="shared" si="335"/>
      </c>
      <c r="CB175" s="341">
        <f t="shared" si="335"/>
      </c>
      <c r="CC175" s="341">
        <f t="shared" si="335"/>
      </c>
      <c r="CD175" s="341">
        <f t="shared" si="335"/>
      </c>
      <c r="CE175" s="341">
        <f t="shared" si="335"/>
      </c>
      <c r="CF175" s="341">
        <f t="shared" si="335"/>
      </c>
      <c r="CG175" s="341">
        <f t="shared" si="335"/>
      </c>
      <c r="CH175" s="341">
        <f t="shared" si="335"/>
      </c>
      <c r="CI175" s="341">
        <f t="shared" si="335"/>
      </c>
      <c r="CJ175" s="341">
        <f t="shared" si="335"/>
      </c>
      <c r="CK175" s="341">
        <f t="shared" si="335"/>
      </c>
      <c r="CL175" s="341">
        <f t="shared" si="335"/>
      </c>
      <c r="CM175" s="341">
        <f t="shared" si="335"/>
      </c>
      <c r="CN175" s="341">
        <f t="shared" si="335"/>
      </c>
      <c r="CO175" s="341">
        <f t="shared" si="335"/>
      </c>
      <c r="CP175" s="341">
        <f t="shared" si="335"/>
      </c>
      <c r="CQ175" s="341">
        <f t="shared" si="335"/>
      </c>
      <c r="CR175" s="341">
        <f t="shared" si="335"/>
      </c>
      <c r="CS175" s="341">
        <f t="shared" si="335"/>
      </c>
      <c r="CT175" s="341">
        <f t="shared" si="335"/>
      </c>
      <c r="CU175" s="341">
        <f t="shared" si="335"/>
      </c>
      <c r="CV175" s="341">
        <f t="shared" si="335"/>
      </c>
      <c r="CW175" s="341">
        <f t="shared" si="335"/>
      </c>
      <c r="CX175" s="341">
        <f t="shared" si="335"/>
      </c>
      <c r="CY175" s="341">
        <f t="shared" si="335"/>
      </c>
      <c r="CZ175" s="341">
        <f t="shared" si="335"/>
      </c>
      <c r="DA175" s="341">
        <f t="shared" si="335"/>
      </c>
      <c r="DB175" s="341">
        <f t="shared" si="335"/>
      </c>
      <c r="DC175" s="341">
        <f t="shared" si="335"/>
      </c>
      <c r="DD175" s="341">
        <f t="shared" si="335"/>
      </c>
      <c r="DE175" s="341">
        <f t="shared" si="335"/>
      </c>
      <c r="DH175" s="342" t="s">
        <v>197</v>
      </c>
      <c r="DI175" s="342" t="s">
        <v>197</v>
      </c>
      <c r="DJ175" s="342" t="s">
        <v>197</v>
      </c>
      <c r="DK175" s="342" t="s">
        <v>197</v>
      </c>
      <c r="DL175" s="342" t="s">
        <v>197</v>
      </c>
      <c r="DM175" s="342" t="s">
        <v>197</v>
      </c>
      <c r="DN175" s="342" t="s">
        <v>197</v>
      </c>
      <c r="DO175" s="342" t="s">
        <v>197</v>
      </c>
      <c r="DP175" s="342" t="s">
        <v>197</v>
      </c>
      <c r="DQ175" s="342" t="s">
        <v>197</v>
      </c>
      <c r="DR175" s="342" t="s">
        <v>197</v>
      </c>
      <c r="DS175" s="342" t="s">
        <v>197</v>
      </c>
      <c r="DT175" s="342" t="s">
        <v>197</v>
      </c>
      <c r="DU175" s="342" t="s">
        <v>197</v>
      </c>
      <c r="DV175" s="342" t="s">
        <v>197</v>
      </c>
      <c r="DW175" s="342" t="s">
        <v>197</v>
      </c>
      <c r="DX175" s="342" t="s">
        <v>197</v>
      </c>
      <c r="DY175" s="342" t="s">
        <v>197</v>
      </c>
      <c r="DZ175" s="342" t="s">
        <v>197</v>
      </c>
      <c r="EA175" s="342" t="s">
        <v>197</v>
      </c>
      <c r="EB175" s="342" t="s">
        <v>197</v>
      </c>
      <c r="EC175" s="342" t="s">
        <v>197</v>
      </c>
      <c r="ED175" s="342" t="s">
        <v>197</v>
      </c>
      <c r="EE175" s="342" t="s">
        <v>197</v>
      </c>
      <c r="EF175" s="343" t="s">
        <v>197</v>
      </c>
      <c r="EG175" s="343" t="s">
        <v>197</v>
      </c>
      <c r="EH175" s="343" t="s">
        <v>197</v>
      </c>
    </row>
    <row r="176" spans="1:138" s="47" customFormat="1">
      <c r="A176" s="372" t="s">
        <v>198</v>
      </c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  <c r="AG176" s="35"/>
      <c r="AH176" s="35"/>
      <c r="AI176" s="35"/>
      <c r="AJ176" s="35"/>
      <c r="AK176" s="35"/>
      <c r="AL176" s="35"/>
      <c r="AM176" s="35"/>
      <c r="AN176" s="35"/>
      <c r="AO176" s="35"/>
      <c r="AP176" s="35"/>
      <c r="AQ176" s="35"/>
      <c r="AR176" s="35"/>
      <c r="AS176" s="35"/>
      <c r="AT176" s="35"/>
      <c r="AU176" s="35"/>
      <c r="AV176" s="35"/>
      <c r="AW176" s="35"/>
      <c r="AX176" s="35"/>
      <c r="AY176" s="35"/>
      <c r="AZ176" s="35"/>
      <c r="BA176" s="35"/>
      <c r="BB176" s="35"/>
      <c r="BC176" s="35"/>
      <c r="BD176" s="35"/>
      <c r="BE176" s="35"/>
      <c r="BF176" s="394">
        <f t="shared" ref="BF176:DE176" si="336">BF174/BB174-1</f>
      </c>
      <c r="BG176" s="394">
        <f t="shared" si="336"/>
      </c>
      <c r="BH176" s="394">
        <f t="shared" si="336"/>
      </c>
      <c r="BI176" s="394">
        <f t="shared" si="336"/>
      </c>
      <c r="BJ176" s="394">
        <f t="shared" si="336"/>
      </c>
      <c r="BK176" s="394">
        <f t="shared" si="336"/>
      </c>
      <c r="BL176" s="394">
        <f t="shared" si="336"/>
      </c>
      <c r="BM176" s="394">
        <f t="shared" si="336"/>
      </c>
      <c r="BN176" s="394">
        <f t="shared" si="336"/>
      </c>
      <c r="BO176" s="394">
        <f t="shared" si="336"/>
      </c>
      <c r="BP176" s="394">
        <f t="shared" si="336"/>
      </c>
      <c r="BQ176" s="394">
        <f t="shared" si="336"/>
      </c>
      <c r="BR176" s="394">
        <f t="shared" si="336"/>
      </c>
      <c r="BS176" s="394">
        <f t="shared" si="336"/>
      </c>
      <c r="BT176" s="394">
        <f t="shared" si="336"/>
      </c>
      <c r="BU176" s="394">
        <f t="shared" si="336"/>
      </c>
      <c r="BV176" s="394">
        <f t="shared" si="336"/>
      </c>
      <c r="BW176" s="394">
        <f t="shared" si="336"/>
      </c>
      <c r="BX176" s="398">
        <f t="shared" si="336"/>
      </c>
      <c r="BY176" s="398">
        <f t="shared" si="336"/>
      </c>
      <c r="BZ176" s="398">
        <f t="shared" si="336"/>
      </c>
      <c r="CA176" s="398">
        <f t="shared" si="336"/>
      </c>
      <c r="CB176" s="398">
        <f t="shared" si="336"/>
      </c>
      <c r="CC176" s="398">
        <f>CC174/BY174-1</f>
      </c>
      <c r="CD176" s="398">
        <f t="shared" si="336"/>
      </c>
      <c r="CE176" s="398">
        <f t="shared" si="336"/>
      </c>
      <c r="CF176" s="398">
        <f t="shared" si="336"/>
      </c>
      <c r="CG176" s="398">
        <f t="shared" si="336"/>
      </c>
      <c r="CH176" s="398">
        <f t="shared" si="336"/>
      </c>
      <c r="CI176" s="398">
        <f t="shared" si="336"/>
      </c>
      <c r="CJ176" s="398">
        <f t="shared" si="336"/>
      </c>
      <c r="CK176" s="398">
        <f t="shared" si="336"/>
      </c>
      <c r="CL176" s="398">
        <f t="shared" si="336"/>
      </c>
      <c r="CM176" s="398">
        <f t="shared" si="336"/>
      </c>
      <c r="CN176" s="398">
        <f t="shared" si="336"/>
      </c>
      <c r="CO176" s="398">
        <f t="shared" si="336"/>
      </c>
      <c r="CP176" s="398">
        <f t="shared" si="336"/>
      </c>
      <c r="CQ176" s="398">
        <f t="shared" si="336"/>
      </c>
      <c r="CR176" s="398">
        <f t="shared" si="336"/>
      </c>
      <c r="CS176" s="398">
        <f t="shared" si="336"/>
      </c>
      <c r="CT176" s="398">
        <f t="shared" si="336"/>
      </c>
      <c r="CU176" s="398">
        <f t="shared" si="336"/>
      </c>
      <c r="CV176" s="398">
        <f t="shared" si="336"/>
      </c>
      <c r="CW176" s="398">
        <f t="shared" si="336"/>
      </c>
      <c r="CX176" s="398">
        <f t="shared" si="336"/>
      </c>
      <c r="CY176" s="398">
        <f t="shared" si="336"/>
      </c>
      <c r="CZ176" s="398">
        <f t="shared" si="336"/>
      </c>
      <c r="DA176" s="398">
        <f t="shared" si="336"/>
      </c>
      <c r="DB176" s="398">
        <f t="shared" si="336"/>
      </c>
      <c r="DC176" s="398">
        <f t="shared" si="336"/>
      </c>
      <c r="DD176" s="398">
        <f t="shared" si="336"/>
      </c>
      <c r="DE176" s="398">
        <f t="shared" si="336"/>
      </c>
      <c r="DQ176" s="35"/>
      <c r="DR176" s="35"/>
      <c r="DS176" s="35"/>
      <c r="DT176" s="35"/>
      <c r="DU176" s="35"/>
      <c r="DV176" s="49">
        <f t="shared" ref="DV176:EH176" si="337">DV174/DU174-1</f>
      </c>
      <c r="DW176" s="49">
        <f t="shared" si="337"/>
      </c>
      <c r="DX176" s="49">
        <f t="shared" si="337"/>
      </c>
      <c r="DY176" s="49">
        <f t="shared" si="337"/>
      </c>
      <c r="DZ176" s="49">
        <f t="shared" si="337"/>
      </c>
      <c r="EA176" s="49">
        <f t="shared" si="337"/>
      </c>
      <c r="EB176" s="49">
        <f t="shared" si="337"/>
      </c>
      <c r="EC176" s="49">
        <f t="shared" si="337"/>
      </c>
      <c r="ED176" s="49">
        <f t="shared" si="337"/>
      </c>
      <c r="EE176" s="49">
        <f t="shared" si="337"/>
      </c>
      <c r="EF176" s="341">
        <f t="shared" si="337"/>
      </c>
      <c r="EG176" s="341">
        <f t="shared" si="337"/>
      </c>
      <c r="EH176" s="341">
        <f t="shared" si="337"/>
      </c>
    </row>
    <row r="177" spans="1:138" s="345" customFormat="1">
      <c r="A177" s="412" t="s">
        <v>252</v>
      </c>
      <c r="B177" s="413"/>
      <c r="C177" s="413"/>
      <c r="D177" s="413"/>
      <c r="E177" s="413"/>
      <c r="F177" s="413"/>
      <c r="G177" s="413"/>
      <c r="H177" s="413"/>
      <c r="I177" s="413"/>
      <c r="J177" s="413"/>
      <c r="K177" s="413"/>
      <c r="L177" s="413"/>
      <c r="M177" s="413"/>
      <c r="N177" s="413"/>
      <c r="O177" s="413"/>
      <c r="P177" s="413"/>
      <c r="Q177" s="413"/>
      <c r="R177" s="413"/>
      <c r="S177" s="413"/>
      <c r="T177" s="413"/>
      <c r="U177" s="413"/>
      <c r="V177" s="413"/>
      <c r="W177" s="413"/>
      <c r="X177" s="413"/>
      <c r="Y177" s="413"/>
      <c r="Z177" s="413"/>
      <c r="AA177" s="413"/>
      <c r="AB177" s="413"/>
      <c r="AC177" s="413"/>
      <c r="AD177" s="413"/>
      <c r="AE177" s="413"/>
      <c r="AF177" s="413"/>
      <c r="AG177" s="413"/>
      <c r="AH177" s="413"/>
      <c r="AI177" s="413"/>
      <c r="AJ177" s="413"/>
      <c r="AK177" s="413"/>
      <c r="AL177" s="413"/>
      <c r="AM177" s="413"/>
      <c r="AN177" s="413"/>
      <c r="AO177" s="413"/>
      <c r="AP177" s="413"/>
      <c r="AQ177" s="413"/>
      <c r="AR177" s="413"/>
      <c r="AS177" s="413"/>
      <c r="AT177" s="413"/>
      <c r="AU177" s="413"/>
      <c r="AV177" s="413"/>
      <c r="AW177" s="413"/>
      <c r="AX177" s="413"/>
      <c r="AY177" s="413"/>
      <c r="AZ177" s="413"/>
      <c r="BA177" s="413"/>
      <c r="BB177" s="413">
        <f t="shared" ref="BB177:CG177" si="338">BB174/BB5</f>
      </c>
      <c r="BC177" s="413">
        <f t="shared" si="338"/>
      </c>
      <c r="BD177" s="413">
        <f t="shared" si="338"/>
      </c>
      <c r="BE177" s="413">
        <f t="shared" si="338"/>
      </c>
      <c r="BF177" s="413">
        <f t="shared" si="338"/>
      </c>
      <c r="BG177" s="413">
        <f t="shared" si="338"/>
      </c>
      <c r="BH177" s="413">
        <f t="shared" si="338"/>
      </c>
      <c r="BI177" s="413">
        <f t="shared" si="338"/>
      </c>
      <c r="BJ177" s="413">
        <f t="shared" si="338"/>
      </c>
      <c r="BK177" s="413">
        <f t="shared" si="338"/>
      </c>
      <c r="BL177" s="413">
        <f t="shared" si="338"/>
      </c>
      <c r="BM177" s="413">
        <f t="shared" si="338"/>
      </c>
      <c r="BN177" s="413">
        <f t="shared" si="338"/>
      </c>
      <c r="BO177" s="413">
        <f t="shared" si="338"/>
      </c>
      <c r="BP177" s="413">
        <f t="shared" si="338"/>
      </c>
      <c r="BQ177" s="413">
        <f t="shared" si="338"/>
      </c>
      <c r="BR177" s="413">
        <f t="shared" si="338"/>
      </c>
      <c r="BS177" s="413">
        <f t="shared" si="338"/>
      </c>
      <c r="BT177" s="413">
        <f t="shared" si="338"/>
      </c>
      <c r="BU177" s="413">
        <f t="shared" si="338"/>
      </c>
      <c r="BV177" s="413">
        <f t="shared" si="338"/>
      </c>
      <c r="BW177" s="413">
        <f t="shared" si="338"/>
      </c>
      <c r="BX177" s="413">
        <f t="shared" si="338"/>
      </c>
      <c r="BY177" s="413">
        <f t="shared" si="338"/>
      </c>
      <c r="BZ177" s="413">
        <f t="shared" si="338"/>
      </c>
      <c r="CA177" s="413">
        <f t="shared" si="338"/>
      </c>
      <c r="CB177" s="413">
        <f t="shared" si="338"/>
      </c>
      <c r="CC177" s="413">
        <f t="shared" si="338"/>
      </c>
      <c r="CD177" s="413">
        <f t="shared" si="338"/>
      </c>
      <c r="CE177" s="413">
        <f t="shared" si="338"/>
      </c>
      <c r="CF177" s="413">
        <f t="shared" si="338"/>
      </c>
      <c r="CG177" s="413">
        <f t="shared" si="338"/>
      </c>
      <c r="CH177" s="413">
        <f t="shared" ref="CH177:DE177" si="339">CH174/CH5</f>
      </c>
      <c r="CI177" s="413">
        <f t="shared" si="339"/>
      </c>
      <c r="CJ177" s="413">
        <f t="shared" si="339"/>
      </c>
      <c r="CK177" s="413">
        <f t="shared" si="339"/>
      </c>
      <c r="CL177" s="413">
        <f t="shared" si="339"/>
      </c>
      <c r="CM177" s="413">
        <f t="shared" si="339"/>
      </c>
      <c r="CN177" s="413">
        <f t="shared" si="339"/>
      </c>
      <c r="CO177" s="413">
        <f t="shared" si="339"/>
      </c>
      <c r="CP177" s="413">
        <f t="shared" si="339"/>
      </c>
      <c r="CQ177" s="413">
        <f t="shared" si="339"/>
      </c>
      <c r="CR177" s="413">
        <f t="shared" si="339"/>
      </c>
      <c r="CS177" s="413">
        <f t="shared" si="339"/>
      </c>
      <c r="CT177" s="413">
        <f t="shared" si="339"/>
      </c>
      <c r="CU177" s="413">
        <f t="shared" si="339"/>
      </c>
      <c r="CV177" s="413">
        <f t="shared" si="339"/>
      </c>
      <c r="CW177" s="413">
        <f t="shared" si="339"/>
      </c>
      <c r="CX177" s="413">
        <f t="shared" si="339"/>
      </c>
      <c r="CY177" s="413">
        <f t="shared" si="339"/>
      </c>
      <c r="CZ177" s="413">
        <f t="shared" si="339"/>
      </c>
      <c r="DA177" s="413">
        <f t="shared" si="339"/>
      </c>
      <c r="DB177" s="413">
        <f t="shared" si="339"/>
      </c>
      <c r="DC177" s="413">
        <f t="shared" si="339"/>
      </c>
      <c r="DD177" s="413">
        <f t="shared" si="339"/>
      </c>
      <c r="DE177" s="413">
        <f t="shared" si="339"/>
      </c>
      <c r="DU177" s="413">
        <f t="shared" ref="DU177:EH177" si="340">DU174/DU5</f>
      </c>
      <c r="DV177" s="413">
        <f t="shared" si="340"/>
      </c>
      <c r="DW177" s="413">
        <f t="shared" si="340"/>
      </c>
      <c r="DX177" s="413">
        <f t="shared" si="340"/>
      </c>
      <c r="DY177" s="413">
        <f t="shared" si="340"/>
      </c>
      <c r="DZ177" s="413">
        <f t="shared" si="340"/>
      </c>
      <c r="EA177" s="345">
        <f t="shared" si="340"/>
      </c>
      <c r="EB177" s="345">
        <f t="shared" si="340"/>
      </c>
      <c r="EC177" s="345">
        <f t="shared" si="340"/>
      </c>
      <c r="ED177" s="345">
        <f t="shared" si="340"/>
      </c>
      <c r="EE177" s="345">
        <f t="shared" si="340"/>
      </c>
      <c r="EF177" s="345">
        <f t="shared" si="340"/>
      </c>
      <c r="EG177" s="345">
        <f t="shared" si="340"/>
      </c>
      <c r="EH177" s="345">
        <f t="shared" si="340"/>
      </c>
    </row>
    <row r="178" spans="1:138">
      <c r="A178" s="60" t="s">
        <v>253</v>
      </c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0"/>
      <c r="AG178" s="60"/>
      <c r="AH178" s="60"/>
      <c r="AI178" s="60"/>
      <c r="AJ178" s="60"/>
      <c r="AK178" s="60"/>
      <c r="AL178" s="60"/>
      <c r="AM178" s="60"/>
      <c r="AN178" s="60"/>
      <c r="AO178" s="60"/>
      <c r="AP178" s="60"/>
      <c r="AQ178" s="60"/>
      <c r="AR178" s="60"/>
      <c r="AS178" s="60"/>
      <c r="AT178" s="60"/>
      <c r="AU178" s="60"/>
      <c r="AV178" s="60"/>
      <c r="AW178" s="60"/>
      <c r="AX178" s="60"/>
      <c r="AY178" s="60"/>
      <c r="AZ178" s="60"/>
      <c r="BA178" s="60"/>
      <c r="BB178" s="60"/>
      <c r="BC178" s="60"/>
      <c r="BD178" s="60"/>
      <c r="BE178" s="60"/>
      <c r="BF178" s="60"/>
      <c r="BG178" s="60"/>
      <c r="BH178" s="60"/>
      <c r="BI178" s="60"/>
      <c r="BJ178" s="60"/>
      <c r="BK178" s="60"/>
      <c r="BL178" s="60"/>
      <c r="BM178" s="60"/>
      <c r="BN178" s="60"/>
      <c r="BO178" s="60"/>
      <c r="BP178" s="60"/>
      <c r="BQ178" s="60"/>
      <c r="BR178" s="61"/>
      <c r="BS178" s="61"/>
      <c r="BT178" s="61"/>
      <c r="BU178" s="61"/>
      <c r="BV178" s="61"/>
      <c r="BW178" s="61"/>
      <c r="BX178" s="61"/>
      <c r="BY178" s="61"/>
      <c r="BZ178" s="61"/>
      <c r="CA178" s="61"/>
      <c r="CB178" s="61"/>
      <c r="CC178" s="61"/>
      <c r="CD178" s="61"/>
      <c r="CE178" s="61"/>
      <c r="CF178" s="61"/>
      <c r="CG178" s="61"/>
      <c r="CH178" s="61"/>
      <c r="CI178" s="61"/>
      <c r="CJ178" s="61"/>
      <c r="CK178" s="61"/>
      <c r="CL178" s="61"/>
      <c r="CM178" s="61"/>
      <c r="CN178" s="61"/>
      <c r="CO178" s="61"/>
      <c r="CP178" s="61"/>
      <c r="CQ178" s="61"/>
      <c r="CR178" s="61"/>
      <c r="CS178" s="61"/>
      <c r="CT178" s="61"/>
      <c r="CU178" s="61"/>
      <c r="CV178" s="61"/>
      <c r="CW178" s="61"/>
      <c r="CX178" s="61"/>
      <c r="CY178" s="61"/>
      <c r="CZ178" s="61"/>
      <c r="DA178" s="61"/>
      <c r="DB178" s="61"/>
      <c r="DC178" s="61"/>
      <c r="DD178" s="61"/>
      <c r="DE178" s="61"/>
      <c r="DH178" s="60"/>
      <c r="DI178" s="60"/>
      <c r="DJ178" s="60"/>
      <c r="DK178" s="60"/>
      <c r="DL178" s="60"/>
      <c r="DM178" s="60"/>
      <c r="DN178" s="60"/>
      <c r="DO178" s="60"/>
      <c r="DP178" s="60"/>
      <c r="DQ178" s="60"/>
      <c r="DR178" s="60"/>
      <c r="DS178" s="60"/>
      <c r="DT178" s="60"/>
      <c r="DU178" s="46"/>
      <c r="DV178" s="46"/>
      <c r="DW178" s="46"/>
      <c r="DX178" s="46"/>
      <c r="DY178" s="46"/>
      <c r="DZ178" s="46"/>
      <c r="EA178" s="46"/>
      <c r="EB178" s="46"/>
      <c r="EC178" s="46"/>
      <c r="ED178" s="46"/>
      <c r="EE178" s="46"/>
      <c r="EF178" s="46"/>
      <c r="EG178" s="46"/>
      <c r="EH178" s="46"/>
    </row>
    <row r="179" spans="1:138" s="47" customFormat="1">
      <c r="A179" s="47" t="s">
        <v>254</v>
      </c>
      <c r="BB179" s="400"/>
      <c r="BC179" s="400"/>
      <c r="BD179" s="400"/>
      <c r="BE179" s="400"/>
      <c r="BF179" s="400"/>
      <c r="BG179" s="400"/>
      <c r="BH179" s="400"/>
      <c r="BI179" s="400"/>
      <c r="BJ179" s="400"/>
      <c r="BK179" s="400"/>
      <c r="BL179" s="400"/>
      <c r="BM179" s="400"/>
      <c r="BN179" s="400"/>
      <c r="BO179" s="400"/>
      <c r="BP179" s="400"/>
      <c r="BQ179" s="400"/>
      <c r="BR179" s="400"/>
      <c r="BS179" s="400"/>
      <c r="BT179" s="400"/>
      <c r="BU179" s="400"/>
      <c r="BV179" s="400"/>
      <c r="BW179" s="400"/>
      <c r="BX179" s="400"/>
      <c r="BY179" s="400"/>
      <c r="BZ179" s="400"/>
      <c r="CA179" s="400"/>
      <c r="CB179" s="400"/>
      <c r="CD179" s="47">
        <v>1784</v>
      </c>
      <c r="CE179" s="47">
        <v>1961</v>
      </c>
      <c r="CF179" s="47">
        <v>2187</v>
      </c>
      <c r="CG179" s="47">
        <f>8544-SUM(CD179:CF179)</f>
      </c>
      <c r="CH179" s="47">
        <v>2777</v>
      </c>
      <c r="CI179" s="47">
        <v>1204</v>
      </c>
      <c r="CJ179" s="47">
        <v>1153</v>
      </c>
      <c r="CK179" s="47">
        <f>6986-SUM(CH179:CJ179)</f>
      </c>
      <c r="CL179" s="47">
        <v>1796</v>
      </c>
      <c r="CM179" s="47">
        <v>2839</v>
      </c>
      <c r="CN179" s="47">
        <v>4333</v>
      </c>
      <c r="CO179" s="47">
        <f>13405-SUM(CL179:CN179)</f>
      </c>
      <c r="CP179" s="47">
        <v>4373</v>
      </c>
      <c r="CQ179" s="47">
        <v>5740</v>
      </c>
      <c r="CR179" s="47">
        <v>5153</v>
      </c>
      <c r="CS179" s="47">
        <f>20573-CR179-CQ179-CP179</f>
      </c>
      <c r="CT179" s="47">
        <v>7158</v>
      </c>
      <c r="CU179" s="400"/>
      <c r="CV179" s="400"/>
      <c r="CW179" s="400"/>
      <c r="CX179" s="400"/>
      <c r="CY179" s="400"/>
      <c r="CZ179" s="400"/>
      <c r="DA179" s="400"/>
      <c r="DB179" s="400"/>
      <c r="DC179" s="400"/>
      <c r="DD179" s="400"/>
      <c r="DE179" s="400"/>
      <c r="DQ179" s="35"/>
      <c r="DR179" s="35"/>
      <c r="DS179" s="35"/>
      <c r="DU179" s="35"/>
      <c r="DV179" s="66"/>
      <c r="DW179" s="66"/>
      <c r="DX179" s="67"/>
      <c r="DY179" s="67"/>
      <c r="DZ179" s="67"/>
      <c r="EA179" s="67"/>
      <c r="EB179" s="68">
        <f t="shared" ref="EB179:EB186" si="341">+CD179+CE179+CF179+CG179</f>
      </c>
      <c r="EC179" s="68">
        <f>SUM(CH179:CK179)</f>
      </c>
      <c r="ED179" s="68">
        <f>SUM(CL179:CO179)</f>
      </c>
      <c r="EE179" s="68">
        <f t="shared" ref="EE179:EE186" si="342">SUM(CP179:CS179)</f>
      </c>
      <c r="EF179" s="69"/>
      <c r="EG179" s="69"/>
      <c r="EH179" s="69"/>
    </row>
    <row r="180" spans="1:138" s="47" customFormat="1">
      <c r="A180" s="47" t="s">
        <v>255</v>
      </c>
      <c r="BB180" s="400"/>
      <c r="BC180" s="400"/>
      <c r="BD180" s="400"/>
      <c r="BE180" s="400"/>
      <c r="BF180" s="400"/>
      <c r="BG180" s="400"/>
      <c r="BH180" s="400"/>
      <c r="BI180" s="400"/>
      <c r="BJ180" s="400"/>
      <c r="BK180" s="400"/>
      <c r="BL180" s="400"/>
      <c r="BM180" s="400"/>
      <c r="BN180" s="400"/>
      <c r="BO180" s="400"/>
      <c r="BP180" s="400"/>
      <c r="BQ180" s="400"/>
      <c r="BR180" s="400"/>
      <c r="BS180" s="400"/>
      <c r="BT180" s="400"/>
      <c r="BU180" s="400"/>
      <c r="BV180" s="400"/>
      <c r="BW180" s="400"/>
      <c r="BX180" s="400"/>
      <c r="BY180" s="400"/>
      <c r="BZ180" s="400"/>
      <c r="CA180" s="400"/>
      <c r="CB180" s="400"/>
      <c r="CD180" s="47">
        <v>1391</v>
      </c>
      <c r="CE180" s="47">
        <v>1720</v>
      </c>
      <c r="CF180" s="47">
        <v>2017</v>
      </c>
      <c r="CG180" s="47">
        <f>7111-SUM(CD180:CF180)</f>
      </c>
      <c r="CH180" s="47">
        <v>2081</v>
      </c>
      <c r="CI180" s="47">
        <v>1602</v>
      </c>
      <c r="CJ180" s="47">
        <v>1148</v>
      </c>
      <c r="CK180" s="47">
        <f>5785-SUM(CH180:CJ180)</f>
      </c>
      <c r="CL180" s="47">
        <v>1590</v>
      </c>
      <c r="CM180" s="47">
        <v>2740</v>
      </c>
      <c r="CN180" s="47">
        <v>4030</v>
      </c>
      <c r="CO180" s="47">
        <f>10306-SUM(CL180:CN180)</f>
      </c>
      <c r="CP180" s="47">
        <v>2491</v>
      </c>
      <c r="CQ180" s="47">
        <v>3667</v>
      </c>
      <c r="CR180" s="47">
        <v>5416</v>
      </c>
      <c r="CS180" s="47">
        <f>17108-CR180-CQ180-CP180</f>
      </c>
      <c r="CT180" s="47">
        <v>5522</v>
      </c>
      <c r="CU180" s="400"/>
      <c r="CV180" s="400"/>
      <c r="CW180" s="400"/>
      <c r="CX180" s="400"/>
      <c r="CY180" s="400"/>
      <c r="CZ180" s="400"/>
      <c r="DA180" s="400"/>
      <c r="DB180" s="400"/>
      <c r="DC180" s="400"/>
      <c r="DD180" s="400"/>
      <c r="DE180" s="400"/>
      <c r="DQ180" s="35"/>
      <c r="DR180" s="35"/>
      <c r="DS180" s="35"/>
      <c r="DU180" s="35"/>
      <c r="DV180" s="66"/>
      <c r="DW180" s="66"/>
      <c r="DX180" s="67"/>
      <c r="DY180" s="67"/>
      <c r="DZ180" s="67"/>
      <c r="EA180" s="67"/>
      <c r="EB180" s="68">
        <f t="shared" si="341"/>
      </c>
      <c r="EC180" s="68">
        <f>SUM(CH180:CK180)</f>
      </c>
      <c r="ED180" s="68">
        <f>SUM(CL180:CO180)</f>
      </c>
      <c r="EE180" s="68">
        <f t="shared" si="342"/>
      </c>
      <c r="EF180" s="69"/>
      <c r="EG180" s="69"/>
      <c r="EH180" s="69"/>
    </row>
    <row r="181" spans="1:138" s="47" customFormat="1">
      <c r="A181" s="47" t="s">
        <v>256</v>
      </c>
      <c r="BB181" s="400"/>
      <c r="BC181" s="400"/>
      <c r="BD181" s="400"/>
      <c r="BE181" s="400"/>
      <c r="BF181" s="400"/>
      <c r="BG181" s="400"/>
      <c r="BH181" s="400"/>
      <c r="BI181" s="400"/>
      <c r="BJ181" s="400"/>
      <c r="BK181" s="400"/>
      <c r="BL181" s="400"/>
      <c r="BM181" s="400"/>
      <c r="BN181" s="400"/>
      <c r="BO181" s="400"/>
      <c r="BP181" s="400"/>
      <c r="BQ181" s="400"/>
      <c r="BR181" s="400"/>
      <c r="BS181" s="400"/>
      <c r="BT181" s="400"/>
      <c r="BU181" s="400"/>
      <c r="BV181" s="400"/>
      <c r="BW181" s="400"/>
      <c r="BX181" s="400"/>
      <c r="BY181" s="400"/>
      <c r="BZ181" s="400"/>
      <c r="CA181" s="400"/>
      <c r="CB181" s="400"/>
      <c r="CD181" s="47">
        <v>1001</v>
      </c>
      <c r="CE181" s="47">
        <v>1047</v>
      </c>
      <c r="CF181" s="47">
        <v>1067</v>
      </c>
      <c r="CU181" s="400"/>
      <c r="CV181" s="400"/>
      <c r="CW181" s="400"/>
      <c r="CX181" s="400"/>
      <c r="CY181" s="400"/>
      <c r="CZ181" s="400"/>
      <c r="DA181" s="400"/>
      <c r="DB181" s="400"/>
      <c r="DC181" s="400"/>
      <c r="DD181" s="400"/>
      <c r="DE181" s="400"/>
      <c r="DQ181" s="35"/>
      <c r="DR181" s="35"/>
      <c r="DS181" s="35"/>
      <c r="DU181" s="35"/>
      <c r="DV181" s="66"/>
      <c r="DW181" s="66"/>
      <c r="DX181" s="67"/>
      <c r="DY181" s="67"/>
      <c r="DZ181" s="67"/>
      <c r="EA181" s="67"/>
      <c r="EB181" s="68">
        <f t="shared" si="341"/>
      </c>
      <c r="EC181" s="68"/>
      <c r="ED181" s="68"/>
      <c r="EE181" s="68">
        <f t="shared" si="342"/>
      </c>
      <c r="EF181" s="69"/>
      <c r="EG181" s="69"/>
      <c r="EH181" s="69"/>
    </row>
    <row r="182" spans="1:138" s="47" customFormat="1">
      <c r="A182" s="47" t="s">
        <v>257</v>
      </c>
      <c r="BB182" s="400"/>
      <c r="BC182" s="400"/>
      <c r="BD182" s="400"/>
      <c r="BE182" s="400"/>
      <c r="BF182" s="400"/>
      <c r="BG182" s="400"/>
      <c r="BH182" s="400"/>
      <c r="BI182" s="400"/>
      <c r="BJ182" s="400"/>
      <c r="BK182" s="400"/>
      <c r="BL182" s="400"/>
      <c r="BM182" s="400"/>
      <c r="BN182" s="400"/>
      <c r="BO182" s="400"/>
      <c r="BP182" s="400"/>
      <c r="BQ182" s="400"/>
      <c r="BR182" s="400"/>
      <c r="BS182" s="400"/>
      <c r="BT182" s="400"/>
      <c r="BU182" s="400"/>
      <c r="BV182" s="400"/>
      <c r="BW182" s="400"/>
      <c r="BX182" s="400"/>
      <c r="BY182" s="400"/>
      <c r="BZ182" s="400"/>
      <c r="CA182" s="400"/>
      <c r="CB182" s="400"/>
      <c r="CD182" s="47">
        <v>768</v>
      </c>
      <c r="CE182" s="47">
        <v>996</v>
      </c>
      <c r="CF182" s="47">
        <v>1126</v>
      </c>
      <c r="CG182" s="47">
        <f>4349-SUM(CD182:CF182)</f>
      </c>
      <c r="CH182" s="47">
        <v>1932</v>
      </c>
      <c r="CI182" s="47">
        <v>1988</v>
      </c>
      <c r="CJ182" s="47">
        <v>2148</v>
      </c>
      <c r="CK182" s="47">
        <f>8292-SUM(CH182:CJ182)</f>
      </c>
      <c r="CL182" s="47">
        <v>2385</v>
      </c>
      <c r="CM182" s="47">
        <v>6043</v>
      </c>
      <c r="CN182" s="47">
        <v>6302</v>
      </c>
      <c r="CO182" s="47">
        <f>26966-SUM(CL182:CN182)</f>
      </c>
      <c r="CP182" s="47">
        <v>13496</v>
      </c>
      <c r="CQ182" s="47">
        <v>13022</v>
      </c>
      <c r="CR182" s="47">
        <v>14800</v>
      </c>
      <c r="CS182" s="47">
        <f>61257-CR182-CQ182-CP182</f>
      </c>
      <c r="CT182" s="47">
        <v>20739</v>
      </c>
      <c r="CU182" s="400"/>
      <c r="CV182" s="400"/>
      <c r="CW182" s="400"/>
      <c r="CX182" s="400"/>
      <c r="CY182" s="400"/>
      <c r="CZ182" s="400"/>
      <c r="DA182" s="400"/>
      <c r="DB182" s="400"/>
      <c r="DC182" s="400"/>
      <c r="DD182" s="400"/>
      <c r="DE182" s="400"/>
      <c r="DQ182" s="35"/>
      <c r="DR182" s="35"/>
      <c r="DS182" s="35"/>
      <c r="DU182" s="35"/>
      <c r="DV182" s="66"/>
      <c r="DW182" s="66"/>
      <c r="DX182" s="67"/>
      <c r="DY182" s="67"/>
      <c r="DZ182" s="67"/>
      <c r="EA182" s="67"/>
      <c r="EB182" s="68">
        <f t="shared" si="341"/>
      </c>
      <c r="EC182" s="68">
        <f>SUM(CH182:CK182)</f>
      </c>
      <c r="ED182" s="68">
        <f>SUM(CL182:CO182)</f>
      </c>
      <c r="EE182" s="68">
        <f t="shared" si="342"/>
      </c>
      <c r="EF182" s="69"/>
      <c r="EG182" s="69"/>
      <c r="EH182" s="69"/>
    </row>
    <row r="183" spans="1:138" s="47" customFormat="1">
      <c r="A183" s="47" t="s">
        <v>258</v>
      </c>
      <c r="BB183" s="400"/>
      <c r="BC183" s="400"/>
      <c r="BD183" s="400"/>
      <c r="BE183" s="400"/>
      <c r="BF183" s="400"/>
      <c r="BG183" s="400"/>
      <c r="BH183" s="400"/>
      <c r="BI183" s="400"/>
      <c r="BJ183" s="400"/>
      <c r="BK183" s="400"/>
      <c r="BL183" s="400"/>
      <c r="BM183" s="400"/>
      <c r="BN183" s="400"/>
      <c r="BO183" s="400"/>
      <c r="BP183" s="400"/>
      <c r="BQ183" s="400"/>
      <c r="BR183" s="400"/>
      <c r="BS183" s="400"/>
      <c r="BT183" s="400"/>
      <c r="BU183" s="400"/>
      <c r="BV183" s="400"/>
      <c r="BW183" s="400"/>
      <c r="BX183" s="400"/>
      <c r="BY183" s="400"/>
      <c r="BZ183" s="400"/>
      <c r="CA183" s="400"/>
      <c r="CB183" s="400"/>
      <c r="CD183" s="47">
        <v>381</v>
      </c>
      <c r="CE183" s="47">
        <v>429</v>
      </c>
      <c r="CF183" s="47">
        <v>340</v>
      </c>
      <c r="CU183" s="400"/>
      <c r="CV183" s="400"/>
      <c r="CW183" s="400"/>
      <c r="CX183" s="400"/>
      <c r="CY183" s="400"/>
      <c r="CZ183" s="400"/>
      <c r="DA183" s="400"/>
      <c r="DB183" s="400"/>
      <c r="DC183" s="400"/>
      <c r="DD183" s="400"/>
      <c r="DE183" s="400"/>
      <c r="DQ183" s="35"/>
      <c r="DR183" s="35"/>
      <c r="DS183" s="35"/>
      <c r="DU183" s="35"/>
      <c r="DV183" s="66"/>
      <c r="DW183" s="66"/>
      <c r="DX183" s="67"/>
      <c r="DY183" s="67"/>
      <c r="DZ183" s="67"/>
      <c r="EA183" s="67"/>
      <c r="EB183" s="68">
        <f t="shared" si="341"/>
      </c>
      <c r="EC183" s="68">
        <f>SUM(CH183:CK183)</f>
      </c>
      <c r="ED183" s="68">
        <f>SUM(CL183:CO183)</f>
      </c>
      <c r="EE183" s="68">
        <f t="shared" si="342"/>
      </c>
      <c r="EF183" s="69"/>
      <c r="EG183" s="69"/>
      <c r="EH183" s="69"/>
    </row>
    <row r="184" spans="1:138" s="47" customFormat="1">
      <c r="A184" s="47" t="s">
        <v>259</v>
      </c>
      <c r="BB184" s="400"/>
      <c r="BC184" s="400"/>
      <c r="BD184" s="400"/>
      <c r="BE184" s="400"/>
      <c r="BF184" s="400"/>
      <c r="BG184" s="400"/>
      <c r="BH184" s="400"/>
      <c r="BI184" s="400"/>
      <c r="BJ184" s="400"/>
      <c r="BK184" s="400"/>
      <c r="BL184" s="400"/>
      <c r="BM184" s="400"/>
      <c r="BN184" s="400"/>
      <c r="BO184" s="400"/>
      <c r="BP184" s="400"/>
      <c r="BQ184" s="400"/>
      <c r="BR184" s="400"/>
      <c r="BS184" s="400"/>
      <c r="BT184" s="400"/>
      <c r="BU184" s="400"/>
      <c r="BV184" s="400"/>
      <c r="BW184" s="400"/>
      <c r="BX184" s="400"/>
      <c r="BY184" s="400"/>
      <c r="BZ184" s="400"/>
      <c r="CA184" s="400"/>
      <c r="CB184" s="400"/>
      <c r="CD184" s="47">
        <v>336</v>
      </c>
      <c r="CE184" s="47">
        <v>354</v>
      </c>
      <c r="CF184" s="47">
        <v>366</v>
      </c>
      <c r="CG184" s="47">
        <f>6910-SUM(CD183:CF184,CD181:CF181)</f>
      </c>
      <c r="CH184" s="47">
        <f>1044+454</f>
      </c>
      <c r="CI184" s="47">
        <v>1910</v>
      </c>
      <c r="CJ184" s="47">
        <v>1482</v>
      </c>
      <c r="CK184" s="47">
        <f>5911-SUM(CH184:CJ184)</f>
      </c>
      <c r="CL184" s="47">
        <f>659+762</f>
      </c>
      <c r="CM184" s="47">
        <v>1885</v>
      </c>
      <c r="CN184" s="47">
        <v>753</v>
      </c>
      <c r="CO184" s="47">
        <f>10245-SUM(CL184:CN184,CN185)</f>
      </c>
      <c r="CP184" s="47">
        <v>1647</v>
      </c>
      <c r="CQ184" s="47">
        <v>1989</v>
      </c>
      <c r="CR184" s="47">
        <v>2016</v>
      </c>
      <c r="CS184" s="47">
        <f>7875-CR184-CP184-CQ184</f>
      </c>
      <c r="CT184" s="47">
        <v>1626</v>
      </c>
      <c r="CU184" s="400"/>
      <c r="CV184" s="400"/>
      <c r="CW184" s="400"/>
      <c r="CX184" s="400"/>
      <c r="CY184" s="400"/>
      <c r="CZ184" s="400"/>
      <c r="DA184" s="400"/>
      <c r="DB184" s="400"/>
      <c r="DC184" s="400"/>
      <c r="DD184" s="400"/>
      <c r="DE184" s="400"/>
      <c r="DQ184" s="35"/>
      <c r="DR184" s="35"/>
      <c r="DS184" s="35"/>
      <c r="DU184" s="35"/>
      <c r="DV184" s="66"/>
      <c r="DW184" s="66"/>
      <c r="DX184" s="67"/>
      <c r="DY184" s="67"/>
      <c r="DZ184" s="67"/>
      <c r="EA184" s="67"/>
      <c r="EB184" s="68">
        <f t="shared" si="341"/>
      </c>
      <c r="EC184" s="68">
        <f>SUM(CH184:CK184)</f>
      </c>
      <c r="ED184" s="68">
        <f>SUM(CL184:CO184)</f>
      </c>
      <c r="EE184" s="68">
        <f t="shared" si="342"/>
      </c>
      <c r="EF184" s="69"/>
      <c r="EG184" s="69"/>
      <c r="EH184" s="69"/>
    </row>
    <row r="185" spans="1:138" s="47" customFormat="1">
      <c r="A185" s="47" t="s">
        <v>260</v>
      </c>
      <c r="BB185" s="400"/>
      <c r="BC185" s="400"/>
      <c r="BD185" s="400"/>
      <c r="BE185" s="400"/>
      <c r="BF185" s="400"/>
      <c r="BG185" s="400"/>
      <c r="BH185" s="400"/>
      <c r="BI185" s="400"/>
      <c r="BJ185" s="400"/>
      <c r="BK185" s="400"/>
      <c r="BL185" s="400"/>
      <c r="BM185" s="400"/>
      <c r="BN185" s="400"/>
      <c r="BO185" s="400"/>
      <c r="BP185" s="400"/>
      <c r="BQ185" s="400"/>
      <c r="BR185" s="400"/>
      <c r="BS185" s="400"/>
      <c r="BT185" s="400"/>
      <c r="BU185" s="400"/>
      <c r="BV185" s="400"/>
      <c r="BW185" s="400"/>
      <c r="BX185" s="400"/>
      <c r="BY185" s="400"/>
      <c r="BZ185" s="400"/>
      <c r="CA185" s="400"/>
      <c r="CB185" s="400"/>
      <c r="CJ185" s="47">
        <v>536</v>
      </c>
      <c r="CN185" s="47">
        <v>2702</v>
      </c>
      <c r="CP185" s="47">
        <v>4037</v>
      </c>
      <c r="CQ185" s="47">
        <v>5622</v>
      </c>
      <c r="CR185" s="47">
        <v>7697</v>
      </c>
      <c r="CS185" s="47">
        <f>23684-CR185-CQ185-CP185</f>
      </c>
      <c r="CT185" s="47">
        <v>9017</v>
      </c>
      <c r="CU185" s="400"/>
      <c r="CV185" s="400"/>
      <c r="CW185" s="400"/>
      <c r="CX185" s="400"/>
      <c r="CY185" s="400"/>
      <c r="CZ185" s="400"/>
      <c r="DA185" s="400"/>
      <c r="DB185" s="400"/>
      <c r="DC185" s="400"/>
      <c r="DD185" s="400"/>
      <c r="DE185" s="400"/>
      <c r="DQ185" s="35"/>
      <c r="DR185" s="35"/>
      <c r="DS185" s="35"/>
      <c r="DU185" s="35"/>
      <c r="DV185" s="66"/>
      <c r="DW185" s="66"/>
      <c r="DX185" s="67"/>
      <c r="DY185" s="67"/>
      <c r="DZ185" s="67"/>
      <c r="EA185" s="67"/>
      <c r="EB185" s="68">
        <f t="shared" si="341"/>
      </c>
      <c r="EC185" s="68">
        <f>SUM(CH185:CK185)</f>
      </c>
      <c r="ED185" s="68">
        <f>SUM(CL185:CO185)</f>
      </c>
      <c r="EE185" s="68">
        <f t="shared" si="342"/>
      </c>
      <c r="EF185" s="69"/>
      <c r="EG185" s="69"/>
      <c r="EH185" s="69"/>
    </row>
    <row r="186" spans="1:138" s="47" customFormat="1">
      <c r="A186" s="400"/>
      <c r="BB186" s="400"/>
      <c r="BC186" s="400"/>
      <c r="BD186" s="400"/>
      <c r="BE186" s="400"/>
      <c r="BF186" s="400"/>
      <c r="BG186" s="400"/>
      <c r="BH186" s="400"/>
      <c r="BI186" s="400"/>
      <c r="BJ186" s="400"/>
      <c r="BK186" s="400"/>
      <c r="BL186" s="400"/>
      <c r="BM186" s="400"/>
      <c r="BN186" s="400"/>
      <c r="BO186" s="400"/>
      <c r="BP186" s="400"/>
      <c r="BQ186" s="400"/>
      <c r="BR186" s="400"/>
      <c r="BS186" s="400"/>
      <c r="BT186" s="400"/>
      <c r="BU186" s="400"/>
      <c r="BV186" s="400"/>
      <c r="BW186" s="400"/>
      <c r="BX186" s="400"/>
      <c r="BY186" s="400"/>
      <c r="BZ186" s="400"/>
      <c r="CA186" s="400"/>
      <c r="CB186" s="400"/>
      <c r="CC186" s="400"/>
      <c r="CD186" s="35">
        <f t="shared" ref="CD186:CM186" si="343">SUM(CD179:CD184)</f>
      </c>
      <c r="CE186" s="35">
        <f t="shared" si="343"/>
      </c>
      <c r="CF186" s="35">
        <f t="shared" si="343"/>
      </c>
      <c r="CG186" s="35">
        <f t="shared" si="343"/>
      </c>
      <c r="CH186" s="35">
        <f t="shared" si="343"/>
      </c>
      <c r="CI186" s="35">
        <f t="shared" si="343"/>
      </c>
      <c r="CJ186" s="35">
        <f t="shared" si="343"/>
      </c>
      <c r="CK186" s="35">
        <f t="shared" si="343"/>
      </c>
      <c r="CL186" s="35">
        <f t="shared" si="343"/>
      </c>
      <c r="CM186" s="35">
        <f t="shared" si="343"/>
      </c>
      <c r="CN186" s="35">
        <f t="shared" ref="CN186:CS186" si="344">SUM(CN179:CN185)</f>
      </c>
      <c r="CO186" s="35">
        <f t="shared" si="344"/>
      </c>
      <c r="CP186" s="35">
        <f t="shared" si="344"/>
      </c>
      <c r="CQ186" s="35">
        <f t="shared" si="344"/>
      </c>
      <c r="CR186" s="35">
        <f t="shared" si="344"/>
      </c>
      <c r="CS186" s="35">
        <f t="shared" si="344"/>
      </c>
      <c r="CT186" s="35">
        <f>SUM(CT179:CT185)</f>
      </c>
      <c r="CU186" s="400"/>
      <c r="CV186" s="400"/>
      <c r="CW186" s="400"/>
      <c r="CX186" s="400"/>
      <c r="CY186" s="400"/>
      <c r="CZ186" s="400"/>
      <c r="DA186" s="400"/>
      <c r="DB186" s="400"/>
      <c r="DC186" s="400"/>
      <c r="DD186" s="400"/>
      <c r="DE186" s="400"/>
      <c r="DQ186" s="35"/>
      <c r="DR186" s="35"/>
      <c r="DS186" s="35"/>
      <c r="DU186" s="35"/>
      <c r="DV186" s="66"/>
      <c r="DW186" s="66"/>
      <c r="DX186" s="67"/>
      <c r="DY186" s="67"/>
      <c r="DZ186" s="67"/>
      <c r="EA186" s="67"/>
      <c r="EB186" s="67">
        <f t="shared" si="341"/>
      </c>
      <c r="EC186" s="67">
        <f>SUM(CH186:CK186)</f>
      </c>
      <c r="ED186" s="67">
        <f>SUM(CL186:CO186)</f>
      </c>
      <c r="EE186" s="67">
        <f t="shared" si="342"/>
      </c>
      <c r="EF186" s="69"/>
      <c r="EG186" s="69"/>
      <c r="EH186" s="69"/>
    </row>
    <row r="187" spans="1:138">
      <c r="A187" s="400"/>
      <c r="BB187" s="414"/>
      <c r="BC187" s="414"/>
      <c r="BD187" s="414"/>
      <c r="BE187" s="414"/>
      <c r="BF187" s="414"/>
      <c r="BG187" s="414"/>
      <c r="BH187" s="414"/>
      <c r="BI187" s="414"/>
      <c r="BJ187" s="414"/>
      <c r="BK187" s="414"/>
      <c r="BL187" s="414"/>
      <c r="BM187" s="414"/>
      <c r="BN187" s="414"/>
      <c r="BO187" s="414"/>
      <c r="BP187" s="414"/>
      <c r="BQ187" s="414"/>
      <c r="BR187" s="414"/>
      <c r="BS187" s="414"/>
      <c r="BT187" s="414"/>
      <c r="BU187" s="414"/>
      <c r="BV187" s="414"/>
      <c r="BW187" s="414"/>
      <c r="BX187" s="414"/>
      <c r="BY187" s="414"/>
      <c r="BZ187" s="414"/>
      <c r="CA187" s="414"/>
      <c r="CB187" s="414"/>
      <c r="CC187" s="414"/>
      <c r="CD187" s="414"/>
      <c r="CE187" s="414"/>
      <c r="CF187" s="414"/>
      <c r="CG187" s="414"/>
      <c r="CH187" s="414"/>
      <c r="CI187" s="414"/>
      <c r="CJ187" s="414"/>
      <c r="CK187" s="414"/>
      <c r="CL187" s="414"/>
      <c r="CM187" s="414"/>
      <c r="CN187" s="414"/>
      <c r="CO187" s="414"/>
      <c r="CP187" s="414"/>
      <c r="CQ187" s="414"/>
      <c r="CR187" s="414"/>
      <c r="CS187" s="414"/>
      <c r="CT187" s="414"/>
      <c r="CU187" s="414"/>
      <c r="CV187" s="414"/>
      <c r="CW187" s="414"/>
      <c r="CX187" s="414"/>
      <c r="CY187" s="414"/>
      <c r="CZ187" s="414"/>
      <c r="DA187" s="414"/>
      <c r="DB187" s="414"/>
      <c r="DC187" s="414"/>
      <c r="DD187" s="414"/>
      <c r="DE187" s="414"/>
      <c r="DQ187" s="399"/>
      <c r="DR187" s="399"/>
      <c r="DS187" s="399"/>
      <c r="DU187" s="399"/>
      <c r="DV187" s="70"/>
      <c r="DW187" s="70"/>
      <c r="DX187" s="71"/>
      <c r="DY187" s="71"/>
      <c r="DZ187" s="71"/>
      <c r="EA187" s="71"/>
      <c r="EB187" s="71"/>
      <c r="EC187" s="71"/>
      <c r="ED187" s="71"/>
      <c r="EE187" s="71"/>
      <c r="EF187" s="72"/>
      <c r="EG187" s="72"/>
      <c r="EH187" s="72"/>
    </row>
    <row r="188" spans="1:138">
      <c r="A188" s="415" t="s">
        <v>261</v>
      </c>
      <c r="BB188" s="414"/>
      <c r="BC188" s="414"/>
      <c r="BD188" s="414"/>
      <c r="BE188" s="414"/>
      <c r="BF188" s="414"/>
      <c r="BG188" s="414"/>
      <c r="BH188" s="414"/>
      <c r="BI188" s="414"/>
      <c r="BJ188" s="414"/>
      <c r="BK188" s="414"/>
      <c r="BL188" s="414"/>
      <c r="BM188" s="414"/>
      <c r="BN188" s="414"/>
      <c r="BO188" s="414"/>
      <c r="BP188" s="414"/>
      <c r="BQ188" s="414"/>
      <c r="BR188" s="414"/>
      <c r="BS188" s="414"/>
      <c r="BT188" s="414"/>
      <c r="BU188" s="414"/>
      <c r="BV188" s="414"/>
      <c r="BW188" s="414"/>
      <c r="BX188" s="414"/>
      <c r="BY188" s="414"/>
      <c r="BZ188" s="414"/>
      <c r="CA188" s="414"/>
      <c r="CB188" s="414"/>
      <c r="CC188" s="414"/>
      <c r="CD188" s="414"/>
      <c r="CE188" s="414"/>
      <c r="CF188" s="414"/>
      <c r="CG188" s="414"/>
      <c r="CH188" s="414"/>
      <c r="CI188" s="414"/>
      <c r="CJ188" s="414"/>
      <c r="CK188" s="414"/>
      <c r="CL188" s="414"/>
      <c r="CM188" s="414"/>
      <c r="CN188" s="414"/>
      <c r="CO188" s="414"/>
      <c r="CP188" s="414"/>
      <c r="CQ188" s="414"/>
      <c r="CR188" s="414"/>
      <c r="CS188" s="414"/>
      <c r="CT188" s="414"/>
      <c r="CU188" s="414"/>
      <c r="CV188" s="414"/>
      <c r="CW188" s="414"/>
      <c r="CX188" s="414"/>
      <c r="CY188" s="414"/>
      <c r="CZ188" s="414"/>
      <c r="DA188" s="414"/>
      <c r="DB188" s="414"/>
      <c r="DC188" s="414"/>
      <c r="DD188" s="414"/>
      <c r="DE188" s="414"/>
      <c r="DQ188" s="399"/>
      <c r="DR188" s="399"/>
      <c r="DS188" s="399"/>
      <c r="DU188" s="399"/>
      <c r="DV188" s="70"/>
      <c r="DW188" s="70"/>
      <c r="DX188" s="71"/>
      <c r="DY188" s="71"/>
      <c r="DZ188" s="71"/>
      <c r="EA188" s="71"/>
      <c r="EB188" s="71"/>
      <c r="EC188" s="71"/>
      <c r="ED188" s="71"/>
      <c r="EE188" s="71"/>
      <c r="EF188" s="72"/>
      <c r="EG188" s="72"/>
      <c r="EH188" s="72"/>
    </row>
    <row r="189" spans="1:138">
      <c r="BB189" s="414"/>
      <c r="BC189" s="414"/>
      <c r="BD189" s="414"/>
      <c r="BE189" s="414"/>
      <c r="BF189" s="414"/>
      <c r="BG189" s="414"/>
      <c r="BH189" s="414"/>
      <c r="BI189" s="414"/>
      <c r="BJ189" s="414"/>
      <c r="BK189" s="414"/>
      <c r="BL189" s="414"/>
      <c r="BM189" s="414"/>
      <c r="BN189" s="414"/>
      <c r="BO189" s="414"/>
      <c r="BP189" s="414"/>
      <c r="BQ189" s="414"/>
      <c r="BR189" s="414"/>
      <c r="BS189" s="414"/>
      <c r="BT189" s="414"/>
      <c r="BU189" s="414"/>
      <c r="BV189" s="414"/>
      <c r="BW189" s="414"/>
      <c r="BX189" s="414"/>
      <c r="BY189" s="414"/>
      <c r="BZ189" s="414"/>
      <c r="CA189" s="414"/>
      <c r="CB189" s="414"/>
      <c r="CC189" s="414"/>
      <c r="CD189" s="414"/>
      <c r="CE189" s="414"/>
      <c r="CF189" s="414"/>
      <c r="CG189" s="414"/>
      <c r="CH189" s="414"/>
      <c r="CI189" s="414"/>
      <c r="CJ189" s="414"/>
      <c r="CK189" s="414"/>
      <c r="CL189" s="414"/>
      <c r="CM189" s="414"/>
      <c r="CN189" s="414"/>
      <c r="CO189" s="414"/>
      <c r="CP189" s="414"/>
      <c r="CQ189" s="414"/>
      <c r="CR189" s="414"/>
      <c r="CS189" s="414"/>
      <c r="CT189" s="414"/>
      <c r="CU189" s="414"/>
      <c r="CV189" s="414"/>
      <c r="CW189" s="414"/>
      <c r="CX189" s="414"/>
      <c r="CY189" s="414"/>
      <c r="CZ189" s="414"/>
      <c r="DA189" s="414"/>
      <c r="DB189" s="414"/>
      <c r="DC189" s="414"/>
      <c r="DD189" s="414"/>
      <c r="DE189" s="414"/>
      <c r="DQ189" s="399"/>
      <c r="DR189" s="399"/>
      <c r="DS189" s="399"/>
      <c r="DU189" s="399"/>
      <c r="DV189" s="70"/>
      <c r="DW189" s="70"/>
      <c r="DX189" s="71"/>
      <c r="DY189" s="71"/>
      <c r="DZ189" s="71"/>
      <c r="EA189" s="71"/>
      <c r="EB189" s="71"/>
      <c r="EC189" s="71"/>
      <c r="ED189" s="71"/>
      <c r="EE189" s="71"/>
      <c r="EF189" s="72"/>
      <c r="EG189" s="72"/>
      <c r="EH189" s="72"/>
    </row>
    <row r="190" spans="1:138">
      <c r="A190" s="27" t="s">
        <v>254</v>
      </c>
      <c r="BB190" s="414"/>
      <c r="BC190" s="414"/>
      <c r="BD190" s="414"/>
      <c r="BE190" s="414"/>
      <c r="BF190" s="414"/>
      <c r="BG190" s="414"/>
      <c r="BH190" s="414"/>
      <c r="BI190" s="414"/>
      <c r="BJ190" s="414"/>
      <c r="BK190" s="414"/>
      <c r="BL190" s="414"/>
      <c r="BM190" s="414"/>
      <c r="BN190" s="414"/>
      <c r="BO190" s="414"/>
      <c r="BP190" s="414"/>
      <c r="BQ190" s="414"/>
      <c r="BR190" s="414"/>
      <c r="BS190" s="414"/>
      <c r="BT190" s="414"/>
      <c r="BU190" s="414"/>
      <c r="BV190" s="414"/>
      <c r="BW190" s="414"/>
      <c r="BX190" s="414"/>
      <c r="BY190" s="414"/>
      <c r="BZ190" s="414"/>
      <c r="CA190" s="414"/>
      <c r="CB190" s="414"/>
      <c r="CC190" s="414"/>
      <c r="CD190" s="416">
        <f t="shared" ref="CD190:CT190" si="345">CD179/CD$186</f>
      </c>
      <c r="CE190" s="416">
        <f t="shared" si="345"/>
      </c>
      <c r="CF190" s="416">
        <f t="shared" si="345"/>
      </c>
      <c r="CG190" s="416">
        <f t="shared" si="345"/>
      </c>
      <c r="CH190" s="416">
        <f t="shared" si="345"/>
      </c>
      <c r="CI190" s="416">
        <f t="shared" si="345"/>
      </c>
      <c r="CJ190" s="416">
        <f t="shared" si="345"/>
      </c>
      <c r="CK190" s="416">
        <f t="shared" si="345"/>
      </c>
      <c r="CL190" s="416">
        <f t="shared" si="345"/>
      </c>
      <c r="CM190" s="416">
        <f t="shared" si="345"/>
      </c>
      <c r="CN190" s="416">
        <f t="shared" si="345"/>
      </c>
      <c r="CO190" s="416">
        <f t="shared" si="345"/>
      </c>
      <c r="CP190" s="416">
        <f t="shared" si="345"/>
      </c>
      <c r="CQ190" s="416">
        <f t="shared" si="345"/>
      </c>
      <c r="CR190" s="416">
        <f t="shared" si="345"/>
      </c>
      <c r="CS190" s="416">
        <f t="shared" si="345"/>
      </c>
      <c r="CT190" s="416">
        <f t="shared" si="345"/>
      </c>
      <c r="CU190" s="414"/>
      <c r="CV190" s="414"/>
      <c r="CW190" s="414"/>
      <c r="CX190" s="414"/>
      <c r="CY190" s="414"/>
      <c r="CZ190" s="414"/>
      <c r="DA190" s="414"/>
      <c r="DB190" s="414"/>
      <c r="DC190" s="414"/>
      <c r="DD190" s="414"/>
      <c r="DE190" s="414"/>
      <c r="DQ190" s="399"/>
      <c r="DR190" s="399"/>
      <c r="DS190" s="399"/>
      <c r="DU190" s="399"/>
      <c r="DV190" s="70"/>
      <c r="DW190" s="70"/>
      <c r="DX190" s="71"/>
      <c r="DY190" s="71"/>
      <c r="DZ190" s="71"/>
      <c r="EA190" s="71"/>
      <c r="EB190" s="416">
        <f t="shared" ref="EB190:EE191" si="346">EB179/EB$186</f>
      </c>
      <c r="EC190" s="416">
        <f t="shared" si="346"/>
      </c>
      <c r="ED190" s="416">
        <f t="shared" si="346"/>
      </c>
      <c r="EE190" s="416">
        <f t="shared" si="346"/>
      </c>
      <c r="EF190" s="72"/>
      <c r="EG190" s="72"/>
      <c r="EH190" s="72"/>
    </row>
    <row r="191" spans="1:138">
      <c r="A191" s="27" t="s">
        <v>255</v>
      </c>
      <c r="BB191" s="414"/>
      <c r="BC191" s="414"/>
      <c r="BD191" s="414"/>
      <c r="BE191" s="414"/>
      <c r="BF191" s="414"/>
      <c r="BG191" s="414"/>
      <c r="BH191" s="414"/>
      <c r="BI191" s="414"/>
      <c r="BJ191" s="414"/>
      <c r="BK191" s="414"/>
      <c r="BL191" s="414"/>
      <c r="BM191" s="414"/>
      <c r="BN191" s="414"/>
      <c r="BO191" s="414"/>
      <c r="BP191" s="414"/>
      <c r="BQ191" s="414"/>
      <c r="BR191" s="414"/>
      <c r="BS191" s="414"/>
      <c r="BT191" s="414"/>
      <c r="BU191" s="414"/>
      <c r="BV191" s="414"/>
      <c r="BW191" s="414"/>
      <c r="BX191" s="414"/>
      <c r="BY191" s="414"/>
      <c r="BZ191" s="414"/>
      <c r="CA191" s="414"/>
      <c r="CB191" s="414"/>
      <c r="CC191" s="414"/>
      <c r="CD191" s="416">
        <f t="shared" ref="CD191:CD197" si="347">CD180/$CD$186</f>
      </c>
      <c r="CE191" s="416">
        <f t="shared" ref="CE191:CT191" si="348">CE180/CE$186</f>
      </c>
      <c r="CF191" s="416">
        <f t="shared" si="348"/>
      </c>
      <c r="CG191" s="416">
        <f t="shared" si="348"/>
      </c>
      <c r="CH191" s="416">
        <f t="shared" si="348"/>
      </c>
      <c r="CI191" s="416">
        <f t="shared" si="348"/>
      </c>
      <c r="CJ191" s="416">
        <f t="shared" si="348"/>
      </c>
      <c r="CK191" s="416">
        <f t="shared" si="348"/>
      </c>
      <c r="CL191" s="416">
        <f t="shared" si="348"/>
      </c>
      <c r="CM191" s="416">
        <f t="shared" si="348"/>
      </c>
      <c r="CN191" s="416">
        <f t="shared" si="348"/>
      </c>
      <c r="CO191" s="416">
        <f t="shared" si="348"/>
      </c>
      <c r="CP191" s="416">
        <f t="shared" si="348"/>
      </c>
      <c r="CQ191" s="416">
        <f t="shared" si="348"/>
      </c>
      <c r="CR191" s="416">
        <f t="shared" si="348"/>
      </c>
      <c r="CS191" s="416">
        <f t="shared" si="348"/>
      </c>
      <c r="CT191" s="416">
        <f t="shared" si="348"/>
      </c>
      <c r="CU191" s="414"/>
      <c r="CV191" s="414"/>
      <c r="CW191" s="414"/>
      <c r="CX191" s="414"/>
      <c r="CY191" s="414"/>
      <c r="CZ191" s="414"/>
      <c r="DA191" s="414"/>
      <c r="DB191" s="414"/>
      <c r="DC191" s="414"/>
      <c r="DD191" s="414"/>
      <c r="DE191" s="414"/>
      <c r="DQ191" s="399"/>
      <c r="DR191" s="399"/>
      <c r="DS191" s="399"/>
      <c r="DU191" s="399"/>
      <c r="DV191" s="70"/>
      <c r="DW191" s="70"/>
      <c r="DX191" s="71"/>
      <c r="DY191" s="71"/>
      <c r="DZ191" s="71"/>
      <c r="EA191" s="71"/>
      <c r="EB191" s="416">
        <f t="shared" si="346"/>
      </c>
      <c r="EC191" s="416">
        <f t="shared" si="346"/>
      </c>
      <c r="ED191" s="416">
        <f t="shared" si="346"/>
      </c>
      <c r="EE191" s="416">
        <f t="shared" si="346"/>
      </c>
      <c r="EF191" s="72"/>
      <c r="EG191" s="72"/>
      <c r="EH191" s="72"/>
    </row>
    <row r="192" spans="1:138">
      <c r="A192" s="27" t="s">
        <v>256</v>
      </c>
      <c r="BB192" s="414"/>
      <c r="BC192" s="414"/>
      <c r="BD192" s="414"/>
      <c r="BE192" s="414"/>
      <c r="BF192" s="414"/>
      <c r="BG192" s="414"/>
      <c r="BH192" s="414"/>
      <c r="BI192" s="414"/>
      <c r="BJ192" s="414"/>
      <c r="BK192" s="414"/>
      <c r="BL192" s="414"/>
      <c r="BM192" s="414"/>
      <c r="BN192" s="414"/>
      <c r="BO192" s="414"/>
      <c r="BP192" s="414"/>
      <c r="BQ192" s="414"/>
      <c r="BR192" s="414"/>
      <c r="BS192" s="414"/>
      <c r="BT192" s="414"/>
      <c r="BU192" s="414"/>
      <c r="BV192" s="414"/>
      <c r="BW192" s="414"/>
      <c r="BX192" s="414"/>
      <c r="BY192" s="414"/>
      <c r="BZ192" s="414"/>
      <c r="CA192" s="414"/>
      <c r="CB192" s="414"/>
      <c r="CC192" s="414"/>
      <c r="CD192" s="416">
        <f t="shared" si="347"/>
      </c>
      <c r="CE192" s="416">
        <f t="shared" ref="CE192:CT192" si="349">CE181/CE$186</f>
      </c>
      <c r="CF192" s="416">
        <f t="shared" si="349"/>
      </c>
      <c r="CG192" s="416">
        <f t="shared" si="349"/>
      </c>
      <c r="CH192" s="416">
        <f t="shared" si="349"/>
      </c>
      <c r="CI192" s="416">
        <f t="shared" si="349"/>
      </c>
      <c r="CJ192" s="416">
        <f t="shared" si="349"/>
      </c>
      <c r="CK192" s="416">
        <f t="shared" si="349"/>
      </c>
      <c r="CL192" s="416">
        <f t="shared" si="349"/>
      </c>
      <c r="CM192" s="416">
        <f t="shared" si="349"/>
      </c>
      <c r="CN192" s="416">
        <f t="shared" si="349"/>
      </c>
      <c r="CO192" s="416">
        <f t="shared" si="349"/>
      </c>
      <c r="CP192" s="416">
        <f t="shared" si="349"/>
      </c>
      <c r="CQ192" s="416">
        <f t="shared" si="349"/>
      </c>
      <c r="CR192" s="416">
        <f t="shared" si="349"/>
      </c>
      <c r="CS192" s="416">
        <f t="shared" si="349"/>
      </c>
      <c r="CT192" s="416">
        <f t="shared" si="349"/>
      </c>
      <c r="CU192" s="414"/>
      <c r="CV192" s="414"/>
      <c r="CW192" s="414"/>
      <c r="CX192" s="414"/>
      <c r="CY192" s="414"/>
      <c r="CZ192" s="414"/>
      <c r="DA192" s="414"/>
      <c r="DB192" s="414"/>
      <c r="DC192" s="414"/>
      <c r="DD192" s="414"/>
      <c r="DE192" s="414"/>
      <c r="DQ192" s="399"/>
      <c r="DR192" s="399"/>
      <c r="DS192" s="399"/>
      <c r="DU192" s="399"/>
      <c r="DV192" s="70"/>
      <c r="DW192" s="70"/>
      <c r="DX192" s="71"/>
      <c r="DY192" s="71"/>
      <c r="DZ192" s="71"/>
      <c r="EA192" s="71"/>
      <c r="EB192" s="416">
        <f>EB181/EB$186</f>
      </c>
      <c r="EC192" s="416"/>
      <c r="ED192" s="416"/>
      <c r="EE192" s="416"/>
      <c r="EF192" s="72"/>
      <c r="EG192" s="72"/>
      <c r="EH192" s="72"/>
    </row>
    <row r="193" spans="1:138">
      <c r="A193" s="27" t="s">
        <v>257</v>
      </c>
      <c r="BB193" s="414"/>
      <c r="BC193" s="414"/>
      <c r="BD193" s="414"/>
      <c r="BE193" s="414"/>
      <c r="BF193" s="414"/>
      <c r="BG193" s="414"/>
      <c r="BH193" s="414"/>
      <c r="BI193" s="414"/>
      <c r="BJ193" s="414"/>
      <c r="BK193" s="414"/>
      <c r="BL193" s="414"/>
      <c r="BM193" s="414"/>
      <c r="BN193" s="414"/>
      <c r="BO193" s="414"/>
      <c r="BP193" s="414"/>
      <c r="BQ193" s="414"/>
      <c r="BR193" s="414"/>
      <c r="BS193" s="414"/>
      <c r="BT193" s="414"/>
      <c r="BU193" s="414"/>
      <c r="BV193" s="414"/>
      <c r="BW193" s="414"/>
      <c r="BX193" s="414"/>
      <c r="BY193" s="414"/>
      <c r="BZ193" s="414"/>
      <c r="CA193" s="414"/>
      <c r="CB193" s="414"/>
      <c r="CC193" s="414"/>
      <c r="CD193" s="416">
        <f t="shared" si="347"/>
      </c>
      <c r="CE193" s="416">
        <f t="shared" ref="CE193:CT193" si="350">CE182/CE$186</f>
      </c>
      <c r="CF193" s="416">
        <f t="shared" si="350"/>
      </c>
      <c r="CG193" s="416">
        <f t="shared" si="350"/>
      </c>
      <c r="CH193" s="416">
        <f t="shared" si="350"/>
      </c>
      <c r="CI193" s="416">
        <f t="shared" si="350"/>
      </c>
      <c r="CJ193" s="416">
        <f t="shared" si="350"/>
      </c>
      <c r="CK193" s="416">
        <f t="shared" si="350"/>
      </c>
      <c r="CL193" s="416">
        <f t="shared" si="350"/>
      </c>
      <c r="CM193" s="416">
        <f t="shared" si="350"/>
      </c>
      <c r="CN193" s="416">
        <f t="shared" si="350"/>
      </c>
      <c r="CO193" s="416">
        <f t="shared" si="350"/>
      </c>
      <c r="CP193" s="416">
        <f t="shared" si="350"/>
      </c>
      <c r="CQ193" s="416">
        <f t="shared" si="350"/>
      </c>
      <c r="CR193" s="416">
        <f t="shared" si="350"/>
      </c>
      <c r="CS193" s="416">
        <f t="shared" si="350"/>
      </c>
      <c r="CT193" s="416">
        <f t="shared" si="350"/>
      </c>
      <c r="CU193" s="414"/>
      <c r="CV193" s="414"/>
      <c r="CW193" s="414"/>
      <c r="CX193" s="414"/>
      <c r="CY193" s="414"/>
      <c r="CZ193" s="414"/>
      <c r="DA193" s="414"/>
      <c r="DB193" s="414"/>
      <c r="DC193" s="414"/>
      <c r="DD193" s="414"/>
      <c r="DE193" s="414"/>
      <c r="DQ193" s="399"/>
      <c r="DR193" s="399"/>
      <c r="DS193" s="399"/>
      <c r="DU193" s="399"/>
      <c r="DV193" s="70"/>
      <c r="DW193" s="70"/>
      <c r="DX193" s="71"/>
      <c r="DY193" s="71"/>
      <c r="DZ193" s="71"/>
      <c r="EA193" s="71"/>
      <c r="EB193" s="416">
        <f>EB182/EB$186</f>
      </c>
      <c r="EC193" s="416">
        <f>EC182/EC$186</f>
      </c>
      <c r="ED193" s="416">
        <f>ED182/ED$186</f>
      </c>
      <c r="EE193" s="416">
        <f>EE182/EE$186</f>
      </c>
      <c r="EF193" s="72"/>
      <c r="EG193" s="72"/>
      <c r="EH193" s="72"/>
    </row>
    <row r="194" spans="1:138">
      <c r="A194" s="27" t="s">
        <v>262</v>
      </c>
      <c r="BB194" s="414"/>
      <c r="BC194" s="414"/>
      <c r="BD194" s="414"/>
      <c r="BE194" s="414"/>
      <c r="BF194" s="414"/>
      <c r="BG194" s="414"/>
      <c r="BH194" s="414"/>
      <c r="BI194" s="414"/>
      <c r="BJ194" s="414"/>
      <c r="BK194" s="414"/>
      <c r="BL194" s="414"/>
      <c r="BM194" s="414"/>
      <c r="BN194" s="414"/>
      <c r="BO194" s="414"/>
      <c r="BP194" s="414"/>
      <c r="BQ194" s="414"/>
      <c r="BR194" s="414"/>
      <c r="BS194" s="414"/>
      <c r="BT194" s="414"/>
      <c r="BU194" s="414"/>
      <c r="BV194" s="414"/>
      <c r="BW194" s="414"/>
      <c r="BX194" s="414"/>
      <c r="BY194" s="414"/>
      <c r="BZ194" s="414"/>
      <c r="CA194" s="414"/>
      <c r="CB194" s="414"/>
      <c r="CC194" s="414"/>
      <c r="CD194" s="416">
        <f t="shared" si="347"/>
      </c>
      <c r="CE194" s="416">
        <f t="shared" ref="CE194:CT194" si="351">CE183/CE$186</f>
      </c>
      <c r="CF194" s="416">
        <f t="shared" si="351"/>
      </c>
      <c r="CG194" s="416">
        <f t="shared" si="351"/>
      </c>
      <c r="CH194" s="416">
        <f t="shared" si="351"/>
      </c>
      <c r="CI194" s="416">
        <f t="shared" si="351"/>
      </c>
      <c r="CJ194" s="416">
        <f t="shared" si="351"/>
      </c>
      <c r="CK194" s="416">
        <f t="shared" si="351"/>
      </c>
      <c r="CL194" s="416">
        <f t="shared" si="351"/>
      </c>
      <c r="CM194" s="416">
        <f t="shared" si="351"/>
      </c>
      <c r="CN194" s="416">
        <f t="shared" si="351"/>
      </c>
      <c r="CO194" s="416">
        <f t="shared" si="351"/>
      </c>
      <c r="CP194" s="416">
        <f t="shared" si="351"/>
      </c>
      <c r="CQ194" s="416">
        <f t="shared" si="351"/>
      </c>
      <c r="CR194" s="416">
        <f t="shared" si="351"/>
      </c>
      <c r="CS194" s="416">
        <f t="shared" si="351"/>
      </c>
      <c r="CT194" s="416">
        <f t="shared" si="351"/>
      </c>
      <c r="CU194" s="414"/>
      <c r="CV194" s="414"/>
      <c r="CW194" s="414"/>
      <c r="CX194" s="414"/>
      <c r="CY194" s="414"/>
      <c r="CZ194" s="414"/>
      <c r="DA194" s="414"/>
      <c r="DB194" s="414"/>
      <c r="DC194" s="414"/>
      <c r="DD194" s="414"/>
      <c r="DE194" s="414"/>
      <c r="DQ194" s="399"/>
      <c r="DR194" s="399"/>
      <c r="DS194" s="399"/>
      <c r="DU194" s="399"/>
      <c r="DV194" s="70"/>
      <c r="DW194" s="70"/>
      <c r="DX194" s="71"/>
      <c r="DY194" s="71"/>
      <c r="DZ194" s="71"/>
      <c r="EA194" s="71"/>
      <c r="EB194" s="416">
        <f>EB183/EB$186</f>
      </c>
      <c r="EC194" s="416"/>
      <c r="ED194" s="416"/>
      <c r="EE194" s="416"/>
      <c r="EF194" s="72"/>
      <c r="EG194" s="72"/>
      <c r="EH194" s="72"/>
    </row>
    <row r="195" spans="1:138">
      <c r="A195" s="27" t="s">
        <v>259</v>
      </c>
      <c r="BB195" s="414"/>
      <c r="BC195" s="414"/>
      <c r="BD195" s="414"/>
      <c r="BE195" s="414"/>
      <c r="BF195" s="414"/>
      <c r="BG195" s="414"/>
      <c r="BH195" s="414"/>
      <c r="BI195" s="414"/>
      <c r="BJ195" s="414"/>
      <c r="BK195" s="414"/>
      <c r="BL195" s="414"/>
      <c r="BM195" s="414"/>
      <c r="BN195" s="414"/>
      <c r="BO195" s="414"/>
      <c r="BP195" s="414"/>
      <c r="BQ195" s="414"/>
      <c r="BR195" s="414"/>
      <c r="BS195" s="414"/>
      <c r="BT195" s="414"/>
      <c r="BU195" s="414"/>
      <c r="BV195" s="414"/>
      <c r="BW195" s="414"/>
      <c r="BX195" s="414"/>
      <c r="BY195" s="414"/>
      <c r="BZ195" s="414"/>
      <c r="CA195" s="414"/>
      <c r="CB195" s="414"/>
      <c r="CC195" s="414"/>
      <c r="CD195" s="416">
        <f t="shared" si="347"/>
      </c>
      <c r="CE195" s="416">
        <f t="shared" ref="CE195:CT195" si="352">CE184/CE$186</f>
      </c>
      <c r="CF195" s="416">
        <f t="shared" si="352"/>
      </c>
      <c r="CG195" s="416">
        <f t="shared" si="352"/>
      </c>
      <c r="CH195" s="416">
        <f t="shared" si="352"/>
      </c>
      <c r="CI195" s="416">
        <f t="shared" si="352"/>
      </c>
      <c r="CJ195" s="416">
        <f t="shared" si="352"/>
      </c>
      <c r="CK195" s="416">
        <f t="shared" si="352"/>
      </c>
      <c r="CL195" s="416">
        <f t="shared" si="352"/>
      </c>
      <c r="CM195" s="416">
        <f t="shared" si="352"/>
      </c>
      <c r="CN195" s="416">
        <f t="shared" si="352"/>
      </c>
      <c r="CO195" s="416">
        <f t="shared" si="352"/>
      </c>
      <c r="CP195" s="416">
        <f t="shared" si="352"/>
      </c>
      <c r="CQ195" s="416">
        <f t="shared" si="352"/>
      </c>
      <c r="CR195" s="416">
        <f t="shared" si="352"/>
      </c>
      <c r="CS195" s="416">
        <f t="shared" si="352"/>
      </c>
      <c r="CT195" s="416">
        <f t="shared" si="352"/>
      </c>
      <c r="CU195" s="414"/>
      <c r="CV195" s="414"/>
      <c r="CW195" s="414"/>
      <c r="CX195" s="414"/>
      <c r="CY195" s="414"/>
      <c r="CZ195" s="414"/>
      <c r="DA195" s="414"/>
      <c r="DB195" s="414"/>
      <c r="DC195" s="414"/>
      <c r="DD195" s="414"/>
      <c r="DE195" s="414"/>
      <c r="DQ195" s="399"/>
      <c r="DR195" s="399"/>
      <c r="DS195" s="399"/>
      <c r="DU195" s="399"/>
      <c r="DV195" s="70"/>
      <c r="DW195" s="70"/>
      <c r="DX195" s="71"/>
      <c r="DY195" s="71"/>
      <c r="DZ195" s="71"/>
      <c r="EA195" s="71"/>
      <c r="EB195" s="416">
        <f>EB184/EB$186</f>
      </c>
      <c r="EC195" s="416">
        <f t="shared" ref="EC195:EE197" si="353">EC184/EC$186</f>
      </c>
      <c r="ED195" s="416">
        <f t="shared" si="353"/>
      </c>
      <c r="EE195" s="416">
        <f t="shared" si="353"/>
      </c>
      <c r="EF195" s="72"/>
      <c r="EG195" s="72"/>
      <c r="EH195" s="72"/>
    </row>
    <row r="196" spans="1:138">
      <c r="A196" s="27" t="s">
        <v>260</v>
      </c>
      <c r="BB196" s="414"/>
      <c r="BC196" s="414"/>
      <c r="BD196" s="414"/>
      <c r="BE196" s="414"/>
      <c r="BF196" s="414"/>
      <c r="BG196" s="414"/>
      <c r="BH196" s="414"/>
      <c r="BI196" s="414"/>
      <c r="BJ196" s="414"/>
      <c r="BK196" s="414"/>
      <c r="BL196" s="414"/>
      <c r="BM196" s="414"/>
      <c r="BN196" s="414"/>
      <c r="BO196" s="414"/>
      <c r="BP196" s="414"/>
      <c r="BQ196" s="414"/>
      <c r="BR196" s="414"/>
      <c r="BS196" s="414"/>
      <c r="BT196" s="414"/>
      <c r="BU196" s="414"/>
      <c r="BV196" s="414"/>
      <c r="BW196" s="414"/>
      <c r="BX196" s="414"/>
      <c r="BY196" s="414"/>
      <c r="BZ196" s="414"/>
      <c r="CA196" s="414"/>
      <c r="CB196" s="414"/>
      <c r="CC196" s="414"/>
      <c r="CD196" s="416">
        <f t="shared" si="347"/>
      </c>
      <c r="CE196" s="416">
        <f t="shared" ref="CE196:CT196" si="354">CE185/CE$186</f>
      </c>
      <c r="CF196" s="416">
        <f t="shared" si="354"/>
      </c>
      <c r="CG196" s="416">
        <f t="shared" si="354"/>
      </c>
      <c r="CH196" s="416">
        <f t="shared" si="354"/>
      </c>
      <c r="CI196" s="416">
        <f t="shared" si="354"/>
      </c>
      <c r="CJ196" s="416">
        <f t="shared" si="354"/>
      </c>
      <c r="CK196" s="416">
        <f t="shared" si="354"/>
      </c>
      <c r="CL196" s="416">
        <f t="shared" si="354"/>
      </c>
      <c r="CM196" s="416">
        <f t="shared" si="354"/>
      </c>
      <c r="CN196" s="416">
        <f t="shared" si="354"/>
      </c>
      <c r="CO196" s="416">
        <f t="shared" si="354"/>
      </c>
      <c r="CP196" s="416">
        <f t="shared" si="354"/>
      </c>
      <c r="CQ196" s="416">
        <f t="shared" si="354"/>
      </c>
      <c r="CR196" s="416">
        <f t="shared" si="354"/>
      </c>
      <c r="CS196" s="416">
        <f t="shared" si="354"/>
      </c>
      <c r="CT196" s="416">
        <f t="shared" si="354"/>
      </c>
      <c r="CU196" s="414"/>
      <c r="CV196" s="414"/>
      <c r="CW196" s="414"/>
      <c r="CX196" s="414"/>
      <c r="CY196" s="414"/>
      <c r="CZ196" s="414"/>
      <c r="DA196" s="414"/>
      <c r="DB196" s="414"/>
      <c r="DC196" s="414"/>
      <c r="DD196" s="414"/>
      <c r="DE196" s="414"/>
      <c r="DQ196" s="399"/>
      <c r="DR196" s="399"/>
      <c r="DS196" s="399"/>
      <c r="DU196" s="399"/>
      <c r="DV196" s="70"/>
      <c r="DW196" s="70"/>
      <c r="DX196" s="71"/>
      <c r="DY196" s="71"/>
      <c r="DZ196" s="71"/>
      <c r="EA196" s="71"/>
      <c r="EB196" s="416"/>
      <c r="EC196" s="416">
        <f t="shared" si="353"/>
      </c>
      <c r="ED196" s="416">
        <f t="shared" si="353"/>
      </c>
      <c r="EE196" s="416">
        <f t="shared" si="353"/>
      </c>
      <c r="EF196" s="72"/>
      <c r="EG196" s="72"/>
      <c r="EH196" s="72"/>
    </row>
    <row r="197" spans="1:138">
      <c r="A197" s="27" t="s">
        <v>243</v>
      </c>
      <c r="BB197" s="414"/>
      <c r="BC197" s="414"/>
      <c r="BD197" s="414"/>
      <c r="BE197" s="414"/>
      <c r="BF197" s="414"/>
      <c r="BG197" s="414"/>
      <c r="BH197" s="414"/>
      <c r="BI197" s="414"/>
      <c r="BJ197" s="414"/>
      <c r="BK197" s="414"/>
      <c r="BL197" s="414"/>
      <c r="BM197" s="414"/>
      <c r="BN197" s="414"/>
      <c r="BO197" s="414"/>
      <c r="BP197" s="414"/>
      <c r="BQ197" s="414"/>
      <c r="BR197" s="414"/>
      <c r="BS197" s="414"/>
      <c r="BT197" s="414"/>
      <c r="BU197" s="414"/>
      <c r="BV197" s="414"/>
      <c r="BW197" s="414"/>
      <c r="BX197" s="414"/>
      <c r="BY197" s="414"/>
      <c r="BZ197" s="414"/>
      <c r="CA197" s="414"/>
      <c r="CB197" s="414"/>
      <c r="CC197" s="414"/>
      <c r="CD197" s="416">
        <f t="shared" si="347"/>
      </c>
      <c r="CE197" s="416">
        <f t="shared" ref="CE197:CT197" si="355">CE186/CE$186</f>
      </c>
      <c r="CF197" s="416">
        <f t="shared" si="355"/>
      </c>
      <c r="CG197" s="416">
        <f t="shared" si="355"/>
      </c>
      <c r="CH197" s="416">
        <f t="shared" si="355"/>
      </c>
      <c r="CI197" s="416">
        <f t="shared" si="355"/>
      </c>
      <c r="CJ197" s="416">
        <f t="shared" si="355"/>
      </c>
      <c r="CK197" s="416">
        <f t="shared" si="355"/>
      </c>
      <c r="CL197" s="416">
        <f t="shared" si="355"/>
      </c>
      <c r="CM197" s="416">
        <f t="shared" si="355"/>
      </c>
      <c r="CN197" s="416">
        <f t="shared" si="355"/>
      </c>
      <c r="CO197" s="416">
        <f t="shared" si="355"/>
      </c>
      <c r="CP197" s="416">
        <f t="shared" si="355"/>
      </c>
      <c r="CQ197" s="416">
        <f t="shared" si="355"/>
      </c>
      <c r="CR197" s="416">
        <f t="shared" si="355"/>
      </c>
      <c r="CS197" s="416">
        <f t="shared" si="355"/>
      </c>
      <c r="CT197" s="416">
        <f t="shared" si="355"/>
      </c>
      <c r="CU197" s="414"/>
      <c r="CV197" s="414"/>
      <c r="CW197" s="414"/>
      <c r="CX197" s="414"/>
      <c r="CY197" s="414"/>
      <c r="CZ197" s="414"/>
      <c r="DA197" s="414"/>
      <c r="DB197" s="414"/>
      <c r="DC197" s="414"/>
      <c r="DD197" s="414"/>
      <c r="DE197" s="414"/>
      <c r="DQ197" s="399"/>
      <c r="DR197" s="399"/>
      <c r="DS197" s="399"/>
      <c r="DU197" s="399"/>
      <c r="DV197" s="70"/>
      <c r="DW197" s="70"/>
      <c r="DX197" s="71"/>
      <c r="DY197" s="71"/>
      <c r="DZ197" s="71"/>
      <c r="EA197" s="71"/>
      <c r="EB197" s="416">
        <f>EB186/EB$186</f>
      </c>
      <c r="EC197" s="416">
        <f t="shared" si="353"/>
      </c>
      <c r="ED197" s="416">
        <f t="shared" si="353"/>
      </c>
      <c r="EE197" s="416">
        <f t="shared" si="353"/>
      </c>
      <c r="EF197" s="72"/>
      <c r="EG197" s="72"/>
      <c r="EH197" s="72"/>
    </row>
    <row r="198" spans="1:138">
      <c r="A198" s="400"/>
      <c r="BB198" s="414"/>
      <c r="BC198" s="414"/>
      <c r="BD198" s="414"/>
      <c r="BE198" s="414"/>
      <c r="BF198" s="414"/>
      <c r="BG198" s="414"/>
      <c r="BH198" s="414"/>
      <c r="BI198" s="414"/>
      <c r="BJ198" s="414"/>
      <c r="BK198" s="414"/>
      <c r="BL198" s="414"/>
      <c r="BM198" s="414"/>
      <c r="BN198" s="414"/>
      <c r="BO198" s="414"/>
      <c r="BP198" s="414"/>
      <c r="BQ198" s="414"/>
      <c r="BR198" s="414"/>
      <c r="BS198" s="414"/>
      <c r="BT198" s="414"/>
      <c r="BU198" s="414"/>
      <c r="BV198" s="414"/>
      <c r="BW198" s="414"/>
      <c r="BX198" s="414"/>
      <c r="BY198" s="414"/>
      <c r="BZ198" s="414"/>
      <c r="CA198" s="414"/>
      <c r="CB198" s="414"/>
      <c r="CC198" s="414"/>
      <c r="CD198" s="414"/>
      <c r="CE198" s="414"/>
      <c r="CF198" s="414"/>
      <c r="CG198" s="414"/>
      <c r="CH198" s="414"/>
      <c r="CI198" s="414"/>
      <c r="CJ198" s="414"/>
      <c r="CK198" s="414"/>
      <c r="CL198" s="414"/>
      <c r="CM198" s="414"/>
      <c r="CN198" s="414"/>
      <c r="CO198" s="414"/>
      <c r="CP198" s="414"/>
      <c r="CQ198" s="414"/>
      <c r="CR198" s="414"/>
      <c r="CS198" s="414"/>
      <c r="CT198" s="414"/>
      <c r="CU198" s="414"/>
      <c r="CV198" s="414"/>
      <c r="CW198" s="414"/>
      <c r="CX198" s="414"/>
      <c r="CY198" s="414"/>
      <c r="CZ198" s="414"/>
      <c r="DA198" s="414"/>
      <c r="DB198" s="414"/>
      <c r="DC198" s="414"/>
      <c r="DD198" s="414"/>
      <c r="DE198" s="414"/>
      <c r="DQ198" s="399"/>
      <c r="DR198" s="399"/>
      <c r="DS198" s="399"/>
      <c r="DU198" s="399"/>
      <c r="DV198" s="70"/>
      <c r="DW198" s="70"/>
      <c r="DX198" s="71"/>
      <c r="DY198" s="71"/>
      <c r="DZ198" s="71"/>
      <c r="EA198" s="71"/>
      <c r="EB198" s="71"/>
      <c r="EC198" s="71"/>
      <c r="ED198" s="71"/>
      <c r="EE198" s="72"/>
      <c r="EF198" s="72"/>
      <c r="EG198" s="72"/>
      <c r="EH198" s="72"/>
    </row>
    <row r="199" spans="1:138">
      <c r="A199" s="400"/>
      <c r="BB199" s="414"/>
      <c r="BC199" s="414"/>
      <c r="BD199" s="414"/>
      <c r="BE199" s="414"/>
      <c r="BF199" s="414"/>
      <c r="BG199" s="414"/>
      <c r="BH199" s="414"/>
      <c r="BI199" s="414"/>
      <c r="BJ199" s="414"/>
      <c r="BK199" s="414"/>
      <c r="BL199" s="414"/>
      <c r="BM199" s="414"/>
      <c r="BN199" s="414"/>
      <c r="BO199" s="414"/>
      <c r="BP199" s="414"/>
      <c r="BQ199" s="414"/>
      <c r="BR199" s="414"/>
      <c r="BS199" s="414"/>
      <c r="BT199" s="414"/>
      <c r="BU199" s="414"/>
      <c r="BV199" s="414"/>
      <c r="BW199" s="414"/>
      <c r="BX199" s="414"/>
      <c r="BY199" s="414"/>
      <c r="BZ199" s="414"/>
      <c r="CA199" s="414"/>
      <c r="CB199" s="414"/>
      <c r="CC199" s="414"/>
      <c r="CD199" s="414"/>
      <c r="CE199" s="414"/>
      <c r="CF199" s="414"/>
      <c r="CG199" s="414"/>
      <c r="CH199" s="414"/>
      <c r="CI199" s="414"/>
      <c r="CJ199" s="414"/>
      <c r="CK199" s="414"/>
      <c r="CL199" s="414"/>
      <c r="CM199" s="414"/>
      <c r="CN199" s="414"/>
      <c r="CO199" s="414"/>
      <c r="CP199" s="414"/>
      <c r="CQ199" s="414"/>
      <c r="CR199" s="414"/>
      <c r="CS199" s="414"/>
      <c r="CT199" s="414"/>
      <c r="CU199" s="414"/>
      <c r="CV199" s="414"/>
      <c r="CW199" s="414"/>
      <c r="CX199" s="414"/>
      <c r="CY199" s="414"/>
      <c r="CZ199" s="414"/>
      <c r="DA199" s="414"/>
      <c r="DB199" s="414"/>
      <c r="DC199" s="414"/>
      <c r="DD199" s="414"/>
      <c r="DE199" s="414"/>
      <c r="DQ199" s="399"/>
      <c r="DR199" s="399"/>
      <c r="DS199" s="399"/>
      <c r="DU199" s="399"/>
      <c r="DV199" s="70"/>
      <c r="DW199" s="70"/>
      <c r="DX199" s="71"/>
      <c r="DY199" s="71"/>
      <c r="DZ199" s="71"/>
      <c r="EA199" s="71"/>
      <c r="EB199" s="71"/>
      <c r="EC199" s="71"/>
      <c r="ED199" s="71"/>
      <c r="EE199" s="72"/>
      <c r="EF199" s="72"/>
      <c r="EG199" s="72"/>
      <c r="EH199" s="72"/>
    </row>
    <row r="200" spans="1:138">
      <c r="A200" s="60" t="s">
        <v>263</v>
      </c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  <c r="AE200" s="60"/>
      <c r="AF200" s="60"/>
      <c r="AG200" s="60"/>
      <c r="AH200" s="60"/>
      <c r="AI200" s="60"/>
      <c r="AJ200" s="60"/>
      <c r="AK200" s="60"/>
      <c r="AL200" s="60"/>
      <c r="AM200" s="60"/>
      <c r="AN200" s="60"/>
      <c r="AO200" s="60"/>
      <c r="AP200" s="60"/>
      <c r="AQ200" s="60"/>
      <c r="AR200" s="60"/>
      <c r="AS200" s="60"/>
      <c r="AT200" s="60"/>
      <c r="AU200" s="60"/>
      <c r="AV200" s="60"/>
      <c r="AW200" s="60"/>
      <c r="AX200" s="60"/>
      <c r="AY200" s="60"/>
      <c r="AZ200" s="60"/>
      <c r="BA200" s="60"/>
      <c r="BB200" s="60"/>
      <c r="BC200" s="60"/>
      <c r="BD200" s="60"/>
      <c r="BE200" s="60"/>
      <c r="BF200" s="60"/>
      <c r="BG200" s="60"/>
      <c r="BH200" s="60"/>
      <c r="BI200" s="60"/>
      <c r="BJ200" s="60"/>
      <c r="BK200" s="60"/>
      <c r="BL200" s="60"/>
      <c r="BM200" s="60"/>
      <c r="BN200" s="60"/>
      <c r="BO200" s="60"/>
      <c r="BP200" s="60"/>
      <c r="BQ200" s="60"/>
      <c r="BR200" s="61"/>
      <c r="BS200" s="61"/>
      <c r="BT200" s="61"/>
      <c r="BU200" s="61"/>
      <c r="BV200" s="61"/>
      <c r="BW200" s="61"/>
      <c r="BX200" s="61"/>
      <c r="BY200" s="61"/>
      <c r="BZ200" s="61"/>
      <c r="CA200" s="61"/>
      <c r="CB200" s="61"/>
      <c r="CC200" s="61"/>
      <c r="CD200" s="61"/>
      <c r="CE200" s="61"/>
      <c r="CF200" s="61"/>
      <c r="CG200" s="61"/>
      <c r="CH200" s="61"/>
      <c r="CI200" s="61"/>
      <c r="CJ200" s="61"/>
      <c r="CK200" s="61"/>
      <c r="CL200" s="61"/>
      <c r="CM200" s="61"/>
      <c r="CN200" s="61"/>
      <c r="CO200" s="61"/>
      <c r="CP200" s="61"/>
      <c r="CQ200" s="61"/>
      <c r="CR200" s="61"/>
      <c r="CS200" s="61"/>
      <c r="CT200" s="61"/>
      <c r="CU200" s="61"/>
      <c r="CV200" s="61"/>
      <c r="CW200" s="61"/>
      <c r="CX200" s="61"/>
      <c r="CY200" s="61"/>
      <c r="CZ200" s="61"/>
      <c r="DA200" s="61"/>
      <c r="DB200" s="61"/>
      <c r="DC200" s="61"/>
      <c r="DD200" s="61"/>
      <c r="DE200" s="61"/>
      <c r="DH200" s="60"/>
      <c r="DI200" s="60"/>
      <c r="DJ200" s="60"/>
      <c r="DK200" s="60"/>
      <c r="DL200" s="60"/>
      <c r="DM200" s="60"/>
      <c r="DN200" s="60"/>
      <c r="DO200" s="60"/>
      <c r="DP200" s="60"/>
      <c r="DQ200" s="60"/>
      <c r="DR200" s="60"/>
      <c r="DS200" s="60"/>
      <c r="DT200" s="60"/>
      <c r="DU200" s="46"/>
      <c r="DV200" s="46"/>
      <c r="DW200" s="46"/>
      <c r="DX200" s="46"/>
      <c r="DY200" s="46"/>
      <c r="DZ200" s="46"/>
      <c r="EA200" s="46"/>
      <c r="EB200" s="46"/>
      <c r="EC200" s="46"/>
      <c r="ED200" s="46"/>
      <c r="EE200" s="46"/>
      <c r="EF200" s="46"/>
      <c r="EG200" s="46"/>
      <c r="EH200" s="46"/>
    </row>
    <row r="201" spans="1:138">
      <c r="A201" s="35" t="s">
        <v>264</v>
      </c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  <c r="AA201" s="73"/>
      <c r="AB201" s="73"/>
      <c r="AC201" s="73"/>
      <c r="AD201" s="73"/>
      <c r="AE201" s="73"/>
      <c r="AF201" s="73"/>
      <c r="AG201" s="73"/>
      <c r="AH201" s="73"/>
      <c r="AI201" s="73"/>
      <c r="AJ201" s="73"/>
      <c r="AK201" s="73"/>
      <c r="AL201" s="73"/>
      <c r="AM201" s="73"/>
      <c r="AN201" s="73"/>
      <c r="AO201" s="73"/>
      <c r="AP201" s="73"/>
      <c r="AQ201" s="73"/>
      <c r="AR201" s="73"/>
      <c r="AS201" s="73"/>
      <c r="AT201" s="73"/>
      <c r="AU201" s="73"/>
      <c r="AV201" s="73"/>
      <c r="AW201" s="73"/>
      <c r="AX201" s="73"/>
      <c r="AY201" s="73"/>
      <c r="AZ201" s="73"/>
      <c r="BA201" s="73"/>
      <c r="BB201" s="73"/>
      <c r="BC201" s="73"/>
      <c r="BD201" s="73"/>
      <c r="BE201" s="73"/>
      <c r="BF201" s="73"/>
      <c r="BG201" s="73"/>
      <c r="BH201" s="73"/>
      <c r="BI201" s="73"/>
      <c r="BJ201" s="73"/>
      <c r="BK201" s="73"/>
      <c r="BL201" s="73"/>
      <c r="BM201" s="73"/>
      <c r="BN201" s="73"/>
      <c r="BO201" s="73"/>
      <c r="BP201" s="73"/>
      <c r="BQ201" s="73"/>
      <c r="BR201" s="74"/>
      <c r="BS201" s="74"/>
      <c r="BT201" s="74"/>
      <c r="BU201" s="74"/>
      <c r="BV201" s="74"/>
      <c r="BW201" s="74"/>
      <c r="BX201" s="74"/>
      <c r="BY201" s="74"/>
      <c r="BZ201" s="74"/>
      <c r="CA201" s="74"/>
      <c r="CB201" s="74"/>
      <c r="CC201" s="74"/>
      <c r="CD201" s="74"/>
      <c r="CE201" s="74"/>
      <c r="CF201" s="74"/>
      <c r="CG201" s="74"/>
      <c r="CH201" s="74"/>
      <c r="CI201" s="74"/>
      <c r="CJ201" s="74"/>
      <c r="CK201" s="74"/>
      <c r="CL201" s="74"/>
      <c r="CM201" s="74"/>
      <c r="CN201" s="74"/>
      <c r="CO201" s="74"/>
      <c r="CP201" s="74"/>
      <c r="CQ201" s="74"/>
      <c r="CR201" s="74"/>
      <c r="CS201" s="74"/>
      <c r="CT201" s="74"/>
      <c r="CU201" s="74"/>
      <c r="CV201" s="74"/>
      <c r="CW201" s="74"/>
      <c r="CX201" s="74"/>
      <c r="CY201" s="74"/>
      <c r="CZ201" s="74"/>
      <c r="DA201" s="74"/>
      <c r="DB201" s="74"/>
      <c r="DC201" s="74"/>
      <c r="DD201" s="74"/>
      <c r="DE201" s="74"/>
      <c r="DH201" s="73"/>
      <c r="DI201" s="73"/>
      <c r="DJ201" s="73"/>
      <c r="DK201" s="73"/>
      <c r="DL201" s="73"/>
      <c r="DM201" s="73"/>
      <c r="DN201" s="73"/>
      <c r="DO201" s="73"/>
      <c r="DP201" s="73"/>
      <c r="DQ201" s="73"/>
      <c r="DR201" s="73"/>
      <c r="DS201" s="73"/>
      <c r="DT201" s="73"/>
      <c r="DU201" s="75"/>
      <c r="DV201" s="75"/>
      <c r="DW201" s="75"/>
      <c r="DX201" s="75"/>
      <c r="DY201" s="75"/>
      <c r="DZ201" s="75"/>
      <c r="EA201" s="75"/>
      <c r="EB201" s="75"/>
      <c r="EC201" s="75"/>
      <c r="ED201" s="75"/>
      <c r="EE201" s="75"/>
      <c r="EF201" s="75"/>
      <c r="EG201" s="75"/>
      <c r="EH201" s="75"/>
    </row>
    <row r="202" spans="1:138">
      <c r="A202" s="35" t="s">
        <v>265</v>
      </c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  <c r="AA202" s="73"/>
      <c r="AB202" s="73"/>
      <c r="AC202" s="73"/>
      <c r="AD202" s="73"/>
      <c r="AE202" s="73"/>
      <c r="AF202" s="73"/>
      <c r="AG202" s="73"/>
      <c r="AH202" s="73"/>
      <c r="AI202" s="73"/>
      <c r="AJ202" s="73"/>
      <c r="AK202" s="73"/>
      <c r="AL202" s="73"/>
      <c r="AM202" s="73"/>
      <c r="AN202" s="73"/>
      <c r="AO202" s="73"/>
      <c r="AP202" s="73"/>
      <c r="AQ202" s="73"/>
      <c r="AR202" s="73"/>
      <c r="AS202" s="73"/>
      <c r="AT202" s="73"/>
      <c r="AU202" s="73"/>
      <c r="AV202" s="73"/>
      <c r="AW202" s="73"/>
      <c r="AX202" s="73"/>
      <c r="AY202" s="73"/>
      <c r="AZ202" s="73"/>
      <c r="BA202" s="73"/>
      <c r="BB202" s="73"/>
      <c r="BC202" s="73"/>
      <c r="BD202" s="73"/>
      <c r="BE202" s="73"/>
      <c r="BF202" s="73"/>
      <c r="BG202" s="73"/>
      <c r="BH202" s="73"/>
      <c r="BI202" s="73"/>
      <c r="BJ202" s="73"/>
      <c r="BK202" s="73"/>
      <c r="BL202" s="73"/>
      <c r="BM202" s="73"/>
      <c r="BN202" s="73"/>
      <c r="BO202" s="73"/>
      <c r="BP202" s="73"/>
      <c r="BQ202" s="73"/>
      <c r="BR202" s="74"/>
      <c r="BS202" s="74"/>
      <c r="BT202" s="74"/>
      <c r="BU202" s="74"/>
      <c r="BV202" s="74"/>
      <c r="BW202" s="74"/>
      <c r="BX202" s="74"/>
      <c r="BY202" s="74"/>
      <c r="BZ202" s="74"/>
      <c r="CA202" s="74"/>
      <c r="CB202" s="74"/>
      <c r="CC202" s="74"/>
      <c r="CD202" s="74"/>
      <c r="CE202" s="74"/>
      <c r="CF202" s="74"/>
      <c r="CG202" s="74"/>
      <c r="CH202" s="74"/>
      <c r="CI202" s="29"/>
      <c r="CJ202" s="29"/>
      <c r="CK202" s="29"/>
      <c r="CL202" s="29"/>
      <c r="CM202" s="29"/>
      <c r="CN202" s="29">
        <v>0.13</v>
      </c>
      <c r="CO202" s="29"/>
      <c r="CP202" s="29">
        <v>0.13</v>
      </c>
      <c r="CQ202" s="29">
        <v>0.14000000000000001</v>
      </c>
      <c r="CR202" s="29">
        <v>0.12</v>
      </c>
      <c r="CS202" s="29"/>
      <c r="CT202" s="29"/>
      <c r="CU202" s="74"/>
      <c r="CV202" s="74"/>
      <c r="CW202" s="74"/>
      <c r="CX202" s="74"/>
      <c r="CY202" s="74"/>
      <c r="CZ202" s="74"/>
      <c r="DA202" s="74"/>
      <c r="DB202" s="74"/>
      <c r="DC202" s="74"/>
      <c r="DD202" s="74"/>
      <c r="DE202" s="74"/>
      <c r="DH202" s="73"/>
      <c r="DI202" s="73"/>
      <c r="DJ202" s="73"/>
      <c r="DK202" s="73"/>
      <c r="DL202" s="73"/>
      <c r="DM202" s="73"/>
      <c r="DN202" s="73"/>
      <c r="DO202" s="73"/>
      <c r="DP202" s="73"/>
      <c r="DQ202" s="73"/>
      <c r="DR202" s="73"/>
      <c r="DS202" s="73"/>
      <c r="DT202" s="73"/>
      <c r="DU202" s="75"/>
      <c r="DV202" s="75"/>
      <c r="DW202" s="75"/>
      <c r="DX202" s="75"/>
      <c r="DY202" s="75"/>
      <c r="DZ202" s="75"/>
      <c r="EA202" s="75"/>
      <c r="EB202" s="75"/>
      <c r="EC202" s="75"/>
      <c r="ED202" s="75"/>
      <c r="EE202" s="29">
        <v>0.12</v>
      </c>
      <c r="EF202" s="75"/>
      <c r="EG202" s="75"/>
      <c r="EH202" s="75"/>
    </row>
    <row r="203" spans="1:138">
      <c r="A203" s="35" t="s">
        <v>266</v>
      </c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  <c r="AA203" s="73"/>
      <c r="AB203" s="73"/>
      <c r="AC203" s="73"/>
      <c r="AD203" s="73"/>
      <c r="AE203" s="73"/>
      <c r="AF203" s="73"/>
      <c r="AG203" s="73"/>
      <c r="AH203" s="73"/>
      <c r="AI203" s="73"/>
      <c r="AJ203" s="73"/>
      <c r="AK203" s="73"/>
      <c r="AL203" s="73"/>
      <c r="AM203" s="73"/>
      <c r="AN203" s="73"/>
      <c r="AO203" s="73"/>
      <c r="AP203" s="73"/>
      <c r="AQ203" s="73"/>
      <c r="AR203" s="73"/>
      <c r="AS203" s="73"/>
      <c r="AT203" s="73"/>
      <c r="AU203" s="73"/>
      <c r="AV203" s="73"/>
      <c r="AW203" s="73"/>
      <c r="AX203" s="73"/>
      <c r="AY203" s="73"/>
      <c r="AZ203" s="73"/>
      <c r="BA203" s="73"/>
      <c r="BB203" s="73"/>
      <c r="BC203" s="73"/>
      <c r="BD203" s="73"/>
      <c r="BE203" s="73"/>
      <c r="BF203" s="73"/>
      <c r="BG203" s="73"/>
      <c r="BH203" s="73"/>
      <c r="BI203" s="73"/>
      <c r="BJ203" s="73"/>
      <c r="BK203" s="73"/>
      <c r="BL203" s="73"/>
      <c r="BM203" s="73"/>
      <c r="BN203" s="73"/>
      <c r="BO203" s="73"/>
      <c r="BP203" s="73"/>
      <c r="BQ203" s="73"/>
      <c r="BR203" s="74"/>
      <c r="BS203" s="74"/>
      <c r="BT203" s="74"/>
      <c r="BU203" s="74"/>
      <c r="BV203" s="74"/>
      <c r="BW203" s="74"/>
      <c r="BX203" s="74"/>
      <c r="BY203" s="74"/>
      <c r="BZ203" s="74"/>
      <c r="CA203" s="74"/>
      <c r="CB203" s="74"/>
      <c r="CC203" s="74"/>
      <c r="CD203" s="74"/>
      <c r="CE203" s="74"/>
      <c r="CF203" s="74"/>
      <c r="CG203" s="74"/>
      <c r="CH203" s="74"/>
      <c r="CI203" s="29"/>
      <c r="CJ203" s="29"/>
      <c r="CK203" s="29"/>
      <c r="CL203" s="29"/>
      <c r="CM203" s="29"/>
      <c r="CN203" s="29">
        <v>0.11</v>
      </c>
      <c r="CO203" s="29"/>
      <c r="CP203" s="29">
        <v>0.11</v>
      </c>
      <c r="CQ203" s="29">
        <v>0.11</v>
      </c>
      <c r="CR203" s="29">
        <v>0.12</v>
      </c>
      <c r="CS203" s="29"/>
      <c r="CT203" s="29"/>
      <c r="CU203" s="74"/>
      <c r="CV203" s="74"/>
      <c r="CW203" s="74"/>
      <c r="CX203" s="74"/>
      <c r="CY203" s="74"/>
      <c r="CZ203" s="74"/>
      <c r="DA203" s="74"/>
      <c r="DB203" s="74"/>
      <c r="DC203" s="74"/>
      <c r="DD203" s="74"/>
      <c r="DE203" s="74"/>
      <c r="DH203" s="73"/>
      <c r="DI203" s="73"/>
      <c r="DJ203" s="73"/>
      <c r="DK203" s="73"/>
      <c r="DL203" s="73"/>
      <c r="DM203" s="73"/>
      <c r="DN203" s="73"/>
      <c r="DO203" s="73"/>
      <c r="DP203" s="73"/>
      <c r="DQ203" s="73"/>
      <c r="DR203" s="73"/>
      <c r="DS203" s="73"/>
      <c r="DT203" s="73"/>
      <c r="DU203" s="75"/>
      <c r="DV203" s="75"/>
      <c r="DW203" s="75"/>
      <c r="DX203" s="75"/>
      <c r="DY203" s="75"/>
      <c r="DZ203" s="75"/>
      <c r="EA203" s="75"/>
      <c r="EB203" s="75"/>
      <c r="EC203" s="75"/>
      <c r="ED203" s="75"/>
      <c r="EE203" s="29">
        <v>0.11</v>
      </c>
      <c r="EF203" s="75"/>
      <c r="EG203" s="75"/>
      <c r="EH203" s="75"/>
    </row>
    <row r="204" spans="1:138">
      <c r="A204" s="35" t="s">
        <v>267</v>
      </c>
      <c r="B204" s="73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  <c r="AA204" s="73"/>
      <c r="AB204" s="73"/>
      <c r="AC204" s="73"/>
      <c r="AD204" s="73"/>
      <c r="AE204" s="73"/>
      <c r="AF204" s="73"/>
      <c r="AG204" s="73"/>
      <c r="AH204" s="73"/>
      <c r="AI204" s="73"/>
      <c r="AJ204" s="73"/>
      <c r="AK204" s="73"/>
      <c r="AL204" s="73"/>
      <c r="AM204" s="73"/>
      <c r="AN204" s="73"/>
      <c r="AO204" s="73"/>
      <c r="AP204" s="73"/>
      <c r="AQ204" s="73"/>
      <c r="AR204" s="73"/>
      <c r="AS204" s="73"/>
      <c r="AT204" s="73"/>
      <c r="AU204" s="73"/>
      <c r="AV204" s="73"/>
      <c r="AW204" s="73"/>
      <c r="AX204" s="73"/>
      <c r="AY204" s="73"/>
      <c r="AZ204" s="73"/>
      <c r="BA204" s="73"/>
      <c r="BB204" s="73"/>
      <c r="BC204" s="73"/>
      <c r="BD204" s="73"/>
      <c r="BE204" s="73"/>
      <c r="BF204" s="73"/>
      <c r="BG204" s="73"/>
      <c r="BH204" s="73"/>
      <c r="BI204" s="73"/>
      <c r="BJ204" s="73"/>
      <c r="BK204" s="73"/>
      <c r="BL204" s="73"/>
      <c r="BM204" s="73"/>
      <c r="BN204" s="73"/>
      <c r="BO204" s="73"/>
      <c r="BP204" s="73"/>
      <c r="BQ204" s="73"/>
      <c r="BR204" s="74"/>
      <c r="BS204" s="74"/>
      <c r="BT204" s="74"/>
      <c r="BU204" s="74"/>
      <c r="BV204" s="74"/>
      <c r="BW204" s="74"/>
      <c r="BX204" s="74"/>
      <c r="BY204" s="74"/>
      <c r="BZ204" s="74"/>
      <c r="CA204" s="74"/>
      <c r="CB204" s="74"/>
      <c r="CC204" s="74"/>
      <c r="CD204" s="74"/>
      <c r="CE204" s="74"/>
      <c r="CF204" s="74"/>
      <c r="CG204" s="74"/>
      <c r="CH204" s="74"/>
      <c r="CI204" s="29"/>
      <c r="CJ204" s="29"/>
      <c r="CK204" s="29"/>
      <c r="CL204" s="29"/>
      <c r="CM204" s="29"/>
      <c r="CN204" s="29"/>
      <c r="CO204" s="29"/>
      <c r="CP204" s="29"/>
      <c r="CQ204" s="29">
        <v>0.11</v>
      </c>
      <c r="CR204" s="29">
        <v>0.12</v>
      </c>
      <c r="CS204" s="29"/>
      <c r="CT204" s="29"/>
      <c r="CU204" s="74"/>
      <c r="CV204" s="74"/>
      <c r="CW204" s="74"/>
      <c r="CX204" s="74"/>
      <c r="CY204" s="74"/>
      <c r="CZ204" s="74"/>
      <c r="DA204" s="74"/>
      <c r="DB204" s="74"/>
      <c r="DC204" s="74"/>
      <c r="DD204" s="74"/>
      <c r="DE204" s="74"/>
      <c r="DH204" s="73"/>
      <c r="DI204" s="73"/>
      <c r="DJ204" s="73"/>
      <c r="DK204" s="73"/>
      <c r="DL204" s="73"/>
      <c r="DM204" s="73"/>
      <c r="DN204" s="73"/>
      <c r="DO204" s="73"/>
      <c r="DP204" s="73"/>
      <c r="DQ204" s="73"/>
      <c r="DR204" s="73"/>
      <c r="DS204" s="73"/>
      <c r="DT204" s="73"/>
      <c r="DU204" s="75"/>
      <c r="DV204" s="75"/>
      <c r="DW204" s="75"/>
      <c r="DX204" s="75"/>
      <c r="DY204" s="75"/>
      <c r="DZ204" s="75"/>
      <c r="EA204" s="75"/>
      <c r="EB204" s="75"/>
      <c r="EC204" s="75"/>
      <c r="ED204" s="75"/>
      <c r="EE204" s="29">
        <v>0.11</v>
      </c>
      <c r="EF204" s="75"/>
      <c r="EG204" s="75"/>
      <c r="EH204" s="75"/>
    </row>
    <row r="205" spans="1:138">
      <c r="A205" s="35" t="s">
        <v>268</v>
      </c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  <c r="AA205" s="73"/>
      <c r="AB205" s="73"/>
      <c r="AC205" s="73"/>
      <c r="AD205" s="73"/>
      <c r="AE205" s="73"/>
      <c r="AF205" s="73"/>
      <c r="AG205" s="73"/>
      <c r="AH205" s="73"/>
      <c r="AI205" s="73"/>
      <c r="AJ205" s="73"/>
      <c r="AK205" s="73"/>
      <c r="AL205" s="73"/>
      <c r="AM205" s="73"/>
      <c r="AN205" s="73"/>
      <c r="AO205" s="73"/>
      <c r="AP205" s="73"/>
      <c r="AQ205" s="73"/>
      <c r="AR205" s="73"/>
      <c r="AS205" s="73"/>
      <c r="AT205" s="73"/>
      <c r="AU205" s="73"/>
      <c r="AV205" s="73"/>
      <c r="AW205" s="73"/>
      <c r="AX205" s="73"/>
      <c r="AY205" s="73"/>
      <c r="AZ205" s="73"/>
      <c r="BA205" s="73"/>
      <c r="BB205" s="73"/>
      <c r="BC205" s="73"/>
      <c r="BD205" s="73"/>
      <c r="BE205" s="73"/>
      <c r="BF205" s="73"/>
      <c r="BG205" s="73"/>
      <c r="BH205" s="73"/>
      <c r="BI205" s="73"/>
      <c r="BJ205" s="73"/>
      <c r="BK205" s="73"/>
      <c r="BL205" s="73"/>
      <c r="BM205" s="73"/>
      <c r="BN205" s="73"/>
      <c r="BO205" s="73"/>
      <c r="BP205" s="73"/>
      <c r="BQ205" s="73"/>
      <c r="BR205" s="74"/>
      <c r="BS205" s="74"/>
      <c r="BT205" s="74"/>
      <c r="BU205" s="74"/>
      <c r="BV205" s="74"/>
      <c r="BW205" s="74"/>
      <c r="BX205" s="74"/>
      <c r="BY205" s="74"/>
      <c r="BZ205" s="74"/>
      <c r="CA205" s="74"/>
      <c r="CB205" s="74"/>
      <c r="CC205" s="74"/>
      <c r="CD205" s="74"/>
      <c r="CE205" s="74"/>
      <c r="CF205" s="74"/>
      <c r="CG205" s="74"/>
      <c r="CH205" s="74"/>
      <c r="CI205" s="29"/>
      <c r="CJ205" s="29"/>
      <c r="CK205" s="29"/>
      <c r="CL205" s="29"/>
      <c r="CM205" s="29"/>
      <c r="CN205" s="29"/>
      <c r="CO205" s="29"/>
      <c r="CP205" s="29"/>
      <c r="CQ205" s="29">
        <v>0.1</v>
      </c>
      <c r="CR205" s="29"/>
      <c r="CS205" s="29"/>
      <c r="CT205" s="29"/>
      <c r="CU205" s="74"/>
      <c r="CV205" s="74"/>
      <c r="CW205" s="74"/>
      <c r="CX205" s="74"/>
      <c r="CY205" s="74"/>
      <c r="CZ205" s="74"/>
      <c r="DA205" s="74"/>
      <c r="DB205" s="74"/>
      <c r="DC205" s="74"/>
      <c r="DD205" s="74"/>
      <c r="DE205" s="74"/>
      <c r="DH205" s="73"/>
      <c r="DI205" s="73"/>
      <c r="DJ205" s="73"/>
      <c r="DK205" s="73"/>
      <c r="DL205" s="73"/>
      <c r="DM205" s="73"/>
      <c r="DN205" s="73"/>
      <c r="DO205" s="73"/>
      <c r="DP205" s="73"/>
      <c r="DQ205" s="73"/>
      <c r="DR205" s="73"/>
      <c r="DS205" s="73"/>
      <c r="DT205" s="73"/>
      <c r="DU205" s="75"/>
      <c r="DV205" s="75"/>
      <c r="DW205" s="75"/>
      <c r="DX205" s="75"/>
      <c r="DY205" s="75"/>
      <c r="DZ205" s="75"/>
      <c r="EA205" s="75"/>
      <c r="EB205" s="75"/>
      <c r="EC205" s="75"/>
      <c r="ED205" s="75"/>
      <c r="EE205" s="75"/>
      <c r="EF205" s="75"/>
      <c r="EG205" s="75"/>
      <c r="EH205" s="75"/>
    </row>
    <row r="206" spans="1:138">
      <c r="A206" s="35" t="s">
        <v>269</v>
      </c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  <c r="AA206" s="73"/>
      <c r="AB206" s="73"/>
      <c r="AC206" s="73"/>
      <c r="AD206" s="73"/>
      <c r="AE206" s="73"/>
      <c r="AF206" s="73"/>
      <c r="AG206" s="73"/>
      <c r="AH206" s="73"/>
      <c r="AI206" s="73"/>
      <c r="AJ206" s="73"/>
      <c r="AK206" s="73"/>
      <c r="AL206" s="73"/>
      <c r="AM206" s="73"/>
      <c r="AN206" s="73"/>
      <c r="AO206" s="73"/>
      <c r="AP206" s="73"/>
      <c r="AQ206" s="73"/>
      <c r="AR206" s="73"/>
      <c r="AS206" s="73"/>
      <c r="AT206" s="73"/>
      <c r="AU206" s="73"/>
      <c r="AV206" s="73"/>
      <c r="AW206" s="73"/>
      <c r="AX206" s="73"/>
      <c r="AY206" s="73"/>
      <c r="AZ206" s="73"/>
      <c r="BA206" s="73"/>
      <c r="BB206" s="73"/>
      <c r="BC206" s="73"/>
      <c r="BD206" s="73"/>
      <c r="BE206" s="73"/>
      <c r="BF206" s="73"/>
      <c r="BG206" s="73"/>
      <c r="BH206" s="73"/>
      <c r="BI206" s="73"/>
      <c r="BJ206" s="73"/>
      <c r="BK206" s="73"/>
      <c r="BL206" s="73"/>
      <c r="BM206" s="73"/>
      <c r="BN206" s="73"/>
      <c r="BO206" s="73"/>
      <c r="BP206" s="73"/>
      <c r="BQ206" s="73"/>
      <c r="BR206" s="74"/>
      <c r="BS206" s="74"/>
      <c r="BT206" s="74"/>
      <c r="BU206" s="74"/>
      <c r="BV206" s="74"/>
      <c r="BW206" s="74"/>
      <c r="BX206" s="74"/>
      <c r="BY206" s="74"/>
      <c r="BZ206" s="74"/>
      <c r="CA206" s="74"/>
      <c r="CB206" s="74"/>
      <c r="CC206" s="74"/>
      <c r="CD206" s="74"/>
      <c r="CE206" s="74"/>
      <c r="CF206" s="74"/>
      <c r="CG206" s="74"/>
      <c r="CH206" s="74"/>
      <c r="CI206" s="29"/>
      <c r="CJ206" s="29"/>
      <c r="CK206" s="29"/>
      <c r="CL206" s="29"/>
      <c r="CM206" s="29"/>
      <c r="CN206" s="29"/>
      <c r="CO206" s="29"/>
      <c r="CP206" s="29"/>
      <c r="CQ206" s="29"/>
      <c r="CR206" s="29"/>
      <c r="CS206" s="29"/>
      <c r="CT206" s="29"/>
      <c r="CU206" s="74"/>
      <c r="CV206" s="74"/>
      <c r="CW206" s="74"/>
      <c r="CX206" s="74"/>
      <c r="CY206" s="74"/>
      <c r="CZ206" s="74"/>
      <c r="DA206" s="74"/>
      <c r="DB206" s="74"/>
      <c r="DC206" s="74"/>
      <c r="DD206" s="74"/>
      <c r="DE206" s="74"/>
      <c r="DH206" s="73"/>
      <c r="DI206" s="73"/>
      <c r="DJ206" s="73"/>
      <c r="DK206" s="73"/>
      <c r="DL206" s="73"/>
      <c r="DM206" s="73"/>
      <c r="DN206" s="73"/>
      <c r="DO206" s="73"/>
      <c r="DP206" s="73"/>
      <c r="DQ206" s="73"/>
      <c r="DR206" s="73"/>
      <c r="DS206" s="73"/>
      <c r="DT206" s="73"/>
      <c r="DU206" s="75"/>
      <c r="DV206" s="75"/>
      <c r="DW206" s="75"/>
      <c r="DX206" s="75"/>
      <c r="DY206" s="75"/>
      <c r="DZ206" s="75"/>
      <c r="EA206" s="75"/>
      <c r="EB206" s="75"/>
      <c r="EC206" s="75"/>
      <c r="ED206" s="75"/>
      <c r="EE206" s="75"/>
      <c r="EF206" s="75"/>
      <c r="EG206" s="75"/>
      <c r="EH206" s="75"/>
    </row>
    <row r="207" spans="1:138">
      <c r="A207" s="35"/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  <c r="AA207" s="73"/>
      <c r="AB207" s="73"/>
      <c r="AC207" s="73"/>
      <c r="AD207" s="73"/>
      <c r="AE207" s="73"/>
      <c r="AF207" s="73"/>
      <c r="AG207" s="73"/>
      <c r="AH207" s="73"/>
      <c r="AI207" s="73"/>
      <c r="AJ207" s="73"/>
      <c r="AK207" s="73"/>
      <c r="AL207" s="73"/>
      <c r="AM207" s="73"/>
      <c r="AN207" s="73"/>
      <c r="AO207" s="73"/>
      <c r="AP207" s="73"/>
      <c r="AQ207" s="73"/>
      <c r="AR207" s="73"/>
      <c r="AS207" s="73"/>
      <c r="AT207" s="73"/>
      <c r="AU207" s="73"/>
      <c r="AV207" s="73"/>
      <c r="AW207" s="73"/>
      <c r="AX207" s="73"/>
      <c r="AY207" s="73"/>
      <c r="AZ207" s="73"/>
      <c r="BA207" s="73"/>
      <c r="BB207" s="73"/>
      <c r="BC207" s="73"/>
      <c r="BD207" s="73"/>
      <c r="BE207" s="73"/>
      <c r="BF207" s="73"/>
      <c r="BG207" s="73"/>
      <c r="BH207" s="73"/>
      <c r="BI207" s="73"/>
      <c r="BJ207" s="73"/>
      <c r="BK207" s="73"/>
      <c r="BL207" s="73"/>
      <c r="BM207" s="73"/>
      <c r="BN207" s="73"/>
      <c r="BO207" s="73"/>
      <c r="BP207" s="73"/>
      <c r="BQ207" s="73"/>
      <c r="BR207" s="74"/>
      <c r="BS207" s="74"/>
      <c r="BT207" s="74"/>
      <c r="BU207" s="74"/>
      <c r="BV207" s="74"/>
      <c r="BW207" s="74"/>
      <c r="BX207" s="74"/>
      <c r="BY207" s="74"/>
      <c r="BZ207" s="74"/>
      <c r="CA207" s="74"/>
      <c r="CB207" s="74"/>
      <c r="CC207" s="74"/>
      <c r="CD207" s="74"/>
      <c r="CE207" s="74"/>
      <c r="CF207" s="74"/>
      <c r="CG207" s="74"/>
      <c r="CH207" s="74"/>
      <c r="CI207" s="29"/>
      <c r="CJ207" s="29"/>
      <c r="CK207" s="29"/>
      <c r="CL207" s="29"/>
      <c r="CM207" s="29"/>
      <c r="CN207" s="29"/>
      <c r="CO207" s="29"/>
      <c r="CP207" s="29"/>
      <c r="CQ207" s="29"/>
      <c r="CR207" s="29"/>
      <c r="CS207" s="29"/>
      <c r="CT207" s="29"/>
      <c r="CU207" s="74"/>
      <c r="CV207" s="74"/>
      <c r="CW207" s="74"/>
      <c r="CX207" s="74"/>
      <c r="CY207" s="74"/>
      <c r="CZ207" s="74"/>
      <c r="DA207" s="74"/>
      <c r="DB207" s="74"/>
      <c r="DC207" s="74"/>
      <c r="DD207" s="74"/>
      <c r="DE207" s="74"/>
      <c r="DH207" s="73"/>
      <c r="DI207" s="73"/>
      <c r="DJ207" s="73"/>
      <c r="DK207" s="73"/>
      <c r="DL207" s="73"/>
      <c r="DM207" s="73"/>
      <c r="DN207" s="73"/>
      <c r="DO207" s="73"/>
      <c r="DP207" s="73"/>
      <c r="DQ207" s="73"/>
      <c r="DR207" s="73"/>
      <c r="DS207" s="73"/>
      <c r="DT207" s="73"/>
      <c r="DU207" s="75"/>
      <c r="DV207" s="75"/>
      <c r="DW207" s="75"/>
      <c r="DX207" s="75"/>
      <c r="DY207" s="75"/>
      <c r="DZ207" s="75"/>
      <c r="EA207" s="75"/>
      <c r="EB207" s="75"/>
      <c r="EC207" s="75"/>
      <c r="ED207" s="75"/>
      <c r="EE207" s="75"/>
      <c r="EF207" s="75"/>
      <c r="EG207" s="75"/>
      <c r="EH207" s="75"/>
    </row>
    <row r="208" spans="1:138">
      <c r="A208" s="35" t="s">
        <v>270</v>
      </c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  <c r="AF208" s="73"/>
      <c r="AG208" s="73"/>
      <c r="AH208" s="73"/>
      <c r="AI208" s="73"/>
      <c r="AJ208" s="73"/>
      <c r="AK208" s="73"/>
      <c r="AL208" s="73"/>
      <c r="AM208" s="73"/>
      <c r="AN208" s="73"/>
      <c r="AO208" s="73"/>
      <c r="AP208" s="73"/>
      <c r="AQ208" s="73"/>
      <c r="AR208" s="73"/>
      <c r="AS208" s="73"/>
      <c r="AT208" s="73"/>
      <c r="AU208" s="73"/>
      <c r="AV208" s="73"/>
      <c r="AW208" s="73"/>
      <c r="AX208" s="73"/>
      <c r="AY208" s="73"/>
      <c r="AZ208" s="73"/>
      <c r="BA208" s="73"/>
      <c r="BB208" s="73"/>
      <c r="BC208" s="73"/>
      <c r="BD208" s="73"/>
      <c r="BE208" s="73"/>
      <c r="BF208" s="73"/>
      <c r="BG208" s="73"/>
      <c r="BH208" s="73"/>
      <c r="BI208" s="73"/>
      <c r="BJ208" s="73"/>
      <c r="BK208" s="73"/>
      <c r="BL208" s="73"/>
      <c r="BM208" s="73"/>
      <c r="BN208" s="73"/>
      <c r="BO208" s="73"/>
      <c r="BP208" s="73"/>
      <c r="BQ208" s="73"/>
      <c r="BR208" s="74"/>
      <c r="BS208" s="74"/>
      <c r="BT208" s="74"/>
      <c r="BU208" s="74"/>
      <c r="BV208" s="74"/>
      <c r="BW208" s="74"/>
      <c r="BX208" s="74"/>
      <c r="BY208" s="74"/>
      <c r="BZ208" s="74"/>
      <c r="CA208" s="74"/>
      <c r="CB208" s="74"/>
      <c r="CC208" s="74"/>
      <c r="CD208" s="74"/>
      <c r="CE208" s="74"/>
      <c r="CF208" s="74"/>
      <c r="CG208" s="74"/>
      <c r="CH208" s="74"/>
      <c r="CI208" s="29"/>
      <c r="CJ208" s="29"/>
      <c r="CK208" s="29"/>
      <c r="CL208" s="29"/>
      <c r="CM208" s="29"/>
      <c r="CN208" s="29"/>
      <c r="CO208" s="29"/>
      <c r="CP208" s="29"/>
      <c r="CQ208" s="29"/>
      <c r="CR208" s="29"/>
      <c r="CS208" s="29"/>
      <c r="CT208" s="29"/>
      <c r="CU208" s="74"/>
      <c r="CV208" s="74"/>
      <c r="CW208" s="74"/>
      <c r="CX208" s="74"/>
      <c r="CY208" s="74"/>
      <c r="CZ208" s="74"/>
      <c r="DA208" s="74"/>
      <c r="DB208" s="74"/>
      <c r="DC208" s="74"/>
      <c r="DD208" s="74"/>
      <c r="DE208" s="74"/>
      <c r="DH208" s="73"/>
      <c r="DI208" s="73"/>
      <c r="DJ208" s="73"/>
      <c r="DK208" s="73"/>
      <c r="DL208" s="73"/>
      <c r="DM208" s="73"/>
      <c r="DN208" s="73"/>
      <c r="DO208" s="73"/>
      <c r="DP208" s="73"/>
      <c r="DQ208" s="73"/>
      <c r="DR208" s="73"/>
      <c r="DS208" s="73"/>
      <c r="DT208" s="73"/>
      <c r="DU208" s="75"/>
      <c r="DV208" s="75"/>
      <c r="DW208" s="75"/>
      <c r="DX208" s="75"/>
      <c r="DY208" s="75"/>
      <c r="DZ208" s="75"/>
      <c r="EA208" s="75"/>
      <c r="EB208" s="75"/>
      <c r="EC208" s="75"/>
      <c r="ED208" s="75"/>
      <c r="EE208" s="75"/>
      <c r="EF208" s="75"/>
      <c r="EG208" s="75"/>
      <c r="EH208" s="75"/>
    </row>
    <row r="209" spans="1:138">
      <c r="A209" s="35" t="s">
        <v>271</v>
      </c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  <c r="AA209" s="73"/>
      <c r="AB209" s="73"/>
      <c r="AC209" s="73"/>
      <c r="AD209" s="73"/>
      <c r="AE209" s="73"/>
      <c r="AF209" s="73"/>
      <c r="AG209" s="73"/>
      <c r="AH209" s="73"/>
      <c r="AI209" s="73"/>
      <c r="AJ209" s="73"/>
      <c r="AK209" s="73"/>
      <c r="AL209" s="73"/>
      <c r="AM209" s="73"/>
      <c r="AN209" s="73"/>
      <c r="AO209" s="73"/>
      <c r="AP209" s="73"/>
      <c r="AQ209" s="73"/>
      <c r="AR209" s="73"/>
      <c r="AS209" s="73"/>
      <c r="AT209" s="73"/>
      <c r="AU209" s="73"/>
      <c r="AV209" s="73"/>
      <c r="AW209" s="73"/>
      <c r="AX209" s="73"/>
      <c r="AY209" s="73"/>
      <c r="AZ209" s="73"/>
      <c r="BA209" s="73"/>
      <c r="BB209" s="73"/>
      <c r="BC209" s="73"/>
      <c r="BD209" s="73"/>
      <c r="BE209" s="73"/>
      <c r="BF209" s="73"/>
      <c r="BG209" s="73"/>
      <c r="BH209" s="73"/>
      <c r="BI209" s="73"/>
      <c r="BJ209" s="73"/>
      <c r="BK209" s="73"/>
      <c r="BL209" s="73"/>
      <c r="BM209" s="73"/>
      <c r="BN209" s="73"/>
      <c r="BO209" s="73"/>
      <c r="BP209" s="73"/>
      <c r="BQ209" s="73"/>
      <c r="BR209" s="74"/>
      <c r="BS209" s="74"/>
      <c r="BT209" s="74"/>
      <c r="BU209" s="74"/>
      <c r="BV209" s="74"/>
      <c r="BW209" s="74"/>
      <c r="BX209" s="74"/>
      <c r="BY209" s="74"/>
      <c r="BZ209" s="74"/>
      <c r="CA209" s="74"/>
      <c r="CB209" s="74"/>
      <c r="CC209" s="74"/>
      <c r="CD209" s="74"/>
      <c r="CE209" s="74"/>
      <c r="CF209" s="74"/>
      <c r="CG209" s="74"/>
      <c r="CH209" s="74"/>
      <c r="CI209" s="29"/>
      <c r="CJ209" s="29"/>
      <c r="CK209" s="29"/>
      <c r="CL209" s="29"/>
      <c r="CM209" s="29"/>
      <c r="CN209" s="29">
        <v>0.15</v>
      </c>
      <c r="CO209" s="29"/>
      <c r="CP209" s="29"/>
      <c r="CQ209" s="29"/>
      <c r="CR209" s="29"/>
      <c r="CS209" s="29"/>
      <c r="CT209" s="29"/>
      <c r="CU209" s="74"/>
      <c r="CV209" s="74"/>
      <c r="CW209" s="74"/>
      <c r="CX209" s="74"/>
      <c r="CY209" s="74"/>
      <c r="CZ209" s="74"/>
      <c r="DA209" s="74"/>
      <c r="DB209" s="74"/>
      <c r="DC209" s="74"/>
      <c r="DD209" s="74"/>
      <c r="DE209" s="74"/>
      <c r="DH209" s="73"/>
      <c r="DI209" s="73"/>
      <c r="DJ209" s="73"/>
      <c r="DK209" s="73"/>
      <c r="DL209" s="73"/>
      <c r="DM209" s="73"/>
      <c r="DN209" s="73"/>
      <c r="DO209" s="73"/>
      <c r="DP209" s="73"/>
      <c r="DQ209" s="73"/>
      <c r="DR209" s="73"/>
      <c r="DS209" s="73"/>
      <c r="DT209" s="73"/>
      <c r="DU209" s="75"/>
      <c r="DV209" s="75"/>
      <c r="DW209" s="75"/>
      <c r="DX209" s="75"/>
      <c r="DY209" s="75"/>
      <c r="DZ209" s="75"/>
      <c r="EA209" s="75"/>
      <c r="EB209" s="75"/>
      <c r="EC209" s="75"/>
      <c r="ED209" s="75"/>
      <c r="EE209" s="75"/>
      <c r="EF209" s="75"/>
      <c r="EG209" s="75"/>
      <c r="EH209" s="75"/>
    </row>
    <row r="210" spans="1:138">
      <c r="A210" s="35" t="s">
        <v>272</v>
      </c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  <c r="AA210" s="73"/>
      <c r="AB210" s="73"/>
      <c r="AC210" s="73"/>
      <c r="AD210" s="73"/>
      <c r="AE210" s="73"/>
      <c r="AF210" s="73"/>
      <c r="AG210" s="73"/>
      <c r="AH210" s="73"/>
      <c r="AI210" s="73"/>
      <c r="AJ210" s="73"/>
      <c r="AK210" s="73"/>
      <c r="AL210" s="73"/>
      <c r="AM210" s="73"/>
      <c r="AN210" s="73"/>
      <c r="AO210" s="73"/>
      <c r="AP210" s="73"/>
      <c r="AQ210" s="73"/>
      <c r="AR210" s="73"/>
      <c r="AS210" s="73"/>
      <c r="AT210" s="73"/>
      <c r="AU210" s="73"/>
      <c r="AV210" s="73"/>
      <c r="AW210" s="73"/>
      <c r="AX210" s="73"/>
      <c r="AY210" s="73"/>
      <c r="AZ210" s="73"/>
      <c r="BA210" s="73"/>
      <c r="BB210" s="73"/>
      <c r="BC210" s="73"/>
      <c r="BD210" s="73"/>
      <c r="BE210" s="73"/>
      <c r="BF210" s="73"/>
      <c r="BG210" s="73"/>
      <c r="BH210" s="73"/>
      <c r="BI210" s="73"/>
      <c r="BJ210" s="73"/>
      <c r="BK210" s="73"/>
      <c r="BL210" s="73"/>
      <c r="BM210" s="73"/>
      <c r="BN210" s="73"/>
      <c r="BO210" s="73"/>
      <c r="BP210" s="73"/>
      <c r="BQ210" s="73"/>
      <c r="BR210" s="74"/>
      <c r="BS210" s="74"/>
      <c r="BT210" s="74"/>
      <c r="BU210" s="74"/>
      <c r="BV210" s="74"/>
      <c r="BW210" s="74"/>
      <c r="BX210" s="74"/>
      <c r="BY210" s="74"/>
      <c r="BZ210" s="74"/>
      <c r="CA210" s="74"/>
      <c r="CB210" s="74"/>
      <c r="CC210" s="74"/>
      <c r="CD210" s="74"/>
      <c r="CE210" s="74"/>
      <c r="CF210" s="74"/>
      <c r="CG210" s="74"/>
      <c r="CH210" s="74"/>
      <c r="CI210" s="29"/>
      <c r="CJ210" s="29"/>
      <c r="CK210" s="29"/>
      <c r="CL210" s="29"/>
      <c r="CM210" s="29"/>
      <c r="CN210" s="29">
        <v>0.13</v>
      </c>
      <c r="CO210" s="29"/>
      <c r="CP210" s="29"/>
      <c r="CQ210" s="29"/>
      <c r="CR210" s="29"/>
      <c r="CS210" s="29"/>
      <c r="CT210" s="29"/>
      <c r="CU210" s="74"/>
      <c r="CV210" s="74"/>
      <c r="CW210" s="74"/>
      <c r="CX210" s="74"/>
      <c r="CY210" s="74"/>
      <c r="CZ210" s="74"/>
      <c r="DA210" s="74"/>
      <c r="DB210" s="74"/>
      <c r="DC210" s="74"/>
      <c r="DD210" s="74"/>
      <c r="DE210" s="74"/>
      <c r="DH210" s="73"/>
      <c r="DI210" s="73"/>
      <c r="DJ210" s="73"/>
      <c r="DK210" s="73"/>
      <c r="DL210" s="73"/>
      <c r="DM210" s="73"/>
      <c r="DN210" s="73"/>
      <c r="DO210" s="73"/>
      <c r="DP210" s="73"/>
      <c r="DQ210" s="73"/>
      <c r="DR210" s="73"/>
      <c r="DS210" s="73"/>
      <c r="DT210" s="73"/>
      <c r="DU210" s="75"/>
      <c r="DV210" s="75"/>
      <c r="DW210" s="75"/>
      <c r="DX210" s="75"/>
      <c r="DY210" s="75"/>
      <c r="DZ210" s="75"/>
      <c r="EA210" s="75"/>
      <c r="EB210" s="75"/>
      <c r="EC210" s="75"/>
      <c r="ED210" s="75"/>
      <c r="EE210" s="75"/>
      <c r="EF210" s="75"/>
      <c r="EG210" s="75"/>
      <c r="EH210" s="75"/>
    </row>
    <row r="211" spans="1:138">
      <c r="A211" s="35"/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  <c r="AA211" s="73"/>
      <c r="AB211" s="73"/>
      <c r="AC211" s="73"/>
      <c r="AD211" s="73"/>
      <c r="AE211" s="73"/>
      <c r="AF211" s="73"/>
      <c r="AG211" s="73"/>
      <c r="AH211" s="73"/>
      <c r="AI211" s="73"/>
      <c r="AJ211" s="73"/>
      <c r="AK211" s="73"/>
      <c r="AL211" s="73"/>
      <c r="AM211" s="73"/>
      <c r="AN211" s="73"/>
      <c r="AO211" s="73"/>
      <c r="AP211" s="73"/>
      <c r="AQ211" s="73"/>
      <c r="AR211" s="73"/>
      <c r="AS211" s="73"/>
      <c r="AT211" s="73"/>
      <c r="AU211" s="73"/>
      <c r="AV211" s="73"/>
      <c r="AW211" s="73"/>
      <c r="AX211" s="73"/>
      <c r="AY211" s="73"/>
      <c r="AZ211" s="73"/>
      <c r="BA211" s="73"/>
      <c r="BB211" s="73"/>
      <c r="BC211" s="73"/>
      <c r="BD211" s="73"/>
      <c r="BE211" s="73"/>
      <c r="BF211" s="73"/>
      <c r="BG211" s="73"/>
      <c r="BH211" s="73"/>
      <c r="BI211" s="73"/>
      <c r="BJ211" s="73"/>
      <c r="BK211" s="73"/>
      <c r="BL211" s="73"/>
      <c r="BM211" s="73"/>
      <c r="BN211" s="73"/>
      <c r="BO211" s="73"/>
      <c r="BP211" s="73"/>
      <c r="BQ211" s="73"/>
      <c r="BR211" s="74"/>
      <c r="BS211" s="74"/>
      <c r="BT211" s="74"/>
      <c r="BU211" s="74"/>
      <c r="BV211" s="74"/>
      <c r="BW211" s="74"/>
      <c r="BX211" s="74"/>
      <c r="BY211" s="74"/>
      <c r="BZ211" s="74"/>
      <c r="CA211" s="74"/>
      <c r="CB211" s="74"/>
      <c r="CC211" s="74"/>
      <c r="CD211" s="74"/>
      <c r="CE211" s="74"/>
      <c r="CF211" s="74"/>
      <c r="CG211" s="74"/>
      <c r="CH211" s="74"/>
      <c r="CI211" s="74"/>
      <c r="CJ211" s="74"/>
      <c r="CK211" s="74"/>
      <c r="CL211" s="74"/>
      <c r="CM211" s="74"/>
      <c r="CN211" s="74"/>
      <c r="CO211" s="74"/>
      <c r="CP211" s="74"/>
      <c r="CQ211" s="74"/>
      <c r="CR211" s="74"/>
      <c r="CS211" s="74"/>
      <c r="CT211" s="74"/>
      <c r="CU211" s="74"/>
      <c r="CV211" s="74"/>
      <c r="CW211" s="74"/>
      <c r="CX211" s="74"/>
      <c r="CY211" s="74"/>
      <c r="CZ211" s="74"/>
      <c r="DA211" s="74"/>
      <c r="DB211" s="74"/>
      <c r="DC211" s="74"/>
      <c r="DD211" s="74"/>
      <c r="DE211" s="74"/>
      <c r="DH211" s="73"/>
      <c r="DI211" s="73"/>
      <c r="DJ211" s="73"/>
      <c r="DK211" s="73"/>
      <c r="DL211" s="73"/>
      <c r="DM211" s="73"/>
      <c r="DN211" s="73"/>
      <c r="DO211" s="73"/>
      <c r="DP211" s="73"/>
      <c r="DQ211" s="73"/>
      <c r="DR211" s="73"/>
      <c r="DS211" s="73"/>
      <c r="DT211" s="73"/>
      <c r="DU211" s="75"/>
      <c r="DV211" s="75"/>
      <c r="DW211" s="75"/>
      <c r="DX211" s="75"/>
      <c r="DY211" s="75"/>
      <c r="DZ211" s="75"/>
      <c r="EA211" s="75"/>
      <c r="EB211" s="75"/>
      <c r="EC211" s="75"/>
      <c r="ED211" s="75"/>
      <c r="EE211" s="75"/>
      <c r="EF211" s="75"/>
      <c r="EG211" s="75"/>
      <c r="EH211" s="75"/>
    </row>
    <row r="212" spans="1:138">
      <c r="A212" s="35" t="s">
        <v>273</v>
      </c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  <c r="AA212" s="73"/>
      <c r="AB212" s="73"/>
      <c r="AC212" s="73"/>
      <c r="AD212" s="73"/>
      <c r="AE212" s="73"/>
      <c r="AF212" s="73"/>
      <c r="AG212" s="73"/>
      <c r="AH212" s="73"/>
      <c r="AI212" s="73"/>
      <c r="AJ212" s="73"/>
      <c r="AK212" s="73"/>
      <c r="AL212" s="73"/>
      <c r="AM212" s="73"/>
      <c r="AN212" s="73"/>
      <c r="AO212" s="73"/>
      <c r="AP212" s="73"/>
      <c r="AQ212" s="73"/>
      <c r="AR212" s="73"/>
      <c r="AS212" s="73"/>
      <c r="AT212" s="73"/>
      <c r="AU212" s="73"/>
      <c r="AV212" s="73"/>
      <c r="AW212" s="73"/>
      <c r="AX212" s="73"/>
      <c r="AY212" s="73"/>
      <c r="AZ212" s="73"/>
      <c r="BA212" s="73"/>
      <c r="BB212" s="73"/>
      <c r="BC212" s="73"/>
      <c r="BD212" s="73"/>
      <c r="BE212" s="73"/>
      <c r="BF212" s="73"/>
      <c r="BG212" s="73"/>
      <c r="BH212" s="73"/>
      <c r="BI212" s="73"/>
      <c r="BJ212" s="73"/>
      <c r="BK212" s="73"/>
      <c r="BL212" s="73"/>
      <c r="BM212" s="73"/>
      <c r="BN212" s="73"/>
      <c r="BO212" s="73"/>
      <c r="BP212" s="73"/>
      <c r="BQ212" s="73"/>
      <c r="BR212" s="74"/>
      <c r="BS212" s="74"/>
      <c r="BT212" s="74"/>
      <c r="BU212" s="74"/>
      <c r="BV212" s="74"/>
      <c r="BW212" s="74"/>
      <c r="BX212" s="74"/>
      <c r="BY212" s="74"/>
      <c r="BZ212" s="74"/>
      <c r="CA212" s="74"/>
      <c r="CB212" s="74"/>
      <c r="CC212" s="74"/>
      <c r="CD212" s="74"/>
      <c r="CE212" s="74"/>
      <c r="CF212" s="74"/>
      <c r="CG212" s="74"/>
      <c r="CH212" s="74"/>
      <c r="CI212" s="74"/>
      <c r="CJ212" s="74"/>
      <c r="CK212" s="74"/>
      <c r="CL212" s="74"/>
      <c r="CM212" s="74"/>
      <c r="CN212" s="26">
        <v>2</v>
      </c>
      <c r="CO212" s="74"/>
      <c r="CP212" s="26">
        <v>2</v>
      </c>
      <c r="CQ212" s="26">
        <v>2</v>
      </c>
      <c r="CR212" s="26"/>
      <c r="CS212" s="26"/>
      <c r="CT212" s="26"/>
      <c r="CU212" s="74"/>
      <c r="CV212" s="74"/>
      <c r="CW212" s="74"/>
      <c r="CX212" s="74"/>
      <c r="CY212" s="74"/>
      <c r="CZ212" s="74"/>
      <c r="DA212" s="74"/>
      <c r="DB212" s="74"/>
      <c r="DC212" s="74"/>
      <c r="DD212" s="74"/>
      <c r="DE212" s="74"/>
      <c r="DH212" s="73"/>
      <c r="DI212" s="73"/>
      <c r="DJ212" s="73"/>
      <c r="DK212" s="73"/>
      <c r="DL212" s="73"/>
      <c r="DM212" s="73"/>
      <c r="DN212" s="73"/>
      <c r="DO212" s="73"/>
      <c r="DP212" s="73"/>
      <c r="DQ212" s="73"/>
      <c r="DR212" s="73"/>
      <c r="DS212" s="73"/>
      <c r="DT212" s="73"/>
      <c r="DU212" s="75"/>
      <c r="DV212" s="75"/>
      <c r="DW212" s="75"/>
      <c r="DX212" s="75"/>
      <c r="DY212" s="75"/>
      <c r="DZ212" s="75"/>
      <c r="EA212" s="75"/>
      <c r="EB212" s="75"/>
      <c r="EC212" s="75"/>
      <c r="ED212" s="75"/>
      <c r="EE212" s="75"/>
      <c r="EF212" s="75"/>
      <c r="EG212" s="75"/>
      <c r="EH212" s="75"/>
    </row>
    <row r="213" spans="1:138">
      <c r="A213" s="73"/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  <c r="AA213" s="73"/>
      <c r="AB213" s="73"/>
      <c r="AC213" s="73"/>
      <c r="AD213" s="73"/>
      <c r="AE213" s="73"/>
      <c r="AF213" s="73"/>
      <c r="AG213" s="73"/>
      <c r="AH213" s="73"/>
      <c r="AI213" s="73"/>
      <c r="AJ213" s="73"/>
      <c r="AK213" s="73"/>
      <c r="AL213" s="73"/>
      <c r="AM213" s="73"/>
      <c r="AN213" s="73"/>
      <c r="AO213" s="73"/>
      <c r="AP213" s="73"/>
      <c r="AQ213" s="73"/>
      <c r="AR213" s="73"/>
      <c r="AS213" s="73"/>
      <c r="AT213" s="73"/>
      <c r="AU213" s="73"/>
      <c r="AV213" s="73"/>
      <c r="AW213" s="73"/>
      <c r="AX213" s="73"/>
      <c r="AY213" s="73"/>
      <c r="AZ213" s="73"/>
      <c r="BA213" s="73"/>
      <c r="BB213" s="73"/>
      <c r="BC213" s="73"/>
      <c r="BD213" s="73"/>
      <c r="BE213" s="73"/>
      <c r="BF213" s="73"/>
      <c r="BG213" s="73"/>
      <c r="BH213" s="73"/>
      <c r="BI213" s="73"/>
      <c r="BJ213" s="73"/>
      <c r="BK213" s="73"/>
      <c r="BL213" s="73"/>
      <c r="BM213" s="73"/>
      <c r="BN213" s="73"/>
      <c r="BO213" s="73"/>
      <c r="BP213" s="73"/>
      <c r="BQ213" s="73"/>
      <c r="BR213" s="74"/>
      <c r="BS213" s="74"/>
      <c r="BT213" s="74"/>
      <c r="BU213" s="74"/>
      <c r="BV213" s="74"/>
      <c r="BW213" s="74"/>
      <c r="BX213" s="74"/>
      <c r="BY213" s="74"/>
      <c r="BZ213" s="74"/>
      <c r="CA213" s="74"/>
      <c r="CB213" s="74"/>
      <c r="CC213" s="74"/>
      <c r="CD213" s="74"/>
      <c r="CE213" s="74"/>
      <c r="CF213" s="74"/>
      <c r="CG213" s="74"/>
      <c r="CH213" s="74"/>
      <c r="CI213" s="74"/>
      <c r="CJ213" s="74"/>
      <c r="CK213" s="74"/>
      <c r="CL213" s="74"/>
      <c r="CM213" s="74"/>
      <c r="CN213" s="74"/>
      <c r="CO213" s="74"/>
      <c r="CP213" s="74"/>
      <c r="CQ213" s="74"/>
      <c r="CR213" s="74"/>
      <c r="CS213" s="74"/>
      <c r="CT213" s="74"/>
      <c r="CU213" s="74"/>
      <c r="CV213" s="74"/>
      <c r="CW213" s="74"/>
      <c r="CX213" s="74"/>
      <c r="CY213" s="74"/>
      <c r="CZ213" s="74"/>
      <c r="DA213" s="74"/>
      <c r="DB213" s="74"/>
      <c r="DC213" s="74"/>
      <c r="DD213" s="74"/>
      <c r="DE213" s="74"/>
      <c r="DH213" s="73"/>
      <c r="DI213" s="73"/>
      <c r="DJ213" s="73"/>
      <c r="DK213" s="73"/>
      <c r="DL213" s="73"/>
      <c r="DM213" s="73"/>
      <c r="DN213" s="73"/>
      <c r="DO213" s="73"/>
      <c r="DP213" s="73"/>
      <c r="DQ213" s="73"/>
      <c r="DR213" s="73"/>
      <c r="DS213" s="73"/>
      <c r="DT213" s="73"/>
      <c r="DU213" s="75"/>
      <c r="DV213" s="75"/>
      <c r="DW213" s="75"/>
      <c r="DX213" s="75"/>
      <c r="DY213" s="75"/>
      <c r="DZ213" s="75"/>
      <c r="EA213" s="75"/>
      <c r="EB213" s="75"/>
      <c r="EC213" s="75"/>
      <c r="ED213" s="75"/>
      <c r="EE213" s="75"/>
      <c r="EF213" s="75"/>
      <c r="EG213" s="75"/>
      <c r="EH213" s="75"/>
    </row>
    <row r="214" spans="1:138" s="35" customFormat="1">
      <c r="A214" s="35" t="s">
        <v>274</v>
      </c>
      <c r="CL214" s="35">
        <f>(CL5+CM5)*0.19-CM214</f>
      </c>
      <c r="CM214" s="35">
        <f>CM217*CM5</f>
      </c>
      <c r="DV214" s="58"/>
      <c r="DW214" s="58"/>
      <c r="DX214" s="59"/>
      <c r="DY214" s="59"/>
      <c r="DZ214" s="59"/>
      <c r="EA214" s="59"/>
      <c r="EB214" s="59"/>
      <c r="EC214" s="59"/>
      <c r="ED214" s="59"/>
      <c r="EE214" s="59"/>
      <c r="EF214" s="59"/>
      <c r="EG214" s="59"/>
      <c r="EH214" s="59"/>
    </row>
    <row r="215" spans="1:138" s="49" customFormat="1">
      <c r="A215" s="48" t="s">
        <v>196</v>
      </c>
      <c r="CM215" s="49">
        <f>CM214/CL214-1</f>
      </c>
      <c r="DQ215" s="62"/>
      <c r="DR215" s="62"/>
      <c r="DS215" s="62"/>
      <c r="DU215" s="62"/>
      <c r="DV215" s="76"/>
      <c r="DW215" s="76"/>
      <c r="DX215" s="77"/>
      <c r="DY215" s="77"/>
      <c r="DZ215" s="77"/>
      <c r="EA215" s="77"/>
      <c r="EB215" s="77"/>
      <c r="EC215" s="77"/>
      <c r="ED215" s="77"/>
      <c r="EE215" s="77"/>
      <c r="EF215" s="77"/>
      <c r="EG215" s="77"/>
      <c r="EH215" s="77"/>
    </row>
    <row r="216" spans="1:138" s="49" customFormat="1">
      <c r="A216" s="48" t="s">
        <v>198</v>
      </c>
      <c r="DQ216" s="62"/>
      <c r="DR216" s="62"/>
      <c r="DS216" s="62"/>
      <c r="DU216" s="62"/>
      <c r="DV216" s="76"/>
      <c r="DW216" s="76"/>
      <c r="DX216" s="77"/>
      <c r="DY216" s="77"/>
      <c r="DZ216" s="77"/>
      <c r="EA216" s="77"/>
      <c r="EB216" s="77"/>
      <c r="EC216" s="77"/>
      <c r="ED216" s="77"/>
      <c r="EE216" s="77"/>
      <c r="EF216" s="77"/>
      <c r="EG216" s="77"/>
      <c r="EH216" s="77"/>
    </row>
    <row r="217" spans="1:138" s="49" customFormat="1">
      <c r="A217" s="48" t="s">
        <v>241</v>
      </c>
      <c r="CL217" s="49">
        <f>CL214/CL5</f>
      </c>
      <c r="CM217" s="49">
        <v>0.22</v>
      </c>
      <c r="DQ217" s="62"/>
      <c r="DR217" s="62"/>
      <c r="DS217" s="62"/>
      <c r="DU217" s="62"/>
      <c r="DV217" s="76"/>
      <c r="DW217" s="76"/>
      <c r="DX217" s="77"/>
      <c r="DY217" s="77"/>
      <c r="DZ217" s="77"/>
      <c r="EA217" s="77"/>
      <c r="EB217" s="77"/>
      <c r="EC217" s="77"/>
      <c r="ED217" s="77"/>
      <c r="EE217" s="77"/>
      <c r="EF217" s="77"/>
      <c r="EG217" s="77"/>
      <c r="EH217" s="77"/>
    </row>
    <row r="218" spans="1:138">
      <c r="A218" s="60" t="s">
        <v>275</v>
      </c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  <c r="AE218" s="60"/>
      <c r="AF218" s="60"/>
      <c r="AG218" s="60"/>
      <c r="AH218" s="60"/>
      <c r="AI218" s="60"/>
      <c r="AJ218" s="60"/>
      <c r="AK218" s="60"/>
      <c r="AL218" s="60"/>
      <c r="AM218" s="60"/>
      <c r="AN218" s="60"/>
      <c r="AO218" s="60"/>
      <c r="AP218" s="60"/>
      <c r="AQ218" s="60"/>
      <c r="AR218" s="60"/>
      <c r="AS218" s="60"/>
      <c r="AT218" s="60"/>
      <c r="AU218" s="60"/>
      <c r="AV218" s="60"/>
      <c r="AW218" s="60"/>
      <c r="AX218" s="60"/>
      <c r="AY218" s="60"/>
      <c r="AZ218" s="60"/>
      <c r="BA218" s="60"/>
      <c r="BB218" s="60"/>
      <c r="BC218" s="60"/>
      <c r="BD218" s="60"/>
      <c r="BE218" s="60"/>
      <c r="BF218" s="60"/>
      <c r="BG218" s="60"/>
      <c r="BH218" s="60"/>
      <c r="BI218" s="60"/>
      <c r="BJ218" s="60"/>
      <c r="BK218" s="60"/>
      <c r="BL218" s="60"/>
      <c r="BM218" s="60"/>
      <c r="BN218" s="60"/>
      <c r="BO218" s="60"/>
      <c r="BP218" s="60"/>
      <c r="BQ218" s="60"/>
      <c r="BR218" s="61"/>
      <c r="BS218" s="61"/>
      <c r="BT218" s="61"/>
      <c r="BU218" s="61"/>
      <c r="BV218" s="61"/>
      <c r="BW218" s="61"/>
      <c r="BX218" s="61"/>
      <c r="BY218" s="61"/>
      <c r="BZ218" s="61"/>
      <c r="CA218" s="61"/>
      <c r="CB218" s="61"/>
      <c r="CC218" s="61"/>
      <c r="CD218" s="61"/>
      <c r="CE218" s="61"/>
      <c r="CF218" s="61"/>
      <c r="CG218" s="61"/>
      <c r="CH218" s="61"/>
      <c r="CI218" s="61"/>
      <c r="CJ218" s="61"/>
      <c r="CK218" s="61"/>
      <c r="CL218" s="61"/>
      <c r="CM218" s="61"/>
      <c r="CN218" s="61"/>
      <c r="CO218" s="61"/>
      <c r="CP218" s="61"/>
      <c r="CQ218" s="61"/>
      <c r="CR218" s="61"/>
      <c r="CS218" s="61"/>
      <c r="CT218" s="61"/>
      <c r="CU218" s="61"/>
      <c r="CV218" s="61"/>
      <c r="CW218" s="61"/>
      <c r="CX218" s="61"/>
      <c r="CY218" s="61"/>
      <c r="CZ218" s="61"/>
      <c r="DA218" s="61"/>
      <c r="DB218" s="61"/>
      <c r="DC218" s="61"/>
      <c r="DD218" s="61"/>
      <c r="DE218" s="61"/>
      <c r="DH218" s="60"/>
      <c r="DI218" s="60"/>
      <c r="DJ218" s="60"/>
      <c r="DK218" s="60"/>
      <c r="DL218" s="60"/>
      <c r="DM218" s="60"/>
      <c r="DN218" s="60"/>
      <c r="DO218" s="60"/>
      <c r="DP218" s="60"/>
      <c r="DQ218" s="60"/>
      <c r="DR218" s="60"/>
      <c r="DS218" s="60"/>
      <c r="DT218" s="60"/>
      <c r="DU218" s="46"/>
      <c r="DV218" s="46"/>
      <c r="DW218" s="46"/>
      <c r="DX218" s="46"/>
      <c r="DY218" s="46"/>
      <c r="DZ218" s="46"/>
      <c r="EA218" s="46"/>
      <c r="EB218" s="46"/>
      <c r="EC218" s="46"/>
      <c r="ED218" s="46"/>
      <c r="EE218" s="46"/>
      <c r="EF218" s="46"/>
      <c r="EG218" s="46"/>
      <c r="EH218" s="46"/>
    </row>
    <row r="219" spans="1:138" s="49" customFormat="1">
      <c r="A219" s="35" t="s">
        <v>276</v>
      </c>
      <c r="DQ219" s="62"/>
      <c r="DR219" s="62"/>
      <c r="DS219" s="62"/>
      <c r="DU219" s="62"/>
      <c r="DV219" s="76"/>
      <c r="DW219" s="76"/>
      <c r="DX219" s="77"/>
      <c r="DY219" s="77"/>
      <c r="DZ219" s="77"/>
      <c r="EA219" s="77"/>
      <c r="EB219" s="77"/>
      <c r="EC219" s="77"/>
      <c r="ED219" s="77"/>
      <c r="EE219" s="77"/>
      <c r="EF219" s="77"/>
      <c r="EG219" s="77"/>
      <c r="EH219" s="77"/>
    </row>
    <row r="220" spans="1:138" s="49" customFormat="1">
      <c r="A220" s="78">
        <v>2024</v>
      </c>
      <c r="CL220" s="47">
        <v>6667</v>
      </c>
      <c r="CM220" s="47">
        <v>8439</v>
      </c>
      <c r="CN220" s="47">
        <v>6499</v>
      </c>
      <c r="CO220" s="47"/>
      <c r="CP220" s="47"/>
      <c r="CQ220" s="47"/>
      <c r="CR220" s="47"/>
      <c r="CS220" s="47"/>
      <c r="CT220" s="47"/>
      <c r="DQ220" s="62"/>
      <c r="DR220" s="62"/>
      <c r="DS220" s="62"/>
      <c r="DU220" s="62"/>
      <c r="DV220" s="76"/>
      <c r="DW220" s="76"/>
      <c r="DX220" s="77"/>
      <c r="DY220" s="77"/>
      <c r="DZ220" s="77"/>
      <c r="EA220" s="77"/>
      <c r="EB220" s="77"/>
      <c r="EC220" s="77"/>
      <c r="ED220" s="77"/>
      <c r="EE220" s="77"/>
      <c r="EF220" s="77"/>
      <c r="EG220" s="77"/>
      <c r="EH220" s="77"/>
    </row>
    <row r="221" spans="1:138" s="49" customFormat="1">
      <c r="A221" s="78">
        <v>2025</v>
      </c>
      <c r="CL221" s="47">
        <v>1816</v>
      </c>
      <c r="CM221" s="47">
        <v>3960</v>
      </c>
      <c r="CN221" s="47">
        <v>11861</v>
      </c>
      <c r="CO221" s="47">
        <v>17316</v>
      </c>
      <c r="CP221" s="47">
        <v>19306</v>
      </c>
      <c r="CQ221" s="47">
        <v>21934</v>
      </c>
      <c r="CR221" s="47">
        <v>14178</v>
      </c>
      <c r="CS221" s="47"/>
      <c r="CT221" s="47"/>
      <c r="DQ221" s="62"/>
      <c r="DR221" s="62"/>
      <c r="DS221" s="62"/>
      <c r="DU221" s="62"/>
      <c r="DV221" s="76"/>
      <c r="DW221" s="76"/>
      <c r="DX221" s="77"/>
      <c r="DY221" s="77"/>
      <c r="DZ221" s="77"/>
      <c r="EA221" s="77"/>
      <c r="EB221" s="77"/>
      <c r="EC221" s="77"/>
      <c r="ED221" s="77"/>
      <c r="EE221" s="77"/>
      <c r="EF221" s="77"/>
      <c r="EG221" s="77"/>
      <c r="EH221" s="77"/>
    </row>
    <row r="222" spans="1:138" s="49" customFormat="1">
      <c r="A222" s="78">
        <v>2026</v>
      </c>
      <c r="CL222" s="47">
        <v>753</v>
      </c>
      <c r="CM222" s="47">
        <v>957</v>
      </c>
      <c r="CN222" s="47">
        <v>1128</v>
      </c>
      <c r="CO222" s="47">
        <v>1143</v>
      </c>
      <c r="CP222" s="47">
        <v>3438</v>
      </c>
      <c r="CQ222" s="47">
        <v>10671</v>
      </c>
      <c r="CR222" s="47">
        <v>18895</v>
      </c>
      <c r="CS222" s="47">
        <v>35727</v>
      </c>
      <c r="CT222" s="47">
        <v>31445</v>
      </c>
      <c r="DQ222" s="62"/>
      <c r="DR222" s="62"/>
      <c r="DS222" s="62"/>
      <c r="DU222" s="62"/>
      <c r="DV222" s="76"/>
      <c r="DW222" s="76"/>
      <c r="DX222" s="77"/>
      <c r="DY222" s="77"/>
      <c r="DZ222" s="77"/>
      <c r="EA222" s="77"/>
      <c r="EB222" s="77"/>
      <c r="EC222" s="77"/>
      <c r="ED222" s="77"/>
      <c r="EE222" s="77"/>
      <c r="EF222" s="77"/>
      <c r="EG222" s="77"/>
      <c r="EH222" s="77"/>
    </row>
    <row r="223" spans="1:138" s="49" customFormat="1">
      <c r="A223" s="78">
        <v>2027</v>
      </c>
      <c r="CL223" s="47">
        <v>704</v>
      </c>
      <c r="CM223" s="47">
        <v>999</v>
      </c>
      <c r="CN223" s="47">
        <v>1038</v>
      </c>
      <c r="CO223" s="47">
        <v>1060</v>
      </c>
      <c r="CP223" s="47">
        <v>2573</v>
      </c>
      <c r="CQ223" s="47">
        <v>2778</v>
      </c>
      <c r="CR223" s="47">
        <v>3381</v>
      </c>
      <c r="CS223" s="47">
        <v>3666</v>
      </c>
      <c r="CT223" s="47">
        <v>5923</v>
      </c>
      <c r="DQ223" s="62"/>
      <c r="DR223" s="62"/>
      <c r="DS223" s="62"/>
      <c r="DU223" s="62"/>
      <c r="DV223" s="76"/>
      <c r="DW223" s="76"/>
      <c r="DX223" s="77"/>
      <c r="DY223" s="77"/>
      <c r="DZ223" s="77"/>
      <c r="EA223" s="77"/>
      <c r="EB223" s="77"/>
      <c r="EC223" s="77"/>
      <c r="ED223" s="77"/>
      <c r="EE223" s="77"/>
      <c r="EF223" s="77"/>
      <c r="EG223" s="77"/>
      <c r="EH223" s="77"/>
    </row>
    <row r="224" spans="1:138" s="49" customFormat="1">
      <c r="A224" s="78">
        <v>2028</v>
      </c>
      <c r="CL224" s="47">
        <v>332</v>
      </c>
      <c r="CM224" s="47">
        <v>637</v>
      </c>
      <c r="CN224" s="47">
        <v>660</v>
      </c>
      <c r="CO224" s="47">
        <v>770</v>
      </c>
      <c r="CP224" s="47">
        <v>2222</v>
      </c>
      <c r="CQ224" s="47">
        <v>2436</v>
      </c>
      <c r="CR224" s="47">
        <v>2979</v>
      </c>
      <c r="CS224" s="47">
        <v>2992</v>
      </c>
      <c r="CT224" s="47">
        <v>3110</v>
      </c>
      <c r="DQ224" s="62"/>
      <c r="DR224" s="62"/>
      <c r="DS224" s="62"/>
      <c r="DU224" s="62"/>
      <c r="DV224" s="76"/>
      <c r="DW224" s="76"/>
      <c r="DX224" s="77"/>
      <c r="DY224" s="77"/>
      <c r="DZ224" s="77"/>
      <c r="EA224" s="77"/>
      <c r="EB224" s="77"/>
      <c r="EC224" s="77"/>
      <c r="ED224" s="77"/>
      <c r="EE224" s="77"/>
      <c r="EF224" s="77"/>
      <c r="EG224" s="77"/>
      <c r="EH224" s="77"/>
    </row>
    <row r="225" spans="1:140" s="49" customFormat="1">
      <c r="A225" s="78">
        <v>2029</v>
      </c>
      <c r="CL225" s="47">
        <v>255</v>
      </c>
      <c r="CM225" s="47">
        <v>468</v>
      </c>
      <c r="CN225" s="47">
        <v>354</v>
      </c>
      <c r="CO225" s="47">
        <v>418</v>
      </c>
      <c r="CP225" s="47">
        <v>1585</v>
      </c>
      <c r="CQ225" s="47">
        <v>1543</v>
      </c>
      <c r="CR225" s="47">
        <v>1990</v>
      </c>
      <c r="CS225" s="47">
        <v>2054</v>
      </c>
      <c r="CT225" s="47">
        <v>2772</v>
      </c>
      <c r="DQ225" s="62"/>
      <c r="DR225" s="62"/>
      <c r="DS225" s="62"/>
      <c r="DU225" s="62"/>
      <c r="DV225" s="76"/>
      <c r="DW225" s="76"/>
      <c r="DX225" s="77"/>
      <c r="DY225" s="77"/>
      <c r="DZ225" s="77"/>
      <c r="EA225" s="77"/>
      <c r="EB225" s="77"/>
      <c r="EC225" s="77"/>
      <c r="ED225" s="77"/>
      <c r="EE225" s="77"/>
      <c r="EF225" s="77"/>
      <c r="EG225" s="77"/>
      <c r="EH225" s="77"/>
    </row>
    <row r="226" spans="1:140" s="49" customFormat="1">
      <c r="A226" s="78">
        <v>2030</v>
      </c>
      <c r="CL226" s="47"/>
      <c r="CM226" s="47"/>
      <c r="CN226" s="47"/>
      <c r="CO226" s="47"/>
      <c r="CP226" s="47">
        <v>249</v>
      </c>
      <c r="CQ226" s="47">
        <v>419</v>
      </c>
      <c r="CR226" s="47">
        <v>621</v>
      </c>
      <c r="CS226" s="47">
        <f>422+218</f>
      </c>
      <c r="CT226" s="47">
        <v>752</v>
      </c>
      <c r="DQ226" s="62"/>
      <c r="DR226" s="62"/>
      <c r="DS226" s="62"/>
      <c r="DU226" s="62"/>
      <c r="DV226" s="76"/>
      <c r="DW226" s="76"/>
      <c r="DX226" s="77"/>
      <c r="DY226" s="77"/>
      <c r="DZ226" s="77"/>
      <c r="EA226" s="77"/>
      <c r="EB226" s="77"/>
      <c r="EC226" s="77"/>
      <c r="ED226" s="77"/>
      <c r="EE226" s="77"/>
      <c r="EF226" s="77"/>
      <c r="EG226" s="77"/>
      <c r="EH226" s="77"/>
    </row>
    <row r="227" spans="1:140" s="49" customFormat="1">
      <c r="A227" s="47" t="s">
        <v>277</v>
      </c>
      <c r="CL227" s="47"/>
      <c r="CM227" s="47"/>
      <c r="CN227" s="47"/>
      <c r="CO227" s="47"/>
      <c r="CP227" s="47"/>
      <c r="CQ227" s="47"/>
      <c r="CR227" s="47"/>
      <c r="CS227" s="47"/>
      <c r="CT227" s="47">
        <v>218</v>
      </c>
      <c r="DQ227" s="62"/>
      <c r="DR227" s="62"/>
      <c r="DS227" s="62"/>
      <c r="DU227" s="62"/>
      <c r="DV227" s="76"/>
      <c r="DW227" s="76"/>
      <c r="DX227" s="77"/>
      <c r="DY227" s="77"/>
      <c r="DZ227" s="77"/>
      <c r="EA227" s="77"/>
      <c r="EB227" s="77"/>
      <c r="EC227" s="77"/>
      <c r="ED227" s="77"/>
      <c r="EE227" s="77"/>
      <c r="EF227" s="77"/>
      <c r="EG227" s="77"/>
      <c r="EH227" s="77"/>
    </row>
    <row r="228" spans="1:140" s="49" customFormat="1">
      <c r="A228" s="35" t="s">
        <v>278</v>
      </c>
      <c r="CL228" s="35">
        <f>SUM(CL220:CL226)</f>
      </c>
      <c r="CM228" s="35">
        <f>SUM(CM220:CM226)</f>
      </c>
      <c r="CN228" s="35">
        <f>SUM(CN220:CN226)</f>
      </c>
      <c r="CO228" s="35">
        <f>SUM(CO221:CO226)</f>
      </c>
      <c r="CP228" s="35">
        <f>SUM(CP221:CP226)</f>
      </c>
      <c r="CQ228" s="35">
        <f>SUM(CQ221:CQ226)</f>
      </c>
      <c r="CR228" s="35">
        <f>SUM(CR221:CR226)</f>
      </c>
      <c r="CS228" s="35">
        <f>SUM(CS221:CS226)</f>
      </c>
      <c r="CT228" s="35">
        <f>SUM(CT221:CT227)</f>
      </c>
      <c r="DQ228" s="62"/>
      <c r="DR228" s="62"/>
      <c r="DS228" s="62"/>
      <c r="DU228" s="62"/>
      <c r="DV228" s="76"/>
      <c r="DW228" s="76"/>
      <c r="DX228" s="77"/>
      <c r="DY228" s="77"/>
      <c r="DZ228" s="77"/>
      <c r="EA228" s="77"/>
      <c r="EB228" s="77"/>
      <c r="EC228" s="77"/>
      <c r="ED228" s="77"/>
      <c r="EE228" s="77"/>
      <c r="EF228" s="77"/>
      <c r="EG228" s="77"/>
      <c r="EH228" s="77"/>
    </row>
    <row r="229" spans="1:140" s="49" customFormat="1">
      <c r="A229" s="35" t="s">
        <v>196</v>
      </c>
      <c r="CL229" s="47"/>
      <c r="CM229" s="57">
        <f t="shared" ref="CM229:CT229" si="356">CM228/CL228-1</f>
      </c>
      <c r="CN229" s="57">
        <f t="shared" si="356"/>
      </c>
      <c r="CO229" s="57">
        <f t="shared" si="356"/>
      </c>
      <c r="CP229" s="57">
        <f t="shared" si="356"/>
      </c>
      <c r="CQ229" s="57">
        <f t="shared" si="356"/>
      </c>
      <c r="CR229" s="57">
        <f t="shared" si="356"/>
      </c>
      <c r="CS229" s="57">
        <f t="shared" si="356"/>
      </c>
      <c r="CT229" s="57">
        <f t="shared" si="356"/>
      </c>
      <c r="DQ229" s="62"/>
      <c r="DR229" s="62"/>
      <c r="DS229" s="62"/>
      <c r="DU229" s="62"/>
      <c r="DV229" s="76"/>
      <c r="DW229" s="76"/>
      <c r="DX229" s="77"/>
      <c r="DY229" s="77"/>
      <c r="DZ229" s="77"/>
      <c r="EA229" s="77"/>
      <c r="EB229" s="77"/>
      <c r="EC229" s="77"/>
      <c r="ED229" s="77"/>
      <c r="EE229" s="77"/>
      <c r="EF229" s="77"/>
      <c r="EG229" s="77"/>
      <c r="EH229" s="77"/>
    </row>
    <row r="230" spans="1:140" s="49" customFormat="1">
      <c r="A230" s="35" t="s">
        <v>198</v>
      </c>
      <c r="CL230" s="47"/>
      <c r="CM230" s="57"/>
      <c r="CN230" s="57"/>
      <c r="CO230" s="57"/>
      <c r="CP230" s="57">
        <f>CP228/CL228-1</f>
      </c>
      <c r="CQ230" s="57">
        <f>CQ228/CM228-1</f>
      </c>
      <c r="CR230" s="57">
        <f>CR228/CN228-1</f>
      </c>
      <c r="CS230" s="57">
        <f>CS228/CO228-1</f>
      </c>
      <c r="CT230" s="57">
        <f>CT228/CP228-1</f>
      </c>
      <c r="DQ230" s="62"/>
      <c r="DR230" s="62"/>
      <c r="DS230" s="62"/>
      <c r="DU230" s="62"/>
      <c r="DV230" s="76"/>
      <c r="DW230" s="76"/>
      <c r="DX230" s="77"/>
      <c r="DY230" s="77"/>
      <c r="DZ230" s="77"/>
      <c r="EA230" s="77"/>
      <c r="EB230" s="77"/>
      <c r="EC230" s="77"/>
      <c r="ED230" s="77"/>
      <c r="EE230" s="77"/>
      <c r="EF230" s="77"/>
      <c r="EG230" s="77"/>
      <c r="EH230" s="77"/>
    </row>
    <row r="231" spans="1:140" s="49" customFormat="1">
      <c r="A231" s="35"/>
      <c r="CL231" s="47"/>
      <c r="CM231" s="47"/>
      <c r="CN231" s="47"/>
      <c r="CO231" s="47"/>
      <c r="CP231" s="47"/>
      <c r="CQ231" s="47"/>
      <c r="CR231" s="47"/>
      <c r="CS231" s="47"/>
      <c r="CT231" s="47"/>
      <c r="DQ231" s="62"/>
      <c r="DR231" s="62"/>
      <c r="DS231" s="62"/>
      <c r="DU231" s="62"/>
      <c r="DV231" s="76"/>
      <c r="DW231" s="76"/>
      <c r="DX231" s="77"/>
      <c r="DY231" s="77"/>
      <c r="DZ231" s="77"/>
      <c r="EA231" s="77"/>
      <c r="EB231" s="77"/>
      <c r="EC231" s="77"/>
      <c r="ED231" s="77"/>
      <c r="EE231" s="77"/>
      <c r="EF231" s="77"/>
      <c r="EG231" s="77"/>
      <c r="EH231" s="77"/>
    </row>
    <row r="232" spans="1:140" s="49" customFormat="1">
      <c r="A232" s="35" t="s">
        <v>279</v>
      </c>
      <c r="CL232" s="47">
        <v>2430</v>
      </c>
      <c r="CM232" s="47">
        <v>3500</v>
      </c>
      <c r="CN232" s="47">
        <v>3600</v>
      </c>
      <c r="CO232" s="47">
        <v>3500</v>
      </c>
      <c r="CP232" s="47">
        <v>8800</v>
      </c>
      <c r="CQ232" s="47">
        <v>9800</v>
      </c>
      <c r="CR232" s="47">
        <v>11300</v>
      </c>
      <c r="CS232" s="47">
        <v>10900</v>
      </c>
      <c r="CT232" s="47">
        <v>10600</v>
      </c>
      <c r="DQ232" s="62"/>
      <c r="DR232" s="62"/>
      <c r="DS232" s="62"/>
      <c r="DU232" s="62"/>
      <c r="DV232" s="76"/>
      <c r="DW232" s="76"/>
      <c r="DX232" s="77"/>
      <c r="DY232" s="77"/>
      <c r="DZ232" s="77"/>
      <c r="EA232" s="77"/>
      <c r="EB232" s="77"/>
      <c r="EC232" s="77"/>
      <c r="ED232" s="77"/>
      <c r="EE232" s="77"/>
      <c r="EF232" s="77"/>
      <c r="EG232" s="77"/>
      <c r="EH232" s="77"/>
    </row>
    <row r="233" spans="1:140" s="49" customFormat="1">
      <c r="DQ233" s="62"/>
      <c r="DR233" s="62"/>
      <c r="DS233" s="62"/>
      <c r="DU233" s="62"/>
      <c r="DV233" s="76"/>
      <c r="DW233" s="76"/>
      <c r="DX233" s="77"/>
      <c r="DY233" s="77"/>
      <c r="DZ233" s="77"/>
      <c r="EA233" s="77"/>
      <c r="EB233" s="77"/>
      <c r="EC233" s="77"/>
      <c r="ED233" s="77"/>
      <c r="EE233" s="77"/>
      <c r="EF233" s="77"/>
      <c r="EG233" s="77"/>
      <c r="EH233" s="77"/>
    </row>
    <row r="234" spans="1:140" s="49" customFormat="1">
      <c r="A234" s="27" t="s">
        <v>280</v>
      </c>
      <c r="CD234" s="79" t="s">
        <v>281</v>
      </c>
      <c r="CE234" s="79" t="s">
        <v>281</v>
      </c>
      <c r="CF234" s="79">
        <v>1606</v>
      </c>
      <c r="CG234" s="79">
        <v>1747</v>
      </c>
      <c r="CH234" s="79">
        <v>2752</v>
      </c>
      <c r="CI234" s="79">
        <v>2523</v>
      </c>
      <c r="CJ234" s="79">
        <v>2771</v>
      </c>
      <c r="CK234" s="79">
        <v>2989</v>
      </c>
      <c r="CL234" s="79">
        <v>3002</v>
      </c>
      <c r="CM234" s="79">
        <v>3008</v>
      </c>
      <c r="CN234" s="79">
        <v>2927</v>
      </c>
      <c r="CO234" s="79">
        <v>2458</v>
      </c>
      <c r="CP234" s="79">
        <v>2232</v>
      </c>
      <c r="CQ234" s="79">
        <v>3300</v>
      </c>
      <c r="CR234" s="79">
        <v>2041</v>
      </c>
      <c r="CS234" s="79">
        <v>1747</v>
      </c>
      <c r="CT234" s="79">
        <v>2079</v>
      </c>
      <c r="DQ234" s="62"/>
      <c r="DR234" s="62"/>
      <c r="DS234" s="62"/>
      <c r="DU234" s="62"/>
      <c r="DV234" s="76"/>
      <c r="DW234" s="76"/>
      <c r="DX234" s="77"/>
      <c r="DY234" s="77"/>
      <c r="DZ234" s="77"/>
      <c r="EA234" s="77"/>
      <c r="EB234" s="77"/>
      <c r="EC234" s="77"/>
      <c r="ED234" s="77"/>
      <c r="EE234" s="77"/>
      <c r="EF234" s="77"/>
      <c r="EG234" s="77"/>
      <c r="EH234" s="77"/>
    </row>
    <row r="235" spans="1:140" s="49" customFormat="1">
      <c r="A235" s="27" t="s">
        <v>282</v>
      </c>
      <c r="CD235" s="79" t="s">
        <v>281</v>
      </c>
      <c r="CE235" s="79" t="s">
        <v>281</v>
      </c>
      <c r="CF235" s="79" t="s">
        <v>281</v>
      </c>
      <c r="CG235" s="79">
        <v>196</v>
      </c>
      <c r="CH235" s="79">
        <v>258</v>
      </c>
      <c r="CI235" s="79">
        <v>866</v>
      </c>
      <c r="CJ235" s="79">
        <v>1181</v>
      </c>
      <c r="CK235" s="79">
        <v>954</v>
      </c>
      <c r="CL235" s="79">
        <v>786</v>
      </c>
      <c r="CM235" s="79">
        <v>870</v>
      </c>
      <c r="CN235" s="79">
        <v>1280</v>
      </c>
      <c r="CO235" s="79">
        <v>1655</v>
      </c>
      <c r="CP235" s="79">
        <v>1684</v>
      </c>
      <c r="CQ235" s="79">
        <v>2051</v>
      </c>
      <c r="CR235" s="79">
        <v>1728</v>
      </c>
      <c r="CS235" s="79">
        <v>2200</v>
      </c>
      <c r="CT235" s="79">
        <v>4310</v>
      </c>
      <c r="DQ235" s="62"/>
      <c r="DR235" s="62"/>
      <c r="DS235" s="62"/>
      <c r="DU235" s="62"/>
      <c r="DV235" s="76"/>
      <c r="DW235" s="76"/>
      <c r="DX235" s="77"/>
      <c r="DY235" s="77"/>
      <c r="DZ235" s="77"/>
      <c r="EA235" s="77"/>
      <c r="EB235" s="77"/>
      <c r="EC235" s="77"/>
      <c r="ED235" s="77"/>
      <c r="EE235" s="77"/>
      <c r="EF235" s="77"/>
      <c r="EG235" s="77"/>
      <c r="EH235" s="77"/>
    </row>
    <row r="236" spans="1:140">
      <c r="A236" s="60" t="s">
        <v>283</v>
      </c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0"/>
      <c r="AG236" s="60"/>
      <c r="AH236" s="60"/>
      <c r="AI236" s="60"/>
      <c r="AJ236" s="60"/>
      <c r="AK236" s="60"/>
      <c r="AL236" s="60"/>
      <c r="AM236" s="60"/>
      <c r="AN236" s="60"/>
      <c r="AO236" s="60"/>
      <c r="AP236" s="60"/>
      <c r="AQ236" s="60"/>
      <c r="AR236" s="60"/>
      <c r="AS236" s="60"/>
      <c r="AT236" s="60"/>
      <c r="AU236" s="60"/>
      <c r="AV236" s="60"/>
      <c r="AW236" s="60"/>
      <c r="AX236" s="60"/>
      <c r="AY236" s="60"/>
      <c r="AZ236" s="60"/>
      <c r="BA236" s="60"/>
      <c r="BB236" s="60"/>
      <c r="BC236" s="60"/>
      <c r="BD236" s="60"/>
      <c r="BE236" s="60"/>
      <c r="BF236" s="60"/>
      <c r="BG236" s="60"/>
      <c r="BH236" s="60"/>
      <c r="BI236" s="60"/>
      <c r="BJ236" s="60"/>
      <c r="BK236" s="60"/>
      <c r="BL236" s="60"/>
      <c r="BM236" s="60"/>
      <c r="BN236" s="60"/>
      <c r="BO236" s="60"/>
      <c r="BP236" s="60"/>
      <c r="BQ236" s="60"/>
      <c r="BR236" s="60"/>
      <c r="BS236" s="60"/>
      <c r="BT236" s="60"/>
      <c r="BU236" s="60"/>
      <c r="BV236" s="60"/>
      <c r="BW236" s="60"/>
      <c r="BX236" s="60"/>
      <c r="BY236" s="60"/>
      <c r="BZ236" s="60"/>
      <c r="CA236" s="60"/>
      <c r="CB236" s="60"/>
      <c r="CC236" s="60"/>
      <c r="CD236" s="60"/>
      <c r="CE236" s="80"/>
      <c r="CF236" s="60"/>
      <c r="CG236" s="60"/>
      <c r="CH236" s="60"/>
      <c r="CI236" s="60"/>
      <c r="CJ236" s="81"/>
      <c r="CK236" s="60"/>
      <c r="CL236" s="60"/>
      <c r="CM236" s="60"/>
      <c r="CN236" s="60"/>
      <c r="CO236" s="80"/>
      <c r="CP236" s="60"/>
      <c r="CQ236" s="80"/>
      <c r="CR236" s="60"/>
      <c r="CS236" s="60"/>
      <c r="CT236" s="60"/>
      <c r="CU236" s="60"/>
      <c r="CV236" s="60"/>
      <c r="CW236" s="60"/>
      <c r="CX236" s="60"/>
      <c r="CY236" s="60"/>
      <c r="CZ236" s="60"/>
      <c r="DA236" s="60"/>
      <c r="DB236" s="60"/>
      <c r="DC236" s="60"/>
      <c r="DD236" s="60"/>
      <c r="DE236" s="60"/>
      <c r="DH236" s="60"/>
      <c r="DI236" s="60"/>
      <c r="DJ236" s="60"/>
      <c r="DK236" s="60"/>
      <c r="DL236" s="60"/>
      <c r="DM236" s="60"/>
      <c r="DN236" s="60"/>
      <c r="DO236" s="60"/>
      <c r="DP236" s="60"/>
      <c r="DQ236" s="60"/>
      <c r="DR236" s="60"/>
      <c r="DS236" s="60"/>
      <c r="DT236" s="60"/>
      <c r="DU236" s="60"/>
      <c r="DV236" s="60"/>
      <c r="DW236" s="60"/>
      <c r="DX236" s="60"/>
      <c r="DY236" s="60"/>
      <c r="DZ236" s="60"/>
      <c r="EA236" s="82"/>
      <c r="EB236" s="60"/>
      <c r="EC236" s="60"/>
      <c r="ED236" s="60"/>
      <c r="EE236" s="60"/>
      <c r="EF236" s="60"/>
      <c r="EG236" s="60"/>
      <c r="EH236" s="60"/>
    </row>
    <row r="237" spans="1:140" s="47" customFormat="1" outlineLevel="1">
      <c r="A237" s="35" t="s">
        <v>284</v>
      </c>
      <c r="AX237" s="35"/>
      <c r="AY237" s="35"/>
      <c r="AZ237" s="35"/>
      <c r="BA237" s="35"/>
      <c r="BB237" s="35">
        <f t="shared" ref="BB237:BV237" si="357">BB264-BB79-BB91-BB99-BB87</f>
      </c>
      <c r="BC237" s="35">
        <f t="shared" si="357"/>
      </c>
      <c r="BD237" s="35">
        <f t="shared" si="357"/>
      </c>
      <c r="BE237" s="35">
        <f t="shared" si="357"/>
      </c>
      <c r="BF237" s="35">
        <f t="shared" si="357"/>
      </c>
      <c r="BG237" s="35">
        <f t="shared" si="357"/>
      </c>
      <c r="BH237" s="35">
        <f t="shared" si="357"/>
      </c>
      <c r="BI237" s="35">
        <f t="shared" si="357"/>
      </c>
      <c r="BJ237" s="35">
        <f t="shared" si="357"/>
      </c>
      <c r="BK237" s="35">
        <f t="shared" si="357"/>
      </c>
      <c r="BL237" s="35">
        <f t="shared" si="357"/>
      </c>
      <c r="BM237" s="35">
        <f t="shared" si="357"/>
      </c>
      <c r="BN237" s="35">
        <f t="shared" si="357"/>
      </c>
      <c r="BO237" s="35">
        <f t="shared" si="357"/>
      </c>
      <c r="BP237" s="35">
        <f t="shared" si="357"/>
      </c>
      <c r="BQ237" s="35">
        <f t="shared" si="357"/>
      </c>
      <c r="BR237" s="35">
        <f t="shared" si="357"/>
      </c>
      <c r="BS237" s="35">
        <f t="shared" si="357"/>
      </c>
      <c r="BT237" s="35">
        <f t="shared" si="357"/>
      </c>
      <c r="BU237" s="35">
        <f t="shared" si="357"/>
      </c>
      <c r="BV237" s="35">
        <f t="shared" si="357"/>
      </c>
      <c r="BW237" s="35">
        <f>+BV237</f>
      </c>
      <c r="BX237" s="35">
        <f>BX264-BX79-BX91-BX99-BX87</f>
      </c>
      <c r="BY237" s="35">
        <f>BY264-BY79-BY91-BY99-BY87</f>
      </c>
      <c r="BZ237" s="338"/>
      <c r="CA237" s="338"/>
      <c r="CB237" s="338"/>
      <c r="CC237" s="338"/>
      <c r="CD237" s="338"/>
      <c r="CE237" s="338"/>
      <c r="CF237" s="338"/>
      <c r="CG237" s="338"/>
      <c r="CH237" s="338"/>
      <c r="CI237" s="338"/>
      <c r="CJ237" s="338"/>
      <c r="CK237" s="338"/>
      <c r="CL237" s="338"/>
      <c r="CM237" s="338"/>
      <c r="CN237" s="338"/>
      <c r="CO237" s="338"/>
      <c r="CP237" s="338"/>
      <c r="CQ237" s="338"/>
      <c r="CR237" s="338"/>
      <c r="CS237" s="338"/>
      <c r="CT237" s="338"/>
      <c r="CU237" s="338"/>
      <c r="CV237" s="338"/>
      <c r="CW237" s="338"/>
      <c r="CX237" s="338"/>
      <c r="CY237" s="338"/>
      <c r="CZ237" s="338"/>
      <c r="DA237" s="338"/>
      <c r="DB237" s="338"/>
      <c r="DC237" s="338"/>
      <c r="DD237" s="338"/>
      <c r="DE237" s="338"/>
      <c r="DQ237" s="35"/>
      <c r="DR237" s="35"/>
      <c r="DS237" s="35"/>
      <c r="DT237" s="35"/>
      <c r="DU237" s="35">
        <f>SUM(BB237:BE237)</f>
      </c>
      <c r="DV237" s="35">
        <f>SUM(BF237:BI237)</f>
      </c>
      <c r="DW237" s="35">
        <f>SUM(BJ237:BM237)</f>
      </c>
      <c r="DX237" s="35">
        <f>SUM(BN237:BQ237)</f>
      </c>
      <c r="DY237" s="35">
        <f>SUM(BR237:BU237)</f>
      </c>
      <c r="DZ237" s="35">
        <f>BV237+BW237+BX237+BY237</f>
      </c>
      <c r="EA237" s="338"/>
      <c r="EB237" s="338"/>
      <c r="EC237" s="338"/>
      <c r="ED237" s="338"/>
      <c r="EE237" s="338"/>
      <c r="EF237" s="338"/>
      <c r="EG237" s="338"/>
      <c r="EH237" s="338"/>
    </row>
    <row r="238" spans="1:140" s="49" customFormat="1" outlineLevel="1">
      <c r="A238" s="48" t="s">
        <v>196</v>
      </c>
      <c r="BC238" s="49">
        <f>BC237/BB237-1</f>
      </c>
      <c r="BD238" s="49">
        <f t="shared" ref="BD238:BY238" si="358">BD237/BC237-1</f>
      </c>
      <c r="BE238" s="49">
        <f t="shared" si="358"/>
      </c>
      <c r="BF238" s="49">
        <f t="shared" si="358"/>
      </c>
      <c r="BG238" s="49">
        <f t="shared" si="358"/>
      </c>
      <c r="BH238" s="49">
        <f t="shared" si="358"/>
      </c>
      <c r="BI238" s="49">
        <f t="shared" si="358"/>
      </c>
      <c r="BJ238" s="49">
        <f t="shared" si="358"/>
      </c>
      <c r="BK238" s="49">
        <f t="shared" si="358"/>
      </c>
      <c r="BL238" s="49">
        <f t="shared" si="358"/>
      </c>
      <c r="BM238" s="49">
        <f t="shared" si="358"/>
      </c>
      <c r="BN238" s="49">
        <f t="shared" si="358"/>
      </c>
      <c r="BO238" s="49">
        <f t="shared" si="358"/>
      </c>
      <c r="BP238" s="49">
        <f t="shared" si="358"/>
      </c>
      <c r="BQ238" s="49">
        <f t="shared" si="358"/>
      </c>
      <c r="BR238" s="49">
        <f t="shared" si="358"/>
      </c>
      <c r="BS238" s="49">
        <f t="shared" si="358"/>
      </c>
      <c r="BT238" s="49">
        <f t="shared" si="358"/>
      </c>
      <c r="BU238" s="49">
        <f t="shared" si="358"/>
      </c>
      <c r="BV238" s="49">
        <f t="shared" si="358"/>
      </c>
      <c r="BW238" s="49">
        <f t="shared" si="358"/>
      </c>
      <c r="BX238" s="49">
        <f>BX237/BW237-1</f>
      </c>
      <c r="BY238" s="49">
        <f t="shared" si="358"/>
      </c>
      <c r="BZ238" s="341"/>
      <c r="CA238" s="341"/>
      <c r="CB238" s="341"/>
      <c r="CC238" s="341"/>
      <c r="CD238" s="341"/>
      <c r="CE238" s="341"/>
      <c r="CF238" s="341"/>
      <c r="CG238" s="341"/>
      <c r="CH238" s="341"/>
      <c r="CI238" s="341"/>
      <c r="CJ238" s="341"/>
      <c r="CK238" s="341"/>
      <c r="CL238" s="341"/>
      <c r="CM238" s="341"/>
      <c r="CN238" s="341"/>
      <c r="CO238" s="341"/>
      <c r="CP238" s="341"/>
      <c r="CQ238" s="341"/>
      <c r="CR238" s="341"/>
      <c r="CS238" s="341"/>
      <c r="CT238" s="341"/>
      <c r="CU238" s="341"/>
      <c r="CV238" s="341"/>
      <c r="CW238" s="341"/>
      <c r="CX238" s="341"/>
      <c r="CY238" s="341"/>
      <c r="CZ238" s="341"/>
      <c r="DA238" s="341"/>
      <c r="DB238" s="341"/>
      <c r="DC238" s="341"/>
      <c r="DD238" s="341"/>
      <c r="DE238" s="341"/>
      <c r="DX238" s="394"/>
      <c r="DY238" s="394"/>
      <c r="DZ238" s="394"/>
      <c r="EA238" s="398"/>
      <c r="EB238" s="398"/>
      <c r="EC238" s="398"/>
      <c r="ED238" s="398"/>
      <c r="EE238" s="398"/>
      <c r="EF238" s="398"/>
      <c r="EG238" s="398"/>
      <c r="EH238" s="398"/>
      <c r="EJ238" s="344"/>
    </row>
    <row r="239" spans="1:140" s="49" customFormat="1" outlineLevel="1">
      <c r="A239" s="48" t="s">
        <v>198</v>
      </c>
      <c r="BF239" s="49">
        <f>BF237/BB237-1</f>
      </c>
      <c r="BG239" s="49">
        <f>BG237/BC237-1</f>
      </c>
      <c r="BH239" s="49">
        <f>BH237/BD237-1</f>
      </c>
      <c r="BI239" s="49">
        <f>BI237/BE237-1</f>
      </c>
      <c r="BJ239" s="49">
        <f>BJ237/BF237-1</f>
      </c>
      <c r="BK239" s="49">
        <f t="shared" ref="BK239:BY239" si="359">BK237/BG237-1</f>
      </c>
      <c r="BL239" s="49">
        <f t="shared" si="359"/>
      </c>
      <c r="BM239" s="49">
        <f t="shared" si="359"/>
      </c>
      <c r="BN239" s="49">
        <f t="shared" si="359"/>
      </c>
      <c r="BO239" s="49">
        <f t="shared" si="359"/>
      </c>
      <c r="BP239" s="49">
        <f t="shared" si="359"/>
      </c>
      <c r="BQ239" s="49">
        <f t="shared" si="359"/>
      </c>
      <c r="BR239" s="49">
        <f t="shared" si="359"/>
      </c>
      <c r="BS239" s="49">
        <f t="shared" si="359"/>
      </c>
      <c r="BT239" s="49">
        <f t="shared" si="359"/>
      </c>
      <c r="BU239" s="49">
        <f t="shared" si="359"/>
      </c>
      <c r="BV239" s="49">
        <f t="shared" si="359"/>
      </c>
      <c r="BW239" s="49">
        <f t="shared" si="359"/>
      </c>
      <c r="BX239" s="49">
        <f t="shared" si="359"/>
      </c>
      <c r="BY239" s="49">
        <f t="shared" si="359"/>
      </c>
      <c r="BZ239" s="341"/>
      <c r="CA239" s="341"/>
      <c r="CB239" s="341"/>
      <c r="CC239" s="341"/>
      <c r="CD239" s="341"/>
      <c r="CE239" s="341"/>
      <c r="CF239" s="341"/>
      <c r="CG239" s="341"/>
      <c r="CH239" s="341"/>
      <c r="CI239" s="341"/>
      <c r="CJ239" s="341"/>
      <c r="CK239" s="341"/>
      <c r="CL239" s="341"/>
      <c r="CM239" s="341"/>
      <c r="CN239" s="341"/>
      <c r="CO239" s="341"/>
      <c r="CP239" s="341"/>
      <c r="CQ239" s="341"/>
      <c r="CR239" s="341"/>
      <c r="CS239" s="341"/>
      <c r="CT239" s="341"/>
      <c r="CU239" s="341"/>
      <c r="CV239" s="341"/>
      <c r="CW239" s="341"/>
      <c r="CX239" s="341"/>
      <c r="CY239" s="341"/>
      <c r="CZ239" s="341"/>
      <c r="DA239" s="341"/>
      <c r="DB239" s="341"/>
      <c r="DC239" s="341"/>
      <c r="DD239" s="341"/>
      <c r="DE239" s="341"/>
      <c r="DU239" s="394"/>
      <c r="DV239" s="49">
        <f>DV237/DU237-1</f>
      </c>
      <c r="DW239" s="49">
        <f>DW237/DV237-1</f>
      </c>
      <c r="DX239" s="49">
        <f>DX237/DW237-1</f>
      </c>
      <c r="DY239" s="49">
        <f>DY237/DX237-1</f>
      </c>
      <c r="DZ239" s="49">
        <f>DZ237/DY237-1</f>
      </c>
      <c r="EA239" s="345"/>
      <c r="EB239" s="345"/>
      <c r="EC239" s="345"/>
      <c r="ED239" s="345"/>
      <c r="EE239" s="345"/>
      <c r="EF239" s="345"/>
      <c r="EG239" s="345"/>
      <c r="EH239" s="345"/>
      <c r="EJ239" s="344"/>
    </row>
    <row r="240" spans="1:140" s="49" customFormat="1" outlineLevel="1">
      <c r="A240" s="48" t="s">
        <v>241</v>
      </c>
      <c r="BB240" s="49">
        <f t="shared" ref="BB240:BY240" si="360">BB237/BB$272</f>
      </c>
      <c r="BC240" s="49">
        <f t="shared" si="360"/>
      </c>
      <c r="BD240" s="49">
        <f t="shared" si="360"/>
      </c>
      <c r="BE240" s="49">
        <f t="shared" si="360"/>
      </c>
      <c r="BF240" s="49">
        <f t="shared" si="360"/>
      </c>
      <c r="BG240" s="49">
        <f t="shared" si="360"/>
      </c>
      <c r="BH240" s="49">
        <f t="shared" si="360"/>
      </c>
      <c r="BI240" s="49">
        <f t="shared" si="360"/>
      </c>
      <c r="BJ240" s="49">
        <f t="shared" si="360"/>
      </c>
      <c r="BK240" s="49">
        <f t="shared" si="360"/>
      </c>
      <c r="BL240" s="49">
        <f t="shared" si="360"/>
      </c>
      <c r="BM240" s="49">
        <f t="shared" si="360"/>
      </c>
      <c r="BN240" s="49">
        <f t="shared" si="360"/>
      </c>
      <c r="BO240" s="49">
        <f t="shared" si="360"/>
      </c>
      <c r="BP240" s="49">
        <f t="shared" si="360"/>
      </c>
      <c r="BQ240" s="49">
        <f t="shared" si="360"/>
      </c>
      <c r="BR240" s="49">
        <f t="shared" si="360"/>
      </c>
      <c r="BS240" s="49">
        <f t="shared" si="360"/>
      </c>
      <c r="BT240" s="49">
        <f t="shared" si="360"/>
      </c>
      <c r="BU240" s="49">
        <f t="shared" si="360"/>
      </c>
      <c r="BV240" s="49">
        <f t="shared" si="360"/>
      </c>
      <c r="BW240" s="49">
        <f t="shared" si="360"/>
      </c>
      <c r="BX240" s="49">
        <f t="shared" si="360"/>
      </c>
      <c r="BY240" s="49">
        <f t="shared" si="360"/>
      </c>
      <c r="BZ240" s="341"/>
      <c r="CA240" s="341"/>
      <c r="CB240" s="341"/>
      <c r="CC240" s="341"/>
      <c r="CD240" s="341"/>
      <c r="CE240" s="341"/>
      <c r="CF240" s="341"/>
      <c r="CG240" s="341"/>
      <c r="CH240" s="341"/>
      <c r="CI240" s="341"/>
      <c r="CJ240" s="341"/>
      <c r="CK240" s="341"/>
      <c r="CL240" s="341"/>
      <c r="CM240" s="341"/>
      <c r="CN240" s="341"/>
      <c r="CO240" s="341"/>
      <c r="CP240" s="341"/>
      <c r="CQ240" s="341"/>
      <c r="CR240" s="341"/>
      <c r="CS240" s="341"/>
      <c r="CT240" s="341"/>
      <c r="CU240" s="341"/>
      <c r="CV240" s="341"/>
      <c r="CW240" s="341"/>
      <c r="CX240" s="341"/>
      <c r="CY240" s="341"/>
      <c r="CZ240" s="341"/>
      <c r="DA240" s="341"/>
      <c r="DB240" s="341"/>
      <c r="DC240" s="341"/>
      <c r="DD240" s="341"/>
      <c r="DE240" s="341"/>
      <c r="DU240" s="394"/>
      <c r="DV240" s="394"/>
      <c r="DW240" s="394"/>
      <c r="DX240" s="394"/>
      <c r="DY240" s="394"/>
      <c r="DZ240" s="394"/>
      <c r="EA240" s="398"/>
      <c r="EB240" s="398"/>
      <c r="EC240" s="398"/>
      <c r="ED240" s="398"/>
      <c r="EE240" s="398"/>
      <c r="EF240" s="398"/>
      <c r="EG240" s="398"/>
      <c r="EH240" s="398"/>
    </row>
    <row r="241" spans="1:140" s="47" customFormat="1" outlineLevel="1">
      <c r="A241" s="35" t="s">
        <v>285</v>
      </c>
      <c r="AX241" s="35"/>
      <c r="AY241" s="35"/>
      <c r="AZ241" s="35"/>
      <c r="BA241" s="35"/>
      <c r="BB241" s="35">
        <f t="shared" ref="BB241:BK241" si="361">BB260-BB123</f>
      </c>
      <c r="BC241" s="35">
        <f t="shared" si="361"/>
      </c>
      <c r="BD241" s="35">
        <f t="shared" si="361"/>
      </c>
      <c r="BE241" s="35">
        <f t="shared" si="361"/>
      </c>
      <c r="BF241" s="35">
        <f t="shared" si="361"/>
      </c>
      <c r="BG241" s="35">
        <f t="shared" si="361"/>
      </c>
      <c r="BH241" s="35">
        <f t="shared" si="361"/>
      </c>
      <c r="BI241" s="35">
        <f t="shared" si="361"/>
      </c>
      <c r="BJ241" s="35">
        <f t="shared" si="361"/>
      </c>
      <c r="BK241" s="35">
        <f t="shared" si="361"/>
      </c>
      <c r="BL241" s="35">
        <f t="shared" ref="BL241:BY241" si="362">BL107</f>
      </c>
      <c r="BM241" s="35">
        <f t="shared" si="362"/>
      </c>
      <c r="BN241" s="35">
        <f t="shared" si="362"/>
      </c>
      <c r="BO241" s="35">
        <f t="shared" si="362"/>
      </c>
      <c r="BP241" s="35">
        <f t="shared" si="362"/>
      </c>
      <c r="BQ241" s="35">
        <f t="shared" si="362"/>
      </c>
      <c r="BR241" s="35">
        <f t="shared" si="362"/>
      </c>
      <c r="BS241" s="35">
        <f t="shared" si="362"/>
      </c>
      <c r="BT241" s="35">
        <f t="shared" si="362"/>
      </c>
      <c r="BU241" s="35">
        <f t="shared" si="362"/>
      </c>
      <c r="BV241" s="35">
        <f t="shared" si="362"/>
      </c>
      <c r="BW241" s="35">
        <f t="shared" si="362"/>
      </c>
      <c r="BX241" s="35">
        <f t="shared" si="362"/>
      </c>
      <c r="BY241" s="35">
        <f t="shared" si="362"/>
      </c>
      <c r="BZ241" s="338"/>
      <c r="CA241" s="338"/>
      <c r="CB241" s="338"/>
      <c r="CC241" s="338"/>
      <c r="CD241" s="338"/>
      <c r="CE241" s="338"/>
      <c r="CF241" s="338"/>
      <c r="CG241" s="338"/>
      <c r="CH241" s="338"/>
      <c r="CI241" s="338"/>
      <c r="CJ241" s="338"/>
      <c r="CK241" s="338"/>
      <c r="CL241" s="338"/>
      <c r="CM241" s="338"/>
      <c r="CN241" s="338"/>
      <c r="CO241" s="338"/>
      <c r="CP241" s="338"/>
      <c r="CQ241" s="338"/>
      <c r="CR241" s="338"/>
      <c r="CS241" s="338"/>
      <c r="CT241" s="338"/>
      <c r="CU241" s="338"/>
      <c r="CV241" s="338"/>
      <c r="CW241" s="338"/>
      <c r="CX241" s="338"/>
      <c r="CY241" s="338"/>
      <c r="CZ241" s="338"/>
      <c r="DA241" s="338"/>
      <c r="DB241" s="338"/>
      <c r="DC241" s="338"/>
      <c r="DD241" s="338"/>
      <c r="DE241" s="338"/>
      <c r="DQ241" s="35"/>
      <c r="DR241" s="35"/>
      <c r="DS241" s="35"/>
      <c r="DT241" s="35"/>
      <c r="DU241" s="35">
        <f>SUM(BB241:BE241)</f>
      </c>
      <c r="DV241" s="35">
        <f>SUM(BF241:BI241)</f>
      </c>
      <c r="DW241" s="35">
        <f>SUM(BJ241:BM241)</f>
      </c>
      <c r="DX241" s="35">
        <f>SUM(BN241:BQ241)</f>
      </c>
      <c r="DY241" s="35">
        <f>SUM(BR241:BU241)</f>
      </c>
      <c r="DZ241" s="35">
        <f>BV241+BW241+BX241+BY241</f>
      </c>
      <c r="EA241" s="338"/>
      <c r="EB241" s="338"/>
      <c r="EC241" s="338"/>
      <c r="ED241" s="338"/>
      <c r="EE241" s="338"/>
      <c r="EF241" s="338"/>
      <c r="EG241" s="338"/>
      <c r="EH241" s="338"/>
    </row>
    <row r="242" spans="1:140" s="49" customFormat="1" outlineLevel="1">
      <c r="A242" s="48" t="s">
        <v>196</v>
      </c>
      <c r="BC242" s="49">
        <f t="shared" ref="BC242:BV242" si="363">BC241/BB241-1</f>
      </c>
      <c r="BD242" s="49">
        <f t="shared" si="363"/>
      </c>
      <c r="BE242" s="49">
        <f t="shared" si="363"/>
      </c>
      <c r="BF242" s="49">
        <f t="shared" si="363"/>
      </c>
      <c r="BG242" s="49">
        <f t="shared" si="363"/>
      </c>
      <c r="BH242" s="49">
        <f t="shared" si="363"/>
      </c>
      <c r="BI242" s="49">
        <f t="shared" si="363"/>
      </c>
      <c r="BJ242" s="49">
        <f t="shared" si="363"/>
      </c>
      <c r="BK242" s="49">
        <f t="shared" si="363"/>
      </c>
      <c r="BL242" s="49">
        <f t="shared" si="363"/>
      </c>
      <c r="BM242" s="49">
        <f t="shared" si="363"/>
      </c>
      <c r="BN242" s="49">
        <f t="shared" si="363"/>
      </c>
      <c r="BO242" s="49">
        <f t="shared" si="363"/>
      </c>
      <c r="BP242" s="49">
        <f t="shared" si="363"/>
      </c>
      <c r="BQ242" s="49">
        <f t="shared" si="363"/>
      </c>
      <c r="BR242" s="49">
        <f t="shared" si="363"/>
      </c>
      <c r="BS242" s="49">
        <f t="shared" si="363"/>
      </c>
      <c r="BT242" s="49">
        <f t="shared" si="363"/>
      </c>
      <c r="BU242" s="49">
        <f t="shared" si="363"/>
      </c>
      <c r="BV242" s="49">
        <f t="shared" si="363"/>
      </c>
      <c r="BW242" s="49">
        <f>BW241/BV241-1</f>
      </c>
      <c r="BX242" s="49">
        <f>BX241/BW241-1</f>
      </c>
      <c r="BY242" s="49">
        <f>BY241/BX241-1</f>
      </c>
      <c r="BZ242" s="341"/>
      <c r="CA242" s="341"/>
      <c r="CB242" s="341"/>
      <c r="CC242" s="341"/>
      <c r="CD242" s="341"/>
      <c r="CE242" s="341"/>
      <c r="CF242" s="341"/>
      <c r="CG242" s="341"/>
      <c r="CH242" s="341"/>
      <c r="CI242" s="341"/>
      <c r="CJ242" s="341"/>
      <c r="CK242" s="341"/>
      <c r="CL242" s="341"/>
      <c r="CM242" s="341"/>
      <c r="CN242" s="341"/>
      <c r="CO242" s="341"/>
      <c r="CP242" s="341"/>
      <c r="CQ242" s="341"/>
      <c r="CR242" s="341"/>
      <c r="CS242" s="341"/>
      <c r="CT242" s="341"/>
      <c r="CU242" s="341"/>
      <c r="CV242" s="341"/>
      <c r="CW242" s="341"/>
      <c r="CX242" s="341"/>
      <c r="CY242" s="341"/>
      <c r="CZ242" s="341"/>
      <c r="DA242" s="341"/>
      <c r="DB242" s="341"/>
      <c r="DC242" s="341"/>
      <c r="DD242" s="341"/>
      <c r="DE242" s="341"/>
      <c r="DX242" s="394"/>
      <c r="DY242" s="394"/>
      <c r="DZ242" s="394"/>
      <c r="EA242" s="398"/>
      <c r="EB242" s="398"/>
      <c r="EC242" s="398"/>
      <c r="ED242" s="398"/>
      <c r="EE242" s="398"/>
      <c r="EF242" s="398"/>
      <c r="EG242" s="398"/>
      <c r="EH242" s="398"/>
      <c r="EJ242" s="344"/>
    </row>
    <row r="243" spans="1:140" s="49" customFormat="1" outlineLevel="1">
      <c r="A243" s="48" t="s">
        <v>198</v>
      </c>
      <c r="BF243" s="49">
        <f>BF241/BB241-1</f>
      </c>
      <c r="BG243" s="49">
        <f>BG241/BC241-1</f>
      </c>
      <c r="BH243" s="49">
        <f>BH241/BD241-1</f>
      </c>
      <c r="BI243" s="49">
        <f>BI241/BE241-1</f>
      </c>
      <c r="BJ243" s="49">
        <f>BJ241/BF241-1</f>
      </c>
      <c r="BK243" s="49">
        <f t="shared" ref="BK243:BV243" si="364">BK241/BG241-1</f>
      </c>
      <c r="BL243" s="49">
        <f t="shared" si="364"/>
      </c>
      <c r="BM243" s="49">
        <f t="shared" si="364"/>
      </c>
      <c r="BN243" s="49">
        <f t="shared" si="364"/>
      </c>
      <c r="BO243" s="49">
        <f t="shared" si="364"/>
      </c>
      <c r="BP243" s="49">
        <f t="shared" si="364"/>
      </c>
      <c r="BQ243" s="49">
        <f t="shared" si="364"/>
      </c>
      <c r="BR243" s="49">
        <f t="shared" si="364"/>
      </c>
      <c r="BS243" s="49">
        <f t="shared" si="364"/>
      </c>
      <c r="BT243" s="49">
        <f t="shared" si="364"/>
      </c>
      <c r="BU243" s="49">
        <f t="shared" si="364"/>
      </c>
      <c r="BV243" s="49">
        <f t="shared" si="364"/>
      </c>
      <c r="BW243" s="49">
        <f>BW241/BS241-1</f>
      </c>
      <c r="BX243" s="49">
        <f>BX241/BT241-1</f>
      </c>
      <c r="BY243" s="49">
        <f>BY241/BU241-1</f>
      </c>
      <c r="BZ243" s="341"/>
      <c r="CA243" s="341"/>
      <c r="CB243" s="341"/>
      <c r="CC243" s="341"/>
      <c r="CD243" s="341"/>
      <c r="CE243" s="341"/>
      <c r="CF243" s="341"/>
      <c r="CG243" s="341"/>
      <c r="CH243" s="341"/>
      <c r="CI243" s="341"/>
      <c r="CJ243" s="341"/>
      <c r="CK243" s="341"/>
      <c r="CL243" s="341"/>
      <c r="CM243" s="341"/>
      <c r="CN243" s="341"/>
      <c r="CO243" s="341"/>
      <c r="CP243" s="341"/>
      <c r="CQ243" s="341"/>
      <c r="CR243" s="341"/>
      <c r="CS243" s="341"/>
      <c r="CT243" s="341"/>
      <c r="CU243" s="341"/>
      <c r="CV243" s="341"/>
      <c r="CW243" s="341"/>
      <c r="CX243" s="341"/>
      <c r="CY243" s="341"/>
      <c r="CZ243" s="341"/>
      <c r="DA243" s="341"/>
      <c r="DB243" s="341"/>
      <c r="DC243" s="341"/>
      <c r="DD243" s="341"/>
      <c r="DE243" s="341"/>
      <c r="DV243" s="49">
        <f>DV241/DU241-1</f>
      </c>
      <c r="DW243" s="49">
        <f>DW241/DV241-1</f>
      </c>
      <c r="DX243" s="49">
        <f>DX241/DW241-1</f>
      </c>
      <c r="DY243" s="49">
        <f>DY241/DX241-1</f>
      </c>
      <c r="DZ243" s="49">
        <f>DZ241/DY241-1</f>
      </c>
      <c r="EA243" s="345"/>
      <c r="EB243" s="345"/>
      <c r="EC243" s="345"/>
      <c r="ED243" s="345"/>
      <c r="EE243" s="345"/>
      <c r="EF243" s="345"/>
      <c r="EG243" s="345"/>
      <c r="EH243" s="345"/>
      <c r="EJ243" s="344"/>
    </row>
    <row r="244" spans="1:140" s="49" customFormat="1" outlineLevel="1">
      <c r="A244" s="48" t="s">
        <v>241</v>
      </c>
      <c r="BB244" s="49">
        <f t="shared" ref="BB244:BY244" si="365">BB241/BB$272</f>
      </c>
      <c r="BC244" s="49">
        <f t="shared" si="365"/>
      </c>
      <c r="BD244" s="49">
        <f t="shared" si="365"/>
      </c>
      <c r="BE244" s="49">
        <f t="shared" si="365"/>
      </c>
      <c r="BF244" s="49">
        <f t="shared" si="365"/>
      </c>
      <c r="BG244" s="49">
        <f t="shared" si="365"/>
      </c>
      <c r="BH244" s="49">
        <f t="shared" si="365"/>
      </c>
      <c r="BI244" s="49">
        <f t="shared" si="365"/>
      </c>
      <c r="BJ244" s="49">
        <f t="shared" si="365"/>
      </c>
      <c r="BK244" s="49">
        <f t="shared" si="365"/>
      </c>
      <c r="BL244" s="49">
        <f t="shared" si="365"/>
      </c>
      <c r="BM244" s="49">
        <f t="shared" si="365"/>
      </c>
      <c r="BN244" s="49">
        <f t="shared" si="365"/>
      </c>
      <c r="BO244" s="49">
        <f t="shared" si="365"/>
      </c>
      <c r="BP244" s="49">
        <f t="shared" si="365"/>
      </c>
      <c r="BQ244" s="49">
        <f t="shared" si="365"/>
      </c>
      <c r="BR244" s="49">
        <f t="shared" si="365"/>
      </c>
      <c r="BS244" s="49">
        <f t="shared" si="365"/>
      </c>
      <c r="BT244" s="49">
        <f t="shared" si="365"/>
      </c>
      <c r="BU244" s="49">
        <f t="shared" si="365"/>
      </c>
      <c r="BV244" s="49">
        <f t="shared" si="365"/>
      </c>
      <c r="BW244" s="49">
        <f t="shared" si="365"/>
      </c>
      <c r="BX244" s="49">
        <f t="shared" si="365"/>
      </c>
      <c r="BY244" s="49">
        <f t="shared" si="365"/>
      </c>
      <c r="BZ244" s="341"/>
      <c r="CA244" s="341"/>
      <c r="CB244" s="341"/>
      <c r="CC244" s="341"/>
      <c r="CD244" s="341"/>
      <c r="CE244" s="341"/>
      <c r="CF244" s="341"/>
      <c r="CG244" s="341"/>
      <c r="CH244" s="341"/>
      <c r="CI244" s="341"/>
      <c r="CJ244" s="341"/>
      <c r="CK244" s="341"/>
      <c r="CL244" s="341"/>
      <c r="CM244" s="341"/>
      <c r="CN244" s="341"/>
      <c r="CO244" s="341"/>
      <c r="CP244" s="341"/>
      <c r="CQ244" s="341"/>
      <c r="CR244" s="341"/>
      <c r="CS244" s="341"/>
      <c r="CT244" s="341"/>
      <c r="CU244" s="341"/>
      <c r="CV244" s="341"/>
      <c r="CW244" s="341"/>
      <c r="CX244" s="341"/>
      <c r="CY244" s="341"/>
      <c r="CZ244" s="341"/>
      <c r="DA244" s="341"/>
      <c r="DB244" s="341"/>
      <c r="DC244" s="341"/>
      <c r="DD244" s="341"/>
      <c r="DE244" s="341"/>
      <c r="EA244" s="341"/>
      <c r="EB244" s="341"/>
      <c r="EC244" s="341"/>
      <c r="ED244" s="341"/>
      <c r="EE244" s="341"/>
      <c r="EF244" s="341"/>
      <c r="EG244" s="341"/>
      <c r="EH244" s="341"/>
    </row>
    <row r="245" spans="1:140" s="47" customFormat="1" outlineLevel="1">
      <c r="A245" s="35" t="s">
        <v>286</v>
      </c>
      <c r="AX245" s="35"/>
      <c r="AY245" s="35"/>
      <c r="AZ245" s="35"/>
      <c r="BA245" s="35"/>
      <c r="BB245" s="35">
        <f t="shared" ref="BB245:BY245" si="366">BB237+BB75</f>
      </c>
      <c r="BC245" s="35">
        <f t="shared" si="366"/>
      </c>
      <c r="BD245" s="35">
        <f t="shared" si="366"/>
      </c>
      <c r="BE245" s="35">
        <f t="shared" si="366"/>
      </c>
      <c r="BF245" s="35">
        <f t="shared" si="366"/>
      </c>
      <c r="BG245" s="35">
        <f t="shared" si="366"/>
      </c>
      <c r="BH245" s="35">
        <f t="shared" si="366"/>
      </c>
      <c r="BI245" s="35">
        <f t="shared" si="366"/>
      </c>
      <c r="BJ245" s="35">
        <f t="shared" si="366"/>
      </c>
      <c r="BK245" s="35">
        <f t="shared" si="366"/>
      </c>
      <c r="BL245" s="35">
        <f t="shared" si="366"/>
      </c>
      <c r="BM245" s="35">
        <f t="shared" si="366"/>
      </c>
      <c r="BN245" s="35">
        <f t="shared" si="366"/>
      </c>
      <c r="BO245" s="35">
        <f t="shared" si="366"/>
      </c>
      <c r="BP245" s="35">
        <f t="shared" si="366"/>
      </c>
      <c r="BQ245" s="35">
        <f t="shared" si="366"/>
      </c>
      <c r="BR245" s="35">
        <f t="shared" si="366"/>
      </c>
      <c r="BS245" s="35">
        <f t="shared" si="366"/>
      </c>
      <c r="BT245" s="35">
        <f t="shared" si="366"/>
      </c>
      <c r="BU245" s="35">
        <f t="shared" si="366"/>
      </c>
      <c r="BV245" s="35">
        <f t="shared" si="366"/>
      </c>
      <c r="BW245" s="35">
        <f t="shared" si="366"/>
      </c>
      <c r="BX245" s="35">
        <f t="shared" si="366"/>
      </c>
      <c r="BY245" s="35">
        <f t="shared" si="366"/>
      </c>
      <c r="BZ245" s="338"/>
      <c r="CA245" s="338"/>
      <c r="CB245" s="338"/>
      <c r="CC245" s="338"/>
      <c r="CD245" s="338"/>
      <c r="CE245" s="338"/>
      <c r="CF245" s="338"/>
      <c r="CG245" s="338"/>
      <c r="CH245" s="338"/>
      <c r="CI245" s="338"/>
      <c r="CJ245" s="338"/>
      <c r="CK245" s="338"/>
      <c r="CL245" s="338"/>
      <c r="CM245" s="338"/>
      <c r="CN245" s="338"/>
      <c r="CO245" s="338"/>
      <c r="CP245" s="338"/>
      <c r="CQ245" s="338"/>
      <c r="CR245" s="338"/>
      <c r="CS245" s="338"/>
      <c r="CT245" s="338"/>
      <c r="CU245" s="338"/>
      <c r="CV245" s="338"/>
      <c r="CW245" s="338"/>
      <c r="CX245" s="338"/>
      <c r="CY245" s="338"/>
      <c r="CZ245" s="338"/>
      <c r="DA245" s="338"/>
      <c r="DB245" s="338"/>
      <c r="DC245" s="338"/>
      <c r="DD245" s="338"/>
      <c r="DE245" s="338"/>
      <c r="DQ245" s="35"/>
      <c r="DR245" s="35"/>
      <c r="DS245" s="35"/>
      <c r="DT245" s="35"/>
      <c r="DU245" s="35">
        <f>SUM(BB245:BE245)</f>
      </c>
      <c r="DV245" s="35">
        <f>SUM(BF245:BI245)</f>
      </c>
      <c r="DW245" s="35">
        <f>SUM(BJ245:BM245)</f>
      </c>
      <c r="DX245" s="35">
        <f>SUM(BN245:BQ245)</f>
      </c>
      <c r="DY245" s="35">
        <f>SUM(BR245:BU245)</f>
      </c>
      <c r="DZ245" s="35">
        <f>BV245+BW245+BX245+BY245</f>
      </c>
      <c r="EA245" s="338"/>
      <c r="EB245" s="338"/>
      <c r="EC245" s="338"/>
      <c r="ED245" s="338"/>
      <c r="EE245" s="338"/>
      <c r="EF245" s="338"/>
      <c r="EG245" s="338"/>
      <c r="EH245" s="338"/>
    </row>
    <row r="246" spans="1:140" ht="11.25" customHeight="1" outlineLevel="1">
      <c r="A246" s="372"/>
      <c r="BB246" s="395">
        <f t="shared" ref="BB246:BY246" si="367">BB245+BB91+BB99+BB127+BB107+BB123</f>
      </c>
      <c r="BC246" s="395">
        <f t="shared" si="367"/>
      </c>
      <c r="BD246" s="395">
        <f t="shared" si="367"/>
      </c>
      <c r="BE246" s="395">
        <f t="shared" si="367"/>
      </c>
      <c r="BF246" s="395">
        <f t="shared" si="367"/>
      </c>
      <c r="BG246" s="395">
        <f t="shared" si="367"/>
      </c>
      <c r="BH246" s="395">
        <f t="shared" si="367"/>
      </c>
      <c r="BI246" s="395">
        <f t="shared" si="367"/>
      </c>
      <c r="BJ246" s="395">
        <f t="shared" si="367"/>
      </c>
      <c r="BK246" s="395">
        <f t="shared" si="367"/>
      </c>
      <c r="BL246" s="395">
        <f t="shared" si="367"/>
      </c>
      <c r="BM246" s="395">
        <f t="shared" si="367"/>
      </c>
      <c r="BN246" s="395">
        <f t="shared" si="367"/>
      </c>
      <c r="BO246" s="395">
        <f t="shared" si="367"/>
      </c>
      <c r="BP246" s="395">
        <f t="shared" si="367"/>
      </c>
      <c r="BQ246" s="395">
        <f t="shared" si="367"/>
      </c>
      <c r="BR246" s="395">
        <f t="shared" si="367"/>
      </c>
      <c r="BS246" s="395">
        <f t="shared" si="367"/>
      </c>
      <c r="BT246" s="395">
        <f t="shared" si="367"/>
      </c>
      <c r="BU246" s="395">
        <f t="shared" si="367"/>
      </c>
      <c r="BV246" s="395">
        <f t="shared" si="367"/>
      </c>
      <c r="BW246" s="395">
        <f t="shared" si="367"/>
      </c>
      <c r="BX246" s="395">
        <f t="shared" si="367"/>
      </c>
      <c r="BY246" s="395">
        <f t="shared" si="367"/>
      </c>
      <c r="BZ246" s="395"/>
      <c r="CA246" s="395"/>
      <c r="CB246" s="395"/>
      <c r="CC246" s="395"/>
      <c r="CD246" s="395"/>
      <c r="CE246" s="395"/>
      <c r="CF246" s="395"/>
      <c r="CG246" s="395"/>
      <c r="CH246" s="395"/>
      <c r="CI246" s="395"/>
      <c r="CJ246" s="395"/>
      <c r="CK246" s="395"/>
      <c r="CL246" s="395"/>
      <c r="CM246" s="395"/>
      <c r="CN246" s="395"/>
      <c r="CO246" s="395"/>
      <c r="CP246" s="395"/>
      <c r="CQ246" s="395"/>
      <c r="CR246" s="395"/>
      <c r="CS246" s="395"/>
      <c r="CT246" s="395"/>
      <c r="CU246" s="395"/>
      <c r="CV246" s="395"/>
      <c r="CW246" s="395"/>
      <c r="CX246" s="395"/>
      <c r="CY246" s="395"/>
      <c r="CZ246" s="395"/>
      <c r="DA246" s="395"/>
      <c r="DB246" s="395"/>
      <c r="DC246" s="395"/>
      <c r="DD246" s="395"/>
      <c r="DE246" s="395"/>
    </row>
    <row r="247" spans="1:140" ht="11.25" customHeight="1" outlineLevel="1">
      <c r="A247" s="372"/>
      <c r="BB247" s="370">
        <f t="shared" ref="BB247:BY247" si="368">BB246-BB5</f>
      </c>
      <c r="BC247" s="370">
        <f t="shared" si="368"/>
      </c>
      <c r="BD247" s="370">
        <f t="shared" si="368"/>
      </c>
      <c r="BE247" s="370">
        <f t="shared" si="368"/>
      </c>
      <c r="BF247" s="370">
        <f t="shared" si="368"/>
      </c>
      <c r="BG247" s="370">
        <f t="shared" si="368"/>
      </c>
      <c r="BH247" s="370">
        <f t="shared" si="368"/>
      </c>
      <c r="BI247" s="370">
        <f t="shared" si="368"/>
      </c>
      <c r="BJ247" s="370">
        <f t="shared" si="368"/>
      </c>
      <c r="BK247" s="370">
        <f t="shared" si="368"/>
      </c>
      <c r="BL247" s="370">
        <f t="shared" si="368"/>
      </c>
      <c r="BM247" s="370">
        <f t="shared" si="368"/>
      </c>
      <c r="BN247" s="370">
        <f t="shared" si="368"/>
      </c>
      <c r="BO247" s="370">
        <f t="shared" si="368"/>
      </c>
      <c r="BP247" s="370">
        <f t="shared" si="368"/>
      </c>
      <c r="BQ247" s="370">
        <f t="shared" si="368"/>
      </c>
      <c r="BR247" s="370">
        <f t="shared" si="368"/>
      </c>
      <c r="BS247" s="370">
        <f t="shared" si="368"/>
      </c>
      <c r="BT247" s="370">
        <f t="shared" si="368"/>
      </c>
      <c r="BU247" s="370">
        <f t="shared" si="368"/>
      </c>
      <c r="BV247" s="370">
        <f t="shared" si="368"/>
      </c>
      <c r="BW247" s="370">
        <f t="shared" si="368"/>
      </c>
      <c r="BX247" s="370">
        <f t="shared" si="368"/>
      </c>
      <c r="BY247" s="370">
        <f t="shared" si="368"/>
      </c>
      <c r="BZ247" s="370"/>
      <c r="CA247" s="370"/>
      <c r="CB247" s="370"/>
      <c r="CC247" s="370"/>
      <c r="CD247" s="370"/>
      <c r="CE247" s="370"/>
      <c r="CF247" s="370"/>
      <c r="CG247" s="370"/>
      <c r="CH247" s="370"/>
      <c r="CI247" s="370"/>
      <c r="CJ247" s="370"/>
      <c r="CK247" s="370"/>
      <c r="CL247" s="370"/>
      <c r="CM247" s="370"/>
      <c r="CN247" s="370"/>
      <c r="CO247" s="370"/>
      <c r="CP247" s="370"/>
      <c r="CQ247" s="370"/>
      <c r="CR247" s="370"/>
      <c r="CS247" s="370"/>
      <c r="CT247" s="370"/>
      <c r="CU247" s="370"/>
      <c r="CV247" s="370"/>
      <c r="CW247" s="370"/>
      <c r="CX247" s="370"/>
      <c r="CY247" s="370"/>
      <c r="CZ247" s="370"/>
      <c r="DA247" s="370"/>
      <c r="DB247" s="370"/>
      <c r="DC247" s="370"/>
      <c r="DD247" s="370"/>
      <c r="DE247" s="370"/>
    </row>
    <row r="248" spans="1:140" ht="11.25" customHeight="1" outlineLevel="1">
      <c r="A248" s="372"/>
      <c r="BB248" s="370"/>
      <c r="BC248" s="370"/>
      <c r="BD248" s="370"/>
      <c r="BE248" s="370"/>
      <c r="BF248" s="370"/>
      <c r="BG248" s="370"/>
      <c r="BH248" s="370"/>
      <c r="BI248" s="370"/>
      <c r="BJ248" s="370"/>
      <c r="BK248" s="370"/>
      <c r="BL248" s="370"/>
      <c r="BM248" s="370"/>
      <c r="BN248" s="370"/>
      <c r="BO248" s="370"/>
      <c r="BP248" s="370"/>
      <c r="BQ248" s="370"/>
      <c r="BR248" s="370"/>
      <c r="BS248" s="370"/>
      <c r="BT248" s="370"/>
      <c r="BU248" s="370"/>
      <c r="BV248" s="370"/>
      <c r="BW248" s="370"/>
      <c r="BX248" s="370"/>
      <c r="BY248" s="370"/>
      <c r="BZ248" s="370"/>
      <c r="CA248" s="370"/>
      <c r="CB248" s="370"/>
      <c r="CC248" s="370"/>
      <c r="CD248" s="370"/>
      <c r="CE248" s="370"/>
      <c r="CF248" s="370"/>
      <c r="CG248" s="370"/>
      <c r="CH248" s="370"/>
      <c r="CI248" s="370"/>
      <c r="CJ248" s="370"/>
      <c r="CK248" s="370"/>
      <c r="CL248" s="370"/>
      <c r="CM248" s="370"/>
      <c r="CN248" s="370"/>
      <c r="CO248" s="370"/>
      <c r="CP248" s="370"/>
      <c r="CQ248" s="370"/>
      <c r="CR248" s="370"/>
      <c r="CS248" s="370"/>
      <c r="CT248" s="370"/>
      <c r="CU248" s="370"/>
      <c r="CV248" s="370"/>
      <c r="CW248" s="370"/>
      <c r="CX248" s="370"/>
      <c r="CY248" s="370"/>
      <c r="CZ248" s="370"/>
      <c r="DA248" s="370"/>
      <c r="DB248" s="370"/>
      <c r="DC248" s="370"/>
      <c r="DD248" s="370"/>
      <c r="DE248" s="370"/>
    </row>
    <row r="249" spans="1:140" s="47" customFormat="1" outlineLevel="1">
      <c r="A249" s="35" t="s">
        <v>287</v>
      </c>
      <c r="AX249" s="35"/>
      <c r="AY249" s="35"/>
      <c r="AZ249" s="35"/>
      <c r="BA249" s="35"/>
      <c r="BB249" s="35"/>
      <c r="BC249" s="35"/>
      <c r="BD249" s="35"/>
      <c r="BE249" s="35"/>
      <c r="BF249" s="35"/>
      <c r="BG249" s="35"/>
      <c r="BH249" s="35"/>
      <c r="BI249" s="35"/>
      <c r="BJ249" s="35"/>
      <c r="BK249" s="35"/>
      <c r="BL249" s="35"/>
      <c r="BM249" s="35"/>
      <c r="BN249" s="35"/>
      <c r="BO249" s="35"/>
      <c r="BP249" s="35"/>
      <c r="BQ249" s="35"/>
      <c r="BR249" s="35"/>
      <c r="BS249" s="35"/>
      <c r="BT249" s="35"/>
      <c r="BU249" s="35"/>
      <c r="BV249" s="35">
        <v>1526</v>
      </c>
      <c r="BW249" s="35">
        <v>1803</v>
      </c>
      <c r="BX249" s="35">
        <v>2226</v>
      </c>
      <c r="BY249" s="35">
        <v>2084</v>
      </c>
      <c r="BZ249" s="35">
        <v>1906</v>
      </c>
      <c r="CA249" s="35">
        <v>2085</v>
      </c>
      <c r="CB249" s="35">
        <v>2787</v>
      </c>
      <c r="CC249" s="35">
        <v>3056</v>
      </c>
      <c r="CD249" s="35">
        <v>3451</v>
      </c>
      <c r="CE249" s="35">
        <v>3907</v>
      </c>
      <c r="CF249" s="35">
        <v>4092</v>
      </c>
      <c r="CG249" s="35">
        <v>4418</v>
      </c>
      <c r="CH249" s="35">
        <v>4616</v>
      </c>
      <c r="CI249" s="338"/>
      <c r="CJ249" s="338"/>
      <c r="CK249" s="338"/>
      <c r="CL249" s="338"/>
      <c r="CM249" s="338"/>
      <c r="CN249" s="338"/>
      <c r="CO249" s="338"/>
      <c r="CP249" s="338"/>
      <c r="CQ249" s="338"/>
      <c r="CR249" s="338"/>
      <c r="CS249" s="338"/>
      <c r="CT249" s="338"/>
      <c r="CU249" s="338"/>
      <c r="CV249" s="338"/>
      <c r="CW249" s="338"/>
      <c r="CX249" s="338"/>
      <c r="CY249" s="338"/>
      <c r="CZ249" s="338"/>
      <c r="DA249" s="338"/>
      <c r="DB249" s="338"/>
      <c r="DC249" s="338"/>
      <c r="DD249" s="338"/>
      <c r="DE249" s="338"/>
      <c r="DQ249" s="35"/>
      <c r="DR249" s="35"/>
      <c r="DS249" s="35"/>
      <c r="DT249" s="35">
        <f>SUM(AX249:BA249)</f>
      </c>
      <c r="DU249" s="35">
        <f>SUM(BB249:BE249)</f>
      </c>
      <c r="DV249" s="35">
        <f>SUM(BF249:BI249)</f>
      </c>
      <c r="DW249" s="35">
        <f>SUM(BJ249:BM249)</f>
      </c>
      <c r="DX249" s="35">
        <f>SUM(BN249:BQ249)</f>
      </c>
      <c r="DY249" s="35"/>
      <c r="DZ249" s="35"/>
      <c r="EA249" s="338"/>
      <c r="EB249" s="338"/>
      <c r="EC249" s="338"/>
      <c r="ED249" s="338"/>
      <c r="EE249" s="338"/>
      <c r="EF249" s="338"/>
      <c r="EG249" s="338"/>
      <c r="EH249" s="338"/>
    </row>
    <row r="250" spans="1:140" s="49" customFormat="1" outlineLevel="1">
      <c r="A250" s="48" t="s">
        <v>196</v>
      </c>
      <c r="BW250" s="49">
        <f t="shared" ref="BW250:CH250" si="369">BW249/BV249-1</f>
      </c>
      <c r="BX250" s="49">
        <f t="shared" si="369"/>
      </c>
      <c r="BY250" s="49">
        <f t="shared" si="369"/>
      </c>
      <c r="BZ250" s="49">
        <f t="shared" si="369"/>
      </c>
      <c r="CA250" s="49">
        <f t="shared" si="369"/>
      </c>
      <c r="CB250" s="49">
        <f t="shared" si="369"/>
      </c>
      <c r="CC250" s="49">
        <f t="shared" si="369"/>
      </c>
      <c r="CD250" s="49">
        <f t="shared" si="369"/>
      </c>
      <c r="CE250" s="49">
        <f t="shared" si="369"/>
      </c>
      <c r="CF250" s="49">
        <f t="shared" si="369"/>
      </c>
      <c r="CG250" s="49">
        <f t="shared" si="369"/>
      </c>
      <c r="CH250" s="49">
        <f t="shared" si="369"/>
      </c>
      <c r="CI250" s="341"/>
      <c r="CJ250" s="341"/>
      <c r="CK250" s="341"/>
      <c r="CL250" s="341"/>
      <c r="CM250" s="341"/>
      <c r="CN250" s="341"/>
      <c r="CO250" s="341"/>
      <c r="CP250" s="341"/>
      <c r="CQ250" s="341"/>
      <c r="CR250" s="341"/>
      <c r="CS250" s="341"/>
      <c r="CT250" s="341"/>
      <c r="CU250" s="341"/>
      <c r="CV250" s="341"/>
      <c r="CW250" s="341"/>
      <c r="CX250" s="341"/>
      <c r="CY250" s="341"/>
      <c r="CZ250" s="341"/>
      <c r="DA250" s="341"/>
      <c r="DB250" s="341"/>
      <c r="DC250" s="341"/>
      <c r="DD250" s="341"/>
      <c r="DE250" s="341"/>
      <c r="DQ250" s="62"/>
      <c r="DR250" s="62"/>
      <c r="DS250" s="62"/>
      <c r="DT250" s="62"/>
      <c r="DU250" s="62"/>
      <c r="DV250" s="394"/>
      <c r="DW250" s="394"/>
      <c r="DX250" s="394"/>
      <c r="DY250" s="394"/>
      <c r="DZ250" s="394"/>
      <c r="EA250" s="398"/>
      <c r="EB250" s="398"/>
      <c r="EC250" s="398"/>
      <c r="ED250" s="398"/>
      <c r="EE250" s="398"/>
      <c r="EF250" s="398"/>
      <c r="EG250" s="398"/>
      <c r="EH250" s="398"/>
      <c r="EJ250" s="344"/>
    </row>
    <row r="251" spans="1:140" s="49" customFormat="1" outlineLevel="1">
      <c r="A251" s="48" t="s">
        <v>198</v>
      </c>
      <c r="BW251" s="49" t="e">
        <f t="shared" ref="BW251:CH251" si="370">BW249/BS249-1</f>
      </c>
      <c r="BX251" s="49" t="e">
        <f t="shared" si="370"/>
      </c>
      <c r="BY251" s="49" t="e">
        <f t="shared" si="370"/>
      </c>
      <c r="BZ251" s="49">
        <f t="shared" si="370"/>
      </c>
      <c r="CA251" s="49">
        <f t="shared" si="370"/>
      </c>
      <c r="CB251" s="49">
        <f t="shared" si="370"/>
      </c>
      <c r="CC251" s="49">
        <f t="shared" si="370"/>
      </c>
      <c r="CD251" s="49">
        <f t="shared" si="370"/>
      </c>
      <c r="CE251" s="49">
        <f t="shared" si="370"/>
      </c>
      <c r="CF251" s="49">
        <f t="shared" si="370"/>
      </c>
      <c r="CG251" s="49">
        <f t="shared" si="370"/>
      </c>
      <c r="CH251" s="49">
        <f t="shared" si="370"/>
      </c>
      <c r="CI251" s="341"/>
      <c r="CJ251" s="341"/>
      <c r="CK251" s="341"/>
      <c r="CL251" s="341"/>
      <c r="CM251" s="341"/>
      <c r="CN251" s="341"/>
      <c r="CO251" s="341"/>
      <c r="CP251" s="341"/>
      <c r="CQ251" s="341"/>
      <c r="CR251" s="341"/>
      <c r="CS251" s="341"/>
      <c r="CT251" s="341"/>
      <c r="CU251" s="341"/>
      <c r="CV251" s="341"/>
      <c r="CW251" s="341"/>
      <c r="CX251" s="341"/>
      <c r="CY251" s="341"/>
      <c r="CZ251" s="341"/>
      <c r="DA251" s="341"/>
      <c r="DB251" s="341"/>
      <c r="DC251" s="341"/>
      <c r="DD251" s="341"/>
      <c r="DE251" s="341"/>
      <c r="DQ251" s="62"/>
      <c r="DR251" s="62"/>
      <c r="DS251" s="62"/>
      <c r="DT251" s="62"/>
      <c r="DU251" s="394" t="e">
        <f>DU249/DT249-1</f>
      </c>
      <c r="DV251" s="49" t="e">
        <f>DV249/DU249-1</f>
      </c>
      <c r="DW251" s="49" t="e">
        <f>DW249/DV249-1</f>
      </c>
      <c r="DX251" s="49" t="e">
        <f>DX249/DW249-1</f>
      </c>
      <c r="EA251" s="345"/>
      <c r="EB251" s="345"/>
      <c r="EC251" s="345"/>
      <c r="ED251" s="345"/>
      <c r="EE251" s="345"/>
      <c r="EF251" s="345"/>
      <c r="EG251" s="345"/>
      <c r="EH251" s="345"/>
      <c r="EJ251" s="344"/>
    </row>
    <row r="252" spans="1:140" s="49" customFormat="1" outlineLevel="1">
      <c r="A252" s="48" t="s">
        <v>241</v>
      </c>
      <c r="AX252" s="49">
        <f>AX249/AX$272</f>
      </c>
      <c r="BV252" s="49">
        <f>BV249/BV$272</f>
      </c>
      <c r="BW252" s="49">
        <f>BW249/BW$272</f>
      </c>
      <c r="BX252" s="49">
        <f>BX249/BX$272</f>
      </c>
      <c r="BY252" s="49">
        <f>BY249/BY$272</f>
      </c>
      <c r="BZ252" s="55">
        <f t="shared" ref="BZ252:CE252" si="371">BZ249/BZ$5</f>
      </c>
      <c r="CA252" s="55">
        <f t="shared" si="371"/>
      </c>
      <c r="CB252" s="55">
        <f t="shared" si="371"/>
      </c>
      <c r="CC252" s="55">
        <f t="shared" si="371"/>
      </c>
      <c r="CD252" s="55">
        <f t="shared" si="371"/>
      </c>
      <c r="CE252" s="55">
        <f t="shared" si="371"/>
      </c>
      <c r="CF252" s="55">
        <f>CF249/CF$5</f>
      </c>
      <c r="CG252" s="55">
        <f>CG249/CG$5</f>
      </c>
      <c r="CH252" s="55">
        <f>CH249/CH$5</f>
      </c>
      <c r="CI252" s="341"/>
      <c r="CJ252" s="341"/>
      <c r="CK252" s="341"/>
      <c r="CL252" s="341"/>
      <c r="CM252" s="341"/>
      <c r="CN252" s="341"/>
      <c r="CO252" s="341"/>
      <c r="CP252" s="341"/>
      <c r="CQ252" s="341"/>
      <c r="CR252" s="341"/>
      <c r="CS252" s="341"/>
      <c r="CT252" s="341"/>
      <c r="CU252" s="341"/>
      <c r="CV252" s="341"/>
      <c r="CW252" s="341"/>
      <c r="CX252" s="341"/>
      <c r="CY252" s="341"/>
      <c r="CZ252" s="341"/>
      <c r="DA252" s="341"/>
      <c r="DB252" s="341"/>
      <c r="DC252" s="341"/>
      <c r="DD252" s="341"/>
      <c r="DE252" s="341"/>
      <c r="DQ252" s="62"/>
      <c r="DR252" s="62"/>
      <c r="DS252" s="62"/>
      <c r="DT252" s="394">
        <f>DT249/DT$272</f>
      </c>
      <c r="DU252" s="394">
        <f>DU249/DU$272</f>
      </c>
      <c r="DV252" s="49">
        <f>DV249/DV$272</f>
      </c>
      <c r="DW252" s="49">
        <f>DW249/DW$272</f>
      </c>
      <c r="DX252" s="49">
        <f>DX249/DX$272</f>
      </c>
      <c r="EA252" s="341"/>
      <c r="EB252" s="341"/>
      <c r="EC252" s="341"/>
      <c r="ED252" s="341"/>
      <c r="EE252" s="341"/>
      <c r="EF252" s="341"/>
      <c r="EG252" s="341"/>
      <c r="EH252" s="341"/>
    </row>
    <row r="253" spans="1:140" s="47" customFormat="1" outlineLevel="1">
      <c r="A253" s="35" t="s">
        <v>288</v>
      </c>
      <c r="AX253" s="35"/>
      <c r="AY253" s="35"/>
      <c r="AZ253" s="35"/>
      <c r="BA253" s="35"/>
      <c r="BB253" s="35"/>
      <c r="BC253" s="35"/>
      <c r="BD253" s="35"/>
      <c r="BE253" s="35"/>
      <c r="BF253" s="35"/>
      <c r="BG253" s="35"/>
      <c r="BH253" s="35"/>
      <c r="BI253" s="35"/>
      <c r="BJ253" s="35"/>
      <c r="BK253" s="35"/>
      <c r="BL253" s="35"/>
      <c r="BM253" s="35"/>
      <c r="BN253" s="35"/>
      <c r="BO253" s="35"/>
      <c r="BP253" s="35"/>
      <c r="BQ253" s="35"/>
      <c r="BR253" s="35"/>
      <c r="BS253" s="35"/>
      <c r="BT253" s="35"/>
      <c r="BU253" s="35"/>
      <c r="BV253" s="35">
        <v>694</v>
      </c>
      <c r="BW253" s="35">
        <v>776</v>
      </c>
      <c r="BX253" s="35">
        <v>788</v>
      </c>
      <c r="BY253" s="35">
        <v>1021</v>
      </c>
      <c r="BZ253" s="35">
        <v>1174</v>
      </c>
      <c r="CA253" s="35">
        <v>1781</v>
      </c>
      <c r="CB253" s="35">
        <v>1939</v>
      </c>
      <c r="CC253" s="35">
        <v>1947</v>
      </c>
      <c r="CD253" s="35">
        <v>2210</v>
      </c>
      <c r="CE253" s="35">
        <v>2600</v>
      </c>
      <c r="CF253" s="35">
        <v>3011</v>
      </c>
      <c r="CG253" s="35">
        <v>3225</v>
      </c>
      <c r="CH253" s="35">
        <v>3672</v>
      </c>
      <c r="CI253" s="338"/>
      <c r="CJ253" s="338"/>
      <c r="CK253" s="338"/>
      <c r="CL253" s="338"/>
      <c r="CM253" s="338"/>
      <c r="CN253" s="338"/>
      <c r="CO253" s="338"/>
      <c r="CP253" s="338"/>
      <c r="CQ253" s="338"/>
      <c r="CR253" s="338"/>
      <c r="CS253" s="338"/>
      <c r="CT253" s="338"/>
      <c r="CU253" s="338"/>
      <c r="CV253" s="338"/>
      <c r="CW253" s="338"/>
      <c r="CX253" s="338"/>
      <c r="CY253" s="338"/>
      <c r="CZ253" s="338"/>
      <c r="DA253" s="338"/>
      <c r="DB253" s="338"/>
      <c r="DC253" s="338"/>
      <c r="DD253" s="338"/>
      <c r="DE253" s="338"/>
      <c r="DQ253" s="35"/>
      <c r="DR253" s="35"/>
      <c r="DS253" s="35"/>
      <c r="DT253" s="35">
        <f>SUM(AX253:BA253)</f>
      </c>
      <c r="DU253" s="35">
        <f>SUM(BB253:BE253)</f>
      </c>
      <c r="DV253" s="35">
        <f>SUM(BF253:BI253)</f>
      </c>
      <c r="DW253" s="35">
        <f>SUM(BJ253:BM253)</f>
      </c>
      <c r="DX253" s="35">
        <f>SUM(BN253:BQ253)</f>
      </c>
      <c r="DY253" s="35"/>
      <c r="DZ253" s="35"/>
      <c r="EA253" s="338"/>
      <c r="EB253" s="338"/>
      <c r="EC253" s="338"/>
      <c r="ED253" s="338"/>
      <c r="EE253" s="338"/>
      <c r="EF253" s="338"/>
      <c r="EG253" s="338"/>
      <c r="EH253" s="338"/>
    </row>
    <row r="254" spans="1:140" s="49" customFormat="1" outlineLevel="1">
      <c r="A254" s="48" t="s">
        <v>196</v>
      </c>
      <c r="BW254" s="49">
        <f t="shared" ref="BW254:CH254" si="372">BW253/BV253-1</f>
      </c>
      <c r="BX254" s="49">
        <f t="shared" si="372"/>
      </c>
      <c r="BY254" s="49">
        <f t="shared" si="372"/>
      </c>
      <c r="BZ254" s="49">
        <f t="shared" si="372"/>
      </c>
      <c r="CA254" s="49">
        <f t="shared" si="372"/>
      </c>
      <c r="CB254" s="49">
        <f t="shared" si="372"/>
      </c>
      <c r="CC254" s="49">
        <f t="shared" si="372"/>
      </c>
      <c r="CD254" s="49">
        <f t="shared" si="372"/>
      </c>
      <c r="CE254" s="49">
        <f t="shared" si="372"/>
      </c>
      <c r="CF254" s="49">
        <f t="shared" si="372"/>
      </c>
      <c r="CG254" s="49">
        <f t="shared" si="372"/>
      </c>
      <c r="CH254" s="49">
        <f t="shared" si="372"/>
      </c>
      <c r="CI254" s="341"/>
      <c r="CJ254" s="341"/>
      <c r="CK254" s="341"/>
      <c r="CL254" s="341"/>
      <c r="CM254" s="341"/>
      <c r="CN254" s="341"/>
      <c r="CO254" s="341"/>
      <c r="CP254" s="341"/>
      <c r="CQ254" s="341"/>
      <c r="CR254" s="341"/>
      <c r="CS254" s="341"/>
      <c r="CT254" s="341"/>
      <c r="CU254" s="341"/>
      <c r="CV254" s="341"/>
      <c r="CW254" s="341"/>
      <c r="CX254" s="341"/>
      <c r="CY254" s="341"/>
      <c r="CZ254" s="341"/>
      <c r="DA254" s="341"/>
      <c r="DB254" s="341"/>
      <c r="DC254" s="341"/>
      <c r="DD254" s="341"/>
      <c r="DE254" s="341"/>
      <c r="DQ254" s="62"/>
      <c r="DR254" s="62"/>
      <c r="DS254" s="62"/>
      <c r="DT254" s="62"/>
      <c r="DU254" s="62"/>
      <c r="DV254" s="394"/>
      <c r="DW254" s="394"/>
      <c r="DX254" s="394"/>
      <c r="DY254" s="394"/>
      <c r="DZ254" s="394"/>
      <c r="EA254" s="398"/>
      <c r="EB254" s="398"/>
      <c r="EC254" s="398"/>
      <c r="ED254" s="398"/>
      <c r="EE254" s="398"/>
      <c r="EF254" s="398"/>
      <c r="EG254" s="398"/>
      <c r="EH254" s="398"/>
      <c r="EJ254" s="344"/>
    </row>
    <row r="255" spans="1:140" s="49" customFormat="1" outlineLevel="1">
      <c r="A255" s="48" t="s">
        <v>198</v>
      </c>
      <c r="BW255" s="49" t="e">
        <f t="shared" ref="BW255:CH255" si="373">BW253/BS253-1</f>
      </c>
      <c r="BX255" s="49" t="e">
        <f t="shared" si="373"/>
      </c>
      <c r="BY255" s="49" t="e">
        <f t="shared" si="373"/>
      </c>
      <c r="BZ255" s="49">
        <f t="shared" si="373"/>
      </c>
      <c r="CA255" s="49">
        <f t="shared" si="373"/>
      </c>
      <c r="CB255" s="49">
        <f t="shared" si="373"/>
      </c>
      <c r="CC255" s="49">
        <f t="shared" si="373"/>
      </c>
      <c r="CD255" s="49">
        <f t="shared" si="373"/>
      </c>
      <c r="CE255" s="49">
        <f t="shared" si="373"/>
      </c>
      <c r="CF255" s="49">
        <f t="shared" si="373"/>
      </c>
      <c r="CG255" s="49">
        <f t="shared" si="373"/>
      </c>
      <c r="CH255" s="49">
        <f t="shared" si="373"/>
      </c>
      <c r="CI255" s="341"/>
      <c r="CJ255" s="341"/>
      <c r="CK255" s="341"/>
      <c r="CL255" s="341"/>
      <c r="CM255" s="341"/>
      <c r="CN255" s="341"/>
      <c r="CO255" s="341"/>
      <c r="CP255" s="341"/>
      <c r="CQ255" s="341"/>
      <c r="CR255" s="341"/>
      <c r="CS255" s="341"/>
      <c r="CT255" s="341"/>
      <c r="CU255" s="341"/>
      <c r="CV255" s="341"/>
      <c r="CW255" s="341"/>
      <c r="CX255" s="341"/>
      <c r="CY255" s="341"/>
      <c r="CZ255" s="341"/>
      <c r="DA255" s="341"/>
      <c r="DB255" s="341"/>
      <c r="DC255" s="341"/>
      <c r="DD255" s="341"/>
      <c r="DE255" s="341"/>
      <c r="DQ255" s="62"/>
      <c r="DR255" s="62"/>
      <c r="DS255" s="62"/>
      <c r="DT255" s="62"/>
      <c r="DU255" s="394" t="e">
        <f>DU253/DT253-1</f>
      </c>
      <c r="DV255" s="49" t="e">
        <f>DV253/DU253-1</f>
      </c>
      <c r="DW255" s="49" t="e">
        <f>DW253/DV253-1</f>
      </c>
      <c r="DX255" s="49" t="e">
        <f>DX253/DW253-1</f>
      </c>
      <c r="EA255" s="345"/>
      <c r="EB255" s="345"/>
      <c r="EC255" s="345"/>
      <c r="ED255" s="345"/>
      <c r="EE255" s="345"/>
      <c r="EF255" s="345"/>
      <c r="EG255" s="345"/>
      <c r="EH255" s="345"/>
      <c r="EJ255" s="344"/>
    </row>
    <row r="256" spans="1:140" s="49" customFormat="1" outlineLevel="1">
      <c r="A256" s="48" t="s">
        <v>241</v>
      </c>
      <c r="AX256" s="49">
        <f>AX253/AX$272</f>
      </c>
      <c r="BV256" s="49">
        <f>BV253/BV$272</f>
      </c>
      <c r="BW256" s="49">
        <f>BW253/BW$272</f>
      </c>
      <c r="BX256" s="49">
        <f>BX253/BX$272</f>
      </c>
      <c r="BY256" s="49">
        <f>BY253/BY$272</f>
      </c>
      <c r="BZ256" s="55">
        <f t="shared" ref="BZ256:CE256" si="374">BZ253/BZ$5</f>
      </c>
      <c r="CA256" s="55">
        <f t="shared" si="374"/>
      </c>
      <c r="CB256" s="55">
        <f t="shared" si="374"/>
      </c>
      <c r="CC256" s="55">
        <f t="shared" si="374"/>
      </c>
      <c r="CD256" s="55">
        <f t="shared" si="374"/>
      </c>
      <c r="CE256" s="55">
        <f t="shared" si="374"/>
      </c>
      <c r="CF256" s="55">
        <f>CF253/CF$5</f>
      </c>
      <c r="CG256" s="55">
        <f>CG253/CG$5</f>
      </c>
      <c r="CH256" s="55">
        <f>CH253/CH$5</f>
      </c>
      <c r="CI256" s="341"/>
      <c r="CJ256" s="341"/>
      <c r="CK256" s="341"/>
      <c r="CL256" s="341"/>
      <c r="CM256" s="341"/>
      <c r="CN256" s="341"/>
      <c r="CO256" s="341"/>
      <c r="CP256" s="341"/>
      <c r="CQ256" s="341"/>
      <c r="CR256" s="341"/>
      <c r="CS256" s="341"/>
      <c r="CT256" s="341"/>
      <c r="CU256" s="341"/>
      <c r="CV256" s="341"/>
      <c r="CW256" s="341"/>
      <c r="CX256" s="341"/>
      <c r="CY256" s="341"/>
      <c r="CZ256" s="341"/>
      <c r="DA256" s="341"/>
      <c r="DB256" s="341"/>
      <c r="DC256" s="341"/>
      <c r="DD256" s="341"/>
      <c r="DE256" s="341"/>
      <c r="DQ256" s="62"/>
      <c r="DR256" s="62"/>
      <c r="DS256" s="62"/>
      <c r="DT256" s="394">
        <f>DT253/DT$272</f>
      </c>
      <c r="DU256" s="394">
        <f>DU253/DU$272</f>
      </c>
      <c r="DV256" s="49">
        <f>DV253/DV$272</f>
      </c>
      <c r="DW256" s="49">
        <f>DW253/DW$272</f>
      </c>
      <c r="DX256" s="49">
        <f>DX253/DX$272</f>
      </c>
      <c r="EA256" s="341"/>
      <c r="EB256" s="341"/>
      <c r="EC256" s="341"/>
      <c r="ED256" s="341"/>
      <c r="EE256" s="341"/>
      <c r="EF256" s="341"/>
      <c r="EG256" s="341"/>
      <c r="EH256" s="341"/>
    </row>
    <row r="257" spans="1:140" ht="11.25" customHeight="1" outlineLevel="1">
      <c r="A257" s="372"/>
      <c r="BB257" s="370"/>
      <c r="BC257" s="370"/>
      <c r="BD257" s="370"/>
      <c r="BE257" s="370"/>
      <c r="BF257" s="370"/>
      <c r="BG257" s="370"/>
      <c r="BH257" s="370"/>
      <c r="BI257" s="370"/>
      <c r="BJ257" s="370"/>
      <c r="BK257" s="370"/>
      <c r="BL257" s="370"/>
      <c r="BM257" s="370"/>
      <c r="BN257" s="370"/>
      <c r="BO257" s="370"/>
      <c r="BP257" s="370"/>
      <c r="BQ257" s="370"/>
      <c r="BR257" s="370"/>
      <c r="BS257" s="370"/>
      <c r="BT257" s="370"/>
      <c r="BU257" s="370"/>
      <c r="BV257" s="370"/>
      <c r="BW257" s="370"/>
      <c r="BX257" s="370"/>
      <c r="BY257" s="370"/>
      <c r="BZ257" s="370"/>
      <c r="CA257" s="370"/>
      <c r="CB257" s="370"/>
      <c r="CC257" s="392"/>
      <c r="CD257" s="370"/>
      <c r="CE257" s="370"/>
      <c r="CF257" s="370"/>
      <c r="CG257" s="370"/>
      <c r="CH257" s="370"/>
      <c r="CI257" s="370"/>
      <c r="CJ257" s="370"/>
      <c r="CK257" s="370"/>
      <c r="CL257" s="370"/>
      <c r="CM257" s="370"/>
      <c r="CN257" s="370"/>
      <c r="CO257" s="370"/>
      <c r="CP257" s="370"/>
      <c r="CQ257" s="370"/>
      <c r="CR257" s="370"/>
      <c r="CS257" s="370"/>
      <c r="CT257" s="370"/>
      <c r="CU257" s="370"/>
      <c r="CV257" s="370"/>
      <c r="CW257" s="370"/>
      <c r="CX257" s="370"/>
      <c r="CY257" s="370"/>
      <c r="CZ257" s="370"/>
      <c r="DA257" s="370"/>
      <c r="DB257" s="370"/>
      <c r="DC257" s="370"/>
      <c r="DD257" s="370"/>
      <c r="DE257" s="370"/>
    </row>
    <row r="258" spans="1:140" outlineLevel="1">
      <c r="A258" s="73" t="s">
        <v>289</v>
      </c>
      <c r="BB258" s="339"/>
      <c r="BC258" s="339"/>
      <c r="BD258" s="339"/>
      <c r="BE258" s="339"/>
      <c r="BF258" s="339"/>
      <c r="BG258" s="339"/>
      <c r="BH258" s="339"/>
      <c r="BI258" s="339"/>
      <c r="BJ258" s="339"/>
      <c r="BK258" s="339"/>
      <c r="BL258" s="339"/>
      <c r="BM258" s="339"/>
      <c r="BN258" s="339"/>
      <c r="BO258" s="339"/>
      <c r="BP258" s="339"/>
      <c r="BQ258" s="339"/>
      <c r="BR258" s="339"/>
      <c r="BS258" s="339"/>
      <c r="BT258" s="339"/>
      <c r="BU258" s="339"/>
      <c r="BV258" s="339"/>
      <c r="BW258" s="339"/>
      <c r="BX258" s="339"/>
      <c r="BY258" s="339"/>
      <c r="BZ258" s="339"/>
      <c r="CA258" s="339"/>
      <c r="CB258" s="339"/>
      <c r="CC258" s="339"/>
      <c r="CD258" s="339"/>
      <c r="CE258" s="339"/>
      <c r="CF258" s="339"/>
      <c r="CG258" s="339"/>
      <c r="CH258" s="339"/>
      <c r="CI258" s="339"/>
      <c r="CJ258" s="339"/>
      <c r="CK258" s="339"/>
      <c r="CL258" s="339"/>
      <c r="CM258" s="339"/>
      <c r="CN258" s="339"/>
      <c r="CO258" s="339"/>
      <c r="CP258" s="339"/>
      <c r="CQ258" s="339"/>
      <c r="CR258" s="339"/>
      <c r="CS258" s="339"/>
      <c r="CT258" s="339"/>
      <c r="CU258" s="339"/>
      <c r="CV258" s="339"/>
      <c r="CW258" s="339"/>
      <c r="CX258" s="339"/>
      <c r="CY258" s="339"/>
      <c r="CZ258" s="339"/>
      <c r="DA258" s="339"/>
      <c r="DB258" s="339"/>
      <c r="DC258" s="339"/>
      <c r="DD258" s="339"/>
      <c r="DE258" s="339"/>
      <c r="DV258" s="339"/>
    </row>
    <row r="259" spans="1:140" outlineLevel="1">
      <c r="A259" s="73" t="s">
        <v>290</v>
      </c>
      <c r="B259" s="73"/>
      <c r="C259" s="7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  <c r="AA259" s="73"/>
      <c r="AB259" s="73"/>
      <c r="AC259" s="73"/>
      <c r="AD259" s="73"/>
      <c r="AE259" s="73"/>
      <c r="AF259" s="73"/>
      <c r="AG259" s="73"/>
      <c r="AH259" s="73"/>
      <c r="AI259" s="73"/>
      <c r="AJ259" s="73"/>
      <c r="AK259" s="73"/>
      <c r="AL259" s="73"/>
      <c r="AM259" s="73"/>
      <c r="AN259" s="73"/>
      <c r="AO259" s="73"/>
      <c r="AP259" s="73"/>
      <c r="AQ259" s="73"/>
      <c r="AR259" s="73"/>
      <c r="AS259" s="73"/>
      <c r="AT259" s="73"/>
      <c r="AU259" s="73"/>
      <c r="AV259" s="73"/>
      <c r="AW259" s="73"/>
      <c r="AX259" s="73"/>
      <c r="AY259" s="73"/>
      <c r="AZ259" s="73"/>
      <c r="BA259" s="73"/>
      <c r="BB259" s="73"/>
      <c r="BC259" s="73"/>
      <c r="BD259" s="73"/>
      <c r="BE259" s="73"/>
      <c r="BF259" s="73"/>
      <c r="BG259" s="73"/>
      <c r="BH259" s="73"/>
      <c r="BI259" s="73"/>
      <c r="BJ259" s="73"/>
      <c r="BK259" s="73"/>
      <c r="BL259" s="73"/>
      <c r="BM259" s="73"/>
      <c r="BN259" s="73"/>
      <c r="BO259" s="73"/>
      <c r="BP259" s="73"/>
      <c r="BQ259" s="73"/>
      <c r="BR259" s="73"/>
      <c r="BS259" s="73"/>
      <c r="BT259" s="73"/>
      <c r="BU259" s="73"/>
      <c r="BV259" s="73"/>
      <c r="BW259" s="73"/>
      <c r="BX259" s="73"/>
      <c r="BY259" s="73"/>
      <c r="BZ259" s="73"/>
      <c r="CA259" s="73"/>
      <c r="CB259" s="73"/>
      <c r="CC259" s="73"/>
      <c r="CD259" s="73"/>
      <c r="CE259" s="73"/>
      <c r="CF259" s="73"/>
      <c r="CG259" s="73"/>
      <c r="CH259" s="73"/>
      <c r="CI259" s="73"/>
      <c r="CJ259" s="73"/>
      <c r="CK259" s="73"/>
      <c r="CL259" s="73"/>
      <c r="CM259" s="73"/>
      <c r="CN259" s="73"/>
      <c r="CO259" s="73"/>
      <c r="CP259" s="73"/>
      <c r="CQ259" s="73"/>
      <c r="CR259" s="73"/>
      <c r="CS259" s="73"/>
      <c r="CT259" s="73"/>
      <c r="CU259" s="73"/>
      <c r="CV259" s="73"/>
      <c r="CW259" s="73"/>
      <c r="CX259" s="73"/>
      <c r="CY259" s="73"/>
      <c r="CZ259" s="73"/>
      <c r="DA259" s="73"/>
      <c r="DB259" s="73"/>
      <c r="DC259" s="73"/>
      <c r="DD259" s="73"/>
      <c r="DE259" s="73"/>
      <c r="DH259" s="73"/>
      <c r="DI259" s="73"/>
      <c r="DJ259" s="73"/>
      <c r="DK259" s="73"/>
      <c r="DL259" s="73"/>
      <c r="DM259" s="73"/>
      <c r="DN259" s="73"/>
      <c r="DO259" s="73"/>
      <c r="DP259" s="73"/>
      <c r="DQ259" s="73"/>
      <c r="DR259" s="73"/>
      <c r="DS259" s="73"/>
      <c r="DT259" s="73"/>
      <c r="DU259" s="73"/>
      <c r="DV259" s="73"/>
      <c r="DW259" s="73"/>
      <c r="DX259" s="73"/>
      <c r="DY259" s="73"/>
      <c r="DZ259" s="73"/>
      <c r="EA259" s="73"/>
      <c r="EB259" s="73"/>
      <c r="EC259" s="73"/>
      <c r="ED259" s="73"/>
      <c r="EE259" s="73"/>
      <c r="EF259" s="73"/>
      <c r="EG259" s="73"/>
      <c r="EH259" s="73"/>
    </row>
    <row r="260" spans="1:140" s="47" customFormat="1" outlineLevel="1">
      <c r="A260" s="35" t="s">
        <v>291</v>
      </c>
      <c r="AX260" s="35">
        <v>103</v>
      </c>
      <c r="AY260" s="35">
        <v>53</v>
      </c>
      <c r="AZ260" s="35">
        <v>111</v>
      </c>
      <c r="BA260" s="35">
        <v>131</v>
      </c>
      <c r="BB260" s="35">
        <v>139</v>
      </c>
      <c r="BC260" s="35">
        <v>159</v>
      </c>
      <c r="BD260" s="35">
        <v>168</v>
      </c>
      <c r="BE260" s="35">
        <v>112</v>
      </c>
      <c r="BF260" s="35">
        <v>145</v>
      </c>
      <c r="BG260" s="35">
        <v>128</v>
      </c>
      <c r="BH260" s="35">
        <v>129</v>
      </c>
      <c r="BI260" s="35">
        <v>157</v>
      </c>
      <c r="BJ260" s="35">
        <v>160</v>
      </c>
      <c r="BK260" s="35">
        <v>166</v>
      </c>
      <c r="BL260" s="35">
        <v>241</v>
      </c>
      <c r="BM260" s="35">
        <v>257</v>
      </c>
      <c r="BN260" s="35">
        <v>332</v>
      </c>
      <c r="BO260" s="35">
        <v>333</v>
      </c>
      <c r="BP260" s="35">
        <v>419</v>
      </c>
      <c r="BQ260" s="35">
        <v>450</v>
      </c>
      <c r="BR260" s="35">
        <v>442</v>
      </c>
      <c r="BS260" s="35">
        <v>467</v>
      </c>
      <c r="BT260" s="35">
        <v>407</v>
      </c>
      <c r="BU260" s="35">
        <v>225</v>
      </c>
      <c r="BV260" s="35">
        <v>198</v>
      </c>
      <c r="BW260" s="35">
        <v>475</v>
      </c>
      <c r="BX260" s="35">
        <v>449</v>
      </c>
      <c r="BY260" s="35">
        <v>331</v>
      </c>
      <c r="BZ260" s="338"/>
      <c r="CA260" s="338"/>
      <c r="CB260" s="338"/>
      <c r="CC260" s="338"/>
      <c r="CD260" s="338"/>
      <c r="CE260" s="338"/>
      <c r="CF260" s="338"/>
      <c r="CG260" s="338"/>
      <c r="CH260" s="338"/>
      <c r="CI260" s="338"/>
      <c r="CJ260" s="338"/>
      <c r="CK260" s="338"/>
      <c r="CL260" s="338"/>
      <c r="CM260" s="338"/>
      <c r="CN260" s="338"/>
      <c r="CO260" s="338"/>
      <c r="CP260" s="338"/>
      <c r="CQ260" s="338"/>
      <c r="CR260" s="338"/>
      <c r="CS260" s="338"/>
      <c r="CT260" s="338"/>
      <c r="CU260" s="338"/>
      <c r="CV260" s="338"/>
      <c r="CW260" s="338"/>
      <c r="CX260" s="338"/>
      <c r="CY260" s="338"/>
      <c r="CZ260" s="338"/>
      <c r="DA260" s="338"/>
      <c r="DB260" s="338"/>
      <c r="DC260" s="338"/>
      <c r="DD260" s="338"/>
      <c r="DE260" s="338"/>
      <c r="DQ260" s="35"/>
      <c r="DR260" s="35"/>
      <c r="DS260" s="35"/>
      <c r="DT260" s="35">
        <f>SUM(AX260:BA260)</f>
      </c>
      <c r="DU260" s="35">
        <f>SUM(BB260:BE260)</f>
      </c>
      <c r="DV260" s="35">
        <f>SUM(BF260:BI260)</f>
      </c>
      <c r="DW260" s="35">
        <f>SUM(BJ260:BM260)</f>
      </c>
      <c r="DX260" s="35">
        <f>SUM(BN260:BQ260)</f>
      </c>
      <c r="DY260" s="35">
        <f>SUM(BR260:BU260)</f>
      </c>
      <c r="DZ260" s="35">
        <f>BV260+BW260+BX260+BY260</f>
      </c>
      <c r="EA260" s="338"/>
      <c r="EB260" s="338"/>
      <c r="EC260" s="338"/>
      <c r="ED260" s="338"/>
      <c r="EE260" s="338"/>
      <c r="EF260" s="338"/>
      <c r="EG260" s="338"/>
      <c r="EH260" s="338"/>
    </row>
    <row r="261" spans="1:140" s="49" customFormat="1" outlineLevel="1">
      <c r="A261" s="48" t="s">
        <v>196</v>
      </c>
      <c r="AY261" s="49">
        <f t="shared" ref="AY261:BU261" si="375">AY260/AX260-1</f>
      </c>
      <c r="AZ261" s="49">
        <f t="shared" si="375"/>
      </c>
      <c r="BA261" s="49">
        <f t="shared" si="375"/>
      </c>
      <c r="BB261" s="49">
        <f t="shared" si="375"/>
      </c>
      <c r="BC261" s="49">
        <f t="shared" si="375"/>
      </c>
      <c r="BD261" s="49">
        <f t="shared" si="375"/>
      </c>
      <c r="BE261" s="49">
        <f t="shared" si="375"/>
      </c>
      <c r="BF261" s="49">
        <f t="shared" si="375"/>
      </c>
      <c r="BG261" s="49">
        <f t="shared" si="375"/>
      </c>
      <c r="BH261" s="49">
        <f t="shared" si="375"/>
      </c>
      <c r="BI261" s="49">
        <f t="shared" si="375"/>
      </c>
      <c r="BJ261" s="49">
        <f t="shared" si="375"/>
      </c>
      <c r="BK261" s="49">
        <f t="shared" si="375"/>
      </c>
      <c r="BL261" s="49">
        <f t="shared" si="375"/>
      </c>
      <c r="BM261" s="49">
        <f t="shared" si="375"/>
      </c>
      <c r="BN261" s="49">
        <f t="shared" si="375"/>
      </c>
      <c r="BO261" s="49">
        <f t="shared" si="375"/>
      </c>
      <c r="BP261" s="49">
        <f t="shared" si="375"/>
      </c>
      <c r="BQ261" s="49">
        <f t="shared" si="375"/>
      </c>
      <c r="BR261" s="49">
        <f t="shared" si="375"/>
      </c>
      <c r="BS261" s="49">
        <f t="shared" si="375"/>
      </c>
      <c r="BT261" s="49">
        <f t="shared" si="375"/>
      </c>
      <c r="BU261" s="49">
        <f t="shared" si="375"/>
      </c>
      <c r="BV261" s="49">
        <f>BV260/BU260-1</f>
      </c>
      <c r="BW261" s="49">
        <f>BW260/BV260-1</f>
      </c>
      <c r="BX261" s="49">
        <f>BX260/BW260-1</f>
      </c>
      <c r="BY261" s="49">
        <f>BY260/BX260-1</f>
      </c>
      <c r="BZ261" s="341"/>
      <c r="CA261" s="341"/>
      <c r="CB261" s="341"/>
      <c r="CC261" s="341"/>
      <c r="CD261" s="341"/>
      <c r="CE261" s="341"/>
      <c r="CF261" s="341"/>
      <c r="CG261" s="341"/>
      <c r="CH261" s="341"/>
      <c r="CI261" s="341"/>
      <c r="CJ261" s="341"/>
      <c r="CK261" s="341"/>
      <c r="CL261" s="341"/>
      <c r="CM261" s="341"/>
      <c r="CN261" s="341"/>
      <c r="CO261" s="341"/>
      <c r="CP261" s="341"/>
      <c r="CQ261" s="341"/>
      <c r="CR261" s="341"/>
      <c r="CS261" s="341"/>
      <c r="CT261" s="341"/>
      <c r="CU261" s="341"/>
      <c r="CV261" s="341"/>
      <c r="CW261" s="341"/>
      <c r="CX261" s="341"/>
      <c r="CY261" s="341"/>
      <c r="CZ261" s="341"/>
      <c r="DA261" s="341"/>
      <c r="DB261" s="341"/>
      <c r="DC261" s="341"/>
      <c r="DD261" s="341"/>
      <c r="DE261" s="341"/>
      <c r="DQ261" s="62"/>
      <c r="DR261" s="62"/>
      <c r="DS261" s="62"/>
      <c r="DT261" s="62"/>
      <c r="DU261" s="62"/>
      <c r="DV261" s="394"/>
      <c r="DW261" s="394"/>
      <c r="DX261" s="394"/>
      <c r="DY261" s="394"/>
      <c r="DZ261" s="394"/>
      <c r="EA261" s="398"/>
      <c r="EB261" s="398"/>
      <c r="EC261" s="398"/>
      <c r="ED261" s="398"/>
      <c r="EE261" s="398"/>
      <c r="EF261" s="398"/>
      <c r="EG261" s="398"/>
      <c r="EH261" s="398"/>
      <c r="EJ261" s="344"/>
    </row>
    <row r="262" spans="1:140" s="49" customFormat="1" outlineLevel="1">
      <c r="A262" s="48" t="s">
        <v>198</v>
      </c>
      <c r="BB262" s="49">
        <f t="shared" ref="BB262:BU262" si="376">BB260/AX260-1</f>
      </c>
      <c r="BC262" s="49">
        <f t="shared" si="376"/>
      </c>
      <c r="BD262" s="49">
        <f t="shared" si="376"/>
      </c>
      <c r="BE262" s="49">
        <f t="shared" si="376"/>
      </c>
      <c r="BF262" s="49">
        <f t="shared" si="376"/>
      </c>
      <c r="BG262" s="49">
        <f t="shared" si="376"/>
      </c>
      <c r="BH262" s="49">
        <f t="shared" si="376"/>
      </c>
      <c r="BI262" s="49">
        <f t="shared" si="376"/>
      </c>
      <c r="BJ262" s="49">
        <f t="shared" si="376"/>
      </c>
      <c r="BK262" s="49">
        <f t="shared" si="376"/>
      </c>
      <c r="BL262" s="49">
        <f t="shared" si="376"/>
      </c>
      <c r="BM262" s="49">
        <f t="shared" si="376"/>
      </c>
      <c r="BN262" s="49">
        <f t="shared" si="376"/>
      </c>
      <c r="BO262" s="49">
        <f t="shared" si="376"/>
      </c>
      <c r="BP262" s="49">
        <f t="shared" si="376"/>
      </c>
      <c r="BQ262" s="49">
        <f t="shared" si="376"/>
      </c>
      <c r="BR262" s="49">
        <f t="shared" si="376"/>
      </c>
      <c r="BS262" s="49">
        <f t="shared" si="376"/>
      </c>
      <c r="BT262" s="49">
        <f t="shared" si="376"/>
      </c>
      <c r="BU262" s="49">
        <f t="shared" si="376"/>
      </c>
      <c r="BV262" s="49">
        <f>BV260/BR260-1</f>
      </c>
      <c r="BW262" s="49">
        <f>BW260/BS260-1</f>
      </c>
      <c r="BX262" s="49">
        <f>BX260/BT260-1</f>
      </c>
      <c r="BY262" s="49">
        <f>BY260/BU260-1</f>
      </c>
      <c r="BZ262" s="341"/>
      <c r="CA262" s="341"/>
      <c r="CB262" s="341"/>
      <c r="CC262" s="341"/>
      <c r="CD262" s="341"/>
      <c r="CE262" s="341"/>
      <c r="CF262" s="341"/>
      <c r="CG262" s="341"/>
      <c r="CH262" s="341"/>
      <c r="CI262" s="341"/>
      <c r="CJ262" s="341"/>
      <c r="CK262" s="341"/>
      <c r="CL262" s="341"/>
      <c r="CM262" s="341"/>
      <c r="CN262" s="341"/>
      <c r="CO262" s="341"/>
      <c r="CP262" s="341"/>
      <c r="CQ262" s="341"/>
      <c r="CR262" s="341"/>
      <c r="CS262" s="341"/>
      <c r="CT262" s="341"/>
      <c r="CU262" s="341"/>
      <c r="CV262" s="341"/>
      <c r="CW262" s="341"/>
      <c r="CX262" s="341"/>
      <c r="CY262" s="341"/>
      <c r="CZ262" s="341"/>
      <c r="DA262" s="341"/>
      <c r="DB262" s="341"/>
      <c r="DC262" s="341"/>
      <c r="DD262" s="341"/>
      <c r="DE262" s="341"/>
      <c r="DQ262" s="62"/>
      <c r="DR262" s="62"/>
      <c r="DS262" s="62"/>
      <c r="DT262" s="62"/>
      <c r="DU262" s="394">
        <f t="shared" ref="DU262:DZ262" si="377">DU260/DT260-1</f>
      </c>
      <c r="DV262" s="49">
        <f t="shared" si="377"/>
      </c>
      <c r="DW262" s="49">
        <f t="shared" si="377"/>
      </c>
      <c r="DX262" s="49">
        <f t="shared" si="377"/>
      </c>
      <c r="DY262" s="49">
        <f t="shared" si="377"/>
      </c>
      <c r="DZ262" s="49">
        <f t="shared" si="377"/>
      </c>
      <c r="EA262" s="345"/>
      <c r="EB262" s="345"/>
      <c r="EC262" s="345"/>
      <c r="ED262" s="345"/>
      <c r="EE262" s="345"/>
      <c r="EF262" s="345"/>
      <c r="EG262" s="345"/>
      <c r="EH262" s="345"/>
      <c r="EJ262" s="344"/>
    </row>
    <row r="263" spans="1:140" s="49" customFormat="1" outlineLevel="1">
      <c r="A263" s="48" t="s">
        <v>241</v>
      </c>
      <c r="AX263" s="49">
        <f t="shared" ref="AX263:BY263" si="378">AX260/AX$272</f>
      </c>
      <c r="AY263" s="49">
        <f t="shared" si="378"/>
      </c>
      <c r="AZ263" s="49">
        <f t="shared" si="378"/>
      </c>
      <c r="BA263" s="49">
        <f t="shared" si="378"/>
      </c>
      <c r="BB263" s="49">
        <f t="shared" si="378"/>
      </c>
      <c r="BC263" s="49">
        <f t="shared" si="378"/>
      </c>
      <c r="BD263" s="49">
        <f t="shared" si="378"/>
      </c>
      <c r="BE263" s="49">
        <f t="shared" si="378"/>
      </c>
      <c r="BF263" s="49">
        <f t="shared" si="378"/>
      </c>
      <c r="BG263" s="49">
        <f t="shared" si="378"/>
      </c>
      <c r="BH263" s="49">
        <f t="shared" si="378"/>
      </c>
      <c r="BI263" s="49">
        <f t="shared" si="378"/>
      </c>
      <c r="BJ263" s="49">
        <f t="shared" si="378"/>
      </c>
      <c r="BK263" s="49">
        <f t="shared" si="378"/>
      </c>
      <c r="BL263" s="49">
        <f t="shared" si="378"/>
      </c>
      <c r="BM263" s="49">
        <f t="shared" si="378"/>
      </c>
      <c r="BN263" s="49">
        <f t="shared" si="378"/>
      </c>
      <c r="BO263" s="49">
        <f t="shared" si="378"/>
      </c>
      <c r="BP263" s="49">
        <f t="shared" si="378"/>
      </c>
      <c r="BQ263" s="49">
        <f>BQ260/BQ$272</f>
      </c>
      <c r="BR263" s="49">
        <f>BR260/BR$272</f>
      </c>
      <c r="BS263" s="49">
        <f t="shared" si="378"/>
      </c>
      <c r="BT263" s="49">
        <f t="shared" si="378"/>
      </c>
      <c r="BU263" s="49">
        <f t="shared" si="378"/>
      </c>
      <c r="BV263" s="49">
        <f t="shared" si="378"/>
      </c>
      <c r="BW263" s="49">
        <f t="shared" si="378"/>
      </c>
      <c r="BX263" s="49">
        <f t="shared" si="378"/>
      </c>
      <c r="BY263" s="49">
        <f t="shared" si="378"/>
      </c>
      <c r="BZ263" s="341"/>
      <c r="CA263" s="341"/>
      <c r="CB263" s="341"/>
      <c r="CC263" s="341"/>
      <c r="CD263" s="341"/>
      <c r="CE263" s="341"/>
      <c r="CF263" s="341"/>
      <c r="CG263" s="341"/>
      <c r="CH263" s="341"/>
      <c r="CI263" s="341"/>
      <c r="CJ263" s="341"/>
      <c r="CK263" s="341"/>
      <c r="CL263" s="341"/>
      <c r="CM263" s="341"/>
      <c r="CN263" s="341"/>
      <c r="CO263" s="341"/>
      <c r="CP263" s="341"/>
      <c r="CQ263" s="341"/>
      <c r="CR263" s="341"/>
      <c r="CS263" s="341"/>
      <c r="CT263" s="341"/>
      <c r="CU263" s="341"/>
      <c r="CV263" s="341"/>
      <c r="CW263" s="341"/>
      <c r="CX263" s="341"/>
      <c r="CY263" s="341"/>
      <c r="CZ263" s="341"/>
      <c r="DA263" s="341"/>
      <c r="DB263" s="341"/>
      <c r="DC263" s="341"/>
      <c r="DD263" s="341"/>
      <c r="DE263" s="341"/>
      <c r="DQ263" s="62"/>
      <c r="DR263" s="62"/>
      <c r="DS263" s="62"/>
      <c r="DT263" s="394">
        <f t="shared" ref="DT263:DY263" si="379">DT260/DT$272</f>
      </c>
      <c r="DU263" s="394">
        <f t="shared" si="379"/>
      </c>
      <c r="DV263" s="49">
        <f t="shared" si="379"/>
      </c>
      <c r="DW263" s="49">
        <f t="shared" si="379"/>
      </c>
      <c r="DX263" s="49">
        <f t="shared" si="379"/>
      </c>
      <c r="DY263" s="49">
        <f t="shared" si="379"/>
      </c>
      <c r="DZ263" s="49">
        <f>DZ260/DZ$272</f>
      </c>
      <c r="EA263" s="341"/>
      <c r="EB263" s="341"/>
      <c r="EC263" s="341"/>
      <c r="ED263" s="341"/>
      <c r="EE263" s="341"/>
      <c r="EF263" s="341"/>
      <c r="EG263" s="341"/>
      <c r="EH263" s="341"/>
    </row>
    <row r="264" spans="1:140" s="47" customFormat="1" outlineLevel="1">
      <c r="A264" s="35" t="s">
        <v>292</v>
      </c>
      <c r="AX264" s="35">
        <v>786</v>
      </c>
      <c r="AY264" s="35">
        <v>887</v>
      </c>
      <c r="AZ264" s="35">
        <v>858</v>
      </c>
      <c r="BA264" s="35">
        <v>947</v>
      </c>
      <c r="BB264" s="35">
        <f t="shared" ref="BB264:BW264" si="380">BB131-BB260-BB127</f>
      </c>
      <c r="BC264" s="35">
        <f t="shared" si="380"/>
      </c>
      <c r="BD264" s="35">
        <f t="shared" si="380"/>
      </c>
      <c r="BE264" s="35">
        <f t="shared" si="380"/>
      </c>
      <c r="BF264" s="35">
        <f t="shared" si="380"/>
      </c>
      <c r="BG264" s="35">
        <f t="shared" si="380"/>
      </c>
      <c r="BH264" s="35">
        <f t="shared" si="380"/>
      </c>
      <c r="BI264" s="35">
        <f t="shared" si="380"/>
      </c>
      <c r="BJ264" s="35">
        <f t="shared" si="380"/>
      </c>
      <c r="BK264" s="35">
        <f t="shared" si="380"/>
      </c>
      <c r="BL264" s="35">
        <f t="shared" si="380"/>
      </c>
      <c r="BM264" s="35">
        <f t="shared" si="380"/>
      </c>
      <c r="BN264" s="35">
        <f t="shared" si="380"/>
      </c>
      <c r="BO264" s="35">
        <f t="shared" si="380"/>
      </c>
      <c r="BP264" s="35">
        <f t="shared" si="380"/>
      </c>
      <c r="BQ264" s="35">
        <f t="shared" si="380"/>
      </c>
      <c r="BR264" s="35">
        <f t="shared" si="380"/>
      </c>
      <c r="BS264" s="35">
        <f t="shared" si="380"/>
      </c>
      <c r="BT264" s="35">
        <f t="shared" si="380"/>
      </c>
      <c r="BU264" s="35">
        <f t="shared" si="380"/>
      </c>
      <c r="BV264" s="35">
        <f t="shared" si="380"/>
      </c>
      <c r="BW264" s="35">
        <f t="shared" si="380"/>
      </c>
      <c r="BX264" s="35">
        <v>2565</v>
      </c>
      <c r="BY264" s="35">
        <v>2774</v>
      </c>
      <c r="BZ264" s="338"/>
      <c r="CA264" s="338"/>
      <c r="CB264" s="338"/>
      <c r="CC264" s="338"/>
      <c r="CD264" s="338"/>
      <c r="CE264" s="338"/>
      <c r="CF264" s="338"/>
      <c r="CG264" s="338"/>
      <c r="CH264" s="338"/>
      <c r="CI264" s="338"/>
      <c r="CJ264" s="338"/>
      <c r="CK264" s="338"/>
      <c r="CL264" s="338"/>
      <c r="CM264" s="338"/>
      <c r="CN264" s="338"/>
      <c r="CO264" s="338"/>
      <c r="CP264" s="338"/>
      <c r="CQ264" s="338"/>
      <c r="CR264" s="338"/>
      <c r="CS264" s="338"/>
      <c r="CT264" s="338"/>
      <c r="CU264" s="338"/>
      <c r="CV264" s="338"/>
      <c r="CW264" s="338"/>
      <c r="CX264" s="338"/>
      <c r="CY264" s="338"/>
      <c r="CZ264" s="338"/>
      <c r="DA264" s="338"/>
      <c r="DB264" s="338"/>
      <c r="DC264" s="338"/>
      <c r="DD264" s="338"/>
      <c r="DE264" s="338"/>
      <c r="DQ264" s="35"/>
      <c r="DR264" s="35"/>
      <c r="DS264" s="35"/>
      <c r="DT264" s="35">
        <f>SUM(AX264:BA264)</f>
      </c>
      <c r="DU264" s="35">
        <f>SUM(BB264:BE264)</f>
      </c>
      <c r="DV264" s="35">
        <f>SUM(BF264:BI264)</f>
      </c>
      <c r="DW264" s="35">
        <f>SUM(BJ264:BM264)</f>
      </c>
      <c r="DX264" s="35">
        <f>SUM(BN264:BQ264)</f>
      </c>
      <c r="DY264" s="35">
        <f>SUM(BR264:BU264)</f>
      </c>
      <c r="DZ264" s="35">
        <f>BV264+BW264+BX264+BY264</f>
      </c>
      <c r="EA264" s="338"/>
      <c r="EB264" s="338"/>
      <c r="EC264" s="338"/>
      <c r="ED264" s="338"/>
      <c r="EE264" s="338"/>
      <c r="EF264" s="338"/>
      <c r="EG264" s="338"/>
      <c r="EH264" s="338"/>
    </row>
    <row r="265" spans="1:140" s="49" customFormat="1" outlineLevel="1">
      <c r="A265" s="48" t="s">
        <v>196</v>
      </c>
      <c r="AY265" s="49">
        <f t="shared" ref="AY265:BV265" si="381">AY264/AX264-1</f>
      </c>
      <c r="AZ265" s="49">
        <f t="shared" si="381"/>
      </c>
      <c r="BA265" s="49">
        <f t="shared" si="381"/>
      </c>
      <c r="BB265" s="49">
        <f t="shared" si="381"/>
      </c>
      <c r="BC265" s="49">
        <f t="shared" si="381"/>
      </c>
      <c r="BD265" s="49">
        <f t="shared" si="381"/>
      </c>
      <c r="BE265" s="49">
        <f t="shared" si="381"/>
      </c>
      <c r="BF265" s="49">
        <f t="shared" si="381"/>
      </c>
      <c r="BG265" s="49">
        <f t="shared" si="381"/>
      </c>
      <c r="BH265" s="49">
        <f t="shared" si="381"/>
      </c>
      <c r="BI265" s="49">
        <f t="shared" si="381"/>
      </c>
      <c r="BJ265" s="49">
        <f t="shared" si="381"/>
      </c>
      <c r="BK265" s="49">
        <f t="shared" si="381"/>
      </c>
      <c r="BL265" s="49">
        <f t="shared" si="381"/>
      </c>
      <c r="BM265" s="49">
        <f t="shared" si="381"/>
      </c>
      <c r="BN265" s="49">
        <f t="shared" si="381"/>
      </c>
      <c r="BO265" s="49">
        <f t="shared" si="381"/>
      </c>
      <c r="BP265" s="49">
        <f t="shared" si="381"/>
      </c>
      <c r="BQ265" s="49">
        <f t="shared" si="381"/>
      </c>
      <c r="BR265" s="49">
        <f t="shared" si="381"/>
      </c>
      <c r="BS265" s="49">
        <f t="shared" si="381"/>
      </c>
      <c r="BT265" s="49">
        <f t="shared" si="381"/>
      </c>
      <c r="BU265" s="49">
        <f t="shared" si="381"/>
      </c>
      <c r="BV265" s="49">
        <f t="shared" si="381"/>
      </c>
      <c r="BW265" s="49">
        <f>BW264/BV264-1</f>
      </c>
      <c r="BX265" s="49">
        <f>BX264/BW264-1</f>
      </c>
      <c r="BY265" s="49">
        <f>BY264/BX264-1</f>
      </c>
      <c r="BZ265" s="341"/>
      <c r="CA265" s="341"/>
      <c r="CB265" s="341"/>
      <c r="CC265" s="341"/>
      <c r="CD265" s="341"/>
      <c r="CE265" s="341"/>
      <c r="CF265" s="341"/>
      <c r="CG265" s="341"/>
      <c r="CH265" s="341"/>
      <c r="CI265" s="341"/>
      <c r="CJ265" s="341"/>
      <c r="CK265" s="341"/>
      <c r="CL265" s="341"/>
      <c r="CM265" s="341"/>
      <c r="CN265" s="341"/>
      <c r="CO265" s="341"/>
      <c r="CP265" s="341"/>
      <c r="CQ265" s="341"/>
      <c r="CR265" s="341"/>
      <c r="CS265" s="341"/>
      <c r="CT265" s="341"/>
      <c r="CU265" s="341"/>
      <c r="CV265" s="341"/>
      <c r="CW265" s="341"/>
      <c r="CX265" s="341"/>
      <c r="CY265" s="341"/>
      <c r="CZ265" s="341"/>
      <c r="DA265" s="341"/>
      <c r="DB265" s="341"/>
      <c r="DC265" s="341"/>
      <c r="DD265" s="341"/>
      <c r="DE265" s="341"/>
      <c r="DQ265" s="62"/>
      <c r="DR265" s="62"/>
      <c r="DS265" s="62"/>
      <c r="DT265" s="62"/>
      <c r="DU265" s="62"/>
      <c r="DV265" s="394"/>
      <c r="DW265" s="394"/>
      <c r="DX265" s="394"/>
      <c r="DY265" s="394"/>
      <c r="DZ265" s="394"/>
      <c r="EA265" s="398"/>
      <c r="EB265" s="398"/>
      <c r="EC265" s="398"/>
      <c r="ED265" s="398"/>
      <c r="EE265" s="398"/>
      <c r="EF265" s="398"/>
      <c r="EG265" s="398"/>
      <c r="EH265" s="398"/>
      <c r="EJ265" s="344"/>
    </row>
    <row r="266" spans="1:140" s="49" customFormat="1" outlineLevel="1">
      <c r="A266" s="48" t="s">
        <v>198</v>
      </c>
      <c r="BB266" s="49">
        <f t="shared" ref="BB266:BV266" si="382">BB264/AX264-1</f>
      </c>
      <c r="BC266" s="49">
        <f t="shared" si="382"/>
      </c>
      <c r="BD266" s="49">
        <f t="shared" si="382"/>
      </c>
      <c r="BE266" s="49">
        <f t="shared" si="382"/>
      </c>
      <c r="BF266" s="49">
        <f t="shared" si="382"/>
      </c>
      <c r="BG266" s="49">
        <f t="shared" si="382"/>
      </c>
      <c r="BH266" s="49">
        <f t="shared" si="382"/>
      </c>
      <c r="BI266" s="49">
        <f t="shared" si="382"/>
      </c>
      <c r="BJ266" s="49">
        <f t="shared" si="382"/>
      </c>
      <c r="BK266" s="49">
        <f t="shared" si="382"/>
      </c>
      <c r="BL266" s="49">
        <f t="shared" si="382"/>
      </c>
      <c r="BM266" s="49">
        <f t="shared" si="382"/>
      </c>
      <c r="BN266" s="49">
        <f t="shared" si="382"/>
      </c>
      <c r="BO266" s="49">
        <f t="shared" si="382"/>
      </c>
      <c r="BP266" s="49">
        <f t="shared" si="382"/>
      </c>
      <c r="BQ266" s="49">
        <f t="shared" si="382"/>
      </c>
      <c r="BR266" s="49">
        <f t="shared" si="382"/>
      </c>
      <c r="BS266" s="49">
        <f t="shared" si="382"/>
      </c>
      <c r="BT266" s="49">
        <f t="shared" si="382"/>
      </c>
      <c r="BU266" s="49">
        <f t="shared" si="382"/>
      </c>
      <c r="BV266" s="49">
        <f t="shared" si="382"/>
      </c>
      <c r="BW266" s="49">
        <f>BW264/BS264-1</f>
      </c>
      <c r="BX266" s="49">
        <f>BX264/BT264-1</f>
      </c>
      <c r="BY266" s="49">
        <f>BY264/BU264-1</f>
      </c>
      <c r="BZ266" s="341"/>
      <c r="CA266" s="341"/>
      <c r="CB266" s="341"/>
      <c r="CC266" s="341"/>
      <c r="CD266" s="341"/>
      <c r="CE266" s="341"/>
      <c r="CF266" s="341"/>
      <c r="CG266" s="341"/>
      <c r="CH266" s="341"/>
      <c r="CI266" s="341"/>
      <c r="CJ266" s="341"/>
      <c r="CK266" s="341"/>
      <c r="CL266" s="341"/>
      <c r="CM266" s="341"/>
      <c r="CN266" s="341"/>
      <c r="CO266" s="341"/>
      <c r="CP266" s="341"/>
      <c r="CQ266" s="341"/>
      <c r="CR266" s="341"/>
      <c r="CS266" s="341"/>
      <c r="CT266" s="341"/>
      <c r="CU266" s="341"/>
      <c r="CV266" s="341"/>
      <c r="CW266" s="341"/>
      <c r="CX266" s="341"/>
      <c r="CY266" s="341"/>
      <c r="CZ266" s="341"/>
      <c r="DA266" s="341"/>
      <c r="DB266" s="341"/>
      <c r="DC266" s="341"/>
      <c r="DD266" s="341"/>
      <c r="DE266" s="341"/>
      <c r="DQ266" s="62"/>
      <c r="DR266" s="62"/>
      <c r="DS266" s="62"/>
      <c r="DT266" s="62"/>
      <c r="DU266" s="394">
        <f t="shared" ref="DU266:DZ266" si="383">DU264/DT264-1</f>
      </c>
      <c r="DV266" s="49">
        <f t="shared" si="383"/>
      </c>
      <c r="DW266" s="49">
        <f t="shared" si="383"/>
      </c>
      <c r="DX266" s="49">
        <f t="shared" si="383"/>
      </c>
      <c r="DY266" s="49">
        <f t="shared" si="383"/>
      </c>
      <c r="DZ266" s="49">
        <f t="shared" si="383"/>
      </c>
      <c r="EA266" s="345"/>
      <c r="EB266" s="345"/>
      <c r="EC266" s="345"/>
      <c r="ED266" s="345"/>
      <c r="EE266" s="345"/>
      <c r="EF266" s="345"/>
      <c r="EG266" s="345"/>
      <c r="EH266" s="345"/>
      <c r="EJ266" s="344"/>
    </row>
    <row r="267" spans="1:140" s="49" customFormat="1" outlineLevel="1">
      <c r="A267" s="48" t="s">
        <v>241</v>
      </c>
      <c r="AX267" s="49">
        <f t="shared" ref="AX267:BU267" si="384">AX264/AX$272</f>
      </c>
      <c r="AY267" s="49">
        <f t="shared" si="384"/>
      </c>
      <c r="AZ267" s="49">
        <f t="shared" si="384"/>
      </c>
      <c r="BA267" s="49">
        <f t="shared" si="384"/>
      </c>
      <c r="BB267" s="49">
        <f t="shared" si="384"/>
      </c>
      <c r="BC267" s="49">
        <f t="shared" si="384"/>
      </c>
      <c r="BD267" s="49">
        <f t="shared" si="384"/>
      </c>
      <c r="BE267" s="49">
        <f t="shared" si="384"/>
      </c>
      <c r="BF267" s="49">
        <f t="shared" si="384"/>
      </c>
      <c r="BG267" s="49">
        <f t="shared" si="384"/>
      </c>
      <c r="BH267" s="49">
        <f t="shared" si="384"/>
      </c>
      <c r="BI267" s="49">
        <f t="shared" si="384"/>
      </c>
      <c r="BJ267" s="49">
        <f t="shared" si="384"/>
      </c>
      <c r="BK267" s="49">
        <f t="shared" si="384"/>
      </c>
      <c r="BL267" s="49">
        <f t="shared" si="384"/>
      </c>
      <c r="BM267" s="49">
        <f t="shared" si="384"/>
      </c>
      <c r="BN267" s="49">
        <f t="shared" si="384"/>
      </c>
      <c r="BO267" s="49">
        <f t="shared" si="384"/>
      </c>
      <c r="BP267" s="49">
        <f t="shared" si="384"/>
      </c>
      <c r="BQ267" s="49">
        <f>BQ264/BQ$272</f>
      </c>
      <c r="BR267" s="49">
        <f>BR264/BR$272</f>
      </c>
      <c r="BS267" s="49">
        <f t="shared" si="384"/>
      </c>
      <c r="BT267" s="49">
        <f>BT264/BT$272</f>
      </c>
      <c r="BU267" s="49">
        <f t="shared" si="384"/>
      </c>
      <c r="BV267" s="49">
        <f>BV264/BV$272</f>
      </c>
      <c r="BW267" s="49">
        <f>BW264/BW$272</f>
      </c>
      <c r="BX267" s="49">
        <f>BX264/BX$272</f>
      </c>
      <c r="BY267" s="49">
        <f>BY264/BY$272</f>
      </c>
      <c r="BZ267" s="341"/>
      <c r="CA267" s="341"/>
      <c r="CB267" s="341"/>
      <c r="CC267" s="341"/>
      <c r="CD267" s="341"/>
      <c r="CE267" s="341"/>
      <c r="CF267" s="341"/>
      <c r="CG267" s="341"/>
      <c r="CH267" s="341"/>
      <c r="CI267" s="341"/>
      <c r="CJ267" s="341"/>
      <c r="CK267" s="341"/>
      <c r="CL267" s="341"/>
      <c r="CM267" s="341"/>
      <c r="CN267" s="341"/>
      <c r="CO267" s="341"/>
      <c r="CP267" s="341"/>
      <c r="CQ267" s="341"/>
      <c r="CR267" s="341"/>
      <c r="CS267" s="341"/>
      <c r="CT267" s="341"/>
      <c r="CU267" s="341"/>
      <c r="CV267" s="341"/>
      <c r="CW267" s="341"/>
      <c r="CX267" s="341"/>
      <c r="CY267" s="341"/>
      <c r="CZ267" s="341"/>
      <c r="DA267" s="341"/>
      <c r="DB267" s="341"/>
      <c r="DC267" s="341"/>
      <c r="DD267" s="341"/>
      <c r="DE267" s="341"/>
      <c r="DQ267" s="62"/>
      <c r="DR267" s="62"/>
      <c r="DS267" s="62"/>
      <c r="DT267" s="394">
        <f t="shared" ref="DT267:DZ267" si="385">DT264/DT$272</f>
      </c>
      <c r="DU267" s="394">
        <f t="shared" si="385"/>
      </c>
      <c r="DV267" s="49">
        <f t="shared" si="385"/>
      </c>
      <c r="DW267" s="49">
        <f t="shared" si="385"/>
      </c>
      <c r="DX267" s="49">
        <f t="shared" si="385"/>
      </c>
      <c r="DY267" s="49">
        <f t="shared" si="385"/>
      </c>
      <c r="DZ267" s="49">
        <f t="shared" si="385"/>
      </c>
      <c r="EA267" s="341"/>
      <c r="EB267" s="341"/>
      <c r="EC267" s="341"/>
      <c r="ED267" s="341"/>
      <c r="EE267" s="341"/>
      <c r="EF267" s="341"/>
      <c r="EG267" s="341"/>
      <c r="EH267" s="341"/>
    </row>
    <row r="268" spans="1:140" s="47" customFormat="1" outlineLevel="1">
      <c r="A268" s="35" t="s">
        <v>242</v>
      </c>
      <c r="AX268" s="35">
        <v>66</v>
      </c>
      <c r="AY268" s="35">
        <v>66</v>
      </c>
      <c r="AZ268" s="35">
        <v>66</v>
      </c>
      <c r="BA268" s="35">
        <v>66</v>
      </c>
      <c r="BB268" s="35">
        <f t="shared" ref="BB268:BN268" si="386">BB127</f>
      </c>
      <c r="BC268" s="35">
        <f t="shared" si="386"/>
      </c>
      <c r="BD268" s="35">
        <f t="shared" si="386"/>
      </c>
      <c r="BE268" s="35">
        <f t="shared" si="386"/>
      </c>
      <c r="BF268" s="35">
        <f t="shared" si="386"/>
      </c>
      <c r="BG268" s="35">
        <f t="shared" si="386"/>
      </c>
      <c r="BH268" s="35">
        <f t="shared" si="386"/>
      </c>
      <c r="BI268" s="35">
        <f t="shared" si="386"/>
      </c>
      <c r="BJ268" s="35">
        <f t="shared" si="386"/>
      </c>
      <c r="BK268" s="35">
        <f t="shared" si="386"/>
      </c>
      <c r="BL268" s="35">
        <f t="shared" si="386"/>
      </c>
      <c r="BM268" s="35">
        <f t="shared" si="386"/>
      </c>
      <c r="BN268" s="35">
        <f t="shared" si="386"/>
      </c>
      <c r="BO268" s="338"/>
      <c r="BP268" s="338"/>
      <c r="BQ268" s="338"/>
      <c r="BR268" s="338"/>
      <c r="BS268" s="338"/>
      <c r="BT268" s="338"/>
      <c r="BU268" s="35"/>
      <c r="BV268" s="338"/>
      <c r="BW268" s="338"/>
      <c r="BX268" s="338"/>
      <c r="BY268" s="338"/>
      <c r="BZ268" s="338"/>
      <c r="CA268" s="338"/>
      <c r="CB268" s="338"/>
      <c r="CC268" s="338"/>
      <c r="CD268" s="338"/>
      <c r="CE268" s="338"/>
      <c r="CF268" s="338"/>
      <c r="CG268" s="338"/>
      <c r="CH268" s="338"/>
      <c r="CI268" s="338"/>
      <c r="CJ268" s="338"/>
      <c r="CK268" s="338"/>
      <c r="CL268" s="338"/>
      <c r="CM268" s="338"/>
      <c r="CN268" s="338"/>
      <c r="CO268" s="338"/>
      <c r="CP268" s="338"/>
      <c r="CQ268" s="338"/>
      <c r="CR268" s="338"/>
      <c r="CS268" s="338"/>
      <c r="CT268" s="338"/>
      <c r="CU268" s="338"/>
      <c r="CV268" s="338"/>
      <c r="CW268" s="338"/>
      <c r="CX268" s="338"/>
      <c r="CY268" s="338"/>
      <c r="CZ268" s="338"/>
      <c r="DA268" s="338"/>
      <c r="DB268" s="338"/>
      <c r="DC268" s="338"/>
      <c r="DD268" s="338"/>
      <c r="DE268" s="338"/>
      <c r="DQ268" s="35"/>
      <c r="DR268" s="35"/>
      <c r="DS268" s="35"/>
      <c r="DT268" s="35">
        <f>SUM(AX268:BA268)</f>
      </c>
      <c r="DU268" s="35">
        <f>SUM(BB268:BE268)</f>
      </c>
      <c r="DV268" s="35">
        <f>SUM(BF268:BI268)</f>
      </c>
      <c r="DW268" s="35">
        <f>SUM(BJ268:BM268)</f>
      </c>
      <c r="DX268" s="35">
        <f>SUM(BN268:BQ268)</f>
      </c>
      <c r="DY268" s="35"/>
      <c r="DZ268" s="35"/>
      <c r="EA268" s="338"/>
      <c r="EB268" s="338"/>
      <c r="EC268" s="338"/>
      <c r="ED268" s="338"/>
      <c r="EE268" s="338"/>
      <c r="EF268" s="338"/>
      <c r="EG268" s="338"/>
      <c r="EH268" s="338"/>
    </row>
    <row r="269" spans="1:140" s="49" customFormat="1" outlineLevel="1">
      <c r="A269" s="48" t="s">
        <v>196</v>
      </c>
      <c r="AY269" s="49">
        <f t="shared" ref="AY269:BK269" si="387">AY268/AX268-1</f>
      </c>
      <c r="AZ269" s="49">
        <f t="shared" si="387"/>
      </c>
      <c r="BA269" s="49">
        <f t="shared" si="387"/>
      </c>
      <c r="BB269" s="49">
        <f t="shared" si="387"/>
      </c>
      <c r="BC269" s="49">
        <f t="shared" si="387"/>
      </c>
      <c r="BD269" s="49">
        <f t="shared" si="387"/>
      </c>
      <c r="BE269" s="49">
        <f t="shared" si="387"/>
      </c>
      <c r="BF269" s="49">
        <f t="shared" si="387"/>
      </c>
      <c r="BG269" s="49">
        <f t="shared" si="387"/>
      </c>
      <c r="BH269" s="49">
        <f t="shared" si="387"/>
      </c>
      <c r="BI269" s="49">
        <f t="shared" si="387"/>
      </c>
      <c r="BJ269" s="49">
        <f t="shared" si="387"/>
      </c>
      <c r="BK269" s="49">
        <f t="shared" si="387"/>
      </c>
      <c r="BL269" s="49">
        <f>BL268/BK268-1</f>
      </c>
      <c r="BM269" s="49">
        <f>BM268/BL268-1</f>
      </c>
      <c r="BN269" s="49">
        <f>BN268/BM268-1</f>
      </c>
      <c r="DQ269" s="62"/>
      <c r="DR269" s="62"/>
      <c r="DS269" s="62"/>
      <c r="DT269" s="62"/>
      <c r="DU269" s="62"/>
      <c r="DV269" s="394"/>
      <c r="DW269" s="394"/>
      <c r="DX269" s="394"/>
      <c r="DY269" s="394"/>
      <c r="DZ269" s="394"/>
      <c r="EA269" s="398"/>
      <c r="EB269" s="398"/>
      <c r="EC269" s="398"/>
      <c r="ED269" s="398"/>
      <c r="EE269" s="398"/>
      <c r="EF269" s="398"/>
      <c r="EG269" s="398"/>
      <c r="EH269" s="398"/>
    </row>
    <row r="270" spans="1:140" s="49" customFormat="1" outlineLevel="1">
      <c r="A270" s="48" t="s">
        <v>198</v>
      </c>
      <c r="BB270" s="49">
        <f t="shared" ref="BB270:BK270" si="388">BB268/AX268-1</f>
      </c>
      <c r="BC270" s="49">
        <f t="shared" si="388"/>
      </c>
      <c r="BD270" s="49">
        <f t="shared" si="388"/>
      </c>
      <c r="BE270" s="49">
        <f t="shared" si="388"/>
      </c>
      <c r="BF270" s="49">
        <f t="shared" si="388"/>
      </c>
      <c r="BG270" s="49">
        <f t="shared" si="388"/>
      </c>
      <c r="BH270" s="49">
        <f t="shared" si="388"/>
      </c>
      <c r="BI270" s="49">
        <f t="shared" si="388"/>
      </c>
      <c r="BJ270" s="49">
        <f t="shared" si="388"/>
      </c>
      <c r="BK270" s="49">
        <f t="shared" si="388"/>
      </c>
      <c r="BL270" s="49">
        <f>BL268/BH268-1</f>
      </c>
      <c r="BM270" s="49">
        <f>BM268/BI268-1</f>
      </c>
      <c r="BN270" s="49">
        <f>BN268/BJ268-1</f>
      </c>
      <c r="DQ270" s="62"/>
      <c r="DR270" s="62"/>
      <c r="DS270" s="62"/>
      <c r="DT270" s="62"/>
      <c r="DU270" s="394">
        <f>DU268/DT268-1</f>
      </c>
      <c r="DV270" s="49">
        <f>DV268/DU268-1</f>
      </c>
      <c r="DW270" s="49">
        <f>DW268/DV268-1</f>
      </c>
      <c r="DX270" s="49">
        <f>DX268/DW268-1</f>
      </c>
      <c r="EA270" s="341"/>
      <c r="EB270" s="341"/>
      <c r="EC270" s="341"/>
      <c r="ED270" s="341"/>
      <c r="EE270" s="341"/>
      <c r="EF270" s="341"/>
      <c r="EG270" s="341"/>
      <c r="EH270" s="341"/>
    </row>
    <row r="271" spans="1:140" s="49" customFormat="1" outlineLevel="1">
      <c r="A271" s="48" t="s">
        <v>241</v>
      </c>
      <c r="AX271" s="49">
        <f t="shared" ref="AX271:BU271" si="389">AX268/AX$272</f>
      </c>
      <c r="AY271" s="49">
        <f t="shared" si="389"/>
      </c>
      <c r="AZ271" s="49">
        <f t="shared" si="389"/>
      </c>
      <c r="BA271" s="49">
        <f t="shared" si="389"/>
      </c>
      <c r="BB271" s="49">
        <f t="shared" si="389"/>
      </c>
      <c r="BC271" s="49">
        <f t="shared" si="389"/>
      </c>
      <c r="BD271" s="49">
        <f t="shared" si="389"/>
      </c>
      <c r="BE271" s="49">
        <f t="shared" si="389"/>
      </c>
      <c r="BF271" s="49">
        <f t="shared" si="389"/>
      </c>
      <c r="BG271" s="49">
        <f t="shared" si="389"/>
      </c>
      <c r="BH271" s="49">
        <f t="shared" si="389"/>
      </c>
      <c r="BI271" s="49">
        <f t="shared" si="389"/>
      </c>
      <c r="BJ271" s="49">
        <f t="shared" si="389"/>
      </c>
      <c r="BK271" s="49">
        <f t="shared" si="389"/>
      </c>
      <c r="BL271" s="49">
        <f t="shared" si="389"/>
      </c>
      <c r="BM271" s="49">
        <f t="shared" si="389"/>
      </c>
      <c r="BN271" s="49">
        <f t="shared" si="389"/>
      </c>
      <c r="BO271" s="49">
        <f t="shared" si="389"/>
      </c>
      <c r="BP271" s="49">
        <f t="shared" si="389"/>
      </c>
      <c r="BQ271" s="49">
        <f t="shared" si="389"/>
      </c>
      <c r="BR271" s="49">
        <f t="shared" si="389"/>
      </c>
      <c r="BS271" s="49">
        <f t="shared" si="389"/>
      </c>
      <c r="BT271" s="49">
        <f t="shared" si="389"/>
      </c>
      <c r="BU271" s="49">
        <f t="shared" si="389"/>
      </c>
      <c r="BV271" s="49">
        <f>BV268/BV$272</f>
      </c>
      <c r="BW271" s="49">
        <f>BW268/BW$272</f>
      </c>
      <c r="BX271" s="49">
        <f>BX268/BX$272</f>
      </c>
      <c r="BY271" s="49">
        <f>BY268/BY$272</f>
      </c>
      <c r="BZ271" s="341"/>
      <c r="CA271" s="341"/>
      <c r="CB271" s="341"/>
      <c r="CC271" s="341"/>
      <c r="CD271" s="341"/>
      <c r="CE271" s="341"/>
      <c r="CF271" s="341"/>
      <c r="CG271" s="341"/>
      <c r="CH271" s="341"/>
      <c r="CI271" s="341"/>
      <c r="CJ271" s="341"/>
      <c r="CK271" s="341"/>
      <c r="CL271" s="341"/>
      <c r="CM271" s="341"/>
      <c r="CN271" s="341"/>
      <c r="CO271" s="341"/>
      <c r="CP271" s="341"/>
      <c r="CQ271" s="341"/>
      <c r="CR271" s="341"/>
      <c r="CS271" s="341"/>
      <c r="CT271" s="341"/>
      <c r="CU271" s="341"/>
      <c r="CV271" s="341"/>
      <c r="CW271" s="341"/>
      <c r="CX271" s="341"/>
      <c r="CY271" s="341"/>
      <c r="CZ271" s="341"/>
      <c r="DA271" s="341"/>
      <c r="DB271" s="341"/>
      <c r="DC271" s="341"/>
      <c r="DD271" s="341"/>
      <c r="DE271" s="341"/>
      <c r="DQ271" s="62"/>
      <c r="DR271" s="62"/>
      <c r="DS271" s="62"/>
      <c r="DT271" s="394">
        <f t="shared" ref="DT271:DZ271" si="390">DT268/DT$272</f>
      </c>
      <c r="DU271" s="394">
        <f t="shared" si="390"/>
      </c>
      <c r="DV271" s="49">
        <f t="shared" si="390"/>
      </c>
      <c r="DW271" s="49">
        <f t="shared" si="390"/>
      </c>
      <c r="DX271" s="49">
        <f t="shared" si="390"/>
      </c>
      <c r="DY271" s="49">
        <f t="shared" si="390"/>
      </c>
      <c r="DZ271" s="49">
        <f t="shared" si="390"/>
      </c>
      <c r="EA271" s="341"/>
      <c r="EB271" s="341"/>
      <c r="EC271" s="341"/>
      <c r="ED271" s="341"/>
      <c r="EE271" s="341"/>
      <c r="EF271" s="341"/>
      <c r="EG271" s="341"/>
      <c r="EH271" s="341"/>
    </row>
    <row r="272" spans="1:140" s="47" customFormat="1" outlineLevel="1">
      <c r="A272" s="35" t="s">
        <v>243</v>
      </c>
      <c r="AX272" s="35">
        <f t="shared" ref="AX272:CA272" si="391">AX268+AX264+AX260</f>
      </c>
      <c r="AY272" s="35">
        <f t="shared" si="391"/>
      </c>
      <c r="AZ272" s="35">
        <f t="shared" si="391"/>
      </c>
      <c r="BA272" s="35">
        <f t="shared" si="391"/>
      </c>
      <c r="BB272" s="35">
        <f t="shared" si="391"/>
      </c>
      <c r="BC272" s="35">
        <f t="shared" si="391"/>
      </c>
      <c r="BD272" s="35">
        <f t="shared" si="391"/>
      </c>
      <c r="BE272" s="35">
        <f t="shared" si="391"/>
      </c>
      <c r="BF272" s="35">
        <f t="shared" si="391"/>
      </c>
      <c r="BG272" s="35">
        <f t="shared" si="391"/>
      </c>
      <c r="BH272" s="35">
        <f t="shared" si="391"/>
      </c>
      <c r="BI272" s="35">
        <f t="shared" si="391"/>
      </c>
      <c r="BJ272" s="35">
        <f t="shared" si="391"/>
      </c>
      <c r="BK272" s="35">
        <f t="shared" si="391"/>
      </c>
      <c r="BL272" s="35">
        <f t="shared" si="391"/>
      </c>
      <c r="BM272" s="35">
        <f t="shared" si="391"/>
      </c>
      <c r="BN272" s="35">
        <f>BN268+BN264+BN260</f>
      </c>
      <c r="BO272" s="35">
        <f t="shared" si="391"/>
      </c>
      <c r="BP272" s="35">
        <f t="shared" si="391"/>
      </c>
      <c r="BQ272" s="35">
        <f t="shared" si="391"/>
      </c>
      <c r="BR272" s="35">
        <f t="shared" si="391"/>
      </c>
      <c r="BS272" s="35">
        <f t="shared" si="391"/>
      </c>
      <c r="BT272" s="35">
        <f t="shared" si="391"/>
      </c>
      <c r="BU272" s="35">
        <f t="shared" si="391"/>
      </c>
      <c r="BV272" s="35">
        <f t="shared" si="391"/>
      </c>
      <c r="BW272" s="35">
        <f t="shared" si="391"/>
      </c>
      <c r="BX272" s="35">
        <f t="shared" si="391"/>
      </c>
      <c r="BY272" s="35">
        <f t="shared" si="391"/>
      </c>
      <c r="BZ272" s="35">
        <f t="shared" si="391"/>
      </c>
      <c r="CA272" s="35">
        <f t="shared" si="391"/>
      </c>
      <c r="CB272" s="338"/>
      <c r="CC272" s="338"/>
      <c r="CD272" s="338"/>
      <c r="CE272" s="338"/>
      <c r="CF272" s="338"/>
      <c r="CG272" s="338"/>
      <c r="CH272" s="338"/>
      <c r="CI272" s="338"/>
      <c r="CJ272" s="338"/>
      <c r="CK272" s="338"/>
      <c r="CL272" s="338"/>
      <c r="CM272" s="338"/>
      <c r="CN272" s="338"/>
      <c r="CO272" s="338"/>
      <c r="CP272" s="338"/>
      <c r="CQ272" s="338"/>
      <c r="CR272" s="338"/>
      <c r="CS272" s="338"/>
      <c r="CT272" s="338"/>
      <c r="CU272" s="338"/>
      <c r="CV272" s="338"/>
      <c r="CW272" s="338"/>
      <c r="CX272" s="338"/>
      <c r="CY272" s="338"/>
      <c r="CZ272" s="338"/>
      <c r="DA272" s="338"/>
      <c r="DB272" s="338"/>
      <c r="DC272" s="338"/>
      <c r="DD272" s="338"/>
      <c r="DE272" s="338"/>
      <c r="DQ272" s="35"/>
      <c r="DR272" s="35"/>
      <c r="DS272" s="35"/>
      <c r="DT272" s="35">
        <f>SUM(AX272:BA272)</f>
      </c>
      <c r="DU272" s="35">
        <f>SUM(BB272:BE272)</f>
      </c>
      <c r="DV272" s="35">
        <f>SUM(BF272:BI272)</f>
      </c>
      <c r="DW272" s="35">
        <f>SUM(BJ272:BM272)</f>
      </c>
      <c r="DX272" s="35">
        <f>SUM(BN272:BQ272)</f>
      </c>
      <c r="DY272" s="35">
        <f>SUM(BR272:BU272)</f>
      </c>
      <c r="DZ272" s="35">
        <f>BV272+BW272+BX272+BY272</f>
      </c>
      <c r="EA272" s="338"/>
      <c r="EB272" s="338"/>
      <c r="EC272" s="338"/>
      <c r="ED272" s="338"/>
      <c r="EE272" s="338"/>
      <c r="EF272" s="338"/>
      <c r="EG272" s="338"/>
      <c r="EH272" s="338"/>
    </row>
    <row r="273" spans="1:138" s="49" customFormat="1" outlineLevel="1">
      <c r="A273" s="48" t="s">
        <v>196</v>
      </c>
      <c r="AY273" s="49">
        <f t="shared" ref="AY273:CA273" si="392">AY272/AX272-1</f>
      </c>
      <c r="AZ273" s="49">
        <f t="shared" si="392"/>
      </c>
      <c r="BA273" s="49">
        <f t="shared" si="392"/>
      </c>
      <c r="BB273" s="49">
        <f t="shared" si="392"/>
      </c>
      <c r="BC273" s="49">
        <f t="shared" si="392"/>
      </c>
      <c r="BD273" s="49">
        <f t="shared" si="392"/>
      </c>
      <c r="BE273" s="49">
        <f t="shared" si="392"/>
      </c>
      <c r="BF273" s="49">
        <f t="shared" si="392"/>
      </c>
      <c r="BG273" s="49">
        <f t="shared" si="392"/>
      </c>
      <c r="BH273" s="49">
        <f t="shared" si="392"/>
      </c>
      <c r="BI273" s="49">
        <f t="shared" si="392"/>
      </c>
      <c r="BJ273" s="49">
        <f t="shared" si="392"/>
      </c>
      <c r="BK273" s="49">
        <f t="shared" si="392"/>
      </c>
      <c r="BL273" s="49">
        <f t="shared" si="392"/>
      </c>
      <c r="BM273" s="49">
        <f t="shared" si="392"/>
      </c>
      <c r="BN273" s="49">
        <f t="shared" si="392"/>
      </c>
      <c r="BO273" s="49">
        <f t="shared" si="392"/>
      </c>
      <c r="BP273" s="49">
        <f t="shared" si="392"/>
      </c>
      <c r="BQ273" s="49">
        <f t="shared" si="392"/>
      </c>
      <c r="BR273" s="49">
        <f t="shared" si="392"/>
      </c>
      <c r="BS273" s="49">
        <f t="shared" si="392"/>
      </c>
      <c r="BT273" s="49">
        <f t="shared" si="392"/>
      </c>
      <c r="BU273" s="49">
        <f t="shared" si="392"/>
      </c>
      <c r="BV273" s="49">
        <f t="shared" si="392"/>
      </c>
      <c r="BW273" s="49">
        <f t="shared" si="392"/>
      </c>
      <c r="BX273" s="49">
        <f t="shared" si="392"/>
      </c>
      <c r="BY273" s="49">
        <f t="shared" si="392"/>
      </c>
      <c r="BZ273" s="49">
        <f t="shared" si="392"/>
      </c>
      <c r="CA273" s="49" t="e">
        <f t="shared" si="392"/>
      </c>
      <c r="CB273" s="341"/>
      <c r="CC273" s="341"/>
      <c r="CD273" s="341"/>
      <c r="CE273" s="341"/>
      <c r="CF273" s="341"/>
      <c r="CG273" s="341"/>
      <c r="CH273" s="341"/>
      <c r="CI273" s="341"/>
      <c r="CJ273" s="341"/>
      <c r="CK273" s="341"/>
      <c r="CL273" s="341"/>
      <c r="CM273" s="341"/>
      <c r="CN273" s="341"/>
      <c r="CO273" s="341"/>
      <c r="CP273" s="341"/>
      <c r="CQ273" s="341"/>
      <c r="CR273" s="341"/>
      <c r="CS273" s="341"/>
      <c r="CT273" s="341"/>
      <c r="CU273" s="341"/>
      <c r="CV273" s="341"/>
      <c r="CW273" s="341"/>
      <c r="CX273" s="341"/>
      <c r="CY273" s="341"/>
      <c r="CZ273" s="341"/>
      <c r="DA273" s="341"/>
      <c r="DB273" s="341"/>
      <c r="DC273" s="341"/>
      <c r="DD273" s="341"/>
      <c r="DE273" s="341"/>
      <c r="DU273" s="394"/>
      <c r="DV273" s="394"/>
      <c r="DW273" s="394"/>
      <c r="DX273" s="394"/>
      <c r="DY273" s="394"/>
      <c r="DZ273" s="394"/>
      <c r="EA273" s="398"/>
      <c r="EB273" s="398"/>
      <c r="EC273" s="398"/>
      <c r="ED273" s="398"/>
      <c r="EE273" s="398"/>
      <c r="EF273" s="398"/>
      <c r="EG273" s="398"/>
      <c r="EH273" s="398"/>
    </row>
    <row r="274" spans="1:138" s="49" customFormat="1" outlineLevel="1">
      <c r="A274" s="48" t="s">
        <v>198</v>
      </c>
      <c r="BB274" s="49">
        <f t="shared" ref="BB274:CA274" si="393">BB272/AX272-1</f>
      </c>
      <c r="BC274" s="49">
        <f t="shared" si="393"/>
      </c>
      <c r="BD274" s="49">
        <f t="shared" si="393"/>
      </c>
      <c r="BE274" s="49">
        <f t="shared" si="393"/>
      </c>
      <c r="BF274" s="49">
        <f t="shared" si="393"/>
      </c>
      <c r="BG274" s="49">
        <f t="shared" si="393"/>
      </c>
      <c r="BH274" s="49">
        <f t="shared" si="393"/>
      </c>
      <c r="BI274" s="49">
        <f t="shared" si="393"/>
      </c>
      <c r="BJ274" s="49">
        <f t="shared" si="393"/>
      </c>
      <c r="BK274" s="49">
        <f t="shared" si="393"/>
      </c>
      <c r="BL274" s="49">
        <f t="shared" si="393"/>
      </c>
      <c r="BM274" s="49">
        <f t="shared" si="393"/>
      </c>
      <c r="BN274" s="49">
        <f t="shared" si="393"/>
      </c>
      <c r="BO274" s="49">
        <f t="shared" si="393"/>
      </c>
      <c r="BP274" s="49">
        <f t="shared" si="393"/>
      </c>
      <c r="BQ274" s="49">
        <f t="shared" si="393"/>
      </c>
      <c r="BR274" s="49">
        <f t="shared" si="393"/>
      </c>
      <c r="BS274" s="49">
        <f t="shared" si="393"/>
      </c>
      <c r="BT274" s="49">
        <f t="shared" si="393"/>
      </c>
      <c r="BU274" s="49">
        <f t="shared" si="393"/>
      </c>
      <c r="BV274" s="49">
        <f t="shared" si="393"/>
      </c>
      <c r="BW274" s="49">
        <f t="shared" si="393"/>
      </c>
      <c r="BX274" s="49">
        <f t="shared" si="393"/>
      </c>
      <c r="BY274" s="49">
        <f t="shared" si="393"/>
      </c>
      <c r="BZ274" s="49">
        <f t="shared" si="393"/>
      </c>
      <c r="CA274" s="49">
        <f t="shared" si="393"/>
      </c>
      <c r="CB274" s="341"/>
      <c r="CC274" s="341"/>
      <c r="CD274" s="341"/>
      <c r="CE274" s="341"/>
      <c r="CF274" s="341"/>
      <c r="CG274" s="341"/>
      <c r="CH274" s="341"/>
      <c r="CI274" s="341"/>
      <c r="CJ274" s="341"/>
      <c r="CK274" s="341"/>
      <c r="CL274" s="341"/>
      <c r="CM274" s="341"/>
      <c r="CN274" s="341"/>
      <c r="CO274" s="341"/>
      <c r="CP274" s="341"/>
      <c r="CQ274" s="341"/>
      <c r="CR274" s="341"/>
      <c r="CS274" s="341"/>
      <c r="CT274" s="341"/>
      <c r="CU274" s="341"/>
      <c r="CV274" s="341"/>
      <c r="CW274" s="341"/>
      <c r="CX274" s="341"/>
      <c r="CY274" s="341"/>
      <c r="CZ274" s="341"/>
      <c r="DA274" s="341"/>
      <c r="DB274" s="341"/>
      <c r="DC274" s="341"/>
      <c r="DD274" s="341"/>
      <c r="DE274" s="341"/>
      <c r="DU274" s="394">
        <f t="shared" ref="DU274:DZ274" si="394">DU272/DT272-1</f>
      </c>
      <c r="DV274" s="49">
        <f t="shared" si="394"/>
      </c>
      <c r="DW274" s="49">
        <f t="shared" si="394"/>
      </c>
      <c r="DX274" s="49">
        <f t="shared" si="394"/>
      </c>
      <c r="DY274" s="49">
        <f t="shared" si="394"/>
      </c>
      <c r="DZ274" s="49">
        <f t="shared" si="394"/>
      </c>
      <c r="EA274" s="345"/>
      <c r="EB274" s="345"/>
      <c r="EC274" s="345"/>
      <c r="ED274" s="345"/>
      <c r="EE274" s="345"/>
      <c r="EF274" s="345"/>
      <c r="EG274" s="345"/>
      <c r="EH274" s="345"/>
    </row>
    <row r="275" spans="1:138" s="49" customFormat="1" outlineLevel="1">
      <c r="A275" s="48" t="s">
        <v>241</v>
      </c>
      <c r="AX275" s="49">
        <f t="shared" ref="AX275:CA275" si="395">AX272/AX$272</f>
      </c>
      <c r="AY275" s="49">
        <f t="shared" si="395"/>
      </c>
      <c r="AZ275" s="49">
        <f t="shared" si="395"/>
      </c>
      <c r="BA275" s="49">
        <f t="shared" si="395"/>
      </c>
      <c r="BB275" s="49">
        <f t="shared" si="395"/>
      </c>
      <c r="BC275" s="49">
        <f t="shared" si="395"/>
      </c>
      <c r="BD275" s="49">
        <f t="shared" si="395"/>
      </c>
      <c r="BE275" s="49">
        <f t="shared" si="395"/>
      </c>
      <c r="BF275" s="49">
        <f t="shared" si="395"/>
      </c>
      <c r="BG275" s="49">
        <f t="shared" si="395"/>
      </c>
      <c r="BH275" s="49">
        <f t="shared" si="395"/>
      </c>
      <c r="BI275" s="49">
        <f t="shared" si="395"/>
      </c>
      <c r="BJ275" s="49">
        <f t="shared" si="395"/>
      </c>
      <c r="BK275" s="49">
        <f t="shared" si="395"/>
      </c>
      <c r="BL275" s="49">
        <f t="shared" si="395"/>
      </c>
      <c r="BM275" s="49">
        <f t="shared" si="395"/>
      </c>
      <c r="BN275" s="49">
        <f t="shared" si="395"/>
      </c>
      <c r="BO275" s="49">
        <f t="shared" si="395"/>
      </c>
      <c r="BP275" s="49">
        <f t="shared" si="395"/>
      </c>
      <c r="BQ275" s="49">
        <f t="shared" si="395"/>
      </c>
      <c r="BR275" s="49">
        <f t="shared" si="395"/>
      </c>
      <c r="BS275" s="49">
        <f t="shared" si="395"/>
      </c>
      <c r="BT275" s="49">
        <f t="shared" si="395"/>
      </c>
      <c r="BU275" s="49">
        <f t="shared" si="395"/>
      </c>
      <c r="BV275" s="49">
        <f t="shared" si="395"/>
      </c>
      <c r="BW275" s="49">
        <f t="shared" si="395"/>
      </c>
      <c r="BX275" s="49">
        <f t="shared" si="395"/>
      </c>
      <c r="BY275" s="49">
        <f t="shared" si="395"/>
      </c>
      <c r="BZ275" s="49" t="e">
        <f t="shared" si="395"/>
      </c>
      <c r="CA275" s="49" t="e">
        <f t="shared" si="395"/>
      </c>
      <c r="CB275" s="341"/>
      <c r="CC275" s="341"/>
      <c r="CD275" s="341"/>
      <c r="CE275" s="341"/>
      <c r="CF275" s="341"/>
      <c r="CG275" s="341"/>
      <c r="CH275" s="341"/>
      <c r="CI275" s="341"/>
      <c r="CJ275" s="341"/>
      <c r="CK275" s="341"/>
      <c r="CL275" s="341"/>
      <c r="CM275" s="341"/>
      <c r="CN275" s="341"/>
      <c r="CO275" s="341"/>
      <c r="CP275" s="341"/>
      <c r="CQ275" s="341"/>
      <c r="CR275" s="341"/>
      <c r="CS275" s="341"/>
      <c r="CT275" s="341"/>
      <c r="CU275" s="341"/>
      <c r="CV275" s="341"/>
      <c r="CW275" s="341"/>
      <c r="CX275" s="341"/>
      <c r="CY275" s="341"/>
      <c r="CZ275" s="341"/>
      <c r="DA275" s="341"/>
      <c r="DB275" s="341"/>
      <c r="DC275" s="341"/>
      <c r="DD275" s="341"/>
      <c r="DE275" s="341"/>
      <c r="DS275" s="394"/>
      <c r="DT275" s="394"/>
      <c r="DU275" s="394"/>
    </row>
    <row r="276" spans="1:138">
      <c r="BK276" s="417">
        <f t="shared" ref="BK276:CA276" si="396">BK272-BK5</f>
      </c>
      <c r="BL276" s="417">
        <f t="shared" si="396"/>
      </c>
      <c r="BM276" s="417">
        <f t="shared" si="396"/>
      </c>
      <c r="BN276" s="417">
        <f t="shared" si="396"/>
      </c>
      <c r="BO276" s="370">
        <f t="shared" si="396"/>
      </c>
      <c r="BP276" s="417">
        <f t="shared" si="396"/>
      </c>
      <c r="BQ276" s="417">
        <f t="shared" si="396"/>
      </c>
      <c r="BR276" s="417">
        <f t="shared" si="396"/>
      </c>
      <c r="BS276" s="417">
        <f t="shared" si="396"/>
      </c>
      <c r="BT276" s="417">
        <f t="shared" si="396"/>
      </c>
      <c r="BU276" s="417">
        <f t="shared" si="396"/>
      </c>
      <c r="BV276" s="417">
        <f t="shared" si="396"/>
      </c>
      <c r="BW276" s="417">
        <f t="shared" si="396"/>
      </c>
      <c r="BX276" s="417">
        <f t="shared" si="396"/>
      </c>
      <c r="BY276" s="417">
        <f t="shared" si="396"/>
      </c>
      <c r="BZ276" s="417">
        <f t="shared" si="396"/>
      </c>
      <c r="CA276" s="417">
        <f t="shared" si="396"/>
      </c>
      <c r="CB276" s="417"/>
      <c r="CC276" s="417"/>
      <c r="CD276" s="417"/>
      <c r="CE276" s="417"/>
      <c r="CF276" s="417"/>
      <c r="CG276" s="417"/>
      <c r="CH276" s="417"/>
      <c r="CI276" s="417"/>
      <c r="CJ276" s="417"/>
      <c r="CK276" s="417"/>
      <c r="CL276" s="417"/>
      <c r="CM276" s="417"/>
      <c r="CN276" s="417"/>
      <c r="CO276" s="417"/>
      <c r="CP276" s="417"/>
      <c r="CQ276" s="417"/>
      <c r="CR276" s="417"/>
      <c r="CS276" s="417"/>
      <c r="CT276" s="417"/>
      <c r="CU276" s="417"/>
      <c r="CV276" s="417"/>
      <c r="CW276" s="417"/>
      <c r="CX276" s="417"/>
      <c r="CY276" s="417"/>
      <c r="CZ276" s="417"/>
      <c r="DA276" s="417"/>
      <c r="DB276" s="417"/>
      <c r="DC276" s="417"/>
      <c r="DD276" s="417"/>
      <c r="DE276" s="417"/>
    </row>
    <row r="278" spans="1:138">
      <c r="A278" s="415" t="s">
        <v>62</v>
      </c>
    </row>
    <row r="279" spans="1:138">
      <c r="A279" s="38" t="s">
        <v>208</v>
      </c>
      <c r="BB279" s="418">
        <v>47.805</v>
      </c>
      <c r="BC279" s="418">
        <v>51.006999999999998</v>
      </c>
      <c r="BD279" s="418">
        <v>53.786000000000001</v>
      </c>
      <c r="BE279" s="418">
        <v>56.814</v>
      </c>
      <c r="BF279" s="418">
        <v>56.427999999999997</v>
      </c>
      <c r="BG279" s="418">
        <v>62.015000000000001</v>
      </c>
      <c r="BH279" s="418">
        <v>65.405000000000001</v>
      </c>
      <c r="BI279" s="418">
        <v>65.62</v>
      </c>
      <c r="BJ279" s="418">
        <v>71.171999999999997</v>
      </c>
      <c r="BK279" s="418">
        <v>82.298000000000002</v>
      </c>
      <c r="BL279" s="418">
        <v>83.927999999999997</v>
      </c>
      <c r="BM279" s="418">
        <v>85.650999999999996</v>
      </c>
      <c r="BN279" s="418">
        <v>89.582999999999998</v>
      </c>
      <c r="BO279" s="418">
        <v>92.347999999999999</v>
      </c>
      <c r="BP279" s="418">
        <v>90.915999999999997</v>
      </c>
      <c r="BQ279" s="418">
        <v>95.295000000000002</v>
      </c>
      <c r="BR279" s="38">
        <f>86.426-0.192-0.287</f>
      </c>
      <c r="BS279" s="38">
        <f>86.074-0.194-0.088</f>
      </c>
      <c r="BT279" s="38">
        <f>91.595-0.196</f>
      </c>
      <c r="BU279" s="38">
        <f>92.126-0.196</f>
      </c>
      <c r="BV279" s="38">
        <f>92.205-0.192</f>
      </c>
      <c r="BW279" s="38">
        <f>99.329-0.194-0.231</f>
      </c>
      <c r="BX279" s="38">
        <f>107.38-0.196</f>
      </c>
      <c r="BY279" s="38">
        <f>115.961-0.196</f>
      </c>
      <c r="BZ279" s="38">
        <f>122.426-0.206</f>
      </c>
      <c r="CA279" s="38">
        <f>+CA282*CA$103</f>
      </c>
      <c r="CB279" s="38">
        <f>+CB282*CB$103</f>
      </c>
    </row>
    <row r="280" spans="1:138">
      <c r="A280" s="372" t="s">
        <v>196</v>
      </c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35"/>
      <c r="AD280" s="35"/>
      <c r="AE280" s="35"/>
      <c r="AF280" s="35"/>
      <c r="AG280" s="35"/>
      <c r="AH280" s="35"/>
      <c r="AI280" s="35"/>
      <c r="AJ280" s="35"/>
      <c r="AK280" s="35"/>
      <c r="AL280" s="35"/>
      <c r="AM280" s="35"/>
      <c r="AN280" s="35"/>
      <c r="AO280" s="35"/>
      <c r="AP280" s="35"/>
      <c r="AQ280" s="35"/>
      <c r="AR280" s="35"/>
      <c r="AS280" s="35"/>
      <c r="AT280" s="35"/>
      <c r="AU280" s="35"/>
      <c r="AV280" s="35"/>
      <c r="AW280" s="35"/>
      <c r="AX280" s="35"/>
      <c r="AY280" s="35"/>
      <c r="AZ280" s="35"/>
      <c r="BA280" s="35"/>
      <c r="BB280" s="35"/>
      <c r="BC280" s="49">
        <f t="shared" ref="BC280:BZ280" si="397">BC279/BB279-1</f>
      </c>
      <c r="BD280" s="49">
        <f t="shared" si="397"/>
      </c>
      <c r="BE280" s="49">
        <f t="shared" si="397"/>
      </c>
      <c r="BF280" s="49">
        <f t="shared" si="397"/>
      </c>
      <c r="BG280" s="49">
        <f t="shared" si="397"/>
      </c>
      <c r="BH280" s="49">
        <f t="shared" si="397"/>
      </c>
      <c r="BI280" s="49">
        <f t="shared" si="397"/>
      </c>
      <c r="BJ280" s="49">
        <f t="shared" si="397"/>
      </c>
      <c r="BK280" s="49">
        <f t="shared" si="397"/>
      </c>
      <c r="BL280" s="49">
        <f t="shared" si="397"/>
      </c>
      <c r="BM280" s="49">
        <f t="shared" si="397"/>
      </c>
      <c r="BN280" s="49">
        <f t="shared" si="397"/>
      </c>
      <c r="BO280" s="49">
        <f t="shared" si="397"/>
      </c>
      <c r="BP280" s="49">
        <f t="shared" si="397"/>
      </c>
      <c r="BQ280" s="49">
        <f t="shared" si="397"/>
      </c>
      <c r="BR280" s="49">
        <f t="shared" si="397"/>
      </c>
      <c r="BS280" s="49">
        <f t="shared" si="397"/>
      </c>
      <c r="BT280" s="49">
        <f t="shared" si="397"/>
      </c>
      <c r="BU280" s="49">
        <f t="shared" si="397"/>
      </c>
      <c r="BV280" s="49">
        <f t="shared" si="397"/>
      </c>
      <c r="BW280" s="49">
        <f t="shared" si="397"/>
      </c>
      <c r="BX280" s="341">
        <f t="shared" si="397"/>
      </c>
      <c r="BY280" s="341">
        <f t="shared" si="397"/>
      </c>
      <c r="BZ280" s="341">
        <f t="shared" si="397"/>
      </c>
    </row>
    <row r="281" spans="1:138">
      <c r="A281" s="372" t="s">
        <v>198</v>
      </c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  <c r="AD281" s="35"/>
      <c r="AE281" s="35"/>
      <c r="AF281" s="35"/>
      <c r="AG281" s="35"/>
      <c r="AH281" s="35"/>
      <c r="AI281" s="35"/>
      <c r="AJ281" s="35"/>
      <c r="AK281" s="35"/>
      <c r="AL281" s="35"/>
      <c r="AM281" s="35"/>
      <c r="AN281" s="35"/>
      <c r="AO281" s="35"/>
      <c r="AP281" s="35"/>
      <c r="AQ281" s="35"/>
      <c r="AR281" s="35"/>
      <c r="AS281" s="35"/>
      <c r="AT281" s="35"/>
      <c r="AU281" s="35"/>
      <c r="AV281" s="35"/>
      <c r="AW281" s="35"/>
      <c r="AX281" s="35"/>
      <c r="AY281" s="35"/>
      <c r="AZ281" s="35"/>
      <c r="BA281" s="35"/>
      <c r="BB281" s="35"/>
      <c r="BC281" s="35"/>
      <c r="BD281" s="35"/>
      <c r="BE281" s="35"/>
      <c r="BF281" s="394">
        <f t="shared" ref="BF281:BZ281" si="398">BF279/BB279-1</f>
      </c>
      <c r="BG281" s="394">
        <f t="shared" si="398"/>
      </c>
      <c r="BH281" s="394">
        <f t="shared" si="398"/>
      </c>
      <c r="BI281" s="394">
        <f t="shared" si="398"/>
      </c>
      <c r="BJ281" s="394">
        <f t="shared" si="398"/>
      </c>
      <c r="BK281" s="394">
        <f t="shared" si="398"/>
      </c>
      <c r="BL281" s="394">
        <f t="shared" si="398"/>
      </c>
      <c r="BM281" s="394">
        <f t="shared" si="398"/>
      </c>
      <c r="BN281" s="394">
        <f t="shared" si="398"/>
      </c>
      <c r="BO281" s="394">
        <f t="shared" si="398"/>
      </c>
      <c r="BP281" s="394">
        <f t="shared" si="398"/>
      </c>
      <c r="BQ281" s="394">
        <f t="shared" si="398"/>
      </c>
      <c r="BR281" s="394">
        <f t="shared" si="398"/>
      </c>
      <c r="BS281" s="394">
        <f t="shared" si="398"/>
      </c>
      <c r="BT281" s="394">
        <f t="shared" si="398"/>
      </c>
      <c r="BU281" s="394">
        <f t="shared" si="398"/>
      </c>
      <c r="BV281" s="394">
        <f t="shared" si="398"/>
      </c>
      <c r="BW281" s="394">
        <f t="shared" si="398"/>
      </c>
      <c r="BX281" s="398">
        <f t="shared" si="398"/>
      </c>
      <c r="BY281" s="398">
        <f t="shared" si="398"/>
      </c>
      <c r="BZ281" s="398">
        <f t="shared" si="398"/>
      </c>
    </row>
    <row r="282" spans="1:138">
      <c r="A282" s="419" t="s">
        <v>293</v>
      </c>
      <c r="BB282" s="420">
        <f t="shared" ref="BB282:BZ282" si="399">+BB279/BB$103</f>
      </c>
      <c r="BC282" s="420">
        <f t="shared" si="399"/>
      </c>
      <c r="BD282" s="420">
        <f t="shared" si="399"/>
      </c>
      <c r="BE282" s="420">
        <f t="shared" si="399"/>
      </c>
      <c r="BF282" s="420">
        <f t="shared" si="399"/>
      </c>
      <c r="BG282" s="420">
        <f t="shared" si="399"/>
      </c>
      <c r="BH282" s="420">
        <f t="shared" si="399"/>
      </c>
      <c r="BI282" s="420">
        <f t="shared" si="399"/>
      </c>
      <c r="BJ282" s="420">
        <f t="shared" si="399"/>
      </c>
      <c r="BK282" s="420">
        <f t="shared" si="399"/>
      </c>
      <c r="BL282" s="420">
        <f t="shared" si="399"/>
      </c>
      <c r="BM282" s="420">
        <f t="shared" si="399"/>
      </c>
      <c r="BN282" s="420">
        <f t="shared" si="399"/>
      </c>
      <c r="BO282" s="420">
        <f t="shared" si="399"/>
      </c>
      <c r="BP282" s="420">
        <f t="shared" si="399"/>
      </c>
      <c r="BQ282" s="420">
        <f t="shared" si="399"/>
      </c>
      <c r="BR282" s="55">
        <f t="shared" si="399"/>
      </c>
      <c r="BS282" s="55">
        <f t="shared" si="399"/>
      </c>
      <c r="BT282" s="55">
        <f t="shared" si="399"/>
      </c>
      <c r="BU282" s="55">
        <f t="shared" si="399"/>
      </c>
      <c r="BV282" s="55">
        <f t="shared" si="399"/>
      </c>
      <c r="BW282" s="55">
        <f t="shared" si="399"/>
      </c>
      <c r="BX282" s="55">
        <f t="shared" si="399"/>
      </c>
      <c r="BY282" s="55">
        <f t="shared" si="399"/>
      </c>
      <c r="BZ282" s="55">
        <f t="shared" si="399"/>
      </c>
      <c r="CA282" s="421">
        <v>0.3</v>
      </c>
      <c r="CB282" s="421">
        <v>0.3</v>
      </c>
    </row>
    <row r="283" spans="1:138">
      <c r="A283" s="38" t="s">
        <v>294</v>
      </c>
      <c r="BB283" s="418">
        <v>27.367999999999999</v>
      </c>
      <c r="BC283" s="418">
        <v>28.541</v>
      </c>
      <c r="BD283" s="418">
        <v>27.364000000000001</v>
      </c>
      <c r="BE283" s="418">
        <v>29.565000000000001</v>
      </c>
      <c r="BF283" s="418">
        <v>31.829000000000001</v>
      </c>
      <c r="BG283" s="418">
        <v>33.911999999999999</v>
      </c>
      <c r="BH283" s="418">
        <v>34.981999999999999</v>
      </c>
      <c r="BI283" s="418">
        <v>39.594999999999999</v>
      </c>
      <c r="BJ283" s="418">
        <v>47.353999999999999</v>
      </c>
      <c r="BK283" s="418">
        <v>45.621000000000002</v>
      </c>
      <c r="BL283" s="418">
        <v>47.515999999999998</v>
      </c>
      <c r="BM283" s="418">
        <v>49.156999999999996</v>
      </c>
      <c r="BN283" s="418">
        <v>48.235999999999997</v>
      </c>
      <c r="BO283" s="418">
        <v>51.125</v>
      </c>
      <c r="BP283" s="418">
        <v>50.868000000000002</v>
      </c>
      <c r="BQ283" s="418">
        <v>52.95</v>
      </c>
      <c r="BR283" s="38">
        <f>39.494+16.516-3.831-2.23</f>
      </c>
      <c r="BS283" s="38">
        <f>59.038-2.033-10.366</f>
      </c>
      <c r="BT283" s="38">
        <f>49.856-2.033-1.003</f>
      </c>
      <c r="BU283" s="38">
        <f>51.552-2.033</f>
      </c>
      <c r="BV283" s="38">
        <f>40.097+19.271+0.903-1.844-4.654</f>
      </c>
      <c r="BW283" s="38">
        <f>39.302+19.199-1.567-3.434</f>
      </c>
      <c r="BX283" s="38">
        <f>41.166+20.106-1.567-3.407</f>
      </c>
      <c r="BY283" s="38">
        <f>42.161+20.897-1.567-4.406</f>
      </c>
      <c r="BZ283" s="38">
        <f>44.209+17.297-1.59-1.08</f>
      </c>
      <c r="CA283" s="38">
        <f>+CA286*CA$103</f>
      </c>
      <c r="CB283" s="38">
        <f>+CB286*CB$103</f>
      </c>
    </row>
    <row r="284" spans="1:138">
      <c r="A284" s="372" t="s">
        <v>196</v>
      </c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  <c r="AD284" s="35"/>
      <c r="AE284" s="35"/>
      <c r="AF284" s="35"/>
      <c r="AG284" s="35"/>
      <c r="AH284" s="35"/>
      <c r="AI284" s="35"/>
      <c r="AJ284" s="35"/>
      <c r="AK284" s="35"/>
      <c r="AL284" s="35"/>
      <c r="AM284" s="35"/>
      <c r="AN284" s="35"/>
      <c r="AO284" s="35"/>
      <c r="AP284" s="35"/>
      <c r="AQ284" s="35"/>
      <c r="AR284" s="35"/>
      <c r="AS284" s="35"/>
      <c r="AT284" s="35"/>
      <c r="AU284" s="35"/>
      <c r="AV284" s="35"/>
      <c r="AW284" s="35"/>
      <c r="AX284" s="35"/>
      <c r="AY284" s="35"/>
      <c r="AZ284" s="35"/>
      <c r="BA284" s="35"/>
      <c r="BB284" s="35"/>
      <c r="BC284" s="49">
        <f t="shared" ref="BC284:BZ284" si="400">BC283/BB283-1</f>
      </c>
      <c r="BD284" s="49">
        <f t="shared" si="400"/>
      </c>
      <c r="BE284" s="49">
        <f t="shared" si="400"/>
      </c>
      <c r="BF284" s="49">
        <f t="shared" si="400"/>
      </c>
      <c r="BG284" s="49">
        <f t="shared" si="400"/>
      </c>
      <c r="BH284" s="49">
        <f t="shared" si="400"/>
      </c>
      <c r="BI284" s="49">
        <f t="shared" si="400"/>
      </c>
      <c r="BJ284" s="49">
        <f t="shared" si="400"/>
      </c>
      <c r="BK284" s="49">
        <f t="shared" si="400"/>
      </c>
      <c r="BL284" s="49">
        <f t="shared" si="400"/>
      </c>
      <c r="BM284" s="49">
        <f t="shared" si="400"/>
      </c>
      <c r="BN284" s="49">
        <f t="shared" si="400"/>
      </c>
      <c r="BO284" s="49">
        <f t="shared" si="400"/>
      </c>
      <c r="BP284" s="49">
        <f t="shared" si="400"/>
      </c>
      <c r="BQ284" s="49">
        <f t="shared" si="400"/>
      </c>
      <c r="BR284" s="49">
        <f t="shared" si="400"/>
      </c>
      <c r="BS284" s="49">
        <f t="shared" si="400"/>
      </c>
      <c r="BT284" s="49">
        <f t="shared" si="400"/>
      </c>
      <c r="BU284" s="49">
        <f t="shared" si="400"/>
      </c>
      <c r="BV284" s="49">
        <f t="shared" si="400"/>
      </c>
      <c r="BW284" s="49">
        <f t="shared" si="400"/>
      </c>
      <c r="BX284" s="341">
        <f t="shared" si="400"/>
      </c>
      <c r="BY284" s="341">
        <f t="shared" si="400"/>
      </c>
      <c r="BZ284" s="341">
        <f t="shared" si="400"/>
      </c>
    </row>
    <row r="285" spans="1:138">
      <c r="A285" s="372" t="s">
        <v>198</v>
      </c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  <c r="AD285" s="35"/>
      <c r="AE285" s="35"/>
      <c r="AF285" s="35"/>
      <c r="AG285" s="35"/>
      <c r="AH285" s="35"/>
      <c r="AI285" s="35"/>
      <c r="AJ285" s="35"/>
      <c r="AK285" s="35"/>
      <c r="AL285" s="35"/>
      <c r="AM285" s="35"/>
      <c r="AN285" s="35"/>
      <c r="AO285" s="35"/>
      <c r="AP285" s="35"/>
      <c r="AQ285" s="35"/>
      <c r="AR285" s="35"/>
      <c r="AS285" s="35"/>
      <c r="AT285" s="35"/>
      <c r="AU285" s="35"/>
      <c r="AV285" s="35"/>
      <c r="AW285" s="35"/>
      <c r="AX285" s="35"/>
      <c r="AY285" s="35"/>
      <c r="AZ285" s="35"/>
      <c r="BA285" s="35"/>
      <c r="BB285" s="35"/>
      <c r="BC285" s="35"/>
      <c r="BD285" s="35"/>
      <c r="BE285" s="35"/>
      <c r="BF285" s="394">
        <f t="shared" ref="BF285:BZ285" si="401">BF283/BB283-1</f>
      </c>
      <c r="BG285" s="394">
        <f t="shared" si="401"/>
      </c>
      <c r="BH285" s="394">
        <f t="shared" si="401"/>
      </c>
      <c r="BI285" s="394">
        <f t="shared" si="401"/>
      </c>
      <c r="BJ285" s="394">
        <f t="shared" si="401"/>
      </c>
      <c r="BK285" s="394">
        <f t="shared" si="401"/>
      </c>
      <c r="BL285" s="394">
        <f t="shared" si="401"/>
      </c>
      <c r="BM285" s="394">
        <f t="shared" si="401"/>
      </c>
      <c r="BN285" s="394">
        <f t="shared" si="401"/>
      </c>
      <c r="BO285" s="394">
        <f t="shared" si="401"/>
      </c>
      <c r="BP285" s="394">
        <f t="shared" si="401"/>
      </c>
      <c r="BQ285" s="394">
        <f t="shared" si="401"/>
      </c>
      <c r="BR285" s="394">
        <f t="shared" si="401"/>
      </c>
      <c r="BS285" s="394">
        <f t="shared" si="401"/>
      </c>
      <c r="BT285" s="394">
        <f t="shared" si="401"/>
      </c>
      <c r="BU285" s="394">
        <f t="shared" si="401"/>
      </c>
      <c r="BV285" s="394">
        <f t="shared" si="401"/>
      </c>
      <c r="BW285" s="394">
        <f t="shared" si="401"/>
      </c>
      <c r="BX285" s="398">
        <f t="shared" si="401"/>
      </c>
      <c r="BY285" s="398">
        <f t="shared" si="401"/>
      </c>
      <c r="BZ285" s="398">
        <f t="shared" si="401"/>
      </c>
    </row>
    <row r="286" spans="1:138">
      <c r="A286" s="419" t="s">
        <v>293</v>
      </c>
      <c r="BB286" s="420">
        <f t="shared" ref="BB286:BZ286" si="402">+BB283/BB$103</f>
      </c>
      <c r="BC286" s="420">
        <f t="shared" si="402"/>
      </c>
      <c r="BD286" s="420">
        <f t="shared" si="402"/>
      </c>
      <c r="BE286" s="420">
        <f t="shared" si="402"/>
      </c>
      <c r="BF286" s="420">
        <f t="shared" si="402"/>
      </c>
      <c r="BG286" s="420">
        <f t="shared" si="402"/>
      </c>
      <c r="BH286" s="420">
        <f t="shared" si="402"/>
      </c>
      <c r="BI286" s="420">
        <f t="shared" si="402"/>
      </c>
      <c r="BJ286" s="420">
        <f t="shared" si="402"/>
      </c>
      <c r="BK286" s="420">
        <f t="shared" si="402"/>
      </c>
      <c r="BL286" s="420">
        <f t="shared" si="402"/>
      </c>
      <c r="BM286" s="420">
        <f t="shared" si="402"/>
      </c>
      <c r="BN286" s="420">
        <f t="shared" si="402"/>
      </c>
      <c r="BO286" s="420">
        <f t="shared" si="402"/>
      </c>
      <c r="BP286" s="420">
        <f t="shared" si="402"/>
      </c>
      <c r="BQ286" s="420">
        <f t="shared" si="402"/>
      </c>
      <c r="BR286" s="55">
        <f t="shared" si="402"/>
      </c>
      <c r="BS286" s="55">
        <f t="shared" si="402"/>
      </c>
      <c r="BT286" s="55">
        <f t="shared" si="402"/>
      </c>
      <c r="BU286" s="55">
        <f t="shared" si="402"/>
      </c>
      <c r="BV286" s="55">
        <f t="shared" si="402"/>
      </c>
      <c r="BW286" s="55">
        <f t="shared" si="402"/>
      </c>
      <c r="BX286" s="55">
        <f t="shared" si="402"/>
      </c>
      <c r="BY286" s="55">
        <f t="shared" si="402"/>
      </c>
      <c r="BZ286" s="55">
        <f t="shared" si="402"/>
      </c>
      <c r="CA286" s="421">
        <v>0.15</v>
      </c>
      <c r="CB286" s="421">
        <v>0.15</v>
      </c>
    </row>
    <row r="287" spans="1:138">
      <c r="A287" s="38" t="s">
        <v>295</v>
      </c>
      <c r="BB287" s="38">
        <f>+BB283+BB279</f>
      </c>
      <c r="BC287" s="38">
        <f t="shared" ref="BC287:BZ287" si="403">+BC283+BC279</f>
      </c>
      <c r="BD287" s="38">
        <f t="shared" si="403"/>
      </c>
      <c r="BE287" s="38">
        <f t="shared" si="403"/>
      </c>
      <c r="BF287" s="38">
        <f t="shared" si="403"/>
      </c>
      <c r="BG287" s="38">
        <f t="shared" si="403"/>
      </c>
      <c r="BH287" s="38">
        <f t="shared" si="403"/>
      </c>
      <c r="BI287" s="38">
        <f t="shared" si="403"/>
      </c>
      <c r="BJ287" s="38">
        <f t="shared" si="403"/>
      </c>
      <c r="BK287" s="38">
        <f t="shared" si="403"/>
      </c>
      <c r="BL287" s="38">
        <f t="shared" si="403"/>
      </c>
      <c r="BM287" s="38">
        <f t="shared" si="403"/>
      </c>
      <c r="BN287" s="38">
        <f t="shared" si="403"/>
      </c>
      <c r="BO287" s="38">
        <f t="shared" si="403"/>
      </c>
      <c r="BP287" s="38">
        <f t="shared" si="403"/>
      </c>
      <c r="BQ287" s="38">
        <f t="shared" si="403"/>
      </c>
      <c r="BR287" s="38">
        <f t="shared" si="403"/>
      </c>
      <c r="BS287" s="38">
        <f t="shared" si="403"/>
      </c>
      <c r="BT287" s="38">
        <f t="shared" si="403"/>
      </c>
      <c r="BU287" s="38">
        <f t="shared" si="403"/>
      </c>
      <c r="BV287" s="38">
        <f t="shared" si="403"/>
      </c>
      <c r="BW287" s="38">
        <f t="shared" si="403"/>
      </c>
      <c r="BX287" s="38">
        <f t="shared" si="403"/>
      </c>
      <c r="BY287" s="38">
        <f t="shared" si="403"/>
      </c>
      <c r="BZ287" s="38">
        <f t="shared" si="403"/>
      </c>
      <c r="CA287" s="38">
        <f>+CA283+CA279</f>
      </c>
      <c r="CB287" s="38">
        <f>+CB283+CB279</f>
      </c>
    </row>
    <row r="288" spans="1:138">
      <c r="A288" s="372" t="s">
        <v>196</v>
      </c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  <c r="AC288" s="35"/>
      <c r="AD288" s="35"/>
      <c r="AE288" s="35"/>
      <c r="AF288" s="35"/>
      <c r="AG288" s="35"/>
      <c r="AH288" s="35"/>
      <c r="AI288" s="35"/>
      <c r="AJ288" s="35"/>
      <c r="AK288" s="35"/>
      <c r="AL288" s="35"/>
      <c r="AM288" s="35"/>
      <c r="AN288" s="35"/>
      <c r="AO288" s="35"/>
      <c r="AP288" s="35"/>
      <c r="AQ288" s="35"/>
      <c r="AR288" s="35"/>
      <c r="AS288" s="35"/>
      <c r="AT288" s="35"/>
      <c r="AU288" s="35"/>
      <c r="AV288" s="35"/>
      <c r="AW288" s="35"/>
      <c r="AX288" s="35"/>
      <c r="AY288" s="35"/>
      <c r="AZ288" s="35"/>
      <c r="BA288" s="35"/>
      <c r="BB288" s="35"/>
      <c r="BC288" s="49">
        <f t="shared" ref="BC288:CB288" si="404">BC287/BB287-1</f>
      </c>
      <c r="BD288" s="49">
        <f t="shared" si="404"/>
      </c>
      <c r="BE288" s="49">
        <f t="shared" si="404"/>
      </c>
      <c r="BF288" s="49">
        <f t="shared" si="404"/>
      </c>
      <c r="BG288" s="49">
        <f t="shared" si="404"/>
      </c>
      <c r="BH288" s="49">
        <f t="shared" si="404"/>
      </c>
      <c r="BI288" s="49">
        <f t="shared" si="404"/>
      </c>
      <c r="BJ288" s="49">
        <f t="shared" si="404"/>
      </c>
      <c r="BK288" s="49">
        <f t="shared" si="404"/>
      </c>
      <c r="BL288" s="49">
        <f t="shared" si="404"/>
      </c>
      <c r="BM288" s="49">
        <f t="shared" si="404"/>
      </c>
      <c r="BN288" s="49">
        <f t="shared" si="404"/>
      </c>
      <c r="BO288" s="49">
        <f t="shared" si="404"/>
      </c>
      <c r="BP288" s="49">
        <f t="shared" si="404"/>
      </c>
      <c r="BQ288" s="49">
        <f t="shared" si="404"/>
      </c>
      <c r="BR288" s="49">
        <f t="shared" si="404"/>
      </c>
      <c r="BS288" s="49">
        <f t="shared" si="404"/>
      </c>
      <c r="BT288" s="49">
        <f t="shared" si="404"/>
      </c>
      <c r="BU288" s="49">
        <f t="shared" si="404"/>
      </c>
      <c r="BV288" s="49">
        <f t="shared" si="404"/>
      </c>
      <c r="BW288" s="49">
        <f t="shared" si="404"/>
      </c>
      <c r="BX288" s="341">
        <f t="shared" si="404"/>
      </c>
      <c r="BY288" s="341">
        <f t="shared" si="404"/>
      </c>
      <c r="BZ288" s="341">
        <f t="shared" si="404"/>
      </c>
      <c r="CA288" s="341">
        <f t="shared" si="404"/>
      </c>
      <c r="CB288" s="341">
        <f t="shared" si="404"/>
      </c>
    </row>
    <row r="289" spans="1:128">
      <c r="A289" s="372" t="s">
        <v>198</v>
      </c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  <c r="AD289" s="35"/>
      <c r="AE289" s="35"/>
      <c r="AF289" s="35"/>
      <c r="AG289" s="35"/>
      <c r="AH289" s="35"/>
      <c r="AI289" s="35"/>
      <c r="AJ289" s="35"/>
      <c r="AK289" s="35"/>
      <c r="AL289" s="35"/>
      <c r="AM289" s="35"/>
      <c r="AN289" s="35"/>
      <c r="AO289" s="35"/>
      <c r="AP289" s="35"/>
      <c r="AQ289" s="35"/>
      <c r="AR289" s="35"/>
      <c r="AS289" s="35"/>
      <c r="AT289" s="35"/>
      <c r="AU289" s="35"/>
      <c r="AV289" s="35"/>
      <c r="AW289" s="35"/>
      <c r="AX289" s="35"/>
      <c r="AY289" s="35"/>
      <c r="AZ289" s="35"/>
      <c r="BA289" s="35"/>
      <c r="BB289" s="35"/>
      <c r="BC289" s="35"/>
      <c r="BD289" s="35"/>
      <c r="BE289" s="35"/>
      <c r="BF289" s="394">
        <f t="shared" ref="BF289:CB289" si="405">BF287/BB287-1</f>
      </c>
      <c r="BG289" s="394">
        <f t="shared" si="405"/>
      </c>
      <c r="BH289" s="394">
        <f t="shared" si="405"/>
      </c>
      <c r="BI289" s="394">
        <f t="shared" si="405"/>
      </c>
      <c r="BJ289" s="394">
        <f t="shared" si="405"/>
      </c>
      <c r="BK289" s="394">
        <f t="shared" si="405"/>
      </c>
      <c r="BL289" s="394">
        <f t="shared" si="405"/>
      </c>
      <c r="BM289" s="394">
        <f t="shared" si="405"/>
      </c>
      <c r="BN289" s="394">
        <f t="shared" si="405"/>
      </c>
      <c r="BO289" s="394">
        <f t="shared" si="405"/>
      </c>
      <c r="BP289" s="394">
        <f t="shared" si="405"/>
      </c>
      <c r="BQ289" s="394">
        <f t="shared" si="405"/>
      </c>
      <c r="BR289" s="394">
        <f t="shared" si="405"/>
      </c>
      <c r="BS289" s="394">
        <f t="shared" si="405"/>
      </c>
      <c r="BT289" s="394">
        <f t="shared" si="405"/>
      </c>
      <c r="BU289" s="394">
        <f t="shared" si="405"/>
      </c>
      <c r="BV289" s="394">
        <f t="shared" si="405"/>
      </c>
      <c r="BW289" s="394">
        <f t="shared" si="405"/>
      </c>
      <c r="BX289" s="398">
        <f t="shared" si="405"/>
      </c>
      <c r="BY289" s="398">
        <f t="shared" si="405"/>
      </c>
      <c r="BZ289" s="398">
        <f t="shared" si="405"/>
      </c>
      <c r="CA289" s="398">
        <f t="shared" si="405"/>
      </c>
      <c r="CB289" s="398">
        <f t="shared" si="405"/>
      </c>
    </row>
    <row r="290" spans="1:128">
      <c r="A290" s="419" t="s">
        <v>293</v>
      </c>
      <c r="BB290" s="420">
        <f t="shared" ref="BB290:BZ290" si="406">+BB287/BB$103</f>
      </c>
      <c r="BC290" s="420">
        <f t="shared" si="406"/>
      </c>
      <c r="BD290" s="420">
        <f t="shared" si="406"/>
      </c>
      <c r="BE290" s="420">
        <f t="shared" si="406"/>
      </c>
      <c r="BF290" s="420">
        <f t="shared" si="406"/>
      </c>
      <c r="BG290" s="420">
        <f t="shared" si="406"/>
      </c>
      <c r="BH290" s="420">
        <f t="shared" si="406"/>
      </c>
      <c r="BI290" s="420">
        <f t="shared" si="406"/>
      </c>
      <c r="BJ290" s="420">
        <f t="shared" si="406"/>
      </c>
      <c r="BK290" s="420">
        <f t="shared" si="406"/>
      </c>
      <c r="BL290" s="420">
        <f t="shared" si="406"/>
      </c>
      <c r="BM290" s="420">
        <f t="shared" si="406"/>
      </c>
      <c r="BN290" s="420">
        <f t="shared" si="406"/>
      </c>
      <c r="BO290" s="420">
        <f t="shared" si="406"/>
      </c>
      <c r="BP290" s="420">
        <f t="shared" si="406"/>
      </c>
      <c r="BQ290" s="420">
        <f t="shared" si="406"/>
      </c>
      <c r="BR290" s="55">
        <f t="shared" si="406"/>
      </c>
      <c r="BS290" s="55">
        <f t="shared" si="406"/>
      </c>
      <c r="BT290" s="55">
        <f t="shared" si="406"/>
      </c>
      <c r="BU290" s="55">
        <f t="shared" si="406"/>
      </c>
      <c r="BV290" s="55">
        <f t="shared" si="406"/>
      </c>
      <c r="BW290" s="55">
        <f t="shared" si="406"/>
      </c>
      <c r="BX290" s="55">
        <f t="shared" si="406"/>
      </c>
      <c r="BY290" s="55">
        <f t="shared" si="406"/>
      </c>
      <c r="BZ290" s="55">
        <f t="shared" si="406"/>
      </c>
      <c r="CA290" s="55">
        <f>+CA287/CA$103</f>
      </c>
      <c r="CB290" s="55">
        <f>+CB287/CB$103</f>
      </c>
    </row>
    <row r="293" spans="1:128">
      <c r="DX293" s="422"/>
    </row>
    <row r="305" s="27" customFormat="1"/>
    <row r="306" s="27" customFormat="1"/>
    <row r="307" s="27" customFormat="1"/>
    <row r="308" s="27" customFormat="1"/>
    <row r="309" s="27" customFormat="1"/>
    <row r="310" s="27" customFormat="1"/>
    <row r="311" s="27" customFormat="1"/>
    <row r="312" s="27" customFormat="1"/>
    <row r="313" s="27" customFormat="1"/>
    <row r="314" s="27" customFormat="1"/>
    <row r="315" s="27" customFormat="1"/>
    <row r="316" s="27" customFormat="1"/>
    <row r="317" s="27" customFormat="1"/>
    <row r="318" s="27" customFormat="1"/>
    <row r="319" s="27" customFormat="1"/>
    <row r="320" s="27" customFormat="1"/>
    <row r="321" s="27" customFormat="1"/>
    <row r="322" s="27" customFormat="1"/>
    <row r="323" s="27" customFormat="1"/>
    <row r="324" s="27" customFormat="1"/>
    <row r="325" s="27" customFormat="1"/>
    <row r="326" s="27" customFormat="1"/>
    <row r="327" s="27" customFormat="1"/>
    <row r="328" s="27" customFormat="1"/>
    <row r="329" s="27" customFormat="1"/>
    <row r="330" s="27" customFormat="1"/>
    <row r="331" s="27" customFormat="1"/>
    <row r="332" s="27" customFormat="1"/>
    <row r="333" s="27" customFormat="1"/>
    <row r="334" s="27" customFormat="1"/>
    <row r="335" s="27" customFormat="1"/>
    <row r="336" s="27" customFormat="1"/>
    <row r="337" s="27" customFormat="1"/>
    <row r="338" s="27" customFormat="1"/>
    <row r="339" s="27" customFormat="1"/>
    <row r="340" s="27" customFormat="1"/>
    <row r="341" s="27" customFormat="1"/>
    <row r="342" s="27" customFormat="1"/>
    <row r="343" s="27" customFormat="1"/>
    <row r="344" s="27" customFormat="1"/>
    <row r="345" s="27" customFormat="1"/>
    <row r="346" s="27" customFormat="1"/>
    <row r="347" s="27" customFormat="1"/>
    <row r="348" s="27" customFormat="1"/>
    <row r="349" s="27" customFormat="1"/>
    <row r="350" s="27" customFormat="1"/>
    <row r="351" s="27" customFormat="1"/>
    <row r="352" s="27" customFormat="1"/>
    <row r="353" s="27" customFormat="1"/>
    <row r="354" s="27" customFormat="1"/>
    <row r="355" s="27" customFormat="1"/>
    <row r="356" s="27" customFormat="1"/>
    <row r="357" s="27" customFormat="1"/>
    <row r="358" s="27" customFormat="1"/>
    <row r="359" s="27" customFormat="1"/>
    <row r="360" s="27" customFormat="1"/>
    <row r="361" s="27" customFormat="1"/>
    <row r="362" s="27" customFormat="1"/>
    <row r="363" s="27" customFormat="1"/>
    <row r="364" s="27" customFormat="1"/>
    <row r="365" s="27" customFormat="1"/>
    <row r="366" s="27" customFormat="1"/>
    <row r="367" s="27" customFormat="1"/>
    <row r="368" s="27" customFormat="1"/>
    <row r="369" s="27" customFormat="1"/>
    <row r="370" s="27" customFormat="1"/>
    <row r="371" s="27" customFormat="1"/>
    <row r="372" s="27" customFormat="1"/>
    <row r="373" s="27" customFormat="1"/>
    <row r="374" s="27" customFormat="1"/>
    <row r="375" s="27" customFormat="1"/>
    <row r="376" s="27" customFormat="1"/>
    <row r="377" s="27" customFormat="1"/>
    <row r="378" s="27" customFormat="1"/>
    <row r="379" s="27" customFormat="1"/>
    <row r="380" s="27" customFormat="1"/>
    <row r="381" s="27" customFormat="1"/>
    <row r="382" s="27" customFormat="1"/>
    <row r="383" s="27" customFormat="1"/>
    <row r="384" s="27" customFormat="1"/>
    <row r="385" s="27" customFormat="1"/>
    <row r="386" s="27" customFormat="1"/>
    <row r="387" s="27" customFormat="1"/>
    <row r="388" s="27" customFormat="1"/>
    <row r="389" s="27" customFormat="1"/>
    <row r="390" s="27" customFormat="1"/>
    <row r="391" s="27" customFormat="1"/>
    <row r="392" s="27" customFormat="1"/>
    <row r="393" s="27" customFormat="1"/>
    <row r="394" s="27" customFormat="1"/>
  </sheetData>
  <mergeCells count="1">
    <mergeCell ref="DH3:EG3"/>
  </mergeCells>
  <printOptions horizontalCentered="1" verticalCentered="1"/>
  <pageMargins left="0.25" right="0.25" top="0.75" bottom="0.75" header="0.3" footer="0.3"/>
  <pageSetup scale="17" orientation="landscape" r:id="rId1"/>
  <customProperties>
    <customPr name="Qube.Worksheet.Visibility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330A3-0CBB-41C7-A25F-8A66E935387A}">
  <sheetPr>
    <tabColor rgb="FF0000FF"/>
    <pageSetUpPr autoPageBreaks="0" fitToPage="1"/>
  </sheetPr>
  <dimension ref="A1:FN1282"/>
  <sheetViews>
    <sheetView zoomScaleNormal="100" zoomScaleSheetLayoutView="85" workbookViewId="0">
      <pane xSplit="1" ySplit="4" topLeftCell="EE5" activePane="bottomRight" state="frozen"/>
      <selection activeCell="C22" sqref="C22"/>
      <selection pane="topRight" activeCell="C22" sqref="C22"/>
      <selection pane="bottomLeft" activeCell="C22" sqref="C22"/>
      <selection pane="bottomRight"/>
    </sheetView>
  </sheetViews>
  <sheetFormatPr defaultColWidth="9.109375" defaultRowHeight="13.2" outlineLevelRow="2" outlineLevelCol="2"/>
  <cols>
    <col min="1" max="1" width="27.88671875" style="106" customWidth="1"/>
    <col min="2" max="2" width="8.109375" style="84" customWidth="1" outlineLevel="1"/>
    <col min="3" max="3" width="9.109375" style="84" customWidth="1" outlineLevel="1"/>
    <col min="4" max="5" width="7.88671875" style="84" customWidth="1" outlineLevel="1"/>
    <col min="6" max="6" width="7.109375" style="84" customWidth="1" outlineLevel="1" collapsed="1"/>
    <col min="7" max="7" width="9.5546875" style="84" hidden="1" customWidth="1" outlineLevel="2"/>
    <col min="8" max="8" width="10.5546875" style="84" hidden="1" customWidth="1" outlineLevel="2"/>
    <col min="9" max="10" width="7.88671875" style="84" hidden="1" customWidth="1" outlineLevel="2"/>
    <col min="11" max="11" width="7.5546875" style="84" customWidth="1" outlineLevel="1" collapsed="1"/>
    <col min="12" max="12" width="7.88671875" style="84" hidden="1" customWidth="1" outlineLevel="2" collapsed="1"/>
    <col min="13" max="15" width="7.88671875" style="84" hidden="1" customWidth="1" outlineLevel="2"/>
    <col min="16" max="16" width="7.5546875" style="84" customWidth="1" outlineLevel="1" collapsed="1"/>
    <col min="17" max="17" width="7.88671875" style="84" hidden="1" customWidth="1" outlineLevel="2" collapsed="1"/>
    <col min="18" max="20" width="7.88671875" style="84" hidden="1" customWidth="1" outlineLevel="2"/>
    <col min="21" max="21" width="7.109375" style="84" customWidth="1" outlineLevel="1" collapsed="1"/>
    <col min="22" max="22" width="7.88671875" style="84" hidden="1" customWidth="1" outlineLevel="2" collapsed="1"/>
    <col min="23" max="25" width="7.88671875" style="84" hidden="1" customWidth="1" outlineLevel="2"/>
    <col min="26" max="26" width="7.6640625" style="84" customWidth="1" outlineLevel="1" collapsed="1"/>
    <col min="27" max="28" width="7.88671875" style="84" hidden="1" customWidth="1" outlineLevel="2"/>
    <col min="29" max="29" width="8.109375" style="84" hidden="1" customWidth="1" outlineLevel="2"/>
    <col min="30" max="30" width="9.109375" style="197" hidden="1" customWidth="1" outlineLevel="2"/>
    <col min="31" max="31" width="7.6640625" style="197" customWidth="1" outlineLevel="1" collapsed="1"/>
    <col min="32" max="32" width="8" style="197" hidden="1" customWidth="1" outlineLevel="2"/>
    <col min="33" max="35" width="8" style="85" hidden="1" customWidth="1" outlineLevel="2"/>
    <col min="36" max="36" width="7.6640625" style="85" customWidth="1" outlineLevel="1" collapsed="1"/>
    <col min="37" max="37" width="9.109375" style="85" hidden="1" customWidth="1" outlineLevel="2"/>
    <col min="38" max="38" width="8" style="85" hidden="1" customWidth="1" outlineLevel="2"/>
    <col min="39" max="40" width="8.88671875" style="85" hidden="1" customWidth="1" outlineLevel="2"/>
    <col min="41" max="41" width="7.6640625" style="85" customWidth="1" outlineLevel="1" collapsed="1"/>
    <col min="42" max="45" width="8" style="85" hidden="1" customWidth="1" outlineLevel="2"/>
    <col min="46" max="46" width="7.6640625" style="85" customWidth="1" outlineLevel="1" collapsed="1"/>
    <col min="47" max="50" width="8" style="85" hidden="1" customWidth="1" outlineLevel="2"/>
    <col min="51" max="51" width="7.6640625" style="85" customWidth="1" outlineLevel="1" collapsed="1"/>
    <col min="52" max="53" width="8" style="85" hidden="1" customWidth="1" outlineLevel="2"/>
    <col min="54" max="55" width="8.44140625" style="85" hidden="1" customWidth="1" outlineLevel="2"/>
    <col min="56" max="56" width="7.6640625" style="85" customWidth="1" outlineLevel="1" collapsed="1"/>
    <col min="57" max="57" width="8.88671875" style="85" hidden="1" customWidth="1" outlineLevel="2"/>
    <col min="58" max="58" width="8" style="85" hidden="1" customWidth="1" outlineLevel="2"/>
    <col min="59" max="59" width="8.109375" style="85" hidden="1" customWidth="1" outlineLevel="2"/>
    <col min="60" max="60" width="8" style="85" hidden="1" customWidth="1" outlineLevel="2"/>
    <col min="61" max="61" width="7.6640625" style="85" customWidth="1" outlineLevel="1" collapsed="1"/>
    <col min="62" max="62" width="8.88671875" style="85" hidden="1" customWidth="1" outlineLevel="2"/>
    <col min="63" max="63" width="8" style="85" hidden="1" customWidth="1" outlineLevel="2"/>
    <col min="64" max="64" width="8.88671875" style="85" hidden="1" customWidth="1" outlineLevel="2"/>
    <col min="65" max="65" width="8" style="85" hidden="1" customWidth="1" outlineLevel="2"/>
    <col min="66" max="66" width="7.6640625" style="85" customWidth="1" outlineLevel="1" collapsed="1"/>
    <col min="67" max="67" width="8.88671875" style="85" hidden="1" customWidth="1" outlineLevel="2"/>
    <col min="68" max="68" width="7.88671875" style="85" hidden="1" customWidth="1" outlineLevel="2"/>
    <col min="69" max="69" width="8.88671875" style="85" hidden="1" customWidth="1" outlineLevel="2"/>
    <col min="70" max="70" width="7.88671875" style="85" hidden="1" customWidth="1" outlineLevel="2"/>
    <col min="71" max="71" width="7.6640625" style="85" customWidth="1" outlineLevel="1" collapsed="1"/>
    <col min="72" max="72" width="8.88671875" style="85" hidden="1" customWidth="1" outlineLevel="2"/>
    <col min="73" max="75" width="8" style="85" hidden="1" customWidth="1" outlineLevel="2"/>
    <col min="76" max="76" width="7.6640625" style="85" customWidth="1" outlineLevel="1" collapsed="1"/>
    <col min="77" max="77" width="8.88671875" style="85" hidden="1" customWidth="1" outlineLevel="2"/>
    <col min="78" max="80" width="8" style="85" hidden="1" customWidth="1" outlineLevel="2"/>
    <col min="81" max="81" width="7.6640625" style="85" customWidth="1" outlineLevel="1" collapsed="1"/>
    <col min="82" max="82" width="8.88671875" style="85" hidden="1" customWidth="1" outlineLevel="2"/>
    <col min="83" max="85" width="8" style="85" hidden="1" customWidth="1" outlineLevel="2"/>
    <col min="86" max="86" width="7.88671875" style="85" customWidth="1" outlineLevel="1" collapsed="1"/>
    <col min="87" max="87" width="8.88671875" style="85" hidden="1" customWidth="1" outlineLevel="2"/>
    <col min="88" max="88" width="9.5546875" style="85" hidden="1" customWidth="1" outlineLevel="2"/>
    <col min="89" max="90" width="8" style="85" hidden="1" customWidth="1" outlineLevel="2"/>
    <col min="91" max="91" width="7.88671875" style="85" customWidth="1" outlineLevel="1" collapsed="1"/>
    <col min="92" max="92" width="8.88671875" style="85" hidden="1" customWidth="1" outlineLevel="2"/>
    <col min="93" max="93" width="8.6640625" style="85" hidden="1" customWidth="1" outlineLevel="2"/>
    <col min="94" max="95" width="8" style="85" hidden="1" customWidth="1" outlineLevel="2"/>
    <col min="96" max="96" width="7.6640625" style="85" customWidth="1" outlineLevel="1" collapsed="1"/>
    <col min="97" max="97" width="8.88671875" style="85" hidden="1" customWidth="1" outlineLevel="2"/>
    <col min="98" max="100" width="8" style="85" hidden="1" customWidth="1" outlineLevel="2"/>
    <col min="101" max="101" width="8" style="85" customWidth="1" outlineLevel="1" collapsed="1"/>
    <col min="102" max="102" width="8.88671875" style="85" customWidth="1" outlineLevel="1"/>
    <col min="103" max="105" width="8" style="85" customWidth="1" outlineLevel="1"/>
    <col min="106" max="106" width="9.109375" style="84" bestFit="1" customWidth="1"/>
    <col min="107" max="108" width="8.88671875" style="85" customWidth="1" outlineLevel="1"/>
    <col min="109" max="110" width="8.44140625" style="85" customWidth="1" outlineLevel="1"/>
    <col min="111" max="111" width="8.6640625" style="85" bestFit="1" customWidth="1"/>
    <col min="112" max="112" width="8.88671875" style="85" customWidth="1" outlineLevel="1"/>
    <col min="113" max="113" width="8" style="85" customWidth="1" outlineLevel="1"/>
    <col min="114" max="115" width="8.44140625" style="85" customWidth="1" outlineLevel="1"/>
    <col min="116" max="116" width="8.6640625" style="85" bestFit="1" customWidth="1"/>
    <col min="117" max="117" width="8.44140625" style="85" customWidth="1" outlineLevel="1"/>
    <col min="118" max="118" width="8.88671875" style="85" bestFit="1" customWidth="1" outlineLevel="1"/>
    <col min="119" max="119" width="8.44140625" style="85" customWidth="1" outlineLevel="1"/>
    <col min="120" max="120" width="9.6640625" style="85" bestFit="1" customWidth="1" outlineLevel="1"/>
    <col min="121" max="121" width="7.109375" style="85" bestFit="1" customWidth="1"/>
    <col min="122" max="125" width="9.6640625" style="85" bestFit="1" customWidth="1" outlineLevel="1"/>
    <col min="126" max="126" width="8.109375" style="85" bestFit="1" customWidth="1"/>
    <col min="127" max="127" width="9.6640625" style="85" bestFit="1" customWidth="1" outlineLevel="1"/>
    <col min="128" max="130" width="10.44140625" style="85" bestFit="1" customWidth="1" outlineLevel="1"/>
    <col min="131" max="131" width="9" style="85" bestFit="1" customWidth="1"/>
    <col min="132" max="135" width="10.44140625" style="85" bestFit="1" customWidth="1" outlineLevel="1"/>
    <col min="136" max="136" width="7.88671875" style="85" bestFit="1" customWidth="1"/>
    <col min="137" max="140" width="10.44140625" style="85" bestFit="1" customWidth="1" outlineLevel="1"/>
    <col min="141" max="141" width="8.44140625" style="85" bestFit="1" customWidth="1"/>
    <col min="142" max="145" width="10.5546875" style="85" bestFit="1" customWidth="1"/>
    <col min="146" max="146" width="8.44140625" style="85" bestFit="1" customWidth="1"/>
    <col min="147" max="150" width="10.5546875" style="85" bestFit="1" customWidth="1"/>
    <col min="151" max="151" width="9" style="85" bestFit="1" customWidth="1"/>
    <col min="152" max="155" width="10.5546875" style="85" bestFit="1" customWidth="1"/>
    <col min="156" max="156" width="9" style="85" bestFit="1" customWidth="1"/>
    <col min="157" max="157" width="8.6640625" style="85" customWidth="1"/>
    <col min="158" max="158" width="9.5546875" style="85" customWidth="1"/>
    <col min="159" max="159" width="12.88671875" style="85" bestFit="1" customWidth="1"/>
    <col min="160" max="160" width="9.109375" style="85" bestFit="1" customWidth="1"/>
    <col min="161" max="162" width="8.44140625" style="85" customWidth="1"/>
    <col min="163" max="164" width="11.44140625" style="85" customWidth="1"/>
    <col min="165" max="166" width="8.44140625" style="85" customWidth="1"/>
    <col min="167" max="167" width="9.109375" style="85"/>
    <col min="168" max="168" width="9.33203125" style="85" bestFit="1" customWidth="1"/>
    <col min="169" max="16384" width="9.109375" style="85"/>
  </cols>
  <sheetData>
    <row r="1" spans="1:170">
      <c r="A1" s="83"/>
      <c r="AD1" s="84"/>
      <c r="AE1" s="84"/>
      <c r="AF1" s="84"/>
      <c r="BQ1" s="86"/>
      <c r="BR1" s="86"/>
      <c r="BS1" s="86"/>
      <c r="BT1" s="86"/>
      <c r="BU1" s="87"/>
      <c r="BV1" s="86"/>
      <c r="BW1" s="86"/>
      <c r="BX1" s="86"/>
      <c r="BY1" s="86"/>
      <c r="BZ1" s="87"/>
      <c r="CA1" s="86"/>
      <c r="CB1" s="86"/>
      <c r="CC1" s="86"/>
      <c r="CD1" s="86"/>
      <c r="CE1" s="87"/>
      <c r="CF1" s="86"/>
      <c r="CG1" s="86"/>
      <c r="CH1" s="86"/>
      <c r="CI1" s="86"/>
      <c r="CO1" s="88"/>
      <c r="CP1" s="86"/>
      <c r="CQ1" s="86"/>
      <c r="CR1" s="86"/>
      <c r="CS1" s="86"/>
      <c r="CT1" s="86"/>
      <c r="CU1" s="86"/>
      <c r="CV1" s="86"/>
      <c r="CW1" s="86"/>
      <c r="CX1" s="86"/>
      <c r="CY1" s="86"/>
      <c r="CZ1" s="86"/>
      <c r="DA1" s="86"/>
      <c r="EI1" s="89"/>
      <c r="EJ1" s="89"/>
    </row>
    <row r="2" spans="1:170" s="84" customFormat="1">
      <c r="A2" s="90" t="s">
        <v>296</v>
      </c>
      <c r="B2" s="91" t="s">
        <v>297</v>
      </c>
      <c r="C2" s="91" t="s">
        <v>298</v>
      </c>
      <c r="D2" s="91" t="s">
        <v>299</v>
      </c>
      <c r="E2" s="91" t="s">
        <v>300</v>
      </c>
      <c r="F2" s="92" t="s">
        <v>301</v>
      </c>
      <c r="G2" s="91" t="s">
        <v>302</v>
      </c>
      <c r="H2" s="91" t="s">
        <v>303</v>
      </c>
      <c r="I2" s="91" t="s">
        <v>304</v>
      </c>
      <c r="J2" s="91" t="s">
        <v>305</v>
      </c>
      <c r="K2" s="92" t="s">
        <v>301</v>
      </c>
      <c r="L2" s="91" t="s">
        <v>306</v>
      </c>
      <c r="M2" s="91" t="s">
        <v>307</v>
      </c>
      <c r="N2" s="91" t="s">
        <v>308</v>
      </c>
      <c r="O2" s="91" t="s">
        <v>309</v>
      </c>
      <c r="P2" s="92" t="s">
        <v>301</v>
      </c>
      <c r="Q2" s="91" t="s">
        <v>310</v>
      </c>
      <c r="R2" s="91" t="s">
        <v>311</v>
      </c>
      <c r="S2" s="91" t="s">
        <v>312</v>
      </c>
      <c r="T2" s="91" t="s">
        <v>313</v>
      </c>
      <c r="U2" s="92" t="s">
        <v>301</v>
      </c>
      <c r="V2" s="91" t="s">
        <v>314</v>
      </c>
      <c r="W2" s="91" t="s">
        <v>315</v>
      </c>
      <c r="X2" s="91" t="s">
        <v>316</v>
      </c>
      <c r="Y2" s="91" t="s">
        <v>317</v>
      </c>
      <c r="Z2" s="92" t="s">
        <v>301</v>
      </c>
      <c r="AA2" s="91" t="s">
        <v>318</v>
      </c>
      <c r="AB2" s="91" t="s">
        <v>319</v>
      </c>
      <c r="AC2" s="91" t="s">
        <v>320</v>
      </c>
      <c r="AD2" s="91" t="s">
        <v>321</v>
      </c>
      <c r="AE2" s="92" t="s">
        <v>301</v>
      </c>
      <c r="AF2" s="91" t="s">
        <v>322</v>
      </c>
      <c r="AG2" s="91" t="s">
        <v>323</v>
      </c>
      <c r="AH2" s="91" t="s">
        <v>324</v>
      </c>
      <c r="AI2" s="91" t="s">
        <v>325</v>
      </c>
      <c r="AJ2" s="92" t="s">
        <v>301</v>
      </c>
      <c r="AK2" s="91" t="s">
        <v>79</v>
      </c>
      <c r="AL2" s="91" t="s">
        <v>80</v>
      </c>
      <c r="AM2" s="91" t="s">
        <v>81</v>
      </c>
      <c r="AN2" s="91" t="s">
        <v>82</v>
      </c>
      <c r="AO2" s="92" t="s">
        <v>301</v>
      </c>
      <c r="AP2" s="91" t="s">
        <v>83</v>
      </c>
      <c r="AQ2" s="91" t="s">
        <v>84</v>
      </c>
      <c r="AR2" s="91" t="s">
        <v>85</v>
      </c>
      <c r="AS2" s="91" t="s">
        <v>86</v>
      </c>
      <c r="AT2" s="92" t="s">
        <v>301</v>
      </c>
      <c r="AU2" s="91" t="s">
        <v>87</v>
      </c>
      <c r="AV2" s="91" t="s">
        <v>88</v>
      </c>
      <c r="AW2" s="91" t="s">
        <v>89</v>
      </c>
      <c r="AX2" s="93" t="s">
        <v>90</v>
      </c>
      <c r="AY2" s="92" t="s">
        <v>301</v>
      </c>
      <c r="AZ2" s="91" t="s">
        <v>91</v>
      </c>
      <c r="BA2" s="91" t="s">
        <v>92</v>
      </c>
      <c r="BB2" s="91" t="s">
        <v>93</v>
      </c>
      <c r="BC2" s="91" t="s">
        <v>94</v>
      </c>
      <c r="BD2" s="92" t="s">
        <v>301</v>
      </c>
      <c r="BE2" s="91" t="s">
        <v>95</v>
      </c>
      <c r="BF2" s="91" t="s">
        <v>96</v>
      </c>
      <c r="BG2" s="91" t="s">
        <v>97</v>
      </c>
      <c r="BH2" s="91" t="s">
        <v>98</v>
      </c>
      <c r="BI2" s="92" t="s">
        <v>301</v>
      </c>
      <c r="BJ2" s="91" t="s">
        <v>99</v>
      </c>
      <c r="BK2" s="91" t="s">
        <v>100</v>
      </c>
      <c r="BL2" s="91" t="s">
        <v>101</v>
      </c>
      <c r="BM2" s="91" t="s">
        <v>102</v>
      </c>
      <c r="BN2" s="92" t="s">
        <v>301</v>
      </c>
      <c r="BO2" s="91" t="s">
        <v>103</v>
      </c>
      <c r="BP2" s="91" t="s">
        <v>104</v>
      </c>
      <c r="BQ2" s="91" t="s">
        <v>105</v>
      </c>
      <c r="BR2" s="91" t="s">
        <v>106</v>
      </c>
      <c r="BS2" s="92" t="s">
        <v>301</v>
      </c>
      <c r="BT2" s="91" t="s">
        <v>107</v>
      </c>
      <c r="BU2" s="91" t="s">
        <v>108</v>
      </c>
      <c r="BV2" s="91" t="s">
        <v>109</v>
      </c>
      <c r="BW2" s="91" t="s">
        <v>110</v>
      </c>
      <c r="BX2" s="92" t="s">
        <v>301</v>
      </c>
      <c r="BY2" s="91" t="s">
        <v>111</v>
      </c>
      <c r="BZ2" s="91" t="s">
        <v>112</v>
      </c>
      <c r="CA2" s="91" t="s">
        <v>113</v>
      </c>
      <c r="CB2" s="91" t="s">
        <v>114</v>
      </c>
      <c r="CC2" s="92" t="s">
        <v>301</v>
      </c>
      <c r="CD2" s="91" t="s">
        <v>115</v>
      </c>
      <c r="CE2" s="91" t="s">
        <v>116</v>
      </c>
      <c r="CF2" s="91" t="s">
        <v>117</v>
      </c>
      <c r="CG2" s="91" t="s">
        <v>118</v>
      </c>
      <c r="CH2" s="92" t="s">
        <v>301</v>
      </c>
      <c r="CI2" s="91" t="s">
        <v>119</v>
      </c>
      <c r="CJ2" s="91" t="s">
        <v>120</v>
      </c>
      <c r="CK2" s="91" t="s">
        <v>121</v>
      </c>
      <c r="CL2" s="91" t="s">
        <v>122</v>
      </c>
      <c r="CM2" s="92" t="s">
        <v>301</v>
      </c>
      <c r="CN2" s="91" t="s">
        <v>123</v>
      </c>
      <c r="CO2" s="91" t="s">
        <v>124</v>
      </c>
      <c r="CP2" s="91" t="s">
        <v>125</v>
      </c>
      <c r="CQ2" s="91" t="s">
        <v>126</v>
      </c>
      <c r="CR2" s="92" t="s">
        <v>301</v>
      </c>
      <c r="CS2" s="91" t="s">
        <v>127</v>
      </c>
      <c r="CT2" s="91" t="s">
        <v>128</v>
      </c>
      <c r="CU2" s="91" t="s">
        <v>129</v>
      </c>
      <c r="CV2" s="91" t="s">
        <v>130</v>
      </c>
      <c r="CW2" s="92" t="s">
        <v>301</v>
      </c>
      <c r="CX2" s="91" t="s">
        <v>131</v>
      </c>
      <c r="CY2" s="91" t="s">
        <v>132</v>
      </c>
      <c r="CZ2" s="91" t="s">
        <v>133</v>
      </c>
      <c r="DA2" s="91" t="s">
        <v>134</v>
      </c>
      <c r="DB2" s="92" t="s">
        <v>301</v>
      </c>
      <c r="DC2" s="91" t="s">
        <v>135</v>
      </c>
      <c r="DD2" s="91" t="s">
        <v>136</v>
      </c>
      <c r="DE2" s="91" t="s">
        <v>137</v>
      </c>
      <c r="DF2" s="91" t="s">
        <v>138</v>
      </c>
      <c r="DG2" s="92" t="s">
        <v>301</v>
      </c>
      <c r="DH2" s="91" t="s">
        <v>139</v>
      </c>
      <c r="DI2" s="91" t="s">
        <v>140</v>
      </c>
      <c r="DJ2" s="91" t="s">
        <v>141</v>
      </c>
      <c r="DK2" s="91" t="s">
        <v>142</v>
      </c>
      <c r="DL2" s="92" t="s">
        <v>301</v>
      </c>
      <c r="DM2" s="91" t="s">
        <v>143</v>
      </c>
      <c r="DN2" s="91" t="s">
        <v>144</v>
      </c>
      <c r="DO2" s="91" t="s">
        <v>145</v>
      </c>
      <c r="DP2" s="91" t="s">
        <v>146</v>
      </c>
      <c r="DQ2" s="92" t="s">
        <v>301</v>
      </c>
      <c r="DR2" s="91" t="s">
        <v>147</v>
      </c>
      <c r="DS2" s="91" t="s">
        <v>148</v>
      </c>
      <c r="DT2" s="91" t="s">
        <v>149</v>
      </c>
      <c r="DU2" s="91" t="s">
        <v>150</v>
      </c>
      <c r="DV2" s="92" t="s">
        <v>301</v>
      </c>
      <c r="DW2" s="91" t="s">
        <v>151</v>
      </c>
      <c r="DX2" s="91" t="s">
        <v>152</v>
      </c>
      <c r="DY2" s="91" t="s">
        <v>153</v>
      </c>
      <c r="DZ2" s="91" t="s">
        <v>154</v>
      </c>
      <c r="EA2" s="92" t="s">
        <v>301</v>
      </c>
      <c r="EB2" s="91" t="s">
        <v>155</v>
      </c>
      <c r="EC2" s="91" t="s">
        <v>156</v>
      </c>
      <c r="ED2" s="91" t="s">
        <v>157</v>
      </c>
      <c r="EE2" s="91" t="s">
        <v>158</v>
      </c>
      <c r="EF2" s="92" t="s">
        <v>301</v>
      </c>
      <c r="EG2" s="91" t="s">
        <v>159</v>
      </c>
      <c r="EH2" s="91" t="s">
        <v>160</v>
      </c>
      <c r="EI2" s="91" t="s">
        <v>326</v>
      </c>
      <c r="EJ2" s="91" t="s">
        <v>327</v>
      </c>
      <c r="EK2" s="92" t="s">
        <v>301</v>
      </c>
      <c r="EL2" s="91" t="s">
        <v>328</v>
      </c>
      <c r="EM2" s="91" t="s">
        <v>329</v>
      </c>
      <c r="EN2" s="91" t="s">
        <v>165</v>
      </c>
      <c r="EO2" s="91" t="s">
        <v>166</v>
      </c>
      <c r="EP2" s="92" t="s">
        <v>301</v>
      </c>
      <c r="EQ2" s="91" t="s">
        <v>167</v>
      </c>
      <c r="ER2" s="91" t="s">
        <v>168</v>
      </c>
      <c r="ES2" s="91" t="s">
        <v>169</v>
      </c>
      <c r="ET2" s="91" t="s">
        <v>170</v>
      </c>
      <c r="EU2" s="92" t="s">
        <v>301</v>
      </c>
      <c r="EV2" s="91" t="s">
        <v>330</v>
      </c>
      <c r="EW2" s="91" t="s">
        <v>331</v>
      </c>
      <c r="EX2" s="91" t="s">
        <v>332</v>
      </c>
      <c r="EY2" s="91" t="s">
        <v>333</v>
      </c>
      <c r="EZ2" s="92" t="s">
        <v>301</v>
      </c>
      <c r="FA2" s="94"/>
      <c r="FB2" s="95"/>
      <c r="FC2" s="95"/>
      <c r="FD2" s="95"/>
      <c r="FE2" s="95"/>
      <c r="FF2" s="95"/>
      <c r="FG2" s="95"/>
      <c r="FH2" s="95"/>
      <c r="FI2" s="95"/>
      <c r="FJ2" s="95"/>
    </row>
    <row r="3" spans="1:170" s="84" customFormat="1">
      <c r="A3" s="90"/>
      <c r="B3" s="96">
        <v>35519</v>
      </c>
      <c r="C3" s="96">
        <v>35610</v>
      </c>
      <c r="D3" s="96">
        <v>35701</v>
      </c>
      <c r="E3" s="96">
        <v>35795</v>
      </c>
      <c r="F3" s="92">
        <f>K3-1</f>
      </c>
      <c r="G3" s="96">
        <v>35911</v>
      </c>
      <c r="H3" s="96">
        <v>36002</v>
      </c>
      <c r="I3" s="96">
        <v>36093</v>
      </c>
      <c r="J3" s="96">
        <v>36191</v>
      </c>
      <c r="K3" s="92">
        <f>P3-1</f>
      </c>
      <c r="L3" s="96">
        <v>36282</v>
      </c>
      <c r="M3" s="96">
        <v>36373</v>
      </c>
      <c r="N3" s="96">
        <v>36464</v>
      </c>
      <c r="O3" s="96">
        <v>36555</v>
      </c>
      <c r="P3" s="92">
        <f>U3-1</f>
      </c>
      <c r="Q3" s="96">
        <v>36646</v>
      </c>
      <c r="R3" s="96">
        <v>36737</v>
      </c>
      <c r="S3" s="96">
        <v>36828</v>
      </c>
      <c r="T3" s="96">
        <v>36919</v>
      </c>
      <c r="U3" s="92">
        <f>Z3-1</f>
      </c>
      <c r="V3" s="96">
        <v>37010</v>
      </c>
      <c r="W3" s="96">
        <v>37101</v>
      </c>
      <c r="X3" s="96">
        <v>37192</v>
      </c>
      <c r="Y3" s="96">
        <v>37283</v>
      </c>
      <c r="Z3" s="92">
        <f>AE3-1</f>
      </c>
      <c r="AA3" s="96">
        <v>37374</v>
      </c>
      <c r="AB3" s="96">
        <v>37465</v>
      </c>
      <c r="AC3" s="96">
        <v>37556</v>
      </c>
      <c r="AD3" s="96">
        <v>37647</v>
      </c>
      <c r="AE3" s="92">
        <f>AJ3-1</f>
      </c>
      <c r="AF3" s="96">
        <v>37741</v>
      </c>
      <c r="AG3" s="96">
        <v>37833</v>
      </c>
      <c r="AH3" s="96">
        <v>37925</v>
      </c>
      <c r="AI3" s="96">
        <v>38017</v>
      </c>
      <c r="AJ3" s="92">
        <f>AO3-1</f>
      </c>
      <c r="AK3" s="96">
        <v>38102</v>
      </c>
      <c r="AL3" s="96">
        <v>38199</v>
      </c>
      <c r="AM3" s="96">
        <v>38291</v>
      </c>
      <c r="AN3" s="96">
        <v>38383</v>
      </c>
      <c r="AO3" s="92">
        <f>AT3-1</f>
      </c>
      <c r="AP3" s="96">
        <v>38443</v>
      </c>
      <c r="AQ3" s="96">
        <v>38564</v>
      </c>
      <c r="AR3" s="96">
        <v>38656</v>
      </c>
      <c r="AS3" s="96">
        <v>38748</v>
      </c>
      <c r="AT3" s="92">
        <f>AY3-1</f>
      </c>
      <c r="AU3" s="96">
        <v>38837</v>
      </c>
      <c r="AV3" s="96">
        <v>38928</v>
      </c>
      <c r="AW3" s="96">
        <v>39019</v>
      </c>
      <c r="AX3" s="97">
        <v>39113</v>
      </c>
      <c r="AY3" s="92">
        <f>BD3-1</f>
      </c>
      <c r="AZ3" s="96">
        <v>39201</v>
      </c>
      <c r="BA3" s="96">
        <v>39294</v>
      </c>
      <c r="BB3" s="96">
        <v>39386</v>
      </c>
      <c r="BC3" s="96">
        <v>39478</v>
      </c>
      <c r="BD3" s="92">
        <f>BI3-1</f>
      </c>
      <c r="BE3" s="96" t="s">
        <v>173</v>
      </c>
      <c r="BF3" s="96">
        <v>39660</v>
      </c>
      <c r="BG3" s="96">
        <v>39752</v>
      </c>
      <c r="BH3" s="96">
        <v>39844</v>
      </c>
      <c r="BI3" s="92">
        <f>BN3-1</f>
      </c>
      <c r="BJ3" s="96" t="s">
        <v>174</v>
      </c>
      <c r="BK3" s="96">
        <v>40025</v>
      </c>
      <c r="BL3" s="96">
        <v>40117</v>
      </c>
      <c r="BM3" s="96">
        <v>40209</v>
      </c>
      <c r="BN3" s="92">
        <f>BS3-1</f>
      </c>
      <c r="BO3" s="96" t="s">
        <v>175</v>
      </c>
      <c r="BP3" s="96">
        <v>40390</v>
      </c>
      <c r="BQ3" s="96">
        <v>40482</v>
      </c>
      <c r="BR3" s="96">
        <v>40574</v>
      </c>
      <c r="BS3" s="92">
        <f>BX3-1</f>
      </c>
      <c r="BT3" s="96" t="s">
        <v>176</v>
      </c>
      <c r="BU3" s="96">
        <v>40755</v>
      </c>
      <c r="BV3" s="96">
        <v>40847</v>
      </c>
      <c r="BW3" s="96">
        <v>40939</v>
      </c>
      <c r="BX3" s="92">
        <f>CC3-1</f>
      </c>
      <c r="BY3" s="96" t="s">
        <v>177</v>
      </c>
      <c r="BZ3" s="96">
        <v>41121</v>
      </c>
      <c r="CA3" s="96">
        <v>41213</v>
      </c>
      <c r="CB3" s="96">
        <v>41305</v>
      </c>
      <c r="CC3" s="92">
        <f>CH3-1</f>
      </c>
      <c r="CD3" s="96" t="s">
        <v>178</v>
      </c>
      <c r="CE3" s="96">
        <v>41486</v>
      </c>
      <c r="CF3" s="96">
        <v>41578</v>
      </c>
      <c r="CG3" s="96">
        <v>41670</v>
      </c>
      <c r="CH3" s="92">
        <f>CM3-1</f>
      </c>
      <c r="CI3" s="96" t="s">
        <v>334</v>
      </c>
      <c r="CJ3" s="96">
        <v>41851</v>
      </c>
      <c r="CK3" s="96">
        <v>41943</v>
      </c>
      <c r="CL3" s="96">
        <v>42035</v>
      </c>
      <c r="CM3" s="92">
        <f>CR3-1</f>
      </c>
      <c r="CN3" s="96" t="s">
        <v>335</v>
      </c>
      <c r="CO3" s="96">
        <v>42216</v>
      </c>
      <c r="CP3" s="96">
        <v>42308</v>
      </c>
      <c r="CQ3" s="96">
        <v>42400</v>
      </c>
      <c r="CR3" s="92">
        <f>CW3-1</f>
      </c>
      <c r="CS3" s="96" t="s">
        <v>336</v>
      </c>
      <c r="CT3" s="96">
        <v>42582</v>
      </c>
      <c r="CU3" s="96">
        <v>42674</v>
      </c>
      <c r="CV3" s="96">
        <v>42766</v>
      </c>
      <c r="CW3" s="92">
        <f>DB3-1</f>
      </c>
      <c r="CX3" s="96" t="s">
        <v>182</v>
      </c>
      <c r="CY3" s="96">
        <v>42947</v>
      </c>
      <c r="CZ3" s="96">
        <v>43039</v>
      </c>
      <c r="DA3" s="96">
        <v>43131</v>
      </c>
      <c r="DB3" s="92">
        <v>2018</v>
      </c>
      <c r="DC3" s="96" t="s">
        <v>337</v>
      </c>
      <c r="DD3" s="96">
        <v>43312</v>
      </c>
      <c r="DE3" s="96">
        <v>43404</v>
      </c>
      <c r="DF3" s="96">
        <v>43496</v>
      </c>
      <c r="DG3" s="92">
        <v>2019</v>
      </c>
      <c r="DH3" s="96" t="s">
        <v>338</v>
      </c>
      <c r="DI3" s="96">
        <v>43677</v>
      </c>
      <c r="DJ3" s="96">
        <v>43769</v>
      </c>
      <c r="DK3" s="96">
        <v>43861</v>
      </c>
      <c r="DL3" s="92">
        <v>2020</v>
      </c>
      <c r="DM3" s="96" t="s">
        <v>339</v>
      </c>
      <c r="DN3" s="96">
        <v>44043</v>
      </c>
      <c r="DO3" s="96">
        <v>44135</v>
      </c>
      <c r="DP3" s="96">
        <v>44227</v>
      </c>
      <c r="DQ3" s="92">
        <v>2021</v>
      </c>
      <c r="DR3" s="96" t="s">
        <v>340</v>
      </c>
      <c r="DS3" s="96">
        <v>44408</v>
      </c>
      <c r="DT3" s="96">
        <v>44500</v>
      </c>
      <c r="DU3" s="96">
        <v>44592</v>
      </c>
      <c r="DV3" s="92">
        <v>2022</v>
      </c>
      <c r="DW3" s="96" t="s">
        <v>341</v>
      </c>
      <c r="DX3" s="96">
        <v>44773</v>
      </c>
      <c r="DY3" s="96">
        <v>44865</v>
      </c>
      <c r="DZ3" s="96">
        <v>44957</v>
      </c>
      <c r="EA3" s="92">
        <v>2023</v>
      </c>
      <c r="EB3" s="96" t="s">
        <v>188</v>
      </c>
      <c r="EC3" s="96">
        <v>45138</v>
      </c>
      <c r="ED3" s="96">
        <v>45230</v>
      </c>
      <c r="EE3" s="96">
        <v>45322</v>
      </c>
      <c r="EF3" s="92">
        <v>2024</v>
      </c>
      <c r="EG3" s="96" t="s">
        <v>189</v>
      </c>
      <c r="EH3" s="96">
        <v>45504</v>
      </c>
      <c r="EI3" s="96">
        <v>45596</v>
      </c>
      <c r="EJ3" s="96">
        <v>45688</v>
      </c>
      <c r="EK3" s="92">
        <v>2025</v>
      </c>
      <c r="EL3" s="96" t="s">
        <v>190</v>
      </c>
      <c r="EM3" s="96">
        <v>45869</v>
      </c>
      <c r="EN3" s="96">
        <v>45961</v>
      </c>
      <c r="EO3" s="96">
        <v>46053</v>
      </c>
      <c r="EP3" s="92">
        <v>2026</v>
      </c>
      <c r="EQ3" s="96" t="s">
        <v>191</v>
      </c>
      <c r="ER3" s="96">
        <v>46234</v>
      </c>
      <c r="ES3" s="96">
        <v>46326</v>
      </c>
      <c r="ET3" s="96">
        <v>46418</v>
      </c>
      <c r="EU3" s="92">
        <v>2027</v>
      </c>
      <c r="EV3" s="96" t="s">
        <v>342</v>
      </c>
      <c r="EW3" s="96">
        <v>46599</v>
      </c>
      <c r="EX3" s="96">
        <v>46691</v>
      </c>
      <c r="EY3" s="96">
        <v>46783</v>
      </c>
      <c r="EZ3" s="92">
        <v>2028</v>
      </c>
      <c r="FA3" s="94"/>
      <c r="FB3" s="95"/>
      <c r="FC3" s="95"/>
      <c r="FD3" s="95"/>
      <c r="FE3" s="95"/>
      <c r="FF3" s="95"/>
      <c r="FG3" s="95"/>
      <c r="FH3" s="95"/>
      <c r="FI3" s="95"/>
      <c r="FJ3" s="95"/>
    </row>
    <row r="4" spans="1:170">
      <c r="A4" s="98" t="s">
        <v>343</v>
      </c>
      <c r="B4" s="92" t="s">
        <v>344</v>
      </c>
      <c r="C4" s="92" t="s">
        <v>345</v>
      </c>
      <c r="D4" s="92" t="s">
        <v>346</v>
      </c>
      <c r="E4" s="92" t="s">
        <v>347</v>
      </c>
      <c r="F4" s="92"/>
      <c r="G4" s="92" t="s">
        <v>344</v>
      </c>
      <c r="H4" s="92" t="s">
        <v>345</v>
      </c>
      <c r="I4" s="92" t="s">
        <v>346</v>
      </c>
      <c r="J4" s="92" t="s">
        <v>347</v>
      </c>
      <c r="K4" s="92"/>
      <c r="L4" s="92" t="s">
        <v>344</v>
      </c>
      <c r="M4" s="92" t="s">
        <v>345</v>
      </c>
      <c r="N4" s="92" t="s">
        <v>346</v>
      </c>
      <c r="O4" s="92" t="s">
        <v>347</v>
      </c>
      <c r="P4" s="92"/>
      <c r="Q4" s="92" t="s">
        <v>344</v>
      </c>
      <c r="R4" s="92" t="s">
        <v>345</v>
      </c>
      <c r="S4" s="92" t="s">
        <v>346</v>
      </c>
      <c r="T4" s="92" t="s">
        <v>347</v>
      </c>
      <c r="U4" s="92"/>
      <c r="V4" s="92" t="s">
        <v>344</v>
      </c>
      <c r="W4" s="92" t="s">
        <v>345</v>
      </c>
      <c r="X4" s="92" t="s">
        <v>346</v>
      </c>
      <c r="Y4" s="92" t="s">
        <v>347</v>
      </c>
      <c r="Z4" s="92"/>
      <c r="AA4" s="92" t="s">
        <v>344</v>
      </c>
      <c r="AB4" s="92" t="s">
        <v>345</v>
      </c>
      <c r="AC4" s="92" t="s">
        <v>346</v>
      </c>
      <c r="AD4" s="92" t="s">
        <v>347</v>
      </c>
      <c r="AE4" s="92"/>
      <c r="AF4" s="92"/>
      <c r="AG4" s="92"/>
      <c r="AH4" s="99"/>
      <c r="AI4" s="99"/>
      <c r="AJ4" s="99"/>
      <c r="AK4" s="99"/>
      <c r="AL4" s="99"/>
      <c r="AM4" s="99"/>
      <c r="AN4" s="99"/>
      <c r="AO4" s="99"/>
      <c r="AP4" s="99"/>
      <c r="AQ4" s="99"/>
      <c r="AR4" s="99"/>
      <c r="AS4" s="99"/>
      <c r="AT4" s="99"/>
      <c r="AU4" s="99"/>
      <c r="AV4" s="99"/>
      <c r="AW4" s="99"/>
      <c r="AX4" s="99"/>
      <c r="AY4" s="99"/>
      <c r="AZ4" s="99"/>
      <c r="BA4" s="99"/>
      <c r="BB4" s="99"/>
      <c r="BC4" s="99"/>
      <c r="BD4" s="99"/>
      <c r="BE4" s="99"/>
      <c r="BF4" s="99"/>
      <c r="BG4" s="99"/>
      <c r="BH4" s="99"/>
      <c r="BI4" s="99"/>
      <c r="BJ4" s="99"/>
      <c r="BK4" s="99"/>
      <c r="BL4" s="99"/>
      <c r="BM4" s="99"/>
      <c r="BN4" s="99"/>
      <c r="BO4" s="99"/>
      <c r="BP4" s="99"/>
      <c r="BQ4" s="99"/>
      <c r="BR4" s="99"/>
      <c r="BS4" s="99"/>
      <c r="BT4" s="99"/>
      <c r="BU4" s="99"/>
      <c r="BV4" s="99"/>
      <c r="BW4" s="99"/>
      <c r="BX4" s="99"/>
      <c r="BY4" s="99"/>
      <c r="BZ4" s="99"/>
      <c r="CA4" s="99"/>
      <c r="CB4" s="99"/>
      <c r="CC4" s="99"/>
      <c r="CD4" s="99"/>
      <c r="CE4" s="99"/>
      <c r="CF4" s="99"/>
      <c r="CG4" s="99"/>
      <c r="CH4" s="99"/>
      <c r="CI4" s="99"/>
      <c r="CJ4" s="99"/>
      <c r="CK4" s="99"/>
      <c r="CL4" s="99"/>
      <c r="CM4" s="99"/>
      <c r="CN4" s="99"/>
      <c r="CO4" s="99"/>
      <c r="CP4" s="99"/>
      <c r="CQ4" s="99"/>
      <c r="CR4" s="99"/>
      <c r="CS4" s="99"/>
      <c r="CT4" s="99"/>
      <c r="CU4" s="99"/>
      <c r="CV4" s="99"/>
      <c r="CW4" s="99"/>
      <c r="CX4" s="99"/>
      <c r="CY4" s="99"/>
      <c r="CZ4" s="99"/>
      <c r="DA4" s="99"/>
      <c r="DB4" s="92"/>
      <c r="DC4" s="99"/>
      <c r="DD4" s="99"/>
      <c r="DE4" s="99"/>
      <c r="DF4" s="99"/>
      <c r="DG4" s="99"/>
      <c r="DH4" s="99"/>
      <c r="DI4" s="99"/>
      <c r="DJ4" s="99"/>
      <c r="DK4" s="99"/>
      <c r="DL4" s="99"/>
      <c r="DM4" s="99"/>
      <c r="DN4" s="99"/>
      <c r="DO4" s="99"/>
      <c r="DP4" s="99"/>
      <c r="DQ4" s="99"/>
      <c r="DR4" s="99"/>
      <c r="DS4" s="99"/>
      <c r="DT4" s="99"/>
      <c r="DU4" s="99"/>
      <c r="DV4" s="99"/>
      <c r="DW4" s="99"/>
      <c r="DX4" s="99"/>
      <c r="DY4" s="99"/>
      <c r="DZ4" s="99"/>
      <c r="EA4" s="99"/>
      <c r="EB4" s="99"/>
      <c r="EC4" s="99"/>
      <c r="ED4" s="99"/>
      <c r="EE4" s="99"/>
      <c r="EF4" s="99"/>
      <c r="EG4" s="99"/>
      <c r="EH4" s="99"/>
      <c r="EI4" s="99"/>
      <c r="EJ4" s="99"/>
      <c r="EK4" s="99"/>
      <c r="EL4" s="99"/>
      <c r="EM4" s="99"/>
      <c r="EN4" s="99"/>
      <c r="EO4" s="99"/>
      <c r="EP4" s="99"/>
      <c r="EQ4" s="99"/>
      <c r="ER4" s="99"/>
      <c r="ES4" s="99"/>
      <c r="ET4" s="99"/>
      <c r="EU4" s="99"/>
      <c r="EV4" s="99"/>
      <c r="EW4" s="99"/>
      <c r="EX4" s="99"/>
      <c r="EY4" s="99"/>
      <c r="EZ4" s="99"/>
      <c r="FA4" s="100"/>
      <c r="FB4" s="95"/>
      <c r="FC4" s="95"/>
      <c r="FD4" s="95"/>
      <c r="FE4" s="95"/>
      <c r="FF4" s="95"/>
      <c r="FG4" s="95"/>
      <c r="FH4" s="95"/>
      <c r="FI4" s="95"/>
      <c r="FJ4" s="95"/>
    </row>
    <row r="5" spans="1:170">
      <c r="A5" s="98" t="s">
        <v>348</v>
      </c>
      <c r="B5" s="91"/>
      <c r="C5" s="91"/>
      <c r="D5" s="91"/>
      <c r="E5" s="91"/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101"/>
      <c r="AI5" s="101"/>
      <c r="AJ5" s="101"/>
      <c r="AK5" s="101"/>
      <c r="AL5" s="101"/>
      <c r="AM5" s="101"/>
      <c r="AN5" s="101"/>
      <c r="AO5" s="101"/>
      <c r="AP5" s="101"/>
      <c r="AQ5" s="101"/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1"/>
      <c r="BF5" s="101"/>
      <c r="BG5" s="101"/>
      <c r="BH5" s="101"/>
      <c r="BI5" s="101"/>
      <c r="BJ5" s="101"/>
      <c r="BK5" s="101"/>
      <c r="BL5" s="101"/>
      <c r="BM5" s="101"/>
      <c r="BN5" s="101"/>
      <c r="BO5" s="101"/>
      <c r="BP5" s="101"/>
      <c r="BQ5" s="101"/>
      <c r="BR5" s="101"/>
      <c r="BS5" s="101"/>
      <c r="BT5" s="101"/>
      <c r="BU5" s="101"/>
      <c r="BV5" s="101"/>
      <c r="BW5" s="101"/>
      <c r="BX5" s="101"/>
      <c r="BY5" s="101"/>
      <c r="BZ5" s="101"/>
      <c r="CA5" s="101"/>
      <c r="CB5" s="101"/>
      <c r="CC5" s="101"/>
      <c r="CD5" s="101"/>
      <c r="CE5" s="101"/>
      <c r="CF5" s="101"/>
      <c r="CG5" s="101"/>
      <c r="CH5" s="101"/>
      <c r="CI5" s="101"/>
      <c r="CJ5" s="101"/>
      <c r="CK5" s="101"/>
      <c r="CL5" s="101"/>
      <c r="CM5" s="101"/>
      <c r="CN5" s="101"/>
      <c r="CO5" s="101"/>
      <c r="CP5" s="101"/>
      <c r="CQ5" s="101"/>
      <c r="CR5" s="101"/>
      <c r="CS5" s="101"/>
      <c r="CT5" s="101"/>
      <c r="CU5" s="101"/>
      <c r="CV5" s="101"/>
      <c r="CW5" s="101"/>
      <c r="CX5" s="101"/>
      <c r="CY5" s="101"/>
      <c r="CZ5" s="101"/>
      <c r="DA5" s="101"/>
      <c r="DB5" s="91"/>
      <c r="DC5" s="101"/>
      <c r="DD5" s="101"/>
      <c r="DE5" s="101"/>
      <c r="DF5" s="101"/>
      <c r="DG5" s="101"/>
      <c r="DH5" s="101"/>
      <c r="DI5" s="101"/>
      <c r="DJ5" s="101"/>
      <c r="DK5" s="101"/>
      <c r="DL5" s="101"/>
      <c r="DM5" s="101"/>
      <c r="DN5" s="101"/>
      <c r="DO5" s="101"/>
      <c r="DP5" s="101"/>
      <c r="DQ5" s="101"/>
      <c r="DR5" s="101"/>
      <c r="DS5" s="101"/>
      <c r="DT5" s="101"/>
      <c r="DU5" s="101"/>
      <c r="DV5" s="101"/>
      <c r="DW5" s="101"/>
      <c r="DX5" s="101"/>
      <c r="DY5" s="101"/>
      <c r="DZ5" s="101"/>
      <c r="EA5" s="101"/>
      <c r="EB5" s="101"/>
      <c r="EC5" s="101"/>
      <c r="ED5" s="101"/>
      <c r="EE5" s="101"/>
      <c r="EF5" s="101"/>
      <c r="EG5" s="101"/>
      <c r="EH5" s="101"/>
      <c r="EI5" s="101"/>
      <c r="EJ5" s="101"/>
      <c r="EK5" s="101"/>
      <c r="EL5" s="101"/>
      <c r="EM5" s="101"/>
      <c r="EN5" s="101"/>
      <c r="EO5" s="101"/>
      <c r="EP5" s="101"/>
      <c r="EQ5" s="101"/>
      <c r="ER5" s="101"/>
      <c r="ES5" s="101"/>
      <c r="ET5" s="101"/>
      <c r="EU5" s="101"/>
      <c r="EV5" s="101"/>
      <c r="EW5" s="101"/>
      <c r="EX5" s="101"/>
      <c r="EY5" s="101"/>
      <c r="EZ5" s="101"/>
      <c r="FA5" s="102"/>
      <c r="FB5" s="95"/>
      <c r="FC5" s="95"/>
      <c r="FD5" s="95"/>
      <c r="FE5" s="95"/>
      <c r="FF5" s="95"/>
      <c r="FG5" s="95"/>
      <c r="FH5" s="95"/>
      <c r="FI5" s="95"/>
      <c r="FJ5" s="95"/>
    </row>
    <row r="6" spans="1:170" s="439" customFormat="1" ht="11.25" customHeight="1">
      <c r="A6" s="423"/>
      <c r="B6" s="424"/>
      <c r="C6" s="424"/>
      <c r="D6" s="424"/>
      <c r="E6" s="424"/>
      <c r="F6" s="425"/>
      <c r="G6" s="424"/>
      <c r="H6" s="424"/>
      <c r="I6" s="424"/>
      <c r="J6" s="424"/>
      <c r="K6" s="425"/>
      <c r="L6" s="426"/>
      <c r="M6" s="427"/>
      <c r="N6" s="427"/>
      <c r="O6" s="427"/>
      <c r="P6" s="425"/>
      <c r="Q6" s="427"/>
      <c r="R6" s="427"/>
      <c r="S6" s="427"/>
      <c r="T6" s="427"/>
      <c r="U6" s="425"/>
      <c r="V6" s="427"/>
      <c r="W6" s="427"/>
      <c r="X6" s="427"/>
      <c r="Y6" s="427"/>
      <c r="Z6" s="425"/>
      <c r="AA6" s="428"/>
      <c r="AB6" s="426"/>
      <c r="AC6" s="429"/>
      <c r="AD6" s="429"/>
      <c r="AE6" s="425"/>
      <c r="AF6" s="428"/>
      <c r="AG6" s="428"/>
      <c r="AH6" s="428"/>
      <c r="AI6" s="428"/>
      <c r="AJ6" s="425"/>
      <c r="AK6" s="429"/>
      <c r="AL6" s="430"/>
      <c r="AM6" s="431"/>
      <c r="AN6" s="432"/>
      <c r="AO6" s="425"/>
      <c r="AP6" s="431"/>
      <c r="AQ6" s="433"/>
      <c r="AR6" s="434"/>
      <c r="AS6" s="435"/>
      <c r="AT6" s="425"/>
      <c r="AU6" s="436"/>
      <c r="AV6" s="435"/>
      <c r="AW6" s="436"/>
      <c r="AX6" s="437"/>
      <c r="AY6" s="425"/>
      <c r="AZ6" s="437"/>
      <c r="BA6" s="438"/>
      <c r="BB6" s="438"/>
      <c r="BC6" s="438"/>
      <c r="BD6" s="425"/>
      <c r="BF6" s="438"/>
      <c r="BG6" s="438"/>
      <c r="BI6" s="425"/>
      <c r="BJ6" s="438"/>
      <c r="BK6" s="440"/>
      <c r="BL6" s="440"/>
      <c r="BM6" s="440"/>
      <c r="BN6" s="425"/>
      <c r="BO6" s="440"/>
      <c r="BP6" s="435"/>
      <c r="BQ6" s="435"/>
      <c r="BR6" s="435"/>
      <c r="BS6" s="425"/>
      <c r="BT6" s="435"/>
      <c r="BU6" s="435"/>
      <c r="BV6" s="435"/>
      <c r="BW6" s="441"/>
      <c r="BX6" s="425"/>
      <c r="BY6" s="441"/>
      <c r="BZ6" s="441"/>
      <c r="CA6" s="441"/>
      <c r="CB6" s="103"/>
      <c r="CC6" s="425"/>
      <c r="CD6" s="103"/>
      <c r="CE6" s="103"/>
      <c r="CF6" s="103"/>
      <c r="CG6" s="103"/>
      <c r="CH6" s="425"/>
      <c r="CI6" s="103"/>
      <c r="CJ6" s="103"/>
      <c r="CK6" s="103"/>
      <c r="CL6" s="103"/>
      <c r="CM6" s="425"/>
      <c r="CN6" s="103"/>
      <c r="CO6" s="103"/>
      <c r="CP6" s="103"/>
      <c r="CQ6" s="103"/>
      <c r="CR6" s="425"/>
      <c r="CS6" s="103"/>
      <c r="CT6" s="103"/>
      <c r="CU6" s="103"/>
      <c r="CV6" s="104"/>
      <c r="CW6" s="425"/>
      <c r="CX6" s="103"/>
      <c r="CY6" s="103"/>
      <c r="CZ6" s="103"/>
      <c r="DA6" s="103"/>
      <c r="DB6" s="425"/>
      <c r="FB6" s="37"/>
      <c r="FC6" s="37"/>
      <c r="FD6" s="37"/>
      <c r="FE6" s="37"/>
      <c r="FF6" s="37"/>
      <c r="FG6" s="37"/>
      <c r="FH6" s="37"/>
      <c r="FI6" s="37"/>
      <c r="FJ6" s="37"/>
      <c r="FK6" s="37"/>
      <c r="FL6" s="37"/>
      <c r="FM6" s="37"/>
      <c r="FN6" s="37"/>
    </row>
    <row r="7" spans="1:170" s="105" customFormat="1">
      <c r="A7" s="83" t="s">
        <v>195</v>
      </c>
      <c r="B7" s="442">
        <v>6.5000000000000002E-2</v>
      </c>
      <c r="C7" s="442">
        <v>6.0000000000000001E-3</v>
      </c>
      <c r="D7" s="442">
        <v>5.4660000000000002</v>
      </c>
      <c r="E7" s="442">
        <v>23.534000000000002</v>
      </c>
      <c r="F7" s="443">
        <f>SUM(B7:E7)</f>
      </c>
      <c r="G7" s="442">
        <v>28.263000000000002</v>
      </c>
      <c r="H7" s="442">
        <v>12.134</v>
      </c>
      <c r="I7" s="442">
        <v>52.302999999999997</v>
      </c>
      <c r="J7" s="442">
        <v>65.536999999999992</v>
      </c>
      <c r="K7" s="443">
        <f>SUM(G7:J7)</f>
      </c>
      <c r="L7" s="442">
        <v>71.018000000000001</v>
      </c>
      <c r="M7" s="442">
        <v>78.016999999999996</v>
      </c>
      <c r="N7" s="442">
        <v>97.015000000000001</v>
      </c>
      <c r="O7" s="442">
        <v>128.45500000000001</v>
      </c>
      <c r="P7" s="443">
        <f>SUM(L7:O7)</f>
      </c>
      <c r="Q7" s="442">
        <v>148.483</v>
      </c>
      <c r="R7" s="442">
        <v>169.31800000000001</v>
      </c>
      <c r="S7" s="442">
        <v>197.667</v>
      </c>
      <c r="T7" s="442">
        <v>219.79599999999999</v>
      </c>
      <c r="U7" s="443">
        <f>SUM(Q7:T7)</f>
      </c>
      <c r="V7" s="442">
        <v>240.93199999999999</v>
      </c>
      <c r="W7" s="442">
        <v>259.875</v>
      </c>
      <c r="X7" s="442">
        <v>364.976</v>
      </c>
      <c r="Y7" s="442">
        <v>503.68799999999999</v>
      </c>
      <c r="Z7" s="443">
        <f>SUM(V7:Y7)</f>
      </c>
      <c r="AA7" s="442">
        <v>582.90499999999997</v>
      </c>
      <c r="AB7" s="442">
        <v>427.28500000000003</v>
      </c>
      <c r="AC7" s="442">
        <v>430.30399999999997</v>
      </c>
      <c r="AD7" s="442">
        <f>468.953-40.365</f>
      </c>
      <c r="AE7" s="443">
        <f>SUM(AA7:AD7)</f>
      </c>
      <c r="AF7" s="442">
        <v>404.983</v>
      </c>
      <c r="AG7" s="442">
        <v>459.774</v>
      </c>
      <c r="AH7" s="442">
        <v>486.06900000000002</v>
      </c>
      <c r="AI7" s="442">
        <v>472.11900000000003</v>
      </c>
      <c r="AJ7" s="443">
        <f>SUM(AF7:AI7)</f>
      </c>
      <c r="AK7" s="442">
        <v>471.90499999999997</v>
      </c>
      <c r="AL7" s="442">
        <v>456.06099999999998</v>
      </c>
      <c r="AM7" s="442">
        <v>515.59100000000001</v>
      </c>
      <c r="AN7" s="442">
        <v>566.476</v>
      </c>
      <c r="AO7" s="443">
        <f>SUM(AK7:AN7)</f>
      </c>
      <c r="AP7" s="442">
        <v>583.846</v>
      </c>
      <c r="AQ7" s="442">
        <v>574.81200000000001</v>
      </c>
      <c r="AR7" s="442">
        <v>583.41499999999996</v>
      </c>
      <c r="AS7" s="442">
        <v>633.61400000000003</v>
      </c>
      <c r="AT7" s="443">
        <f>SUM(AP7:AS7)</f>
      </c>
      <c r="AU7" s="442">
        <v>681.80700000000002</v>
      </c>
      <c r="AV7" s="442">
        <v>687.51900000000001</v>
      </c>
      <c r="AW7" s="442">
        <v>820.572</v>
      </c>
      <c r="AX7" s="442">
        <v>878.87300000000005</v>
      </c>
      <c r="AY7" s="443">
        <f>SUM(AU7:AX7)</f>
      </c>
      <c r="AZ7" s="442">
        <v>844.28</v>
      </c>
      <c r="BA7" s="442">
        <v>935.25300000000004</v>
      </c>
      <c r="BB7" s="442">
        <v>1115.597</v>
      </c>
      <c r="BC7" s="442">
        <v>1202.73</v>
      </c>
      <c r="BD7" s="443">
        <f>SUM(AZ7:BC7)</f>
      </c>
      <c r="BE7" s="442">
        <v>1153.3879999999999</v>
      </c>
      <c r="BF7" s="442">
        <v>892.67600000000004</v>
      </c>
      <c r="BG7" s="442">
        <v>897.65499999999997</v>
      </c>
      <c r="BH7" s="442">
        <v>481.14</v>
      </c>
      <c r="BI7" s="443">
        <f>SUM(BE7:BH7)</f>
      </c>
      <c r="BJ7" s="442">
        <v>664.23099999999999</v>
      </c>
      <c r="BK7" s="442">
        <v>776.52</v>
      </c>
      <c r="BL7" s="442">
        <v>903.20600000000002</v>
      </c>
      <c r="BM7" s="442">
        <v>982.48800000000006</v>
      </c>
      <c r="BN7" s="443">
        <f>SUM(BJ7:BM7)</f>
      </c>
      <c r="BO7" s="442">
        <v>1001.813</v>
      </c>
      <c r="BP7" s="442">
        <v>811.20799999999997</v>
      </c>
      <c r="BQ7" s="442">
        <v>843.91200000000003</v>
      </c>
      <c r="BR7" s="442">
        <v>886.37599999999998</v>
      </c>
      <c r="BS7" s="443">
        <f>SUM(BO7:BR7)</f>
      </c>
      <c r="BT7" s="442">
        <v>962.03899999999999</v>
      </c>
      <c r="BU7" s="442">
        <v>1016.5170000000001</v>
      </c>
      <c r="BV7" s="442">
        <v>1066.18</v>
      </c>
      <c r="BW7" s="442">
        <v>953.19399999999996</v>
      </c>
      <c r="BX7" s="443">
        <f>SUM(BT7:BW7)</f>
      </c>
      <c r="BY7" s="442">
        <v>924.87699999999995</v>
      </c>
      <c r="BZ7" s="442">
        <v>1044.27</v>
      </c>
      <c r="CA7" s="442">
        <v>1204.1099999999999</v>
      </c>
      <c r="CB7" s="442">
        <v>1106.902</v>
      </c>
      <c r="CC7" s="443">
        <f>SUM(BY7:CB7)</f>
      </c>
      <c r="CD7" s="442">
        <v>954.73900000000003</v>
      </c>
      <c r="CE7" s="442">
        <v>977.23800000000006</v>
      </c>
      <c r="CF7" s="442">
        <v>1053.9670000000001</v>
      </c>
      <c r="CG7" s="442">
        <v>1144.2180000000001</v>
      </c>
      <c r="CH7" s="443">
        <f>SUM(CD7:CG7)</f>
      </c>
      <c r="CI7" s="442">
        <v>1102.787</v>
      </c>
      <c r="CJ7" s="442">
        <v>1102.8240000000001</v>
      </c>
      <c r="CK7" s="442">
        <v>1225.3820000000001</v>
      </c>
      <c r="CL7" s="442">
        <v>1250.5139999999999</v>
      </c>
      <c r="CM7" s="443">
        <f>SUM(CI7:CL7)</f>
      </c>
      <c r="CN7" s="442">
        <f>1151</f>
      </c>
      <c r="CO7" s="442">
        <f>1153</f>
      </c>
      <c r="CP7" s="442">
        <f>1305</f>
      </c>
      <c r="CQ7" s="442">
        <f>1401</f>
      </c>
      <c r="CR7" s="443">
        <f>SUM(CN7:CQ7)</f>
      </c>
      <c r="CS7" s="442">
        <v>1305</v>
      </c>
      <c r="CT7" s="442">
        <v>1428</v>
      </c>
      <c r="CU7" s="442">
        <v>2004</v>
      </c>
      <c r="CV7" s="442">
        <v>2173</v>
      </c>
      <c r="CW7" s="443">
        <f>SUM(CS7:CV7)</f>
      </c>
      <c r="CX7" s="442">
        <v>1937</v>
      </c>
      <c r="CY7" s="442">
        <v>2230</v>
      </c>
      <c r="CZ7" s="442">
        <v>2636</v>
      </c>
      <c r="DA7" s="442">
        <v>2911</v>
      </c>
      <c r="DB7" s="443">
        <f>SUM(CX7:DA7)</f>
      </c>
      <c r="DC7" s="442">
        <v>3207</v>
      </c>
      <c r="DD7" s="442">
        <v>3123</v>
      </c>
      <c r="DE7" s="442">
        <v>3181</v>
      </c>
      <c r="DF7" s="442">
        <v>2205</v>
      </c>
      <c r="DG7" s="443">
        <f>SUM(DC7:DF7)</f>
      </c>
      <c r="DH7" s="442">
        <v>2220</v>
      </c>
      <c r="DI7" s="442">
        <v>2579</v>
      </c>
      <c r="DJ7" s="442">
        <v>3014</v>
      </c>
      <c r="DK7" s="442">
        <v>3105</v>
      </c>
      <c r="DL7" s="443">
        <f>SUM(DH7:DK7)</f>
      </c>
      <c r="DM7" s="442">
        <v>3080</v>
      </c>
      <c r="DN7" s="442">
        <v>3866</v>
      </c>
      <c r="DO7" s="442">
        <v>4726</v>
      </c>
      <c r="DP7" s="442">
        <v>5003</v>
      </c>
      <c r="DQ7" s="443">
        <f>SUM(DM7:DP7)</f>
      </c>
      <c r="DR7" s="442">
        <v>5661</v>
      </c>
      <c r="DS7" s="442">
        <v>6507</v>
      </c>
      <c r="DT7" s="442">
        <v>7103</v>
      </c>
      <c r="DU7" s="442">
        <v>7643</v>
      </c>
      <c r="DV7" s="443">
        <f>SUM(DR7:DU7)</f>
      </c>
      <c r="DW7" s="442">
        <v>8288</v>
      </c>
      <c r="DX7" s="442">
        <v>6704</v>
      </c>
      <c r="DY7" s="442">
        <v>5931</v>
      </c>
      <c r="DZ7" s="442">
        <v>6051</v>
      </c>
      <c r="EA7" s="443">
        <f>SUM(DW7:DZ7)</f>
      </c>
      <c r="EB7" s="442">
        <v>7192</v>
      </c>
      <c r="EC7" s="442">
        <v>13507</v>
      </c>
      <c r="ED7" s="442">
        <v>18120</v>
      </c>
      <c r="EE7" s="442">
        <v>22103</v>
      </c>
      <c r="EF7" s="443">
        <f>SUM(EB7:EE7)</f>
      </c>
      <c r="EG7" s="442">
        <v>26044</v>
      </c>
      <c r="EH7" s="442">
        <v>30040</v>
      </c>
      <c r="EI7" s="442">
        <v>35082</v>
      </c>
      <c r="EJ7" s="442">
        <v>39331</v>
      </c>
      <c r="EK7" s="443">
        <f>SUM(EG7:EJ7)</f>
      </c>
      <c r="EL7" s="442">
        <v>44062</v>
      </c>
      <c r="EM7" s="442">
        <v>46743</v>
      </c>
      <c r="EN7" s="444">
        <f>Worksheet!CV5</f>
      </c>
      <c r="EO7" s="444">
        <f>Worksheet!CW5</f>
      </c>
      <c r="EP7" s="443">
        <f>SUM(EL7:EO7)</f>
      </c>
      <c r="EQ7" s="444">
        <f>Worksheet!CX5</f>
      </c>
      <c r="ER7" s="444">
        <f>Worksheet!CY5</f>
      </c>
      <c r="ES7" s="444">
        <f>Worksheet!CZ5</f>
      </c>
      <c r="ET7" s="444">
        <f>Worksheet!DA5</f>
      </c>
      <c r="EU7" s="443">
        <f>SUM(EQ7:ET7)</f>
      </c>
      <c r="EV7" s="444">
        <f>Worksheet!DB5</f>
      </c>
      <c r="EW7" s="444">
        <f>Worksheet!DC5</f>
      </c>
      <c r="EX7" s="444">
        <f>Worksheet!DD5</f>
      </c>
      <c r="EY7" s="444">
        <f>Worksheet!DE5</f>
      </c>
      <c r="EZ7" s="443">
        <f>SUM(EV7:EY7)</f>
      </c>
      <c r="FA7" s="443"/>
      <c r="FB7" s="37"/>
      <c r="FC7" s="37"/>
      <c r="FD7" s="37"/>
      <c r="FE7" s="37"/>
      <c r="FF7" s="37"/>
      <c r="FG7" s="37"/>
      <c r="FH7" s="37"/>
      <c r="FI7" s="37"/>
      <c r="FJ7" s="37"/>
      <c r="FK7" s="37"/>
      <c r="FL7" s="37"/>
      <c r="FM7" s="37"/>
      <c r="FN7" s="37"/>
    </row>
    <row r="8" spans="1:170">
      <c r="A8" s="445" t="s">
        <v>349</v>
      </c>
      <c r="B8" s="446"/>
      <c r="C8" s="446"/>
      <c r="D8" s="446"/>
      <c r="E8" s="446"/>
      <c r="F8" s="447" t="s">
        <v>197</v>
      </c>
      <c r="G8" s="446">
        <f>G7/E7-1</f>
      </c>
      <c r="H8" s="446">
        <f t="shared" ref="H8:BM8" si="0">H7/G7-1</f>
      </c>
      <c r="I8" s="446">
        <f t="shared" si="0"/>
      </c>
      <c r="J8" s="446">
        <f t="shared" si="0"/>
      </c>
      <c r="K8" s="447" t="s">
        <v>197</v>
      </c>
      <c r="L8" s="446">
        <f>L7/J7-1</f>
      </c>
      <c r="M8" s="446">
        <f t="shared" si="0"/>
      </c>
      <c r="N8" s="446">
        <f t="shared" si="0"/>
      </c>
      <c r="O8" s="446">
        <f t="shared" si="0"/>
      </c>
      <c r="P8" s="447" t="s">
        <v>197</v>
      </c>
      <c r="Q8" s="446">
        <f>Q7/O7-1</f>
      </c>
      <c r="R8" s="446">
        <f t="shared" si="0"/>
      </c>
      <c r="S8" s="446">
        <f t="shared" si="0"/>
      </c>
      <c r="T8" s="446">
        <f>T7/S7-1</f>
      </c>
      <c r="U8" s="447" t="s">
        <v>197</v>
      </c>
      <c r="V8" s="446">
        <f>V7/T7-1</f>
      </c>
      <c r="W8" s="446">
        <f t="shared" si="0"/>
      </c>
      <c r="X8" s="446">
        <f t="shared" si="0"/>
      </c>
      <c r="Y8" s="446">
        <f t="shared" si="0"/>
      </c>
      <c r="Z8" s="447" t="s">
        <v>197</v>
      </c>
      <c r="AA8" s="446">
        <f>AA7/Y7-1</f>
      </c>
      <c r="AB8" s="446">
        <f t="shared" si="0"/>
      </c>
      <c r="AC8" s="446">
        <f t="shared" si="0"/>
      </c>
      <c r="AD8" s="446">
        <f t="shared" si="0"/>
      </c>
      <c r="AE8" s="447" t="s">
        <v>197</v>
      </c>
      <c r="AF8" s="446">
        <f>AF7/AD7-1</f>
      </c>
      <c r="AG8" s="446">
        <f t="shared" si="0"/>
      </c>
      <c r="AH8" s="446">
        <f t="shared" si="0"/>
      </c>
      <c r="AI8" s="446">
        <f t="shared" si="0"/>
      </c>
      <c r="AJ8" s="447" t="s">
        <v>197</v>
      </c>
      <c r="AK8" s="446">
        <f>AK7/AI7-1</f>
      </c>
      <c r="AL8" s="446">
        <f t="shared" si="0"/>
      </c>
      <c r="AM8" s="446">
        <f t="shared" si="0"/>
      </c>
      <c r="AN8" s="446">
        <f t="shared" si="0"/>
      </c>
      <c r="AO8" s="447" t="s">
        <v>197</v>
      </c>
      <c r="AP8" s="446">
        <f>AP7/AN7-1</f>
      </c>
      <c r="AQ8" s="446">
        <f t="shared" si="0"/>
      </c>
      <c r="AR8" s="446">
        <f t="shared" si="0"/>
      </c>
      <c r="AS8" s="446">
        <f t="shared" si="0"/>
      </c>
      <c r="AT8" s="447" t="s">
        <v>197</v>
      </c>
      <c r="AU8" s="446">
        <f>AU7/AS7-1</f>
      </c>
      <c r="AV8" s="446">
        <f t="shared" si="0"/>
      </c>
      <c r="AW8" s="446">
        <f t="shared" si="0"/>
      </c>
      <c r="AX8" s="446">
        <f t="shared" si="0"/>
      </c>
      <c r="AY8" s="447" t="s">
        <v>197</v>
      </c>
      <c r="AZ8" s="446">
        <f>AZ7/AX7-1</f>
      </c>
      <c r="BA8" s="446">
        <f t="shared" si="0"/>
      </c>
      <c r="BB8" s="446">
        <f>BB7/BA7-1</f>
      </c>
      <c r="BC8" s="446">
        <f>BC7/BB7-1</f>
      </c>
      <c r="BD8" s="447" t="s">
        <v>197</v>
      </c>
      <c r="BE8" s="446">
        <f>BE7/BC7-1</f>
      </c>
      <c r="BF8" s="446">
        <f t="shared" si="0"/>
      </c>
      <c r="BG8" s="446">
        <f t="shared" si="0"/>
      </c>
      <c r="BH8" s="446">
        <f t="shared" si="0"/>
      </c>
      <c r="BI8" s="447" t="s">
        <v>197</v>
      </c>
      <c r="BJ8" s="446">
        <f>BJ7/BH7-1</f>
      </c>
      <c r="BK8" s="446">
        <f t="shared" si="0"/>
      </c>
      <c r="BL8" s="446">
        <f t="shared" si="0"/>
      </c>
      <c r="BM8" s="446">
        <f t="shared" si="0"/>
      </c>
      <c r="BN8" s="447" t="s">
        <v>197</v>
      </c>
      <c r="BO8" s="446">
        <f>BO7/BM7-1</f>
      </c>
      <c r="BP8" s="446">
        <f t="shared" ref="BP8:BW8" si="1">BP7/BO7-1</f>
      </c>
      <c r="BQ8" s="446">
        <f t="shared" si="1"/>
      </c>
      <c r="BR8" s="446">
        <f t="shared" si="1"/>
      </c>
      <c r="BS8" s="447" t="s">
        <v>197</v>
      </c>
      <c r="BT8" s="446">
        <f>BT7/BR7-1</f>
      </c>
      <c r="BU8" s="446">
        <f t="shared" si="1"/>
      </c>
      <c r="BV8" s="446">
        <f t="shared" si="1"/>
      </c>
      <c r="BW8" s="446">
        <f t="shared" si="1"/>
      </c>
      <c r="BX8" s="447" t="s">
        <v>197</v>
      </c>
      <c r="BY8" s="446">
        <f>BY7/BW7-1</f>
      </c>
      <c r="BZ8" s="446">
        <f t="shared" ref="BZ8:CG8" si="2">BZ7/BY7-1</f>
      </c>
      <c r="CA8" s="446">
        <f t="shared" si="2"/>
      </c>
      <c r="CB8" s="446">
        <f>CB7/CA7-1</f>
      </c>
      <c r="CC8" s="447" t="s">
        <v>197</v>
      </c>
      <c r="CD8" s="446">
        <f>CD7/CB7-1</f>
      </c>
      <c r="CE8" s="446">
        <f t="shared" si="2"/>
      </c>
      <c r="CF8" s="446">
        <f t="shared" si="2"/>
      </c>
      <c r="CG8" s="446">
        <f t="shared" si="2"/>
      </c>
      <c r="CH8" s="447" t="s">
        <v>197</v>
      </c>
      <c r="CI8" s="446">
        <f>CI7/CG7-1</f>
      </c>
      <c r="CJ8" s="446">
        <f>CJ7/CI7-1</f>
      </c>
      <c r="CK8" s="446">
        <f t="shared" ref="CK8:CP8" si="3">CK7/CJ7-1</f>
      </c>
      <c r="CL8" s="446">
        <f t="shared" si="3"/>
      </c>
      <c r="CM8" s="447" t="s">
        <v>197</v>
      </c>
      <c r="CN8" s="446">
        <f>CN7/CL7-1</f>
      </c>
      <c r="CO8" s="446">
        <f t="shared" si="3"/>
      </c>
      <c r="CP8" s="446">
        <f t="shared" si="3"/>
      </c>
      <c r="CQ8" s="446">
        <f>CQ7/CP7-1</f>
      </c>
      <c r="CR8" s="447" t="s">
        <v>197</v>
      </c>
      <c r="CS8" s="446">
        <f>CS7/CQ7-1</f>
      </c>
      <c r="CT8" s="446">
        <f>CT7/CS7-1</f>
      </c>
      <c r="CU8" s="446">
        <f>CU7/CT7-1</f>
      </c>
      <c r="CV8" s="446">
        <f>CV7/CU7-1</f>
      </c>
      <c r="CW8" s="447" t="s">
        <v>197</v>
      </c>
      <c r="CX8" s="446">
        <f>CX7/CV7-1</f>
      </c>
      <c r="CY8" s="446">
        <f>CY7/CX7-1</f>
      </c>
      <c r="CZ8" s="446">
        <f>CZ7/CY7-1</f>
      </c>
      <c r="DA8" s="446">
        <f>DA7/CZ7-1</f>
      </c>
      <c r="DB8" s="447" t="s">
        <v>197</v>
      </c>
      <c r="DC8" s="446">
        <f>DC7/DA7-1</f>
      </c>
      <c r="DD8" s="446">
        <f>DD7/DC7-1</f>
      </c>
      <c r="DE8" s="446">
        <f>DE7/DD7-1</f>
      </c>
      <c r="DF8" s="446">
        <f>DF7/DE7-1</f>
      </c>
      <c r="DG8" s="447" t="s">
        <v>197</v>
      </c>
      <c r="DH8" s="446">
        <f>DH7/DF7-1</f>
      </c>
      <c r="DI8" s="446">
        <f>DI7/DH7-1</f>
      </c>
      <c r="DJ8" s="446">
        <f>DJ7/DI7-1</f>
      </c>
      <c r="DK8" s="446">
        <f>DK7/DJ7-1</f>
      </c>
      <c r="DL8" s="447" t="s">
        <v>197</v>
      </c>
      <c r="DM8" s="446">
        <f>DM7/DK7-1</f>
      </c>
      <c r="DN8" s="446">
        <f>DN7/DM7-1</f>
      </c>
      <c r="DO8" s="446">
        <f>DO7/DN7-1</f>
      </c>
      <c r="DP8" s="446">
        <f>DP7/DO7-1</f>
      </c>
      <c r="DQ8" s="447" t="s">
        <v>197</v>
      </c>
      <c r="DR8" s="446">
        <f>DR7/DP7-1</f>
      </c>
      <c r="DS8" s="446">
        <f>DS7/DR7-1</f>
      </c>
      <c r="DT8" s="446">
        <f>DT7/DS7-1</f>
      </c>
      <c r="DU8" s="446">
        <f>DU7/DT7-1</f>
      </c>
      <c r="DV8" s="447" t="s">
        <v>197</v>
      </c>
      <c r="DW8" s="446">
        <f>DW7/DU7-1</f>
      </c>
      <c r="DX8" s="446">
        <f>DX7/DW7-1</f>
      </c>
      <c r="DY8" s="446">
        <f>DY7/DX7-1</f>
      </c>
      <c r="DZ8" s="446">
        <f>DZ7/DY7-1</f>
      </c>
      <c r="EA8" s="447" t="s">
        <v>197</v>
      </c>
      <c r="EB8" s="446">
        <f>EB7/DZ7-1</f>
      </c>
      <c r="EC8" s="446">
        <f>EC7/EB7-1</f>
      </c>
      <c r="ED8" s="446">
        <f>ED7/EC7-1</f>
      </c>
      <c r="EE8" s="446">
        <f>EE7/ED7-1</f>
      </c>
      <c r="EF8" s="447" t="s">
        <v>197</v>
      </c>
      <c r="EG8" s="446">
        <f>EG7/EE7-1</f>
      </c>
      <c r="EH8" s="446">
        <f>EH7/EG7-1</f>
      </c>
      <c r="EI8" s="446">
        <f>EI7/EH7-1</f>
      </c>
      <c r="EJ8" s="446">
        <f>EJ7/EI7-1</f>
      </c>
      <c r="EK8" s="447" t="s">
        <v>197</v>
      </c>
      <c r="EL8" s="446">
        <f>EL7/EJ7-1</f>
      </c>
      <c r="EM8" s="446">
        <f>EM7/EL7-1</f>
      </c>
      <c r="EN8" s="446">
        <f>EN7/EM7-1</f>
      </c>
      <c r="EO8" s="446">
        <f>EO7/EN7-1</f>
      </c>
      <c r="EP8" s="447" t="s">
        <v>197</v>
      </c>
      <c r="EQ8" s="446">
        <f>EQ7/EO7-1</f>
      </c>
      <c r="ER8" s="446">
        <f>ER7/EQ7-1</f>
      </c>
      <c r="ES8" s="446">
        <f>ES7/ER7-1</f>
      </c>
      <c r="ET8" s="446">
        <f>ET7/ES7-1</f>
      </c>
      <c r="EU8" s="447" t="s">
        <v>197</v>
      </c>
      <c r="EV8" s="446">
        <f>EV7/ET7-1</f>
      </c>
      <c r="EW8" s="446">
        <f>EW7/EV7-1</f>
      </c>
      <c r="EX8" s="446">
        <f>EX7/EW7-1</f>
      </c>
      <c r="EY8" s="446">
        <f>EY7/EX7-1</f>
      </c>
      <c r="EZ8" s="447" t="s">
        <v>197</v>
      </c>
      <c r="FA8" s="447"/>
      <c r="FB8" s="37"/>
      <c r="FC8" s="37"/>
      <c r="FD8" s="37"/>
      <c r="FE8" s="37"/>
      <c r="FF8" s="37"/>
      <c r="FG8" s="37"/>
      <c r="FH8" s="37"/>
      <c r="FI8" s="37"/>
      <c r="FJ8" s="37"/>
      <c r="FK8" s="37"/>
      <c r="FL8" s="37"/>
      <c r="FM8" s="37"/>
      <c r="FN8" s="37"/>
    </row>
    <row r="9" spans="1:170">
      <c r="A9" s="445" t="s">
        <v>350</v>
      </c>
      <c r="B9" s="446"/>
      <c r="C9" s="446"/>
      <c r="D9" s="446"/>
      <c r="E9" s="446"/>
      <c r="F9" s="441"/>
      <c r="G9" s="446">
        <f>+G7/B7-1</f>
      </c>
      <c r="H9" s="446">
        <f>+H7/C7-1</f>
      </c>
      <c r="I9" s="446">
        <f>+I7/D7-1</f>
      </c>
      <c r="J9" s="446">
        <f>+J7/E7-1</f>
      </c>
      <c r="K9" s="441">
        <f>K7/F7-1</f>
      </c>
      <c r="L9" s="446">
        <f>+L7/G7-1</f>
      </c>
      <c r="M9" s="446">
        <f>+M7/H7-1</f>
      </c>
      <c r="N9" s="446">
        <f>+N7/I7-1</f>
      </c>
      <c r="O9" s="446">
        <f>+O7/J7-1</f>
      </c>
      <c r="P9" s="441">
        <f>P7/K7-1</f>
      </c>
      <c r="Q9" s="446">
        <f>+Q7/L7-1</f>
      </c>
      <c r="R9" s="446">
        <f>+R7/M7-1</f>
      </c>
      <c r="S9" s="446">
        <f>+S7/N7-1</f>
      </c>
      <c r="T9" s="446">
        <f>+T7/O7-1</f>
      </c>
      <c r="U9" s="441">
        <f>U7/P7-1</f>
      </c>
      <c r="V9" s="446">
        <f>+V7/Q7-1</f>
      </c>
      <c r="W9" s="446">
        <f>+W7/R7-1</f>
      </c>
      <c r="X9" s="446">
        <f>+X7/S7-1</f>
      </c>
      <c r="Y9" s="446">
        <f>+Y7/T7-1</f>
      </c>
      <c r="Z9" s="441">
        <f>Z7/U7-1</f>
      </c>
      <c r="AA9" s="446">
        <f>+AA7/V7-1</f>
      </c>
      <c r="AB9" s="446">
        <f>+AB7/W7-1</f>
      </c>
      <c r="AC9" s="446">
        <f>+AC7/X7-1</f>
      </c>
      <c r="AD9" s="446">
        <f>+AD7/Y7-1</f>
      </c>
      <c r="AE9" s="441">
        <f>AE7/Z7-1</f>
      </c>
      <c r="AF9" s="446">
        <f>+AF7/AA7-1</f>
      </c>
      <c r="AG9" s="446">
        <f>+AG7/AB7-1</f>
      </c>
      <c r="AH9" s="446">
        <f>+AH7/AC7-1</f>
      </c>
      <c r="AI9" s="446">
        <f>+AI7/AD7-1</f>
      </c>
      <c r="AJ9" s="441">
        <f>AJ7/AE7-1</f>
      </c>
      <c r="AK9" s="446">
        <f>+AK7/AF7-1</f>
      </c>
      <c r="AL9" s="446">
        <f>+AL7/AG7-1</f>
      </c>
      <c r="AM9" s="446">
        <f>+AM7/AH7-1</f>
      </c>
      <c r="AN9" s="446">
        <f>+AN7/AI7-1</f>
      </c>
      <c r="AO9" s="441">
        <f>AO7/AJ7-1</f>
      </c>
      <c r="AP9" s="446">
        <f>+AP7/AK7-1</f>
      </c>
      <c r="AQ9" s="446">
        <f>+AQ7/AL7-1</f>
      </c>
      <c r="AR9" s="446">
        <f>+AR7/AM7-1</f>
      </c>
      <c r="AS9" s="446">
        <f>+AS7/AN7-1</f>
      </c>
      <c r="AT9" s="441">
        <f>AT7/AO7-1</f>
      </c>
      <c r="AU9" s="446">
        <f>+AU7/AP7-1</f>
      </c>
      <c r="AV9" s="446">
        <f>+AV7/AQ7-1</f>
      </c>
      <c r="AW9" s="446">
        <f>+AW7/AR7-1</f>
      </c>
      <c r="AX9" s="446">
        <f>+AX7/AS7-1</f>
      </c>
      <c r="AY9" s="441">
        <f>AY7/AT7-1</f>
      </c>
      <c r="AZ9" s="446">
        <f>+AZ7/AU7-1</f>
      </c>
      <c r="BA9" s="446">
        <f>+BA7/AV7-1</f>
      </c>
      <c r="BB9" s="446">
        <f>+BB7/AW7-1</f>
      </c>
      <c r="BC9" s="446">
        <f>+BC7/AX7-1</f>
      </c>
      <c r="BD9" s="441">
        <f>BD7/AY7-1</f>
      </c>
      <c r="BE9" s="446">
        <f>+BE7/AZ7-1</f>
      </c>
      <c r="BF9" s="446">
        <f>+BF7/BA7-1</f>
      </c>
      <c r="BG9" s="446">
        <f>+BG7/BB7-1</f>
      </c>
      <c r="BH9" s="446">
        <f>+BH7/BC7-1</f>
      </c>
      <c r="BI9" s="441">
        <f>BI7/BD7-1</f>
      </c>
      <c r="BJ9" s="446">
        <f>+BJ7/BE7-1</f>
      </c>
      <c r="BK9" s="446">
        <f>+BK7/BF7-1</f>
      </c>
      <c r="BL9" s="446">
        <f>+BL7/BG7-1</f>
      </c>
      <c r="BM9" s="446">
        <f>+BM7/BH7-1</f>
      </c>
      <c r="BN9" s="441">
        <f>BN7/BI7-1</f>
      </c>
      <c r="BO9" s="446">
        <f>+BO7/BJ7-1</f>
      </c>
      <c r="BP9" s="446">
        <f>+BP7/BK7-1</f>
      </c>
      <c r="BQ9" s="446">
        <f>+BQ7/BL7-1</f>
      </c>
      <c r="BR9" s="446">
        <f>+BR7/BM7-1</f>
      </c>
      <c r="BS9" s="441">
        <f>BS7/BN7-1</f>
      </c>
      <c r="BT9" s="446">
        <f>+BT7/BO7-1</f>
      </c>
      <c r="BU9" s="446">
        <f>+BU7/BP7-1</f>
      </c>
      <c r="BV9" s="446">
        <f>+BV7/BQ7-1</f>
      </c>
      <c r="BW9" s="446">
        <f>+BW7/BR7-1</f>
      </c>
      <c r="BX9" s="441">
        <f>BX7/BS7-1</f>
      </c>
      <c r="BY9" s="446">
        <f>+BY7/BT7-1</f>
      </c>
      <c r="BZ9" s="446">
        <f>+BZ7/BU7-1</f>
      </c>
      <c r="CA9" s="446">
        <f>+CA7/BV7-1</f>
      </c>
      <c r="CB9" s="446">
        <f>+CB7/BW7-1</f>
      </c>
      <c r="CC9" s="441">
        <f>CC7/BX7-1</f>
      </c>
      <c r="CD9" s="446">
        <f>+CD7/BY7-1</f>
      </c>
      <c r="CE9" s="446">
        <f>+CE7/BZ7-1</f>
      </c>
      <c r="CF9" s="446">
        <f>+CF7/CA7-1</f>
      </c>
      <c r="CG9" s="446">
        <f>+CG7/CB7-1</f>
      </c>
      <c r="CH9" s="441">
        <f>CH7/CC7-1</f>
      </c>
      <c r="CI9" s="446">
        <f>+CI7/CD7-1</f>
      </c>
      <c r="CJ9" s="446">
        <f>+CJ7/CE7-1</f>
      </c>
      <c r="CK9" s="446">
        <f>+CK7/CF7-1</f>
      </c>
      <c r="CL9" s="446">
        <f>+CL7/CG7-1</f>
      </c>
      <c r="CM9" s="441">
        <f>CM7/CH7-1</f>
      </c>
      <c r="CN9" s="446">
        <f>+CN7/CI7-1</f>
      </c>
      <c r="CO9" s="446">
        <f>+CO7/CJ7-1</f>
      </c>
      <c r="CP9" s="446">
        <f>+CP7/CK7-1</f>
      </c>
      <c r="CQ9" s="446">
        <f>+CQ7/CL7-1</f>
      </c>
      <c r="CR9" s="441">
        <f>CR7/CM7-1</f>
      </c>
      <c r="CS9" s="446">
        <f>+CS7/CN7-1</f>
      </c>
      <c r="CT9" s="446">
        <f>+CT7/CO7-1</f>
      </c>
      <c r="CU9" s="446">
        <f>+CU7/CP7-1</f>
      </c>
      <c r="CV9" s="446">
        <f>+CV7/CQ7-1</f>
      </c>
      <c r="CW9" s="441">
        <f>CW7/CR7-1</f>
      </c>
      <c r="CX9" s="446">
        <f>+CX7/CS7-1</f>
      </c>
      <c r="CY9" s="446">
        <f>+CY7/CT7-1</f>
      </c>
      <c r="CZ9" s="446">
        <f>+CZ7/CU7-1</f>
      </c>
      <c r="DA9" s="446">
        <f>+DA7/CV7-1</f>
      </c>
      <c r="DB9" s="441">
        <f>DB7/CW7-1</f>
      </c>
      <c r="DC9" s="446">
        <f>+DC7/CX7-1</f>
      </c>
      <c r="DD9" s="446">
        <f>+DD7/CY7-1</f>
      </c>
      <c r="DE9" s="446">
        <f>+DE7/CZ7-1</f>
      </c>
      <c r="DF9" s="446">
        <f>+DF7/DA7-1</f>
      </c>
      <c r="DG9" s="441">
        <f>DG7/DB7-1</f>
      </c>
      <c r="DH9" s="446">
        <f>+DH7/DC7-1</f>
      </c>
      <c r="DI9" s="446">
        <f>+DI7/DD7-1</f>
      </c>
      <c r="DJ9" s="446">
        <f>+DJ7/DE7-1</f>
      </c>
      <c r="DK9" s="446">
        <f>+DK7/DF7-1</f>
      </c>
      <c r="DL9" s="441">
        <f>DL7/DG7-1</f>
      </c>
      <c r="DM9" s="446">
        <f>+DM7/DH7-1</f>
      </c>
      <c r="DN9" s="446">
        <f>+DN7/DI7-1</f>
      </c>
      <c r="DO9" s="446">
        <f>+DO7/DJ7-1</f>
      </c>
      <c r="DP9" s="446">
        <f>+DP7/DK7-1</f>
      </c>
      <c r="DQ9" s="441">
        <f>DQ7/DL7-1</f>
      </c>
      <c r="DR9" s="446">
        <f>+DR7/DM7-1</f>
      </c>
      <c r="DS9" s="446">
        <f>+DS7/DN7-1</f>
      </c>
      <c r="DT9" s="446">
        <f>+DT7/DO7-1</f>
      </c>
      <c r="DU9" s="446">
        <f>+DU7/DP7-1</f>
      </c>
      <c r="DV9" s="441">
        <f>DV7/DQ7-1</f>
      </c>
      <c r="DW9" s="446">
        <f>+DW7/DR7-1</f>
      </c>
      <c r="DX9" s="446">
        <f>+DX7/DS7-1</f>
      </c>
      <c r="DY9" s="446">
        <f>+DY7/DT7-1</f>
      </c>
      <c r="DZ9" s="446">
        <f>+DZ7/DU7-1</f>
      </c>
      <c r="EA9" s="441">
        <f>EA7/DV7-1</f>
      </c>
      <c r="EB9" s="446">
        <f>+EB7/DW7-1</f>
      </c>
      <c r="EC9" s="446">
        <f>+EC7/DX7-1</f>
      </c>
      <c r="ED9" s="446">
        <f>+ED7/DY7-1</f>
      </c>
      <c r="EE9" s="446">
        <f>+EE7/DZ7-1</f>
      </c>
      <c r="EF9" s="441">
        <f>EF7/EA7-1</f>
      </c>
      <c r="EG9" s="446">
        <f>+EG7/EB7-1</f>
      </c>
      <c r="EH9" s="446">
        <f>+EH7/EC7-1</f>
      </c>
      <c r="EI9" s="446">
        <f>+EI7/ED7-1</f>
      </c>
      <c r="EJ9" s="446">
        <f>+EJ7/EE7-1</f>
      </c>
      <c r="EK9" s="441">
        <f>EK7/EF7-1</f>
      </c>
      <c r="EL9" s="446">
        <f>+EL7/EG7-1</f>
      </c>
      <c r="EM9" s="446">
        <f>+EM7/EH7-1</f>
      </c>
      <c r="EN9" s="446">
        <f>+EN7/EI7-1</f>
      </c>
      <c r="EO9" s="446">
        <f>+EO7/EJ7-1</f>
      </c>
      <c r="EP9" s="441">
        <f>EP7/EK7-1</f>
      </c>
      <c r="EQ9" s="446">
        <f>+EQ7/EL7-1</f>
      </c>
      <c r="ER9" s="446">
        <f>+ER7/EM7-1</f>
      </c>
      <c r="ES9" s="446">
        <f>+ES7/EN7-1</f>
      </c>
      <c r="ET9" s="446">
        <f>+ET7/EO7-1</f>
      </c>
      <c r="EU9" s="441">
        <f>EU7/EP7-1</f>
      </c>
      <c r="EV9" s="446">
        <f>+EV7/EQ7-1</f>
      </c>
      <c r="EW9" s="446">
        <f>+EW7/ER7-1</f>
      </c>
      <c r="EX9" s="446">
        <f>+EX7/ES7-1</f>
      </c>
      <c r="EY9" s="446">
        <f>+EY7/ET7-1</f>
      </c>
      <c r="EZ9" s="441">
        <f>EZ7/EU7-1</f>
      </c>
      <c r="FA9" s="441"/>
      <c r="FB9" s="37"/>
      <c r="FC9" s="37"/>
      <c r="FD9" s="37"/>
      <c r="FE9" s="37"/>
      <c r="FF9" s="37"/>
      <c r="FG9" s="37"/>
      <c r="FH9" s="37"/>
      <c r="FI9" s="37"/>
      <c r="FJ9" s="37"/>
      <c r="FK9" s="37"/>
      <c r="FL9" s="37"/>
      <c r="FM9" s="37"/>
      <c r="FN9" s="37"/>
    </row>
    <row r="10" spans="1:170">
      <c r="A10" s="106" t="s">
        <v>351</v>
      </c>
      <c r="B10" s="442">
        <v>0.20799999999999999</v>
      </c>
      <c r="C10" s="442">
        <v>0.15</v>
      </c>
      <c r="D10" s="442">
        <v>4.548</v>
      </c>
      <c r="E10" s="442">
        <v>16.338000000000001</v>
      </c>
      <c r="F10" s="443">
        <f>SUM(B10:E10)</f>
      </c>
      <c r="G10" s="442">
        <v>20.13</v>
      </c>
      <c r="H10" s="442">
        <v>11.967000000000001</v>
      </c>
      <c r="I10" s="442">
        <v>32.507000000000005</v>
      </c>
      <c r="J10" s="442">
        <v>41.135999999999981</v>
      </c>
      <c r="K10" s="443">
        <f>SUM(G10:J10)</f>
      </c>
      <c r="L10" s="442">
        <f>45.946-L11</f>
      </c>
      <c r="M10" s="442">
        <f>49.225-M11</f>
      </c>
      <c r="N10" s="442">
        <f>56.747-N11</f>
      </c>
      <c r="O10" s="442">
        <f>80.744-O11</f>
      </c>
      <c r="P10" s="443">
        <f>SUM(L10:O10)</f>
      </c>
      <c r="Q10" s="442">
        <f>96.964-Q11</f>
      </c>
      <c r="R10" s="442">
        <f>105.334-R11</f>
      </c>
      <c r="S10" s="442">
        <f>123.775-S11</f>
      </c>
      <c r="T10" s="442">
        <f>136.312-T11</f>
      </c>
      <c r="U10" s="443">
        <f>SUM(Q10:T10)</f>
      </c>
      <c r="V10" s="442">
        <f>146.712-V11</f>
      </c>
      <c r="W10" s="442">
        <f>157.636-W11</f>
      </c>
      <c r="X10" s="442">
        <f>231.508-X11</f>
      </c>
      <c r="Y10" s="442">
        <f>314.377-Y11</f>
      </c>
      <c r="Z10" s="443">
        <f>SUM(V10:Y10)</f>
      </c>
      <c r="AA10" s="442">
        <f>375.74-AA11</f>
      </c>
      <c r="AB10" s="442">
        <f>327.983-AB11-21</f>
      </c>
      <c r="AC10" s="442">
        <f>322.106-AC11</f>
      </c>
      <c r="AD10" s="442">
        <f>301.442-AD11</f>
      </c>
      <c r="AE10" s="443">
        <f>SUM(AA10:AD10)</f>
      </c>
      <c r="AF10" s="442">
        <f>278.415-AF11</f>
      </c>
      <c r="AG10" s="442">
        <f>329.8-AG11</f>
      </c>
      <c r="AH10" s="442">
        <f>351.938-AH11</f>
      </c>
      <c r="AI10" s="442">
        <f>333.914-AI11</f>
      </c>
      <c r="AJ10" s="443">
        <f>SUM(AF10:AI10)</f>
      </c>
      <c r="AK10" s="442">
        <f>323.069-AK11</f>
      </c>
      <c r="AL10" s="442">
        <f>315.968-AL11</f>
      </c>
      <c r="AM10" s="442">
        <f>348.849-AM11</f>
      </c>
      <c r="AN10" s="442">
        <f>372.661-AN11</f>
      </c>
      <c r="AO10" s="443">
        <f>SUM(AK10:AN10)</f>
      </c>
      <c r="AP10" s="442">
        <f>373.693-AP11</f>
      </c>
      <c r="AQ10" s="442">
        <f>357.278-AQ11</f>
      </c>
      <c r="AR10" s="442">
        <f>355.247-AR11</f>
      </c>
      <c r="AS10" s="442">
        <f>378.674-AS11</f>
      </c>
      <c r="AT10" s="443">
        <f>SUM(AP10:AS10)</f>
      </c>
      <c r="AU10" s="442">
        <f>393.134-AU11</f>
      </c>
      <c r="AV10" s="442">
        <f>395.391-AV11</f>
      </c>
      <c r="AW10" s="442">
        <f>486.63-AW11-16</f>
      </c>
      <c r="AX10" s="442">
        <f>493.167-AX11</f>
      </c>
      <c r="AY10" s="443">
        <f>SUM(AU10:AX10)</f>
      </c>
      <c r="AZ10" s="442">
        <f>464.142-AZ11</f>
      </c>
      <c r="BA10" s="442">
        <f>511.261-BA11</f>
      </c>
      <c r="BB10" s="442">
        <f>600.044-BB11</f>
      </c>
      <c r="BC10" s="442">
        <f>653.133-BC11</f>
      </c>
      <c r="BD10" s="443">
        <f>SUM(AZ10:BC10)</f>
      </c>
      <c r="BE10" s="442">
        <f>638.545-BE11</f>
      </c>
      <c r="BF10" s="442">
        <f>742.759-195.954-BF11</f>
      </c>
      <c r="BG10" s="442">
        <v>529.81200000000001</v>
      </c>
      <c r="BH10" s="442">
        <f>339.474-BH11</f>
      </c>
      <c r="BI10" s="443">
        <f>SUM(BE10:BH10)</f>
      </c>
      <c r="BJ10" s="442">
        <f>463.123-BJ11</f>
      </c>
      <c r="BK10" s="442">
        <f>619.797-119.993-BK11</f>
      </c>
      <c r="BL10" s="442">
        <f>511.423+24.115-BL11</f>
      </c>
      <c r="BM10" s="442">
        <f>543.767-BM11</f>
      </c>
      <c r="BN10" s="443">
        <f>SUM(BJ10:BM10)</f>
      </c>
      <c r="BO10" s="442">
        <f>545.436-BO11</f>
      </c>
      <c r="BP10" s="442">
        <f>676.916-181.193-BP11</f>
      </c>
      <c r="BQ10" s="442">
        <f>451.85-BQ11</f>
      </c>
      <c r="BR10" s="442">
        <f>460.017-BR11</f>
      </c>
      <c r="BS10" s="443">
        <f>SUM(BO10:BR10)</f>
      </c>
      <c r="BT10" s="442">
        <f>477.536-BT11</f>
      </c>
      <c r="BU10" s="442">
        <f>491.233-BU11</f>
      </c>
      <c r="BV10" s="442">
        <f>509.463-BV11</f>
      </c>
      <c r="BW10" s="442">
        <f>463.181-7.3-BW11</f>
      </c>
      <c r="BX10" s="443">
        <f>SUM(BT10:BW10)</f>
      </c>
      <c r="BY10" s="442">
        <f>461.513-BY11</f>
      </c>
      <c r="BZ10" s="442">
        <f>503.551-BZ11</f>
      </c>
      <c r="CA10" s="442">
        <f>567.452-CA11</f>
      </c>
      <c r="CB10" s="442">
        <f>521.3-CB11</f>
      </c>
      <c r="CC10" s="443">
        <f>SUM(BY10:CB10)</f>
      </c>
      <c r="CD10" s="442">
        <f>436.171-CD11</f>
      </c>
      <c r="CE10" s="442">
        <f>431.7-2.29-CE11</f>
      </c>
      <c r="CF10" s="442">
        <f>469.552-CF11</f>
      </c>
      <c r="CG10" s="442">
        <f>524.976-1.45+7.782-CG11</f>
      </c>
      <c r="CH10" s="443">
        <f>SUM(CD10:CG10)</f>
      </c>
      <c r="CI10" s="442">
        <f>498.585-CI11</f>
      </c>
      <c r="CJ10" s="442">
        <f>483.85-CJ11</f>
      </c>
      <c r="CK10" s="442">
        <f>548.684-CK11</f>
      </c>
      <c r="CL10" s="442">
        <f>550.911-CL11</f>
      </c>
      <c r="CM10" s="443">
        <f>SUM(CI10:CL10)</f>
      </c>
      <c r="CN10" s="442">
        <f>498-CN11</f>
      </c>
      <c r="CO10" s="442">
        <f>519-CO11-15</f>
      </c>
      <c r="CP10" s="442">
        <f>571-CP11</f>
      </c>
      <c r="CQ10" s="442">
        <f>610-CQ11-5</f>
      </c>
      <c r="CR10" s="443">
        <f>SUM(CN10:CQ10)</f>
      </c>
      <c r="CS10" s="442">
        <f>554-CS11-10</f>
      </c>
      <c r="CT10" s="442">
        <f>602-CT11</f>
      </c>
      <c r="CU10" s="442">
        <f>821-CU11</f>
      </c>
      <c r="CV10" s="442">
        <f>870-CV11</f>
      </c>
      <c r="CW10" s="443">
        <f>SUM(CS10:CV10)</f>
      </c>
      <c r="CX10" s="442">
        <f>787-CX11</f>
      </c>
      <c r="CY10" s="442">
        <f>928-CY11</f>
      </c>
      <c r="CZ10" s="442">
        <f>1067-CZ11</f>
      </c>
      <c r="DA10" s="442">
        <f>1110-1-DA11</f>
      </c>
      <c r="DB10" s="443">
        <f>SUM(CX10:DA10)</f>
      </c>
      <c r="DC10" s="442">
        <f>1139-DC11</f>
      </c>
      <c r="DD10" s="442">
        <f>1148-DD11</f>
      </c>
      <c r="DE10" s="442">
        <f>1260-14-DE11</f>
      </c>
      <c r="DF10" s="442">
        <f>998-21-DF11</f>
      </c>
      <c r="DG10" s="443">
        <f>SUM(DC10:DF10)</f>
      </c>
      <c r="DH10" s="442">
        <f>924-10-DH11</f>
      </c>
      <c r="DI10" s="442">
        <f>1038-2-DI11</f>
      </c>
      <c r="DJ10" s="442">
        <f>1098-DJ11</f>
      </c>
      <c r="DK10" s="442">
        <f>1090-3-DK11</f>
      </c>
      <c r="DL10" s="443">
        <f>SUM(DH10:DK10)</f>
      </c>
      <c r="DM10" s="442">
        <f>1076-1-DM11</f>
      </c>
      <c r="DN10" s="442">
        <f>1591-245-17-DN11</f>
      </c>
      <c r="DO10" s="442">
        <f>1766-86-21-DO11</f>
      </c>
      <c r="DP10" s="442">
        <f>1846-DP11-92-1</f>
      </c>
      <c r="DQ10" s="443">
        <f>SUM(DM10:DP10)</f>
      </c>
      <c r="DR10" s="442">
        <f>2032-87-5-DR11</f>
      </c>
      <c r="DS10" s="442">
        <f>2292-86-4-DS11</f>
      </c>
      <c r="DT10" s="442">
        <f>2472-86-DT11</f>
      </c>
      <c r="DU10" s="442">
        <f>2644-DU11-86</f>
      </c>
      <c r="DV10" s="443">
        <f>SUM(DR10:DU10)</f>
      </c>
      <c r="DW10" s="442">
        <f>2857-94-DW11</f>
      </c>
      <c r="DX10" s="442">
        <f>3789-121-DX11</f>
      </c>
      <c r="DY10" s="442">
        <f>2754-120-DY11</f>
      </c>
      <c r="DZ10" s="442">
        <f>2218-120-DZ11-16</f>
      </c>
      <c r="EA10" s="443">
        <f>SUM(DW10:DZ10)</f>
      </c>
      <c r="EB10" s="442">
        <f>2544-119-EB11-8</f>
      </c>
      <c r="EC10" s="442">
        <f>4045-119-EC11-2</f>
      </c>
      <c r="ED10" s="442">
        <f>4720-119-ED11-26</f>
      </c>
      <c r="EE10" s="442">
        <f>5312-119-EE11-4</f>
      </c>
      <c r="EF10" s="443">
        <f>SUM(EB10:EE10)</f>
      </c>
      <c r="EG10" s="442">
        <f>5638-119-EG11+1</f>
      </c>
      <c r="EH10" s="442">
        <f>7466-118-EH11+3</f>
      </c>
      <c r="EI10" s="442">
        <f>8926-116-EI11</f>
      </c>
      <c r="EJ10" s="442">
        <f>10608-118-EJ11</f>
      </c>
      <c r="EK10" s="443">
        <f>SUM(EG10:EJ10)</f>
      </c>
      <c r="EL10" s="442">
        <f>17394-123-3-EL11</f>
      </c>
      <c r="EM10" s="442">
        <f>12890-49-EM11</f>
      </c>
      <c r="EN10" s="442">
        <f>EN7-EN13-EN11</f>
      </c>
      <c r="EO10" s="442">
        <f>EO7-EO13-EO11</f>
      </c>
      <c r="EP10" s="443">
        <f>SUM(EL10:EO10)</f>
      </c>
      <c r="EQ10" s="442">
        <f>EQ7-EQ13-EQ11</f>
      </c>
      <c r="ER10" s="442">
        <f>ER7-ER13-ER11</f>
      </c>
      <c r="ES10" s="442">
        <f>ES7-ES13-ES11</f>
      </c>
      <c r="ET10" s="442">
        <f>ET7-ET13-ET11</f>
      </c>
      <c r="EU10" s="443">
        <f>SUM(EQ10:ET10)</f>
      </c>
      <c r="EV10" s="442">
        <f>EV7-EV13-EV11</f>
      </c>
      <c r="EW10" s="442">
        <f>EW7-EW13-EW11</f>
      </c>
      <c r="EX10" s="442">
        <f>EX7-EX13-EX11</f>
      </c>
      <c r="EY10" s="442">
        <f>EY7-EY13-EY11</f>
      </c>
      <c r="EZ10" s="443">
        <f>SUM(EV10:EY10)</f>
      </c>
      <c r="FA10" s="443"/>
      <c r="FB10" s="37"/>
      <c r="FC10" s="37"/>
      <c r="FD10" s="37"/>
      <c r="FE10" s="37"/>
      <c r="FF10" s="37"/>
      <c r="FG10" s="37"/>
      <c r="FH10" s="37"/>
      <c r="FI10" s="37"/>
      <c r="FJ10" s="37"/>
      <c r="FK10" s="37"/>
      <c r="FL10" s="37"/>
      <c r="FM10" s="37"/>
      <c r="FN10" s="37"/>
    </row>
    <row r="11" spans="1:170">
      <c r="A11" s="106" t="s">
        <v>352</v>
      </c>
      <c r="B11" s="442">
        <v>0</v>
      </c>
      <c r="C11" s="442">
        <v>0</v>
      </c>
      <c r="D11" s="442">
        <v>0</v>
      </c>
      <c r="E11" s="442">
        <v>0</v>
      </c>
      <c r="F11" s="443">
        <f>SUM(B11:E11)</f>
      </c>
      <c r="G11" s="442">
        <v>0.74299999999999999</v>
      </c>
      <c r="H11" s="442">
        <v>0.99400000000000011</v>
      </c>
      <c r="I11" s="442">
        <v>1.0589999999999997</v>
      </c>
      <c r="J11" s="442">
        <v>1.21</v>
      </c>
      <c r="K11" s="443">
        <f>SUM(G11:J11)</f>
      </c>
      <c r="L11" s="442">
        <v>1.458</v>
      </c>
      <c r="M11" s="442">
        <v>2.1819999999999999</v>
      </c>
      <c r="N11" s="442">
        <v>2.5030000000000001</v>
      </c>
      <c r="O11" s="442">
        <v>2.8629999999999995</v>
      </c>
      <c r="P11" s="443">
        <f>SUM(L11:O11)</f>
      </c>
      <c r="Q11" s="442">
        <f>3.048</f>
      </c>
      <c r="R11" s="442">
        <f>3.311</f>
      </c>
      <c r="S11" s="442">
        <f>4.362</f>
      </c>
      <c r="T11" s="442">
        <f>15.724-SUM(Q11:S11)</f>
      </c>
      <c r="U11" s="443">
        <f>SUM(Q11:T11)</f>
      </c>
      <c r="V11" s="442">
        <v>6.1950000000000003</v>
      </c>
      <c r="W11" s="442">
        <v>10.62</v>
      </c>
      <c r="X11" s="442">
        <v>11.916999999999998</v>
      </c>
      <c r="Y11" s="442">
        <v>14.759000000000004</v>
      </c>
      <c r="Z11" s="443">
        <f>SUM(V11:Y11)</f>
      </c>
      <c r="AA11" s="442">
        <v>12.83</v>
      </c>
      <c r="AB11" s="442">
        <f>26.899-AA11</f>
      </c>
      <c r="AC11" s="442">
        <v>16.166</v>
      </c>
      <c r="AD11" s="442">
        <v>15.150999999999994</v>
      </c>
      <c r="AE11" s="443">
        <f>SUM(AA11:AD11)</f>
      </c>
      <c r="AF11" s="442">
        <v>15.958</v>
      </c>
      <c r="AG11" s="442">
        <f>35.568-AF11</f>
      </c>
      <c r="AH11" s="442">
        <f>58.41-+AG11-AF11</f>
      </c>
      <c r="AI11" s="442">
        <f>82.016-SUM(AF11:AH11)</f>
      </c>
      <c r="AJ11" s="443">
        <f>SUM(AF11:AI11)</f>
      </c>
      <c r="AK11" s="442">
        <v>23.411999999999999</v>
      </c>
      <c r="AL11" s="442">
        <f>47.486-AK11</f>
      </c>
      <c r="AM11" s="442">
        <f>71.512-+AL11-AK11</f>
      </c>
      <c r="AN11" s="442">
        <f>102.597-SUM(AK11:AM11)</f>
      </c>
      <c r="AO11" s="443">
        <f>SUM(AK11:AN11)</f>
      </c>
      <c r="AP11" s="442">
        <v>24.893000000000001</v>
      </c>
      <c r="AQ11" s="442">
        <f>49.667-AP11</f>
      </c>
      <c r="AR11" s="442">
        <f>74.189-SUM(AP11:AQ11)</f>
      </c>
      <c r="AS11" s="442">
        <f>97.977-SUM(AP11:AR11)</f>
      </c>
      <c r="AT11" s="443">
        <f>SUM(AP11:AS11)</f>
      </c>
      <c r="AU11" s="442">
        <f t="shared" ref="AU11:BE11" si="4">AU116</f>
      </c>
      <c r="AV11" s="442">
        <f t="shared" si="4"/>
      </c>
      <c r="AW11" s="442">
        <f t="shared" si="4"/>
      </c>
      <c r="AX11" s="442">
        <f t="shared" si="4"/>
      </c>
      <c r="AY11" s="443">
        <f>SUM(AU11:AX11)</f>
      </c>
      <c r="AZ11" s="442">
        <f t="shared" si="4"/>
      </c>
      <c r="BA11" s="442">
        <f t="shared" si="4"/>
      </c>
      <c r="BB11" s="442">
        <f t="shared" si="4"/>
      </c>
      <c r="BC11" s="442">
        <f t="shared" si="4"/>
      </c>
      <c r="BD11" s="443">
        <f>SUM(AZ11:BC11)</f>
      </c>
      <c r="BE11" s="442">
        <f t="shared" si="4"/>
      </c>
      <c r="BF11" s="442">
        <v>46</v>
      </c>
      <c r="BG11" s="442">
        <v>49.3</v>
      </c>
      <c r="BH11" s="442">
        <f>BH116</f>
      </c>
      <c r="BI11" s="443">
        <f>SUM(BE11:BH11)</f>
      </c>
      <c r="BJ11" s="442">
        <v>48.1</v>
      </c>
      <c r="BK11" s="442">
        <v>49</v>
      </c>
      <c r="BL11" s="442">
        <v>48</v>
      </c>
      <c r="BM11" s="442">
        <v>48</v>
      </c>
      <c r="BN11" s="443">
        <f>SUM(BJ11:BM11)</f>
      </c>
      <c r="BO11" s="442">
        <v>47.146999999999998</v>
      </c>
      <c r="BP11" s="442">
        <v>46.573</v>
      </c>
      <c r="BQ11" s="442">
        <v>46.875999999999998</v>
      </c>
      <c r="BR11" s="442">
        <f>BR116</f>
      </c>
      <c r="BS11" s="443">
        <f>SUM(BO11:BR11)</f>
      </c>
      <c r="BT11" s="442">
        <v>47.764000000000003</v>
      </c>
      <c r="BU11" s="442">
        <f>99.923-BT11</f>
      </c>
      <c r="BV11" s="442">
        <v>52.4</v>
      </c>
      <c r="BW11" s="442">
        <v>51.882000000000012</v>
      </c>
      <c r="BX11" s="443">
        <f>SUM(BT11:BW11)</f>
      </c>
      <c r="BY11" s="442">
        <v>54.491</v>
      </c>
      <c r="BZ11" s="442">
        <f>110.686-BY11</f>
      </c>
      <c r="CA11" s="442">
        <f>167.834-BZ11-BY11</f>
      </c>
      <c r="CB11" s="442">
        <v>58.5</v>
      </c>
      <c r="CC11" s="443">
        <f>SUM(BY11:CB11)</f>
      </c>
      <c r="CD11" s="442">
        <v>59.744</v>
      </c>
      <c r="CE11" s="442">
        <f>121.584-CD11</f>
      </c>
      <c r="CF11" s="442">
        <f>184.31-CE11-CD11</f>
      </c>
      <c r="CG11" s="442">
        <f>239.148-CF11-CE11-CD11</f>
      </c>
      <c r="CH11" s="443">
        <f>SUM(CD11:CG11)</f>
      </c>
      <c r="CI11" s="442">
        <v>55.082999999999998</v>
      </c>
      <c r="CJ11" s="442">
        <f>110.69-CI11</f>
      </c>
      <c r="CK11" s="442">
        <v>55</v>
      </c>
      <c r="CL11" s="442">
        <v>55</v>
      </c>
      <c r="CM11" s="443">
        <f>SUM(CI11:CL11)</f>
      </c>
      <c r="CN11" s="442">
        <v>54</v>
      </c>
      <c r="CO11" s="442">
        <v>54</v>
      </c>
      <c r="CP11" s="442">
        <v>48</v>
      </c>
      <c r="CQ11" s="442">
        <v>46</v>
      </c>
      <c r="CR11" s="443">
        <f>SUM(CN11:CQ11)</f>
      </c>
      <c r="CS11" s="442">
        <v>45</v>
      </c>
      <c r="CT11" s="442">
        <v>47</v>
      </c>
      <c r="CU11" s="442">
        <v>48</v>
      </c>
      <c r="CV11" s="442">
        <v>47</v>
      </c>
      <c r="CW11" s="443">
        <f>SUM(CS11:CV11)</f>
      </c>
      <c r="CX11" s="442">
        <v>47</v>
      </c>
      <c r="CY11" s="442">
        <v>49</v>
      </c>
      <c r="CZ11" s="442">
        <v>50</v>
      </c>
      <c r="DA11" s="442">
        <v>53</v>
      </c>
      <c r="DB11" s="443">
        <f>SUM(CX11:DA11)</f>
      </c>
      <c r="DC11" s="442">
        <v>57</v>
      </c>
      <c r="DD11" s="442">
        <v>59</v>
      </c>
      <c r="DE11" s="442">
        <v>68</v>
      </c>
      <c r="DF11" s="442">
        <v>78</v>
      </c>
      <c r="DG11" s="443">
        <f>SUM(DC11:DF11)</f>
      </c>
      <c r="DH11" s="442">
        <v>91</v>
      </c>
      <c r="DI11" s="442">
        <v>92</v>
      </c>
      <c r="DJ11" s="442">
        <v>92</v>
      </c>
      <c r="DK11" s="442">
        <v>106</v>
      </c>
      <c r="DL11" s="443">
        <f>SUM(DH11:DK11)</f>
      </c>
      <c r="DM11" s="442">
        <v>107</v>
      </c>
      <c r="DN11" s="442">
        <f>404-185</f>
      </c>
      <c r="DO11" s="442">
        <v>299</v>
      </c>
      <c r="DP11" s="442">
        <v>287</v>
      </c>
      <c r="DQ11" s="443">
        <f>SUM(DM11:DP11)</f>
      </c>
      <c r="DR11" s="442">
        <v>281</v>
      </c>
      <c r="DS11" s="442">
        <f>286</f>
      </c>
      <c r="DT11" s="442">
        <v>298</v>
      </c>
      <c r="DU11" s="442">
        <v>309</v>
      </c>
      <c r="DV11" s="443">
        <f>SUM(DR11:DU11)</f>
      </c>
      <c r="DW11" s="442">
        <v>334</v>
      </c>
      <c r="DX11" s="442">
        <v>378</v>
      </c>
      <c r="DY11" s="442">
        <v>406</v>
      </c>
      <c r="DZ11" s="442">
        <v>426</v>
      </c>
      <c r="EA11" s="443">
        <f>SUM(DW11:DZ11)</f>
      </c>
      <c r="EB11" s="442">
        <v>384</v>
      </c>
      <c r="EC11" s="442">
        <v>365</v>
      </c>
      <c r="ED11" s="442">
        <v>372</v>
      </c>
      <c r="EE11" s="442">
        <v>387</v>
      </c>
      <c r="EF11" s="443">
        <f>SUM(EB11:EE11)</f>
      </c>
      <c r="EG11" s="442">
        <v>410</v>
      </c>
      <c r="EH11" s="442">
        <v>433</v>
      </c>
      <c r="EI11" s="442">
        <v>478</v>
      </c>
      <c r="EJ11" s="442">
        <v>543</v>
      </c>
      <c r="EK11" s="443">
        <f>SUM(EG11:EJ11)</f>
      </c>
      <c r="EL11" s="442">
        <v>611</v>
      </c>
      <c r="EM11" s="442">
        <v>668</v>
      </c>
      <c r="EN11" s="444">
        <f>Worksheet!CV11</f>
      </c>
      <c r="EO11" s="444">
        <f>Worksheet!CW11</f>
      </c>
      <c r="EP11" s="443">
        <f>SUM(EL11:EO11)</f>
      </c>
      <c r="EQ11" s="444">
        <f>Worksheet!CX11</f>
      </c>
      <c r="ER11" s="444">
        <f>Worksheet!CY11</f>
      </c>
      <c r="ES11" s="444">
        <f>Worksheet!CZ11</f>
      </c>
      <c r="ET11" s="444">
        <f>Worksheet!DA11</f>
      </c>
      <c r="EU11" s="443">
        <f>SUM(EQ11:ET11)</f>
      </c>
      <c r="EV11" s="444">
        <f>Worksheet!DB11</f>
      </c>
      <c r="EW11" s="444">
        <f>Worksheet!DC11</f>
      </c>
      <c r="EX11" s="444">
        <f>Worksheet!DD11</f>
      </c>
      <c r="EY11" s="444">
        <f>Worksheet!DE11</f>
      </c>
      <c r="EZ11" s="443">
        <f>SUM(EV11:EY11)</f>
      </c>
      <c r="FA11" s="443"/>
      <c r="FB11" s="37"/>
      <c r="FC11" s="37"/>
      <c r="FD11" s="37"/>
      <c r="FE11" s="37"/>
      <c r="FF11" s="37"/>
      <c r="FG11" s="37"/>
      <c r="FH11" s="37"/>
      <c r="FI11" s="37"/>
      <c r="FJ11" s="37"/>
      <c r="FK11" s="37"/>
      <c r="FL11" s="37"/>
      <c r="FM11" s="37"/>
      <c r="FN11" s="37"/>
    </row>
    <row r="12" spans="1:170" ht="12" customHeight="1">
      <c r="B12" s="85"/>
      <c r="C12" s="85"/>
      <c r="D12" s="85"/>
      <c r="E12" s="85"/>
      <c r="G12" s="85"/>
      <c r="H12" s="85"/>
      <c r="I12" s="85"/>
      <c r="J12" s="85"/>
      <c r="L12" s="85"/>
      <c r="M12" s="85"/>
      <c r="N12" s="85"/>
      <c r="O12" s="85"/>
      <c r="Q12" s="85"/>
      <c r="R12" s="85"/>
      <c r="S12" s="85"/>
      <c r="T12" s="85"/>
      <c r="V12" s="85"/>
      <c r="W12" s="85"/>
      <c r="X12" s="85"/>
      <c r="Y12" s="85"/>
      <c r="AA12" s="85"/>
      <c r="AB12" s="85"/>
      <c r="AC12" s="85"/>
      <c r="AD12" s="85"/>
      <c r="AE12" s="84"/>
      <c r="AF12" s="85"/>
      <c r="AJ12" s="84"/>
      <c r="AO12" s="84"/>
      <c r="AT12" s="84"/>
      <c r="AY12" s="84"/>
      <c r="BD12" s="84"/>
      <c r="BI12" s="84"/>
      <c r="BN12" s="84"/>
      <c r="BS12" s="84"/>
      <c r="BX12" s="84"/>
      <c r="CC12" s="84"/>
      <c r="CH12" s="84"/>
      <c r="CM12" s="84"/>
      <c r="CR12" s="84"/>
      <c r="CW12" s="84"/>
      <c r="DG12" s="84"/>
      <c r="DL12" s="84"/>
      <c r="DO12" s="107"/>
      <c r="DP12" s="107"/>
      <c r="DQ12" s="84"/>
      <c r="DV12" s="84"/>
      <c r="EA12" s="84"/>
      <c r="EF12" s="84"/>
      <c r="EK12" s="84"/>
      <c r="EP12" s="84"/>
      <c r="EU12" s="84"/>
      <c r="EZ12" s="84"/>
      <c r="FA12" s="84"/>
      <c r="FB12" s="37"/>
      <c r="FC12" s="37"/>
      <c r="FD12" s="37"/>
      <c r="FE12" s="37"/>
      <c r="FF12" s="37"/>
      <c r="FG12" s="37"/>
      <c r="FH12" s="37"/>
      <c r="FI12" s="37"/>
      <c r="FJ12" s="37"/>
      <c r="FK12" s="37"/>
      <c r="FL12" s="37"/>
      <c r="FM12" s="37"/>
      <c r="FN12" s="37"/>
    </row>
    <row r="13" spans="1:170" s="105" customFormat="1" ht="12" customHeight="1">
      <c r="A13" s="83" t="s">
        <v>353</v>
      </c>
      <c r="B13" s="442">
        <f t="shared" ref="B13:BK13" si="5">B7-B10-B11</f>
      </c>
      <c r="C13" s="442">
        <f t="shared" si="5"/>
      </c>
      <c r="D13" s="442">
        <f t="shared" si="5"/>
      </c>
      <c r="E13" s="442">
        <f t="shared" si="5"/>
      </c>
      <c r="F13" s="443">
        <f>SUM(B13:E13)</f>
      </c>
      <c r="G13" s="442">
        <f t="shared" si="5"/>
      </c>
      <c r="H13" s="442">
        <f t="shared" si="5"/>
      </c>
      <c r="I13" s="442">
        <f t="shared" si="5"/>
      </c>
      <c r="J13" s="442">
        <f t="shared" si="5"/>
      </c>
      <c r="K13" s="443">
        <f>SUM(G13:J13)</f>
      </c>
      <c r="L13" s="442">
        <f t="shared" si="5"/>
      </c>
      <c r="M13" s="442">
        <f t="shared" si="5"/>
      </c>
      <c r="N13" s="442">
        <f t="shared" si="5"/>
      </c>
      <c r="O13" s="442">
        <f t="shared" si="5"/>
      </c>
      <c r="P13" s="443">
        <f>SUM(L13:O13)</f>
      </c>
      <c r="Q13" s="442">
        <f t="shared" si="5"/>
      </c>
      <c r="R13" s="442">
        <f t="shared" si="5"/>
      </c>
      <c r="S13" s="442">
        <f t="shared" si="5"/>
      </c>
      <c r="T13" s="442">
        <f t="shared" si="5"/>
      </c>
      <c r="U13" s="443">
        <f>SUM(Q13:T13)</f>
      </c>
      <c r="V13" s="442">
        <f>V7-V10-V11</f>
      </c>
      <c r="W13" s="442">
        <f t="shared" si="5"/>
      </c>
      <c r="X13" s="442">
        <f t="shared" si="5"/>
      </c>
      <c r="Y13" s="442">
        <f t="shared" si="5"/>
      </c>
      <c r="Z13" s="443">
        <f>SUM(V13:Y13)</f>
      </c>
      <c r="AA13" s="442">
        <f t="shared" si="5"/>
      </c>
      <c r="AB13" s="442">
        <f t="shared" si="5"/>
      </c>
      <c r="AC13" s="442">
        <f t="shared" si="5"/>
      </c>
      <c r="AD13" s="442">
        <f t="shared" si="5"/>
      </c>
      <c r="AE13" s="443">
        <f>SUM(AA13:AD13)</f>
      </c>
      <c r="AF13" s="442">
        <f t="shared" si="5"/>
      </c>
      <c r="AG13" s="442">
        <f t="shared" si="5"/>
      </c>
      <c r="AH13" s="442">
        <f t="shared" si="5"/>
      </c>
      <c r="AI13" s="442">
        <f t="shared" si="5"/>
      </c>
      <c r="AJ13" s="443">
        <f>SUM(AF13:AI13)</f>
      </c>
      <c r="AK13" s="442">
        <f t="shared" si="5"/>
      </c>
      <c r="AL13" s="442">
        <f t="shared" si="5"/>
      </c>
      <c r="AM13" s="442">
        <f t="shared" si="5"/>
      </c>
      <c r="AN13" s="442">
        <f t="shared" si="5"/>
      </c>
      <c r="AO13" s="443">
        <f>SUM(AK13:AN13)</f>
      </c>
      <c r="AP13" s="442">
        <f t="shared" si="5"/>
      </c>
      <c r="AQ13" s="442">
        <f t="shared" si="5"/>
      </c>
      <c r="AR13" s="442">
        <f t="shared" si="5"/>
      </c>
      <c r="AS13" s="442">
        <f t="shared" si="5"/>
      </c>
      <c r="AT13" s="443">
        <f>SUM(AP13:AS13)</f>
      </c>
      <c r="AU13" s="442">
        <f t="shared" si="5"/>
      </c>
      <c r="AV13" s="442">
        <f t="shared" si="5"/>
      </c>
      <c r="AW13" s="442">
        <f t="shared" si="5"/>
      </c>
      <c r="AX13" s="442">
        <f t="shared" si="5"/>
      </c>
      <c r="AY13" s="443">
        <f>SUM(AU13:AX13)</f>
      </c>
      <c r="AZ13" s="442">
        <f t="shared" si="5"/>
      </c>
      <c r="BA13" s="442">
        <f t="shared" si="5"/>
      </c>
      <c r="BB13" s="442">
        <f t="shared" si="5"/>
      </c>
      <c r="BC13" s="442">
        <f>BC7-BC10-BC11</f>
      </c>
      <c r="BD13" s="443">
        <f>SUM(AZ13:BC13)</f>
      </c>
      <c r="BE13" s="442">
        <f t="shared" si="5"/>
      </c>
      <c r="BF13" s="442">
        <f t="shared" si="5"/>
      </c>
      <c r="BG13" s="442">
        <f t="shared" si="5"/>
      </c>
      <c r="BH13" s="442">
        <f t="shared" si="5"/>
      </c>
      <c r="BI13" s="443">
        <f>SUM(BE13:BH13)</f>
      </c>
      <c r="BJ13" s="442">
        <f t="shared" si="5"/>
      </c>
      <c r="BK13" s="442">
        <f t="shared" si="5"/>
      </c>
      <c r="BL13" s="442">
        <f>BL7-BL10-BL11</f>
      </c>
      <c r="BM13" s="442">
        <f t="shared" ref="BM13:CG13" si="6">BM7-BM10-BM11</f>
      </c>
      <c r="BN13" s="443">
        <f>SUM(BJ13:BM13)</f>
      </c>
      <c r="BO13" s="442">
        <f t="shared" si="6"/>
      </c>
      <c r="BP13" s="442">
        <f t="shared" si="6"/>
      </c>
      <c r="BQ13" s="442">
        <f t="shared" si="6"/>
      </c>
      <c r="BR13" s="442">
        <f t="shared" si="6"/>
      </c>
      <c r="BS13" s="443">
        <f>SUM(BO13:BR13)</f>
      </c>
      <c r="BT13" s="442">
        <f t="shared" si="6"/>
      </c>
      <c r="BU13" s="442">
        <f t="shared" si="6"/>
      </c>
      <c r="BV13" s="442">
        <f t="shared" si="6"/>
      </c>
      <c r="BW13" s="442">
        <f t="shared" si="6"/>
      </c>
      <c r="BX13" s="443">
        <f>SUM(BT13:BW13)</f>
      </c>
      <c r="BY13" s="442">
        <f t="shared" si="6"/>
      </c>
      <c r="BZ13" s="442">
        <f t="shared" si="6"/>
      </c>
      <c r="CA13" s="442">
        <f t="shared" si="6"/>
      </c>
      <c r="CB13" s="442">
        <f t="shared" si="6"/>
      </c>
      <c r="CC13" s="443">
        <f>SUM(BY13:CB13)</f>
      </c>
      <c r="CD13" s="442">
        <f t="shared" si="6"/>
      </c>
      <c r="CE13" s="442">
        <f t="shared" si="6"/>
      </c>
      <c r="CF13" s="442">
        <f t="shared" si="6"/>
      </c>
      <c r="CG13" s="442">
        <f t="shared" si="6"/>
      </c>
      <c r="CH13" s="443">
        <f>SUM(CD13:CG13)</f>
      </c>
      <c r="CI13" s="442">
        <f>CI7-CI10-CI11</f>
      </c>
      <c r="CJ13" s="442">
        <f>CJ7-CJ10-CJ11</f>
      </c>
      <c r="CK13" s="442">
        <f>CK7-CK10-CK11</f>
      </c>
      <c r="CL13" s="442">
        <f>CL7-CL10-CL11</f>
      </c>
      <c r="CM13" s="443">
        <f>SUM(CI13:CL13)</f>
      </c>
      <c r="CN13" s="442">
        <f>CN7-CN10-CN11</f>
      </c>
      <c r="CO13" s="442">
        <f>CO7-CO10-CO11</f>
      </c>
      <c r="CP13" s="442">
        <f>CP7-CP10-CP11</f>
      </c>
      <c r="CQ13" s="442">
        <f>CQ7-CQ10-CQ11</f>
      </c>
      <c r="CR13" s="443">
        <f>SUM(CN13:CQ13)</f>
      </c>
      <c r="CS13" s="442">
        <f>CS7-CS10-CS11</f>
      </c>
      <c r="CT13" s="442">
        <f>CT7-CT10-CT11</f>
      </c>
      <c r="CU13" s="442">
        <f>CU7-CU10-CU11</f>
      </c>
      <c r="CV13" s="442">
        <f>CV7-CV10-CV11</f>
      </c>
      <c r="CW13" s="443">
        <f>SUM(CS13:CV13)</f>
      </c>
      <c r="CX13" s="442">
        <f>CX7-CX10-CX11</f>
      </c>
      <c r="CY13" s="442">
        <f>CY7-CY10-CY11</f>
      </c>
      <c r="CZ13" s="442">
        <f>CZ7-CZ10-CZ11</f>
      </c>
      <c r="DA13" s="442">
        <f>DA7-DA10-DA11</f>
      </c>
      <c r="DB13" s="443">
        <f>SUM(CX13:DA13)</f>
      </c>
      <c r="DC13" s="442">
        <f>DC7-DC10-DC11</f>
      </c>
      <c r="DD13" s="442">
        <f>DD7-DD10-DD11</f>
      </c>
      <c r="DE13" s="442">
        <f>DE7-DE10-DE11</f>
      </c>
      <c r="DF13" s="442">
        <f>DF7-DF10-DF11</f>
      </c>
      <c r="DG13" s="443">
        <f>SUM(DC13:DF13)</f>
      </c>
      <c r="DH13" s="442">
        <f>DH7-DH10-DH11</f>
      </c>
      <c r="DI13" s="442">
        <f>DI7-DI10-DI11</f>
      </c>
      <c r="DJ13" s="442">
        <f>DJ7-DJ10-DJ11</f>
      </c>
      <c r="DK13" s="442">
        <f>DK7-DK10-DK11</f>
      </c>
      <c r="DL13" s="443">
        <f>SUM(DH13:DK13)</f>
      </c>
      <c r="DM13" s="442">
        <f>DM7-DM10-DM11</f>
      </c>
      <c r="DN13" s="442">
        <f>DN7-DN10-DN11</f>
      </c>
      <c r="DO13" s="442">
        <f>DO7-DO10-DO11</f>
      </c>
      <c r="DP13" s="442">
        <f>DP7-DP10-DP11</f>
      </c>
      <c r="DQ13" s="443">
        <f>SUM(DM13:DP13)</f>
      </c>
      <c r="DR13" s="442">
        <f>DR7-DR10-DR11</f>
      </c>
      <c r="DS13" s="442">
        <f>DS7-DS10-DS11</f>
      </c>
      <c r="DT13" s="442">
        <f>DT7-DT10-DT11</f>
      </c>
      <c r="DU13" s="442">
        <f>DU7-DU10-DU11</f>
      </c>
      <c r="DV13" s="443">
        <f>SUM(DR13:DU13)</f>
      </c>
      <c r="DW13" s="442">
        <f>DW7-DW10-DW11</f>
      </c>
      <c r="DX13" s="442">
        <f>DX7-DX10-DX11</f>
      </c>
      <c r="DY13" s="442">
        <f>DY7-DY10-DY11</f>
      </c>
      <c r="DZ13" s="442">
        <f>DZ7-DZ10-DZ11</f>
      </c>
      <c r="EA13" s="443">
        <f>SUM(DW13:DZ13)</f>
      </c>
      <c r="EB13" s="442">
        <f>EB7-EB10-EB11</f>
      </c>
      <c r="EC13" s="442">
        <f>EC7-EC10-EC11</f>
      </c>
      <c r="ED13" s="442">
        <f>ED7-ED10-ED11</f>
      </c>
      <c r="EE13" s="442">
        <f>EE7-EE10-EE11</f>
      </c>
      <c r="EF13" s="443">
        <f>SUM(EB13:EE13)</f>
      </c>
      <c r="EG13" s="442">
        <f>EG7-EG10-EG11</f>
      </c>
      <c r="EH13" s="442">
        <f>EH7-EH10-EH11</f>
      </c>
      <c r="EI13" s="442">
        <f>EI7-EI10-EI11</f>
      </c>
      <c r="EJ13" s="442">
        <f>EJ7-EJ10-EJ11</f>
      </c>
      <c r="EK13" s="443">
        <f>SUM(EG13:EJ13)</f>
      </c>
      <c r="EL13" s="442">
        <f>EL7-EL10-EL11</f>
      </c>
      <c r="EM13" s="442">
        <f>EM7-EM10-EM11</f>
      </c>
      <c r="EN13" s="444">
        <f>Worksheet!CV15</f>
      </c>
      <c r="EO13" s="444">
        <f>Worksheet!CW15</f>
      </c>
      <c r="EP13" s="443">
        <f>SUM(EL13:EO13)</f>
      </c>
      <c r="EQ13" s="444">
        <f>Worksheet!CX15</f>
      </c>
      <c r="ER13" s="444">
        <f>Worksheet!CY15</f>
      </c>
      <c r="ES13" s="444">
        <f>Worksheet!CZ15</f>
      </c>
      <c r="ET13" s="444">
        <f>Worksheet!DA15</f>
      </c>
      <c r="EU13" s="443">
        <f>SUM(EQ13:ET13)</f>
      </c>
      <c r="EV13" s="444">
        <f>Worksheet!DB15</f>
      </c>
      <c r="EW13" s="444">
        <f>Worksheet!DC15</f>
      </c>
      <c r="EX13" s="444">
        <f>Worksheet!DD15</f>
      </c>
      <c r="EY13" s="444">
        <f>Worksheet!DE15</f>
      </c>
      <c r="EZ13" s="443">
        <f>SUM(EV13:EY13)</f>
      </c>
      <c r="FA13" s="443"/>
      <c r="FB13" s="37"/>
      <c r="FC13" s="37"/>
      <c r="FD13" s="37"/>
      <c r="FE13" s="37"/>
      <c r="FF13" s="37"/>
      <c r="FG13" s="37"/>
      <c r="FH13" s="37"/>
      <c r="FI13" s="37"/>
      <c r="FJ13" s="37"/>
      <c r="FK13" s="37"/>
      <c r="FL13" s="37"/>
      <c r="FM13" s="37"/>
      <c r="FN13" s="37"/>
    </row>
    <row r="14" spans="1:170" ht="12" customHeight="1">
      <c r="A14" s="448" t="s">
        <v>354</v>
      </c>
      <c r="B14" s="446">
        <f t="shared" ref="B14:BM14" si="7">B13/B7</f>
      </c>
      <c r="C14" s="446">
        <f t="shared" si="7"/>
      </c>
      <c r="D14" s="446">
        <f t="shared" si="7"/>
      </c>
      <c r="E14" s="446">
        <f t="shared" si="7"/>
      </c>
      <c r="F14" s="108">
        <f>F13/F7</f>
      </c>
      <c r="G14" s="446">
        <f t="shared" si="7"/>
      </c>
      <c r="H14" s="446">
        <f t="shared" si="7"/>
      </c>
      <c r="I14" s="446">
        <f t="shared" si="7"/>
      </c>
      <c r="J14" s="446">
        <f t="shared" si="7"/>
      </c>
      <c r="K14" s="108">
        <f>K13/K7</f>
      </c>
      <c r="L14" s="446">
        <f t="shared" si="7"/>
      </c>
      <c r="M14" s="446">
        <f t="shared" si="7"/>
      </c>
      <c r="N14" s="446">
        <f t="shared" si="7"/>
      </c>
      <c r="O14" s="446">
        <f t="shared" si="7"/>
      </c>
      <c r="P14" s="108">
        <f>P13/P7</f>
      </c>
      <c r="Q14" s="446">
        <f t="shared" si="7"/>
      </c>
      <c r="R14" s="446">
        <f t="shared" si="7"/>
      </c>
      <c r="S14" s="446">
        <f t="shared" si="7"/>
      </c>
      <c r="T14" s="446">
        <f t="shared" si="7"/>
      </c>
      <c r="U14" s="108">
        <f>U13/U7</f>
      </c>
      <c r="V14" s="446">
        <f t="shared" si="7"/>
      </c>
      <c r="W14" s="446">
        <f t="shared" si="7"/>
      </c>
      <c r="X14" s="446">
        <f t="shared" si="7"/>
      </c>
      <c r="Y14" s="446">
        <f t="shared" si="7"/>
      </c>
      <c r="Z14" s="108">
        <f>Z13/Z7</f>
      </c>
      <c r="AA14" s="446">
        <f t="shared" si="7"/>
      </c>
      <c r="AB14" s="446">
        <f t="shared" si="7"/>
      </c>
      <c r="AC14" s="446">
        <f t="shared" si="7"/>
      </c>
      <c r="AD14" s="446">
        <f t="shared" si="7"/>
      </c>
      <c r="AE14" s="108">
        <f>AE13/AE7</f>
      </c>
      <c r="AF14" s="446">
        <f t="shared" si="7"/>
      </c>
      <c r="AG14" s="446">
        <f t="shared" si="7"/>
      </c>
      <c r="AH14" s="446">
        <f t="shared" si="7"/>
      </c>
      <c r="AI14" s="446">
        <f t="shared" si="7"/>
      </c>
      <c r="AJ14" s="108">
        <f>AJ13/AJ7</f>
      </c>
      <c r="AK14" s="446">
        <f t="shared" si="7"/>
      </c>
      <c r="AL14" s="446">
        <f t="shared" si="7"/>
      </c>
      <c r="AM14" s="446">
        <f t="shared" si="7"/>
      </c>
      <c r="AN14" s="446">
        <f t="shared" si="7"/>
      </c>
      <c r="AO14" s="108">
        <f>AO13/AO7</f>
      </c>
      <c r="AP14" s="446">
        <f t="shared" si="7"/>
      </c>
      <c r="AQ14" s="446">
        <f t="shared" si="7"/>
      </c>
      <c r="AR14" s="446">
        <f t="shared" si="7"/>
      </c>
      <c r="AS14" s="446">
        <f t="shared" si="7"/>
      </c>
      <c r="AT14" s="108">
        <f>AT13/AT7</f>
      </c>
      <c r="AU14" s="446">
        <f t="shared" si="7"/>
      </c>
      <c r="AV14" s="446">
        <f t="shared" si="7"/>
      </c>
      <c r="AW14" s="446">
        <f t="shared" si="7"/>
      </c>
      <c r="AX14" s="446">
        <f t="shared" si="7"/>
      </c>
      <c r="AY14" s="108">
        <f>AY13/AY7</f>
      </c>
      <c r="AZ14" s="446">
        <f t="shared" si="7"/>
      </c>
      <c r="BA14" s="446">
        <f t="shared" si="7"/>
      </c>
      <c r="BB14" s="446">
        <f t="shared" si="7"/>
      </c>
      <c r="BC14" s="446">
        <f t="shared" si="7"/>
      </c>
      <c r="BD14" s="108">
        <f>BD13/BD7</f>
      </c>
      <c r="BE14" s="446">
        <f t="shared" si="7"/>
      </c>
      <c r="BF14" s="446">
        <f t="shared" si="7"/>
      </c>
      <c r="BG14" s="446">
        <f t="shared" si="7"/>
      </c>
      <c r="BH14" s="446">
        <f t="shared" si="7"/>
      </c>
      <c r="BI14" s="108">
        <f>BI13/BI7</f>
      </c>
      <c r="BJ14" s="446">
        <f t="shared" si="7"/>
      </c>
      <c r="BK14" s="446">
        <f t="shared" si="7"/>
      </c>
      <c r="BL14" s="446">
        <f t="shared" si="7"/>
      </c>
      <c r="BM14" s="446">
        <f t="shared" si="7"/>
      </c>
      <c r="BN14" s="108">
        <f>BN13/BN7</f>
      </c>
      <c r="BO14" s="446">
        <f t="shared" ref="BO14:DZ14" si="8">BO13/BO7</f>
      </c>
      <c r="BP14" s="446">
        <f t="shared" si="8"/>
      </c>
      <c r="BQ14" s="446">
        <f t="shared" si="8"/>
      </c>
      <c r="BR14" s="446">
        <f t="shared" si="8"/>
      </c>
      <c r="BS14" s="108">
        <f>BS13/BS7</f>
      </c>
      <c r="BT14" s="446">
        <f t="shared" si="8"/>
      </c>
      <c r="BU14" s="446">
        <f t="shared" si="8"/>
      </c>
      <c r="BV14" s="446">
        <f t="shared" si="8"/>
      </c>
      <c r="BW14" s="446">
        <f t="shared" si="8"/>
      </c>
      <c r="BX14" s="108">
        <f>BX13/BX7</f>
      </c>
      <c r="BY14" s="446">
        <f t="shared" si="8"/>
      </c>
      <c r="BZ14" s="446">
        <f t="shared" si="8"/>
      </c>
      <c r="CA14" s="446">
        <f t="shared" si="8"/>
      </c>
      <c r="CB14" s="446">
        <f t="shared" si="8"/>
      </c>
      <c r="CC14" s="108">
        <f>CC13/CC7</f>
      </c>
      <c r="CD14" s="446">
        <f t="shared" si="8"/>
      </c>
      <c r="CE14" s="446">
        <f t="shared" si="8"/>
      </c>
      <c r="CF14" s="446">
        <f t="shared" si="8"/>
      </c>
      <c r="CG14" s="446">
        <f t="shared" si="8"/>
      </c>
      <c r="CH14" s="108">
        <f t="shared" si="8"/>
      </c>
      <c r="CI14" s="446">
        <f t="shared" si="8"/>
      </c>
      <c r="CJ14" s="446">
        <f t="shared" si="8"/>
      </c>
      <c r="CK14" s="446">
        <f t="shared" si="8"/>
      </c>
      <c r="CL14" s="446">
        <f t="shared" si="8"/>
      </c>
      <c r="CM14" s="108">
        <f t="shared" si="8"/>
      </c>
      <c r="CN14" s="446">
        <f t="shared" si="8"/>
      </c>
      <c r="CO14" s="446">
        <f t="shared" si="8"/>
      </c>
      <c r="CP14" s="446">
        <f t="shared" si="8"/>
      </c>
      <c r="CQ14" s="446">
        <f t="shared" si="8"/>
      </c>
      <c r="CR14" s="108">
        <f t="shared" si="8"/>
      </c>
      <c r="CS14" s="446">
        <f>CS13/CS7</f>
      </c>
      <c r="CT14" s="446">
        <f t="shared" si="8"/>
      </c>
      <c r="CU14" s="446">
        <f t="shared" si="8"/>
      </c>
      <c r="CV14" s="446">
        <f t="shared" si="8"/>
      </c>
      <c r="CW14" s="108">
        <f t="shared" si="8"/>
      </c>
      <c r="CX14" s="446">
        <f t="shared" si="8"/>
      </c>
      <c r="CY14" s="446">
        <f t="shared" si="8"/>
      </c>
      <c r="CZ14" s="446">
        <f t="shared" si="8"/>
      </c>
      <c r="DA14" s="446">
        <f t="shared" si="8"/>
      </c>
      <c r="DB14" s="108">
        <f t="shared" si="8"/>
      </c>
      <c r="DC14" s="446">
        <f t="shared" si="8"/>
      </c>
      <c r="DD14" s="446">
        <f>DD13/DD7</f>
      </c>
      <c r="DE14" s="446">
        <f t="shared" si="8"/>
      </c>
      <c r="DF14" s="446">
        <f t="shared" si="8"/>
      </c>
      <c r="DG14" s="108">
        <f t="shared" si="8"/>
      </c>
      <c r="DH14" s="446">
        <f t="shared" si="8"/>
      </c>
      <c r="DI14" s="446">
        <f t="shared" si="8"/>
      </c>
      <c r="DJ14" s="446">
        <f t="shared" si="8"/>
      </c>
      <c r="DK14" s="446">
        <f t="shared" si="8"/>
      </c>
      <c r="DL14" s="108">
        <f t="shared" si="8"/>
      </c>
      <c r="DM14" s="446">
        <f t="shared" si="8"/>
      </c>
      <c r="DN14" s="446">
        <f t="shared" si="8"/>
      </c>
      <c r="DO14" s="446">
        <f t="shared" si="8"/>
      </c>
      <c r="DP14" s="446">
        <f>DP13/DP7</f>
      </c>
      <c r="DQ14" s="108">
        <f t="shared" si="8"/>
      </c>
      <c r="DR14" s="446">
        <f>DR13/DR7</f>
      </c>
      <c r="DS14" s="446">
        <f>DS13/DS7</f>
      </c>
      <c r="DT14" s="446">
        <f>DT13/DT7</f>
      </c>
      <c r="DU14" s="446">
        <f>DU13/DU7</f>
      </c>
      <c r="DV14" s="108">
        <f t="shared" si="8"/>
      </c>
      <c r="DW14" s="446">
        <f t="shared" si="8"/>
      </c>
      <c r="DX14" s="446">
        <f t="shared" si="8"/>
      </c>
      <c r="DY14" s="446">
        <f t="shared" si="8"/>
      </c>
      <c r="DZ14" s="446">
        <f t="shared" si="8"/>
      </c>
      <c r="EA14" s="108">
        <f t="shared" ref="EA14:EH14" si="9">EA13/EA7</f>
      </c>
      <c r="EB14" s="446">
        <f t="shared" si="9"/>
      </c>
      <c r="EC14" s="446">
        <f t="shared" si="9"/>
      </c>
      <c r="ED14" s="446">
        <f t="shared" si="9"/>
      </c>
      <c r="EE14" s="446">
        <f t="shared" si="9"/>
      </c>
      <c r="EF14" s="108">
        <f t="shared" si="9"/>
      </c>
      <c r="EG14" s="446">
        <f t="shared" si="9"/>
      </c>
      <c r="EH14" s="446">
        <f t="shared" si="9"/>
      </c>
      <c r="EI14" s="446">
        <f>EI13/EI7</f>
      </c>
      <c r="EJ14" s="446">
        <f>EJ13/EJ7</f>
      </c>
      <c r="EK14" s="108">
        <f t="shared" ref="EK14:EZ14" si="10">EK13/EK7</f>
      </c>
      <c r="EL14" s="446">
        <f>EL13/EL7</f>
      </c>
      <c r="EM14" s="446">
        <f>EM13/EM7</f>
      </c>
      <c r="EN14" s="446">
        <f t="shared" si="10"/>
      </c>
      <c r="EO14" s="446">
        <f t="shared" si="10"/>
      </c>
      <c r="EP14" s="108">
        <f t="shared" si="10"/>
      </c>
      <c r="EQ14" s="446">
        <f t="shared" si="10"/>
      </c>
      <c r="ER14" s="446">
        <f t="shared" si="10"/>
      </c>
      <c r="ES14" s="446">
        <f t="shared" si="10"/>
      </c>
      <c r="ET14" s="446">
        <f t="shared" si="10"/>
      </c>
      <c r="EU14" s="108">
        <f t="shared" si="10"/>
      </c>
      <c r="EV14" s="446">
        <f t="shared" si="10"/>
      </c>
      <c r="EW14" s="446">
        <f t="shared" si="10"/>
      </c>
      <c r="EX14" s="446">
        <f t="shared" si="10"/>
      </c>
      <c r="EY14" s="446">
        <f t="shared" si="10"/>
      </c>
      <c r="EZ14" s="108">
        <f t="shared" si="10"/>
      </c>
      <c r="FA14" s="108"/>
      <c r="FB14" s="37"/>
      <c r="FC14" s="37"/>
      <c r="FD14" s="37"/>
      <c r="FE14" s="37"/>
      <c r="FF14" s="37"/>
      <c r="FG14" s="37"/>
      <c r="FH14" s="37"/>
      <c r="FI14" s="37"/>
      <c r="FJ14" s="37"/>
      <c r="FK14" s="37"/>
      <c r="FL14" s="37"/>
      <c r="FM14" s="37"/>
      <c r="FN14" s="37"/>
    </row>
    <row r="15" spans="1:170" ht="12" customHeight="1">
      <c r="A15" s="448" t="s">
        <v>355</v>
      </c>
      <c r="B15" s="446"/>
      <c r="C15" s="446">
        <f t="shared" ref="C15:BM15" si="11">(C13-B13)/(C7-B7)</f>
      </c>
      <c r="D15" s="446">
        <f t="shared" si="11"/>
      </c>
      <c r="E15" s="446">
        <f t="shared" si="11"/>
      </c>
      <c r="F15" s="441"/>
      <c r="G15" s="446">
        <f>(G13-E13)/(G7-E7)</f>
      </c>
      <c r="H15" s="446">
        <f t="shared" si="11"/>
      </c>
      <c r="I15" s="446">
        <f t="shared" si="11"/>
      </c>
      <c r="J15" s="446">
        <f t="shared" si="11"/>
      </c>
      <c r="K15" s="441">
        <f>(K13-F13)/(K7-F7)</f>
      </c>
      <c r="L15" s="446">
        <f>(L13-J13)/(L7-J7)</f>
      </c>
      <c r="M15" s="446">
        <f t="shared" si="11"/>
      </c>
      <c r="N15" s="446">
        <f t="shared" si="11"/>
      </c>
      <c r="O15" s="446">
        <f t="shared" si="11"/>
      </c>
      <c r="P15" s="441">
        <f>(P13-K13)/(P7-K7)</f>
      </c>
      <c r="Q15" s="446">
        <f>(Q13-O13)/(Q7-O7)</f>
      </c>
      <c r="R15" s="446">
        <f t="shared" si="11"/>
      </c>
      <c r="S15" s="446">
        <f t="shared" si="11"/>
      </c>
      <c r="T15" s="446">
        <f>(T13-S13)/(T7-S7)</f>
      </c>
      <c r="U15" s="441">
        <f>(U13-P13)/(U7-P7)</f>
      </c>
      <c r="V15" s="446">
        <f>(V13-T13)/(V7-T7)</f>
      </c>
      <c r="W15" s="446">
        <f t="shared" si="11"/>
      </c>
      <c r="X15" s="446">
        <f t="shared" si="11"/>
      </c>
      <c r="Y15" s="446">
        <f t="shared" si="11"/>
      </c>
      <c r="Z15" s="441">
        <f>(Z13-U13)/(Z7-U7)</f>
      </c>
      <c r="AA15" s="446">
        <f>(AA13-Y13)/(AA7-Y7)</f>
      </c>
      <c r="AB15" s="446">
        <f t="shared" si="11"/>
      </c>
      <c r="AC15" s="446">
        <f t="shared" si="11"/>
      </c>
      <c r="AD15" s="446">
        <f t="shared" si="11"/>
      </c>
      <c r="AE15" s="441">
        <f>(AE13-Z13)/(AE7-Z7)</f>
      </c>
      <c r="AF15" s="446">
        <f>(AF13-AD13)/(AF7-AD7)</f>
      </c>
      <c r="AG15" s="446">
        <f t="shared" si="11"/>
      </c>
      <c r="AH15" s="446">
        <f t="shared" si="11"/>
      </c>
      <c r="AI15" s="446">
        <f t="shared" si="11"/>
      </c>
      <c r="AJ15" s="441">
        <f>(AJ13-AE13)/(AJ7-AE7)</f>
      </c>
      <c r="AK15" s="446">
        <f>(AK13-AI13)/(AK7-AI7)</f>
      </c>
      <c r="AL15" s="446">
        <f t="shared" si="11"/>
      </c>
      <c r="AM15" s="446">
        <f t="shared" si="11"/>
      </c>
      <c r="AN15" s="446">
        <f t="shared" si="11"/>
      </c>
      <c r="AO15" s="441">
        <f>(AO13-AJ13)/(AO7-AJ7)</f>
      </c>
      <c r="AP15" s="446">
        <f>(AP13-AN13)/(AP7-AN7)</f>
      </c>
      <c r="AQ15" s="446">
        <f t="shared" si="11"/>
      </c>
      <c r="AR15" s="446">
        <f t="shared" si="11"/>
      </c>
      <c r="AS15" s="446">
        <f t="shared" si="11"/>
      </c>
      <c r="AT15" s="441">
        <f>(AT13-AO13)/(AT7-AO7)</f>
      </c>
      <c r="AU15" s="446">
        <f>(AU13-AS13)/(AU7-AS7)</f>
      </c>
      <c r="AV15" s="446">
        <f t="shared" si="11"/>
      </c>
      <c r="AW15" s="446">
        <f t="shared" si="11"/>
      </c>
      <c r="AX15" s="446">
        <f t="shared" si="11"/>
      </c>
      <c r="AY15" s="441">
        <f>(AY13-AT13)/(AY7-AT7)</f>
      </c>
      <c r="AZ15" s="446">
        <f>(AZ13-AX13)/(AZ7-AX7)</f>
      </c>
      <c r="BA15" s="446">
        <f t="shared" si="11"/>
      </c>
      <c r="BB15" s="446">
        <f t="shared" si="11"/>
      </c>
      <c r="BC15" s="446">
        <f t="shared" si="11"/>
      </c>
      <c r="BD15" s="441">
        <f>(BD13-AY13)/(BD7-AY7)</f>
      </c>
      <c r="BE15" s="446">
        <f>(BE13-BC13)/(BE7-BC7)</f>
      </c>
      <c r="BF15" s="446">
        <f t="shared" si="11"/>
      </c>
      <c r="BG15" s="446">
        <f t="shared" si="11"/>
      </c>
      <c r="BH15" s="446">
        <f t="shared" si="11"/>
      </c>
      <c r="BI15" s="441">
        <f>(BI13-BD13)/(BI7-BD7)</f>
      </c>
      <c r="BJ15" s="446">
        <f>(BJ13-BH13)/(BJ7-BH7)</f>
      </c>
      <c r="BK15" s="446">
        <f t="shared" si="11"/>
      </c>
      <c r="BL15" s="446">
        <f t="shared" si="11"/>
      </c>
      <c r="BM15" s="446">
        <f t="shared" si="11"/>
      </c>
      <c r="BN15" s="441">
        <f>(BN13-BI13)/(BN7-BI7)</f>
      </c>
      <c r="BO15" s="446">
        <f>(BO13-BM13)/(BO7-BM7)</f>
      </c>
      <c r="BP15" s="446">
        <f t="shared" ref="BP15:BW15" si="12">(BP13-BO13)/(BP7-BO7)</f>
      </c>
      <c r="BQ15" s="446">
        <f t="shared" si="12"/>
      </c>
      <c r="BR15" s="446">
        <f t="shared" si="12"/>
      </c>
      <c r="BS15" s="441">
        <f>(BS13-BN13)/(BS7-BN7)</f>
      </c>
      <c r="BT15" s="446">
        <f>(BT13-BR13)/(BT7-BR7)</f>
      </c>
      <c r="BU15" s="446">
        <f t="shared" si="12"/>
      </c>
      <c r="BV15" s="446">
        <f t="shared" si="12"/>
      </c>
      <c r="BW15" s="446">
        <f t="shared" si="12"/>
      </c>
      <c r="BX15" s="441">
        <f>(BX13-BS13)/(BX7-BS7)</f>
      </c>
      <c r="BY15" s="446">
        <f>(BY13-BW13)/(BY7-BW7)</f>
      </c>
      <c r="BZ15" s="446">
        <f t="shared" ref="BZ15:CG15" si="13">(BZ13-BY13)/(BZ7-BY7)</f>
      </c>
      <c r="CA15" s="446">
        <f t="shared" si="13"/>
      </c>
      <c r="CB15" s="446">
        <f>(CB13-CA13)/(CB7-CA7)</f>
      </c>
      <c r="CC15" s="441">
        <f>(CC13-BX13)/(CC7-BX7)</f>
      </c>
      <c r="CD15" s="446">
        <f>(CD13-CB13)/(CD7-CB7)</f>
      </c>
      <c r="CE15" s="446">
        <f t="shared" si="13"/>
      </c>
      <c r="CF15" s="446">
        <f t="shared" si="13"/>
      </c>
      <c r="CG15" s="446">
        <f t="shared" si="13"/>
      </c>
      <c r="CH15" s="441">
        <f>(CH13-CC13)/(CH7-CC7)</f>
      </c>
      <c r="CI15" s="449">
        <f>(CI13-CG13)/(CI7-CG7)</f>
      </c>
      <c r="CJ15" s="449">
        <f>(CJ13-CI13)/(CJ7-CI7)</f>
      </c>
      <c r="CK15" s="446">
        <f>(CK13-CJ13)/(CK7-CJ7)</f>
      </c>
      <c r="CL15" s="446">
        <f>(CL13-CK13)/(CL7-CK7)</f>
      </c>
      <c r="CM15" s="441">
        <f>(CM13-CH13)/(CM7-CH7)</f>
      </c>
      <c r="CN15" s="449">
        <f>(CN13-CL13)/(CN7-CL7)</f>
      </c>
      <c r="CO15" s="449">
        <f>(CO13-CN13)/(CO7-CN7)</f>
      </c>
      <c r="CP15" s="446">
        <f>(CP13-CO13)/(CP7-CO7)</f>
      </c>
      <c r="CQ15" s="446">
        <f>(CQ13-CP13)/(CQ7-CP7)</f>
      </c>
      <c r="CR15" s="441">
        <f>(CR13-CM13)/(CR7-CM7)</f>
      </c>
      <c r="CS15" s="449">
        <f>(CS13-CQ13)/(CS7-CQ7)</f>
      </c>
      <c r="CT15" s="449">
        <f>(CT13-CS13)/(CT7-CS7)</f>
      </c>
      <c r="CU15" s="446">
        <f>(CU13-CT13)/(CU7-CT7)</f>
      </c>
      <c r="CV15" s="446">
        <f>(CV13-CU13)/(CV7-CU7)</f>
      </c>
      <c r="CW15" s="441">
        <f>(CW13-CR13)/(CW7-CR7)</f>
      </c>
      <c r="CX15" s="449">
        <f>(CX13-CV13)/(CX7-CV7)</f>
      </c>
      <c r="CY15" s="449">
        <f>(CY13-CX13)/(CY7-CX7)</f>
      </c>
      <c r="CZ15" s="446">
        <f>(CZ13-CY13)/(CZ7-CY7)</f>
      </c>
      <c r="DA15" s="446">
        <f>(DA13-CZ13)/(DA7-CZ7)</f>
      </c>
      <c r="DB15" s="441">
        <f>(DB13-CW13)/(DB7-CW7)</f>
      </c>
      <c r="DC15" s="449">
        <f>(DC13-DA13)/(DC7-DA7)</f>
      </c>
      <c r="DD15" s="449">
        <f>(DD13-DC13)/(DD7-DC7)</f>
      </c>
      <c r="DE15" s="446">
        <f>(DE13-DD13)/(DE7-DD7)</f>
      </c>
      <c r="DF15" s="446">
        <f>(DF13-DE13)/(DF7-DE7)</f>
      </c>
      <c r="DG15" s="441">
        <f>(DG13-DB13)/(DG7-DB7)</f>
      </c>
      <c r="DH15" s="446">
        <f>(DH13-DF13)/(DH7-DF7)</f>
      </c>
      <c r="DI15" s="446">
        <f>(DI13-DH13)/(DI7-DH7)</f>
      </c>
      <c r="DJ15" s="446">
        <f>(DJ13-DI13)/(DJ7-DI7)</f>
      </c>
      <c r="DK15" s="446">
        <f>(DK13-DJ13)/(DK7-DJ7)</f>
      </c>
      <c r="DL15" s="441">
        <f>(DL13-DG13)/(DL7-DG7)</f>
      </c>
      <c r="DM15" s="446">
        <f>(DM13-DK13)/(DM7-DK7)</f>
      </c>
      <c r="DN15" s="446">
        <f>(DN13-DM13)/(DN7-DM7)</f>
      </c>
      <c r="DO15" s="446">
        <f>(DO13-DN13)/(DO7-DN7)</f>
      </c>
      <c r="DP15" s="446">
        <f>(DP13-DO13)/(DP7-DO7)</f>
      </c>
      <c r="DQ15" s="441">
        <f>(DQ13-DL13)/(DQ7-DL7)</f>
      </c>
      <c r="DR15" s="446">
        <f>(DR13-DP13)/(DR7-DP7)</f>
      </c>
      <c r="DS15" s="446">
        <f>(DS13-DR13)/(DS7-DR7)</f>
      </c>
      <c r="DT15" s="446">
        <f>(DT13-DS13)/(DT7-DS7)</f>
      </c>
      <c r="DU15" s="446">
        <f>(DU13-DT13)/(DU7-DT7)</f>
      </c>
      <c r="DV15" s="441">
        <f>(DV13-DQ13)/(DV7-DQ7)</f>
      </c>
      <c r="DW15" s="446">
        <f>(DW13-DU13)/(DW7-DU7)</f>
      </c>
      <c r="DX15" s="446">
        <f>(DX13-DW13)/(DX7-DW7)</f>
      </c>
      <c r="DY15" s="446">
        <f>(DY13-DX13)/(DY7-DX7)</f>
      </c>
      <c r="DZ15" s="446">
        <f>(DZ13-DY13)/(DZ7-DY7)</f>
      </c>
      <c r="EA15" s="441">
        <f>(EA13-DV13)/(EA7-DV7)</f>
      </c>
      <c r="EB15" s="446">
        <f>(EB13-EA13)/(EB7-EA7)</f>
      </c>
      <c r="EC15" s="446">
        <f>(EC13-EB13)/(EC7-EB7)</f>
      </c>
      <c r="ED15" s="446">
        <f>(ED13-EC13)/(ED7-EC7)</f>
      </c>
      <c r="EE15" s="446">
        <f>(EE13-ED13)/(EE7-ED7)</f>
      </c>
      <c r="EF15" s="441">
        <f>(EF13-EA13)/(EF7-EA7)</f>
      </c>
      <c r="EG15" s="446">
        <f>(EG13-EF13)/(EG7-EF7)</f>
      </c>
      <c r="EH15" s="446">
        <f>(EH13-EG13)/(EH7-EG7)</f>
      </c>
      <c r="EI15" s="446">
        <f>(EI13-EH13)/(EI7-EH7)</f>
      </c>
      <c r="EJ15" s="446">
        <f>(EJ13-EI13)/(EJ7-EI7)</f>
      </c>
      <c r="EK15" s="441">
        <f>(EK13-EF13)/(EK7-EF7)</f>
      </c>
      <c r="EL15" s="446">
        <f>(EL13-EK13)/(EL7-EK7)</f>
      </c>
      <c r="EM15" s="446">
        <f>(EM13-EL13)/(EM7-EL7)</f>
      </c>
      <c r="EN15" s="446">
        <f>(EN13-EM13)/(EN7-EM7)</f>
      </c>
      <c r="EO15" s="446">
        <f>(EO13-EN13)/(EO7-EN7)</f>
      </c>
      <c r="EP15" s="441">
        <f>(EP13-EK13)/(EP7-EK7)</f>
      </c>
      <c r="EQ15" s="449">
        <f>(EQ13-EO13)/(EQ7-EO7)</f>
      </c>
      <c r="ER15" s="449">
        <f>(ER13-EQ13)/(ER7-EQ7)</f>
      </c>
      <c r="ES15" s="446">
        <f>(ES13-ER13)/(ES7-ER7)</f>
      </c>
      <c r="ET15" s="446">
        <f>(ET13-ES13)/(ET7-ES7)</f>
      </c>
      <c r="EU15" s="441">
        <f>(EU13-EP13)/(EU7-EP7)</f>
      </c>
      <c r="EV15" s="449">
        <f>(EV13-ET13)/(EV7-ET7)</f>
      </c>
      <c r="EW15" s="449">
        <f>(EW13-EV13)/(EW7-EV7)</f>
      </c>
      <c r="EX15" s="446">
        <f>(EX13-EW13)/(EX7-EW7)</f>
      </c>
      <c r="EY15" s="446">
        <f>(EY13-EX13)/(EY7-EX7)</f>
      </c>
      <c r="EZ15" s="441">
        <f>(EZ13-EU13)/(EZ7-EU7)</f>
      </c>
      <c r="FA15" s="441"/>
      <c r="FB15" s="37"/>
      <c r="FC15" s="37"/>
      <c r="FD15" s="37"/>
      <c r="FE15" s="37"/>
      <c r="FF15" s="37"/>
      <c r="FG15" s="37"/>
      <c r="FH15" s="37"/>
      <c r="FI15" s="37"/>
      <c r="FJ15" s="37"/>
      <c r="FK15" s="37"/>
      <c r="FL15" s="37"/>
      <c r="FM15" s="37"/>
      <c r="FN15" s="37"/>
    </row>
    <row r="16" spans="1:170">
      <c r="A16" s="445"/>
      <c r="B16" s="109"/>
      <c r="C16" s="109"/>
      <c r="D16" s="109"/>
      <c r="E16" s="109"/>
      <c r="G16" s="109"/>
      <c r="H16" s="109"/>
      <c r="I16" s="109"/>
      <c r="J16" s="109"/>
      <c r="L16" s="109"/>
      <c r="M16" s="109"/>
      <c r="N16" s="109"/>
      <c r="O16" s="109"/>
      <c r="Q16" s="109"/>
      <c r="R16" s="109"/>
      <c r="S16" s="109"/>
      <c r="T16" s="109"/>
      <c r="V16" s="109"/>
      <c r="W16" s="109"/>
      <c r="X16" s="109"/>
      <c r="Y16" s="109"/>
      <c r="AA16" s="109"/>
      <c r="AB16" s="109"/>
      <c r="AC16" s="109"/>
      <c r="AD16" s="109"/>
      <c r="AE16" s="84"/>
      <c r="AF16" s="109"/>
      <c r="AG16" s="109"/>
      <c r="AH16" s="109"/>
      <c r="AI16" s="109"/>
      <c r="AJ16" s="84"/>
      <c r="AK16" s="109"/>
      <c r="AL16" s="109"/>
      <c r="AM16" s="109"/>
      <c r="AN16" s="109"/>
      <c r="AO16" s="84"/>
      <c r="AP16" s="109"/>
      <c r="AQ16" s="109"/>
      <c r="AR16" s="109"/>
      <c r="AS16" s="109"/>
      <c r="AT16" s="84"/>
      <c r="AU16" s="109"/>
      <c r="AV16" s="109"/>
      <c r="AW16" s="109"/>
      <c r="AX16" s="109"/>
      <c r="AY16" s="84"/>
      <c r="AZ16" s="109"/>
      <c r="BA16" s="109"/>
      <c r="BB16" s="109"/>
      <c r="BC16" s="109"/>
      <c r="BD16" s="84"/>
      <c r="BE16" s="109"/>
      <c r="BF16" s="109"/>
      <c r="BG16" s="109"/>
      <c r="BH16" s="109"/>
      <c r="BI16" s="84"/>
      <c r="BJ16" s="109"/>
      <c r="BK16" s="109"/>
      <c r="BL16" s="109"/>
      <c r="BM16" s="109"/>
      <c r="BN16" s="84"/>
      <c r="BO16" s="109"/>
      <c r="BP16" s="109"/>
      <c r="BQ16" s="109"/>
      <c r="BR16" s="109"/>
      <c r="BS16" s="84"/>
      <c r="BT16" s="109"/>
      <c r="BU16" s="109"/>
      <c r="BV16" s="109"/>
      <c r="BW16" s="109"/>
      <c r="BX16" s="84"/>
      <c r="BY16" s="109"/>
      <c r="BZ16" s="109"/>
      <c r="CA16" s="109"/>
      <c r="CB16" s="109"/>
      <c r="CC16" s="84"/>
      <c r="CD16" s="109"/>
      <c r="CE16" s="109"/>
      <c r="CF16" s="109"/>
      <c r="CG16" s="109"/>
      <c r="CH16" s="84"/>
      <c r="CI16" s="109"/>
      <c r="CJ16" s="109"/>
      <c r="CK16" s="109"/>
      <c r="CL16" s="109"/>
      <c r="CM16" s="84"/>
      <c r="CN16" s="109"/>
      <c r="CO16" s="109"/>
      <c r="CP16" s="109"/>
      <c r="CQ16" s="109"/>
      <c r="CR16" s="84"/>
      <c r="CS16" s="109"/>
      <c r="CT16" s="109"/>
      <c r="CU16" s="109"/>
      <c r="CV16" s="109"/>
      <c r="CW16" s="84"/>
      <c r="CX16" s="109"/>
      <c r="CY16" s="109"/>
      <c r="CZ16" s="109"/>
      <c r="DA16" s="109"/>
      <c r="DC16" s="109"/>
      <c r="DD16" s="109"/>
      <c r="DE16" s="109"/>
      <c r="DF16" s="109"/>
      <c r="DG16" s="84"/>
      <c r="DH16" s="109"/>
      <c r="DI16" s="109"/>
      <c r="DJ16" s="109"/>
      <c r="DK16" s="109"/>
      <c r="DL16" s="84"/>
      <c r="DM16" s="109"/>
      <c r="DN16" s="109"/>
      <c r="DO16" s="109"/>
      <c r="DP16" s="109"/>
      <c r="DQ16" s="84"/>
      <c r="DR16" s="109"/>
      <c r="DS16" s="109"/>
      <c r="DT16" s="109"/>
      <c r="DU16" s="109"/>
      <c r="DV16" s="84"/>
      <c r="DW16" s="109"/>
      <c r="DX16" s="109"/>
      <c r="DY16" s="109"/>
      <c r="DZ16" s="109"/>
      <c r="EA16" s="84"/>
      <c r="EB16" s="109"/>
      <c r="EC16" s="109"/>
      <c r="ED16" s="109"/>
      <c r="EE16" s="109"/>
      <c r="EF16" s="84"/>
      <c r="EG16" s="109"/>
      <c r="EH16" s="109"/>
      <c r="EI16" s="109"/>
      <c r="EJ16" s="109"/>
      <c r="EK16" s="84"/>
      <c r="EL16" s="109"/>
      <c r="EM16" s="109"/>
      <c r="EN16" s="109"/>
      <c r="EO16" s="109"/>
      <c r="EP16" s="84"/>
      <c r="EQ16" s="109"/>
      <c r="ER16" s="109"/>
      <c r="ES16" s="109"/>
      <c r="ET16" s="109"/>
      <c r="EU16" s="84"/>
      <c r="EV16" s="109"/>
      <c r="EW16" s="109"/>
      <c r="EX16" s="109"/>
      <c r="EY16" s="109"/>
      <c r="EZ16" s="84"/>
      <c r="FA16" s="84"/>
      <c r="FB16" s="37"/>
      <c r="FC16" s="37"/>
      <c r="FD16" s="37"/>
      <c r="FE16" s="37"/>
      <c r="FF16" s="37"/>
      <c r="FG16" s="37"/>
      <c r="FH16" s="37"/>
      <c r="FI16" s="37"/>
      <c r="FJ16" s="37"/>
      <c r="FK16" s="37"/>
      <c r="FL16" s="37"/>
      <c r="FM16" s="37"/>
      <c r="FN16" s="37"/>
    </row>
    <row r="17" spans="1:170" ht="12.75" customHeight="1">
      <c r="A17" s="106" t="s">
        <v>210</v>
      </c>
      <c r="B17" s="442">
        <v>0.38500000000000001</v>
      </c>
      <c r="C17" s="442">
        <v>0.56899999999999995</v>
      </c>
      <c r="D17" s="442">
        <v>1.07</v>
      </c>
      <c r="E17" s="442">
        <v>2.1589999999999998</v>
      </c>
      <c r="F17" s="443">
        <f>SUM(B17:E17)</f>
      </c>
      <c r="G17" s="442">
        <v>3.8849999999999998</v>
      </c>
      <c r="H17" s="442">
        <v>3.9620000000000002</v>
      </c>
      <c r="I17" s="442">
        <v>4.6970000000000001</v>
      </c>
      <c r="J17" s="442">
        <v>6.3579999999999997</v>
      </c>
      <c r="K17" s="443">
        <f>SUM(G17:J17)</f>
      </c>
      <c r="L17" s="442">
        <v>7.2839999999999998</v>
      </c>
      <c r="M17" s="442">
        <v>8.1159999999999997</v>
      </c>
      <c r="N17" s="442">
        <v>9.2929999999999993</v>
      </c>
      <c r="O17" s="442">
        <v>12.386000000000003</v>
      </c>
      <c r="P17" s="443">
        <f>SUM(L17:O17)</f>
      </c>
      <c r="Q17" s="442">
        <v>12.114000000000001</v>
      </c>
      <c r="R17" s="442">
        <v>14.603</v>
      </c>
      <c r="S17" s="442">
        <v>14.852</v>
      </c>
      <c r="T17" s="442">
        <v>16.860999999999997</v>
      </c>
      <c r="U17" s="443">
        <f>SUM(Q17:T17)</f>
      </c>
      <c r="V17" s="442">
        <v>19.122</v>
      </c>
      <c r="W17" s="442">
        <v>20.277999999999999</v>
      </c>
      <c r="X17" s="442">
        <v>24.896999999999998</v>
      </c>
      <c r="Y17" s="442">
        <v>32.888000000000005</v>
      </c>
      <c r="Z17" s="443">
        <f>SUM(V17:Y17)</f>
      </c>
      <c r="AA17" s="442">
        <v>37.481999999999999</v>
      </c>
      <c r="AB17" s="442">
        <v>35.908000000000001</v>
      </c>
      <c r="AC17" s="442">
        <v>38.692999999999998</v>
      </c>
      <c r="AD17" s="442">
        <v>39.402000000000001</v>
      </c>
      <c r="AE17" s="443">
        <f>SUM(AA17:AD17)</f>
      </c>
      <c r="AF17" s="442">
        <v>40.909999999999997</v>
      </c>
      <c r="AG17" s="442">
        <v>39.722000000000001</v>
      </c>
      <c r="AH17" s="442">
        <v>42.218000000000004</v>
      </c>
      <c r="AI17" s="442">
        <v>42.399000000000001</v>
      </c>
      <c r="AJ17" s="443">
        <f>SUM(AF17:AI17)</f>
      </c>
      <c r="AK17" s="442">
        <v>47.206000000000003</v>
      </c>
      <c r="AL17" s="442">
        <v>50.874000000000002</v>
      </c>
      <c r="AM17" s="442">
        <v>50.103999999999999</v>
      </c>
      <c r="AN17" s="442">
        <v>52.604999999999997</v>
      </c>
      <c r="AO17" s="443">
        <f>SUM(AK17:AN17)</f>
      </c>
      <c r="AP17" s="442">
        <v>48.058</v>
      </c>
      <c r="AQ17" s="442">
        <v>51.683</v>
      </c>
      <c r="AR17" s="442">
        <v>54.536999999999999</v>
      </c>
      <c r="AS17" s="442">
        <v>50.162999999999997</v>
      </c>
      <c r="AT17" s="443">
        <f>SUM(AP17:AS17)</f>
      </c>
      <c r="AU17" s="442">
        <v>63.962000000000003</v>
      </c>
      <c r="AV17" s="442">
        <v>69.055000000000007</v>
      </c>
      <c r="AW17" s="442">
        <f>75.597-1.5</f>
      </c>
      <c r="AX17" s="442">
        <v>84.915999999999997</v>
      </c>
      <c r="AY17" s="443">
        <f>SUM(AU17:AX17)</f>
      </c>
      <c r="AZ17" s="442">
        <v>80.570999999999998</v>
      </c>
      <c r="BA17" s="442">
        <v>81.28</v>
      </c>
      <c r="BB17" s="442">
        <v>88.183000000000007</v>
      </c>
      <c r="BC17" s="442">
        <v>91.263000000000005</v>
      </c>
      <c r="BD17" s="443">
        <f>SUM(AZ17:BC17)</f>
      </c>
      <c r="BE17" s="442">
        <v>93.034000000000006</v>
      </c>
      <c r="BF17" s="442">
        <v>92.399000000000001</v>
      </c>
      <c r="BG17" s="442">
        <f>90.349-4.5</f>
      </c>
      <c r="BH17" s="442">
        <v>86.44</v>
      </c>
      <c r="BI17" s="443">
        <f>SUM(BE17:BH17)</f>
      </c>
      <c r="BJ17" s="442">
        <v>80.491</v>
      </c>
      <c r="BK17" s="442">
        <f>73.975+0.939</f>
      </c>
      <c r="BL17" s="442">
        <v>85.99</v>
      </c>
      <c r="BM17" s="442">
        <v>88.188000000000002</v>
      </c>
      <c r="BN17" s="443">
        <f>SUM(BJ17:BM17)</f>
      </c>
      <c r="BO17" s="442">
        <v>90.879000000000005</v>
      </c>
      <c r="BP17" s="442">
        <f>98.864-12.705</f>
      </c>
      <c r="BQ17" s="442">
        <v>83.751999999999995</v>
      </c>
      <c r="BR17" s="442">
        <v>88.018000000000001</v>
      </c>
      <c r="BS17" s="443">
        <f>SUM(BO17:BR17)</f>
      </c>
      <c r="BT17" s="442">
        <v>98.117000000000004</v>
      </c>
      <c r="BU17" s="442">
        <f>103.533-7.562</f>
      </c>
      <c r="BV17" s="442">
        <f>103.129-6.413</f>
      </c>
      <c r="BW17" s="442">
        <f>100.834-5.052</f>
      </c>
      <c r="BX17" s="443">
        <f>SUM(BT17:BW17)</f>
      </c>
      <c r="BY17" s="442">
        <f>106.636-4.342-5.171</f>
      </c>
      <c r="BZ17" s="442">
        <f>119.903-4.065-4.794-20.127</f>
      </c>
      <c r="CA17" s="442">
        <f>100.261-4.402-4.666</f>
      </c>
      <c r="CB17" s="442">
        <f>104.022-4.325-4.373</f>
      </c>
      <c r="CC17" s="443">
        <f>SUM(BY17:CB17)</f>
      </c>
      <c r="CD17" s="442">
        <f>108.626-3.915-4.946</f>
      </c>
      <c r="CE17" s="442">
        <f>108.266-3.98-4.984</f>
      </c>
      <c r="CF17" s="442">
        <f>103.133-4.906+0.329-2.235</f>
      </c>
      <c r="CG17" s="442">
        <f>115.677-9.25-1.845</f>
      </c>
      <c r="CH17" s="443">
        <f>SUM(CD17:CG17)</f>
      </c>
      <c r="CI17" s="442">
        <f>118.58-9.441</f>
      </c>
      <c r="CJ17" s="442">
        <f>118.671-9.173</f>
      </c>
      <c r="CK17" s="442">
        <f>123.298-9.572</f>
      </c>
      <c r="CL17" s="442">
        <f>120.214-9.169/2</f>
      </c>
      <c r="CM17" s="443">
        <f>SUM(CI17:CL17)</f>
      </c>
      <c r="CN17" s="442">
        <f>138-4.5</f>
      </c>
      <c r="CO17" s="442">
        <f>149+89-4-89</f>
      </c>
      <c r="CP17" s="442">
        <f>152+8-4-8</f>
      </c>
      <c r="CQ17" s="442">
        <f>161+34-34-4</f>
      </c>
      <c r="CR17" s="443">
        <f>SUM(CN17:CQ17)</f>
      </c>
      <c r="CS17" s="442">
        <f>159+1-6-4-3-1</f>
      </c>
      <c r="CT17" s="442">
        <f>157+2-2-1-4</f>
      </c>
      <c r="CU17" s="442">
        <f>171-4</f>
      </c>
      <c r="CV17" s="442">
        <f>176-4</f>
      </c>
      <c r="CW17" s="443">
        <f>SUM(CS17:CV17)</f>
      </c>
      <c r="CX17" s="442">
        <f>185-4-2</f>
      </c>
      <c r="CY17" s="442">
        <f>198-4</f>
      </c>
      <c r="CZ17" s="442">
        <f>212-3</f>
      </c>
      <c r="DA17" s="442">
        <f>220-2</f>
      </c>
      <c r="DB17" s="443">
        <f>SUM(CX17:DA17)</f>
      </c>
      <c r="DC17" s="442">
        <f>231-2-2</f>
      </c>
      <c r="DD17" s="442">
        <f>237-2</f>
      </c>
      <c r="DE17" s="442">
        <f>258-1-1+4</f>
      </c>
      <c r="DF17" s="442">
        <f>266-7-1</f>
      </c>
      <c r="DG17" s="443">
        <f>SUM(DC17:DF17)</f>
      </c>
      <c r="DH17" s="442">
        <f>264-10-1</f>
      </c>
      <c r="DI17" s="442">
        <f>266-5</f>
      </c>
      <c r="DJ17" s="442">
        <f>277-7</f>
      </c>
      <c r="DK17" s="442">
        <f>287-7</f>
      </c>
      <c r="DL17" s="443">
        <f>SUM(DH17:DK17)</f>
      </c>
      <c r="DM17" s="442">
        <f>293-4</f>
      </c>
      <c r="DN17" s="442">
        <f>627-229</f>
      </c>
      <c r="DO17" s="442">
        <f>515-106+1</f>
      </c>
      <c r="DP17" s="442">
        <f>503-72</f>
      </c>
      <c r="DQ17" s="443">
        <f>SUM(DM17:DP17)</f>
      </c>
      <c r="DR17" s="442">
        <f>520-80</f>
      </c>
      <c r="DS17" s="442">
        <f>526-72</f>
      </c>
      <c r="DT17" s="442">
        <f>557-70</f>
      </c>
      <c r="DU17" s="442">
        <f>563-70</f>
      </c>
      <c r="DV17" s="443">
        <f>SUM(DR17:DU17)</f>
      </c>
      <c r="DW17" s="442">
        <f>592+1353-55-7-1353</f>
      </c>
      <c r="DX17" s="442">
        <f>592-54-2</f>
      </c>
      <c r="DY17" s="442">
        <f>631-54-16</f>
      </c>
      <c r="DZ17" s="442">
        <f>625-54-38</f>
      </c>
      <c r="EA17" s="443">
        <f>SUM(DW17:DZ17)</f>
      </c>
      <c r="EB17" s="442">
        <f>633-54+4</f>
      </c>
      <c r="EC17" s="442">
        <f>622-18+5</f>
      </c>
      <c r="ED17" s="442">
        <f>689-16</f>
      </c>
      <c r="EE17" s="442">
        <f>711-18</f>
      </c>
      <c r="EF17" s="443">
        <f>SUM(EB17:EE17)</f>
      </c>
      <c r="EG17" s="442">
        <f>777-21</f>
      </c>
      <c r="EH17" s="442">
        <f>842-26</f>
      </c>
      <c r="EI17" s="442">
        <f>897-39</f>
      </c>
      <c r="EJ17" s="442">
        <f>975-43</f>
      </c>
      <c r="EK17" s="443">
        <f>SUM(EG17:EJ17)</f>
      </c>
      <c r="EL17" s="442">
        <f>1041-37</f>
      </c>
      <c r="EM17" s="442">
        <f>1122-37-15</f>
      </c>
      <c r="EN17" s="444">
        <f>Worksheet!CV35</f>
      </c>
      <c r="EO17" s="444">
        <f>Worksheet!CW35</f>
      </c>
      <c r="EP17" s="443">
        <f>SUM(EL17:EO17)</f>
      </c>
      <c r="EQ17" s="444">
        <f>Worksheet!CX35</f>
      </c>
      <c r="ER17" s="444">
        <f>Worksheet!CY35</f>
      </c>
      <c r="ES17" s="444">
        <f>Worksheet!CZ35</f>
      </c>
      <c r="ET17" s="444">
        <f>Worksheet!DA35</f>
      </c>
      <c r="EU17" s="443">
        <f>SUM(EQ17:ET17)</f>
      </c>
      <c r="EV17" s="444">
        <f>Worksheet!DB35</f>
      </c>
      <c r="EW17" s="444">
        <f>Worksheet!DC35</f>
      </c>
      <c r="EX17" s="444">
        <f>Worksheet!DD35</f>
      </c>
      <c r="EY17" s="444">
        <f>Worksheet!DE35</f>
      </c>
      <c r="EZ17" s="443">
        <f>SUM(EV17:EY17)</f>
      </c>
      <c r="FA17" s="443"/>
      <c r="FB17" s="37"/>
      <c r="FC17" s="37"/>
      <c r="FD17" s="37"/>
      <c r="FE17" s="37"/>
      <c r="FF17" s="37"/>
      <c r="FG17" s="37"/>
      <c r="FH17" s="37"/>
      <c r="FI17" s="37"/>
      <c r="FJ17" s="37"/>
      <c r="FK17" s="37"/>
      <c r="FL17" s="37"/>
      <c r="FM17" s="37"/>
      <c r="FN17" s="37"/>
    </row>
    <row r="18" spans="1:170">
      <c r="A18" s="450" t="s">
        <v>293</v>
      </c>
      <c r="B18" s="446">
        <f t="shared" ref="B18:BM18" si="14">B17/B7</f>
      </c>
      <c r="C18" s="446">
        <f t="shared" si="14"/>
      </c>
      <c r="D18" s="446">
        <f t="shared" si="14"/>
      </c>
      <c r="E18" s="446">
        <f t="shared" si="14"/>
      </c>
      <c r="F18" s="441">
        <f>F17/F$7</f>
      </c>
      <c r="G18" s="446">
        <f t="shared" si="14"/>
      </c>
      <c r="H18" s="446">
        <f t="shared" si="14"/>
      </c>
      <c r="I18" s="446">
        <f t="shared" si="14"/>
      </c>
      <c r="J18" s="446">
        <f t="shared" si="14"/>
      </c>
      <c r="K18" s="441">
        <f>K17/K$7</f>
      </c>
      <c r="L18" s="446">
        <f t="shared" si="14"/>
      </c>
      <c r="M18" s="446">
        <f t="shared" si="14"/>
      </c>
      <c r="N18" s="446">
        <f t="shared" si="14"/>
      </c>
      <c r="O18" s="446">
        <f t="shared" si="14"/>
      </c>
      <c r="P18" s="441">
        <f>P17/P$7</f>
      </c>
      <c r="Q18" s="446">
        <f t="shared" si="14"/>
      </c>
      <c r="R18" s="446">
        <f t="shared" si="14"/>
      </c>
      <c r="S18" s="446">
        <f t="shared" si="14"/>
      </c>
      <c r="T18" s="446">
        <f t="shared" si="14"/>
      </c>
      <c r="U18" s="441">
        <f>U17/U$7</f>
      </c>
      <c r="V18" s="446">
        <f t="shared" si="14"/>
      </c>
      <c r="W18" s="446">
        <f t="shared" si="14"/>
      </c>
      <c r="X18" s="446">
        <f t="shared" si="14"/>
      </c>
      <c r="Y18" s="446">
        <f t="shared" si="14"/>
      </c>
      <c r="Z18" s="441">
        <f>Z17/Z$7</f>
      </c>
      <c r="AA18" s="446">
        <f t="shared" si="14"/>
      </c>
      <c r="AB18" s="446">
        <f t="shared" si="14"/>
      </c>
      <c r="AC18" s="446">
        <f t="shared" si="14"/>
      </c>
      <c r="AD18" s="446">
        <f t="shared" si="14"/>
      </c>
      <c r="AE18" s="441">
        <f>AE17/AE$7</f>
      </c>
      <c r="AF18" s="446">
        <f t="shared" si="14"/>
      </c>
      <c r="AG18" s="446">
        <f t="shared" si="14"/>
      </c>
      <c r="AH18" s="446">
        <f t="shared" si="14"/>
      </c>
      <c r="AI18" s="446">
        <f t="shared" si="14"/>
      </c>
      <c r="AJ18" s="441">
        <f>AJ17/AJ$7</f>
      </c>
      <c r="AK18" s="446">
        <f t="shared" si="14"/>
      </c>
      <c r="AL18" s="446">
        <f t="shared" si="14"/>
      </c>
      <c r="AM18" s="446">
        <f t="shared" si="14"/>
      </c>
      <c r="AN18" s="446">
        <f t="shared" si="14"/>
      </c>
      <c r="AO18" s="441">
        <f>AO17/AO$7</f>
      </c>
      <c r="AP18" s="446">
        <f t="shared" si="14"/>
      </c>
      <c r="AQ18" s="446">
        <f t="shared" si="14"/>
      </c>
      <c r="AR18" s="446">
        <f t="shared" si="14"/>
      </c>
      <c r="AS18" s="446">
        <f t="shared" si="14"/>
      </c>
      <c r="AT18" s="441">
        <f>AT17/AT$7</f>
      </c>
      <c r="AU18" s="446">
        <f t="shared" si="14"/>
      </c>
      <c r="AV18" s="446">
        <f t="shared" si="14"/>
      </c>
      <c r="AW18" s="446">
        <f t="shared" si="14"/>
      </c>
      <c r="AX18" s="446">
        <f t="shared" si="14"/>
      </c>
      <c r="AY18" s="441">
        <f>AY17/AY$7</f>
      </c>
      <c r="AZ18" s="446">
        <f t="shared" si="14"/>
      </c>
      <c r="BA18" s="446">
        <f t="shared" si="14"/>
      </c>
      <c r="BB18" s="446">
        <f t="shared" si="14"/>
      </c>
      <c r="BC18" s="446">
        <f t="shared" si="14"/>
      </c>
      <c r="BD18" s="441">
        <f>BD17/BD$7</f>
      </c>
      <c r="BE18" s="446">
        <f t="shared" si="14"/>
      </c>
      <c r="BF18" s="446">
        <f t="shared" si="14"/>
      </c>
      <c r="BG18" s="446">
        <f t="shared" si="14"/>
      </c>
      <c r="BH18" s="446">
        <f t="shared" si="14"/>
      </c>
      <c r="BI18" s="441">
        <f>BI17/BI$7</f>
      </c>
      <c r="BJ18" s="446">
        <f t="shared" si="14"/>
      </c>
      <c r="BK18" s="446">
        <f t="shared" si="14"/>
      </c>
      <c r="BL18" s="446">
        <f t="shared" si="14"/>
      </c>
      <c r="BM18" s="446">
        <f t="shared" si="14"/>
      </c>
      <c r="BN18" s="441">
        <f>BN17/BN$7</f>
      </c>
      <c r="BO18" s="446">
        <f t="shared" ref="BO18:BR18" si="15">BO17/BO7</f>
      </c>
      <c r="BP18" s="446">
        <f t="shared" si="15"/>
      </c>
      <c r="BQ18" s="446">
        <f t="shared" si="15"/>
      </c>
      <c r="BR18" s="446">
        <f t="shared" si="15"/>
      </c>
      <c r="BS18" s="441">
        <f>BS17/BS$7</f>
      </c>
      <c r="BT18" s="446">
        <f t="shared" ref="BT18:CG18" si="16">BT17/BT7</f>
      </c>
      <c r="BU18" s="446">
        <f t="shared" si="16"/>
      </c>
      <c r="BV18" s="446">
        <f t="shared" si="16"/>
      </c>
      <c r="BW18" s="446">
        <f t="shared" si="16"/>
      </c>
      <c r="BX18" s="441">
        <f>BX17/BX$7</f>
      </c>
      <c r="BY18" s="446">
        <f t="shared" si="16"/>
      </c>
      <c r="BZ18" s="446">
        <f t="shared" si="16"/>
      </c>
      <c r="CA18" s="446">
        <f t="shared" si="16"/>
      </c>
      <c r="CB18" s="446">
        <f t="shared" si="16"/>
      </c>
      <c r="CC18" s="441">
        <f>CC17/CC$7</f>
      </c>
      <c r="CD18" s="446">
        <f t="shared" si="16"/>
      </c>
      <c r="CE18" s="446">
        <f t="shared" si="16"/>
      </c>
      <c r="CF18" s="446">
        <f t="shared" si="16"/>
      </c>
      <c r="CG18" s="446">
        <f t="shared" si="16"/>
      </c>
      <c r="CH18" s="441">
        <f>CH17/CH$7</f>
      </c>
      <c r="CI18" s="446">
        <f>CI17/CI7</f>
      </c>
      <c r="CJ18" s="446">
        <f>CJ17/CJ7</f>
      </c>
      <c r="CK18" s="446">
        <f>CK17/CK7</f>
      </c>
      <c r="CL18" s="446">
        <f>CL17/CL7</f>
      </c>
      <c r="CM18" s="441">
        <f>CM17/CM$7</f>
      </c>
      <c r="CN18" s="446">
        <f>CN17/CN7</f>
      </c>
      <c r="CO18" s="446">
        <f>CO17/CO7</f>
      </c>
      <c r="CP18" s="446">
        <f>CP17/CP7</f>
      </c>
      <c r="CQ18" s="446">
        <f>CQ17/CQ7</f>
      </c>
      <c r="CR18" s="441">
        <f>CR17/CR$7</f>
      </c>
      <c r="CS18" s="446">
        <f>CS17/CS7</f>
      </c>
      <c r="CT18" s="446">
        <f>CT17/CT7</f>
      </c>
      <c r="CU18" s="446">
        <f>CU17/CU7</f>
      </c>
      <c r="CV18" s="446">
        <f>CV17/CV7</f>
      </c>
      <c r="CW18" s="441">
        <f>CW17/CW$7</f>
      </c>
      <c r="CX18" s="446">
        <f>CX17/CX7</f>
      </c>
      <c r="CY18" s="446">
        <f>CY17/CY7</f>
      </c>
      <c r="CZ18" s="446">
        <f>CZ17/CZ7</f>
      </c>
      <c r="DA18" s="446">
        <f>DA17/DA7</f>
      </c>
      <c r="DB18" s="441">
        <f>DB17/DB$7</f>
      </c>
      <c r="DC18" s="446">
        <f>DC17/DC7</f>
      </c>
      <c r="DD18" s="446">
        <f>DD17/DD7</f>
      </c>
      <c r="DE18" s="446">
        <f>DE17/DE7</f>
      </c>
      <c r="DF18" s="446">
        <f>DF17/DF7</f>
      </c>
      <c r="DG18" s="441">
        <f>DG17/DG$7</f>
      </c>
      <c r="DH18" s="446">
        <f>DH17/DH7</f>
      </c>
      <c r="DI18" s="446">
        <f>DI17/DI7</f>
      </c>
      <c r="DJ18" s="446">
        <f>DJ17/DJ7</f>
      </c>
      <c r="DK18" s="446">
        <f>DK17/DK7</f>
      </c>
      <c r="DL18" s="441">
        <f>DL17/DL$7</f>
      </c>
      <c r="DM18" s="446">
        <f>DM17/DM7</f>
      </c>
      <c r="DN18" s="446">
        <f>DN17/DN7</f>
      </c>
      <c r="DO18" s="446">
        <f>DO17/DO7</f>
      </c>
      <c r="DP18" s="446">
        <f>DP17/DP7</f>
      </c>
      <c r="DQ18" s="441">
        <f>DQ17/DQ$7</f>
      </c>
      <c r="DR18" s="446">
        <f>DR17/DR7</f>
      </c>
      <c r="DS18" s="446">
        <f>DS17/DS7</f>
      </c>
      <c r="DT18" s="446">
        <f>DT17/DT7</f>
      </c>
      <c r="DU18" s="446">
        <f>DU17/DU7</f>
      </c>
      <c r="DV18" s="441">
        <f>DV17/DV$7</f>
      </c>
      <c r="DW18" s="446">
        <f>DW17/DW7</f>
      </c>
      <c r="DX18" s="446">
        <f>DX17/DX7</f>
      </c>
      <c r="DY18" s="446">
        <f>DY17/DY7</f>
      </c>
      <c r="DZ18" s="446">
        <f>DZ17/DZ7</f>
      </c>
      <c r="EA18" s="441">
        <f>EA17/EA$7</f>
      </c>
      <c r="EB18" s="446">
        <f>EB17/EB7</f>
      </c>
      <c r="EC18" s="446">
        <f>EC17/EC7</f>
      </c>
      <c r="ED18" s="446">
        <f>ED17/ED7</f>
      </c>
      <c r="EE18" s="446">
        <f>EE17/EE7</f>
      </c>
      <c r="EF18" s="441">
        <f>EF17/EF$7</f>
      </c>
      <c r="EG18" s="446">
        <f>EG17/EG7</f>
      </c>
      <c r="EH18" s="446">
        <f>EH17/EH7</f>
      </c>
      <c r="EI18" s="446">
        <f>EI17/EI7</f>
      </c>
      <c r="EJ18" s="446">
        <f>EJ17/EJ7</f>
      </c>
      <c r="EK18" s="441">
        <f>EK17/EK$7</f>
      </c>
      <c r="EL18" s="446">
        <f>EL17/EL7</f>
      </c>
      <c r="EM18" s="446">
        <f>EM17/EM7</f>
      </c>
      <c r="EN18" s="446">
        <f>EN17/EN7</f>
      </c>
      <c r="EO18" s="446">
        <f>EO17/EO7</f>
      </c>
      <c r="EP18" s="441">
        <f>EP17/EP$7</f>
      </c>
      <c r="EQ18" s="446">
        <f>EQ17/EQ7</f>
      </c>
      <c r="ER18" s="446">
        <f>ER17/ER7</f>
      </c>
      <c r="ES18" s="446">
        <f>ES17/ES7</f>
      </c>
      <c r="ET18" s="446">
        <f>ET17/ET7</f>
      </c>
      <c r="EU18" s="441">
        <f>EU17/EU$7</f>
      </c>
      <c r="EV18" s="446">
        <f>EV17/EV7</f>
      </c>
      <c r="EW18" s="446">
        <f>EW17/EW7</f>
      </c>
      <c r="EX18" s="446">
        <f>EX17/EX7</f>
      </c>
      <c r="EY18" s="446">
        <f>EY17/EY7</f>
      </c>
      <c r="EZ18" s="441">
        <f>EZ17/EZ$7</f>
      </c>
      <c r="FA18" s="441"/>
      <c r="FB18" s="37"/>
      <c r="FC18" s="37"/>
      <c r="FD18" s="37"/>
      <c r="FE18" s="37"/>
      <c r="FF18" s="37"/>
      <c r="FG18" s="37"/>
      <c r="FH18" s="37"/>
      <c r="FI18" s="37"/>
      <c r="FJ18" s="37"/>
      <c r="FK18" s="37"/>
      <c r="FL18" s="37"/>
      <c r="FM18" s="37"/>
      <c r="FN18" s="37"/>
    </row>
    <row r="19" spans="1:170">
      <c r="A19" s="106" t="s">
        <v>208</v>
      </c>
      <c r="B19" s="442">
        <v>0.61599999999999999</v>
      </c>
      <c r="C19" s="442">
        <v>0.51200000000000001</v>
      </c>
      <c r="D19" s="442">
        <v>2.39</v>
      </c>
      <c r="E19" s="442">
        <v>3.585</v>
      </c>
      <c r="F19" s="443">
        <f>SUM(B19:E19)</f>
      </c>
      <c r="G19" s="442">
        <v>4.6420000000000003</v>
      </c>
      <c r="H19" s="442">
        <v>5.7240000000000002</v>
      </c>
      <c r="I19" s="442">
        <v>6.29</v>
      </c>
      <c r="J19" s="442">
        <v>8.4170000000000016</v>
      </c>
      <c r="K19" s="443">
        <f>SUM(G19:J19)</f>
      </c>
      <c r="L19" s="442">
        <v>8.7850000000000001</v>
      </c>
      <c r="M19" s="442">
        <v>10.813000000000001</v>
      </c>
      <c r="N19" s="442">
        <v>12.42</v>
      </c>
      <c r="O19" s="442">
        <v>15.420999999999999</v>
      </c>
      <c r="P19" s="443">
        <f>SUM(L19:O19)</f>
      </c>
      <c r="Q19" s="442">
        <v>17.829999999999998</v>
      </c>
      <c r="R19" s="442">
        <v>20.140999999999998</v>
      </c>
      <c r="S19" s="442">
        <v>22.023</v>
      </c>
      <c r="T19" s="442">
        <v>26.442000000000007</v>
      </c>
      <c r="U19" s="443">
        <f>SUM(Q19:T19)</f>
      </c>
      <c r="V19" s="442">
        <v>32.593000000000004</v>
      </c>
      <c r="W19" s="442">
        <v>33.893999999999998</v>
      </c>
      <c r="X19" s="442">
        <v>44.308</v>
      </c>
      <c r="Y19" s="442">
        <v>43.125</v>
      </c>
      <c r="Z19" s="443">
        <f>SUM(V19:Y19)</f>
      </c>
      <c r="AA19" s="442">
        <v>52.491999999999997</v>
      </c>
      <c r="AB19" s="442">
        <v>57.228999999999999</v>
      </c>
      <c r="AC19" s="442">
        <v>57.779000000000003</v>
      </c>
      <c r="AD19" s="442">
        <v>57.372999999999998</v>
      </c>
      <c r="AE19" s="443">
        <f>SUM(AA19:AD19)</f>
      </c>
      <c r="AF19" s="442">
        <v>59.31</v>
      </c>
      <c r="AG19" s="442">
        <v>65.62</v>
      </c>
      <c r="AH19" s="442">
        <v>73.052000000000007</v>
      </c>
      <c r="AI19" s="442">
        <v>71.989999999999995</v>
      </c>
      <c r="AJ19" s="443">
        <f>SUM(AF19:AI19)</f>
      </c>
      <c r="AK19" s="442">
        <v>77.75</v>
      </c>
      <c r="AL19" s="442">
        <v>85.42</v>
      </c>
      <c r="AM19" s="442">
        <v>87.88</v>
      </c>
      <c r="AN19" s="442">
        <v>84.054000000000002</v>
      </c>
      <c r="AO19" s="443">
        <f>SUM(AK19:AN19)</f>
      </c>
      <c r="AP19" s="442">
        <v>85.912999999999997</v>
      </c>
      <c r="AQ19" s="442">
        <v>85.813999999999993</v>
      </c>
      <c r="AR19" s="442">
        <v>87.936999999999998</v>
      </c>
      <c r="AS19" s="442">
        <v>92.435000000000002</v>
      </c>
      <c r="AT19" s="443">
        <f>SUM(AP19:AS19)</f>
      </c>
      <c r="AU19" s="442">
        <v>123.202</v>
      </c>
      <c r="AV19" s="442">
        <v>127.25700000000001</v>
      </c>
      <c r="AW19" s="442">
        <v>140.732</v>
      </c>
      <c r="AX19" s="442">
        <f>162.276-13.4</f>
      </c>
      <c r="AY19" s="443">
        <f>SUM(AU19:AX19)</f>
      </c>
      <c r="AZ19" s="442">
        <v>158.321</v>
      </c>
      <c r="BA19" s="442">
        <v>157.952</v>
      </c>
      <c r="BB19" s="442">
        <v>179.529</v>
      </c>
      <c r="BC19" s="442">
        <f>195.835-4</f>
      </c>
      <c r="BD19" s="443">
        <f>SUM(AZ19:BC19)</f>
      </c>
      <c r="BE19" s="442">
        <v>218.83</v>
      </c>
      <c r="BF19" s="442">
        <v>212.91</v>
      </c>
      <c r="BG19" s="442">
        <v>212.36</v>
      </c>
      <c r="BH19" s="442">
        <v>211.779</v>
      </c>
      <c r="BI19" s="443">
        <f>SUM(BE19:BH19)</f>
      </c>
      <c r="BJ19" s="442">
        <v>211.34100000000001</v>
      </c>
      <c r="BK19" s="442">
        <v>192.85499999999999</v>
      </c>
      <c r="BL19" s="442">
        <v>197.94800000000001</v>
      </c>
      <c r="BM19" s="442">
        <v>216.251</v>
      </c>
      <c r="BN19" s="443">
        <f>SUM(BJ19:BM19)</f>
      </c>
      <c r="BO19" s="442">
        <v>218.10499999999999</v>
      </c>
      <c r="BP19" s="442">
        <v>210.63499999999999</v>
      </c>
      <c r="BQ19" s="442">
        <v>204.52699999999999</v>
      </c>
      <c r="BR19" s="442">
        <v>215.56299999999999</v>
      </c>
      <c r="BS19" s="443">
        <f>SUM(BO19:BR19)</f>
      </c>
      <c r="BT19" s="442">
        <v>231.524</v>
      </c>
      <c r="BU19" s="442">
        <v>247.721</v>
      </c>
      <c r="BV19" s="442">
        <v>256.49799999999999</v>
      </c>
      <c r="BW19" s="442">
        <v>266.86200000000002</v>
      </c>
      <c r="BX19" s="443">
        <f>SUM(BT19:BW19)</f>
      </c>
      <c r="BY19" s="442">
        <v>283.90199999999999</v>
      </c>
      <c r="BZ19" s="442">
        <v>281.19299999999998</v>
      </c>
      <c r="CA19" s="442">
        <v>284.18</v>
      </c>
      <c r="CB19" s="442">
        <f>298.007</f>
      </c>
      <c r="CC19" s="443">
        <f>SUM(BY19:CB19)</f>
      </c>
      <c r="CD19" s="442">
        <f>327.161</f>
      </c>
      <c r="CE19" s="442">
        <v>331.738</v>
      </c>
      <c r="CF19" s="442">
        <v>340.29399999999998</v>
      </c>
      <c r="CG19" s="442">
        <f>336.641</f>
      </c>
      <c r="CH19" s="443">
        <f>SUM(CD19:CG19)</f>
      </c>
      <c r="CI19" s="442">
        <v>334.26299999999998</v>
      </c>
      <c r="CJ19" s="442">
        <v>337.12400000000002</v>
      </c>
      <c r="CK19" s="442">
        <v>340.08499999999998</v>
      </c>
      <c r="CL19" s="442">
        <f>348.253-9.169/2</f>
      </c>
      <c r="CM19" s="443">
        <f>SUM(CI19:CL19)</f>
      </c>
      <c r="CN19" s="442">
        <f>339-4.5</f>
      </c>
      <c r="CO19" s="442">
        <f>320</f>
      </c>
      <c r="CP19" s="442">
        <f>329</f>
      </c>
      <c r="CQ19" s="442">
        <f>344</f>
      </c>
      <c r="CR19" s="443">
        <f>SUM(CN19:CQ19)</f>
      </c>
      <c r="CS19" s="442">
        <f>346</f>
      </c>
      <c r="CT19" s="442">
        <v>350</v>
      </c>
      <c r="CU19" s="442">
        <f>373</f>
      </c>
      <c r="CV19" s="442">
        <f>394</f>
      </c>
      <c r="CW19" s="443">
        <f>SUM(CS19:CV19)</f>
      </c>
      <c r="CX19" s="442">
        <f>411</f>
      </c>
      <c r="CY19" s="442">
        <v>416</v>
      </c>
      <c r="CZ19" s="442">
        <v>462</v>
      </c>
      <c r="DA19" s="442">
        <v>508</v>
      </c>
      <c r="DB19" s="443">
        <f>SUM(CX19:DA19)</f>
      </c>
      <c r="DC19" s="442">
        <v>542</v>
      </c>
      <c r="DD19" s="442">
        <v>581</v>
      </c>
      <c r="DE19" s="442">
        <v>605</v>
      </c>
      <c r="DF19" s="442">
        <v>647</v>
      </c>
      <c r="DG19" s="443">
        <f>SUM(DC19:DF19)</f>
      </c>
      <c r="DH19" s="442">
        <v>674</v>
      </c>
      <c r="DI19" s="442">
        <v>704</v>
      </c>
      <c r="DJ19" s="442">
        <v>712</v>
      </c>
      <c r="DK19" s="442">
        <v>738</v>
      </c>
      <c r="DL19" s="443">
        <f>SUM(DH19:DK19)</f>
      </c>
      <c r="DM19" s="442">
        <v>735</v>
      </c>
      <c r="DN19" s="442">
        <v>997</v>
      </c>
      <c r="DO19" s="442">
        <v>1047</v>
      </c>
      <c r="DP19" s="442">
        <f>1147</f>
      </c>
      <c r="DQ19" s="443">
        <f>SUM(DM19:DP19)</f>
      </c>
      <c r="DR19" s="442">
        <v>1153</v>
      </c>
      <c r="DS19" s="442">
        <f>1245</f>
      </c>
      <c r="DT19" s="442">
        <v>1403</v>
      </c>
      <c r="DU19" s="442">
        <f>1466</f>
      </c>
      <c r="DV19" s="443">
        <f>SUM(DR19:DU19)</f>
      </c>
      <c r="DW19" s="442">
        <v>1618</v>
      </c>
      <c r="DX19" s="442">
        <v>1824</v>
      </c>
      <c r="DY19" s="442">
        <v>1945</v>
      </c>
      <c r="DZ19" s="442">
        <v>1951</v>
      </c>
      <c r="EA19" s="443">
        <f>SUM(DW19:DZ19)</f>
      </c>
      <c r="EB19" s="442">
        <v>1875</v>
      </c>
      <c r="EC19" s="442">
        <v>2040</v>
      </c>
      <c r="ED19" s="442">
        <v>2294</v>
      </c>
      <c r="EE19" s="442">
        <v>2465</v>
      </c>
      <c r="EF19" s="443">
        <f>SUM(EB19:EE19)</f>
      </c>
      <c r="EG19" s="442">
        <v>2720</v>
      </c>
      <c r="EH19" s="442">
        <v>3090</v>
      </c>
      <c r="EI19" s="442">
        <v>3390</v>
      </c>
      <c r="EJ19" s="442">
        <v>3714</v>
      </c>
      <c r="EK19" s="443">
        <f>SUM(EG19:EJ19)</f>
      </c>
      <c r="EL19" s="442">
        <v>3989</v>
      </c>
      <c r="EM19" s="442">
        <v>4291</v>
      </c>
      <c r="EN19" s="444">
        <f>Worksheet!CV30</f>
      </c>
      <c r="EO19" s="444">
        <f>Worksheet!CW30</f>
      </c>
      <c r="EP19" s="443">
        <f>SUM(EL19:EO19)</f>
      </c>
      <c r="EQ19" s="444">
        <f>Worksheet!CX30</f>
      </c>
      <c r="ER19" s="444">
        <f>Worksheet!CY30</f>
      </c>
      <c r="ES19" s="444">
        <f>Worksheet!CZ30</f>
      </c>
      <c r="ET19" s="444">
        <f>Worksheet!DA30</f>
      </c>
      <c r="EU19" s="443">
        <f>SUM(EQ19:ET19)</f>
      </c>
      <c r="EV19" s="444">
        <f>Worksheet!DB30</f>
      </c>
      <c r="EW19" s="444">
        <f>Worksheet!DC30</f>
      </c>
      <c r="EX19" s="444">
        <f>Worksheet!DD30</f>
      </c>
      <c r="EY19" s="444">
        <f>Worksheet!DE30</f>
      </c>
      <c r="EZ19" s="443">
        <f>SUM(EV19:EY19)</f>
      </c>
      <c r="FA19" s="443"/>
      <c r="FB19" s="37"/>
      <c r="FC19" s="37"/>
      <c r="FD19" s="37"/>
      <c r="FE19" s="37"/>
      <c r="FF19" s="37"/>
      <c r="FG19" s="37"/>
      <c r="FH19" s="37"/>
      <c r="FI19" s="37"/>
      <c r="FJ19" s="37"/>
      <c r="FK19" s="37"/>
      <c r="FL19" s="37"/>
      <c r="FM19" s="37"/>
      <c r="FN19" s="37"/>
    </row>
    <row r="20" spans="1:170">
      <c r="A20" s="450" t="s">
        <v>293</v>
      </c>
      <c r="B20" s="446">
        <f t="shared" ref="B20:BM20" si="17">B19/B7</f>
      </c>
      <c r="C20" s="446">
        <f t="shared" si="17"/>
      </c>
      <c r="D20" s="446">
        <f t="shared" si="17"/>
      </c>
      <c r="E20" s="446">
        <f t="shared" si="17"/>
      </c>
      <c r="F20" s="441">
        <f>F19/F$7</f>
      </c>
      <c r="G20" s="446">
        <f t="shared" si="17"/>
      </c>
      <c r="H20" s="446">
        <f t="shared" si="17"/>
      </c>
      <c r="I20" s="446">
        <f t="shared" si="17"/>
      </c>
      <c r="J20" s="446">
        <f t="shared" si="17"/>
      </c>
      <c r="K20" s="441">
        <f>K19/K$7</f>
      </c>
      <c r="L20" s="446">
        <f t="shared" si="17"/>
      </c>
      <c r="M20" s="446">
        <f t="shared" si="17"/>
      </c>
      <c r="N20" s="446">
        <f t="shared" si="17"/>
      </c>
      <c r="O20" s="446">
        <f t="shared" si="17"/>
      </c>
      <c r="P20" s="441">
        <f>P19/P$7</f>
      </c>
      <c r="Q20" s="446">
        <f t="shared" si="17"/>
      </c>
      <c r="R20" s="446">
        <f t="shared" si="17"/>
      </c>
      <c r="S20" s="446">
        <f t="shared" si="17"/>
      </c>
      <c r="T20" s="446">
        <f t="shared" si="17"/>
      </c>
      <c r="U20" s="441">
        <f>U19/U$7</f>
      </c>
      <c r="V20" s="446">
        <f t="shared" si="17"/>
      </c>
      <c r="W20" s="446">
        <f t="shared" si="17"/>
      </c>
      <c r="X20" s="446">
        <f t="shared" si="17"/>
      </c>
      <c r="Y20" s="446">
        <f t="shared" si="17"/>
      </c>
      <c r="Z20" s="441">
        <f>Z19/Z$7</f>
      </c>
      <c r="AA20" s="446">
        <f t="shared" si="17"/>
      </c>
      <c r="AB20" s="446">
        <f t="shared" si="17"/>
      </c>
      <c r="AC20" s="446">
        <f t="shared" si="17"/>
      </c>
      <c r="AD20" s="446">
        <f t="shared" si="17"/>
      </c>
      <c r="AE20" s="441">
        <f>AE19/AE$7</f>
      </c>
      <c r="AF20" s="446">
        <f t="shared" si="17"/>
      </c>
      <c r="AG20" s="446">
        <f t="shared" si="17"/>
      </c>
      <c r="AH20" s="446">
        <f t="shared" si="17"/>
      </c>
      <c r="AI20" s="446">
        <f t="shared" si="17"/>
      </c>
      <c r="AJ20" s="441">
        <f>AJ19/AJ$7</f>
      </c>
      <c r="AK20" s="446">
        <f t="shared" si="17"/>
      </c>
      <c r="AL20" s="446">
        <f t="shared" si="17"/>
      </c>
      <c r="AM20" s="446">
        <f t="shared" si="17"/>
      </c>
      <c r="AN20" s="446">
        <f t="shared" si="17"/>
      </c>
      <c r="AO20" s="441">
        <f>AO19/AO$7</f>
      </c>
      <c r="AP20" s="446">
        <f t="shared" si="17"/>
      </c>
      <c r="AQ20" s="446">
        <f t="shared" si="17"/>
      </c>
      <c r="AR20" s="446">
        <f t="shared" si="17"/>
      </c>
      <c r="AS20" s="446">
        <f t="shared" si="17"/>
      </c>
      <c r="AT20" s="441">
        <f>AT19/AT$7</f>
      </c>
      <c r="AU20" s="446">
        <f t="shared" si="17"/>
      </c>
      <c r="AV20" s="446">
        <f t="shared" si="17"/>
      </c>
      <c r="AW20" s="446">
        <f t="shared" si="17"/>
      </c>
      <c r="AX20" s="446">
        <f t="shared" si="17"/>
      </c>
      <c r="AY20" s="441">
        <f>AY19/AY$7</f>
      </c>
      <c r="AZ20" s="446">
        <f t="shared" si="17"/>
      </c>
      <c r="BA20" s="446">
        <f t="shared" si="17"/>
      </c>
      <c r="BB20" s="446">
        <f t="shared" si="17"/>
      </c>
      <c r="BC20" s="446">
        <f t="shared" si="17"/>
      </c>
      <c r="BD20" s="441">
        <f>BD19/BD$7</f>
      </c>
      <c r="BE20" s="446">
        <f t="shared" si="17"/>
      </c>
      <c r="BF20" s="446">
        <f t="shared" si="17"/>
      </c>
      <c r="BG20" s="446">
        <f t="shared" si="17"/>
      </c>
      <c r="BH20" s="446">
        <f t="shared" si="17"/>
      </c>
      <c r="BI20" s="441">
        <f>BI19/BI$7</f>
      </c>
      <c r="BJ20" s="446">
        <f t="shared" si="17"/>
      </c>
      <c r="BK20" s="446">
        <f t="shared" si="17"/>
      </c>
      <c r="BL20" s="446">
        <f t="shared" si="17"/>
      </c>
      <c r="BM20" s="446">
        <f t="shared" si="17"/>
      </c>
      <c r="BN20" s="441">
        <f>BN19/BN$7</f>
      </c>
      <c r="BO20" s="446">
        <f t="shared" ref="BO20:BR20" si="18">BO19/BO7</f>
      </c>
      <c r="BP20" s="446">
        <f t="shared" si="18"/>
      </c>
      <c r="BQ20" s="446">
        <f t="shared" si="18"/>
      </c>
      <c r="BR20" s="446">
        <f t="shared" si="18"/>
      </c>
      <c r="BS20" s="441">
        <f>BS19/BS$7</f>
      </c>
      <c r="BT20" s="446">
        <f t="shared" ref="BT20:CB20" si="19">BT19/BT7</f>
      </c>
      <c r="BU20" s="446">
        <f t="shared" si="19"/>
      </c>
      <c r="BV20" s="446">
        <f t="shared" si="19"/>
      </c>
      <c r="BW20" s="446">
        <f t="shared" si="19"/>
      </c>
      <c r="BX20" s="441">
        <f>BX19/BX$7</f>
      </c>
      <c r="BY20" s="446">
        <f t="shared" si="19"/>
      </c>
      <c r="BZ20" s="446">
        <f t="shared" si="19"/>
      </c>
      <c r="CA20" s="446">
        <f t="shared" si="19"/>
      </c>
      <c r="CB20" s="446">
        <f t="shared" si="19"/>
      </c>
      <c r="CC20" s="441">
        <f>CC19/CC$7</f>
      </c>
      <c r="CD20" s="446">
        <f t="shared" ref="CD20:CI20" si="20">CD19/CD7</f>
      </c>
      <c r="CE20" s="446">
        <f t="shared" si="20"/>
      </c>
      <c r="CF20" s="446">
        <f t="shared" si="20"/>
      </c>
      <c r="CG20" s="446">
        <f t="shared" si="20"/>
      </c>
      <c r="CH20" s="441">
        <f>CH19/CH$7</f>
      </c>
      <c r="CI20" s="446">
        <f t="shared" si="20"/>
      </c>
      <c r="CJ20" s="446">
        <f>CJ19/CJ7</f>
      </c>
      <c r="CK20" s="446">
        <f>CK19/CK7</f>
      </c>
      <c r="CL20" s="446">
        <f>CL19/CL7</f>
      </c>
      <c r="CM20" s="441">
        <f>CM19/CM$7</f>
      </c>
      <c r="CN20" s="446">
        <f>CN19/CN7</f>
      </c>
      <c r="CO20" s="446">
        <f>CO19/CO7</f>
      </c>
      <c r="CP20" s="446">
        <f>CP19/CP7</f>
      </c>
      <c r="CQ20" s="446">
        <f>CQ19/CQ7</f>
      </c>
      <c r="CR20" s="441">
        <f>CR19/CR$7</f>
      </c>
      <c r="CS20" s="446">
        <f>CS19/CS7</f>
      </c>
      <c r="CT20" s="446">
        <f>CT19/CT7</f>
      </c>
      <c r="CU20" s="446">
        <f>CU19/CU7</f>
      </c>
      <c r="CV20" s="446">
        <f>CV19/CV7</f>
      </c>
      <c r="CW20" s="441">
        <f>CW19/CW$7</f>
      </c>
      <c r="CX20" s="446">
        <f>CX19/CX7</f>
      </c>
      <c r="CY20" s="446">
        <f>CY19/CY7</f>
      </c>
      <c r="CZ20" s="446">
        <f>CZ19/CZ7</f>
      </c>
      <c r="DA20" s="446">
        <f>DA19/DA7</f>
      </c>
      <c r="DB20" s="441">
        <f>DB19/DB$7</f>
      </c>
      <c r="DC20" s="446">
        <f>DC19/DC7</f>
      </c>
      <c r="DD20" s="446">
        <f>DD19/DD7</f>
      </c>
      <c r="DE20" s="446">
        <f>DE19/DE7</f>
      </c>
      <c r="DF20" s="446">
        <f>DF19/DF7</f>
      </c>
      <c r="DG20" s="441">
        <f>DG19/DG$7</f>
      </c>
      <c r="DH20" s="446">
        <f>DH19/DH7</f>
      </c>
      <c r="DI20" s="446">
        <f>DI19/DI7</f>
      </c>
      <c r="DJ20" s="446">
        <f>DJ19/DJ7</f>
      </c>
      <c r="DK20" s="446">
        <f>DK19/DK7</f>
      </c>
      <c r="DL20" s="441">
        <f>DL19/DL$7</f>
      </c>
      <c r="DM20" s="446">
        <f>DM19/DM7</f>
      </c>
      <c r="DN20" s="446">
        <f>DN19/DN7</f>
      </c>
      <c r="DO20" s="446">
        <f>DO19/DO7</f>
      </c>
      <c r="DP20" s="446">
        <f>DP19/DP7</f>
      </c>
      <c r="DQ20" s="441">
        <f>DQ19/DQ$7</f>
      </c>
      <c r="DR20" s="446">
        <f>DR19/DR7</f>
      </c>
      <c r="DS20" s="446">
        <f>DS19/DS7</f>
      </c>
      <c r="DT20" s="446">
        <f>DT19/DT7</f>
      </c>
      <c r="DU20" s="446">
        <f>DU19/DU7</f>
      </c>
      <c r="DV20" s="441">
        <f>DV19/DV$7</f>
      </c>
      <c r="DW20" s="446">
        <f>DW19/DW7</f>
      </c>
      <c r="DX20" s="446">
        <f>DX19/DX7</f>
      </c>
      <c r="DY20" s="446">
        <f>DY19/DY7</f>
      </c>
      <c r="DZ20" s="446">
        <f>DZ19/DZ7</f>
      </c>
      <c r="EA20" s="441">
        <f>EA19/EA$7</f>
      </c>
      <c r="EB20" s="446">
        <f>EB19/EB7</f>
      </c>
      <c r="EC20" s="446">
        <f>EC19/EC7</f>
      </c>
      <c r="ED20" s="446">
        <f>ED19/ED7</f>
      </c>
      <c r="EE20" s="446">
        <f>EE19/EE7</f>
      </c>
      <c r="EF20" s="441">
        <f>EF19/EF$7</f>
      </c>
      <c r="EG20" s="446">
        <f>EG19/EG7</f>
      </c>
      <c r="EH20" s="446">
        <f>EH19/EH7</f>
      </c>
      <c r="EI20" s="446">
        <f>EI19/EI7</f>
      </c>
      <c r="EJ20" s="446">
        <f>EJ19/EJ7</f>
      </c>
      <c r="EK20" s="441">
        <f>EK19/EK$7</f>
      </c>
      <c r="EL20" s="446">
        <f>EL19/EL7</f>
      </c>
      <c r="EM20" s="446">
        <f>EM19/EM7</f>
      </c>
      <c r="EN20" s="446">
        <f>EN19/EN7</f>
      </c>
      <c r="EO20" s="446">
        <f>EO19/EO7</f>
      </c>
      <c r="EP20" s="441">
        <f>EP19/EP$7</f>
      </c>
      <c r="EQ20" s="446">
        <f>EQ19/EQ7</f>
      </c>
      <c r="ER20" s="446">
        <f>ER19/ER7</f>
      </c>
      <c r="ES20" s="446">
        <f>ES19/ES7</f>
      </c>
      <c r="ET20" s="446">
        <f>ET19/ET7</f>
      </c>
      <c r="EU20" s="441">
        <f>EU19/EU$7</f>
      </c>
      <c r="EV20" s="446">
        <f>EV19/EV7</f>
      </c>
      <c r="EW20" s="446">
        <f>EW19/EW7</f>
      </c>
      <c r="EX20" s="446">
        <f>EX19/EX7</f>
      </c>
      <c r="EY20" s="446">
        <f>EY19/EY7</f>
      </c>
      <c r="EZ20" s="441">
        <f>EZ19/EZ$7</f>
      </c>
      <c r="FA20" s="441"/>
      <c r="FB20" s="37"/>
      <c r="FC20" s="37"/>
      <c r="FD20" s="37"/>
      <c r="FE20" s="37"/>
      <c r="FF20" s="37"/>
      <c r="FG20" s="37"/>
      <c r="FH20" s="37"/>
      <c r="FI20" s="37"/>
      <c r="FJ20" s="37"/>
      <c r="FK20" s="37"/>
      <c r="FL20" s="37"/>
      <c r="FM20" s="37"/>
      <c r="FN20" s="37"/>
    </row>
    <row r="21" spans="1:170">
      <c r="B21" s="109"/>
      <c r="C21" s="109"/>
      <c r="D21" s="109"/>
      <c r="E21" s="109"/>
      <c r="G21" s="109"/>
      <c r="H21" s="109"/>
      <c r="I21" s="109"/>
      <c r="J21" s="109"/>
      <c r="L21" s="109"/>
      <c r="M21" s="109"/>
      <c r="N21" s="109"/>
      <c r="O21" s="109"/>
      <c r="Q21" s="109"/>
      <c r="R21" s="109"/>
      <c r="S21" s="109"/>
      <c r="T21" s="109"/>
      <c r="V21" s="109"/>
      <c r="W21" s="109"/>
      <c r="X21" s="109"/>
      <c r="Y21" s="109"/>
      <c r="AA21" s="109"/>
      <c r="AB21" s="109"/>
      <c r="AC21" s="109"/>
      <c r="AD21" s="109"/>
      <c r="AE21" s="84"/>
      <c r="AF21" s="109"/>
      <c r="AG21" s="109"/>
      <c r="AH21" s="109"/>
      <c r="AI21" s="109"/>
      <c r="AJ21" s="84"/>
      <c r="AK21" s="109"/>
      <c r="AL21" s="109"/>
      <c r="AM21" s="109"/>
      <c r="AN21" s="109"/>
      <c r="AO21" s="84"/>
      <c r="AP21" s="109"/>
      <c r="AQ21" s="109"/>
      <c r="AR21" s="109"/>
      <c r="AS21" s="109"/>
      <c r="AT21" s="84"/>
      <c r="AU21" s="109"/>
      <c r="AV21" s="109"/>
      <c r="AW21" s="109"/>
      <c r="AX21" s="109"/>
      <c r="AY21" s="84"/>
      <c r="AZ21" s="109"/>
      <c r="BA21" s="109"/>
      <c r="BB21" s="109"/>
      <c r="BC21" s="109"/>
      <c r="BD21" s="84"/>
      <c r="BE21" s="109"/>
      <c r="BF21" s="109"/>
      <c r="BG21" s="109"/>
      <c r="BH21" s="109"/>
      <c r="BI21" s="84"/>
      <c r="BJ21" s="109"/>
      <c r="BK21" s="109"/>
      <c r="BL21" s="109"/>
      <c r="BM21" s="109"/>
      <c r="BN21" s="84"/>
      <c r="BO21" s="109"/>
      <c r="BP21" s="109"/>
      <c r="BQ21" s="109"/>
      <c r="BR21" s="109"/>
      <c r="BS21" s="84"/>
      <c r="BT21" s="109"/>
      <c r="BU21" s="109"/>
      <c r="BV21" s="109"/>
      <c r="BW21" s="109"/>
      <c r="BX21" s="84"/>
      <c r="BY21" s="109"/>
      <c r="BZ21" s="109"/>
      <c r="CA21" s="109"/>
      <c r="CB21" s="109"/>
      <c r="CC21" s="84"/>
      <c r="CD21" s="109"/>
      <c r="CE21" s="109"/>
      <c r="CF21" s="109"/>
      <c r="CG21" s="109"/>
      <c r="CH21" s="84"/>
      <c r="CI21" s="109"/>
      <c r="CJ21" s="109"/>
      <c r="CK21" s="109"/>
      <c r="CL21" s="109"/>
      <c r="CM21" s="84"/>
      <c r="CN21" s="109"/>
      <c r="CO21" s="109"/>
      <c r="CP21" s="109"/>
      <c r="CQ21" s="109"/>
      <c r="CR21" s="84"/>
      <c r="CS21" s="109"/>
      <c r="CT21" s="109"/>
      <c r="CU21" s="109"/>
      <c r="CV21" s="109"/>
      <c r="CW21" s="84"/>
      <c r="CX21" s="109"/>
      <c r="CY21" s="109"/>
      <c r="CZ21" s="109"/>
      <c r="DA21" s="109"/>
      <c r="DC21" s="109"/>
      <c r="DD21" s="109"/>
      <c r="DE21" s="109"/>
      <c r="DF21" s="109"/>
      <c r="DG21" s="84"/>
      <c r="DH21" s="109"/>
      <c r="DI21" s="109"/>
      <c r="DJ21" s="109"/>
      <c r="DK21" s="109"/>
      <c r="DL21" s="84"/>
      <c r="DM21" s="109"/>
      <c r="DN21" s="109"/>
      <c r="DO21" s="109"/>
      <c r="DP21" s="109"/>
      <c r="DQ21" s="84"/>
      <c r="DR21" s="109"/>
      <c r="DS21" s="109"/>
      <c r="DT21" s="109"/>
      <c r="DU21" s="109"/>
      <c r="DV21" s="84"/>
      <c r="DW21" s="109"/>
      <c r="DX21" s="109"/>
      <c r="DY21" s="109"/>
      <c r="DZ21" s="109"/>
      <c r="EA21" s="84"/>
      <c r="EB21" s="109"/>
      <c r="EC21" s="109"/>
      <c r="ED21" s="109"/>
      <c r="EE21" s="109"/>
      <c r="EF21" s="84"/>
      <c r="EG21" s="109"/>
      <c r="EH21" s="109"/>
      <c r="EI21" s="119"/>
      <c r="EJ21" s="119"/>
      <c r="EK21" s="84"/>
      <c r="EL21" s="119"/>
      <c r="EM21" s="119"/>
      <c r="EN21" s="109"/>
      <c r="EO21" s="109"/>
      <c r="EP21" s="84"/>
      <c r="EQ21" s="109"/>
      <c r="ER21" s="109"/>
      <c r="ES21" s="109"/>
      <c r="ET21" s="109"/>
      <c r="EU21" s="84"/>
      <c r="EV21" s="109"/>
      <c r="EW21" s="109"/>
      <c r="EX21" s="109"/>
      <c r="EY21" s="109"/>
      <c r="EZ21" s="84"/>
      <c r="FA21" s="84"/>
      <c r="FB21" s="37"/>
      <c r="FC21" s="37"/>
      <c r="FD21" s="37"/>
      <c r="FE21" s="37"/>
      <c r="FF21" s="37"/>
      <c r="FG21" s="37"/>
      <c r="FH21" s="37"/>
      <c r="FI21" s="37"/>
      <c r="FJ21" s="37"/>
      <c r="FK21" s="37"/>
      <c r="FL21" s="37"/>
      <c r="FM21" s="37"/>
      <c r="FN21" s="37"/>
    </row>
    <row r="22" spans="1:170" s="105" customFormat="1">
      <c r="A22" s="83" t="s">
        <v>356</v>
      </c>
      <c r="B22" s="442">
        <f t="shared" ref="B22:BM22" si="21">B13-B17-B19</f>
      </c>
      <c r="C22" s="442">
        <f t="shared" si="21"/>
      </c>
      <c r="D22" s="442">
        <f t="shared" si="21"/>
      </c>
      <c r="E22" s="442">
        <f t="shared" si="21"/>
      </c>
      <c r="F22" s="443">
        <f>SUM(B22:E22)</f>
      </c>
      <c r="G22" s="442">
        <f t="shared" si="21"/>
      </c>
      <c r="H22" s="442">
        <f t="shared" si="21"/>
      </c>
      <c r="I22" s="442">
        <f t="shared" si="21"/>
      </c>
      <c r="J22" s="442">
        <f t="shared" si="21"/>
      </c>
      <c r="K22" s="443">
        <f>SUM(G22:J22)</f>
      </c>
      <c r="L22" s="442">
        <f t="shared" si="21"/>
      </c>
      <c r="M22" s="442">
        <f t="shared" si="21"/>
      </c>
      <c r="N22" s="442">
        <f t="shared" si="21"/>
      </c>
      <c r="O22" s="442">
        <f t="shared" si="21"/>
      </c>
      <c r="P22" s="443">
        <f>SUM(L22:O22)</f>
      </c>
      <c r="Q22" s="442">
        <f t="shared" si="21"/>
      </c>
      <c r="R22" s="442">
        <f t="shared" si="21"/>
      </c>
      <c r="S22" s="442">
        <f t="shared" si="21"/>
      </c>
      <c r="T22" s="442">
        <f t="shared" si="21"/>
      </c>
      <c r="U22" s="443">
        <f>SUM(Q22:T22)</f>
      </c>
      <c r="V22" s="442">
        <f t="shared" si="21"/>
      </c>
      <c r="W22" s="442">
        <f t="shared" si="21"/>
      </c>
      <c r="X22" s="442">
        <f t="shared" si="21"/>
      </c>
      <c r="Y22" s="442">
        <f t="shared" si="21"/>
      </c>
      <c r="Z22" s="443">
        <f>SUM(V22:Y22)</f>
      </c>
      <c r="AA22" s="442">
        <f t="shared" si="21"/>
      </c>
      <c r="AB22" s="442">
        <f t="shared" si="21"/>
      </c>
      <c r="AC22" s="442">
        <f t="shared" si="21"/>
      </c>
      <c r="AD22" s="442">
        <f t="shared" si="21"/>
      </c>
      <c r="AE22" s="443">
        <f>SUM(AA22:AD22)</f>
      </c>
      <c r="AF22" s="442">
        <f t="shared" si="21"/>
      </c>
      <c r="AG22" s="442">
        <f t="shared" si="21"/>
      </c>
      <c r="AH22" s="442">
        <f t="shared" si="21"/>
      </c>
      <c r="AI22" s="442">
        <f t="shared" si="21"/>
      </c>
      <c r="AJ22" s="443">
        <f>SUM(AF22:AI22)</f>
      </c>
      <c r="AK22" s="442">
        <f t="shared" si="21"/>
      </c>
      <c r="AL22" s="442">
        <f t="shared" si="21"/>
      </c>
      <c r="AM22" s="442">
        <f t="shared" si="21"/>
      </c>
      <c r="AN22" s="442">
        <f t="shared" si="21"/>
      </c>
      <c r="AO22" s="443">
        <f>SUM(AK22:AN22)</f>
      </c>
      <c r="AP22" s="442">
        <f t="shared" si="21"/>
      </c>
      <c r="AQ22" s="442">
        <f t="shared" si="21"/>
      </c>
      <c r="AR22" s="442">
        <f t="shared" si="21"/>
      </c>
      <c r="AS22" s="442">
        <f t="shared" si="21"/>
      </c>
      <c r="AT22" s="443">
        <f>SUM(AP22:AS22)</f>
      </c>
      <c r="AU22" s="442">
        <f t="shared" si="21"/>
      </c>
      <c r="AV22" s="442">
        <f t="shared" si="21"/>
      </c>
      <c r="AW22" s="442">
        <f t="shared" si="21"/>
      </c>
      <c r="AX22" s="442">
        <f t="shared" si="21"/>
      </c>
      <c r="AY22" s="443">
        <f>SUM(AU22:AX22)</f>
      </c>
      <c r="AZ22" s="442">
        <f t="shared" si="21"/>
      </c>
      <c r="BA22" s="442">
        <f t="shared" si="21"/>
      </c>
      <c r="BB22" s="442">
        <f t="shared" si="21"/>
      </c>
      <c r="BC22" s="442">
        <f>BC13-BC17-BC19</f>
      </c>
      <c r="BD22" s="443">
        <f>SUM(AZ22:BC22)</f>
      </c>
      <c r="BE22" s="442">
        <f t="shared" si="21"/>
      </c>
      <c r="BF22" s="442">
        <f t="shared" si="21"/>
      </c>
      <c r="BG22" s="442">
        <f t="shared" si="21"/>
      </c>
      <c r="BH22" s="442">
        <f t="shared" si="21"/>
      </c>
      <c r="BI22" s="443">
        <f>SUM(BE22:BH22)</f>
      </c>
      <c r="BJ22" s="442">
        <f t="shared" si="21"/>
      </c>
      <c r="BK22" s="442">
        <f t="shared" si="21"/>
      </c>
      <c r="BL22" s="442">
        <f t="shared" si="21"/>
      </c>
      <c r="BM22" s="442">
        <f t="shared" si="21"/>
      </c>
      <c r="BN22" s="443">
        <f>SUM(BJ22:BM22)</f>
      </c>
      <c r="BO22" s="442">
        <f t="shared" ref="BO22:BW22" si="22">BO13-BO17-BO19</f>
      </c>
      <c r="BP22" s="442">
        <f t="shared" si="22"/>
      </c>
      <c r="BQ22" s="442">
        <f t="shared" si="22"/>
      </c>
      <c r="BR22" s="442">
        <f t="shared" si="22"/>
      </c>
      <c r="BS22" s="443">
        <f>SUM(BO22:BR22)</f>
      </c>
      <c r="BT22" s="442">
        <f t="shared" si="22"/>
      </c>
      <c r="BU22" s="442">
        <f t="shared" si="22"/>
      </c>
      <c r="BV22" s="442">
        <f t="shared" si="22"/>
      </c>
      <c r="BW22" s="442">
        <f t="shared" si="22"/>
      </c>
      <c r="BX22" s="443">
        <f>SUM(BT22:BW22)</f>
      </c>
      <c r="BY22" s="442">
        <f t="shared" ref="BY22:CG22" si="23">BY13-BY17-BY19</f>
      </c>
      <c r="BZ22" s="442">
        <f t="shared" si="23"/>
      </c>
      <c r="CA22" s="442">
        <f t="shared" si="23"/>
      </c>
      <c r="CB22" s="442">
        <f t="shared" si="23"/>
      </c>
      <c r="CC22" s="443">
        <f>SUM(BY22:CB22)</f>
      </c>
      <c r="CD22" s="442">
        <f t="shared" si="23"/>
      </c>
      <c r="CE22" s="442">
        <f t="shared" si="23"/>
      </c>
      <c r="CF22" s="442">
        <f t="shared" si="23"/>
      </c>
      <c r="CG22" s="442">
        <f t="shared" si="23"/>
      </c>
      <c r="CH22" s="443">
        <f>SUM(CD22:CG22)</f>
      </c>
      <c r="CI22" s="442">
        <f>CI13-CI17-CI19</f>
      </c>
      <c r="CJ22" s="442">
        <f>CJ13-CJ17-CJ19</f>
      </c>
      <c r="CK22" s="442">
        <f>CK13-CK17-CK19</f>
      </c>
      <c r="CL22" s="442">
        <f>CL13-CL17-CL19</f>
      </c>
      <c r="CM22" s="443">
        <f>SUM(CI22:CL22)</f>
      </c>
      <c r="CN22" s="442">
        <f>CN13-CN17-CN19</f>
      </c>
      <c r="CO22" s="442">
        <f>CO13-CO17-CO19</f>
      </c>
      <c r="CP22" s="442">
        <f>CP13-CP17-CP19</f>
      </c>
      <c r="CQ22" s="442">
        <f>CQ13-CQ17-CQ19</f>
      </c>
      <c r="CR22" s="443">
        <f>SUM(CN22:CQ22)</f>
      </c>
      <c r="CS22" s="442">
        <f>CS13-CS17-CS19</f>
      </c>
      <c r="CT22" s="442">
        <f>CT13-CT17-CT19</f>
      </c>
      <c r="CU22" s="442">
        <f>CU13-CU17-CU19</f>
      </c>
      <c r="CV22" s="442">
        <f>CV13-CV17-CV19</f>
      </c>
      <c r="CW22" s="443">
        <f>SUM(CS22:CV22)</f>
      </c>
      <c r="CX22" s="442">
        <f>CX13-CX17-CX19</f>
      </c>
      <c r="CY22" s="442">
        <f>CY13-CY17-CY19</f>
      </c>
      <c r="CZ22" s="442">
        <f>CZ13-CZ17-CZ19</f>
      </c>
      <c r="DA22" s="442">
        <f>DA13-DA17-DA19</f>
      </c>
      <c r="DB22" s="443">
        <f>SUM(CX22:DA22)</f>
      </c>
      <c r="DC22" s="442">
        <f>DC13-DC17-DC19</f>
      </c>
      <c r="DD22" s="442">
        <f>DD13-DD17-DD19</f>
      </c>
      <c r="DE22" s="442">
        <f>DE13-DE17-DE19</f>
      </c>
      <c r="DF22" s="442">
        <f>DF13-DF17-DF19</f>
      </c>
      <c r="DG22" s="443">
        <f>SUM(DC22:DF22)</f>
      </c>
      <c r="DH22" s="442">
        <f>DH13-DH17-DH19</f>
      </c>
      <c r="DI22" s="442">
        <f>DI13-DI17-DI19</f>
      </c>
      <c r="DJ22" s="442">
        <f>DJ13-DJ17-DJ19</f>
      </c>
      <c r="DK22" s="442">
        <f>DK13-DK17-DK19</f>
      </c>
      <c r="DL22" s="443">
        <f>SUM(DH22:DK22)</f>
      </c>
      <c r="DM22" s="442">
        <f>DM13-DM17-DM19</f>
      </c>
      <c r="DN22" s="442">
        <f>DN13-DN17-DN19</f>
      </c>
      <c r="DO22" s="442">
        <f>DO13-DO17-DO19</f>
      </c>
      <c r="DP22" s="442">
        <f>DP13-DP17-DP19</f>
      </c>
      <c r="DQ22" s="443">
        <f>SUM(DM22:DP22)</f>
      </c>
      <c r="DR22" s="442">
        <f>DR13-DR17-DR19</f>
      </c>
      <c r="DS22" s="442">
        <f>DS13-DS17-DS19</f>
      </c>
      <c r="DT22" s="442">
        <f>DT13-DT17-DT19</f>
      </c>
      <c r="DU22" s="442">
        <f>DU13-DU17-DU19</f>
      </c>
      <c r="DV22" s="443">
        <f>SUM(DR22:DU22)</f>
      </c>
      <c r="DW22" s="442">
        <f>DW13-DW17-DW19</f>
      </c>
      <c r="DX22" s="442">
        <f>DX13-DX17-DX19</f>
      </c>
      <c r="DY22" s="442">
        <f>DY13-DY17-DY19</f>
      </c>
      <c r="DZ22" s="442">
        <f>DZ13-DZ17-DZ19</f>
      </c>
      <c r="EA22" s="443">
        <f>SUM(DW22:DZ22)</f>
      </c>
      <c r="EB22" s="442">
        <f>EB13-EB17-EB19</f>
      </c>
      <c r="EC22" s="442">
        <f>EC13-EC17-EC19</f>
      </c>
      <c r="ED22" s="442">
        <f>ED13-ED17-ED19</f>
      </c>
      <c r="EE22" s="442">
        <f>EE13-EE17-EE19</f>
      </c>
      <c r="EF22" s="443">
        <f>SUM(EB22:EE22)</f>
      </c>
      <c r="EG22" s="442">
        <f>EG13-EG17-EG19</f>
      </c>
      <c r="EH22" s="442">
        <f>EH13-EH17-EH19</f>
      </c>
      <c r="EI22" s="442">
        <f>EI13-EI17-EI19</f>
      </c>
      <c r="EJ22" s="442">
        <f>EJ13-EJ17-EJ19</f>
      </c>
      <c r="EK22" s="443">
        <f>SUM(EG22:EJ22)</f>
      </c>
      <c r="EL22" s="442">
        <f>EL13-EL17-EL19</f>
      </c>
      <c r="EM22" s="442">
        <f>EM13-EM17-EM19</f>
      </c>
      <c r="EN22" s="442">
        <f>EN13-EN17-EN19</f>
      </c>
      <c r="EO22" s="442">
        <f>EO13-EO17-EO19</f>
      </c>
      <c r="EP22" s="443">
        <f>SUM(EL22:EO22)</f>
      </c>
      <c r="EQ22" s="442">
        <f>EQ13-EQ17-EQ19</f>
      </c>
      <c r="ER22" s="442">
        <f>ER13-ER17-ER19</f>
      </c>
      <c r="ES22" s="442">
        <f>ES13-ES17-ES19</f>
      </c>
      <c r="ET22" s="442">
        <f>ET13-ET17-ET19</f>
      </c>
      <c r="EU22" s="443">
        <f>SUM(EQ22:ET22)</f>
      </c>
      <c r="EV22" s="442">
        <f>EV13-EV17-EV19</f>
      </c>
      <c r="EW22" s="442">
        <f>EW13-EW17-EW19</f>
      </c>
      <c r="EX22" s="442">
        <f>EX13-EX17-EX19</f>
      </c>
      <c r="EY22" s="442">
        <f>EY13-EY17-EY19</f>
      </c>
      <c r="EZ22" s="443">
        <f>SUM(EV22:EY22)</f>
      </c>
      <c r="FA22" s="443"/>
      <c r="FB22" s="37"/>
      <c r="FC22" s="37"/>
      <c r="FD22" s="37"/>
      <c r="FE22" s="37"/>
      <c r="FF22" s="37"/>
      <c r="FG22" s="37"/>
      <c r="FH22" s="37"/>
      <c r="FI22" s="37"/>
      <c r="FJ22" s="37"/>
      <c r="FK22" s="37"/>
      <c r="FL22" s="37"/>
      <c r="FM22" s="37"/>
      <c r="FN22" s="37"/>
    </row>
    <row r="23" spans="1:170">
      <c r="A23" s="448" t="s">
        <v>357</v>
      </c>
      <c r="B23" s="446" t="s">
        <v>281</v>
      </c>
      <c r="C23" s="446" t="s">
        <v>281</v>
      </c>
      <c r="D23" s="446">
        <f t="shared" ref="D23:BM23" si="24">D22/D7</f>
      </c>
      <c r="E23" s="446">
        <f t="shared" si="24"/>
      </c>
      <c r="F23" s="441">
        <f>F22/F$7</f>
      </c>
      <c r="G23" s="446">
        <f t="shared" si="24"/>
      </c>
      <c r="H23" s="446">
        <f t="shared" si="24"/>
      </c>
      <c r="I23" s="446">
        <f t="shared" si="24"/>
      </c>
      <c r="J23" s="446">
        <f t="shared" si="24"/>
      </c>
      <c r="K23" s="441">
        <f>K22/K$7</f>
      </c>
      <c r="L23" s="446">
        <f t="shared" si="24"/>
      </c>
      <c r="M23" s="446">
        <f t="shared" si="24"/>
      </c>
      <c r="N23" s="446">
        <f t="shared" si="24"/>
      </c>
      <c r="O23" s="446">
        <f t="shared" si="24"/>
      </c>
      <c r="P23" s="441">
        <f>P22/P$7</f>
      </c>
      <c r="Q23" s="446">
        <f t="shared" si="24"/>
      </c>
      <c r="R23" s="446">
        <f t="shared" si="24"/>
      </c>
      <c r="S23" s="446">
        <f t="shared" si="24"/>
      </c>
      <c r="T23" s="446">
        <f t="shared" si="24"/>
      </c>
      <c r="U23" s="441">
        <f>U22/U$7</f>
      </c>
      <c r="V23" s="446">
        <f t="shared" si="24"/>
      </c>
      <c r="W23" s="446">
        <f t="shared" si="24"/>
      </c>
      <c r="X23" s="446">
        <f t="shared" si="24"/>
      </c>
      <c r="Y23" s="446">
        <f t="shared" si="24"/>
      </c>
      <c r="Z23" s="441">
        <f>Z22/Z$7</f>
      </c>
      <c r="AA23" s="446">
        <f t="shared" si="24"/>
      </c>
      <c r="AB23" s="446">
        <f t="shared" si="24"/>
      </c>
      <c r="AC23" s="446">
        <f t="shared" si="24"/>
      </c>
      <c r="AD23" s="446">
        <f t="shared" si="24"/>
      </c>
      <c r="AE23" s="441">
        <f>AE22/AE$7</f>
      </c>
      <c r="AF23" s="446">
        <f t="shared" si="24"/>
      </c>
      <c r="AG23" s="446">
        <f t="shared" si="24"/>
      </c>
      <c r="AH23" s="446">
        <f t="shared" si="24"/>
      </c>
      <c r="AI23" s="446">
        <f t="shared" si="24"/>
      </c>
      <c r="AJ23" s="441">
        <f>AJ22/AJ$7</f>
      </c>
      <c r="AK23" s="446">
        <f t="shared" si="24"/>
      </c>
      <c r="AL23" s="446">
        <f t="shared" si="24"/>
      </c>
      <c r="AM23" s="446">
        <f t="shared" si="24"/>
      </c>
      <c r="AN23" s="446">
        <f t="shared" si="24"/>
      </c>
      <c r="AO23" s="441">
        <f>AO22/AO$7</f>
      </c>
      <c r="AP23" s="446">
        <f t="shared" si="24"/>
      </c>
      <c r="AQ23" s="446">
        <f t="shared" si="24"/>
      </c>
      <c r="AR23" s="446">
        <f t="shared" si="24"/>
      </c>
      <c r="AS23" s="446">
        <f t="shared" si="24"/>
      </c>
      <c r="AT23" s="441">
        <f>AT22/AT$7</f>
      </c>
      <c r="AU23" s="446">
        <f t="shared" si="24"/>
      </c>
      <c r="AV23" s="446">
        <f t="shared" si="24"/>
      </c>
      <c r="AW23" s="446">
        <f t="shared" si="24"/>
      </c>
      <c r="AX23" s="446">
        <f t="shared" si="24"/>
      </c>
      <c r="AY23" s="441">
        <f>AY22/AY$7</f>
      </c>
      <c r="AZ23" s="446">
        <f t="shared" si="24"/>
      </c>
      <c r="BA23" s="446">
        <f t="shared" si="24"/>
      </c>
      <c r="BB23" s="446">
        <f t="shared" si="24"/>
      </c>
      <c r="BC23" s="446">
        <f t="shared" si="24"/>
      </c>
      <c r="BD23" s="441">
        <f>BD22/BD$7</f>
      </c>
      <c r="BE23" s="446">
        <f t="shared" si="24"/>
      </c>
      <c r="BF23" s="446">
        <f t="shared" si="24"/>
      </c>
      <c r="BG23" s="446">
        <f t="shared" si="24"/>
      </c>
      <c r="BH23" s="446">
        <f t="shared" si="24"/>
      </c>
      <c r="BI23" s="441">
        <f>BI22/BI$7</f>
      </c>
      <c r="BJ23" s="446">
        <f t="shared" si="24"/>
      </c>
      <c r="BK23" s="446">
        <f t="shared" si="24"/>
      </c>
      <c r="BL23" s="446">
        <f t="shared" si="24"/>
      </c>
      <c r="BM23" s="446">
        <f t="shared" si="24"/>
      </c>
      <c r="BN23" s="441">
        <f>BN22/BN$7</f>
      </c>
      <c r="BO23" s="446">
        <f t="shared" ref="BO23:BW23" si="25">BO22/BO7</f>
      </c>
      <c r="BP23" s="446">
        <f t="shared" si="25"/>
      </c>
      <c r="BQ23" s="446">
        <f t="shared" si="25"/>
      </c>
      <c r="BR23" s="446">
        <f t="shared" si="25"/>
      </c>
      <c r="BS23" s="441">
        <f>BS22/BS$7</f>
      </c>
      <c r="BT23" s="446">
        <f t="shared" si="25"/>
      </c>
      <c r="BU23" s="446">
        <f t="shared" si="25"/>
      </c>
      <c r="BV23" s="446">
        <f t="shared" si="25"/>
      </c>
      <c r="BW23" s="446">
        <f t="shared" si="25"/>
      </c>
      <c r="BX23" s="441">
        <f>BX22/BX$7</f>
      </c>
      <c r="BY23" s="446">
        <f t="shared" ref="BY23:CG23" si="26">BY22/BY7</f>
      </c>
      <c r="BZ23" s="446">
        <f t="shared" si="26"/>
      </c>
      <c r="CA23" s="446">
        <f t="shared" si="26"/>
      </c>
      <c r="CB23" s="446">
        <f t="shared" si="26"/>
      </c>
      <c r="CC23" s="441">
        <f>CC22/CC$7</f>
      </c>
      <c r="CD23" s="446">
        <f t="shared" si="26"/>
      </c>
      <c r="CE23" s="446">
        <f t="shared" si="26"/>
      </c>
      <c r="CF23" s="446">
        <f t="shared" si="26"/>
      </c>
      <c r="CG23" s="446">
        <f t="shared" si="26"/>
      </c>
      <c r="CH23" s="441">
        <f>CH22/CH$7</f>
      </c>
      <c r="CI23" s="446">
        <f>CI22/CI7</f>
      </c>
      <c r="CJ23" s="446">
        <f>CJ22/CJ7</f>
      </c>
      <c r="CK23" s="446">
        <f>CK22/CK7</f>
      </c>
      <c r="CL23" s="446">
        <f>CL22/CL7</f>
      </c>
      <c r="CM23" s="441">
        <f>CM22/CM$7</f>
      </c>
      <c r="CN23" s="446">
        <f>CN22/CN7</f>
      </c>
      <c r="CO23" s="446">
        <f>CO22/CO7</f>
      </c>
      <c r="CP23" s="446">
        <f>CP22/CP7</f>
      </c>
      <c r="CQ23" s="446">
        <f>CQ22/CQ7</f>
      </c>
      <c r="CR23" s="441">
        <f>CR22/CR$7</f>
      </c>
      <c r="CS23" s="446">
        <f>CS22/CS7</f>
      </c>
      <c r="CT23" s="446">
        <f>CT22/CT7</f>
      </c>
      <c r="CU23" s="446">
        <f>CU22/CU7</f>
      </c>
      <c r="CV23" s="446">
        <f>CV22/CV7</f>
      </c>
      <c r="CW23" s="441">
        <f>CW22/CW$7</f>
      </c>
      <c r="CX23" s="446">
        <f>CX22/CX7</f>
      </c>
      <c r="CY23" s="446">
        <f>CY22/CY7</f>
      </c>
      <c r="CZ23" s="446">
        <f>CZ22/CZ7</f>
      </c>
      <c r="DA23" s="446">
        <f>DA22/DA7</f>
      </c>
      <c r="DB23" s="441">
        <f>DB22/DB$7</f>
      </c>
      <c r="DC23" s="446">
        <f>DC22/DC7</f>
      </c>
      <c r="DD23" s="446">
        <f>DD22/DD7</f>
      </c>
      <c r="DE23" s="446">
        <f>DE22/DE7</f>
      </c>
      <c r="DF23" s="446">
        <f>DF22/DF7</f>
      </c>
      <c r="DG23" s="441">
        <f>DG22/DG$7</f>
      </c>
      <c r="DH23" s="446">
        <f>DH22/DH7</f>
      </c>
      <c r="DI23" s="446">
        <f>DI22/DI7</f>
      </c>
      <c r="DJ23" s="446">
        <f>DJ22/DJ7</f>
      </c>
      <c r="DK23" s="446">
        <f>DK22/DK7</f>
      </c>
      <c r="DL23" s="441">
        <f>DL22/DL$7</f>
      </c>
      <c r="DM23" s="446">
        <f>DM22/DM7</f>
      </c>
      <c r="DN23" s="446">
        <f>DN22/DN7</f>
      </c>
      <c r="DO23" s="446">
        <f>DO22/DO7</f>
      </c>
      <c r="DP23" s="446">
        <f>DP22/DP7</f>
      </c>
      <c r="DQ23" s="441">
        <f>DQ22/DQ$7</f>
      </c>
      <c r="DR23" s="446">
        <f>DR22/DR7</f>
      </c>
      <c r="DS23" s="446">
        <f>DS22/DS7</f>
      </c>
      <c r="DT23" s="446">
        <f>DT22/DT7</f>
      </c>
      <c r="DU23" s="446">
        <f>DU22/DU7</f>
      </c>
      <c r="DV23" s="441">
        <f>DV22/DV$7</f>
      </c>
      <c r="DW23" s="446">
        <f>DW22/DW7</f>
      </c>
      <c r="DX23" s="446">
        <f>DX22/DX7</f>
      </c>
      <c r="DY23" s="446">
        <f>DY22/DY7</f>
      </c>
      <c r="DZ23" s="446">
        <f>DZ22/DZ7</f>
      </c>
      <c r="EA23" s="441">
        <f>EA22/EA$7</f>
      </c>
      <c r="EB23" s="446">
        <f>EB22/EB7</f>
      </c>
      <c r="EC23" s="446">
        <f>EC22/EC7</f>
      </c>
      <c r="ED23" s="446">
        <f>ED22/ED7</f>
      </c>
      <c r="EE23" s="446">
        <f>EE22/EE7</f>
      </c>
      <c r="EF23" s="441">
        <f>EF22/EF$7</f>
      </c>
      <c r="EG23" s="446">
        <f>EG22/EG7</f>
      </c>
      <c r="EH23" s="446">
        <f>EH22/EH7</f>
      </c>
      <c r="EI23" s="446">
        <f>EI22/EI7</f>
      </c>
      <c r="EJ23" s="446">
        <f>EJ22/EJ7</f>
      </c>
      <c r="EK23" s="441">
        <f>EK22/EK$7</f>
      </c>
      <c r="EL23" s="446">
        <f>EL22/EL7</f>
      </c>
      <c r="EM23" s="446">
        <f>EM22/EM7</f>
      </c>
      <c r="EN23" s="446">
        <f>EN22/EN7</f>
      </c>
      <c r="EO23" s="446">
        <f>EO22/EO7</f>
      </c>
      <c r="EP23" s="441">
        <f>EP22/EP$7</f>
      </c>
      <c r="EQ23" s="446">
        <f>EQ22/EQ7</f>
      </c>
      <c r="ER23" s="446">
        <f>ER22/ER7</f>
      </c>
      <c r="ES23" s="446">
        <f>ES22/ES7</f>
      </c>
      <c r="ET23" s="446">
        <f>ET22/ET7</f>
      </c>
      <c r="EU23" s="441">
        <f>EU22/EU$7</f>
      </c>
      <c r="EV23" s="446">
        <f>EV22/EV7</f>
      </c>
      <c r="EW23" s="446">
        <f>EW22/EW7</f>
      </c>
      <c r="EX23" s="446">
        <f>EX22/EX7</f>
      </c>
      <c r="EY23" s="446">
        <f>EY22/EY7</f>
      </c>
      <c r="EZ23" s="441">
        <f>EZ22/EZ$7</f>
      </c>
      <c r="FA23" s="441"/>
      <c r="FB23" s="37"/>
      <c r="FC23" s="37"/>
      <c r="FD23" s="37"/>
      <c r="FE23" s="37"/>
      <c r="FF23" s="37"/>
      <c r="FG23" s="37"/>
      <c r="FH23" s="37"/>
      <c r="FI23" s="37"/>
      <c r="FJ23" s="37"/>
      <c r="FK23" s="37"/>
      <c r="FL23" s="37"/>
      <c r="FM23" s="37"/>
      <c r="FN23" s="37"/>
    </row>
    <row r="24" spans="1:170">
      <c r="A24" s="448" t="s">
        <v>358</v>
      </c>
      <c r="B24" s="446"/>
      <c r="C24" s="446">
        <f t="shared" ref="C24:BM24" si="27">(C22-B22)/(C7-B7)</f>
      </c>
      <c r="D24" s="446">
        <f t="shared" si="27"/>
      </c>
      <c r="E24" s="446">
        <f t="shared" si="27"/>
      </c>
      <c r="F24" s="441"/>
      <c r="G24" s="446">
        <f>(G22-E22)/(G7-E7)</f>
      </c>
      <c r="H24" s="446">
        <f t="shared" si="27"/>
      </c>
      <c r="I24" s="446">
        <f t="shared" si="27"/>
      </c>
      <c r="J24" s="446">
        <f t="shared" si="27"/>
      </c>
      <c r="K24" s="441">
        <f>(K22-F22)/(K7-F7)</f>
      </c>
      <c r="L24" s="446">
        <f>(L22-J22)/(L7-J7)</f>
      </c>
      <c r="M24" s="446">
        <f t="shared" si="27"/>
      </c>
      <c r="N24" s="446">
        <f t="shared" si="27"/>
      </c>
      <c r="O24" s="446">
        <f t="shared" si="27"/>
      </c>
      <c r="P24" s="441">
        <f>(P22-K22)/(P7-K7)</f>
      </c>
      <c r="Q24" s="446">
        <f>(Q22-O22)/(Q7-O7)</f>
      </c>
      <c r="R24" s="446">
        <f t="shared" si="27"/>
      </c>
      <c r="S24" s="446">
        <f t="shared" si="27"/>
      </c>
      <c r="T24" s="446">
        <f>(T22-S22)/(T7-S7)</f>
      </c>
      <c r="U24" s="441">
        <f>(U22-P22)/(U7-P7)</f>
      </c>
      <c r="V24" s="446">
        <f>(V22-T22)/(V7-T7)</f>
      </c>
      <c r="W24" s="446">
        <f t="shared" si="27"/>
      </c>
      <c r="X24" s="446">
        <f t="shared" si="27"/>
      </c>
      <c r="Y24" s="446">
        <f t="shared" si="27"/>
      </c>
      <c r="Z24" s="441">
        <f>(Z22-U22)/(Z7-U7)</f>
      </c>
      <c r="AA24" s="446">
        <f>(AA22-Y22)/(AA7-Y7)</f>
      </c>
      <c r="AB24" s="446">
        <f t="shared" si="27"/>
      </c>
      <c r="AC24" s="446">
        <f t="shared" si="27"/>
      </c>
      <c r="AD24" s="446">
        <f t="shared" si="27"/>
      </c>
      <c r="AE24" s="441">
        <f>(AE22-Z22)/(AE7-Z7)</f>
      </c>
      <c r="AF24" s="446">
        <f>(AF22-AD22)/(AF7-AD7)</f>
      </c>
      <c r="AG24" s="446">
        <f t="shared" si="27"/>
      </c>
      <c r="AH24" s="446">
        <f t="shared" si="27"/>
      </c>
      <c r="AI24" s="446">
        <f t="shared" si="27"/>
      </c>
      <c r="AJ24" s="441">
        <f>(AJ22-AE22)/(AJ7-AE7)</f>
      </c>
      <c r="AK24" s="446">
        <f>(AK22-AI22)/(AK7-AI7)</f>
      </c>
      <c r="AL24" s="446">
        <f t="shared" si="27"/>
      </c>
      <c r="AM24" s="446">
        <f t="shared" si="27"/>
      </c>
      <c r="AN24" s="446">
        <f t="shared" si="27"/>
      </c>
      <c r="AO24" s="441">
        <f>(AO22-AJ22)/(AO7-AJ7)</f>
      </c>
      <c r="AP24" s="446">
        <f>(AP22-AN22)/(AP7-AN7)</f>
      </c>
      <c r="AQ24" s="446">
        <f t="shared" si="27"/>
      </c>
      <c r="AR24" s="446">
        <f t="shared" si="27"/>
      </c>
      <c r="AS24" s="446">
        <f t="shared" si="27"/>
      </c>
      <c r="AT24" s="441">
        <f>(AT22-AO22)/(AT7-AO7)</f>
      </c>
      <c r="AU24" s="446">
        <f>(AU22-AS22)/(AU7-AS7)</f>
      </c>
      <c r="AV24" s="446">
        <f t="shared" si="27"/>
      </c>
      <c r="AW24" s="446">
        <f t="shared" si="27"/>
      </c>
      <c r="AX24" s="446">
        <f t="shared" si="27"/>
      </c>
      <c r="AY24" s="441">
        <f>(AY22-AT22)/(AY7-AT7)</f>
      </c>
      <c r="AZ24" s="446">
        <f>(AZ22-AX22)/(AZ7-AX7)</f>
      </c>
      <c r="BA24" s="446">
        <f t="shared" si="27"/>
      </c>
      <c r="BB24" s="446">
        <f t="shared" si="27"/>
      </c>
      <c r="BC24" s="446">
        <f t="shared" si="27"/>
      </c>
      <c r="BD24" s="441">
        <f>(BD22-AY22)/(BD7-AY7)</f>
      </c>
      <c r="BE24" s="446">
        <f>(BE22-BC22)/(BE7-BC7)</f>
      </c>
      <c r="BF24" s="446">
        <f t="shared" si="27"/>
      </c>
      <c r="BG24" s="446">
        <f t="shared" si="27"/>
      </c>
      <c r="BH24" s="446">
        <f t="shared" si="27"/>
      </c>
      <c r="BI24" s="441">
        <f>(BI22-BD22)/(BI7-BD7)</f>
      </c>
      <c r="BJ24" s="446">
        <f>(BJ22-BH22)/(BJ7-BH7)</f>
      </c>
      <c r="BK24" s="446">
        <f t="shared" si="27"/>
      </c>
      <c r="BL24" s="446">
        <f t="shared" si="27"/>
      </c>
      <c r="BM24" s="446">
        <f t="shared" si="27"/>
      </c>
      <c r="BN24" s="441">
        <f>(BN22-BI22)/(BN7-BI7)</f>
      </c>
      <c r="BO24" s="446">
        <f>(BO22-BM22)/(BO7-BM7)</f>
      </c>
      <c r="BP24" s="446">
        <f t="shared" ref="BP24:BW24" si="28">(BP22-BO22)/(BP7-BO7)</f>
      </c>
      <c r="BQ24" s="446">
        <f t="shared" si="28"/>
      </c>
      <c r="BR24" s="446">
        <f t="shared" si="28"/>
      </c>
      <c r="BS24" s="441">
        <f>(BS22-BN22)/(BS7-BN7)</f>
      </c>
      <c r="BT24" s="446">
        <f>(BT22-BR22)/(BT7-BR7)</f>
      </c>
      <c r="BU24" s="446">
        <f t="shared" si="28"/>
      </c>
      <c r="BV24" s="446">
        <f t="shared" si="28"/>
      </c>
      <c r="BW24" s="446">
        <f t="shared" si="28"/>
      </c>
      <c r="BX24" s="441">
        <f>(BX22-BS22)/(BX7-BS7)</f>
      </c>
      <c r="BY24" s="446">
        <f>(BY22-BW22)/(BY7-BW7)</f>
      </c>
      <c r="BZ24" s="446">
        <f t="shared" ref="BZ24:CG24" si="29">(BZ22-BY22)/(BZ7-BY7)</f>
      </c>
      <c r="CA24" s="446">
        <f t="shared" si="29"/>
      </c>
      <c r="CB24" s="446">
        <f>(CB22-CA22)/(CB7-CA7)</f>
      </c>
      <c r="CC24" s="441">
        <f>(CC22-BX22)/(CC7-BX7)</f>
      </c>
      <c r="CD24" s="446">
        <f>(CD22-CB22)/(CD7-CB7)</f>
      </c>
      <c r="CE24" s="446">
        <f t="shared" si="29"/>
      </c>
      <c r="CF24" s="446">
        <f t="shared" si="29"/>
      </c>
      <c r="CG24" s="446">
        <f t="shared" si="29"/>
      </c>
      <c r="CH24" s="441">
        <f>(CH22-CC22)/(CH7-CC7)</f>
      </c>
      <c r="CI24" s="446">
        <f>(CI22-CG22)/(CI7-CG7)</f>
      </c>
      <c r="CJ24" s="446">
        <f>(CJ22-CI22)/(CJ7-CI7)</f>
      </c>
      <c r="CK24" s="446">
        <f>(CK22-CJ22)/(CK7-CJ7)</f>
      </c>
      <c r="CL24" s="446">
        <f>(CL22-CK22)/(CL7-CK7)</f>
      </c>
      <c r="CM24" s="441">
        <f>(CM22-CH22)/(CM7-CH7)</f>
      </c>
      <c r="CN24" s="446">
        <f>(CN22-CL22)/(CN7-CL7)</f>
      </c>
      <c r="CO24" s="446">
        <f>(CO22-CN22)/(CO7-CN7)</f>
      </c>
      <c r="CP24" s="446">
        <f>(CP22-CO22)/(CP7-CO7)</f>
      </c>
      <c r="CQ24" s="446">
        <f>(CQ22-CP22)/(CQ7-CP7)</f>
      </c>
      <c r="CR24" s="441">
        <f>(CR22-CM22)/(CR7-CM7)</f>
      </c>
      <c r="CS24" s="446">
        <f>(CS22-CQ22)/(CS7-CQ7)</f>
      </c>
      <c r="CT24" s="446">
        <f>(CT22-CS22)/(CT7-CS7)</f>
      </c>
      <c r="CU24" s="446">
        <f>(CU22-CT22)/(CU7-CT7)</f>
      </c>
      <c r="CV24" s="446">
        <f>(CV22-CU22)/(CV7-CU7)</f>
      </c>
      <c r="CW24" s="441">
        <f>(CW22-CR22)/(CW7-CR7)</f>
      </c>
      <c r="CX24" s="446">
        <f>(CX22-CV22)/(CX7-CV7)</f>
      </c>
      <c r="CY24" s="446">
        <f>(CY22-CX22)/(CY7-CX7)</f>
      </c>
      <c r="CZ24" s="446">
        <f>(CZ22-CY22)/(CZ7-CY7)</f>
      </c>
      <c r="DA24" s="446">
        <f>(DA22-CZ22)/(DA7-CZ7)</f>
      </c>
      <c r="DB24" s="441">
        <f>(DB22-CW22)/(DB7-CW7)</f>
      </c>
      <c r="DC24" s="446">
        <f>(DC22-DA22)/(DC7-DA7)</f>
      </c>
      <c r="DD24" s="446">
        <f>(DD22-DC22)/(DD7-DC7)</f>
      </c>
      <c r="DE24" s="446">
        <f>(DE22-DD22)/(DE7-DD7)</f>
      </c>
      <c r="DF24" s="446">
        <f>(DF22-DE22)/(DF7-DE7)</f>
      </c>
      <c r="DG24" s="441">
        <f>(DG22-DB22)/(DG7-DB7)</f>
      </c>
      <c r="DH24" s="446">
        <f>(DH22-DF22)/(DH7-DF7)</f>
      </c>
      <c r="DI24" s="446">
        <f>(DI22-DH22)/(DI7-DH7)</f>
      </c>
      <c r="DJ24" s="446">
        <f>(DJ22-DI22)/(DJ7-DI7)</f>
      </c>
      <c r="DK24" s="446">
        <f>(DK22-DJ22)/(DK7-DJ7)</f>
      </c>
      <c r="DL24" s="441">
        <f>(DL22-DG22)/(DL7-DG7)</f>
      </c>
      <c r="DM24" s="446">
        <f>(DM22-DK22)/(DM7-DK7)</f>
      </c>
      <c r="DN24" s="446">
        <f>(DN22-DM22)/(DN7-DM7)</f>
      </c>
      <c r="DO24" s="446">
        <f>(DO22-DN22)/(DO7-DN7)</f>
      </c>
      <c r="DP24" s="446">
        <f>(DP22-DO22)/(DP7-DO7)</f>
      </c>
      <c r="DQ24" s="441">
        <f>(DQ22-DL22)/(DQ7-DL7)</f>
      </c>
      <c r="DR24" s="446">
        <f>(DR22-DP22)/(DR7-DP7)</f>
      </c>
      <c r="DS24" s="446">
        <f>(DS22-DR22)/(DS7-DR7)</f>
      </c>
      <c r="DT24" s="446">
        <f>(DT22-DS22)/(DT7-DS7)</f>
      </c>
      <c r="DU24" s="446">
        <f>(DU22-DT22)/(DU7-DT7)</f>
      </c>
      <c r="DV24" s="441">
        <f>(DV22-DQ22)/(DV7-DQ7)</f>
      </c>
      <c r="DW24" s="446">
        <f>(DW22-DU22)/(DW7-DU7)</f>
      </c>
      <c r="DX24" s="446">
        <f>(DX22-DW22)/(DX7-DW7)</f>
      </c>
      <c r="DY24" s="446">
        <f>(DY22-DX22)/(DY7-DX7)</f>
      </c>
      <c r="DZ24" s="446">
        <f>(DZ22-DY22)/(DZ7-DY7)</f>
      </c>
      <c r="EA24" s="441">
        <f>(EA22-DV22)/(EA7-DV7)</f>
      </c>
      <c r="EB24" s="446">
        <f>(EB22-EA22)/(EB7-EA7)</f>
      </c>
      <c r="EC24" s="446">
        <f>(EC22-EB22)/(EC7-EB7)</f>
      </c>
      <c r="ED24" s="446">
        <f>(ED22-EC22)/(ED7-EC7)</f>
      </c>
      <c r="EE24" s="446">
        <f>(EE22-ED22)/(EE7-ED7)</f>
      </c>
      <c r="EF24" s="441">
        <f>(EF22-EA22)/(EF7-EA7)</f>
      </c>
      <c r="EG24" s="446">
        <f>(EG22-EF22)/(EG7-EF7)</f>
      </c>
      <c r="EH24" s="446">
        <f>(EH22-EG22)/(EH7-EG7)</f>
      </c>
      <c r="EI24" s="446">
        <f>(EI22-EH22)/(EI7-EH7)</f>
      </c>
      <c r="EJ24" s="446">
        <f>(EJ22-EI22)/(EJ7-EI7)</f>
      </c>
      <c r="EK24" s="441">
        <f>(EK22-EF22)/(EK7-EF7)</f>
      </c>
      <c r="EL24" s="446">
        <f>(EL22-EK22)/(EL7-EK7)</f>
      </c>
      <c r="EM24" s="446">
        <f>(EM22-EL22)/(EM7-EL7)</f>
      </c>
      <c r="EN24" s="446">
        <f>(EN22-EM22)/(EN7-EM7)</f>
      </c>
      <c r="EO24" s="446">
        <f>(EO22-EN22)/(EO7-EN7)</f>
      </c>
      <c r="EP24" s="441">
        <f>(EP22-EK22)/(EP7-EK7)</f>
      </c>
      <c r="EQ24" s="446">
        <f>(EQ22-EO22)/(EQ7-EO7)</f>
      </c>
      <c r="ER24" s="446">
        <f>(ER22-EQ22)/(ER7-EQ7)</f>
      </c>
      <c r="ES24" s="446">
        <f>(ES22-ER22)/(ES7-ER7)</f>
      </c>
      <c r="ET24" s="446">
        <f>(ET22-ES22)/(ET7-ES7)</f>
      </c>
      <c r="EU24" s="441">
        <f>(EU22-EP22)/(EU7-EP7)</f>
      </c>
      <c r="EV24" s="446">
        <f>(EV22-ET22)/(EV7-ET7)</f>
      </c>
      <c r="EW24" s="446">
        <f>(EW22-EV22)/(EW7-EV7)</f>
      </c>
      <c r="EX24" s="446">
        <f>(EX22-EW22)/(EX7-EW7)</f>
      </c>
      <c r="EY24" s="446">
        <f>(EY22-EX22)/(EY7-EX7)</f>
      </c>
      <c r="EZ24" s="441">
        <f>(EZ22-EU22)/(EZ7-EU7)</f>
      </c>
      <c r="FA24" s="441"/>
      <c r="FB24" s="37"/>
      <c r="FC24" s="37"/>
      <c r="FD24" s="37"/>
      <c r="FE24" s="37"/>
      <c r="FF24" s="37"/>
      <c r="FG24" s="37"/>
      <c r="FH24" s="37"/>
      <c r="FI24" s="37"/>
      <c r="FJ24" s="37"/>
      <c r="FK24" s="37"/>
      <c r="FL24" s="37"/>
      <c r="FM24" s="37"/>
      <c r="FN24" s="37"/>
    </row>
    <row r="25" spans="1:170">
      <c r="A25" s="448"/>
      <c r="B25" s="451"/>
      <c r="C25" s="451"/>
      <c r="D25" s="451"/>
      <c r="E25" s="451"/>
      <c r="G25" s="451"/>
      <c r="H25" s="451"/>
      <c r="I25" s="451"/>
      <c r="J25" s="451"/>
      <c r="L25" s="451"/>
      <c r="M25" s="451"/>
      <c r="N25" s="451"/>
      <c r="O25" s="451"/>
      <c r="Q25" s="451"/>
      <c r="R25" s="451"/>
      <c r="S25" s="451"/>
      <c r="T25" s="451"/>
      <c r="V25" s="451"/>
      <c r="W25" s="451"/>
      <c r="X25" s="451"/>
      <c r="Y25" s="451"/>
      <c r="AA25" s="451"/>
      <c r="AB25" s="451"/>
      <c r="AC25" s="451"/>
      <c r="AD25" s="451"/>
      <c r="AE25" s="84"/>
      <c r="AF25" s="451"/>
      <c r="AG25" s="451"/>
      <c r="AH25" s="451"/>
      <c r="AI25" s="451"/>
      <c r="AJ25" s="84"/>
      <c r="AK25" s="451"/>
      <c r="AL25" s="451"/>
      <c r="AM25" s="451"/>
      <c r="AN25" s="451"/>
      <c r="AO25" s="84"/>
      <c r="AP25" s="451"/>
      <c r="AQ25" s="451"/>
      <c r="AR25" s="451"/>
      <c r="AS25" s="451"/>
      <c r="AT25" s="84"/>
      <c r="AU25" s="451"/>
      <c r="AV25" s="451"/>
      <c r="AW25" s="451"/>
      <c r="AX25" s="451"/>
      <c r="AY25" s="84"/>
      <c r="AZ25" s="451"/>
      <c r="BA25" s="451"/>
      <c r="BB25" s="451"/>
      <c r="BC25" s="451"/>
      <c r="BD25" s="84"/>
      <c r="BE25" s="451"/>
      <c r="BF25" s="451"/>
      <c r="BG25" s="451"/>
      <c r="BH25" s="451"/>
      <c r="BI25" s="84"/>
      <c r="BJ25" s="451"/>
      <c r="BK25" s="451"/>
      <c r="BL25" s="451"/>
      <c r="BM25" s="451"/>
      <c r="BN25" s="84"/>
      <c r="BO25" s="451"/>
      <c r="BP25" s="451"/>
      <c r="BQ25" s="451"/>
      <c r="BR25" s="451"/>
      <c r="BS25" s="84"/>
      <c r="BT25" s="451"/>
      <c r="BU25" s="451"/>
      <c r="BV25" s="451"/>
      <c r="BW25" s="451"/>
      <c r="BX25" s="84"/>
      <c r="BY25" s="451"/>
      <c r="BZ25" s="451"/>
      <c r="CA25" s="451"/>
      <c r="CB25" s="451"/>
      <c r="CC25" s="84"/>
      <c r="CD25" s="451"/>
      <c r="CE25" s="451"/>
      <c r="CF25" s="451"/>
      <c r="CG25" s="451"/>
      <c r="CH25" s="84"/>
      <c r="CI25" s="451"/>
      <c r="CJ25" s="451"/>
      <c r="CK25" s="451"/>
      <c r="CL25" s="451"/>
      <c r="CM25" s="84"/>
      <c r="CN25" s="451"/>
      <c r="CO25" s="451"/>
      <c r="CP25" s="451"/>
      <c r="CQ25" s="451"/>
      <c r="CR25" s="84"/>
      <c r="CS25" s="451"/>
      <c r="CT25" s="451"/>
      <c r="CU25" s="451"/>
      <c r="CV25" s="451"/>
      <c r="CW25" s="84"/>
      <c r="CX25" s="451"/>
      <c r="CY25" s="451"/>
      <c r="CZ25" s="451"/>
      <c r="DA25" s="451"/>
      <c r="DC25" s="451"/>
      <c r="DD25" s="452"/>
      <c r="DE25" s="451"/>
      <c r="DF25" s="451"/>
      <c r="DG25" s="84"/>
      <c r="DH25" s="451"/>
      <c r="DI25" s="451"/>
      <c r="DJ25" s="451"/>
      <c r="DK25" s="451"/>
      <c r="DL25" s="84"/>
      <c r="DM25" s="451"/>
      <c r="DN25" s="451"/>
      <c r="DO25" s="452"/>
      <c r="DP25" s="452"/>
      <c r="DQ25" s="84"/>
      <c r="DR25" s="451"/>
      <c r="DS25" s="451"/>
      <c r="DT25" s="451"/>
      <c r="DU25" s="451"/>
      <c r="DV25" s="84"/>
      <c r="DW25" s="451"/>
      <c r="DX25" s="451"/>
      <c r="DY25" s="451"/>
      <c r="DZ25" s="451"/>
      <c r="EA25" s="84"/>
      <c r="EB25" s="451"/>
      <c r="EC25" s="451"/>
      <c r="ED25" s="451"/>
      <c r="EE25" s="451"/>
      <c r="EF25" s="84"/>
      <c r="EG25" s="451"/>
      <c r="EH25" s="451"/>
      <c r="EI25" s="451"/>
      <c r="EJ25" s="451"/>
      <c r="EK25" s="84"/>
      <c r="EL25" s="451"/>
      <c r="EM25" s="451"/>
      <c r="EN25" s="451"/>
      <c r="EO25" s="451"/>
      <c r="EP25" s="84"/>
      <c r="EQ25" s="451"/>
      <c r="ER25" s="451"/>
      <c r="ES25" s="451"/>
      <c r="ET25" s="451"/>
      <c r="EU25" s="84"/>
      <c r="EV25" s="451"/>
      <c r="EW25" s="451"/>
      <c r="EX25" s="451"/>
      <c r="EY25" s="451"/>
      <c r="EZ25" s="84"/>
      <c r="FA25" s="84"/>
      <c r="FB25" s="37"/>
      <c r="FC25" s="37"/>
      <c r="FD25" s="37"/>
      <c r="FE25" s="37"/>
      <c r="FF25" s="37"/>
      <c r="FG25" s="37"/>
      <c r="FH25" s="37"/>
      <c r="FI25" s="37"/>
      <c r="FJ25" s="37"/>
      <c r="FK25" s="37"/>
      <c r="FL25" s="37"/>
      <c r="FM25" s="37"/>
      <c r="FN25" s="37"/>
    </row>
    <row r="26" spans="1:170" ht="11.25" customHeight="1">
      <c r="A26" s="106" t="s">
        <v>359</v>
      </c>
      <c r="B26" s="442">
        <v>0</v>
      </c>
      <c r="C26" s="442">
        <v>0</v>
      </c>
      <c r="D26" s="442">
        <v>0</v>
      </c>
      <c r="E26" s="442">
        <v>0</v>
      </c>
      <c r="F26" s="443">
        <f>SUM(B26:E26)</f>
      </c>
      <c r="G26" s="442">
        <v>0</v>
      </c>
      <c r="H26" s="442">
        <v>0</v>
      </c>
      <c r="I26" s="442">
        <v>0</v>
      </c>
      <c r="J26" s="442">
        <v>0</v>
      </c>
      <c r="K26" s="443">
        <f>SUM(G26:J26)</f>
      </c>
      <c r="L26" s="442">
        <v>0</v>
      </c>
      <c r="M26" s="442">
        <v>0</v>
      </c>
      <c r="N26" s="442">
        <v>0</v>
      </c>
      <c r="O26" s="442">
        <v>0</v>
      </c>
      <c r="P26" s="443">
        <f>SUM(L26:O26)</f>
      </c>
      <c r="Q26" s="442">
        <v>0</v>
      </c>
      <c r="R26" s="442">
        <v>0</v>
      </c>
      <c r="S26" s="442">
        <v>1.2895000000000003</v>
      </c>
      <c r="T26" s="442">
        <f>(0.0475/4)*300</f>
      </c>
      <c r="U26" s="443">
        <f>SUM(Q26:T26)</f>
      </c>
      <c r="V26" s="442">
        <f>(0.0475/4)*300</f>
      </c>
      <c r="W26" s="442">
        <f>(0.0475/4)*300</f>
      </c>
      <c r="X26" s="442">
        <f>(0.0475/4)*300</f>
      </c>
      <c r="Y26" s="442">
        <v>5.4854999999999983</v>
      </c>
      <c r="Z26" s="443">
        <f>SUM(V26:Y26)</f>
      </c>
      <c r="AA26" s="442">
        <f>(0.0475/4)*300</f>
      </c>
      <c r="AB26" s="442">
        <f>(0.0475/4)*300</f>
      </c>
      <c r="AC26" s="442">
        <f>(0.0475/4)*300</f>
      </c>
      <c r="AD26" s="442">
        <f>+AD28-AD27</f>
      </c>
      <c r="AE26" s="443">
        <f>SUM(AA26:AD26)</f>
      </c>
      <c r="AF26" s="442">
        <f>(0.0475/4)*300</f>
      </c>
      <c r="AG26" s="442">
        <f>(0.0475/4)*300</f>
      </c>
      <c r="AH26" s="442">
        <v>0</v>
      </c>
      <c r="AI26" s="442">
        <v>0</v>
      </c>
      <c r="AJ26" s="443">
        <f>SUM(AF26:AI26)</f>
      </c>
      <c r="AK26" s="442">
        <v>0</v>
      </c>
      <c r="AL26" s="442">
        <v>0</v>
      </c>
      <c r="AM26" s="442">
        <v>0</v>
      </c>
      <c r="AN26" s="442">
        <v>0</v>
      </c>
      <c r="AO26" s="443">
        <f>SUM(AK26:AN26)</f>
      </c>
      <c r="AP26" s="442">
        <v>0.01</v>
      </c>
      <c r="AQ26" s="442">
        <v>0</v>
      </c>
      <c r="AR26" s="442">
        <v>0</v>
      </c>
      <c r="AS26" s="442">
        <v>0</v>
      </c>
      <c r="AT26" s="443">
        <f>SUM(AP26:AS26)</f>
      </c>
      <c r="AU26" s="442">
        <v>1E-3</v>
      </c>
      <c r="AV26" s="442">
        <v>0</v>
      </c>
      <c r="AW26" s="442">
        <v>0</v>
      </c>
      <c r="AX26" s="442">
        <v>0</v>
      </c>
      <c r="AY26" s="443">
        <f>SUM(AU26:AX26)</f>
      </c>
      <c r="AZ26" s="442">
        <v>0</v>
      </c>
      <c r="BA26" s="442">
        <v>0</v>
      </c>
      <c r="BB26" s="442">
        <v>0</v>
      </c>
      <c r="BC26" s="442">
        <v>0</v>
      </c>
      <c r="BD26" s="443">
        <f>SUM(AZ26:BC26)</f>
      </c>
      <c r="BE26" s="442">
        <v>0</v>
      </c>
      <c r="BF26" s="442">
        <v>0</v>
      </c>
      <c r="BG26" s="442">
        <v>0</v>
      </c>
      <c r="BH26" s="442">
        <v>0</v>
      </c>
      <c r="BI26" s="443">
        <f>SUM(BE26:BH26)</f>
      </c>
      <c r="BJ26" s="442">
        <v>0</v>
      </c>
      <c r="BK26" s="442">
        <v>0</v>
      </c>
      <c r="BL26" s="442">
        <v>0</v>
      </c>
      <c r="BM26" s="442">
        <v>0</v>
      </c>
      <c r="BN26" s="443">
        <f>SUM(BJ26:BM26)</f>
      </c>
      <c r="BO26" s="442">
        <v>0</v>
      </c>
      <c r="BP26" s="442">
        <v>0</v>
      </c>
      <c r="BQ26" s="442">
        <v>0</v>
      </c>
      <c r="BR26" s="442">
        <v>0</v>
      </c>
      <c r="BS26" s="443">
        <f>SUM(BO26:BR26)</f>
      </c>
      <c r="BT26" s="442">
        <v>0</v>
      </c>
      <c r="BU26" s="442">
        <v>0</v>
      </c>
      <c r="BV26" s="442">
        <v>0</v>
      </c>
      <c r="BW26" s="442">
        <v>0</v>
      </c>
      <c r="BX26" s="443">
        <f>SUM(BT26:BW26)</f>
      </c>
      <c r="BY26" s="442">
        <v>0</v>
      </c>
      <c r="BZ26" s="442">
        <v>0</v>
      </c>
      <c r="CA26" s="442">
        <v>0</v>
      </c>
      <c r="CB26" s="442">
        <v>0</v>
      </c>
      <c r="CC26" s="443">
        <f>SUM(BY26:CB26)</f>
      </c>
      <c r="CD26" s="442">
        <v>0</v>
      </c>
      <c r="CE26" s="442">
        <v>0</v>
      </c>
      <c r="CF26" s="442">
        <v>0</v>
      </c>
      <c r="CG26" s="442">
        <v>0</v>
      </c>
      <c r="CH26" s="443">
        <f>SUM(CD26:CG26)</f>
      </c>
      <c r="CI26" s="442">
        <v>0</v>
      </c>
      <c r="CJ26" s="442">
        <v>11.526</v>
      </c>
      <c r="CK26" s="442">
        <v>11.542</v>
      </c>
      <c r="CL26" s="442">
        <f>-7.083+11.594</f>
      </c>
      <c r="CM26" s="443">
        <f>SUM(CI26:CL26)</f>
      </c>
      <c r="CN26" s="442">
        <f>12-7</f>
      </c>
      <c r="CO26" s="442">
        <f>13-7</f>
      </c>
      <c r="CP26" s="442">
        <f>12-7</f>
      </c>
      <c r="CQ26" s="442">
        <f>12-2-7</f>
      </c>
      <c r="CR26" s="443">
        <f>SUM(CN26:CQ26)</f>
      </c>
      <c r="CS26" s="442">
        <f>12-7</f>
      </c>
      <c r="CT26" s="442">
        <f>12-7</f>
      </c>
      <c r="CU26" s="442">
        <f>16-6</f>
      </c>
      <c r="CV26" s="442">
        <f>18-4</f>
      </c>
      <c r="CW26" s="443">
        <f>SUM(CS26:CV26)</f>
      </c>
      <c r="CX26" s="442">
        <f>16-2</f>
      </c>
      <c r="CY26" s="442">
        <f>15-1</f>
      </c>
      <c r="CZ26" s="442">
        <v>15</v>
      </c>
      <c r="DA26" s="442">
        <f>15+2</f>
      </c>
      <c r="DB26" s="443">
        <f>SUM(CX26:DA26)</f>
      </c>
      <c r="DC26" s="442">
        <f>15-1</f>
      </c>
      <c r="DD26" s="442">
        <v>14</v>
      </c>
      <c r="DE26" s="442">
        <v>15</v>
      </c>
      <c r="DF26" s="442">
        <v>14</v>
      </c>
      <c r="DG26" s="443">
        <f>SUM(DC26:DF26)</f>
      </c>
      <c r="DH26" s="442">
        <v>13</v>
      </c>
      <c r="DI26" s="442">
        <v>13</v>
      </c>
      <c r="DJ26" s="442">
        <v>13</v>
      </c>
      <c r="DK26" s="442">
        <v>12</v>
      </c>
      <c r="DL26" s="443">
        <f>SUM(DH26:DK26)</f>
      </c>
      <c r="DM26" s="442">
        <f>25+1-1</f>
      </c>
      <c r="DN26" s="442">
        <f>54-2-1</f>
      </c>
      <c r="DO26" s="442">
        <v>53</v>
      </c>
      <c r="DP26" s="442">
        <f>53</f>
      </c>
      <c r="DQ26" s="443">
        <f>SUM(DM26:DP26)</f>
      </c>
      <c r="DR26" s="442">
        <f>53-1</f>
      </c>
      <c r="DS26" s="442">
        <f>60-1</f>
      </c>
      <c r="DT26" s="442">
        <f>62-1</f>
      </c>
      <c r="DU26" s="442">
        <f>61</f>
      </c>
      <c r="DV26" s="443">
        <f>SUM(DR26:DU26)</f>
      </c>
      <c r="DW26" s="442">
        <f>68-1</f>
      </c>
      <c r="DX26" s="442">
        <f>65-1</f>
      </c>
      <c r="DY26" s="442">
        <f>65-1</f>
      </c>
      <c r="DZ26" s="442">
        <f>65-1</f>
      </c>
      <c r="EA26" s="443">
        <f>SUM(DW26:DZ26)</f>
      </c>
      <c r="EB26" s="442">
        <f>66-1</f>
      </c>
      <c r="EC26" s="442">
        <f>65-1</f>
      </c>
      <c r="ED26" s="442">
        <f>63-1</f>
      </c>
      <c r="EE26" s="442">
        <f>63-1</f>
      </c>
      <c r="EF26" s="443">
        <f>SUM(EB26:EE26)</f>
      </c>
      <c r="EG26" s="442">
        <f>64-1</f>
      </c>
      <c r="EH26" s="442">
        <f>61-1</f>
      </c>
      <c r="EI26" s="442">
        <f>61-1</f>
      </c>
      <c r="EJ26" s="442">
        <f>61-1</f>
      </c>
      <c r="EK26" s="443">
        <f>SUM(EG26:EJ26)</f>
      </c>
      <c r="EL26" s="442">
        <f>63-1</f>
      </c>
      <c r="EM26" s="442">
        <f>62-1</f>
      </c>
      <c r="EN26" s="453">
        <f>+EM26</f>
      </c>
      <c r="EO26" s="453">
        <f>+EN26</f>
      </c>
      <c r="EP26" s="443">
        <f>SUM(EL26:EO26)</f>
      </c>
      <c r="EQ26" s="453">
        <f>+EO26</f>
      </c>
      <c r="ER26" s="453">
        <f>+EQ26</f>
      </c>
      <c r="ES26" s="453">
        <f>+ER26</f>
      </c>
      <c r="ET26" s="453">
        <f>+ES26</f>
      </c>
      <c r="EU26" s="443">
        <f>SUM(EQ26:ET26)</f>
      </c>
      <c r="EV26" s="453">
        <f>+ET26</f>
      </c>
      <c r="EW26" s="453">
        <f>+EV26</f>
      </c>
      <c r="EX26" s="453">
        <f>+EW26</f>
      </c>
      <c r="EY26" s="453">
        <f>+EX26</f>
      </c>
      <c r="EZ26" s="443">
        <f>SUM(EV26:EY26)</f>
      </c>
      <c r="FA26" s="443"/>
      <c r="FB26" s="37"/>
      <c r="FC26" s="37"/>
      <c r="FD26" s="37"/>
      <c r="FE26" s="37"/>
      <c r="FF26" s="37"/>
      <c r="FG26" s="37"/>
      <c r="FH26" s="37"/>
      <c r="FI26" s="37"/>
      <c r="FJ26" s="37"/>
      <c r="FK26" s="37"/>
      <c r="FL26" s="37"/>
      <c r="FM26" s="37"/>
      <c r="FN26" s="37"/>
    </row>
    <row r="27" spans="1:170">
      <c r="A27" s="106" t="s">
        <v>360</v>
      </c>
      <c r="B27" s="110"/>
      <c r="C27" s="110"/>
      <c r="D27" s="110"/>
      <c r="E27" s="110"/>
      <c r="F27" s="443">
        <f>SUM(B27:E27)</f>
      </c>
      <c r="G27" s="110"/>
      <c r="H27" s="110"/>
      <c r="I27" s="110"/>
      <c r="J27" s="110"/>
      <c r="K27" s="443">
        <f>SUM(G27:J27)</f>
      </c>
      <c r="L27" s="110"/>
      <c r="M27" s="110"/>
      <c r="N27" s="110"/>
      <c r="O27" s="110"/>
      <c r="P27" s="443">
        <f>SUM(L27:O27)</f>
      </c>
      <c r="Q27" s="110">
        <f t="shared" ref="Q27:W27" si="30">Q28-Q26</f>
      </c>
      <c r="R27" s="110">
        <f t="shared" si="30"/>
      </c>
      <c r="S27" s="110">
        <f t="shared" si="30"/>
      </c>
      <c r="T27" s="110">
        <f t="shared" si="30"/>
      </c>
      <c r="U27" s="443">
        <f>SUM(Q27:T27)</f>
      </c>
      <c r="V27" s="110">
        <f t="shared" si="30"/>
      </c>
      <c r="W27" s="110">
        <f t="shared" si="30"/>
      </c>
      <c r="X27" s="110">
        <f>-1.682-X26</f>
      </c>
      <c r="Y27" s="110">
        <f>Y28-Y26</f>
      </c>
      <c r="Z27" s="443">
        <f>SUM(V27:Y27)</f>
      </c>
      <c r="AA27" s="110">
        <f>AA28-AA26</f>
      </c>
      <c r="AB27" s="110">
        <f>AB28-AB26</f>
      </c>
      <c r="AC27" s="110">
        <f>AC28-AC26</f>
      </c>
      <c r="AD27" s="110">
        <v>-5</v>
      </c>
      <c r="AE27" s="443">
        <f>SUM(AA27:AD27)</f>
      </c>
      <c r="AF27" s="110">
        <f>AF28-AF26</f>
      </c>
      <c r="AG27" s="110">
        <f>AG28-AG26</f>
      </c>
      <c r="AH27" s="110">
        <f>AH28-AH26</f>
      </c>
      <c r="AI27" s="110">
        <v>-2.4329999999999998</v>
      </c>
      <c r="AJ27" s="443">
        <f>SUM(AF27:AI27)</f>
      </c>
      <c r="AK27" s="110">
        <v>-2.8069999999999999</v>
      </c>
      <c r="AL27" s="110">
        <v>-2.6</v>
      </c>
      <c r="AM27" s="110">
        <v>-3.5910000000000002</v>
      </c>
      <c r="AN27" s="110">
        <v>-2.8540000000000001</v>
      </c>
      <c r="AO27" s="443">
        <f>SUM(AK27:AN27)</f>
      </c>
      <c r="AP27" s="110">
        <v>-4.383</v>
      </c>
      <c r="AQ27" s="110">
        <v>-5.2190000000000003</v>
      </c>
      <c r="AR27" s="110">
        <v>-6.1459999999999999</v>
      </c>
      <c r="AS27" s="110">
        <v>-4.3860000000000001</v>
      </c>
      <c r="AT27" s="443">
        <f>SUM(AP27:AS27)</f>
      </c>
      <c r="AU27" s="110">
        <v>-8.5640000000000001</v>
      </c>
      <c r="AV27" s="110">
        <v>-8.7059999999999995</v>
      </c>
      <c r="AW27" s="110">
        <v>-10.714</v>
      </c>
      <c r="AX27" s="110">
        <v>-13.045</v>
      </c>
      <c r="AY27" s="443">
        <f>SUM(AU27:AX27)</f>
      </c>
      <c r="AZ27" s="110">
        <v>-12.542999999999999</v>
      </c>
      <c r="BA27" s="110">
        <v>-16.091000000000001</v>
      </c>
      <c r="BB27" s="110">
        <v>-18.957999999999998</v>
      </c>
      <c r="BC27" s="110">
        <v>-17.402999999999999</v>
      </c>
      <c r="BD27" s="443">
        <f>SUM(AZ27:BC27)</f>
      </c>
      <c r="BE27" s="110">
        <v>-10.039</v>
      </c>
      <c r="BF27" s="110">
        <v>-8.7919999999999998</v>
      </c>
      <c r="BG27" s="110">
        <v>-4.2069999999999999</v>
      </c>
      <c r="BH27" s="110">
        <v>-4.7080000000000002</v>
      </c>
      <c r="BI27" s="443">
        <f>SUM(BE27:BH27)</f>
      </c>
      <c r="BJ27" s="110">
        <v>-6.1440000000000001</v>
      </c>
      <c r="BK27" s="110">
        <v>-3.0059999999999998</v>
      </c>
      <c r="BL27" s="110">
        <v>-2.3620000000000001</v>
      </c>
      <c r="BM27" s="110">
        <v>-5.1390000000000002</v>
      </c>
      <c r="BN27" s="443">
        <f>SUM(BJ27:BM27)</f>
      </c>
      <c r="BO27" s="110">
        <v>-3.3319999999999999</v>
      </c>
      <c r="BP27" s="110">
        <v>-6.16</v>
      </c>
      <c r="BQ27" s="110">
        <v>0.19800000000000001</v>
      </c>
      <c r="BR27" s="110">
        <v>-6.1280000000000001</v>
      </c>
      <c r="BS27" s="443">
        <f>SUM(BO27:BR27)</f>
      </c>
      <c r="BT27" s="110">
        <v>-1.623</v>
      </c>
      <c r="BU27" s="110">
        <v>-3.5169999999999999</v>
      </c>
      <c r="BV27" s="110">
        <v>-7.6970000000000001</v>
      </c>
      <c r="BW27" s="110">
        <v>-2.2599999999999998</v>
      </c>
      <c r="BX27" s="443">
        <f>SUM(BT27:BW27)</f>
      </c>
      <c r="BY27" s="110">
        <v>-4.2690000000000001</v>
      </c>
      <c r="BZ27" s="110">
        <v>-5.585</v>
      </c>
      <c r="CA27" s="110">
        <v>-1.411</v>
      </c>
      <c r="CB27" s="110">
        <v>-2.5350000000000001</v>
      </c>
      <c r="CC27" s="443">
        <f>SUM(BY27:CB27)</f>
      </c>
      <c r="CD27" s="110">
        <v>-5.2809999999999997</v>
      </c>
      <c r="CE27" s="110">
        <v>-6.2859999999999996</v>
      </c>
      <c r="CF27" s="110">
        <v>-0.496</v>
      </c>
      <c r="CG27" s="110">
        <f>-7.935+5.743</f>
      </c>
      <c r="CH27" s="443">
        <f>SUM(CD27:CG27)</f>
      </c>
      <c r="CI27" s="110">
        <f>11.471-5.71-17.684+16.982-6.901</f>
      </c>
      <c r="CJ27" s="110">
        <f>-6.829+3.857-2.5-6.973</f>
      </c>
      <c r="CK27" s="110">
        <f>-7.422-7.01+0.125</f>
      </c>
      <c r="CL27" s="110">
        <f>-8.129-0.188</f>
      </c>
      <c r="CM27" s="443">
        <f>SUM(CI27:CL27)</f>
      </c>
      <c r="CN27" s="110">
        <f>-9+1</f>
      </c>
      <c r="CO27" s="110">
        <f>-9</f>
      </c>
      <c r="CP27" s="110">
        <f>-9-3</f>
      </c>
      <c r="CQ27" s="110">
        <v>-11</v>
      </c>
      <c r="CR27" s="443">
        <f>SUM(CN27:CQ27)</f>
      </c>
      <c r="CS27" s="110">
        <f>-12+4</f>
      </c>
      <c r="CT27" s="110">
        <v>-12</v>
      </c>
      <c r="CU27" s="110">
        <f>-14</f>
      </c>
      <c r="CV27" s="110">
        <v>-17</v>
      </c>
      <c r="CW27" s="443">
        <f>SUM(CS27:CV27)</f>
      </c>
      <c r="CX27" s="110">
        <f>-16</f>
      </c>
      <c r="CY27" s="110">
        <v>-15</v>
      </c>
      <c r="CZ27" s="110">
        <v>-17</v>
      </c>
      <c r="DA27" s="110">
        <f>-20-2</f>
      </c>
      <c r="DB27" s="443">
        <f>SUM(CX27:DA27)</f>
      </c>
      <c r="DC27" s="110">
        <f>-25-6</f>
      </c>
      <c r="DD27" s="110">
        <f>-32+2</f>
      </c>
      <c r="DE27" s="110">
        <f>-37+2</f>
      </c>
      <c r="DF27" s="110">
        <f>-42+1</f>
      </c>
      <c r="DG27" s="443">
        <f>SUM(DC27:DF27)</f>
      </c>
      <c r="DH27" s="110">
        <v>-44</v>
      </c>
      <c r="DI27" s="110">
        <f>-47</f>
      </c>
      <c r="DJ27" s="110">
        <f>-45+1</f>
      </c>
      <c r="DK27" s="110">
        <f>-41+3</f>
      </c>
      <c r="DL27" s="443">
        <f>SUM(DH27:DK27)</f>
      </c>
      <c r="DM27" s="110">
        <f>-31-3</f>
      </c>
      <c r="DN27" s="110">
        <f>-13+1</f>
      </c>
      <c r="DO27" s="110">
        <f>+-7+4-4-1</f>
      </c>
      <c r="DP27" s="110">
        <f>-6-10+9-1</f>
      </c>
      <c r="DQ27" s="443">
        <f>SUM(DM27:DP27)</f>
      </c>
      <c r="DR27" s="110">
        <f>-6+134-135</f>
      </c>
      <c r="DS27" s="110">
        <f>-6-4</f>
      </c>
      <c r="DT27" s="110">
        <f>-7-22+20</f>
      </c>
      <c r="DU27" s="110">
        <f>-9+53-53</f>
      </c>
      <c r="DV27" s="443">
        <f>SUM(DR27:DU27)</f>
      </c>
      <c r="DW27" s="110">
        <f>-18+13-17</f>
      </c>
      <c r="DX27" s="110">
        <f>-46+5-7</f>
      </c>
      <c r="DY27" s="110">
        <f>-88+11-11</f>
      </c>
      <c r="DZ27" s="110">
        <f>-115+18-10</f>
      </c>
      <c r="EA27" s="443">
        <f>SUM(DW27:DZ27)</f>
      </c>
      <c r="EB27" s="110">
        <f>-150+15-14</f>
      </c>
      <c r="EC27" s="110">
        <f>-187-59+62</f>
      </c>
      <c r="ED27" s="110">
        <f>-234-69+66</f>
      </c>
      <c r="EE27" s="110">
        <f>-294-260+260</f>
      </c>
      <c r="EF27" s="443">
        <f>SUM(EB27:EE27)</f>
      </c>
      <c r="EG27" s="110">
        <f>-359-75+69</f>
      </c>
      <c r="EH27" s="110">
        <f>-444-189+193</f>
      </c>
      <c r="EI27" s="110">
        <f>-472-36+37</f>
      </c>
      <c r="EJ27" s="110">
        <f>-511-733+727</f>
      </c>
      <c r="EK27" s="443">
        <f>SUM(EG27:EJ27)</f>
      </c>
      <c r="EL27" s="110">
        <f>-515+180-175</f>
      </c>
      <c r="EM27" s="110">
        <f>-592-2236+2247</f>
      </c>
      <c r="EN27" s="454">
        <f>EM27-50</f>
      </c>
      <c r="EO27" s="454">
        <f>EN27-30</f>
      </c>
      <c r="EP27" s="443">
        <f>SUM(EL27:EO27)</f>
      </c>
      <c r="EQ27" s="454">
        <f>EO27-15</f>
      </c>
      <c r="ER27" s="454">
        <f>EQ27-15</f>
      </c>
      <c r="ES27" s="454">
        <f>ER27-15</f>
      </c>
      <c r="ET27" s="454">
        <f>ES27-15</f>
      </c>
      <c r="EU27" s="443">
        <f>SUM(EQ27:ET27)</f>
      </c>
      <c r="EV27" s="454">
        <f>ET27-25</f>
      </c>
      <c r="EW27" s="454">
        <f>EV27-25</f>
      </c>
      <c r="EX27" s="454">
        <f>EW27-25</f>
      </c>
      <c r="EY27" s="454">
        <f>EX27-25</f>
      </c>
      <c r="EZ27" s="443">
        <f>SUM(EV27:EY27)</f>
      </c>
      <c r="FA27" s="443"/>
      <c r="FB27" s="37"/>
      <c r="FC27" s="37"/>
      <c r="FD27" s="37"/>
      <c r="FE27" s="37"/>
      <c r="FF27" s="37"/>
      <c r="FG27" s="37"/>
      <c r="FH27" s="37"/>
      <c r="FI27" s="37"/>
      <c r="FJ27" s="37"/>
      <c r="FK27" s="37"/>
      <c r="FL27" s="37"/>
      <c r="FM27" s="37"/>
      <c r="FN27" s="37"/>
    </row>
    <row r="28" spans="1:170">
      <c r="A28" s="106" t="s">
        <v>361</v>
      </c>
      <c r="B28" s="442">
        <v>3.2000000000000001E-2</v>
      </c>
      <c r="C28" s="442">
        <v>0.04</v>
      </c>
      <c r="D28" s="442">
        <v>0.03</v>
      </c>
      <c r="E28" s="442">
        <v>2.8000000000000001E-2</v>
      </c>
      <c r="F28" s="443">
        <f>SUM(B28:E28)</f>
      </c>
      <c r="G28" s="442">
        <v>-2.7E-2</v>
      </c>
      <c r="H28" s="442">
        <v>-2.1999999999999999E-2</v>
      </c>
      <c r="I28" s="442">
        <v>-1.0999999999999999E-2</v>
      </c>
      <c r="J28" s="442">
        <v>8.8999999999999968E-2</v>
      </c>
      <c r="K28" s="443">
        <f>SUM(G28:J28)</f>
      </c>
      <c r="L28" s="442">
        <v>-0.34200000000000003</v>
      </c>
      <c r="M28" s="442">
        <v>-0.36899999999999999</v>
      </c>
      <c r="N28" s="442">
        <v>-0.43</v>
      </c>
      <c r="O28" s="442">
        <v>-0.61299999999999999</v>
      </c>
      <c r="P28" s="443">
        <f>SUM(L28:O28)</f>
      </c>
      <c r="Q28" s="442">
        <f>-1.328</f>
      </c>
      <c r="R28" s="442">
        <v>-4.0979999999999999</v>
      </c>
      <c r="S28" s="442">
        <v>-4.63</v>
      </c>
      <c r="T28" s="442">
        <v>-6.6169999999999973</v>
      </c>
      <c r="U28" s="443">
        <f>SUM(Q28:T28)</f>
      </c>
      <c r="V28" s="442">
        <v>-5.5149999999999997</v>
      </c>
      <c r="W28" s="442">
        <v>-2.6629999999999998</v>
      </c>
      <c r="X28" s="442">
        <f>X27+X26</f>
      </c>
      <c r="Y28" s="442">
        <v>-1.8480000000000025</v>
      </c>
      <c r="Z28" s="443">
        <f>SUM(V28:Y28)</f>
      </c>
      <c r="AA28" s="442">
        <v>-1.7310000000000001</v>
      </c>
      <c r="AB28" s="442">
        <v>-1.34</v>
      </c>
      <c r="AC28" s="442">
        <v>-1.47</v>
      </c>
      <c r="AD28" s="442">
        <v>-2.0299999999999998</v>
      </c>
      <c r="AE28" s="443">
        <f>SUM(AA28:AD28)</f>
      </c>
      <c r="AF28" s="442">
        <v>-1.8620000000000001</v>
      </c>
      <c r="AG28" s="442">
        <v>-2.0289999999999999</v>
      </c>
      <c r="AH28" s="442">
        <v>-3.26</v>
      </c>
      <c r="AI28" s="442">
        <f t="shared" ref="AI28:BM28" si="31">SUM(AI26:AI27)</f>
      </c>
      <c r="AJ28" s="443">
        <f>SUM(AF28:AI28)</f>
      </c>
      <c r="AK28" s="442">
        <f t="shared" si="31"/>
      </c>
      <c r="AL28" s="442">
        <f t="shared" si="31"/>
      </c>
      <c r="AM28" s="442">
        <f t="shared" si="31"/>
      </c>
      <c r="AN28" s="442">
        <f t="shared" si="31"/>
      </c>
      <c r="AO28" s="443">
        <f>SUM(AK28:AN28)</f>
      </c>
      <c r="AP28" s="442">
        <f t="shared" si="31"/>
      </c>
      <c r="AQ28" s="442">
        <f t="shared" si="31"/>
      </c>
      <c r="AR28" s="442">
        <f t="shared" si="31"/>
      </c>
      <c r="AS28" s="442">
        <f t="shared" si="31"/>
      </c>
      <c r="AT28" s="443">
        <f>SUM(AP28:AS28)</f>
      </c>
      <c r="AU28" s="442">
        <f t="shared" si="31"/>
      </c>
      <c r="AV28" s="442">
        <f t="shared" si="31"/>
      </c>
      <c r="AW28" s="442">
        <f t="shared" si="31"/>
      </c>
      <c r="AX28" s="442">
        <f t="shared" si="31"/>
      </c>
      <c r="AY28" s="443">
        <f>SUM(AU28:AX28)</f>
      </c>
      <c r="AZ28" s="442">
        <f t="shared" si="31"/>
      </c>
      <c r="BA28" s="442">
        <f t="shared" si="31"/>
      </c>
      <c r="BB28" s="442">
        <f>SUM(BB26:BB27)</f>
      </c>
      <c r="BC28" s="442">
        <f>SUM(BC26:BC27)</f>
      </c>
      <c r="BD28" s="443">
        <f>SUM(AZ28:BC28)</f>
      </c>
      <c r="BE28" s="442">
        <f>SUM(BE26:BE27)</f>
      </c>
      <c r="BF28" s="442">
        <f t="shared" si="31"/>
      </c>
      <c r="BG28" s="442">
        <f t="shared" si="31"/>
      </c>
      <c r="BH28" s="442">
        <f t="shared" si="31"/>
      </c>
      <c r="BI28" s="443">
        <f>SUM(BE28:BH28)</f>
      </c>
      <c r="BJ28" s="442">
        <f t="shared" si="31"/>
      </c>
      <c r="BK28" s="442">
        <f t="shared" si="31"/>
      </c>
      <c r="BL28" s="442">
        <f t="shared" si="31"/>
      </c>
      <c r="BM28" s="442">
        <f t="shared" si="31"/>
      </c>
      <c r="BN28" s="443">
        <f>SUM(BJ28:BM28)</f>
      </c>
      <c r="BO28" s="442">
        <f t="shared" ref="BO28:BW28" si="32">SUM(BO26:BO27)</f>
      </c>
      <c r="BP28" s="442">
        <f t="shared" si="32"/>
      </c>
      <c r="BQ28" s="442">
        <f t="shared" si="32"/>
      </c>
      <c r="BR28" s="442">
        <f t="shared" si="32"/>
      </c>
      <c r="BS28" s="443">
        <f>SUM(BO28:BR28)</f>
      </c>
      <c r="BT28" s="442">
        <f t="shared" si="32"/>
      </c>
      <c r="BU28" s="442">
        <f t="shared" si="32"/>
      </c>
      <c r="BV28" s="442">
        <f t="shared" si="32"/>
      </c>
      <c r="BW28" s="442">
        <f t="shared" si="32"/>
      </c>
      <c r="BX28" s="443">
        <f>SUM(BT28:BW28)</f>
      </c>
      <c r="BY28" s="442">
        <f>SUM(BY26:BY27)</f>
      </c>
      <c r="BZ28" s="442">
        <f>SUM(BZ26:BZ27)</f>
      </c>
      <c r="CA28" s="442">
        <f>SUM(CA26:CA27)</f>
      </c>
      <c r="CB28" s="442">
        <f>SUM(CB26:CB27)</f>
      </c>
      <c r="CC28" s="443">
        <f>SUM(BY28:CB28)</f>
      </c>
      <c r="CD28" s="442">
        <f>SUM(CD26:CD27)</f>
      </c>
      <c r="CE28" s="442">
        <f>SUM(CE26:CE27)</f>
      </c>
      <c r="CF28" s="442">
        <f>SUM(CF26:CF27)</f>
      </c>
      <c r="CG28" s="442">
        <f>SUM(CG26:CG27)</f>
      </c>
      <c r="CH28" s="443">
        <f>SUM(CD28:CG28)</f>
      </c>
      <c r="CI28" s="442">
        <f>SUM(CI26:CI27)</f>
      </c>
      <c r="CJ28" s="442">
        <f>SUM(CJ26:CJ27)</f>
      </c>
      <c r="CK28" s="442">
        <f>SUM(CK26:CK27)</f>
      </c>
      <c r="CL28" s="442">
        <f>SUM(CL26:CL27)</f>
      </c>
      <c r="CM28" s="443">
        <f>SUM(CI28:CL28)</f>
      </c>
      <c r="CN28" s="442">
        <f>SUM(CN26:CN27)</f>
      </c>
      <c r="CO28" s="442">
        <f>SUM(CO26:CO27)</f>
      </c>
      <c r="CP28" s="442">
        <f>SUM(CP26:CP27)</f>
      </c>
      <c r="CQ28" s="442">
        <f>SUM(CQ26:CQ27)</f>
      </c>
      <c r="CR28" s="443">
        <f>SUM(CN28:CQ28)</f>
      </c>
      <c r="CS28" s="442">
        <f>SUM(CS26:CS27)</f>
      </c>
      <c r="CT28" s="442">
        <f>SUM(CT26:CT27)</f>
      </c>
      <c r="CU28" s="442">
        <f>SUM(CU26:CU27)</f>
      </c>
      <c r="CV28" s="442">
        <f>SUM(CV26:CV27)</f>
      </c>
      <c r="CW28" s="443">
        <f>SUM(CS28:CV28)</f>
      </c>
      <c r="CX28" s="442">
        <f>SUM(CX26:CX27)</f>
      </c>
      <c r="CY28" s="442">
        <f>SUM(CY26:CY27)</f>
      </c>
      <c r="CZ28" s="442">
        <f>SUM(CZ26:CZ27)</f>
      </c>
      <c r="DA28" s="442">
        <f>SUM(DA26:DA27)</f>
      </c>
      <c r="DB28" s="443">
        <f>SUM(CX28:DA28)</f>
      </c>
      <c r="DC28" s="442">
        <f>SUM(DC26:DC27)</f>
      </c>
      <c r="DD28" s="442">
        <f>SUM(DD26:DD27)</f>
      </c>
      <c r="DE28" s="442">
        <f>SUM(DE26:DE27)</f>
      </c>
      <c r="DF28" s="442">
        <f>SUM(DF26:DF27)</f>
      </c>
      <c r="DG28" s="443">
        <f>SUM(DC28:DF28)</f>
      </c>
      <c r="DH28" s="442">
        <f>SUM(DH26:DH27)</f>
      </c>
      <c r="DI28" s="442">
        <f>SUM(DI26:DI27)</f>
      </c>
      <c r="DJ28" s="442">
        <f>SUM(DJ26:DJ27)</f>
      </c>
      <c r="DK28" s="442">
        <f>SUM(DK26:DK27)</f>
      </c>
      <c r="DL28" s="443">
        <f>SUM(DH28:DK28)</f>
      </c>
      <c r="DM28" s="442">
        <f>SUM(DM26:DM27)</f>
      </c>
      <c r="DN28" s="442">
        <f>SUM(DN26:DN27)</f>
      </c>
      <c r="DO28" s="442">
        <f>SUM(DO26:DO27)</f>
      </c>
      <c r="DP28" s="442">
        <f>SUM(DP26:DP27)</f>
      </c>
      <c r="DQ28" s="443">
        <f>SUM(DM28:DP28)</f>
      </c>
      <c r="DR28" s="442">
        <f>SUM(DR26:DR27)</f>
      </c>
      <c r="DS28" s="442">
        <f>SUM(DS26:DS27)</f>
      </c>
      <c r="DT28" s="442">
        <f>SUM(DT26:DT27)</f>
      </c>
      <c r="DU28" s="442">
        <f>SUM(DU26:DU27)</f>
      </c>
      <c r="DV28" s="443">
        <f>SUM(DR28:DU28)</f>
      </c>
      <c r="DW28" s="442">
        <f>SUM(DW26:DW27)</f>
      </c>
      <c r="DX28" s="442">
        <f>SUM(DX26:DX27)</f>
      </c>
      <c r="DY28" s="442">
        <f>SUM(DY26:DY27)</f>
      </c>
      <c r="DZ28" s="442">
        <f>SUM(DZ26:DZ27)</f>
      </c>
      <c r="EA28" s="443">
        <f>SUM(DW28:DZ28)</f>
      </c>
      <c r="EB28" s="442">
        <f>SUM(EB26:EB27)</f>
      </c>
      <c r="EC28" s="442">
        <f>SUM(EC26:EC27)</f>
      </c>
      <c r="ED28" s="442">
        <f>SUM(ED26:ED27)</f>
      </c>
      <c r="EE28" s="442">
        <f>SUM(EE26:EE27)</f>
      </c>
      <c r="EF28" s="443">
        <f>SUM(EB28:EE28)</f>
      </c>
      <c r="EG28" s="442">
        <f>SUM(EG26:EG27)</f>
      </c>
      <c r="EH28" s="442">
        <f>SUM(EH26:EH27)</f>
      </c>
      <c r="EI28" s="442">
        <f>SUM(EI26:EI27)</f>
      </c>
      <c r="EJ28" s="442">
        <f>SUM(EJ26:EJ27)</f>
      </c>
      <c r="EK28" s="443">
        <f>SUM(EG28:EJ28)</f>
      </c>
      <c r="EL28" s="442">
        <f>SUM(EL26:EL27)</f>
      </c>
      <c r="EM28" s="442">
        <f>SUM(EM26:EM27)</f>
      </c>
      <c r="EN28" s="442">
        <f>SUM(EN26:EN27)</f>
      </c>
      <c r="EO28" s="442">
        <f>SUM(EO26:EO27)</f>
      </c>
      <c r="EP28" s="443">
        <f>SUM(EL28:EO28)</f>
      </c>
      <c r="EQ28" s="442">
        <f>SUM(EQ26:EQ27)</f>
      </c>
      <c r="ER28" s="442">
        <f>SUM(ER26:ER27)</f>
      </c>
      <c r="ES28" s="442">
        <f>SUM(ES26:ES27)</f>
      </c>
      <c r="ET28" s="442">
        <f>SUM(ET26:ET27)</f>
      </c>
      <c r="EU28" s="443">
        <f>SUM(EQ28:ET28)</f>
      </c>
      <c r="EV28" s="442">
        <f>SUM(EV26:EV27)</f>
      </c>
      <c r="EW28" s="442">
        <f>SUM(EW26:EW27)</f>
      </c>
      <c r="EX28" s="442">
        <f>SUM(EX26:EX27)</f>
      </c>
      <c r="EY28" s="442">
        <f>SUM(EY26:EY27)</f>
      </c>
      <c r="EZ28" s="443">
        <f>SUM(EV28:EY28)</f>
      </c>
      <c r="FA28" s="443"/>
      <c r="FB28" s="37"/>
      <c r="FC28" s="37"/>
      <c r="FD28" s="37"/>
      <c r="FE28" s="37"/>
      <c r="FF28" s="37"/>
      <c r="FG28" s="37"/>
      <c r="FH28" s="37"/>
      <c r="FI28" s="37"/>
      <c r="FJ28" s="37"/>
      <c r="FK28" s="37"/>
      <c r="FL28" s="37"/>
      <c r="FM28" s="37"/>
      <c r="FN28" s="37"/>
    </row>
    <row r="29" spans="1:170">
      <c r="B29" s="442"/>
      <c r="C29" s="442"/>
      <c r="D29" s="442"/>
      <c r="E29" s="442"/>
      <c r="F29" s="443"/>
      <c r="G29" s="442"/>
      <c r="H29" s="442"/>
      <c r="I29" s="442"/>
      <c r="J29" s="442"/>
      <c r="K29" s="443"/>
      <c r="L29" s="442"/>
      <c r="M29" s="442"/>
      <c r="N29" s="442"/>
      <c r="O29" s="442"/>
      <c r="P29" s="443"/>
      <c r="Q29" s="442"/>
      <c r="R29" s="442"/>
      <c r="S29" s="442"/>
      <c r="T29" s="442"/>
      <c r="U29" s="443"/>
      <c r="V29" s="442"/>
      <c r="W29" s="442"/>
      <c r="X29" s="442"/>
      <c r="Y29" s="442"/>
      <c r="Z29" s="443"/>
      <c r="AA29" s="442"/>
      <c r="AB29" s="442"/>
      <c r="AC29" s="442"/>
      <c r="AD29" s="442"/>
      <c r="AE29" s="443"/>
      <c r="AF29" s="442"/>
      <c r="AG29" s="442"/>
      <c r="AH29" s="442"/>
      <c r="AI29" s="442"/>
      <c r="AJ29" s="443"/>
      <c r="AK29" s="442"/>
      <c r="AL29" s="442"/>
      <c r="AM29" s="442"/>
      <c r="AN29" s="442"/>
      <c r="AO29" s="443"/>
      <c r="AP29" s="442"/>
      <c r="AQ29" s="442"/>
      <c r="AR29" s="442"/>
      <c r="AS29" s="442"/>
      <c r="AT29" s="443"/>
      <c r="AU29" s="442"/>
      <c r="AV29" s="442"/>
      <c r="AW29" s="442"/>
      <c r="AX29" s="442"/>
      <c r="AY29" s="443"/>
      <c r="AZ29" s="442"/>
      <c r="BA29" s="442"/>
      <c r="BB29" s="442"/>
      <c r="BC29" s="442"/>
      <c r="BD29" s="443"/>
      <c r="BE29" s="442"/>
      <c r="BF29" s="442"/>
      <c r="BG29" s="442"/>
      <c r="BH29" s="442"/>
      <c r="BI29" s="443"/>
      <c r="BJ29" s="442"/>
      <c r="BK29" s="442"/>
      <c r="BL29" s="442"/>
      <c r="BM29" s="442"/>
      <c r="BN29" s="443"/>
      <c r="BO29" s="442"/>
      <c r="BP29" s="442"/>
      <c r="BQ29" s="442"/>
      <c r="BR29" s="442"/>
      <c r="BS29" s="443"/>
      <c r="BT29" s="442"/>
      <c r="BU29" s="442"/>
      <c r="BV29" s="442"/>
      <c r="BW29" s="442"/>
      <c r="BX29" s="443"/>
      <c r="BY29" s="442"/>
      <c r="BZ29" s="442"/>
      <c r="CA29" s="442"/>
      <c r="CB29" s="442"/>
      <c r="CC29" s="443"/>
      <c r="CD29" s="442"/>
      <c r="CE29" s="442"/>
      <c r="CF29" s="442"/>
      <c r="CG29" s="442"/>
      <c r="CH29" s="443"/>
      <c r="CI29" s="442"/>
      <c r="CJ29" s="442"/>
      <c r="CK29" s="442"/>
      <c r="CL29" s="442"/>
      <c r="CM29" s="443"/>
      <c r="CN29" s="442"/>
      <c r="CO29" s="442"/>
      <c r="CP29" s="442"/>
      <c r="CQ29" s="442"/>
      <c r="CR29" s="443"/>
      <c r="CS29" s="442"/>
      <c r="CT29" s="442"/>
      <c r="CU29" s="442"/>
      <c r="CV29" s="442"/>
      <c r="CW29" s="443"/>
      <c r="CX29" s="442"/>
      <c r="CY29" s="442"/>
      <c r="CZ29" s="442"/>
      <c r="DA29" s="442"/>
      <c r="DB29" s="443"/>
      <c r="DC29" s="442"/>
      <c r="DD29" s="442"/>
      <c r="DE29" s="442"/>
      <c r="DF29" s="442"/>
      <c r="DG29" s="443"/>
      <c r="DH29" s="442"/>
      <c r="DI29" s="442"/>
      <c r="DJ29" s="442"/>
      <c r="DK29" s="442"/>
      <c r="DL29" s="443"/>
      <c r="DM29" s="442"/>
      <c r="DN29" s="442"/>
      <c r="DO29" s="442"/>
      <c r="DP29" s="442"/>
      <c r="DQ29" s="443"/>
      <c r="DR29" s="442"/>
      <c r="DS29" s="442"/>
      <c r="DT29" s="442"/>
      <c r="DU29" s="442"/>
      <c r="DV29" s="443"/>
      <c r="DW29" s="442"/>
      <c r="DX29" s="442"/>
      <c r="DY29" s="442"/>
      <c r="DZ29" s="442"/>
      <c r="EA29" s="443"/>
      <c r="EB29" s="442"/>
      <c r="EC29" s="442"/>
      <c r="ED29" s="442"/>
      <c r="EE29" s="442"/>
      <c r="EF29" s="443"/>
      <c r="EG29" s="442"/>
      <c r="EH29" s="442"/>
      <c r="EI29" s="442"/>
      <c r="EJ29" s="442"/>
      <c r="EK29" s="443"/>
      <c r="EL29" s="442"/>
      <c r="EM29" s="442"/>
      <c r="EN29" s="442"/>
      <c r="EO29" s="442"/>
      <c r="EP29" s="443"/>
      <c r="EQ29" s="442"/>
      <c r="ER29" s="442"/>
      <c r="ES29" s="442"/>
      <c r="ET29" s="442"/>
      <c r="EU29" s="443"/>
      <c r="EV29" s="442"/>
      <c r="EW29" s="442"/>
      <c r="EX29" s="442"/>
      <c r="EY29" s="442"/>
      <c r="EZ29" s="443"/>
      <c r="FA29" s="443"/>
      <c r="FB29" s="37"/>
      <c r="FC29" s="37"/>
      <c r="FD29" s="37"/>
      <c r="FE29" s="37"/>
      <c r="FF29" s="37"/>
      <c r="FG29" s="37"/>
      <c r="FH29" s="37"/>
      <c r="FI29" s="37"/>
      <c r="FJ29" s="37"/>
      <c r="FK29" s="37"/>
      <c r="FL29" s="37"/>
      <c r="FM29" s="37"/>
      <c r="FN29" s="37"/>
    </row>
    <row r="30" spans="1:170">
      <c r="A30" s="106" t="s">
        <v>362</v>
      </c>
      <c r="B30" s="442">
        <v>0</v>
      </c>
      <c r="C30" s="442">
        <v>0</v>
      </c>
      <c r="D30" s="442">
        <v>0</v>
      </c>
      <c r="E30" s="442">
        <v>0</v>
      </c>
      <c r="F30" s="443">
        <f>SUM(B30:E30)</f>
      </c>
      <c r="G30" s="442">
        <v>0</v>
      </c>
      <c r="H30" s="442">
        <v>0</v>
      </c>
      <c r="I30" s="442">
        <v>0</v>
      </c>
      <c r="J30" s="442">
        <v>0</v>
      </c>
      <c r="K30" s="443">
        <f>SUM(G30:J30)</f>
      </c>
      <c r="L30" s="442">
        <v>0</v>
      </c>
      <c r="M30" s="442">
        <v>8.9999999999999993E-3</v>
      </c>
      <c r="N30" s="442">
        <v>0.98299999999999998</v>
      </c>
      <c r="O30" s="442">
        <v>-0.94</v>
      </c>
      <c r="P30" s="443">
        <f>SUM(L30:O30)</f>
      </c>
      <c r="Q30" s="442">
        <v>-0.39700000000000002</v>
      </c>
      <c r="R30" s="442">
        <v>-0.89800000000000002</v>
      </c>
      <c r="S30" s="442">
        <v>0.11799999999999999</v>
      </c>
      <c r="T30" s="442">
        <v>0.35899999999999999</v>
      </c>
      <c r="U30" s="443">
        <f>SUM(Q30:T30)</f>
      </c>
      <c r="V30" s="442">
        <v>0</v>
      </c>
      <c r="W30" s="442">
        <v>0</v>
      </c>
      <c r="X30" s="442">
        <v>0</v>
      </c>
      <c r="Y30" s="442">
        <f>0.691</f>
      </c>
      <c r="Z30" s="443">
        <f>SUM(V30:Y30)</f>
      </c>
      <c r="AA30" s="442">
        <v>0</v>
      </c>
      <c r="AB30" s="442">
        <v>0</v>
      </c>
      <c r="AC30" s="442">
        <v>0</v>
      </c>
      <c r="AD30" s="442">
        <v>0</v>
      </c>
      <c r="AE30" s="443">
        <f>SUM(AA30:AD30)</f>
      </c>
      <c r="AF30" s="442">
        <v>0</v>
      </c>
      <c r="AG30" s="442">
        <v>0</v>
      </c>
      <c r="AH30" s="442">
        <v>0</v>
      </c>
      <c r="AI30" s="442">
        <v>0</v>
      </c>
      <c r="AJ30" s="443">
        <f>SUM(AF30:AI30)</f>
      </c>
      <c r="AK30" s="442">
        <v>0</v>
      </c>
      <c r="AL30" s="442">
        <v>0</v>
      </c>
      <c r="AM30" s="442">
        <v>0</v>
      </c>
      <c r="AN30" s="442">
        <v>0</v>
      </c>
      <c r="AO30" s="443">
        <f>SUM(AK30:AN30)</f>
      </c>
      <c r="AP30" s="442">
        <v>0</v>
      </c>
      <c r="AQ30" s="442">
        <v>0</v>
      </c>
      <c r="AR30" s="442">
        <v>0</v>
      </c>
      <c r="AS30" s="442">
        <v>0</v>
      </c>
      <c r="AT30" s="443">
        <f>SUM(AP30:AS30)</f>
      </c>
      <c r="AU30" s="442">
        <v>0</v>
      </c>
      <c r="AV30" s="442">
        <v>0</v>
      </c>
      <c r="AW30" s="442">
        <v>0</v>
      </c>
      <c r="AX30" s="442">
        <v>0</v>
      </c>
      <c r="AY30" s="443">
        <f>SUM(AU30:AX30)</f>
      </c>
      <c r="AZ30" s="442">
        <v>0</v>
      </c>
      <c r="BA30" s="442">
        <v>0</v>
      </c>
      <c r="BB30" s="442">
        <v>0</v>
      </c>
      <c r="BC30" s="442">
        <v>0</v>
      </c>
      <c r="BD30" s="443">
        <f>SUM(AZ30:BC30)</f>
      </c>
      <c r="BE30" s="442">
        <v>0</v>
      </c>
      <c r="BF30" s="442">
        <v>0</v>
      </c>
      <c r="BG30" s="442">
        <v>0</v>
      </c>
      <c r="BH30" s="442">
        <v>0</v>
      </c>
      <c r="BI30" s="443">
        <f>SUM(BE30:BH30)</f>
      </c>
      <c r="BJ30" s="442">
        <v>0</v>
      </c>
      <c r="BK30" s="442">
        <v>0</v>
      </c>
      <c r="BL30" s="442">
        <v>0</v>
      </c>
      <c r="BM30" s="442">
        <v>0</v>
      </c>
      <c r="BN30" s="443">
        <f>SUM(BJ30:BM30)</f>
      </c>
      <c r="BO30" s="442">
        <v>0</v>
      </c>
      <c r="BP30" s="442">
        <v>0</v>
      </c>
      <c r="BQ30" s="442">
        <v>0</v>
      </c>
      <c r="BR30" s="442">
        <v>0</v>
      </c>
      <c r="BS30" s="443">
        <f>SUM(BO30:BR30)</f>
      </c>
      <c r="BT30" s="442">
        <v>0</v>
      </c>
      <c r="BU30" s="442">
        <v>0</v>
      </c>
      <c r="BV30" s="442">
        <v>0</v>
      </c>
      <c r="BW30" s="442">
        <v>0</v>
      </c>
      <c r="BX30" s="443">
        <f>SUM(BT30:BW30)</f>
      </c>
      <c r="BY30" s="442">
        <v>0</v>
      </c>
      <c r="BZ30" s="442">
        <v>0</v>
      </c>
      <c r="CA30" s="442">
        <v>0</v>
      </c>
      <c r="CB30" s="442">
        <v>0</v>
      </c>
      <c r="CC30" s="443">
        <f>SUM(BY30:CB30)</f>
      </c>
      <c r="CD30" s="442">
        <v>0</v>
      </c>
      <c r="CE30" s="442">
        <v>0</v>
      </c>
      <c r="CF30" s="442">
        <v>0</v>
      </c>
      <c r="CG30" s="442">
        <v>0</v>
      </c>
      <c r="CH30" s="443">
        <f>SUM(CD30:CG30)</f>
      </c>
      <c r="CI30" s="442">
        <v>0</v>
      </c>
      <c r="CJ30" s="442">
        <v>0</v>
      </c>
      <c r="CK30" s="442">
        <v>0</v>
      </c>
      <c r="CL30" s="442">
        <v>0</v>
      </c>
      <c r="CM30" s="443">
        <f>SUM(CI30:CL30)</f>
      </c>
      <c r="CN30" s="442">
        <v>0</v>
      </c>
      <c r="CO30" s="442">
        <v>0</v>
      </c>
      <c r="CP30" s="442">
        <v>0</v>
      </c>
      <c r="CQ30" s="442">
        <v>0</v>
      </c>
      <c r="CR30" s="443">
        <f>SUM(CN30:CQ30)</f>
      </c>
      <c r="CS30" s="442">
        <v>0</v>
      </c>
      <c r="CT30" s="442">
        <v>0</v>
      </c>
      <c r="CU30" s="442">
        <f>16-15</f>
      </c>
      <c r="CV30" s="442">
        <f>6-6-1</f>
      </c>
      <c r="CW30" s="443">
        <f>SUM(CS30:CV30)</f>
      </c>
      <c r="CX30" s="442">
        <f>18-14</f>
      </c>
      <c r="CY30" s="442">
        <f>4-3</f>
      </c>
      <c r="CZ30" s="442">
        <f>1-1</f>
      </c>
      <c r="DA30" s="442">
        <v>0</v>
      </c>
      <c r="DB30" s="443">
        <f>SUM(CX30:DA30)</f>
      </c>
      <c r="DC30" s="442">
        <v>6</v>
      </c>
      <c r="DD30" s="442">
        <v>-5</v>
      </c>
      <c r="DE30" s="442">
        <f>-1</f>
      </c>
      <c r="DF30" s="442">
        <v>-2</v>
      </c>
      <c r="DG30" s="443">
        <f>SUM(DC30:DF30)</f>
      </c>
      <c r="DH30" s="442">
        <v>0</v>
      </c>
      <c r="DI30" s="442">
        <v>-1</v>
      </c>
      <c r="DJ30" s="442">
        <v>0</v>
      </c>
      <c r="DK30" s="442">
        <v>0</v>
      </c>
      <c r="DL30" s="443">
        <f>SUM(DH30:DK30)</f>
      </c>
      <c r="DM30" s="442">
        <v>0</v>
      </c>
      <c r="DN30" s="442">
        <v>0</v>
      </c>
      <c r="DO30" s="442">
        <v>0</v>
      </c>
      <c r="DP30" s="442">
        <v>0</v>
      </c>
      <c r="DQ30" s="443">
        <f>SUM(DM30:DP30)</f>
      </c>
      <c r="DR30" s="444">
        <v>0</v>
      </c>
      <c r="DS30" s="442">
        <v>0</v>
      </c>
      <c r="DT30" s="442">
        <v>0</v>
      </c>
      <c r="DU30" s="442">
        <v>0</v>
      </c>
      <c r="DV30" s="443">
        <f>SUM(DR30:DU30)</f>
      </c>
      <c r="DW30" s="444">
        <v>0</v>
      </c>
      <c r="DX30" s="442">
        <v>1</v>
      </c>
      <c r="DY30" s="442">
        <v>0</v>
      </c>
      <c r="DZ30" s="442">
        <v>0</v>
      </c>
      <c r="EA30" s="443">
        <f>SUM(DW30:DZ30)</f>
      </c>
      <c r="EB30" s="442">
        <v>0</v>
      </c>
      <c r="EC30" s="442">
        <v>0</v>
      </c>
      <c r="ED30" s="442">
        <v>0</v>
      </c>
      <c r="EE30" s="442">
        <v>0</v>
      </c>
      <c r="EF30" s="443">
        <f>SUM(EB30:EE30)</f>
      </c>
      <c r="EG30" s="442">
        <v>0</v>
      </c>
      <c r="EH30" s="442">
        <v>0</v>
      </c>
      <c r="EI30" s="442">
        <v>0</v>
      </c>
      <c r="EJ30" s="442">
        <v>0</v>
      </c>
      <c r="EK30" s="443">
        <f>SUM(EG30:EJ30)</f>
      </c>
      <c r="EL30" s="442">
        <v>0</v>
      </c>
      <c r="EM30" s="442">
        <v>0</v>
      </c>
      <c r="EN30" s="444">
        <v>0</v>
      </c>
      <c r="EO30" s="444">
        <v>0</v>
      </c>
      <c r="EP30" s="443">
        <f>SUM(EL30:EO30)</f>
      </c>
      <c r="EQ30" s="444">
        <v>0</v>
      </c>
      <c r="ER30" s="444">
        <v>0</v>
      </c>
      <c r="ES30" s="444">
        <v>0</v>
      </c>
      <c r="ET30" s="444">
        <v>0</v>
      </c>
      <c r="EU30" s="443">
        <f>SUM(EQ30:ET30)</f>
      </c>
      <c r="EV30" s="444">
        <v>0</v>
      </c>
      <c r="EW30" s="444">
        <v>0</v>
      </c>
      <c r="EX30" s="444">
        <v>0</v>
      </c>
      <c r="EY30" s="444">
        <v>0</v>
      </c>
      <c r="EZ30" s="443">
        <f>SUM(EV30:EY30)</f>
      </c>
      <c r="FA30" s="443"/>
      <c r="FB30" s="37"/>
      <c r="FC30" s="37"/>
      <c r="FD30" s="37"/>
      <c r="FE30" s="37"/>
      <c r="FF30" s="37"/>
      <c r="FG30" s="37"/>
      <c r="FH30" s="37"/>
      <c r="FI30" s="37"/>
      <c r="FJ30" s="37"/>
      <c r="FK30" s="37"/>
      <c r="FL30" s="37"/>
      <c r="FM30" s="37"/>
      <c r="FN30" s="37"/>
    </row>
    <row r="31" spans="1:170">
      <c r="B31" s="455"/>
      <c r="C31" s="455"/>
      <c r="D31" s="455"/>
      <c r="E31" s="455"/>
      <c r="G31" s="455"/>
      <c r="H31" s="455"/>
      <c r="I31" s="455"/>
      <c r="J31" s="455"/>
      <c r="L31" s="455"/>
      <c r="M31" s="455"/>
      <c r="N31" s="455"/>
      <c r="O31" s="455"/>
      <c r="Q31" s="455"/>
      <c r="R31" s="455"/>
      <c r="S31" s="455"/>
      <c r="T31" s="455"/>
      <c r="V31" s="455"/>
      <c r="W31" s="455"/>
      <c r="X31" s="455"/>
      <c r="Y31" s="455"/>
      <c r="AA31" s="455"/>
      <c r="AB31" s="455"/>
      <c r="AC31" s="455"/>
      <c r="AD31" s="455"/>
      <c r="AE31" s="84"/>
      <c r="AF31" s="455"/>
      <c r="AG31" s="455"/>
      <c r="AH31" s="455"/>
      <c r="AI31" s="455"/>
      <c r="AJ31" s="84"/>
      <c r="AK31" s="455"/>
      <c r="AL31" s="455"/>
      <c r="AM31" s="455"/>
      <c r="AN31" s="455"/>
      <c r="AO31" s="84"/>
      <c r="AP31" s="455"/>
      <c r="AQ31" s="455"/>
      <c r="AR31" s="455"/>
      <c r="AS31" s="455"/>
      <c r="AT31" s="84"/>
      <c r="AU31" s="455"/>
      <c r="AV31" s="455"/>
      <c r="AW31" s="455"/>
      <c r="AX31" s="455"/>
      <c r="AY31" s="84"/>
      <c r="AZ31" s="455"/>
      <c r="BA31" s="455"/>
      <c r="BB31" s="455"/>
      <c r="BC31" s="455"/>
      <c r="BD31" s="84"/>
      <c r="BE31" s="455"/>
      <c r="BF31" s="455"/>
      <c r="BG31" s="455"/>
      <c r="BH31" s="455"/>
      <c r="BI31" s="84"/>
      <c r="BJ31" s="455"/>
      <c r="BK31" s="455"/>
      <c r="BL31" s="455"/>
      <c r="BM31" s="455"/>
      <c r="BN31" s="84"/>
      <c r="BO31" s="455"/>
      <c r="BP31" s="455"/>
      <c r="BQ31" s="455"/>
      <c r="BR31" s="455"/>
      <c r="BS31" s="84"/>
      <c r="BT31" s="455"/>
      <c r="BU31" s="455"/>
      <c r="BV31" s="455"/>
      <c r="BW31" s="455"/>
      <c r="BX31" s="84"/>
      <c r="BY31" s="455"/>
      <c r="BZ31" s="455"/>
      <c r="CA31" s="455"/>
      <c r="CB31" s="455"/>
      <c r="CC31" s="84"/>
      <c r="CD31" s="455"/>
      <c r="CE31" s="455"/>
      <c r="CF31" s="455"/>
      <c r="CG31" s="455"/>
      <c r="CH31" s="84"/>
      <c r="CI31" s="455"/>
      <c r="CJ31" s="455"/>
      <c r="CK31" s="455"/>
      <c r="CL31" s="455"/>
      <c r="CM31" s="84"/>
      <c r="CN31" s="455"/>
      <c r="CO31" s="455"/>
      <c r="CP31" s="455"/>
      <c r="CQ31" s="455"/>
      <c r="CR31" s="84"/>
      <c r="CS31" s="455"/>
      <c r="CT31" s="455"/>
      <c r="CU31" s="455"/>
      <c r="CV31" s="455"/>
      <c r="CW31" s="84"/>
      <c r="CX31" s="455"/>
      <c r="CY31" s="455"/>
      <c r="CZ31" s="455"/>
      <c r="DA31" s="455"/>
      <c r="DC31" s="455"/>
      <c r="DD31" s="455"/>
      <c r="DE31" s="455"/>
      <c r="DF31" s="455"/>
      <c r="DG31" s="84"/>
      <c r="DH31" s="455"/>
      <c r="DI31" s="455"/>
      <c r="DJ31" s="455"/>
      <c r="DK31" s="455"/>
      <c r="DL31" s="84"/>
      <c r="DM31" s="455"/>
      <c r="DN31" s="455"/>
      <c r="DO31" s="455"/>
      <c r="DP31" s="455"/>
      <c r="DQ31" s="84"/>
      <c r="DR31" s="455"/>
      <c r="DS31" s="455"/>
      <c r="DT31" s="455"/>
      <c r="DU31" s="455"/>
      <c r="DV31" s="84"/>
      <c r="DW31" s="455"/>
      <c r="DX31" s="455"/>
      <c r="DY31" s="455"/>
      <c r="DZ31" s="455"/>
      <c r="EA31" s="84"/>
      <c r="EB31" s="455"/>
      <c r="EC31" s="455"/>
      <c r="ED31" s="455"/>
      <c r="EE31" s="455"/>
      <c r="EF31" s="84"/>
      <c r="EG31" s="455"/>
      <c r="EH31" s="455"/>
      <c r="EI31" s="455"/>
      <c r="EJ31" s="455"/>
      <c r="EK31" s="84"/>
      <c r="EL31" s="455"/>
      <c r="EM31" s="455"/>
      <c r="EN31" s="455"/>
      <c r="EO31" s="455"/>
      <c r="EP31" s="84"/>
      <c r="EQ31" s="455"/>
      <c r="ER31" s="455"/>
      <c r="ES31" s="455"/>
      <c r="ET31" s="455"/>
      <c r="EU31" s="442"/>
      <c r="EV31" s="455"/>
      <c r="EW31" s="455"/>
      <c r="EX31" s="455"/>
      <c r="EY31" s="455"/>
      <c r="EZ31" s="84"/>
      <c r="FA31" s="84"/>
      <c r="FL31" s="111"/>
      <c r="FM31" s="111"/>
    </row>
    <row r="32" spans="1:170">
      <c r="A32" s="106" t="s">
        <v>363</v>
      </c>
      <c r="B32" s="442">
        <f>B22-B28-B30</f>
      </c>
      <c r="C32" s="442">
        <f>C22-C28-C30</f>
      </c>
      <c r="D32" s="442">
        <f>D22-D28-D30</f>
      </c>
      <c r="E32" s="442">
        <f>E22-E28-E30</f>
      </c>
      <c r="F32" s="443">
        <f>SUM(B32:E32)</f>
      </c>
      <c r="G32" s="442">
        <f>G22-G28-G30</f>
      </c>
      <c r="H32" s="442">
        <f>H22-H28-H30</f>
      </c>
      <c r="I32" s="442">
        <f>I22-I28-I30</f>
      </c>
      <c r="J32" s="442">
        <f>J22-J28-J30</f>
      </c>
      <c r="K32" s="443">
        <f>SUM(G32:J32)</f>
      </c>
      <c r="L32" s="442">
        <f>L22-L28-L30</f>
      </c>
      <c r="M32" s="442">
        <f>M22-M28-M30</f>
      </c>
      <c r="N32" s="442">
        <f>N22-N28-N30</f>
      </c>
      <c r="O32" s="442">
        <f>O22-O28-O30</f>
      </c>
      <c r="P32" s="443">
        <f>SUM(L32:O32)</f>
      </c>
      <c r="Q32" s="442">
        <f>Q22-Q28-Q30</f>
      </c>
      <c r="R32" s="442">
        <f>R22-R28-R30</f>
      </c>
      <c r="S32" s="442">
        <f>S22-S28-S30</f>
      </c>
      <c r="T32" s="442">
        <f>T22-T28-T30</f>
      </c>
      <c r="U32" s="443">
        <f>SUM(Q32:T32)</f>
      </c>
      <c r="V32" s="442">
        <f>V22-V28-V30</f>
      </c>
      <c r="W32" s="442">
        <f>W22-W28-W30</f>
      </c>
      <c r="X32" s="442">
        <f>X22-X28-X30</f>
      </c>
      <c r="Y32" s="442">
        <f>Y22-Y28-Y30</f>
      </c>
      <c r="Z32" s="443">
        <f>SUM(V32:Y32)</f>
      </c>
      <c r="AA32" s="442">
        <f>AA22-AA28-AA30</f>
      </c>
      <c r="AB32" s="442">
        <f>AB22-AB28-AB30</f>
      </c>
      <c r="AC32" s="442">
        <f>AC22-AC28-AC30</f>
      </c>
      <c r="AD32" s="442">
        <f>AD22-AD28-AD30</f>
      </c>
      <c r="AE32" s="443">
        <f>SUM(AA32:AD32)</f>
      </c>
      <c r="AF32" s="442">
        <f>AF22-AF28-AF30</f>
      </c>
      <c r="AG32" s="442">
        <f>AG22-AG28-AG30</f>
      </c>
      <c r="AH32" s="442">
        <f>AH22-AH28-AH30</f>
      </c>
      <c r="AI32" s="442">
        <f>AI22-AI28-AI30</f>
      </c>
      <c r="AJ32" s="443">
        <f>SUM(AF32:AI32)</f>
      </c>
      <c r="AK32" s="442">
        <f>AK22-AK28-AK30</f>
      </c>
      <c r="AL32" s="442">
        <f>AL22-AL28-AL30</f>
      </c>
      <c r="AM32" s="442">
        <f>AM22-AM28-AM30</f>
      </c>
      <c r="AN32" s="442">
        <f>AN22-AN28-AN30</f>
      </c>
      <c r="AO32" s="443">
        <f>SUM(AK32:AN32)</f>
      </c>
      <c r="AP32" s="442">
        <f>AP22-AP28-AP30</f>
      </c>
      <c r="AQ32" s="442">
        <f>AQ22-AQ28-AQ30</f>
      </c>
      <c r="AR32" s="442">
        <f>AR22-AR28-AR30</f>
      </c>
      <c r="AS32" s="442">
        <f>AS22-AS28-AS30</f>
      </c>
      <c r="AT32" s="443">
        <f>SUM(AP32:AS32)</f>
      </c>
      <c r="AU32" s="442">
        <f>AU22-AU28-AU30</f>
      </c>
      <c r="AV32" s="442">
        <f>AV22-AV28-AV30</f>
      </c>
      <c r="AW32" s="442">
        <f>AW22-AW28-AW30</f>
      </c>
      <c r="AX32" s="442">
        <f>AX22-AX28-AX30</f>
      </c>
      <c r="AY32" s="443">
        <f>SUM(AU32:AX32)</f>
      </c>
      <c r="AZ32" s="442">
        <f>AZ22-AZ28-AZ30</f>
      </c>
      <c r="BA32" s="442">
        <f>BA22-BA28-BA30</f>
      </c>
      <c r="BB32" s="442">
        <f>BB22-BB28-BB30</f>
      </c>
      <c r="BC32" s="442">
        <f>BC22-BC28-BC30</f>
      </c>
      <c r="BD32" s="443">
        <f>SUM(AZ32:BC32)</f>
      </c>
      <c r="BE32" s="442">
        <f>BE22-BE28-BE30</f>
      </c>
      <c r="BF32" s="442">
        <f>BF22-BF28-BF30</f>
      </c>
      <c r="BG32" s="442">
        <f>BG22-BG28-BG30</f>
      </c>
      <c r="BH32" s="442">
        <f>BH22-BH28-BH30</f>
      </c>
      <c r="BI32" s="443">
        <f>SUM(BE32:BH32)</f>
      </c>
      <c r="BJ32" s="442">
        <f>BJ22-BJ28-BJ30</f>
      </c>
      <c r="BK32" s="442">
        <f>BK22-BK28-BK30</f>
      </c>
      <c r="BL32" s="442">
        <f>BL22-BL28-BL30</f>
      </c>
      <c r="BM32" s="442">
        <f>BM22-BM28-BM30</f>
      </c>
      <c r="BN32" s="443">
        <f>SUM(BJ32:BM32)</f>
      </c>
      <c r="BO32" s="442">
        <f>BO22-BO28-BO30</f>
      </c>
      <c r="BP32" s="442">
        <f>BP22-BP28-BP30</f>
      </c>
      <c r="BQ32" s="442">
        <f>BQ22-BQ28-BQ30</f>
      </c>
      <c r="BR32" s="442">
        <f>BR22-BR28-BR30</f>
      </c>
      <c r="BS32" s="443">
        <f>SUM(BO32:BR32)</f>
      </c>
      <c r="BT32" s="442">
        <f>BT22-BT28-BT30</f>
      </c>
      <c r="BU32" s="442">
        <f>BU22-BU28-BU30</f>
      </c>
      <c r="BV32" s="442">
        <f>BV22-BV28-BV30</f>
      </c>
      <c r="BW32" s="442">
        <f>BW22-BW28-BW30</f>
      </c>
      <c r="BX32" s="443">
        <f>SUM(BT32:BW32)</f>
      </c>
      <c r="BY32" s="442">
        <f>BY22-BY28-BY30</f>
      </c>
      <c r="BZ32" s="442">
        <f>BZ22-BZ28-BZ30</f>
      </c>
      <c r="CA32" s="442">
        <f>CA22-CA28-CA30</f>
      </c>
      <c r="CB32" s="442">
        <f>CB22-CB28-CB30</f>
      </c>
      <c r="CC32" s="443">
        <f>SUM(BY32:CB32)</f>
      </c>
      <c r="CD32" s="442">
        <f>CD22-CD28-CD30</f>
      </c>
      <c r="CE32" s="442">
        <f>CE22-CE28-CE30</f>
      </c>
      <c r="CF32" s="442">
        <f>CF22-CF28-CF30</f>
      </c>
      <c r="CG32" s="442">
        <f>CG22-CG28-CG30</f>
      </c>
      <c r="CH32" s="443">
        <f>SUM(CD32:CG32)</f>
      </c>
      <c r="CI32" s="442">
        <f>CI22-CI28-CI30</f>
      </c>
      <c r="CJ32" s="442">
        <f>CJ22-CJ28-CJ30</f>
      </c>
      <c r="CK32" s="442">
        <f>CK22-CK28-CK30</f>
      </c>
      <c r="CL32" s="442">
        <f>CL22-CL28-CL30</f>
      </c>
      <c r="CM32" s="443">
        <f>SUM(CI32:CL32)</f>
      </c>
      <c r="CN32" s="442">
        <f>CN22-CN28-CN30</f>
      </c>
      <c r="CO32" s="442">
        <f>CO22-CO28-CO30</f>
      </c>
      <c r="CP32" s="442">
        <f>CP22-CP28-CP30</f>
      </c>
      <c r="CQ32" s="442">
        <f>CQ22-CQ28-CQ30</f>
      </c>
      <c r="CR32" s="443">
        <f>SUM(CN32:CQ32)</f>
      </c>
      <c r="CS32" s="442">
        <f>CS22-CS28-CS30</f>
      </c>
      <c r="CT32" s="442">
        <f>CT22-CT28-CT30</f>
      </c>
      <c r="CU32" s="442">
        <f>CU22-CU28-CU30</f>
      </c>
      <c r="CV32" s="442">
        <f>CV22-CV28-CV30</f>
      </c>
      <c r="CW32" s="443">
        <f>SUM(CS32:CV32)</f>
      </c>
      <c r="CX32" s="442">
        <f>CX22-CX28-CX30</f>
      </c>
      <c r="CY32" s="442">
        <f>CY22-CY28-CY30</f>
      </c>
      <c r="CZ32" s="442">
        <f>CZ22-CZ28-CZ30</f>
      </c>
      <c r="DA32" s="442">
        <f>DA22-DA28-DA30</f>
      </c>
      <c r="DB32" s="443">
        <f>SUM(CX32:DA32)</f>
      </c>
      <c r="DC32" s="442">
        <f>DC22-DC28-DC30</f>
      </c>
      <c r="DD32" s="442">
        <f>DD22-DD28-DD30</f>
      </c>
      <c r="DE32" s="442">
        <f>DE22-DE28-DE30</f>
      </c>
      <c r="DF32" s="442">
        <f>DF22-DF28-DF30</f>
      </c>
      <c r="DG32" s="443">
        <f>SUM(DC32:DF32)</f>
      </c>
      <c r="DH32" s="442">
        <f>DH22-DH28-DH30</f>
      </c>
      <c r="DI32" s="442">
        <f>DI22-DI28-DI30</f>
      </c>
      <c r="DJ32" s="442">
        <f>DJ22-DJ28-DJ30</f>
      </c>
      <c r="DK32" s="442">
        <f>DK22-DK28-DK30</f>
      </c>
      <c r="DL32" s="443">
        <f>SUM(DH32:DK32)</f>
      </c>
      <c r="DM32" s="442">
        <f>DM22-DM28-DM30</f>
      </c>
      <c r="DN32" s="442">
        <f>DN22-DN28-DN30</f>
      </c>
      <c r="DO32" s="442">
        <f>DO22-DO28-DO30</f>
      </c>
      <c r="DP32" s="442">
        <f>DP22-DP28-DP30</f>
      </c>
      <c r="DQ32" s="443">
        <f>SUM(DM32:DP32)</f>
      </c>
      <c r="DR32" s="442">
        <f>DR22-DR28-DR30</f>
      </c>
      <c r="DS32" s="442">
        <f>DS22-DS28-DS30</f>
      </c>
      <c r="DT32" s="442">
        <f>DT22-DT28-DT30</f>
      </c>
      <c r="DU32" s="442">
        <f>DU22-DU28-DU30</f>
      </c>
      <c r="DV32" s="443">
        <f>SUM(DR32:DU32)</f>
      </c>
      <c r="DW32" s="442">
        <f>DW22-DW28-DW30</f>
      </c>
      <c r="DX32" s="442">
        <f>DX22-DX28-DX30</f>
      </c>
      <c r="DY32" s="442">
        <f>DY22-DY28-DY30</f>
      </c>
      <c r="DZ32" s="442">
        <f>DZ22-DZ28-DZ30</f>
      </c>
      <c r="EA32" s="443">
        <f>SUM(DW32:DZ32)</f>
      </c>
      <c r="EB32" s="442">
        <f>EB22-EB28-EB30</f>
      </c>
      <c r="EC32" s="442">
        <f>EC22-EC28-EC30</f>
      </c>
      <c r="ED32" s="442">
        <f>ED22-ED28-ED30</f>
      </c>
      <c r="EE32" s="442">
        <f>EE22-EE28-EE30</f>
      </c>
      <c r="EF32" s="443">
        <f>SUM(EB32:EE32)</f>
      </c>
      <c r="EG32" s="442">
        <f>EG22-EG28-EG30</f>
      </c>
      <c r="EH32" s="442">
        <f>EH22-EH28-EH30</f>
      </c>
      <c r="EI32" s="442">
        <f>EI22-EI28-EI30</f>
      </c>
      <c r="EJ32" s="442">
        <f>EJ22-EJ28-EJ30</f>
      </c>
      <c r="EK32" s="443">
        <f>SUM(EG32:EJ32)</f>
      </c>
      <c r="EL32" s="442">
        <f>EL22-EL28-EL30</f>
      </c>
      <c r="EM32" s="442">
        <f>EM22-EM28-EM30</f>
      </c>
      <c r="EN32" s="442">
        <f>EN22-EN28-EN30</f>
      </c>
      <c r="EO32" s="442">
        <f>EO22-EO28-EO30</f>
      </c>
      <c r="EP32" s="443">
        <f>SUM(EL32:EO32)</f>
      </c>
      <c r="EQ32" s="442">
        <f>EQ22-EQ28-EQ30</f>
      </c>
      <c r="ER32" s="442">
        <f>ER22-ER28-ER30</f>
      </c>
      <c r="ES32" s="442">
        <f>ES22-ES28-ES30</f>
      </c>
      <c r="ET32" s="442">
        <f>ET22-ET28-ET30</f>
      </c>
      <c r="EU32" s="443">
        <f>SUM(EQ32:ET32)</f>
      </c>
      <c r="EV32" s="442">
        <f>EV22-EV28-EV30</f>
      </c>
      <c r="EW32" s="442">
        <f>EW22-EW28-EW30</f>
      </c>
      <c r="EX32" s="442">
        <f>EX22-EX28-EX30</f>
      </c>
      <c r="EY32" s="442">
        <f>EY22-EY28-EY30</f>
      </c>
      <c r="EZ32" s="443">
        <f>SUM(EV32:EY32)</f>
      </c>
      <c r="FA32" s="443"/>
      <c r="FB32" s="456"/>
      <c r="FC32" s="456"/>
      <c r="FD32" s="456"/>
      <c r="FE32" s="456"/>
      <c r="FF32" s="456"/>
      <c r="FG32" s="456"/>
      <c r="FH32" s="456"/>
      <c r="FI32" s="456"/>
      <c r="FJ32" s="456"/>
      <c r="FL32" s="111"/>
      <c r="FM32" s="111"/>
    </row>
    <row r="33" spans="1:169">
      <c r="B33" s="85"/>
      <c r="C33" s="85"/>
      <c r="D33" s="85"/>
      <c r="E33" s="85"/>
      <c r="G33" s="85"/>
      <c r="H33" s="85"/>
      <c r="I33" s="85"/>
      <c r="J33" s="85"/>
      <c r="L33" s="85"/>
      <c r="M33" s="85"/>
      <c r="N33" s="85"/>
      <c r="O33" s="85"/>
      <c r="Q33" s="85"/>
      <c r="R33" s="85"/>
      <c r="S33" s="85"/>
      <c r="T33" s="85"/>
      <c r="V33" s="85"/>
      <c r="W33" s="85"/>
      <c r="X33" s="85"/>
      <c r="Y33" s="85"/>
      <c r="AA33" s="85"/>
      <c r="AB33" s="85"/>
      <c r="AC33" s="85"/>
      <c r="AD33" s="85"/>
      <c r="AE33" s="84"/>
      <c r="AF33" s="85"/>
      <c r="AJ33" s="84"/>
      <c r="AO33" s="84"/>
      <c r="AT33" s="84"/>
      <c r="AY33" s="84"/>
      <c r="BD33" s="84"/>
      <c r="BI33" s="84"/>
      <c r="BN33" s="84"/>
      <c r="BS33" s="84"/>
      <c r="BX33" s="84"/>
      <c r="CC33" s="84"/>
      <c r="CH33" s="84"/>
      <c r="CM33" s="84"/>
      <c r="CR33" s="84"/>
      <c r="CW33" s="84"/>
      <c r="DG33" s="84"/>
      <c r="DL33" s="84"/>
      <c r="DQ33" s="84"/>
      <c r="DV33" s="84"/>
      <c r="EA33" s="84"/>
      <c r="EF33" s="84"/>
      <c r="EK33" s="84"/>
      <c r="EP33" s="84"/>
      <c r="EU33" s="84"/>
      <c r="EZ33" s="84"/>
      <c r="FA33" s="84"/>
      <c r="FH33" s="279"/>
      <c r="FL33" s="111"/>
      <c r="FM33" s="111"/>
    </row>
    <row r="34" spans="1:169">
      <c r="A34" s="106" t="s">
        <v>364</v>
      </c>
      <c r="B34" s="442">
        <v>0</v>
      </c>
      <c r="C34" s="442">
        <v>0</v>
      </c>
      <c r="D34" s="442">
        <v>0</v>
      </c>
      <c r="E34" s="442">
        <v>0</v>
      </c>
      <c r="F34" s="443">
        <f>SUM(B34:E34)</f>
      </c>
      <c r="G34" s="442">
        <v>-8.8999999999999996E-2</v>
      </c>
      <c r="H34" s="442">
        <v>-0.83899999999999997</v>
      </c>
      <c r="I34" s="442">
        <v>0.62</v>
      </c>
      <c r="J34" s="442">
        <v>0.66500000000000004</v>
      </c>
      <c r="K34" s="443">
        <f>SUM(G34:J34)</f>
      </c>
      <c r="L34" s="442">
        <v>3.0840000000000001</v>
      </c>
      <c r="M34" s="442">
        <f>3.146</f>
      </c>
      <c r="N34" s="442">
        <f>4.973</f>
      </c>
      <c r="O34" s="442">
        <f>6.865</f>
      </c>
      <c r="P34" s="443">
        <f>SUM(L34:O34)</f>
      </c>
      <c r="Q34" s="442">
        <v>8.6050000000000004</v>
      </c>
      <c r="R34" s="442">
        <v>10.599</v>
      </c>
      <c r="S34" s="442">
        <v>13.209</v>
      </c>
      <c r="T34" s="442">
        <v>14.622</v>
      </c>
      <c r="U34" s="443">
        <f>SUM(Q34:T34)</f>
      </c>
      <c r="V34" s="442">
        <f>11.422+0.3*9.573</f>
      </c>
      <c r="W34" s="442">
        <f>14.111</f>
      </c>
      <c r="X34" s="442">
        <f>17.706</f>
      </c>
      <c r="Y34" s="442">
        <v>37.634399999999999</v>
      </c>
      <c r="Z34" s="443">
        <f>SUM(V34:Y34)</f>
      </c>
      <c r="AA34" s="442">
        <v>35.677</v>
      </c>
      <c r="AB34" s="442">
        <f>2.251+0.3*21</f>
      </c>
      <c r="AC34" s="442">
        <f>0.3*AC32</f>
      </c>
      <c r="AD34" s="442">
        <f>21.83-0.3*40.365</f>
      </c>
      <c r="AE34" s="443">
        <f>SUM(AA34:AD34)</f>
      </c>
      <c r="AF34" s="442">
        <v>8.4629999999999992</v>
      </c>
      <c r="AG34" s="442">
        <v>2.5110000000000001</v>
      </c>
      <c r="AH34" s="442">
        <f>-0.803+0.4*13.068</f>
      </c>
      <c r="AI34" s="442">
        <v>2.0830000000000002</v>
      </c>
      <c r="AJ34" s="443">
        <f>SUM(AF34:AI34)</f>
      </c>
      <c r="AK34" s="442">
        <v>5.3380000000000001</v>
      </c>
      <c r="AL34" s="442">
        <v>1.28</v>
      </c>
      <c r="AM34" s="442">
        <v>6.47</v>
      </c>
      <c r="AN34" s="442">
        <v>12.000999999999999</v>
      </c>
      <c r="AO34" s="443">
        <f>SUM(AK34:AN34)</f>
      </c>
      <c r="AP34" s="442">
        <v>16.111000000000001</v>
      </c>
      <c r="AQ34" s="442">
        <v>10.419</v>
      </c>
      <c r="AR34" s="442">
        <f>12.429+14.158*0.16</f>
      </c>
      <c r="AS34" s="442">
        <v>18.675999999999998</v>
      </c>
      <c r="AT34" s="443">
        <f>SUM(AP34:AS34)</f>
      </c>
      <c r="AU34" s="442">
        <v>18.712</v>
      </c>
      <c r="AV34" s="442">
        <v>17.768999999999998</v>
      </c>
      <c r="AW34" s="442">
        <f>21.816+(6.594-(AW41-AW42))</f>
      </c>
      <c r="AX34" s="442">
        <f>AX35*AX32</f>
      </c>
      <c r="AY34" s="443">
        <f>SUM(AU34:AX34)</f>
      </c>
      <c r="AZ34" s="442">
        <v>21.53</v>
      </c>
      <c r="BA34" s="442">
        <v>28.119</v>
      </c>
      <c r="BB34" s="442">
        <v>31.138000000000002</v>
      </c>
      <c r="BC34" s="442">
        <v>22.908999999999999</v>
      </c>
      <c r="BD34" s="443">
        <f>SUM(AZ34:BC34)</f>
      </c>
      <c r="BE34" s="442">
        <v>36.213000000000001</v>
      </c>
      <c r="BF34" s="442">
        <f>-25.671+0.17*195.954</f>
      </c>
      <c r="BG34" s="442">
        <f>-0.745</f>
      </c>
      <c r="BH34" s="442">
        <v>-22.71</v>
      </c>
      <c r="BI34" s="443">
        <f>SUM(BE34:BH34)</f>
      </c>
      <c r="BJ34" s="442">
        <f>-23.483+16.142</f>
      </c>
      <c r="BK34" s="442">
        <f>-1.799+1.398</f>
      </c>
      <c r="BL34" s="442">
        <f>2.63-4.876+1.008</f>
      </c>
      <c r="BM34" s="442">
        <v>8.3450000000000006</v>
      </c>
      <c r="BN34" s="443">
        <f>SUM(BJ34:BM34)</f>
      </c>
      <c r="BO34" s="442">
        <v>13.131</v>
      </c>
      <c r="BP34" s="442">
        <f>-28.086+32.828</f>
      </c>
      <c r="BQ34" s="442">
        <v>18.722999999999999</v>
      </c>
      <c r="BR34" s="442">
        <v>14.255000000000001</v>
      </c>
      <c r="BS34" s="443">
        <f>SUM(BO34:BR34)</f>
      </c>
      <c r="BT34" s="442">
        <v>21.265999999999998</v>
      </c>
      <c r="BU34" s="442">
        <v>25.974</v>
      </c>
      <c r="BV34" s="442">
        <v>26.513999999999999</v>
      </c>
      <c r="BW34" s="442">
        <v>8.5519999999999996</v>
      </c>
      <c r="BX34" s="443">
        <f>SUM(BT34:BW34)</f>
      </c>
      <c r="BY34" s="442">
        <f>16.658-7.989+(BY41-BY42)</f>
      </c>
      <c r="BZ34" s="442">
        <f>26.162+9.839-5.806</f>
      </c>
      <c r="CA34" s="442">
        <f>44.548+0.556</f>
      </c>
      <c r="CB34" s="442">
        <v>12.135</v>
      </c>
      <c r="CC34" s="443">
        <f>SUM(BY34:CB34)</f>
      </c>
      <c r="CD34" s="442">
        <f>10.171+6.348-3.507</f>
      </c>
      <c r="CE34" s="442">
        <f>15.372+6.767-5.183</f>
      </c>
      <c r="CF34" s="442">
        <f>22.75+6.055</f>
      </c>
      <c r="CG34" s="442">
        <f>21.971+1.924</f>
      </c>
      <c r="CH34" s="443">
        <f>SUM(CD34:CG34)</f>
      </c>
      <c r="CI34" s="442">
        <f>26.766+5.342-5</f>
      </c>
      <c r="CJ34" s="442">
        <f>26.649+11.606-5</f>
      </c>
      <c r="CK34" s="442">
        <f>36.103+10.549-7</f>
      </c>
      <c r="CL34" s="442">
        <f>34.731+3.783</f>
      </c>
      <c r="CM34" s="443">
        <f>SUM(CI34:CL34)</f>
      </c>
      <c r="CN34" s="442">
        <f>38+1</f>
      </c>
      <c r="CO34" s="442">
        <f>46-2-9</f>
      </c>
      <c r="CP34" s="442">
        <f>-1+57</f>
      </c>
      <c r="CQ34" s="442">
        <f>46+21</f>
      </c>
      <c r="CR34" s="443">
        <f>SUM(CN34:CQ34)</f>
      </c>
      <c r="CS34" s="442">
        <f>45+14</f>
      </c>
      <c r="CT34" s="442">
        <f>64+12</f>
      </c>
      <c r="CU34" s="442">
        <f>79+62</f>
      </c>
      <c r="CV34" s="442">
        <f>71+36</f>
      </c>
      <c r="CW34" s="443">
        <f>SUM(CS34:CV34)</f>
      </c>
      <c r="CX34" s="442">
        <f>29+73</f>
      </c>
      <c r="CY34" s="442">
        <f>101+34</f>
      </c>
      <c r="CZ34" s="442">
        <f>58+116</f>
      </c>
      <c r="DA34" s="442">
        <f>-40+33+133</f>
      </c>
      <c r="DB34" s="443">
        <f>SUM(CX34:DA34)</f>
      </c>
      <c r="DC34" s="442">
        <f>67+87</f>
      </c>
      <c r="DD34" s="442">
        <f>79+22</f>
      </c>
      <c r="DE34" s="442">
        <f>-149+91+138</f>
      </c>
      <c r="DF34" s="442">
        <f>-243+230+25</f>
      </c>
      <c r="DG34" s="443">
        <f>SUM(DC34:DF34)</f>
      </c>
      <c r="DH34" s="442">
        <f>-5+50</f>
      </c>
      <c r="DI34" s="442">
        <f>54+21</f>
      </c>
      <c r="DJ34" s="442">
        <f>60+26</f>
      </c>
      <c r="DK34" s="442">
        <f>66+8</f>
      </c>
      <c r="DL34" s="443">
        <f>SUM(DH34:DK34)</f>
      </c>
      <c r="DM34" s="442">
        <f>64+30</f>
      </c>
      <c r="DN34" s="442">
        <f>-13+124</f>
      </c>
      <c r="DO34" s="442">
        <f>12+102</f>
      </c>
      <c r="DP34" s="442">
        <f>13+74</f>
      </c>
      <c r="DQ34" s="443">
        <f>SUM(DM34:DP34)</f>
      </c>
      <c r="DR34" s="442">
        <f>132+67</f>
      </c>
      <c r="DS34" s="442">
        <f>20+127+252</f>
      </c>
      <c r="DT34" s="442">
        <f>174+187</f>
      </c>
      <c r="DU34" s="442">
        <f>-138+330-7+90</f>
      </c>
      <c r="DV34" s="443">
        <f>SUM(DR34:DU34)</f>
      </c>
      <c r="DW34" s="442">
        <f>187+280</f>
      </c>
      <c r="DX34" s="442">
        <f>-181+197</f>
      </c>
      <c r="DY34" s="442">
        <f>-67+171</f>
      </c>
      <c r="DZ34" s="442">
        <f>-125+218</f>
      </c>
      <c r="EA34" s="443">
        <f>SUM(DW34:DZ34)</f>
      </c>
      <c r="EB34" s="442">
        <f>166+257</f>
      </c>
      <c r="EC34" s="442">
        <f>793+363</f>
      </c>
      <c r="ED34" s="442">
        <f>1279+433</f>
      </c>
      <c r="EE34" s="442">
        <f>1821+321</f>
      </c>
      <c r="EF34" s="443">
        <f>SUM(EB34:EE34)</f>
      </c>
      <c r="EG34" s="442">
        <f>2398+725</f>
      </c>
      <c r="EH34" s="442">
        <f>2615+750</f>
      </c>
      <c r="EI34" s="442">
        <f>3007+670</f>
      </c>
      <c r="EJ34" s="442">
        <f>3126+781</f>
      </c>
      <c r="EK34" s="443">
        <f>SUM(EG34:EJ34)</f>
      </c>
      <c r="EL34" s="442">
        <f>3135+694</f>
      </c>
      <c r="EM34" s="442">
        <f>4784+166-48</f>
      </c>
      <c r="EN34" s="442">
        <f>(EN32)*EN35</f>
      </c>
      <c r="EO34" s="442">
        <f>(EO32)*EO35</f>
      </c>
      <c r="EP34" s="443">
        <f>SUM(EL34:EO34)</f>
      </c>
      <c r="EQ34" s="442">
        <f>(EQ32)*EQ35</f>
      </c>
      <c r="ER34" s="442">
        <f>(ER32)*ER35</f>
      </c>
      <c r="ES34" s="442">
        <f>(ES32)*ES35</f>
      </c>
      <c r="ET34" s="442">
        <f>(ET32)*ET35</f>
      </c>
      <c r="EU34" s="443">
        <f>SUM(EQ34:ET34)</f>
      </c>
      <c r="EV34" s="442">
        <f>(EV32)*EV35</f>
      </c>
      <c r="EW34" s="442">
        <f>(EW32)*EW35</f>
      </c>
      <c r="EX34" s="442">
        <f>(EX32)*EX35</f>
      </c>
      <c r="EY34" s="442">
        <f>(EY32)*EY35</f>
      </c>
      <c r="EZ34" s="443">
        <f>SUM(EV34:EY34)</f>
      </c>
      <c r="FA34" s="443"/>
      <c r="FB34" s="456"/>
      <c r="FC34" s="456"/>
      <c r="FD34" s="456"/>
      <c r="FE34" s="456"/>
      <c r="FF34" s="456"/>
      <c r="FH34" s="457"/>
      <c r="FL34" s="111"/>
      <c r="FM34" s="111"/>
    </row>
    <row r="35" spans="1:169">
      <c r="A35" s="106" t="s">
        <v>365</v>
      </c>
      <c r="B35" s="113">
        <f t="shared" ref="B35:BM35" si="33">B34/B32</f>
      </c>
      <c r="C35" s="113">
        <f t="shared" si="33"/>
      </c>
      <c r="D35" s="113">
        <f t="shared" si="33"/>
      </c>
      <c r="E35" s="113">
        <f t="shared" si="33"/>
      </c>
      <c r="F35" s="441">
        <f>F34/F32</f>
      </c>
      <c r="G35" s="113">
        <f t="shared" si="33"/>
      </c>
      <c r="H35" s="113">
        <f t="shared" si="33"/>
      </c>
      <c r="I35" s="113">
        <f t="shared" si="33"/>
      </c>
      <c r="J35" s="113">
        <f t="shared" si="33"/>
      </c>
      <c r="K35" s="441">
        <f>K34/K32</f>
      </c>
      <c r="L35" s="113">
        <f t="shared" si="33"/>
      </c>
      <c r="M35" s="113">
        <f t="shared" si="33"/>
      </c>
      <c r="N35" s="113">
        <f t="shared" si="33"/>
      </c>
      <c r="O35" s="113">
        <f t="shared" si="33"/>
      </c>
      <c r="P35" s="441">
        <f>P34/P32</f>
      </c>
      <c r="Q35" s="113">
        <f t="shared" si="33"/>
      </c>
      <c r="R35" s="113">
        <f t="shared" si="33"/>
      </c>
      <c r="S35" s="113">
        <f t="shared" si="33"/>
      </c>
      <c r="T35" s="113">
        <f t="shared" si="33"/>
      </c>
      <c r="U35" s="441">
        <f>U34/U32</f>
      </c>
      <c r="V35" s="113">
        <f t="shared" si="33"/>
      </c>
      <c r="W35" s="113">
        <f t="shared" si="33"/>
      </c>
      <c r="X35" s="113">
        <f t="shared" si="33"/>
      </c>
      <c r="Y35" s="113">
        <f t="shared" si="33"/>
      </c>
      <c r="Z35" s="441">
        <f>Z34/Z32</f>
      </c>
      <c r="AA35" s="113">
        <f t="shared" si="33"/>
      </c>
      <c r="AB35" s="113">
        <f t="shared" si="33"/>
      </c>
      <c r="AC35" s="113">
        <f t="shared" si="33"/>
      </c>
      <c r="AD35" s="113">
        <f t="shared" si="33"/>
      </c>
      <c r="AE35" s="441">
        <f>AE34/AE32</f>
      </c>
      <c r="AF35" s="113">
        <f t="shared" si="33"/>
      </c>
      <c r="AG35" s="113">
        <f t="shared" si="33"/>
      </c>
      <c r="AH35" s="113">
        <f t="shared" si="33"/>
      </c>
      <c r="AI35" s="113">
        <f t="shared" si="33"/>
      </c>
      <c r="AJ35" s="441">
        <f>AJ34/AJ32</f>
      </c>
      <c r="AK35" s="113">
        <f t="shared" si="33"/>
      </c>
      <c r="AL35" s="113">
        <f t="shared" si="33"/>
      </c>
      <c r="AM35" s="113">
        <f t="shared" si="33"/>
      </c>
      <c r="AN35" s="113">
        <f t="shared" si="33"/>
      </c>
      <c r="AO35" s="441">
        <f>AO34/AO32</f>
      </c>
      <c r="AP35" s="113">
        <f t="shared" si="33"/>
      </c>
      <c r="AQ35" s="113">
        <f t="shared" si="33"/>
      </c>
      <c r="AR35" s="113">
        <f t="shared" si="33"/>
      </c>
      <c r="AS35" s="113">
        <f t="shared" si="33"/>
      </c>
      <c r="AT35" s="441">
        <f>AT34/AT32</f>
      </c>
      <c r="AU35" s="113">
        <f t="shared" si="33"/>
      </c>
      <c r="AV35" s="113">
        <f t="shared" si="33"/>
      </c>
      <c r="AW35" s="113">
        <f t="shared" si="33"/>
      </c>
      <c r="AX35" s="113">
        <v>0.09</v>
      </c>
      <c r="AY35" s="441">
        <f>AY34/AY32</f>
      </c>
      <c r="AZ35" s="113">
        <f t="shared" si="33"/>
      </c>
      <c r="BA35" s="113">
        <f t="shared" si="33"/>
      </c>
      <c r="BB35" s="113">
        <f t="shared" si="33"/>
      </c>
      <c r="BC35" s="113">
        <f t="shared" si="33"/>
      </c>
      <c r="BD35" s="441">
        <f>BD34/BD32</f>
      </c>
      <c r="BE35" s="113">
        <f t="shared" si="33"/>
      </c>
      <c r="BF35" s="113">
        <f t="shared" si="33"/>
      </c>
      <c r="BG35" s="113">
        <f t="shared" si="33"/>
      </c>
      <c r="BH35" s="113">
        <f t="shared" si="33"/>
      </c>
      <c r="BI35" s="441">
        <f>BI34/BI32</f>
      </c>
      <c r="BJ35" s="113">
        <f t="shared" si="33"/>
      </c>
      <c r="BK35" s="113">
        <f t="shared" si="33"/>
      </c>
      <c r="BL35" s="113">
        <f t="shared" si="33"/>
      </c>
      <c r="BM35" s="113">
        <f t="shared" si="33"/>
      </c>
      <c r="BN35" s="441">
        <f>BN34/BN32</f>
      </c>
      <c r="BO35" s="113">
        <f t="shared" ref="BO35:DV35" si="34">BO34/BO32</f>
      </c>
      <c r="BP35" s="113">
        <f t="shared" si="34"/>
      </c>
      <c r="BQ35" s="113">
        <f t="shared" si="34"/>
      </c>
      <c r="BR35" s="113">
        <f t="shared" si="34"/>
      </c>
      <c r="BS35" s="441">
        <f>BS34/BS32</f>
      </c>
      <c r="BT35" s="113">
        <f t="shared" si="34"/>
      </c>
      <c r="BU35" s="113">
        <f t="shared" si="34"/>
      </c>
      <c r="BV35" s="113">
        <f t="shared" si="34"/>
      </c>
      <c r="BW35" s="113">
        <f t="shared" si="34"/>
      </c>
      <c r="BX35" s="441">
        <f>BX34/BX32</f>
      </c>
      <c r="BY35" s="113">
        <f t="shared" si="34"/>
      </c>
      <c r="BZ35" s="113">
        <f t="shared" si="34"/>
      </c>
      <c r="CA35" s="113">
        <f t="shared" si="34"/>
      </c>
      <c r="CB35" s="113">
        <f t="shared" si="34"/>
      </c>
      <c r="CC35" s="441">
        <f>CC34/CC32</f>
      </c>
      <c r="CD35" s="113">
        <f t="shared" si="34"/>
      </c>
      <c r="CE35" s="113">
        <f t="shared" si="34"/>
      </c>
      <c r="CF35" s="113">
        <f t="shared" si="34"/>
      </c>
      <c r="CG35" s="113">
        <f t="shared" si="34"/>
      </c>
      <c r="CH35" s="441">
        <f t="shared" si="34"/>
      </c>
      <c r="CI35" s="113">
        <f t="shared" si="34"/>
      </c>
      <c r="CJ35" s="113">
        <f t="shared" si="34"/>
      </c>
      <c r="CK35" s="113">
        <f t="shared" si="34"/>
      </c>
      <c r="CL35" s="113">
        <f t="shared" si="34"/>
      </c>
      <c r="CM35" s="441">
        <f t="shared" si="34"/>
      </c>
      <c r="CN35" s="113">
        <f t="shared" si="34"/>
      </c>
      <c r="CO35" s="113">
        <f t="shared" si="34"/>
      </c>
      <c r="CP35" s="113">
        <f t="shared" si="34"/>
      </c>
      <c r="CQ35" s="113">
        <f t="shared" si="34"/>
      </c>
      <c r="CR35" s="441">
        <f t="shared" si="34"/>
      </c>
      <c r="CS35" s="113">
        <f t="shared" si="34"/>
      </c>
      <c r="CT35" s="113">
        <f t="shared" si="34"/>
      </c>
      <c r="CU35" s="113">
        <f t="shared" si="34"/>
      </c>
      <c r="CV35" s="113">
        <f t="shared" si="34"/>
      </c>
      <c r="CW35" s="441">
        <f>CW34/CW32</f>
      </c>
      <c r="CX35" s="113">
        <f t="shared" si="34"/>
      </c>
      <c r="CY35" s="113">
        <f t="shared" si="34"/>
      </c>
      <c r="CZ35" s="113">
        <f t="shared" si="34"/>
      </c>
      <c r="DA35" s="113">
        <f t="shared" si="34"/>
      </c>
      <c r="DB35" s="441">
        <f t="shared" si="34"/>
      </c>
      <c r="DC35" s="113">
        <f t="shared" si="34"/>
      </c>
      <c r="DD35" s="113">
        <f t="shared" si="34"/>
      </c>
      <c r="DE35" s="113">
        <f t="shared" si="34"/>
      </c>
      <c r="DF35" s="113">
        <f t="shared" si="34"/>
      </c>
      <c r="DG35" s="441">
        <f>DG34/DG32</f>
      </c>
      <c r="DH35" s="113">
        <f t="shared" si="34"/>
      </c>
      <c r="DI35" s="113">
        <f t="shared" si="34"/>
      </c>
      <c r="DJ35" s="113">
        <f t="shared" si="34"/>
      </c>
      <c r="DK35" s="113">
        <f t="shared" si="34"/>
      </c>
      <c r="DL35" s="441">
        <f>DL34/DL32</f>
      </c>
      <c r="DM35" s="113">
        <f t="shared" si="34"/>
      </c>
      <c r="DN35" s="113">
        <f t="shared" si="34"/>
      </c>
      <c r="DO35" s="113">
        <f t="shared" si="34"/>
      </c>
      <c r="DP35" s="113">
        <f t="shared" si="34"/>
      </c>
      <c r="DQ35" s="441">
        <f t="shared" si="34"/>
      </c>
      <c r="DR35" s="446">
        <f t="shared" si="34"/>
      </c>
      <c r="DS35" s="446">
        <f t="shared" si="34"/>
      </c>
      <c r="DT35" s="446">
        <f t="shared" si="34"/>
      </c>
      <c r="DU35" s="446">
        <f t="shared" si="34"/>
      </c>
      <c r="DV35" s="441">
        <f t="shared" si="34"/>
      </c>
      <c r="DW35" s="446">
        <f t="shared" ref="DW35:EH35" si="35">DW34/(DW32+DW42)</f>
      </c>
      <c r="DX35" s="446">
        <f t="shared" si="35"/>
      </c>
      <c r="DY35" s="446">
        <f t="shared" si="35"/>
      </c>
      <c r="DZ35" s="446">
        <f t="shared" si="35"/>
      </c>
      <c r="EA35" s="441">
        <f t="shared" si="35"/>
      </c>
      <c r="EB35" s="446">
        <f t="shared" si="35"/>
      </c>
      <c r="EC35" s="446">
        <f t="shared" si="35"/>
      </c>
      <c r="ED35" s="446">
        <f t="shared" si="35"/>
      </c>
      <c r="EE35" s="446">
        <f t="shared" si="35"/>
      </c>
      <c r="EF35" s="441">
        <f t="shared" si="35"/>
      </c>
      <c r="EG35" s="446">
        <f t="shared" si="35"/>
      </c>
      <c r="EH35" s="446">
        <f t="shared" si="35"/>
      </c>
      <c r="EI35" s="446">
        <f>EI34/(EI32+EI42)</f>
      </c>
      <c r="EJ35" s="446">
        <f>EJ34/(EJ32+EJ42)</f>
      </c>
      <c r="EK35" s="441">
        <f>EK34/(EK32+EK42)</f>
      </c>
      <c r="EL35" s="446">
        <f>EL34/(EL32+EL42)</f>
      </c>
      <c r="EM35" s="446">
        <f>EM34/(EM32+EM42)</f>
      </c>
      <c r="EN35" s="114">
        <v>0.16500000000000001</v>
      </c>
      <c r="EO35" s="114">
        <f>EN35</f>
      </c>
      <c r="EP35" s="441">
        <f>EP34/(EP32)</f>
      </c>
      <c r="EQ35" s="114">
        <v>0.16500000000000001</v>
      </c>
      <c r="ER35" s="114">
        <f>EQ35</f>
      </c>
      <c r="ES35" s="114">
        <f>ER35</f>
      </c>
      <c r="ET35" s="114">
        <f>ES35</f>
      </c>
      <c r="EU35" s="441">
        <f>EU34/(EU32)</f>
      </c>
      <c r="EV35" s="114">
        <v>0.16500000000000001</v>
      </c>
      <c r="EW35" s="114">
        <f>EV35</f>
      </c>
      <c r="EX35" s="114">
        <f>EW35</f>
      </c>
      <c r="EY35" s="114">
        <f>EX35</f>
      </c>
      <c r="EZ35" s="441">
        <f>EZ34/(EZ32)</f>
      </c>
      <c r="FA35" s="441"/>
      <c r="FH35" s="279"/>
      <c r="FL35" s="111"/>
      <c r="FM35" s="111"/>
    </row>
    <row r="36" spans="1:169">
      <c r="B36" s="458"/>
      <c r="C36" s="458"/>
      <c r="D36" s="458"/>
      <c r="E36" s="458"/>
      <c r="G36" s="458"/>
      <c r="H36" s="458"/>
      <c r="I36" s="458"/>
      <c r="J36" s="458"/>
      <c r="L36" s="458"/>
      <c r="M36" s="458"/>
      <c r="N36" s="458"/>
      <c r="O36" s="458"/>
      <c r="Q36" s="458"/>
      <c r="R36" s="458"/>
      <c r="S36" s="458"/>
      <c r="T36" s="458"/>
      <c r="V36" s="458"/>
      <c r="W36" s="458"/>
      <c r="X36" s="458"/>
      <c r="Y36" s="458"/>
      <c r="AA36" s="458"/>
      <c r="AB36" s="458"/>
      <c r="AC36" s="458"/>
      <c r="AD36" s="458"/>
      <c r="AE36" s="84"/>
      <c r="AF36" s="458"/>
      <c r="AG36" s="458"/>
      <c r="AH36" s="458"/>
      <c r="AI36" s="458"/>
      <c r="AJ36" s="84"/>
      <c r="AK36" s="458"/>
      <c r="AL36" s="458"/>
      <c r="AM36" s="458"/>
      <c r="AN36" s="458"/>
      <c r="AO36" s="84"/>
      <c r="AP36" s="458"/>
      <c r="AQ36" s="458"/>
      <c r="AR36" s="458"/>
      <c r="AS36" s="458"/>
      <c r="AT36" s="84"/>
      <c r="AU36" s="458"/>
      <c r="AV36" s="458"/>
      <c r="AW36" s="458"/>
      <c r="AX36" s="458"/>
      <c r="AY36" s="84"/>
      <c r="AZ36" s="458"/>
      <c r="BA36" s="458"/>
      <c r="BB36" s="458"/>
      <c r="BC36" s="458"/>
      <c r="BD36" s="84"/>
      <c r="BE36" s="458"/>
      <c r="BF36" s="458"/>
      <c r="BG36" s="458"/>
      <c r="BH36" s="458"/>
      <c r="BI36" s="84"/>
      <c r="BJ36" s="458"/>
      <c r="BK36" s="458"/>
      <c r="BL36" s="458"/>
      <c r="BM36" s="458"/>
      <c r="BN36" s="84"/>
      <c r="BO36" s="458"/>
      <c r="BP36" s="458"/>
      <c r="BQ36" s="458"/>
      <c r="BR36" s="458"/>
      <c r="BS36" s="84"/>
      <c r="BT36" s="458"/>
      <c r="BU36" s="458"/>
      <c r="BV36" s="458"/>
      <c r="BW36" s="458"/>
      <c r="BX36" s="84"/>
      <c r="BY36" s="458"/>
      <c r="BZ36" s="458"/>
      <c r="CA36" s="458"/>
      <c r="CB36" s="458"/>
      <c r="CC36" s="84"/>
      <c r="CD36" s="458"/>
      <c r="CE36" s="458"/>
      <c r="CF36" s="458"/>
      <c r="CG36" s="458"/>
      <c r="CH36" s="84"/>
      <c r="CI36" s="458"/>
      <c r="CJ36" s="458"/>
      <c r="CK36" s="458"/>
      <c r="CL36" s="458"/>
      <c r="CM36" s="84"/>
      <c r="CN36" s="458"/>
      <c r="CO36" s="458"/>
      <c r="CP36" s="458"/>
      <c r="CQ36" s="458"/>
      <c r="CR36" s="84"/>
      <c r="CS36" s="458"/>
      <c r="CT36" s="458"/>
      <c r="CU36" s="458"/>
      <c r="CV36" s="458"/>
      <c r="CW36" s="84"/>
      <c r="CX36" s="115"/>
      <c r="CY36" s="115"/>
      <c r="CZ36" s="459"/>
      <c r="DA36" s="458"/>
      <c r="DC36" s="458"/>
      <c r="DD36" s="458"/>
      <c r="DE36" s="458"/>
      <c r="DF36" s="458"/>
      <c r="DG36" s="84"/>
      <c r="DH36" s="458"/>
      <c r="DI36" s="458"/>
      <c r="DJ36" s="458"/>
      <c r="DK36" s="458"/>
      <c r="DL36" s="84"/>
      <c r="DM36" s="458"/>
      <c r="DN36" s="458"/>
      <c r="DO36" s="458"/>
      <c r="DP36" s="458"/>
      <c r="DQ36" s="84"/>
      <c r="DR36" s="458"/>
      <c r="DS36" s="458"/>
      <c r="DT36" s="458"/>
      <c r="DU36" s="458"/>
      <c r="DV36" s="84"/>
      <c r="DW36" s="458"/>
      <c r="DX36" s="458"/>
      <c r="DY36" s="458"/>
      <c r="DZ36" s="458"/>
      <c r="EA36" s="84"/>
      <c r="EB36" s="458"/>
      <c r="EC36" s="458"/>
      <c r="ED36" s="458"/>
      <c r="EE36" s="458"/>
      <c r="EF36" s="84"/>
      <c r="EG36" s="458"/>
      <c r="EH36" s="458"/>
      <c r="EI36" s="458"/>
      <c r="EJ36" s="458"/>
      <c r="EK36" s="84"/>
      <c r="EL36" s="458"/>
      <c r="EM36" s="458"/>
      <c r="EN36" s="458"/>
      <c r="EO36" s="458"/>
      <c r="EP36" s="84"/>
      <c r="EQ36" s="458"/>
      <c r="ER36" s="458"/>
      <c r="ES36" s="458"/>
      <c r="ET36" s="458"/>
      <c r="EU36" s="84"/>
      <c r="EV36" s="458"/>
      <c r="EW36" s="458"/>
      <c r="EX36" s="458"/>
      <c r="EY36" s="458"/>
      <c r="EZ36" s="84"/>
      <c r="FA36" s="84"/>
      <c r="FH36" s="279"/>
      <c r="FL36" s="111"/>
      <c r="FM36" s="111"/>
    </row>
    <row r="37" spans="1:169" s="105" customFormat="1">
      <c r="A37" s="83" t="s">
        <v>366</v>
      </c>
      <c r="B37" s="442">
        <f t="shared" ref="B37:BM37" si="36">B32-B34</f>
      </c>
      <c r="C37" s="442">
        <f t="shared" si="36"/>
      </c>
      <c r="D37" s="442">
        <f t="shared" si="36"/>
      </c>
      <c r="E37" s="442">
        <f t="shared" si="36"/>
      </c>
      <c r="F37" s="443">
        <f>SUM(B37:E37)</f>
      </c>
      <c r="G37" s="442">
        <f t="shared" si="36"/>
      </c>
      <c r="H37" s="442">
        <f t="shared" si="36"/>
      </c>
      <c r="I37" s="442">
        <f t="shared" si="36"/>
      </c>
      <c r="J37" s="442">
        <f t="shared" si="36"/>
      </c>
      <c r="K37" s="443">
        <f>SUM(G37:J37)</f>
      </c>
      <c r="L37" s="442">
        <f t="shared" si="36"/>
      </c>
      <c r="M37" s="442">
        <f t="shared" si="36"/>
      </c>
      <c r="N37" s="442">
        <f t="shared" si="36"/>
      </c>
      <c r="O37" s="442">
        <f t="shared" si="36"/>
      </c>
      <c r="P37" s="443">
        <f>SUM(L37:O37)</f>
      </c>
      <c r="Q37" s="442">
        <f t="shared" si="36"/>
      </c>
      <c r="R37" s="442">
        <f t="shared" si="36"/>
      </c>
      <c r="S37" s="442">
        <f t="shared" si="36"/>
      </c>
      <c r="T37" s="442">
        <f t="shared" si="36"/>
      </c>
      <c r="U37" s="443">
        <f>SUM(Q37:T37)</f>
      </c>
      <c r="V37" s="442">
        <f t="shared" si="36"/>
      </c>
      <c r="W37" s="442">
        <f t="shared" si="36"/>
      </c>
      <c r="X37" s="442">
        <f t="shared" si="36"/>
      </c>
      <c r="Y37" s="442">
        <f t="shared" si="36"/>
      </c>
      <c r="Z37" s="443">
        <f>SUM(V37:Y37)</f>
      </c>
      <c r="AA37" s="442">
        <f t="shared" si="36"/>
      </c>
      <c r="AB37" s="442">
        <f t="shared" si="36"/>
      </c>
      <c r="AC37" s="442">
        <f t="shared" si="36"/>
      </c>
      <c r="AD37" s="442">
        <f t="shared" si="36"/>
      </c>
      <c r="AE37" s="443">
        <f>SUM(AA37:AD37)</f>
      </c>
      <c r="AF37" s="442">
        <f t="shared" si="36"/>
      </c>
      <c r="AG37" s="442">
        <f t="shared" si="36"/>
      </c>
      <c r="AH37" s="442">
        <f t="shared" si="36"/>
      </c>
      <c r="AI37" s="442">
        <f t="shared" si="36"/>
      </c>
      <c r="AJ37" s="443">
        <f>SUM(AF37:AI37)</f>
      </c>
      <c r="AK37" s="442">
        <f t="shared" si="36"/>
      </c>
      <c r="AL37" s="442">
        <f t="shared" si="36"/>
      </c>
      <c r="AM37" s="442">
        <f t="shared" si="36"/>
      </c>
      <c r="AN37" s="442">
        <f t="shared" si="36"/>
      </c>
      <c r="AO37" s="443">
        <f>SUM(AK37:AN37)</f>
      </c>
      <c r="AP37" s="442">
        <f t="shared" si="36"/>
      </c>
      <c r="AQ37" s="442">
        <f t="shared" si="36"/>
      </c>
      <c r="AR37" s="442">
        <f t="shared" si="36"/>
      </c>
      <c r="AS37" s="442">
        <f t="shared" si="36"/>
      </c>
      <c r="AT37" s="443">
        <f>SUM(AP37:AS37)</f>
      </c>
      <c r="AU37" s="442">
        <f t="shared" si="36"/>
      </c>
      <c r="AV37" s="442">
        <f t="shared" si="36"/>
      </c>
      <c r="AW37" s="442">
        <f t="shared" si="36"/>
      </c>
      <c r="AX37" s="442">
        <f t="shared" si="36"/>
      </c>
      <c r="AY37" s="443">
        <f>SUM(AU37:AX37)</f>
      </c>
      <c r="AZ37" s="442">
        <f t="shared" si="36"/>
      </c>
      <c r="BA37" s="442">
        <f t="shared" si="36"/>
      </c>
      <c r="BB37" s="442">
        <f t="shared" si="36"/>
      </c>
      <c r="BC37" s="442">
        <f>BC32-BC34</f>
      </c>
      <c r="BD37" s="443">
        <f>SUM(AZ37:BC37)</f>
      </c>
      <c r="BE37" s="442">
        <f t="shared" si="36"/>
      </c>
      <c r="BF37" s="442">
        <f t="shared" si="36"/>
      </c>
      <c r="BG37" s="442">
        <f t="shared" si="36"/>
      </c>
      <c r="BH37" s="442">
        <f>BH32-BH34</f>
      </c>
      <c r="BI37" s="443">
        <f>SUM(BE37:BH37)</f>
      </c>
      <c r="BJ37" s="442">
        <f t="shared" si="36"/>
      </c>
      <c r="BK37" s="442">
        <f t="shared" si="36"/>
      </c>
      <c r="BL37" s="442">
        <f t="shared" si="36"/>
      </c>
      <c r="BM37" s="442">
        <f t="shared" si="36"/>
      </c>
      <c r="BN37" s="443">
        <f>SUM(BJ37:BM37)</f>
      </c>
      <c r="BO37" s="442">
        <f t="shared" ref="BO37:BW37" si="37">BO32-BO34</f>
      </c>
      <c r="BP37" s="442">
        <f t="shared" si="37"/>
      </c>
      <c r="BQ37" s="442">
        <f t="shared" si="37"/>
      </c>
      <c r="BR37" s="442">
        <f t="shared" si="37"/>
      </c>
      <c r="BS37" s="443">
        <f>SUM(BO37:BR37)</f>
      </c>
      <c r="BT37" s="442">
        <f t="shared" si="37"/>
      </c>
      <c r="BU37" s="442">
        <f t="shared" si="37"/>
      </c>
      <c r="BV37" s="442">
        <f t="shared" si="37"/>
      </c>
      <c r="BW37" s="442">
        <f t="shared" si="37"/>
      </c>
      <c r="BX37" s="443">
        <f>SUM(BT37:BW37)</f>
      </c>
      <c r="BY37" s="442">
        <f t="shared" ref="BY37:CG37" si="38">BY32-BY34</f>
      </c>
      <c r="BZ37" s="442">
        <f t="shared" si="38"/>
      </c>
      <c r="CA37" s="442">
        <f t="shared" si="38"/>
      </c>
      <c r="CB37" s="442">
        <f t="shared" si="38"/>
      </c>
      <c r="CC37" s="443">
        <f>SUM(BY37:CB37)</f>
      </c>
      <c r="CD37" s="442">
        <f t="shared" si="38"/>
      </c>
      <c r="CE37" s="442">
        <f t="shared" si="38"/>
      </c>
      <c r="CF37" s="442">
        <f t="shared" si="38"/>
      </c>
      <c r="CG37" s="442">
        <f t="shared" si="38"/>
      </c>
      <c r="CH37" s="443">
        <f>SUM(CD37:CG37)</f>
      </c>
      <c r="CI37" s="442">
        <f>CI32-CI34</f>
      </c>
      <c r="CJ37" s="442">
        <f>CJ32-CJ34</f>
      </c>
      <c r="CK37" s="442">
        <f>CK32-CK34</f>
      </c>
      <c r="CL37" s="442">
        <f>CL32-CL34</f>
      </c>
      <c r="CM37" s="443">
        <f>SUM(CI37:CL37)</f>
      </c>
      <c r="CN37" s="442">
        <f>CN32-CN34</f>
      </c>
      <c r="CO37" s="442">
        <f>CO32-CO34</f>
      </c>
      <c r="CP37" s="442">
        <f>CP32-CP34</f>
      </c>
      <c r="CQ37" s="442">
        <f>CQ32-CQ34</f>
      </c>
      <c r="CR37" s="443">
        <f>SUM(CN37:CQ37)</f>
      </c>
      <c r="CS37" s="442">
        <f>CS32-CS34</f>
      </c>
      <c r="CT37" s="442">
        <f>CT32-CT34</f>
      </c>
      <c r="CU37" s="442">
        <f>CU32-CU34</f>
      </c>
      <c r="CV37" s="442">
        <f>CV32-CV34</f>
      </c>
      <c r="CW37" s="443">
        <f>SUM(CS37:CV37)</f>
      </c>
      <c r="CX37" s="442">
        <f>CX32-CX34</f>
      </c>
      <c r="CY37" s="442">
        <f>CY32-CY34</f>
      </c>
      <c r="CZ37" s="442">
        <f>CZ32-CZ34</f>
      </c>
      <c r="DA37" s="442">
        <f>DA32-DA34</f>
      </c>
      <c r="DB37" s="443">
        <f>SUM(CX37:DA37)</f>
      </c>
      <c r="DC37" s="442">
        <f>DC32-DC34</f>
      </c>
      <c r="DD37" s="442">
        <f>DD32-DD34</f>
      </c>
      <c r="DE37" s="442">
        <f>DE32-DE34</f>
      </c>
      <c r="DF37" s="442">
        <f>DF32-DF34</f>
      </c>
      <c r="DG37" s="443">
        <f>SUM(DC37:DF37)</f>
      </c>
      <c r="DH37" s="442">
        <f>DH32-DH34</f>
      </c>
      <c r="DI37" s="442">
        <f>DI32-DI34</f>
      </c>
      <c r="DJ37" s="442">
        <f>DJ32-DJ34</f>
      </c>
      <c r="DK37" s="442">
        <f>DK32-DK34</f>
      </c>
      <c r="DL37" s="443">
        <f>SUM(DH37:DK37)</f>
      </c>
      <c r="DM37" s="442">
        <f>DM32-DM34</f>
      </c>
      <c r="DN37" s="442">
        <f>DN32-DN34</f>
      </c>
      <c r="DO37" s="442">
        <f>DO32-DO34</f>
      </c>
      <c r="DP37" s="442">
        <f>DP32-DP34</f>
      </c>
      <c r="DQ37" s="443">
        <f>SUM(DM37:DP37)</f>
      </c>
      <c r="DR37" s="442">
        <f>DR32-DR34</f>
      </c>
      <c r="DS37" s="442">
        <f>DS32-DS34</f>
      </c>
      <c r="DT37" s="442">
        <f>DT32-DT34</f>
      </c>
      <c r="DU37" s="442">
        <f>DU32-DU34</f>
      </c>
      <c r="DV37" s="443">
        <f>SUM(DR37:DU37)</f>
      </c>
      <c r="DW37" s="442">
        <f>DW32-DW34</f>
      </c>
      <c r="DX37" s="442">
        <f>DX32-DX34</f>
      </c>
      <c r="DY37" s="442">
        <f>DY32-DY34</f>
      </c>
      <c r="DZ37" s="442">
        <f>DZ32-DZ34</f>
      </c>
      <c r="EA37" s="443">
        <f>SUM(DW37:DZ37)</f>
      </c>
      <c r="EB37" s="442">
        <f>EB32-EB34</f>
      </c>
      <c r="EC37" s="442">
        <f>EC32-EC34</f>
      </c>
      <c r="ED37" s="442">
        <f>ED32-ED34</f>
      </c>
      <c r="EE37" s="442">
        <f>EE32-EE34</f>
      </c>
      <c r="EF37" s="443">
        <f>SUM(EB37:EE37)</f>
      </c>
      <c r="EG37" s="442">
        <f>EG32-EG34</f>
      </c>
      <c r="EH37" s="442">
        <f>EH32-EH34</f>
      </c>
      <c r="EI37" s="442">
        <f>EI32-EI34</f>
      </c>
      <c r="EJ37" s="442">
        <f>EJ32-EJ34</f>
      </c>
      <c r="EK37" s="443">
        <f>SUM(EG37:EJ37)</f>
      </c>
      <c r="EL37" s="442">
        <f>EL32-EL34</f>
      </c>
      <c r="EM37" s="442">
        <f>EM32-EM34</f>
      </c>
      <c r="EN37" s="442">
        <f>EN32-EN34</f>
      </c>
      <c r="EO37" s="442">
        <f>EO32-EO34</f>
      </c>
      <c r="EP37" s="443">
        <f>SUM(EL37:EO37)</f>
      </c>
      <c r="EQ37" s="442">
        <f>EQ32-EQ34</f>
      </c>
      <c r="ER37" s="442">
        <f>ER32-ER34</f>
      </c>
      <c r="ES37" s="442">
        <f>ES32-ES34</f>
      </c>
      <c r="ET37" s="442">
        <f>ET32-ET34</f>
      </c>
      <c r="EU37" s="443">
        <f>SUM(EQ37:ET37)</f>
      </c>
      <c r="EV37" s="442">
        <f>EV32-EV34</f>
      </c>
      <c r="EW37" s="442">
        <f>EW32-EW34</f>
      </c>
      <c r="EX37" s="442">
        <f>EX32-EX34</f>
      </c>
      <c r="EY37" s="442">
        <f>EY32-EY34</f>
      </c>
      <c r="EZ37" s="443">
        <f>SUM(EV37:EY37)</f>
      </c>
      <c r="FA37" s="443"/>
      <c r="FB37" s="456"/>
      <c r="FC37" s="246"/>
      <c r="FD37" s="456"/>
      <c r="FE37" s="456"/>
      <c r="FF37" s="456"/>
      <c r="FG37" s="85"/>
      <c r="FH37" s="460"/>
      <c r="FI37" s="456"/>
      <c r="FJ37" s="456"/>
      <c r="FL37" s="111"/>
      <c r="FM37" s="111"/>
    </row>
    <row r="38" spans="1:169">
      <c r="B38" s="116"/>
      <c r="C38" s="116"/>
      <c r="D38" s="116"/>
      <c r="E38" s="116"/>
      <c r="F38" s="442"/>
      <c r="G38" s="116"/>
      <c r="H38" s="116"/>
      <c r="I38" s="116"/>
      <c r="J38" s="116"/>
      <c r="K38" s="442"/>
      <c r="L38" s="116"/>
      <c r="M38" s="116"/>
      <c r="N38" s="116"/>
      <c r="O38" s="116"/>
      <c r="P38" s="442"/>
      <c r="Q38" s="116"/>
      <c r="R38" s="116"/>
      <c r="S38" s="116"/>
      <c r="T38" s="116"/>
      <c r="U38" s="442"/>
      <c r="V38" s="116"/>
      <c r="W38" s="116"/>
      <c r="X38" s="116"/>
      <c r="Y38" s="116"/>
      <c r="Z38" s="442"/>
      <c r="AA38" s="116"/>
      <c r="AB38" s="116"/>
      <c r="AC38" s="116"/>
      <c r="AD38" s="116"/>
      <c r="AE38" s="442"/>
      <c r="AF38" s="116"/>
      <c r="AG38" s="116"/>
      <c r="AH38" s="116"/>
      <c r="AI38" s="116"/>
      <c r="AJ38" s="442"/>
      <c r="AK38" s="116"/>
      <c r="AL38" s="116"/>
      <c r="AM38" s="116"/>
      <c r="AN38" s="116"/>
      <c r="AO38" s="442"/>
      <c r="AP38" s="116"/>
      <c r="AQ38" s="116"/>
      <c r="AR38" s="116"/>
      <c r="AS38" s="116"/>
      <c r="AT38" s="442"/>
      <c r="AU38" s="116"/>
      <c r="AV38" s="116"/>
      <c r="AW38" s="116"/>
      <c r="AX38" s="116"/>
      <c r="AY38" s="442"/>
      <c r="AZ38" s="116"/>
      <c r="BA38" s="116"/>
      <c r="BB38" s="116"/>
      <c r="BC38" s="116"/>
      <c r="BD38" s="442"/>
      <c r="BE38" s="116"/>
      <c r="BF38" s="116"/>
      <c r="BG38" s="116"/>
      <c r="BH38" s="116"/>
      <c r="BI38" s="442"/>
      <c r="BJ38" s="116"/>
      <c r="BK38" s="116"/>
      <c r="BL38" s="116"/>
      <c r="BM38" s="116"/>
      <c r="BN38" s="442"/>
      <c r="BO38" s="116"/>
      <c r="BP38" s="116"/>
      <c r="BQ38" s="116"/>
      <c r="BR38" s="116"/>
      <c r="BS38" s="442"/>
      <c r="BT38" s="116"/>
      <c r="BU38" s="116"/>
      <c r="BV38" s="116"/>
      <c r="BW38" s="116"/>
      <c r="BX38" s="442"/>
      <c r="BY38" s="116"/>
      <c r="BZ38" s="116"/>
      <c r="CA38" s="116"/>
      <c r="CB38" s="116"/>
      <c r="CC38" s="442"/>
      <c r="CD38" s="116"/>
      <c r="CE38" s="116"/>
      <c r="CF38" s="116"/>
      <c r="CG38" s="116"/>
      <c r="CH38" s="442"/>
      <c r="CI38" s="116"/>
      <c r="CJ38" s="116"/>
      <c r="CK38" s="116"/>
      <c r="CL38" s="116"/>
      <c r="CM38" s="117"/>
      <c r="CN38" s="116"/>
      <c r="CO38" s="116"/>
      <c r="CP38" s="116"/>
      <c r="CQ38" s="116"/>
      <c r="CR38" s="117"/>
      <c r="CS38" s="116"/>
      <c r="CT38" s="116"/>
      <c r="CU38" s="116"/>
      <c r="CV38" s="116"/>
      <c r="CW38" s="117"/>
      <c r="CX38" s="110"/>
      <c r="CY38" s="110"/>
      <c r="CZ38" s="116"/>
      <c r="DA38" s="116"/>
      <c r="DB38" s="117"/>
      <c r="DC38" s="116"/>
      <c r="DD38" s="116"/>
      <c r="DE38" s="116"/>
      <c r="DF38" s="116"/>
      <c r="DG38" s="117"/>
      <c r="DH38" s="116"/>
      <c r="DI38" s="116"/>
      <c r="DJ38" s="116"/>
      <c r="DK38" s="116"/>
      <c r="DL38" s="117"/>
      <c r="DM38" s="116"/>
      <c r="DN38" s="116"/>
      <c r="DO38" s="116"/>
      <c r="DP38" s="116"/>
      <c r="DQ38" s="117"/>
      <c r="DR38" s="116"/>
      <c r="DS38" s="116"/>
      <c r="DT38" s="116"/>
      <c r="DU38" s="116"/>
      <c r="DV38" s="117"/>
      <c r="DW38" s="116"/>
      <c r="DX38" s="116"/>
      <c r="DY38" s="116"/>
      <c r="DZ38" s="116"/>
      <c r="EA38" s="117"/>
      <c r="EB38" s="116"/>
      <c r="EC38" s="116"/>
      <c r="ED38" s="116"/>
      <c r="EE38" s="116"/>
      <c r="EF38" s="117"/>
      <c r="EG38" s="116"/>
      <c r="EH38" s="116"/>
      <c r="EI38" s="116"/>
      <c r="EJ38" s="116"/>
      <c r="EK38" s="117"/>
      <c r="EL38" s="116"/>
      <c r="EM38" s="116"/>
      <c r="EN38" s="116"/>
      <c r="EO38" s="116"/>
      <c r="EP38" s="117"/>
      <c r="EQ38" s="116"/>
      <c r="ER38" s="116"/>
      <c r="ES38" s="116"/>
      <c r="ET38" s="116"/>
      <c r="EU38" s="117"/>
      <c r="EV38" s="116"/>
      <c r="EW38" s="116"/>
      <c r="EX38" s="116"/>
      <c r="EY38" s="116"/>
      <c r="EZ38" s="117"/>
      <c r="FA38" s="117"/>
      <c r="FL38" s="111"/>
      <c r="FM38" s="111"/>
    </row>
    <row r="39" spans="1:169">
      <c r="A39" s="106" t="s">
        <v>367</v>
      </c>
      <c r="B39" s="442">
        <v>0</v>
      </c>
      <c r="C39" s="442">
        <v>0</v>
      </c>
      <c r="D39" s="442">
        <v>0</v>
      </c>
      <c r="E39" s="442">
        <v>0</v>
      </c>
      <c r="F39" s="443">
        <f>SUM(B39:E39)</f>
      </c>
      <c r="G39" s="442">
        <v>0</v>
      </c>
      <c r="H39" s="442">
        <v>0</v>
      </c>
      <c r="I39" s="442">
        <v>0</v>
      </c>
      <c r="J39" s="442">
        <v>0</v>
      </c>
      <c r="K39" s="443">
        <f>SUM(G39:J39)</f>
      </c>
      <c r="L39" s="442">
        <v>0</v>
      </c>
      <c r="M39" s="442">
        <v>0</v>
      </c>
      <c r="N39" s="442">
        <v>0</v>
      </c>
      <c r="O39" s="442">
        <v>0</v>
      </c>
      <c r="P39" s="443">
        <f>SUM(L39:O39)</f>
      </c>
      <c r="Q39" s="442">
        <v>0</v>
      </c>
      <c r="R39" s="442">
        <v>0</v>
      </c>
      <c r="S39" s="442">
        <v>0</v>
      </c>
      <c r="T39" s="442">
        <v>0</v>
      </c>
      <c r="U39" s="443">
        <f>SUM(Q39:T39)</f>
      </c>
      <c r="V39" s="442">
        <f>-0.7*9.573</f>
      </c>
      <c r="W39" s="442">
        <f>-0.457</f>
      </c>
      <c r="X39" s="442">
        <v>-3.6869999999999998</v>
      </c>
      <c r="Y39" s="442">
        <v>1.2432000000000016</v>
      </c>
      <c r="Z39" s="443">
        <f>SUM(V39:Y39)</f>
      </c>
      <c r="AA39" s="442">
        <v>0</v>
      </c>
      <c r="AB39" s="442">
        <f>-0.7*21</f>
      </c>
      <c r="AC39" s="442">
        <f>-61.832+AC34</f>
      </c>
      <c r="AD39" s="442">
        <f>0.7*40.365</f>
      </c>
      <c r="AE39" s="443">
        <f>SUM(AA39:AD39)</f>
      </c>
      <c r="AF39" s="442">
        <v>0</v>
      </c>
      <c r="AG39" s="442">
        <v>0</v>
      </c>
      <c r="AH39" s="442">
        <f>-3.5-13.068*0.6</f>
      </c>
      <c r="AI39" s="442">
        <v>0</v>
      </c>
      <c r="AJ39" s="443">
        <f>SUM(AF39:AI39)</f>
      </c>
      <c r="AK39" s="442">
        <v>0</v>
      </c>
      <c r="AL39" s="442">
        <v>0</v>
      </c>
      <c r="AM39" s="442">
        <v>0</v>
      </c>
      <c r="AN39" s="442">
        <v>0</v>
      </c>
      <c r="AO39" s="443">
        <f>SUM(AK39:AN39)</f>
      </c>
      <c r="AP39" s="442">
        <v>0</v>
      </c>
      <c r="AQ39" s="442">
        <v>0</v>
      </c>
      <c r="AR39" s="442">
        <f>-14.158*(1-0.16)</f>
      </c>
      <c r="AS39" s="442">
        <v>0</v>
      </c>
      <c r="AT39" s="443">
        <f>SUM(AP39:AS39)</f>
      </c>
      <c r="AU39" s="442">
        <v>0.70399999999999996</v>
      </c>
      <c r="AV39" s="442">
        <v>0</v>
      </c>
      <c r="AW39" s="442">
        <f>-(17.5-(6.594-(AW41-AW42)))</f>
      </c>
      <c r="AX39" s="442">
        <f>-13.4+(11.947+AX34)</f>
      </c>
      <c r="AY39" s="443">
        <f>SUM(AU39:AX39)</f>
      </c>
      <c r="AZ39" s="442">
        <v>0</v>
      </c>
      <c r="BA39" s="442">
        <v>0</v>
      </c>
      <c r="BB39" s="442">
        <v>0</v>
      </c>
      <c r="BC39" s="442">
        <v>-4</v>
      </c>
      <c r="BD39" s="443">
        <f>SUM(AZ39:BC39)</f>
      </c>
      <c r="BE39" s="442">
        <v>0</v>
      </c>
      <c r="BF39" s="442">
        <f>-0.83*195.954</f>
      </c>
      <c r="BG39" s="442">
        <f>-8.338-4.5</f>
      </c>
      <c r="BH39" s="442">
        <v>-18.53</v>
      </c>
      <c r="BI39" s="443">
        <f>SUM(BE39:BH39)</f>
      </c>
      <c r="BJ39" s="442">
        <f>-(11.412+128.829)+16.142</f>
      </c>
      <c r="BK39" s="442">
        <f>-119.993+0.939+1.398</f>
      </c>
      <c r="BL39" s="442">
        <f>25.105-4.876+0.018</f>
      </c>
      <c r="BM39" s="442">
        <v>0</v>
      </c>
      <c r="BN39" s="443">
        <f>SUM(BJ39:BM39)</f>
      </c>
      <c r="BO39" s="442">
        <v>0</v>
      </c>
      <c r="BP39" s="442">
        <f>-193.3+32.23</f>
      </c>
      <c r="BQ39" s="442">
        <v>0</v>
      </c>
      <c r="BR39" s="442">
        <v>57</v>
      </c>
      <c r="BS39" s="443">
        <f>SUM(BO39:BR39)</f>
      </c>
      <c r="BT39" s="442">
        <v>0</v>
      </c>
      <c r="BU39" s="442">
        <v>-7.5620000000000003</v>
      </c>
      <c r="BV39" s="442">
        <v>-6.4130000000000003</v>
      </c>
      <c r="BW39" s="442">
        <f>-7.3-5.052</f>
      </c>
      <c r="BX39" s="443">
        <f>SUM(BT39:BW39)</f>
      </c>
      <c r="BY39" s="442">
        <f>-4.342-5.171-7.989+(BY41-BY42)</f>
      </c>
      <c r="BZ39" s="442">
        <f>-4.065-4.794-20.127+9.839-5.806</f>
      </c>
      <c r="CA39" s="442">
        <f>-4.402-4.666+0.556</f>
      </c>
      <c r="CB39" s="442">
        <f>-4.373-4.325</f>
      </c>
      <c r="CC39" s="443">
        <f>SUM(BY39:CB39)</f>
      </c>
      <c r="CD39" s="442">
        <f>-3.915-4.946+6.348-3.507</f>
      </c>
      <c r="CE39" s="442">
        <f>-2.29-3.98-4.984+6.767-5.183</f>
      </c>
      <c r="CF39" s="442">
        <f>-4.906+0.329-2.235+6.055</f>
      </c>
      <c r="CG39" s="442">
        <v>-3.0670000000000002</v>
      </c>
      <c r="CH39" s="443">
        <f>SUM(CD39:CG39)</f>
      </c>
      <c r="CI39" s="442">
        <f>-9.441+16.982-6.901+5.342-5</f>
      </c>
      <c r="CJ39" s="442">
        <f>-9.173-2.5-6.973+11.606-5</f>
      </c>
      <c r="CK39" s="442">
        <f>-9.572+10.549-7.01-7</f>
      </c>
      <c r="CL39" s="442">
        <f>-9.169-7.083+3.783</f>
      </c>
      <c r="CM39" s="443">
        <f>SUM(CI39:CL39)</f>
      </c>
      <c r="CN39" s="442">
        <f>-9-7+1</f>
      </c>
      <c r="CO39" s="442">
        <f>-15-4-89-7-2-9</f>
      </c>
      <c r="CP39" s="442">
        <f>-4-8-7+57</f>
      </c>
      <c r="CQ39" s="442">
        <f>-5-4-34-7+21</f>
      </c>
      <c r="CR39" s="443">
        <f>SUM(CN39:CQ39)</f>
      </c>
      <c r="CS39" s="442">
        <f>-10-6-4-3-1-7+14</f>
      </c>
      <c r="CT39" s="442">
        <f>-4-1-2-7+12</f>
      </c>
      <c r="CU39" s="442">
        <f>-4-6-15+62</f>
      </c>
      <c r="CV39" s="442">
        <f>-4-4-6-1+36</f>
      </c>
      <c r="CW39" s="443">
        <f>SUM(CS39:CV39)</f>
      </c>
      <c r="CX39" s="442">
        <f>-4-2-2-14+73</f>
      </c>
      <c r="CY39" s="442">
        <f>-4-1-3+34</f>
      </c>
      <c r="CZ39" s="442">
        <f>-3-1+116</f>
      </c>
      <c r="DA39" s="442">
        <f>+-1-2-2+2+33+133</f>
      </c>
      <c r="DB39" s="443">
        <f>SUM(CX39:DA39)</f>
      </c>
      <c r="DC39" s="442">
        <f>+-2-2+6-1+87</f>
      </c>
      <c r="DD39" s="442">
        <f>-2+2+22</f>
      </c>
      <c r="DE39" s="442">
        <f>-14-1-1+4+2+91+138</f>
      </c>
      <c r="DF39" s="442">
        <f>-21-1-7+1+25+230</f>
      </c>
      <c r="DG39" s="443">
        <f>SUM(DC39:DF39)</f>
      </c>
      <c r="DH39" s="442">
        <f>-10-10-1+50</f>
      </c>
      <c r="DI39" s="442">
        <f>-2-5+21</f>
      </c>
      <c r="DJ39" s="442">
        <f>-7+1+26</f>
      </c>
      <c r="DK39" s="442">
        <f>-3-7+8</f>
      </c>
      <c r="DL39" s="443">
        <f>SUM(DH39:DK39)</f>
      </c>
      <c r="DM39" s="442">
        <f>-1-4-3-1+30</f>
      </c>
      <c r="DN39" s="442">
        <f>-245-17-229-2-1+124</f>
      </c>
      <c r="DO39" s="442">
        <f>-86-21-106-4-1+102+1</f>
      </c>
      <c r="DP39" s="442">
        <f>-92-1-72+9-1+74</f>
      </c>
      <c r="DQ39" s="443">
        <f>SUM(DM39:DP39)</f>
      </c>
      <c r="DR39" s="442">
        <f>-87-5-80+134-1+67</f>
      </c>
      <c r="DS39" s="442">
        <f>-86-4-72-1+127+252</f>
      </c>
      <c r="DT39" s="442">
        <f>-86-70-1+187+20</f>
      </c>
      <c r="DU39" s="442">
        <f>-86-70-53+330-7+90</f>
      </c>
      <c r="DV39" s="443">
        <f>SUM(DR39:DU39)</f>
      </c>
      <c r="DW39" s="442">
        <f>-94-1353-55-7-17-1+280</f>
      </c>
      <c r="DX39" s="442">
        <f>-121-54-2-7-1+197+1</f>
      </c>
      <c r="DY39" s="442">
        <f>-120-54-16-11-1+171</f>
      </c>
      <c r="DZ39" s="442">
        <f>-120-54-38-10-1+218-16</f>
      </c>
      <c r="EA39" s="443">
        <f>SUM(DW39:DZ39)</f>
      </c>
      <c r="EB39" s="442">
        <f>-119-54+4-14-1+257-8</f>
      </c>
      <c r="EC39" s="442">
        <f>-119-18+5+62-1+363-2</f>
      </c>
      <c r="ED39" s="442">
        <f>-119-26-16-69-1+433</f>
      </c>
      <c r="EE39" s="442">
        <f>-119-4-18+260-1+321</f>
      </c>
      <c r="EF39" s="443">
        <f>SUM(EB39:EE39)</f>
      </c>
      <c r="EG39" s="442">
        <f>-119+1-21+69-1+725</f>
      </c>
      <c r="EH39" s="442">
        <f>-118+3-26+193-1+750</f>
      </c>
      <c r="EI39" s="442">
        <f>-116-39+37-1+670</f>
      </c>
      <c r="EJ39" s="442">
        <f>+-118-0-43+727-1+781</f>
      </c>
      <c r="EK39" s="443">
        <f>SUM(EG39:EJ39)</f>
      </c>
      <c r="EL39" s="442">
        <f>-123-3-37-175-1+694</f>
      </c>
      <c r="EM39" s="442">
        <f>-49-37-15+2247-1+166-48</f>
      </c>
      <c r="EN39" s="444">
        <v>0</v>
      </c>
      <c r="EO39" s="444">
        <v>0</v>
      </c>
      <c r="EP39" s="443">
        <f>SUM(EL39:EO39)</f>
      </c>
      <c r="EQ39" s="444">
        <v>0</v>
      </c>
      <c r="ER39" s="444">
        <v>0</v>
      </c>
      <c r="ES39" s="444">
        <v>0</v>
      </c>
      <c r="ET39" s="444">
        <v>0</v>
      </c>
      <c r="EU39" s="443">
        <f>SUM(EQ39:ET39)</f>
      </c>
      <c r="EV39" s="444">
        <v>0</v>
      </c>
      <c r="EW39" s="444">
        <v>0</v>
      </c>
      <c r="EX39" s="444">
        <v>0</v>
      </c>
      <c r="EY39" s="444">
        <v>0</v>
      </c>
      <c r="EZ39" s="443">
        <f>SUM(EV39:EY39)</f>
      </c>
      <c r="FA39" s="443"/>
      <c r="FB39" s="456"/>
      <c r="FC39" s="456"/>
      <c r="FD39" s="456"/>
      <c r="FE39" s="456"/>
      <c r="FF39" s="456"/>
      <c r="FG39" s="456"/>
      <c r="FH39" s="456"/>
      <c r="FI39" s="456"/>
      <c r="FJ39" s="456"/>
      <c r="FL39" s="111"/>
      <c r="FM39" s="111"/>
    </row>
    <row r="40" spans="1:169">
      <c r="A40" s="106" t="s">
        <v>368</v>
      </c>
      <c r="B40" s="442">
        <v>0</v>
      </c>
      <c r="C40" s="442">
        <v>0</v>
      </c>
      <c r="D40" s="442">
        <v>0</v>
      </c>
      <c r="E40" s="442">
        <v>0</v>
      </c>
      <c r="F40" s="443">
        <f>SUM(B40:E40)</f>
      </c>
      <c r="G40" s="442">
        <v>0</v>
      </c>
      <c r="H40" s="442">
        <v>0</v>
      </c>
      <c r="I40" s="442">
        <v>0</v>
      </c>
      <c r="J40" s="442">
        <v>0</v>
      </c>
      <c r="K40" s="443">
        <f>SUM(G40:J40)</f>
      </c>
      <c r="L40" s="442">
        <v>0</v>
      </c>
      <c r="M40" s="442">
        <v>0</v>
      </c>
      <c r="N40" s="442">
        <v>0</v>
      </c>
      <c r="O40" s="442">
        <v>0</v>
      </c>
      <c r="P40" s="443">
        <f>SUM(L40:O40)</f>
      </c>
      <c r="Q40" s="442">
        <v>0</v>
      </c>
      <c r="R40" s="442">
        <v>0</v>
      </c>
      <c r="S40" s="442">
        <v>0</v>
      </c>
      <c r="T40" s="442">
        <v>0</v>
      </c>
      <c r="U40" s="443">
        <f>SUM(Q40:T40)</f>
      </c>
      <c r="V40" s="442">
        <f>-0.375</f>
      </c>
      <c r="W40" s="442">
        <f>-3.236</f>
      </c>
      <c r="X40" s="442">
        <f>-3.237</f>
      </c>
      <c r="Y40" s="442">
        <v>-0.21709999999999852</v>
      </c>
      <c r="Z40" s="443">
        <f>SUM(V40:Y40)</f>
      </c>
      <c r="AA40" s="442">
        <v>0</v>
      </c>
      <c r="AB40" s="442">
        <v>0</v>
      </c>
      <c r="AC40" s="442">
        <v>0</v>
      </c>
      <c r="AD40" s="442">
        <v>0</v>
      </c>
      <c r="AE40" s="443">
        <f>SUM(AA40:AD40)</f>
      </c>
      <c r="AF40" s="442">
        <v>0</v>
      </c>
      <c r="AG40" s="442">
        <v>0</v>
      </c>
      <c r="AH40" s="442">
        <v>0</v>
      </c>
      <c r="AI40" s="442">
        <v>0</v>
      </c>
      <c r="AJ40" s="443">
        <f>SUM(AF40:AI40)</f>
      </c>
      <c r="AK40" s="442">
        <v>0</v>
      </c>
      <c r="AL40" s="442">
        <v>0</v>
      </c>
      <c r="AM40" s="442">
        <v>0</v>
      </c>
      <c r="AN40" s="442">
        <v>0</v>
      </c>
      <c r="AO40" s="443">
        <f>SUM(AK40:AN40)</f>
      </c>
      <c r="AP40" s="442">
        <v>0</v>
      </c>
      <c r="AQ40" s="442">
        <v>0</v>
      </c>
      <c r="AR40" s="442">
        <v>0</v>
      </c>
      <c r="AS40" s="442">
        <v>0</v>
      </c>
      <c r="AT40" s="443">
        <f>SUM(AP40:AS40)</f>
      </c>
      <c r="AU40" s="442">
        <v>0</v>
      </c>
      <c r="AV40" s="442">
        <v>0</v>
      </c>
      <c r="AW40" s="442">
        <v>0</v>
      </c>
      <c r="AX40" s="442">
        <v>0</v>
      </c>
      <c r="AY40" s="443">
        <f>SUM(AU40:AX40)</f>
      </c>
      <c r="AZ40" s="442">
        <v>0</v>
      </c>
      <c r="BA40" s="442">
        <v>0</v>
      </c>
      <c r="BB40" s="442">
        <v>0</v>
      </c>
      <c r="BC40" s="442">
        <v>0</v>
      </c>
      <c r="BD40" s="443">
        <f>SUM(AZ40:BC40)</f>
      </c>
      <c r="BE40" s="442">
        <v>0</v>
      </c>
      <c r="BF40" s="442">
        <v>0</v>
      </c>
      <c r="BG40" s="442">
        <v>0</v>
      </c>
      <c r="BH40" s="442">
        <v>0</v>
      </c>
      <c r="BI40" s="443">
        <f>SUM(BE40:BH40)</f>
      </c>
      <c r="BJ40" s="442">
        <v>0</v>
      </c>
      <c r="BK40" s="442">
        <v>0</v>
      </c>
      <c r="BL40" s="442">
        <v>0</v>
      </c>
      <c r="BM40" s="442">
        <v>0</v>
      </c>
      <c r="BN40" s="443">
        <f>SUM(BJ40:BM40)</f>
      </c>
      <c r="BO40" s="442">
        <v>0</v>
      </c>
      <c r="BP40" s="442">
        <v>0</v>
      </c>
      <c r="BQ40" s="442">
        <v>0</v>
      </c>
      <c r="BR40" s="442">
        <v>0</v>
      </c>
      <c r="BS40" s="443">
        <f>SUM(BO40:BR40)</f>
      </c>
      <c r="BT40" s="442">
        <v>0</v>
      </c>
      <c r="BU40" s="442">
        <v>0</v>
      </c>
      <c r="BV40" s="442">
        <v>0</v>
      </c>
      <c r="BW40" s="442">
        <v>0</v>
      </c>
      <c r="BX40" s="443">
        <f>SUM(BT40:BW40)</f>
      </c>
      <c r="BY40" s="442">
        <v>0</v>
      </c>
      <c r="BZ40" s="442">
        <v>0</v>
      </c>
      <c r="CA40" s="442">
        <v>0</v>
      </c>
      <c r="CB40" s="442">
        <v>0</v>
      </c>
      <c r="CC40" s="443">
        <f>SUM(BY40:CB40)</f>
      </c>
      <c r="CD40" s="442">
        <v>0</v>
      </c>
      <c r="CE40" s="442">
        <v>0</v>
      </c>
      <c r="CF40" s="442">
        <v>0</v>
      </c>
      <c r="CG40" s="442">
        <v>0</v>
      </c>
      <c r="CH40" s="443">
        <f>SUM(CD40:CG40)</f>
      </c>
      <c r="CI40" s="442">
        <v>0</v>
      </c>
      <c r="CJ40" s="442">
        <v>0</v>
      </c>
      <c r="CK40" s="442">
        <v>0</v>
      </c>
      <c r="CL40" s="442">
        <v>0</v>
      </c>
      <c r="CM40" s="443">
        <f>SUM(CI40:CL40)</f>
      </c>
      <c r="CN40" s="442">
        <v>0</v>
      </c>
      <c r="CO40" s="442">
        <v>0</v>
      </c>
      <c r="CP40" s="442">
        <v>0</v>
      </c>
      <c r="CQ40" s="442">
        <v>0</v>
      </c>
      <c r="CR40" s="443">
        <f>SUM(CN40:CQ40)</f>
      </c>
      <c r="CS40" s="442">
        <v>0</v>
      </c>
      <c r="CT40" s="442">
        <v>0</v>
      </c>
      <c r="CU40" s="442">
        <v>0</v>
      </c>
      <c r="CV40" s="442">
        <v>0</v>
      </c>
      <c r="CW40" s="443">
        <f>SUM(CS40:CV40)</f>
      </c>
      <c r="CX40" s="442">
        <v>0</v>
      </c>
      <c r="CY40" s="442">
        <v>0</v>
      </c>
      <c r="CZ40" s="442">
        <v>0</v>
      </c>
      <c r="DA40" s="442">
        <v>0</v>
      </c>
      <c r="DB40" s="443">
        <f>SUM(CX40:DA40)</f>
      </c>
      <c r="DC40" s="442">
        <v>0</v>
      </c>
      <c r="DD40" s="442">
        <v>0</v>
      </c>
      <c r="DE40" s="442">
        <v>0</v>
      </c>
      <c r="DF40" s="442">
        <v>0</v>
      </c>
      <c r="DG40" s="443">
        <f>SUM(DC40:DF40)</f>
      </c>
      <c r="DH40" s="442">
        <v>0</v>
      </c>
      <c r="DI40" s="442">
        <v>0</v>
      </c>
      <c r="DJ40" s="442">
        <v>0</v>
      </c>
      <c r="DK40" s="442">
        <v>0</v>
      </c>
      <c r="DL40" s="443">
        <f>SUM(DH40:DK40)</f>
      </c>
      <c r="DM40" s="442">
        <v>0</v>
      </c>
      <c r="DN40" s="442">
        <v>0</v>
      </c>
      <c r="DO40" s="442">
        <v>0</v>
      </c>
      <c r="DP40" s="442">
        <v>0</v>
      </c>
      <c r="DQ40" s="443">
        <f>SUM(DM40:DP40)</f>
      </c>
      <c r="DR40" s="442">
        <v>0</v>
      </c>
      <c r="DS40" s="442">
        <v>0</v>
      </c>
      <c r="DT40" s="442">
        <v>0</v>
      </c>
      <c r="DU40" s="442">
        <v>0</v>
      </c>
      <c r="DV40" s="443">
        <f>SUM(DR40:DU40)</f>
      </c>
      <c r="DW40" s="442">
        <v>0</v>
      </c>
      <c r="DX40" s="442">
        <v>0</v>
      </c>
      <c r="DY40" s="442">
        <v>0</v>
      </c>
      <c r="DZ40" s="442">
        <v>0</v>
      </c>
      <c r="EA40" s="443">
        <f>SUM(DW40:DZ40)</f>
      </c>
      <c r="EB40" s="442">
        <v>0</v>
      </c>
      <c r="EC40" s="442">
        <v>0</v>
      </c>
      <c r="ED40" s="442">
        <v>0</v>
      </c>
      <c r="EE40" s="442">
        <v>0</v>
      </c>
      <c r="EF40" s="443">
        <f>SUM(EB40:EE40)</f>
      </c>
      <c r="EG40" s="442">
        <v>0</v>
      </c>
      <c r="EH40" s="442">
        <v>0</v>
      </c>
      <c r="EI40" s="442">
        <v>0</v>
      </c>
      <c r="EJ40" s="442">
        <v>0</v>
      </c>
      <c r="EK40" s="443">
        <f>SUM(EG40:EJ40)</f>
      </c>
      <c r="EL40" s="442">
        <v>0</v>
      </c>
      <c r="EM40" s="442">
        <v>0</v>
      </c>
      <c r="EN40" s="444">
        <v>0</v>
      </c>
      <c r="EO40" s="444">
        <v>0</v>
      </c>
      <c r="EP40" s="443">
        <f>SUM(EL40:EO40)</f>
      </c>
      <c r="EQ40" s="444">
        <v>0</v>
      </c>
      <c r="ER40" s="444">
        <v>0</v>
      </c>
      <c r="ES40" s="444">
        <v>0</v>
      </c>
      <c r="ET40" s="444">
        <v>0</v>
      </c>
      <c r="EU40" s="443">
        <f>SUM(EQ40:ET40)</f>
      </c>
      <c r="EV40" s="444">
        <v>0</v>
      </c>
      <c r="EW40" s="444">
        <v>0</v>
      </c>
      <c r="EX40" s="444">
        <v>0</v>
      </c>
      <c r="EY40" s="444">
        <v>0</v>
      </c>
      <c r="EZ40" s="443">
        <f>SUM(EV40:EY40)</f>
      </c>
      <c r="FA40" s="443"/>
      <c r="FB40" s="456"/>
      <c r="FC40" s="456"/>
      <c r="FD40" s="456"/>
      <c r="FE40" s="456"/>
      <c r="FF40" s="456"/>
      <c r="FG40" s="456"/>
      <c r="FH40" s="456"/>
      <c r="FI40" s="456"/>
      <c r="FJ40" s="456"/>
      <c r="FL40" s="111"/>
      <c r="FM40" s="111"/>
    </row>
    <row r="41" spans="1:169">
      <c r="A41" s="106" t="s">
        <v>369</v>
      </c>
      <c r="B41" s="442"/>
      <c r="C41" s="442"/>
      <c r="D41" s="442"/>
      <c r="E41" s="442"/>
      <c r="F41" s="443">
        <f>SUM(B41:E41)</f>
      </c>
      <c r="G41" s="442"/>
      <c r="H41" s="442"/>
      <c r="I41" s="442"/>
      <c r="J41" s="442"/>
      <c r="K41" s="443">
        <f>SUM(G41:J41)</f>
      </c>
      <c r="L41" s="442"/>
      <c r="M41" s="442"/>
      <c r="N41" s="442"/>
      <c r="O41" s="442"/>
      <c r="P41" s="443">
        <f>SUM(L41:O41)</f>
      </c>
      <c r="Q41" s="442"/>
      <c r="R41" s="442"/>
      <c r="S41" s="442"/>
      <c r="T41" s="442"/>
      <c r="U41" s="443">
        <f>SUM(Q41:T41)</f>
      </c>
      <c r="V41" s="442"/>
      <c r="W41" s="442"/>
      <c r="X41" s="442"/>
      <c r="Y41" s="442"/>
      <c r="Z41" s="443">
        <f>SUM(V41:Y41)</f>
      </c>
      <c r="AA41" s="442"/>
      <c r="AB41" s="442"/>
      <c r="AC41" s="442"/>
      <c r="AD41" s="442"/>
      <c r="AE41" s="443">
        <f>SUM(AA41:AD41)</f>
      </c>
      <c r="AF41" s="442">
        <f t="shared" ref="AF41:AS41" si="39">AF42/(1-AF35)</f>
      </c>
      <c r="AG41" s="442">
        <f t="shared" si="39"/>
      </c>
      <c r="AH41" s="442">
        <f t="shared" si="39"/>
      </c>
      <c r="AI41" s="442">
        <f t="shared" si="39"/>
      </c>
      <c r="AJ41" s="443">
        <f>SUM(AF41:AI41)</f>
      </c>
      <c r="AK41" s="442">
        <f t="shared" si="39"/>
      </c>
      <c r="AL41" s="442">
        <f t="shared" si="39"/>
      </c>
      <c r="AM41" s="442">
        <f t="shared" si="39"/>
      </c>
      <c r="AN41" s="442">
        <f t="shared" si="39"/>
      </c>
      <c r="AO41" s="443">
        <f>SUM(AK41:AN41)</f>
      </c>
      <c r="AP41" s="442">
        <f t="shared" si="39"/>
      </c>
      <c r="AQ41" s="442">
        <f t="shared" si="39"/>
      </c>
      <c r="AR41" s="442">
        <f t="shared" si="39"/>
      </c>
      <c r="AS41" s="442">
        <f t="shared" si="39"/>
      </c>
      <c r="AT41" s="443">
        <f>SUM(AP41:AS41)</f>
      </c>
      <c r="AU41" s="442">
        <v>22.225000000000001</v>
      </c>
      <c r="AV41" s="442">
        <f>28.81</f>
      </c>
      <c r="AW41" s="442">
        <v>31.734999999999999</v>
      </c>
      <c r="AX41" s="442">
        <v>33.908999999999999</v>
      </c>
      <c r="AY41" s="443">
        <f>SUM(AU41:AX41)</f>
      </c>
      <c r="AZ41" s="442">
        <v>37.405000000000001</v>
      </c>
      <c r="BA41" s="442">
        <v>29.46</v>
      </c>
      <c r="BB41" s="442">
        <f>2.566+18.65+10.787</f>
      </c>
      <c r="BC41" s="442">
        <f>2.809+19.146+12.542</f>
      </c>
      <c r="BD41" s="443">
        <f>SUM(AZ41:BC41)</f>
      </c>
      <c r="BE41" s="442">
        <f>3.136+24.534+14.454</f>
      </c>
      <c r="BF41" s="442">
        <f>3.333+24.226+12.806</f>
      </c>
      <c r="BG41" s="442">
        <f>3.558+22.74+12.086</f>
      </c>
      <c r="BH41" s="442">
        <v>41.832999999999998</v>
      </c>
      <c r="BI41" s="443">
        <f>SUM(BE41:BH41)</f>
      </c>
      <c r="BJ41" s="442">
        <f>2.23+31.883</f>
      </c>
      <c r="BK41" s="442">
        <f>4.828+13.268+7.28</f>
      </c>
      <c r="BL41" s="442">
        <f>2.65+12.853+7.479</f>
      </c>
      <c r="BM41" s="442">
        <f>2.65+12.853+7.479</f>
      </c>
      <c r="BN41" s="443">
        <f>SUM(BJ41:BM41)</f>
      </c>
      <c r="BO41" s="442">
        <f>BO42/(1-BO35)</f>
      </c>
      <c r="BP41" s="442">
        <f>2.289+14.5322+7.81</f>
      </c>
      <c r="BQ41" s="442">
        <f>2.49+14.104+8.585</f>
      </c>
      <c r="BR41" s="442">
        <f>100.353-BQ41-BP41-BO41</f>
      </c>
      <c r="BS41" s="443">
        <f>SUM(BO41:BR41)</f>
      </c>
      <c r="BT41" s="442">
        <v>31.739000000000001</v>
      </c>
      <c r="BU41" s="442">
        <f>2.748+21.697+11.505</f>
      </c>
      <c r="BV41" s="442">
        <f>3.049+19.308+10.872</f>
      </c>
      <c r="BW41" s="442">
        <f>3.048+20.908+11.48</f>
      </c>
      <c r="BX41" s="443">
        <f>SUM(BT41:BW41)</f>
      </c>
      <c r="BY41" s="442">
        <f>2.526+21.207+11.836</f>
      </c>
      <c r="BZ41" s="442">
        <f>2.649+18.885+10.721</f>
      </c>
      <c r="CA41" s="442">
        <v>30.58</v>
      </c>
      <c r="CB41" s="442">
        <f>2.826+22.009+10.934</f>
      </c>
      <c r="CC41" s="443">
        <f>SUM(BY41:CB41)</f>
      </c>
      <c r="CD41" s="442">
        <f>2.653+21.935+8.809</f>
      </c>
      <c r="CE41" s="442">
        <f>30.227+2.168</f>
      </c>
      <c r="CF41" s="442">
        <f>3.09+20.902+10.307</f>
      </c>
      <c r="CG41" s="442">
        <f>2.777+33.427</f>
      </c>
      <c r="CH41" s="443">
        <f>SUM(CD41:CG41)</f>
      </c>
      <c r="CI41" s="442">
        <f>32.602+2.919</f>
      </c>
      <c r="CJ41" s="442">
        <f>2.656+21.462+14.297</f>
      </c>
      <c r="CK41" s="442">
        <f>3.021+22.68+15.734</f>
      </c>
      <c r="CL41" s="442">
        <f>3.426+23.719+15.325</f>
      </c>
      <c r="CM41" s="443">
        <f>SUM(CI41:CL41)</f>
      </c>
      <c r="CN41" s="442">
        <f>2+27+16</f>
      </c>
      <c r="CO41" s="442">
        <f>3+27+17</f>
      </c>
      <c r="CP41" s="442">
        <f>4+28+19</f>
      </c>
      <c r="CQ41" s="442">
        <f>5+56</f>
      </c>
      <c r="CR41" s="443">
        <f>SUM(CN41:CQ41)</f>
      </c>
      <c r="CS41" s="442">
        <f>4+49</f>
      </c>
      <c r="CT41" s="442">
        <f>4+30+24</f>
      </c>
      <c r="CU41" s="442">
        <f>3+35+27</f>
      </c>
      <c r="CV41" s="442">
        <f>4+40+27</f>
      </c>
      <c r="CW41" s="443">
        <f>SUM(CS41:CV41)</f>
      </c>
      <c r="CX41" s="442">
        <f>4+41+31</f>
      </c>
      <c r="CY41" s="442">
        <f>4+44+33</f>
      </c>
      <c r="CZ41" s="442">
        <f>6+61+40</f>
      </c>
      <c r="DA41" s="442">
        <f>7+73+46</f>
      </c>
      <c r="DB41" s="443">
        <f>SUM(CX41:DA41)</f>
      </c>
      <c r="DC41" s="442">
        <f>8+74+47</f>
      </c>
      <c r="DD41" s="442">
        <f>8+76+48-1</f>
      </c>
      <c r="DE41" s="442">
        <f>DE42/(1-DE35)</f>
      </c>
      <c r="DF41" s="442">
        <f>DF42/(1-DF35)</f>
      </c>
      <c r="DG41" s="443">
        <f>SUM(DC41:DF41)</f>
      </c>
      <c r="DH41" s="442">
        <f>DH42/(1-DH35)</f>
      </c>
      <c r="DI41" s="442">
        <f>DI42/(1-DI35)</f>
      </c>
      <c r="DJ41" s="442">
        <f>DJ42/(1-DJ35)</f>
      </c>
      <c r="DK41" s="442">
        <f>DK42/(1-DK35)</f>
      </c>
      <c r="DL41" s="443">
        <f>SUM(DH41:DK41)</f>
      </c>
      <c r="DM41" s="442">
        <f>DM42/(1-DM35)</f>
      </c>
      <c r="DN41" s="442">
        <f>DN42/(1-DN35)</f>
      </c>
      <c r="DO41" s="442">
        <f>DO42/(1-DO35)</f>
      </c>
      <c r="DP41" s="442">
        <f>DP42/(1-DP35)</f>
      </c>
      <c r="DQ41" s="443">
        <f>SUM(DM41:DP41)</f>
      </c>
      <c r="DR41" s="442">
        <f>DR42/(1-DR35)</f>
      </c>
      <c r="DS41" s="442">
        <f>DS42/(1-DS35)</f>
      </c>
      <c r="DT41" s="442">
        <f>DT42/(1-DT35)</f>
      </c>
      <c r="DU41" s="442">
        <f>DU42/(1-DU35)</f>
      </c>
      <c r="DV41" s="443">
        <f>SUM(DR41:DU41)</f>
      </c>
      <c r="DW41" s="442">
        <f>DW42/(1-DW35)</f>
      </c>
      <c r="DX41" s="442">
        <f>DX42/(1-DX35)</f>
      </c>
      <c r="DY41" s="442">
        <f>DY42/(1-DY35)</f>
      </c>
      <c r="DZ41" s="442">
        <f>DZ42/(1-DZ35)</f>
      </c>
      <c r="EA41" s="443">
        <f>SUM(DW41:DZ41)</f>
      </c>
      <c r="EB41" s="442">
        <f>EB42/(1-EB35)</f>
      </c>
      <c r="EC41" s="442">
        <f>EC42/(1-EC35)</f>
      </c>
      <c r="ED41" s="442">
        <f>ED42/(1-ED35)</f>
      </c>
      <c r="EE41" s="442">
        <f>EE42/(1-EE35)</f>
      </c>
      <c r="EF41" s="443">
        <f>SUM(EB41:EE41)</f>
      </c>
      <c r="EG41" s="442">
        <f>EG42/(1-EG35)</f>
      </c>
      <c r="EH41" s="442">
        <f>EH42/(1-EH35)</f>
      </c>
      <c r="EI41" s="442">
        <f>EI42/(1-EI35)</f>
      </c>
      <c r="EJ41" s="442">
        <f>EJ42/(1-EJ35)</f>
      </c>
      <c r="EK41" s="443">
        <f>SUM(EG41:EJ41)</f>
      </c>
      <c r="EL41" s="442">
        <f>EL42/(1-EL35)</f>
      </c>
      <c r="EM41" s="442">
        <f>EM42/(1-EM35)</f>
      </c>
      <c r="EN41" s="442">
        <f>EN42/(1-EN35)</f>
      </c>
      <c r="EO41" s="442">
        <f>EO42/(1-EO35)</f>
      </c>
      <c r="EP41" s="443">
        <f>SUM(EL41:EO41)</f>
      </c>
      <c r="EQ41" s="442">
        <f>EQ42/(1-EQ35)</f>
      </c>
      <c r="ER41" s="442">
        <f>ER42/(1-ER35)</f>
      </c>
      <c r="ES41" s="442">
        <f>ES42/(1-ES35)</f>
      </c>
      <c r="ET41" s="442">
        <f>ET42/(1-ET35)</f>
      </c>
      <c r="EU41" s="443">
        <f>SUM(EQ41:ET41)</f>
      </c>
      <c r="EV41" s="442">
        <f>EV42/(1-EV35)</f>
      </c>
      <c r="EW41" s="442">
        <f>EW42/(1-EW35)</f>
      </c>
      <c r="EX41" s="442">
        <f>EX42/(1-EX35)</f>
      </c>
      <c r="EY41" s="442">
        <f>EY42/(1-EY35)</f>
      </c>
      <c r="EZ41" s="443">
        <f>SUM(EV41:EY41)</f>
      </c>
      <c r="FA41" s="443"/>
      <c r="FB41" s="456"/>
      <c r="FC41" s="456"/>
      <c r="FD41" s="456"/>
      <c r="FE41" s="456"/>
      <c r="FF41" s="456"/>
      <c r="FG41" s="456"/>
      <c r="FH41" s="456"/>
      <c r="FI41" s="456"/>
      <c r="FJ41" s="456"/>
      <c r="FL41" s="111"/>
      <c r="FM41" s="111"/>
    </row>
    <row r="42" spans="1:169">
      <c r="A42" s="106" t="s">
        <v>370</v>
      </c>
      <c r="B42" s="442"/>
      <c r="C42" s="442"/>
      <c r="D42" s="442"/>
      <c r="E42" s="442"/>
      <c r="F42" s="443">
        <f>SUM(B42:E42)</f>
      </c>
      <c r="G42" s="442"/>
      <c r="H42" s="442"/>
      <c r="I42" s="442"/>
      <c r="J42" s="442"/>
      <c r="K42" s="443">
        <f>SUM(G42:J42)</f>
      </c>
      <c r="L42" s="442"/>
      <c r="M42" s="442"/>
      <c r="N42" s="442"/>
      <c r="O42" s="442"/>
      <c r="P42" s="443">
        <f>SUM(L42:O42)</f>
      </c>
      <c r="Q42" s="442"/>
      <c r="R42" s="442"/>
      <c r="S42" s="442"/>
      <c r="T42" s="442"/>
      <c r="U42" s="443">
        <f>SUM(Q42:T42)</f>
      </c>
      <c r="V42" s="442"/>
      <c r="W42" s="442"/>
      <c r="X42" s="442"/>
      <c r="Y42" s="442"/>
      <c r="Z42" s="443">
        <f>SUM(V42:Y42)</f>
      </c>
      <c r="AA42" s="442"/>
      <c r="AB42" s="442"/>
      <c r="AC42" s="442"/>
      <c r="AD42" s="442"/>
      <c r="AE42" s="443">
        <f>SUM(AA42:AD42)</f>
      </c>
      <c r="AF42" s="442">
        <v>16.143000000000001</v>
      </c>
      <c r="AG42" s="442">
        <v>20.312000000000001</v>
      </c>
      <c r="AH42" s="442">
        <f>20.075-0.231</f>
      </c>
      <c r="AI42" s="442">
        <v>17.677000000000007</v>
      </c>
      <c r="AJ42" s="443">
        <f>SUM(AF42:AI42)</f>
      </c>
      <c r="AK42" s="442">
        <f>20.72-0.306</f>
      </c>
      <c r="AL42" s="442">
        <f>21.699-0.291</f>
      </c>
      <c r="AM42" s="442">
        <f>25.135-0.244</f>
      </c>
      <c r="AN42" s="442">
        <v>19.287999999999982</v>
      </c>
      <c r="AO42" s="443">
        <f>SUM(AK42:AN42)</f>
      </c>
      <c r="AP42" s="442">
        <f>16.846-0.228</f>
      </c>
      <c r="AQ42" s="442">
        <f>22.034-0.244</f>
      </c>
      <c r="AR42" s="442">
        <f>19.402-0.225</f>
      </c>
      <c r="AS42" s="442">
        <f>79.862-0.92-SUM(AP42:AR42)</f>
      </c>
      <c r="AT42" s="443">
        <f>SUM(AP42:AS42)</f>
      </c>
      <c r="AU42" s="442">
        <f>AU41-2.736</f>
      </c>
      <c r="AV42" s="442">
        <v>25.856999999999999</v>
      </c>
      <c r="AW42" s="442">
        <f>0.88*AW41</f>
      </c>
      <c r="AX42" s="442">
        <f>0.88*AX41</f>
      </c>
      <c r="AY42" s="443">
        <f>SUM(AU42:AX42)</f>
      </c>
      <c r="AZ42" s="442">
        <f>AZ41-5.237</f>
      </c>
      <c r="BA42" s="442">
        <f>BA41-4.125</f>
      </c>
      <c r="BB42" s="442">
        <f>BB41-3.491</f>
      </c>
      <c r="BC42" s="442">
        <f>BC41-2.902</f>
      </c>
      <c r="BD42" s="443">
        <f>SUM(AZ42:BC42)</f>
      </c>
      <c r="BE42" s="442">
        <f>BE41-7.161</f>
      </c>
      <c r="BF42" s="442">
        <f>BF41-0.17*BF41</f>
      </c>
      <c r="BG42" s="442">
        <f>BG41-1.54</f>
      </c>
      <c r="BH42" s="442">
        <v>34.799999999999997</v>
      </c>
      <c r="BI42" s="443">
        <f>SUM(BE42:BH42)</f>
      </c>
      <c r="BJ42" s="442">
        <f>(1-0.104)*BJ41</f>
      </c>
      <c r="BK42" s="442">
        <f>BK41</f>
      </c>
      <c r="BL42" s="442">
        <v>23</v>
      </c>
      <c r="BM42" s="442">
        <v>23</v>
      </c>
      <c r="BN42" s="443">
        <f>SUM(BJ42:BM42)</f>
      </c>
      <c r="BO42" s="442">
        <v>26</v>
      </c>
      <c r="BP42" s="442">
        <f t="shared" ref="BP42:BW42" si="40">BP41*(1-BP35)</f>
      </c>
      <c r="BQ42" s="442">
        <f t="shared" si="40"/>
      </c>
      <c r="BR42" s="442">
        <f t="shared" si="40"/>
      </c>
      <c r="BS42" s="443">
        <f>SUM(BO42:BR42)</f>
      </c>
      <c r="BT42" s="442">
        <f t="shared" si="40"/>
      </c>
      <c r="BU42" s="442">
        <f t="shared" si="40"/>
      </c>
      <c r="BV42" s="442">
        <f t="shared" si="40"/>
      </c>
      <c r="BW42" s="442">
        <f t="shared" si="40"/>
      </c>
      <c r="BX42" s="443">
        <f>SUM(BT42:BW42)</f>
      </c>
      <c r="BY42" s="442">
        <f>BY41*(1-0.15)</f>
      </c>
      <c r="BZ42" s="442">
        <f>BZ41*(1-0.18)</f>
      </c>
      <c r="CA42" s="442">
        <f>CA41*(1-0.17)</f>
      </c>
      <c r="CB42" s="442">
        <f>CB41*(1-0.062)</f>
      </c>
      <c r="CC42" s="443">
        <f>SUM(BY42:CB42)</f>
      </c>
      <c r="CD42" s="442">
        <f>CD41*(1-0.105)</f>
      </c>
      <c r="CE42" s="442">
        <f>CE41*(1-0.16)</f>
      </c>
      <c r="CF42" s="442">
        <v>30.8</v>
      </c>
      <c r="CG42" s="442">
        <f>CG41*(1-0.105)</f>
      </c>
      <c r="CH42" s="443">
        <f>SUM(CD42:CG42)</f>
      </c>
      <c r="CI42" s="442">
        <f>+CI41-5</f>
      </c>
      <c r="CJ42" s="442">
        <f>+CJ41-5</f>
      </c>
      <c r="CK42" s="442">
        <f>+CK41-7</f>
      </c>
      <c r="CL42" s="442">
        <f>+CL41-7</f>
      </c>
      <c r="CM42" s="443">
        <f>SUM(CI42:CL42)</f>
      </c>
      <c r="CN42" s="442">
        <f>+CN41-9</f>
      </c>
      <c r="CO42" s="442">
        <f>+CO41-9</f>
      </c>
      <c r="CP42" s="442">
        <f>+CP41-1</f>
      </c>
      <c r="CQ42" s="442">
        <f>+CQ41-4</f>
      </c>
      <c r="CR42" s="443">
        <f>SUM(CN42:CQ42)</f>
      </c>
      <c r="CS42" s="442">
        <f>+CS41-5</f>
      </c>
      <c r="CT42" s="442">
        <f>+CT41-1</f>
      </c>
      <c r="CU42" s="442">
        <f>+CU41</f>
      </c>
      <c r="CV42" s="442">
        <f>+CV41</f>
      </c>
      <c r="CW42" s="443">
        <f>SUM(CS42:CV42)</f>
      </c>
      <c r="CX42" s="442">
        <f>+CX41</f>
      </c>
      <c r="CY42" s="442">
        <f>+CY41</f>
      </c>
      <c r="CZ42" s="442">
        <f>+CZ41</f>
      </c>
      <c r="DA42" s="442">
        <f>+DA41</f>
      </c>
      <c r="DB42" s="443">
        <f>SUM(CX42:DA42)</f>
      </c>
      <c r="DC42" s="442">
        <f>+DC41</f>
      </c>
      <c r="DD42" s="442">
        <f>+DD41</f>
      </c>
      <c r="DE42" s="442">
        <f>5+88+47</f>
      </c>
      <c r="DF42" s="442">
        <f>6+99+51</f>
      </c>
      <c r="DG42" s="443">
        <f>SUM(DC42:DF42)</f>
      </c>
      <c r="DH42" s="442">
        <f>4+114+60</f>
      </c>
      <c r="DI42" s="442">
        <f>8+145+71</f>
      </c>
      <c r="DJ42" s="442">
        <f>15+141+67</f>
      </c>
      <c r="DK42" s="442">
        <f>12+140+68</f>
      </c>
      <c r="DL42" s="443">
        <f>SUM(DH42:DK42)</f>
      </c>
      <c r="DM42" s="442">
        <f>21+134+69</f>
      </c>
      <c r="DN42" s="442">
        <f>14+228+132</f>
      </c>
      <c r="DO42" s="442">
        <f>28+232+123</f>
      </c>
      <c r="DP42" s="442">
        <f>26+266+125</f>
      </c>
      <c r="DQ42" s="443">
        <f>SUM(DM42:DP42)</f>
      </c>
      <c r="DR42" s="442">
        <f>25+276+128</f>
      </c>
      <c r="DS42" s="442">
        <f>32+297+136</f>
      </c>
      <c r="DT42" s="442">
        <f>44+363+152</f>
      </c>
      <c r="DU42" s="442">
        <f>39+362+150</f>
      </c>
      <c r="DV42" s="443">
        <f>SUM(DR42:DU42)</f>
      </c>
      <c r="DW42" s="442">
        <v>578</v>
      </c>
      <c r="DX42" s="442">
        <f>38+452+159</f>
      </c>
      <c r="DY42" s="442">
        <f>32+530+183</f>
      </c>
      <c r="DZ42" s="442">
        <f>30+527+182</f>
      </c>
      <c r="EA42" s="443">
        <f>SUM(DW42:DZ42)</f>
      </c>
      <c r="EB42" s="442">
        <f>27+524+184</f>
      </c>
      <c r="EC42" s="442">
        <f>31+600+211</f>
      </c>
      <c r="ED42" s="442">
        <f>38+701+240</f>
      </c>
      <c r="EE42" s="442">
        <f>45+706+242</f>
      </c>
      <c r="EF42" s="443">
        <f>SUM(EB42:EE42)</f>
      </c>
      <c r="EG42" s="442">
        <f>36+727+248</f>
      </c>
      <c r="EH42" s="442">
        <f>40+832+282</f>
      </c>
      <c r="EI42" s="442">
        <f>50+910+292</f>
      </c>
      <c r="EJ42" s="442">
        <f>53+955+313</f>
      </c>
      <c r="EK42" s="443">
        <f>SUM(EG42:EJ42)</f>
      </c>
      <c r="EL42" s="442">
        <v>1474</v>
      </c>
      <c r="EM42" s="442">
        <f>1566+58</f>
      </c>
      <c r="EN42" s="444">
        <f>+Worksheet!CV20+Worksheet!CV29</f>
      </c>
      <c r="EO42" s="444">
        <f>+Worksheet!CW20+Worksheet!CW29</f>
      </c>
      <c r="EP42" s="443">
        <f>SUM(EL42:EO42)</f>
      </c>
      <c r="EQ42" s="444">
        <f>+Worksheet!CX20+Worksheet!CX29</f>
      </c>
      <c r="ER42" s="444">
        <f>+Worksheet!CY20+Worksheet!CY29</f>
      </c>
      <c r="ES42" s="444">
        <f>+Worksheet!CZ20+Worksheet!CZ29</f>
      </c>
      <c r="ET42" s="444">
        <f>+Worksheet!DA20+Worksheet!DA29</f>
      </c>
      <c r="EU42" s="443">
        <f>SUM(EQ42:ET42)</f>
      </c>
      <c r="EV42" s="444">
        <f>+Worksheet!DB20+Worksheet!DB29</f>
      </c>
      <c r="EW42" s="444">
        <f>+Worksheet!DC20+Worksheet!DC29</f>
      </c>
      <c r="EX42" s="444">
        <f>+Worksheet!DD20+Worksheet!DD29</f>
      </c>
      <c r="EY42" s="444">
        <f>+Worksheet!DE20+Worksheet!DE29</f>
      </c>
      <c r="EZ42" s="443">
        <f>SUM(EV42:EY42)</f>
      </c>
      <c r="FA42" s="443"/>
      <c r="FB42" s="456"/>
      <c r="FC42" s="456"/>
      <c r="FD42" s="456"/>
      <c r="FE42" s="456"/>
      <c r="FF42" s="456"/>
      <c r="FG42" s="456"/>
      <c r="FH42" s="456"/>
      <c r="FI42" s="456"/>
      <c r="FJ42" s="456"/>
      <c r="FL42" s="111"/>
      <c r="FM42" s="111"/>
    </row>
    <row r="43" spans="1:169">
      <c r="B43" s="107"/>
      <c r="C43" s="107"/>
      <c r="D43" s="107"/>
      <c r="E43" s="107"/>
      <c r="F43" s="442"/>
      <c r="G43" s="107"/>
      <c r="H43" s="107"/>
      <c r="I43" s="107"/>
      <c r="J43" s="107"/>
      <c r="K43" s="442"/>
      <c r="L43" s="107"/>
      <c r="M43" s="107"/>
      <c r="N43" s="107"/>
      <c r="O43" s="107"/>
      <c r="P43" s="442"/>
      <c r="Q43" s="107"/>
      <c r="R43" s="107"/>
      <c r="S43" s="107"/>
      <c r="T43" s="107"/>
      <c r="U43" s="442"/>
      <c r="V43" s="107"/>
      <c r="W43" s="107"/>
      <c r="X43" s="107"/>
      <c r="Y43" s="107"/>
      <c r="Z43" s="442"/>
      <c r="AA43" s="107"/>
      <c r="AB43" s="107"/>
      <c r="AC43" s="107"/>
      <c r="AD43" s="107"/>
      <c r="AE43" s="442"/>
      <c r="AF43" s="107"/>
      <c r="AG43" s="107"/>
      <c r="AH43" s="107"/>
      <c r="AI43" s="107"/>
      <c r="AJ43" s="442"/>
      <c r="AK43" s="107"/>
      <c r="AL43" s="107"/>
      <c r="AM43" s="107"/>
      <c r="AN43" s="107"/>
      <c r="AO43" s="442"/>
      <c r="AP43" s="107"/>
      <c r="AQ43" s="107"/>
      <c r="AR43" s="107"/>
      <c r="AS43" s="107"/>
      <c r="AT43" s="442"/>
      <c r="AU43" s="107"/>
      <c r="AV43" s="107"/>
      <c r="AW43" s="107"/>
      <c r="AX43" s="107"/>
      <c r="AY43" s="442"/>
      <c r="AZ43" s="107"/>
      <c r="BA43" s="107"/>
      <c r="BB43" s="107"/>
      <c r="BC43" s="107"/>
      <c r="BD43" s="442"/>
      <c r="BE43" s="107"/>
      <c r="BF43" s="107"/>
      <c r="BG43" s="107"/>
      <c r="BH43" s="107"/>
      <c r="BI43" s="442"/>
      <c r="BJ43" s="107"/>
      <c r="BK43" s="107"/>
      <c r="BL43" s="107"/>
      <c r="BM43" s="107"/>
      <c r="BN43" s="442"/>
      <c r="BO43" s="107"/>
      <c r="BP43" s="107"/>
      <c r="BQ43" s="107"/>
      <c r="BR43" s="107"/>
      <c r="BS43" s="442"/>
      <c r="BT43" s="107"/>
      <c r="BU43" s="107"/>
      <c r="BV43" s="107"/>
      <c r="BW43" s="107"/>
      <c r="BX43" s="442"/>
      <c r="BY43" s="107"/>
      <c r="BZ43" s="107"/>
      <c r="CA43" s="107"/>
      <c r="CB43" s="107"/>
      <c r="CC43" s="442"/>
      <c r="CD43" s="107"/>
      <c r="CE43" s="107"/>
      <c r="CF43" s="107"/>
      <c r="CG43" s="107"/>
      <c r="CH43" s="442"/>
      <c r="CI43" s="107"/>
      <c r="CJ43" s="107"/>
      <c r="CK43" s="107"/>
      <c r="CL43" s="107"/>
      <c r="CM43" s="117"/>
      <c r="CN43" s="107"/>
      <c r="CO43" s="107"/>
      <c r="CP43" s="107"/>
      <c r="CQ43" s="107"/>
      <c r="CR43" s="117"/>
      <c r="CS43" s="118"/>
      <c r="CT43" s="118"/>
      <c r="CU43" s="118"/>
      <c r="CV43" s="118"/>
      <c r="CW43" s="117"/>
      <c r="CX43" s="118"/>
      <c r="CY43" s="118"/>
      <c r="CZ43" s="118"/>
      <c r="DA43" s="118"/>
      <c r="DB43" s="117"/>
      <c r="DC43" s="118"/>
      <c r="DD43" s="118"/>
      <c r="DE43" s="118"/>
      <c r="DF43" s="118"/>
      <c r="DG43" s="117"/>
      <c r="DH43" s="118"/>
      <c r="DI43" s="118"/>
      <c r="DJ43" s="118"/>
      <c r="DK43" s="118"/>
      <c r="DL43" s="117"/>
      <c r="DM43" s="118"/>
      <c r="DN43" s="118"/>
      <c r="DO43" s="118"/>
      <c r="DP43" s="118"/>
      <c r="DQ43" s="117"/>
      <c r="DR43" s="118"/>
      <c r="DS43" s="118"/>
      <c r="DT43" s="118"/>
      <c r="DU43" s="118"/>
      <c r="DV43" s="117"/>
      <c r="DW43" s="118"/>
      <c r="DX43" s="119"/>
      <c r="DY43" s="119"/>
      <c r="DZ43" s="119"/>
      <c r="EA43" s="117"/>
      <c r="EB43" s="119"/>
      <c r="EC43" s="119"/>
      <c r="ED43" s="119"/>
      <c r="EE43" s="119"/>
      <c r="EF43" s="117"/>
      <c r="EG43" s="119"/>
      <c r="EH43" s="119"/>
      <c r="EI43" s="119"/>
      <c r="EJ43" s="119"/>
      <c r="EK43" s="117"/>
      <c r="EL43" s="119"/>
      <c r="EM43" s="119"/>
      <c r="EN43" s="118"/>
      <c r="EO43" s="118"/>
      <c r="EP43" s="117"/>
      <c r="EQ43" s="118"/>
      <c r="ER43" s="118"/>
      <c r="ES43" s="118"/>
      <c r="ET43" s="118"/>
      <c r="EU43" s="117"/>
      <c r="EV43" s="118"/>
      <c r="EW43" s="118"/>
      <c r="EX43" s="118"/>
      <c r="EY43" s="118"/>
      <c r="EZ43" s="117"/>
      <c r="FA43" s="117"/>
      <c r="FL43" s="111"/>
      <c r="FM43" s="111"/>
    </row>
    <row r="44" spans="1:169">
      <c r="A44" s="106" t="s">
        <v>371</v>
      </c>
      <c r="B44" s="442">
        <f>B37+B39+B40</f>
      </c>
      <c r="C44" s="442">
        <f>C37+C39</f>
      </c>
      <c r="D44" s="442">
        <f t="shared" ref="D44:AI44" si="41">D37+D39+D40</f>
      </c>
      <c r="E44" s="442">
        <f t="shared" si="41"/>
      </c>
      <c r="F44" s="443">
        <f>SUM(B44:E44)</f>
      </c>
      <c r="G44" s="442">
        <f t="shared" si="41"/>
      </c>
      <c r="H44" s="442">
        <f t="shared" si="41"/>
      </c>
      <c r="I44" s="442">
        <f t="shared" si="41"/>
      </c>
      <c r="J44" s="442">
        <f t="shared" si="41"/>
      </c>
      <c r="K44" s="443">
        <f>SUM(G44:J44)</f>
      </c>
      <c r="L44" s="442">
        <f t="shared" si="41"/>
      </c>
      <c r="M44" s="442">
        <f t="shared" si="41"/>
      </c>
      <c r="N44" s="442">
        <f t="shared" si="41"/>
      </c>
      <c r="O44" s="442">
        <f t="shared" si="41"/>
      </c>
      <c r="P44" s="443">
        <f>SUM(L44:O44)</f>
      </c>
      <c r="Q44" s="442">
        <f t="shared" si="41"/>
      </c>
      <c r="R44" s="442">
        <f t="shared" si="41"/>
      </c>
      <c r="S44" s="442">
        <f t="shared" si="41"/>
      </c>
      <c r="T44" s="442">
        <f t="shared" si="41"/>
      </c>
      <c r="U44" s="443">
        <f>SUM(Q44:T44)</f>
      </c>
      <c r="V44" s="442">
        <f t="shared" si="41"/>
      </c>
      <c r="W44" s="442">
        <f t="shared" si="41"/>
      </c>
      <c r="X44" s="442">
        <f t="shared" si="41"/>
      </c>
      <c r="Y44" s="442">
        <f t="shared" si="41"/>
      </c>
      <c r="Z44" s="443">
        <f>SUM(V44:Y44)</f>
      </c>
      <c r="AA44" s="442">
        <f t="shared" si="41"/>
      </c>
      <c r="AB44" s="442">
        <f t="shared" si="41"/>
      </c>
      <c r="AC44" s="442">
        <f t="shared" si="41"/>
      </c>
      <c r="AD44" s="442">
        <f t="shared" si="41"/>
      </c>
      <c r="AE44" s="443">
        <f>SUM(AA44:AD44)</f>
      </c>
      <c r="AF44" s="442">
        <f t="shared" si="41"/>
      </c>
      <c r="AG44" s="442">
        <f t="shared" si="41"/>
      </c>
      <c r="AH44" s="442">
        <f t="shared" si="41"/>
      </c>
      <c r="AI44" s="442">
        <f t="shared" si="41"/>
      </c>
      <c r="AJ44" s="443">
        <f>SUM(AF44:AI44)</f>
      </c>
      <c r="AK44" s="442">
        <f t="shared" ref="AK44:BM44" si="42">AK37+AK39</f>
      </c>
      <c r="AL44" s="442">
        <f t="shared" si="42"/>
      </c>
      <c r="AM44" s="442">
        <f t="shared" si="42"/>
      </c>
      <c r="AN44" s="442">
        <f t="shared" si="42"/>
      </c>
      <c r="AO44" s="443">
        <f>SUM(AK44:AN44)</f>
      </c>
      <c r="AP44" s="442">
        <f t="shared" si="42"/>
      </c>
      <c r="AQ44" s="442">
        <f t="shared" si="42"/>
      </c>
      <c r="AR44" s="442">
        <f t="shared" si="42"/>
      </c>
      <c r="AS44" s="442">
        <f t="shared" si="42"/>
      </c>
      <c r="AT44" s="443">
        <f>SUM(AP44:AS44)</f>
      </c>
      <c r="AU44" s="442">
        <f t="shared" si="42"/>
      </c>
      <c r="AV44" s="442">
        <f t="shared" si="42"/>
      </c>
      <c r="AW44" s="442">
        <f t="shared" si="42"/>
      </c>
      <c r="AX44" s="442">
        <f t="shared" si="42"/>
      </c>
      <c r="AY44" s="443">
        <f>SUM(AU44:AX44)</f>
      </c>
      <c r="AZ44" s="442">
        <f t="shared" si="42"/>
      </c>
      <c r="BA44" s="442">
        <f t="shared" si="42"/>
      </c>
      <c r="BB44" s="442">
        <f t="shared" si="42"/>
      </c>
      <c r="BC44" s="442">
        <f>BC37+BC39</f>
      </c>
      <c r="BD44" s="443">
        <f>SUM(AZ44:BC44)</f>
      </c>
      <c r="BE44" s="442">
        <f t="shared" si="42"/>
      </c>
      <c r="BF44" s="442">
        <f t="shared" si="42"/>
      </c>
      <c r="BG44" s="442">
        <f t="shared" si="42"/>
      </c>
      <c r="BH44" s="442">
        <f t="shared" si="42"/>
      </c>
      <c r="BI44" s="443">
        <f>SUM(BE44:BH44)</f>
      </c>
      <c r="BJ44" s="442">
        <f>BJ37+BJ39</f>
      </c>
      <c r="BK44" s="442">
        <f t="shared" si="42"/>
      </c>
      <c r="BL44" s="442">
        <f t="shared" si="42"/>
      </c>
      <c r="BM44" s="442">
        <f t="shared" si="42"/>
      </c>
      <c r="BN44" s="443">
        <f>SUM(BJ44:BM44)</f>
      </c>
      <c r="BO44" s="442">
        <f t="shared" ref="BO44:BW44" si="43">BO37+BO39</f>
      </c>
      <c r="BP44" s="442">
        <f t="shared" si="43"/>
      </c>
      <c r="BQ44" s="442">
        <f t="shared" si="43"/>
      </c>
      <c r="BR44" s="442">
        <f t="shared" si="43"/>
      </c>
      <c r="BS44" s="443">
        <f>SUM(BO44:BR44)</f>
      </c>
      <c r="BT44" s="442">
        <f t="shared" si="43"/>
      </c>
      <c r="BU44" s="442">
        <f t="shared" si="43"/>
      </c>
      <c r="BV44" s="442">
        <f t="shared" si="43"/>
      </c>
      <c r="BW44" s="442">
        <f t="shared" si="43"/>
      </c>
      <c r="BX44" s="443">
        <f>SUM(BT44:BW44)</f>
      </c>
      <c r="BY44" s="442">
        <f t="shared" ref="BY44:CG44" si="44">BY37+BY39</f>
      </c>
      <c r="BZ44" s="442">
        <f t="shared" si="44"/>
      </c>
      <c r="CA44" s="442">
        <f t="shared" si="44"/>
      </c>
      <c r="CB44" s="442">
        <f t="shared" si="44"/>
      </c>
      <c r="CC44" s="443">
        <f t="shared" si="44"/>
      </c>
      <c r="CD44" s="442">
        <f t="shared" si="44"/>
      </c>
      <c r="CE44" s="442">
        <f t="shared" si="44"/>
      </c>
      <c r="CF44" s="442">
        <f t="shared" si="44"/>
      </c>
      <c r="CG44" s="442">
        <f t="shared" si="44"/>
      </c>
      <c r="CH44" s="443">
        <f>SUM(CD44:CG44)</f>
      </c>
      <c r="CI44" s="442">
        <f>CI37+CI39</f>
      </c>
      <c r="CJ44" s="442">
        <f>CJ37+CJ39</f>
      </c>
      <c r="CK44" s="442">
        <f>CK37+CK39</f>
      </c>
      <c r="CL44" s="442">
        <f>CL37+CL39</f>
      </c>
      <c r="CM44" s="443">
        <f>SUM(CI44:CL44)</f>
      </c>
      <c r="CN44" s="442">
        <f>CN37+CN39</f>
      </c>
      <c r="CO44" s="442">
        <f>CO37+CO39</f>
      </c>
      <c r="CP44" s="442">
        <f>CP37+CP39</f>
      </c>
      <c r="CQ44" s="442">
        <f>CQ37+CQ39</f>
      </c>
      <c r="CR44" s="443">
        <f>SUM(CN44:CQ44)</f>
      </c>
      <c r="CS44" s="442">
        <f>CS37+CS39</f>
      </c>
      <c r="CT44" s="442">
        <f>CT37+CT39</f>
      </c>
      <c r="CU44" s="442">
        <f>CU37+CU39</f>
      </c>
      <c r="CV44" s="442">
        <f>CV37+CV39</f>
      </c>
      <c r="CW44" s="443">
        <f>SUM(CS44:CV44)</f>
      </c>
      <c r="CX44" s="442">
        <f>CX37+CX39</f>
      </c>
      <c r="CY44" s="442">
        <f>CY37+CY39</f>
      </c>
      <c r="CZ44" s="442">
        <f>CZ37+CZ39</f>
      </c>
      <c r="DA44" s="442">
        <f>DA37+DA39</f>
      </c>
      <c r="DB44" s="443">
        <f>SUM(CX44:DA44)</f>
      </c>
      <c r="DC44" s="442">
        <f>DC37+DC39</f>
      </c>
      <c r="DD44" s="442">
        <f>DD37+DD39</f>
      </c>
      <c r="DE44" s="442">
        <f>DE37+DE39</f>
      </c>
      <c r="DF44" s="442">
        <f>DF37+DF39</f>
      </c>
      <c r="DG44" s="443">
        <f>SUM(DC44:DF44)</f>
      </c>
      <c r="DH44" s="442">
        <f>DH37+DH39</f>
      </c>
      <c r="DI44" s="442">
        <f>DI37+DI39</f>
      </c>
      <c r="DJ44" s="442">
        <f>DJ37+DJ39</f>
      </c>
      <c r="DK44" s="442">
        <f>DK37+DK39</f>
      </c>
      <c r="DL44" s="443">
        <f>SUM(DH44:DK44)</f>
      </c>
      <c r="DM44" s="442">
        <f>DM37+DM39</f>
      </c>
      <c r="DN44" s="442">
        <f>DN37+DN39</f>
      </c>
      <c r="DO44" s="442">
        <f>DO37+DO39</f>
      </c>
      <c r="DP44" s="442">
        <f>DP37+DP39</f>
      </c>
      <c r="DQ44" s="443">
        <f>SUM(DM44:DP44)</f>
      </c>
      <c r="DR44" s="442">
        <f>DR37+DR39</f>
      </c>
      <c r="DS44" s="442">
        <f>DS37+DS39</f>
      </c>
      <c r="DT44" s="442">
        <f>DT37+DT39</f>
      </c>
      <c r="DU44" s="442">
        <f>DU37+DU39</f>
      </c>
      <c r="DV44" s="443">
        <f>SUM(DR44:DU44)</f>
      </c>
      <c r="DW44" s="442">
        <f>DW37+DW39</f>
      </c>
      <c r="DX44" s="442">
        <f>DX37+DX39</f>
      </c>
      <c r="DY44" s="442">
        <f>DY37+DY39</f>
      </c>
      <c r="DZ44" s="442">
        <f>DZ37+DZ39</f>
      </c>
      <c r="EA44" s="443">
        <f>SUM(DW44:DZ44)</f>
      </c>
      <c r="EB44" s="442">
        <f>EB37+EB39</f>
      </c>
      <c r="EC44" s="442">
        <f>EC37+EC39</f>
      </c>
      <c r="ED44" s="442">
        <f>ED37+ED39</f>
      </c>
      <c r="EE44" s="442">
        <f>EE37+EE39</f>
      </c>
      <c r="EF44" s="443">
        <f>SUM(EB44:EE44)</f>
      </c>
      <c r="EG44" s="442">
        <f>EG37+EG39</f>
      </c>
      <c r="EH44" s="442">
        <f>EH37+EH39</f>
      </c>
      <c r="EI44" s="442">
        <f>EI37+EI39</f>
      </c>
      <c r="EJ44" s="442">
        <f>EJ37+EJ39</f>
      </c>
      <c r="EK44" s="443">
        <f>SUM(EG44:EJ44)</f>
      </c>
      <c r="EL44" s="442">
        <f>EL37+EL39</f>
      </c>
      <c r="EM44" s="442">
        <f>EM37+EM39</f>
      </c>
      <c r="EN44" s="442">
        <f>EN37+EN39</f>
      </c>
      <c r="EO44" s="442">
        <f>EO37+EO39</f>
      </c>
      <c r="EP44" s="443">
        <f>SUM(EL44:EO44)</f>
      </c>
      <c r="EQ44" s="442">
        <f>EQ37+EQ39</f>
      </c>
      <c r="ER44" s="442">
        <f>ER37+ER39</f>
      </c>
      <c r="ES44" s="442">
        <f>ES37+ES39</f>
      </c>
      <c r="ET44" s="442">
        <f>ET37+ET39</f>
      </c>
      <c r="EU44" s="443">
        <f>SUM(EQ44:ET44)</f>
      </c>
      <c r="EV44" s="442">
        <f>EV37+EV39</f>
      </c>
      <c r="EW44" s="442">
        <f>EW37+EW39</f>
      </c>
      <c r="EX44" s="442">
        <f>EX37+EX39</f>
      </c>
      <c r="EY44" s="442">
        <f>EY37+EY39</f>
      </c>
      <c r="EZ44" s="443">
        <f>SUM(EV44:EY44)</f>
      </c>
      <c r="FA44" s="443"/>
      <c r="FB44" s="456"/>
      <c r="FC44" s="456"/>
      <c r="FD44" s="456"/>
      <c r="FE44" s="456"/>
      <c r="FF44" s="456"/>
      <c r="FG44" s="456"/>
      <c r="FH44" s="456"/>
      <c r="FI44" s="456"/>
      <c r="FJ44" s="456"/>
      <c r="FL44" s="111"/>
      <c r="FM44" s="111"/>
    </row>
    <row r="45" spans="1:169">
      <c r="B45" s="442">
        <v>10</v>
      </c>
      <c r="C45" s="442"/>
      <c r="D45" s="442"/>
      <c r="E45" s="442"/>
      <c r="F45" s="443"/>
      <c r="G45" s="442"/>
      <c r="H45" s="442"/>
      <c r="I45" s="442"/>
      <c r="J45" s="442"/>
      <c r="K45" s="443"/>
      <c r="L45" s="442"/>
      <c r="M45" s="442"/>
      <c r="N45" s="442"/>
      <c r="O45" s="442"/>
      <c r="P45" s="443"/>
      <c r="Q45" s="442"/>
      <c r="R45" s="442"/>
      <c r="S45" s="442"/>
      <c r="T45" s="442"/>
      <c r="U45" s="443"/>
      <c r="V45" s="442"/>
      <c r="W45" s="442"/>
      <c r="X45" s="442"/>
      <c r="Y45" s="442"/>
      <c r="Z45" s="443"/>
      <c r="AA45" s="442"/>
      <c r="AB45" s="442"/>
      <c r="AC45" s="442"/>
      <c r="AD45" s="442"/>
      <c r="AE45" s="443"/>
      <c r="AF45" s="442"/>
      <c r="AG45" s="442"/>
      <c r="AH45" s="442"/>
      <c r="AI45" s="442"/>
      <c r="AJ45" s="443"/>
      <c r="AK45" s="442"/>
      <c r="AL45" s="442"/>
      <c r="AM45" s="442"/>
      <c r="AN45" s="442"/>
      <c r="AO45" s="443"/>
      <c r="AP45" s="442"/>
      <c r="AQ45" s="442"/>
      <c r="AR45" s="442"/>
      <c r="AS45" s="442"/>
      <c r="AT45" s="443"/>
      <c r="AU45" s="442"/>
      <c r="AV45" s="442"/>
      <c r="AW45" s="442"/>
      <c r="AX45" s="442"/>
      <c r="AY45" s="443"/>
      <c r="AZ45" s="442"/>
      <c r="BA45" s="442"/>
      <c r="BB45" s="442"/>
      <c r="BC45" s="442"/>
      <c r="BD45" s="443"/>
      <c r="BE45" s="442"/>
      <c r="BF45" s="442"/>
      <c r="BG45" s="442"/>
      <c r="BH45" s="442"/>
      <c r="BI45" s="443"/>
      <c r="BJ45" s="442"/>
      <c r="BK45" s="442"/>
      <c r="BL45" s="442"/>
      <c r="BM45" s="442"/>
      <c r="BN45" s="443"/>
      <c r="BO45" s="442"/>
      <c r="BP45" s="442"/>
      <c r="BQ45" s="442"/>
      <c r="BR45" s="442"/>
      <c r="BS45" s="443"/>
      <c r="BT45" s="442"/>
      <c r="BU45" s="442"/>
      <c r="BV45" s="442"/>
      <c r="BW45" s="442"/>
      <c r="BX45" s="443"/>
      <c r="BY45" s="442"/>
      <c r="BZ45" s="442"/>
      <c r="CA45" s="442"/>
      <c r="CB45" s="442"/>
      <c r="CC45" s="443"/>
      <c r="CD45" s="442"/>
      <c r="CE45" s="442"/>
      <c r="CF45" s="442"/>
      <c r="CG45" s="442"/>
      <c r="CH45" s="443"/>
      <c r="CI45" s="442"/>
      <c r="CJ45" s="442"/>
      <c r="CK45" s="442"/>
      <c r="CL45" s="442"/>
      <c r="CM45" s="443"/>
      <c r="CN45" s="442"/>
      <c r="CO45" s="442"/>
      <c r="CP45" s="442"/>
      <c r="CQ45" s="442"/>
      <c r="CR45" s="443"/>
      <c r="CS45" s="442"/>
      <c r="CT45" s="442"/>
      <c r="CU45" s="442"/>
      <c r="CV45" s="442"/>
      <c r="CW45" s="443"/>
      <c r="CX45" s="442"/>
      <c r="CY45" s="442"/>
      <c r="CZ45" s="442"/>
      <c r="DA45" s="442"/>
      <c r="DB45" s="443"/>
      <c r="DC45" s="442"/>
      <c r="DD45" s="442"/>
      <c r="DE45" s="442"/>
      <c r="DF45" s="442"/>
      <c r="DG45" s="443"/>
      <c r="DH45" s="442"/>
      <c r="DI45" s="442"/>
      <c r="DJ45" s="442"/>
      <c r="DK45" s="442"/>
      <c r="DL45" s="443"/>
      <c r="DM45" s="442"/>
      <c r="DN45" s="442"/>
      <c r="DO45" s="442"/>
      <c r="DP45" s="442"/>
      <c r="DQ45" s="443"/>
      <c r="DR45" s="442"/>
      <c r="DS45" s="442"/>
      <c r="DT45" s="442"/>
      <c r="DU45" s="442"/>
      <c r="DV45" s="443"/>
      <c r="DW45" s="442"/>
      <c r="DX45" s="442"/>
      <c r="DY45" s="442"/>
      <c r="DZ45" s="442"/>
      <c r="EA45" s="443"/>
      <c r="EB45" s="442"/>
      <c r="EC45" s="442"/>
      <c r="ED45" s="442"/>
      <c r="EE45" s="442"/>
      <c r="EF45" s="442"/>
      <c r="EG45" s="442"/>
      <c r="EH45" s="442"/>
      <c r="EI45" s="442"/>
      <c r="EJ45" s="442"/>
      <c r="EK45" s="442"/>
      <c r="EL45" s="442"/>
      <c r="EM45" s="442"/>
      <c r="EN45" s="442"/>
      <c r="EO45" s="442"/>
      <c r="EP45" s="442"/>
      <c r="EQ45" s="442"/>
      <c r="ER45" s="442"/>
      <c r="ES45" s="442"/>
      <c r="ET45" s="442"/>
      <c r="EU45" s="442"/>
      <c r="EV45" s="442"/>
      <c r="EW45" s="442"/>
      <c r="EX45" s="442"/>
      <c r="EY45" s="442"/>
      <c r="EZ45" s="442"/>
      <c r="FA45" s="442"/>
      <c r="FL45" s="111"/>
      <c r="FM45" s="111"/>
    </row>
    <row r="46" spans="1:169">
      <c r="A46" s="106" t="s">
        <v>372</v>
      </c>
      <c r="B46" s="442">
        <v>6084.96</v>
      </c>
      <c r="C46" s="442">
        <v>6084.96</v>
      </c>
      <c r="D46" s="442">
        <v>6084.96</v>
      </c>
      <c r="E46" s="442">
        <v>6084.96</v>
      </c>
      <c r="F46" s="443">
        <f>(AVERAGE(B46:E46))</f>
      </c>
      <c r="G46" s="442">
        <v>6787.68</v>
      </c>
      <c r="H46" s="442">
        <v>6791.0400000000009</v>
      </c>
      <c r="I46" s="442">
        <v>13331.52</v>
      </c>
      <c r="J46" s="442">
        <v>13844.16</v>
      </c>
      <c r="K46" s="443">
        <f>(AVERAGE(G46:J46))</f>
      </c>
      <c r="L46" s="442">
        <v>14052.960000000001</v>
      </c>
      <c r="M46" s="442">
        <v>14085.120000000003</v>
      </c>
      <c r="N46" s="442">
        <v>14407.2</v>
      </c>
      <c r="O46" s="442">
        <v>14928</v>
      </c>
      <c r="P46" s="443">
        <f>(AVERAGE(L46:O46))</f>
      </c>
      <c r="Q46" s="442">
        <v>15206.279999999999</v>
      </c>
      <c r="R46" s="442">
        <v>15508.08</v>
      </c>
      <c r="S46" s="442">
        <v>15840.720000000001</v>
      </c>
      <c r="T46" s="442">
        <v>16323.84</v>
      </c>
      <c r="U46" s="443">
        <f>(AVERAGE(Q46:T46))</f>
      </c>
      <c r="V46" s="442">
        <v>16637.16</v>
      </c>
      <c r="W46" s="442">
        <v>17025.120000000003</v>
      </c>
      <c r="X46" s="442">
        <v>17282.04</v>
      </c>
      <c r="Y46" s="442">
        <v>17704.079999999998</v>
      </c>
      <c r="Z46" s="443">
        <f>(AVERAGE(V46:Y46))</f>
      </c>
      <c r="AA46" s="442">
        <v>18082.080000000002</v>
      </c>
      <c r="AB46" s="442">
        <v>18275.52</v>
      </c>
      <c r="AC46" s="442">
        <v>18408.96</v>
      </c>
      <c r="AD46" s="442">
        <v>18921.96</v>
      </c>
      <c r="AE46" s="443">
        <f>(AVERAGE(AA46:AD46))</f>
      </c>
      <c r="AF46" s="442">
        <v>19034.640000000003</v>
      </c>
      <c r="AG46" s="442">
        <v>19209.239999999998</v>
      </c>
      <c r="AH46" s="442">
        <v>19389.84</v>
      </c>
      <c r="AI46" s="442">
        <v>19614.719999999998</v>
      </c>
      <c r="AJ46" s="443">
        <f>(AVERAGE(AF46:AI46))</f>
      </c>
      <c r="AK46" s="442">
        <v>19820.52</v>
      </c>
      <c r="AL46" s="442">
        <v>19950.240000000002</v>
      </c>
      <c r="AM46" s="442">
        <v>19934.640000000003</v>
      </c>
      <c r="AN46" s="442">
        <v>19999.079999999998</v>
      </c>
      <c r="AO46" s="443">
        <v>19926.120000000003</v>
      </c>
      <c r="AP46" s="442">
        <v>20237.64</v>
      </c>
      <c r="AQ46" s="442">
        <v>20273.160000000003</v>
      </c>
      <c r="AR46" s="442">
        <v>20415.240000000002</v>
      </c>
      <c r="AS46" s="442">
        <v>20525.04</v>
      </c>
      <c r="AT46" s="443">
        <v>20362.77</v>
      </c>
      <c r="AU46" s="442">
        <v>20876.22</v>
      </c>
      <c r="AV46" s="442">
        <v>21014.639999999999</v>
      </c>
      <c r="AW46" s="442">
        <v>21159.42</v>
      </c>
      <c r="AX46" s="442">
        <v>21526.86</v>
      </c>
      <c r="AY46" s="443">
        <v>21144.285</v>
      </c>
      <c r="AZ46" s="442">
        <v>21649.86</v>
      </c>
      <c r="BA46" s="442">
        <v>21892.199999999997</v>
      </c>
      <c r="BB46" s="442">
        <v>22198.639999999999</v>
      </c>
      <c r="BC46" s="442">
        <v>22285.72</v>
      </c>
      <c r="BD46" s="443">
        <v>22006.605</v>
      </c>
      <c r="BE46" s="442">
        <v>22226.92</v>
      </c>
      <c r="BF46" s="442">
        <v>22216.68</v>
      </c>
      <c r="BG46" s="442">
        <v>21752.28</v>
      </c>
      <c r="BH46" s="442">
        <v>21503.800000000003</v>
      </c>
      <c r="BI46" s="443">
        <v>21924.920000000002</v>
      </c>
      <c r="BJ46" s="442">
        <v>21692.28</v>
      </c>
      <c r="BK46" s="442">
        <v>21865.56</v>
      </c>
      <c r="BL46" s="442">
        <v>22051.32</v>
      </c>
      <c r="BM46" s="442">
        <v>22299.160000000003</v>
      </c>
      <c r="BN46" s="443">
        <v>21977.079999999994</v>
      </c>
      <c r="BO46" s="442">
        <v>22687.32</v>
      </c>
      <c r="BP46" s="442">
        <v>22910.560000000001</v>
      </c>
      <c r="BQ46" s="442">
        <v>23092.92</v>
      </c>
      <c r="BR46" s="442">
        <v>23337.559999999998</v>
      </c>
      <c r="BS46" s="443">
        <v>23007.089999999997</v>
      </c>
      <c r="BT46" s="442">
        <v>23792.080000000002</v>
      </c>
      <c r="BU46" s="442">
        <v>24053.600000000002</v>
      </c>
      <c r="BV46" s="442">
        <v>24282.52</v>
      </c>
      <c r="BW46" s="442">
        <v>24457.279999999999</v>
      </c>
      <c r="BX46" s="443">
        <v>24146.369999999995</v>
      </c>
      <c r="BY46" s="442">
        <v>24631.199999999997</v>
      </c>
      <c r="BZ46" s="442">
        <v>24759.84</v>
      </c>
      <c r="CA46" s="442">
        <v>24894.079999999998</v>
      </c>
      <c r="CB46" s="442">
        <v>24806.76</v>
      </c>
      <c r="CC46" s="443">
        <v>24772.969999999994</v>
      </c>
      <c r="CD46" s="442">
        <v>24674.879999999997</v>
      </c>
      <c r="CE46" s="442">
        <v>23413.800000000003</v>
      </c>
      <c r="CF46" s="442">
        <v>23234.799999999999</v>
      </c>
      <c r="CG46" s="442">
        <v>22739.32</v>
      </c>
      <c r="CH46" s="443">
        <v>23515.699999999997</v>
      </c>
      <c r="CI46" s="442">
        <v>22363.68</v>
      </c>
      <c r="CJ46" s="442">
        <v>22328.92</v>
      </c>
      <c r="CK46" s="442">
        <v>21911.559999999998</v>
      </c>
      <c r="CL46" s="442">
        <v>21766.799999999999</v>
      </c>
      <c r="CM46" s="443">
        <v>22092.739999999998</v>
      </c>
      <c r="CN46" s="442">
        <v>21960</v>
      </c>
      <c r="CO46" s="442">
        <v>21640</v>
      </c>
      <c r="CP46" s="442">
        <v>21680</v>
      </c>
      <c r="CQ46" s="442">
        <v>21560</v>
      </c>
      <c r="CR46" s="443">
        <v>21710</v>
      </c>
      <c r="CS46" s="442">
        <v>21480</v>
      </c>
      <c r="CT46" s="442">
        <v>21360</v>
      </c>
      <c r="CU46" s="442">
        <v>21520</v>
      </c>
      <c r="CV46" s="442">
        <v>22120</v>
      </c>
      <c r="CW46" s="443">
        <v>21620</v>
      </c>
      <c r="CX46" s="442">
        <v>23680</v>
      </c>
      <c r="CY46" s="442">
        <v>23880</v>
      </c>
      <c r="CZ46" s="442">
        <v>24120</v>
      </c>
      <c r="DA46" s="442">
        <v>24240</v>
      </c>
      <c r="DB46" s="443">
        <v>23980</v>
      </c>
      <c r="DC46" s="442">
        <v>24240</v>
      </c>
      <c r="DD46" s="442">
        <v>24280</v>
      </c>
      <c r="DE46" s="442">
        <v>24360</v>
      </c>
      <c r="DF46" s="442">
        <v>24360</v>
      </c>
      <c r="DG46" s="443">
        <v>24310</v>
      </c>
      <c r="DH46" s="442">
        <v>24280</v>
      </c>
      <c r="DI46" s="442">
        <v>24360</v>
      </c>
      <c r="DJ46" s="442">
        <v>24400</v>
      </c>
      <c r="DK46" s="442">
        <v>24480</v>
      </c>
      <c r="DL46" s="443">
        <v>24380</v>
      </c>
      <c r="DM46" s="442">
        <v>24560</v>
      </c>
      <c r="DN46" s="442">
        <v>24640</v>
      </c>
      <c r="DO46" s="442">
        <v>24720</v>
      </c>
      <c r="DP46" s="442">
        <v>24760</v>
      </c>
      <c r="DQ46" s="443">
        <v>24670</v>
      </c>
      <c r="DR46" s="442">
        <v>24840</v>
      </c>
      <c r="DS46" s="442">
        <v>24930</v>
      </c>
      <c r="DT46" s="442">
        <v>24990</v>
      </c>
      <c r="DU46" s="442">
        <v>25040</v>
      </c>
      <c r="DV46" s="443">
        <f>(AVERAGE(DR46:DU46))</f>
      </c>
      <c r="DW46" s="442">
        <v>25060</v>
      </c>
      <c r="DX46" s="442">
        <v>24950</v>
      </c>
      <c r="DY46" s="442">
        <v>24830</v>
      </c>
      <c r="DZ46" s="442">
        <v>24640</v>
      </c>
      <c r="EA46" s="443">
        <f>(AVERAGE(DW46:DZ46))</f>
      </c>
      <c r="EB46" s="442">
        <v>24700</v>
      </c>
      <c r="EC46" s="442">
        <v>24730</v>
      </c>
      <c r="ED46" s="442">
        <v>24680</v>
      </c>
      <c r="EE46" s="442">
        <v>24660</v>
      </c>
      <c r="EF46" s="443">
        <f>(AVERAGE(EB46:EE46))</f>
      </c>
      <c r="EG46" s="442">
        <v>24620</v>
      </c>
      <c r="EH46" s="442">
        <v>24578</v>
      </c>
      <c r="EI46" s="442">
        <v>24533</v>
      </c>
      <c r="EJ46" s="442">
        <v>24489</v>
      </c>
      <c r="EK46" s="443">
        <f>AVERAGE(EG46:EJ46)</f>
      </c>
      <c r="EL46" s="442">
        <v>24441</v>
      </c>
      <c r="EM46" s="442">
        <v>24366</v>
      </c>
      <c r="EN46" s="444">
        <f>EM46+(EN48-EM48)</f>
      </c>
      <c r="EO46" s="444">
        <f>EN46+(EO48-EN48)</f>
      </c>
      <c r="EP46" s="443">
        <f>AVERAGE(EL46:EO46)</f>
      </c>
      <c r="EQ46" s="444">
        <f>EO46+(EQ48-EO48)</f>
      </c>
      <c r="ER46" s="444">
        <f>EQ46+(ER48-EQ48)</f>
      </c>
      <c r="ES46" s="444">
        <f>ER46+(ES48-ER48)</f>
      </c>
      <c r="ET46" s="444">
        <f>ES46+(ET48-ES48)</f>
      </c>
      <c r="EU46" s="443">
        <f>AVERAGE(EQ46:ET46)</f>
      </c>
      <c r="EV46" s="444">
        <f>ET46+(EV48-ET48)</f>
      </c>
      <c r="EW46" s="444">
        <f>EV46+(EW48-EV48)</f>
      </c>
      <c r="EX46" s="444">
        <f>EW46+(EX48-EW48)</f>
      </c>
      <c r="EY46" s="444">
        <f>EX46+(EY48-EX48)</f>
      </c>
      <c r="EZ46" s="443">
        <f>AVERAGE(EV46:EY46)</f>
      </c>
      <c r="FA46" s="443"/>
      <c r="FB46" s="461"/>
      <c r="FC46" s="461"/>
      <c r="FD46" s="461"/>
      <c r="FE46" s="461"/>
      <c r="FF46" s="461"/>
      <c r="FG46" s="461"/>
      <c r="FH46" s="461"/>
      <c r="FI46" s="461"/>
      <c r="FJ46" s="461"/>
      <c r="FL46" s="111"/>
      <c r="FM46" s="111"/>
    </row>
    <row r="47" spans="1:169" ht="13.8" thickBot="1">
      <c r="A47" s="106" t="s">
        <v>373</v>
      </c>
      <c r="B47" s="443"/>
      <c r="C47" s="443"/>
      <c r="D47" s="443"/>
      <c r="E47" s="443"/>
      <c r="F47" s="443"/>
      <c r="G47" s="443"/>
      <c r="H47" s="443"/>
      <c r="I47" s="443"/>
      <c r="J47" s="443"/>
      <c r="K47" s="443"/>
      <c r="L47" s="443"/>
      <c r="M47" s="443"/>
      <c r="N47" s="443"/>
      <c r="O47" s="443"/>
      <c r="P47" s="443"/>
      <c r="Q47" s="442"/>
      <c r="R47" s="442"/>
      <c r="S47" s="442">
        <v>19.416</v>
      </c>
      <c r="T47" s="442">
        <v>19.416</v>
      </c>
      <c r="U47" s="443"/>
      <c r="V47" s="442">
        <v>19.416</v>
      </c>
      <c r="W47" s="442">
        <v>19.416</v>
      </c>
      <c r="X47" s="442">
        <v>19.416</v>
      </c>
      <c r="Y47" s="442">
        <v>19.416</v>
      </c>
      <c r="Z47" s="443"/>
      <c r="AA47" s="442">
        <v>19.416</v>
      </c>
      <c r="AB47" s="442">
        <v>19.416</v>
      </c>
      <c r="AC47" s="442">
        <v>19.416</v>
      </c>
      <c r="AD47" s="442">
        <v>19.416</v>
      </c>
      <c r="AE47" s="443"/>
      <c r="AF47" s="442">
        <v>19.416</v>
      </c>
      <c r="AG47" s="442">
        <v>19.416</v>
      </c>
      <c r="AH47" s="443"/>
      <c r="AI47" s="443"/>
      <c r="AJ47" s="443"/>
      <c r="AK47" s="443"/>
      <c r="AL47" s="443"/>
      <c r="AM47" s="443"/>
      <c r="AN47" s="443"/>
      <c r="AO47" s="443"/>
      <c r="AP47" s="443"/>
      <c r="AQ47" s="443"/>
      <c r="AR47" s="443"/>
      <c r="AS47" s="443"/>
      <c r="AT47" s="443"/>
      <c r="AU47" s="443"/>
      <c r="AV47" s="443"/>
      <c r="AW47" s="443"/>
      <c r="AX47" s="443"/>
      <c r="AY47" s="443"/>
      <c r="AZ47" s="443"/>
      <c r="BA47" s="443"/>
      <c r="BB47" s="443"/>
      <c r="BC47" s="443"/>
      <c r="BD47" s="443"/>
      <c r="BE47" s="443"/>
      <c r="BF47" s="443"/>
      <c r="BG47" s="443"/>
      <c r="BH47" s="443"/>
      <c r="BI47" s="443"/>
      <c r="BJ47" s="443"/>
      <c r="BK47" s="443"/>
      <c r="BL47" s="443"/>
      <c r="BM47" s="443"/>
      <c r="BN47" s="443"/>
      <c r="BO47" s="443"/>
      <c r="BP47" s="443"/>
      <c r="BQ47" s="443"/>
      <c r="BR47" s="443"/>
      <c r="BS47" s="443"/>
      <c r="BT47" s="443"/>
      <c r="BU47" s="443"/>
      <c r="BV47" s="443"/>
      <c r="BW47" s="443"/>
      <c r="BX47" s="443"/>
      <c r="BY47" s="443"/>
      <c r="BZ47" s="443"/>
      <c r="CA47" s="443"/>
      <c r="CB47" s="443"/>
      <c r="CC47" s="443"/>
      <c r="CD47" s="443"/>
      <c r="CE47" s="443"/>
      <c r="CF47" s="443"/>
      <c r="CG47" s="443"/>
      <c r="CH47" s="443"/>
      <c r="CI47" s="443"/>
      <c r="CJ47" s="443"/>
      <c r="CK47" s="443"/>
      <c r="CL47" s="443"/>
      <c r="CM47" s="443"/>
      <c r="CN47" s="442"/>
      <c r="CO47" s="442"/>
      <c r="CP47" s="442">
        <f>CP49-CP48</f>
      </c>
      <c r="CQ47" s="442">
        <f>CQ49-CQ48</f>
      </c>
      <c r="CR47" s="443"/>
      <c r="CS47" s="442">
        <f>CS49-CS48</f>
      </c>
      <c r="CT47" s="442">
        <f>CT49-CT48</f>
      </c>
      <c r="CU47" s="442">
        <f>CU49-CU48</f>
      </c>
      <c r="CV47" s="442">
        <f>CV49-CV48</f>
      </c>
      <c r="CW47" s="443"/>
      <c r="CX47" s="442">
        <f>CX49-CX48</f>
      </c>
      <c r="CY47" s="442">
        <f>CY49-CY48</f>
      </c>
      <c r="CZ47" s="442">
        <f>CZ49-CZ48</f>
      </c>
      <c r="DA47" s="442">
        <f>DA49-DA48</f>
      </c>
      <c r="DB47" s="442"/>
      <c r="DC47" s="442"/>
      <c r="DD47" s="442">
        <f>DD49-DD48</f>
      </c>
      <c r="DE47" s="442">
        <v>0</v>
      </c>
      <c r="DF47" s="442">
        <f>DE47</f>
      </c>
      <c r="DG47" s="443"/>
      <c r="DH47" s="442">
        <f>DF47</f>
      </c>
      <c r="DI47" s="442">
        <f>DH47</f>
      </c>
      <c r="DJ47" s="442">
        <f>DI47</f>
      </c>
      <c r="DK47" s="442">
        <f>DJ47</f>
      </c>
      <c r="DL47" s="443"/>
      <c r="DM47" s="442">
        <f>DK47</f>
      </c>
      <c r="DN47" s="442">
        <f>DM47</f>
      </c>
      <c r="DO47" s="442">
        <f>DN47</f>
      </c>
      <c r="DP47" s="442">
        <f>DO47</f>
      </c>
      <c r="DQ47" s="443"/>
      <c r="DR47" s="442">
        <f>DP47</f>
      </c>
      <c r="DS47" s="442">
        <f>DR47</f>
      </c>
      <c r="DT47" s="442">
        <f>DS47</f>
      </c>
      <c r="DU47" s="442">
        <f>DT47</f>
      </c>
      <c r="DV47" s="443"/>
      <c r="DW47" s="442">
        <f>DU47</f>
      </c>
      <c r="DX47" s="442">
        <f>DW47</f>
      </c>
      <c r="DY47" s="442">
        <f>DX47</f>
      </c>
      <c r="DZ47" s="442">
        <f>DY47</f>
      </c>
      <c r="EA47" s="443"/>
      <c r="EB47" s="442">
        <f>EA47</f>
      </c>
      <c r="EC47" s="442">
        <f>EB47</f>
      </c>
      <c r="ED47" s="442">
        <f>EC47</f>
      </c>
      <c r="EE47" s="442">
        <f>ED47</f>
      </c>
      <c r="EF47" s="443"/>
      <c r="EG47" s="442">
        <f>EF47</f>
      </c>
      <c r="EH47" s="442">
        <f>EG47</f>
      </c>
      <c r="EI47" s="442">
        <f>EH47</f>
      </c>
      <c r="EJ47" s="442">
        <f>EI47</f>
      </c>
      <c r="EK47" s="443"/>
      <c r="EL47" s="442">
        <f>EK47</f>
      </c>
      <c r="EM47" s="442">
        <f>EL47</f>
      </c>
      <c r="EN47" s="442">
        <f>EM47</f>
      </c>
      <c r="EO47" s="442">
        <f>EN47</f>
      </c>
      <c r="EP47" s="443"/>
      <c r="EQ47" s="442">
        <f>EO47</f>
      </c>
      <c r="ER47" s="442">
        <f>EQ47</f>
      </c>
      <c r="ES47" s="442">
        <f>ER47</f>
      </c>
      <c r="ET47" s="442">
        <f>ES47</f>
      </c>
      <c r="EU47" s="443"/>
      <c r="EV47" s="442">
        <f>ET47</f>
      </c>
      <c r="EW47" s="442">
        <f>EV47</f>
      </c>
      <c r="EX47" s="442">
        <f>EW47</f>
      </c>
      <c r="EY47" s="442">
        <f>EX47</f>
      </c>
      <c r="EZ47" s="443"/>
      <c r="FA47" s="443"/>
      <c r="FB47" s="461"/>
      <c r="FC47" s="461"/>
      <c r="FL47" s="111"/>
      <c r="FM47" s="111"/>
    </row>
    <row r="48" spans="1:169" ht="13.8" thickBot="1">
      <c r="A48" s="106" t="s">
        <v>374</v>
      </c>
      <c r="B48" s="442">
        <v>6084.96</v>
      </c>
      <c r="C48" s="442">
        <v>6084.96</v>
      </c>
      <c r="D48" s="442">
        <v>6084.96</v>
      </c>
      <c r="E48" s="442">
        <v>6084.96</v>
      </c>
      <c r="F48" s="443">
        <v>6084.96</v>
      </c>
      <c r="G48" s="442">
        <v>6787.68</v>
      </c>
      <c r="H48" s="442">
        <v>6791.0400000000009</v>
      </c>
      <c r="I48" s="442">
        <v>13331.52</v>
      </c>
      <c r="J48" s="442">
        <v>13844.16</v>
      </c>
      <c r="K48" s="443">
        <v>10188.600000000002</v>
      </c>
      <c r="L48" s="442">
        <v>17017.919999999998</v>
      </c>
      <c r="M48" s="442">
        <v>17018.399999999998</v>
      </c>
      <c r="N48" s="442">
        <v>17246.879999999997</v>
      </c>
      <c r="O48" s="442">
        <v>18024.48</v>
      </c>
      <c r="P48" s="443">
        <v>17326.919999999998</v>
      </c>
      <c r="Q48" s="442">
        <v>18666.72</v>
      </c>
      <c r="R48" s="442">
        <v>19076.879999999997</v>
      </c>
      <c r="S48" s="442">
        <v>19304.400000000001</v>
      </c>
      <c r="T48" s="442">
        <v>19412.64</v>
      </c>
      <c r="U48" s="443">
        <v>19115.16</v>
      </c>
      <c r="V48" s="442">
        <v>19885.32</v>
      </c>
      <c r="W48" s="442">
        <v>20436.239999999998</v>
      </c>
      <c r="X48" s="442">
        <v>20419.079999999998</v>
      </c>
      <c r="Y48" s="442">
        <v>21267.600000000002</v>
      </c>
      <c r="Z48" s="443">
        <v>20502.060000000001</v>
      </c>
      <c r="AA48" s="442">
        <v>39213.24</v>
      </c>
      <c r="AB48" s="442">
        <v>20252.400000000001</v>
      </c>
      <c r="AC48" s="442">
        <v>36817.919999999998</v>
      </c>
      <c r="AD48" s="442">
        <v>20102.04</v>
      </c>
      <c r="AE48" s="443">
        <v>29096.399999999998</v>
      </c>
      <c r="AF48" s="442">
        <v>20151</v>
      </c>
      <c r="AG48" s="442">
        <v>20946.120000000003</v>
      </c>
      <c r="AH48" s="442">
        <v>20777.88</v>
      </c>
      <c r="AI48" s="442">
        <v>21174.84</v>
      </c>
      <c r="AJ48" s="443">
        <v>20762.46</v>
      </c>
      <c r="AK48" s="442">
        <v>21417.48</v>
      </c>
      <c r="AL48" s="442">
        <v>21290.280000000002</v>
      </c>
      <c r="AM48" s="442">
        <v>20744.28</v>
      </c>
      <c r="AN48" s="442">
        <v>21270.839999999997</v>
      </c>
      <c r="AO48" s="443">
        <v>21180.720000000001</v>
      </c>
      <c r="AP48" s="442">
        <v>21659.040000000001</v>
      </c>
      <c r="AQ48" s="442">
        <v>21694.799999999999</v>
      </c>
      <c r="AR48" s="442">
        <v>22022.039999999997</v>
      </c>
      <c r="AS48" s="442">
        <v>22334.639999999999</v>
      </c>
      <c r="AT48" s="443">
        <v>21927.629999999997</v>
      </c>
      <c r="AU48" s="442">
        <v>23365.68</v>
      </c>
      <c r="AV48" s="442">
        <v>23135.34</v>
      </c>
      <c r="AW48" s="442">
        <v>23472.9</v>
      </c>
      <c r="AX48" s="442">
        <v>23939.64</v>
      </c>
      <c r="AY48" s="443">
        <v>23478.39</v>
      </c>
      <c r="AZ48" s="442">
        <v>23931.96</v>
      </c>
      <c r="BA48" s="442">
        <v>24153.18</v>
      </c>
      <c r="BB48" s="442">
        <v>24519.4</v>
      </c>
      <c r="BC48" s="442">
        <v>24366.92</v>
      </c>
      <c r="BD48" s="443">
        <v>24242.865000000002</v>
      </c>
      <c r="BE48" s="442">
        <v>23679.56</v>
      </c>
      <c r="BF48" s="442">
        <v>23179.8</v>
      </c>
      <c r="BG48" s="442">
        <v>22581.439999999999</v>
      </c>
      <c r="BH48" s="442">
        <v>21503.800000000003</v>
      </c>
      <c r="BI48" s="443">
        <v>22736.149999999998</v>
      </c>
      <c r="BJ48" s="442">
        <v>21692.28</v>
      </c>
      <c r="BK48" s="442">
        <v>22505.4</v>
      </c>
      <c r="BL48" s="442">
        <v>22975.239999999998</v>
      </c>
      <c r="BM48" s="442">
        <v>23283.24</v>
      </c>
      <c r="BN48" s="443">
        <v>22614.04</v>
      </c>
      <c r="BO48" s="442">
        <v>23639.879999999997</v>
      </c>
      <c r="BP48" s="442">
        <v>23295.32</v>
      </c>
      <c r="BQ48" s="442">
        <v>23305.920000000002</v>
      </c>
      <c r="BR48" s="442">
        <v>24062.36</v>
      </c>
      <c r="BS48" s="443">
        <v>23575.870000000003</v>
      </c>
      <c r="BT48" s="442">
        <v>24538.960000000003</v>
      </c>
      <c r="BU48" s="442">
        <v>24557.360000000001</v>
      </c>
      <c r="BV48" s="442">
        <v>24542.399999999998</v>
      </c>
      <c r="BW48" s="442">
        <v>24743.960000000003</v>
      </c>
      <c r="BX48" s="443">
        <v>24595.67</v>
      </c>
      <c r="BY48" s="442">
        <v>24951.439999999999</v>
      </c>
      <c r="BZ48" s="442">
        <v>24925.72</v>
      </c>
      <c r="CA48" s="442">
        <v>25153.800000000003</v>
      </c>
      <c r="CB48" s="442">
        <v>24880.720000000001</v>
      </c>
      <c r="CC48" s="443">
        <v>24977.920000000006</v>
      </c>
      <c r="CD48" s="442">
        <v>24772.080000000002</v>
      </c>
      <c r="CE48" s="442">
        <v>23680.239999999998</v>
      </c>
      <c r="CF48" s="442">
        <v>23550.079999999998</v>
      </c>
      <c r="CG48" s="442">
        <v>23094.239999999998</v>
      </c>
      <c r="CH48" s="443">
        <v>23774.160000000003</v>
      </c>
      <c r="CI48" s="442">
        <v>22816.880000000001</v>
      </c>
      <c r="CJ48" s="442">
        <v>22822.880000000001</v>
      </c>
      <c r="CK48" s="442">
        <v>22328.04</v>
      </c>
      <c r="CL48" s="442">
        <v>22262.92</v>
      </c>
      <c r="CM48" s="443">
        <v>22557.68</v>
      </c>
      <c r="CN48" s="442">
        <v>22480</v>
      </c>
      <c r="CO48" s="442">
        <v>22080</v>
      </c>
      <c r="CP48" s="442">
        <v>22200</v>
      </c>
      <c r="CQ48" s="442">
        <v>22680</v>
      </c>
      <c r="CR48" s="443">
        <v>22360</v>
      </c>
      <c r="CS48" s="442">
        <v>22720</v>
      </c>
      <c r="CT48" s="442">
        <v>23640</v>
      </c>
      <c r="CU48" s="442">
        <v>24320</v>
      </c>
      <c r="CV48" s="442">
        <v>24960</v>
      </c>
      <c r="CW48" s="443">
        <v>23910</v>
      </c>
      <c r="CX48" s="442">
        <v>25080</v>
      </c>
      <c r="CY48" s="442">
        <v>25160</v>
      </c>
      <c r="CZ48" s="442">
        <v>25040</v>
      </c>
      <c r="DA48" s="442">
        <v>25080</v>
      </c>
      <c r="DB48" s="443">
        <v>25090</v>
      </c>
      <c r="DC48" s="442">
        <v>25080</v>
      </c>
      <c r="DD48" s="442">
        <v>25000</v>
      </c>
      <c r="DE48" s="442">
        <v>25000</v>
      </c>
      <c r="DF48" s="442">
        <v>24760</v>
      </c>
      <c r="DG48" s="443">
        <v>24960</v>
      </c>
      <c r="DH48" s="442">
        <v>24640</v>
      </c>
      <c r="DI48" s="442">
        <v>24640</v>
      </c>
      <c r="DJ48" s="442">
        <v>24720</v>
      </c>
      <c r="DK48" s="442">
        <v>24840</v>
      </c>
      <c r="DL48" s="443">
        <v>24710</v>
      </c>
      <c r="DM48" s="442">
        <v>24880</v>
      </c>
      <c r="DN48" s="442">
        <v>25040</v>
      </c>
      <c r="DO48" s="442">
        <v>25200</v>
      </c>
      <c r="DP48" s="442">
        <v>25240</v>
      </c>
      <c r="DQ48" s="443">
        <v>25090</v>
      </c>
      <c r="DR48" s="442">
        <v>25280</v>
      </c>
      <c r="DS48" s="442">
        <v>25320</v>
      </c>
      <c r="DT48" s="442">
        <v>25380</v>
      </c>
      <c r="DU48" s="442">
        <v>25450</v>
      </c>
      <c r="DV48" s="443">
        <f>(DV37/DV54)</f>
      </c>
      <c r="DW48" s="442">
        <v>25370</v>
      </c>
      <c r="DX48" s="442">
        <v>25160</v>
      </c>
      <c r="DY48" s="442">
        <v>24990</v>
      </c>
      <c r="DZ48" s="442">
        <v>24770</v>
      </c>
      <c r="EA48" s="443">
        <f>(EA37/EA54)</f>
      </c>
      <c r="EB48" s="442">
        <v>24900</v>
      </c>
      <c r="EC48" s="442">
        <v>24990</v>
      </c>
      <c r="ED48" s="442">
        <v>24940</v>
      </c>
      <c r="EE48" s="442">
        <v>24900</v>
      </c>
      <c r="EF48" s="443">
        <f>(AVERAGE(EB48:EE48))</f>
      </c>
      <c r="EG48" s="442">
        <v>24890</v>
      </c>
      <c r="EH48" s="442">
        <v>24848</v>
      </c>
      <c r="EI48" s="442">
        <v>24774</v>
      </c>
      <c r="EJ48" s="442">
        <v>24706</v>
      </c>
      <c r="EK48" s="443">
        <f>EK37/EK54</f>
      </c>
      <c r="EL48" s="442">
        <v>24611</v>
      </c>
      <c r="EM48" s="442">
        <v>24532</v>
      </c>
      <c r="EN48" s="442">
        <f>EM$48-(-(EN$143+EN$144)/$FB$48)+(EN42/$FB$48)</f>
      </c>
      <c r="EO48" s="442">
        <f>EN$48-(-(EO$143+EO$144)/$FB$48)+(EO42/$FB$48)</f>
      </c>
      <c r="EP48" s="443">
        <f>EP37/EP54</f>
      </c>
      <c r="EQ48" s="442">
        <f>EO$48-(-(EQ$143+EQ$144)/$FB$48)+(EQ42/$FB$48)</f>
      </c>
      <c r="ER48" s="442">
        <f>EQ$48-(-(ER$143+ER$144)/$FB$48)+(ER42/$FB$48)</f>
      </c>
      <c r="ES48" s="442">
        <f>ER$48-(-(ES$143+ES$144)/$FB$48)+(ES42/$FB$48)</f>
      </c>
      <c r="ET48" s="442">
        <f>ES$48-(-(ET$143+ET$144)/$FB$48)+(ET42/$FB$48)</f>
      </c>
      <c r="EU48" s="443">
        <f>EU37/EU54</f>
      </c>
      <c r="EV48" s="442">
        <f>ET$48-(-(EV$143+EV$144)/$FB$48)+(EV42/$FB$48)</f>
      </c>
      <c r="EW48" s="442">
        <f>EV$48-(-(EW$143+EW$144)/$FB$48)+(EW42/$FB$48)</f>
      </c>
      <c r="EX48" s="442">
        <f>EW$48-(-(EX$143+EX$144)/$FB$48)+(EX42/$FB$48)</f>
      </c>
      <c r="EY48" s="442">
        <f>EX$48-(-(EY$143+EY$144)/$FB$48)+(EY42/$FB$48)</f>
      </c>
      <c r="EZ48" s="443">
        <f>EZ37/EZ54</f>
      </c>
      <c r="FA48" s="443"/>
      <c r="FB48" s="462">
        <v>170</v>
      </c>
      <c r="FC48" s="461"/>
      <c r="FE48" s="461"/>
      <c r="FL48" s="111"/>
      <c r="FM48" s="111"/>
    </row>
    <row r="49" spans="1:169">
      <c r="A49" s="106" t="s">
        <v>375</v>
      </c>
      <c r="B49" s="442">
        <v>0</v>
      </c>
      <c r="C49" s="442">
        <v>0</v>
      </c>
      <c r="D49" s="442">
        <v>0</v>
      </c>
      <c r="E49" s="442">
        <v>0</v>
      </c>
      <c r="F49" s="442">
        <v>0</v>
      </c>
      <c r="G49" s="442">
        <v>0</v>
      </c>
      <c r="H49" s="442">
        <v>0</v>
      </c>
      <c r="I49" s="442">
        <v>0</v>
      </c>
      <c r="J49" s="442">
        <v>0</v>
      </c>
      <c r="K49" s="442">
        <v>0</v>
      </c>
      <c r="L49" s="442">
        <v>0</v>
      </c>
      <c r="M49" s="442">
        <v>0</v>
      </c>
      <c r="N49" s="442">
        <v>0</v>
      </c>
      <c r="O49" s="442">
        <v>0</v>
      </c>
      <c r="P49" s="442">
        <v>0</v>
      </c>
      <c r="Q49" s="442">
        <v>0</v>
      </c>
      <c r="R49" s="442">
        <v>0</v>
      </c>
      <c r="S49" s="442">
        <v>0</v>
      </c>
      <c r="T49" s="442">
        <v>0</v>
      </c>
      <c r="U49" s="442">
        <v>0</v>
      </c>
      <c r="V49" s="442">
        <v>0</v>
      </c>
      <c r="W49" s="442">
        <v>0</v>
      </c>
      <c r="X49" s="442">
        <v>0</v>
      </c>
      <c r="Y49" s="442">
        <v>0</v>
      </c>
      <c r="Z49" s="442">
        <v>0</v>
      </c>
      <c r="AA49" s="442">
        <v>0</v>
      </c>
      <c r="AB49" s="442">
        <v>0</v>
      </c>
      <c r="AC49" s="442">
        <v>0</v>
      </c>
      <c r="AD49" s="442">
        <v>0</v>
      </c>
      <c r="AE49" s="442">
        <v>0</v>
      </c>
      <c r="AF49" s="442">
        <v>0</v>
      </c>
      <c r="AG49" s="442">
        <v>0</v>
      </c>
      <c r="AH49" s="442">
        <v>0</v>
      </c>
      <c r="AI49" s="442">
        <v>0</v>
      </c>
      <c r="AJ49" s="442">
        <v>0</v>
      </c>
      <c r="AK49" s="442">
        <v>0</v>
      </c>
      <c r="AL49" s="442">
        <v>0</v>
      </c>
      <c r="AM49" s="442">
        <v>0</v>
      </c>
      <c r="AN49" s="442">
        <v>0</v>
      </c>
      <c r="AO49" s="442">
        <v>0</v>
      </c>
      <c r="AP49" s="442">
        <v>0</v>
      </c>
      <c r="AQ49" s="442">
        <v>0</v>
      </c>
      <c r="AR49" s="442">
        <v>0</v>
      </c>
      <c r="AS49" s="442">
        <v>0</v>
      </c>
      <c r="AT49" s="442">
        <v>0</v>
      </c>
      <c r="AU49" s="442">
        <v>0</v>
      </c>
      <c r="AV49" s="442">
        <v>0</v>
      </c>
      <c r="AW49" s="442">
        <v>0</v>
      </c>
      <c r="AX49" s="442">
        <v>0</v>
      </c>
      <c r="AY49" s="442">
        <v>0</v>
      </c>
      <c r="AZ49" s="442">
        <v>0</v>
      </c>
      <c r="BA49" s="442">
        <v>0</v>
      </c>
      <c r="BB49" s="442">
        <v>0</v>
      </c>
      <c r="BC49" s="442">
        <v>0</v>
      </c>
      <c r="BD49" s="442">
        <v>0</v>
      </c>
      <c r="BE49" s="442">
        <v>0</v>
      </c>
      <c r="BF49" s="442">
        <v>0</v>
      </c>
      <c r="BG49" s="442">
        <v>0</v>
      </c>
      <c r="BH49" s="442">
        <v>0</v>
      </c>
      <c r="BI49" s="442">
        <v>0</v>
      </c>
      <c r="BJ49" s="442">
        <v>0</v>
      </c>
      <c r="BK49" s="442">
        <v>0</v>
      </c>
      <c r="BL49" s="442">
        <v>0</v>
      </c>
      <c r="BM49" s="442">
        <v>0</v>
      </c>
      <c r="BN49" s="442">
        <v>0</v>
      </c>
      <c r="BO49" s="442">
        <v>0</v>
      </c>
      <c r="BP49" s="442">
        <v>0</v>
      </c>
      <c r="BQ49" s="442">
        <v>0</v>
      </c>
      <c r="BR49" s="442">
        <v>0</v>
      </c>
      <c r="BS49" s="442">
        <v>0</v>
      </c>
      <c r="BT49" s="442">
        <v>0</v>
      </c>
      <c r="BU49" s="442">
        <v>0</v>
      </c>
      <c r="BV49" s="442">
        <v>0</v>
      </c>
      <c r="BW49" s="442">
        <v>0</v>
      </c>
      <c r="BX49" s="442">
        <v>0</v>
      </c>
      <c r="BY49" s="442">
        <v>0</v>
      </c>
      <c r="BZ49" s="442">
        <v>0</v>
      </c>
      <c r="CA49" s="442">
        <v>0</v>
      </c>
      <c r="CB49" s="442">
        <v>0</v>
      </c>
      <c r="CC49" s="442">
        <v>0</v>
      </c>
      <c r="CD49" s="442">
        <v>0</v>
      </c>
      <c r="CE49" s="442">
        <v>0</v>
      </c>
      <c r="CF49" s="442">
        <v>0</v>
      </c>
      <c r="CG49" s="442">
        <v>0</v>
      </c>
      <c r="CH49" s="442">
        <v>0</v>
      </c>
      <c r="CI49" s="442">
        <v>0</v>
      </c>
      <c r="CJ49" s="442">
        <v>0</v>
      </c>
      <c r="CK49" s="442">
        <v>0</v>
      </c>
      <c r="CL49" s="442">
        <v>0</v>
      </c>
      <c r="CM49" s="442">
        <v>0</v>
      </c>
      <c r="CN49" s="442">
        <v>0</v>
      </c>
      <c r="CO49" s="442">
        <v>0</v>
      </c>
      <c r="CP49" s="442">
        <v>22600</v>
      </c>
      <c r="CQ49" s="442">
        <v>23720</v>
      </c>
      <c r="CR49" s="443">
        <f>CR48</f>
      </c>
      <c r="CS49" s="442">
        <v>23880</v>
      </c>
      <c r="CT49" s="442">
        <v>25360</v>
      </c>
      <c r="CU49" s="442">
        <v>26120</v>
      </c>
      <c r="CV49" s="442">
        <v>26400</v>
      </c>
      <c r="CW49" s="443">
        <f>CW48</f>
      </c>
      <c r="CX49" s="442">
        <v>25640</v>
      </c>
      <c r="CY49" s="442">
        <v>25320</v>
      </c>
      <c r="CZ49" s="442">
        <v>25120</v>
      </c>
      <c r="DA49" s="442">
        <v>25120</v>
      </c>
      <c r="DB49" s="443">
        <f>DB48</f>
      </c>
      <c r="DC49" s="442">
        <v>25040</v>
      </c>
      <c r="DD49" s="442">
        <v>25040</v>
      </c>
      <c r="DE49" s="442">
        <v>25000</v>
      </c>
      <c r="DF49" s="442">
        <v>24760</v>
      </c>
      <c r="DG49" s="443">
        <f>DG48</f>
      </c>
      <c r="DH49" s="442">
        <v>24640</v>
      </c>
      <c r="DI49" s="442">
        <v>24640</v>
      </c>
      <c r="DJ49" s="442">
        <v>24720</v>
      </c>
      <c r="DK49" s="442">
        <v>24840</v>
      </c>
      <c r="DL49" s="443">
        <f>DL48</f>
      </c>
      <c r="DM49" s="442">
        <v>24880</v>
      </c>
      <c r="DN49" s="442">
        <v>25040</v>
      </c>
      <c r="DO49" s="442">
        <v>25200</v>
      </c>
      <c r="DP49" s="442">
        <v>25240</v>
      </c>
      <c r="DQ49" s="443">
        <f>DQ48</f>
      </c>
      <c r="DR49" s="442">
        <v>25280</v>
      </c>
      <c r="DS49" s="442">
        <v>25320</v>
      </c>
      <c r="DT49" s="442">
        <v>25380</v>
      </c>
      <c r="DU49" s="442">
        <v>25450</v>
      </c>
      <c r="DV49" s="443">
        <f>(DV48)</f>
      </c>
      <c r="DW49" s="442">
        <v>25370</v>
      </c>
      <c r="DX49" s="442">
        <v>25160</v>
      </c>
      <c r="DY49" s="442">
        <v>24990</v>
      </c>
      <c r="DZ49" s="442">
        <v>24770</v>
      </c>
      <c r="EA49" s="443">
        <f>(EA48)</f>
      </c>
      <c r="EB49" s="442">
        <v>24900</v>
      </c>
      <c r="EC49" s="442">
        <v>24990</v>
      </c>
      <c r="ED49" s="442">
        <v>24940</v>
      </c>
      <c r="EE49" s="442">
        <v>24900</v>
      </c>
      <c r="EF49" s="443">
        <f>(AVERAGE(EB49:EE49))</f>
      </c>
      <c r="EG49" s="442">
        <v>24890</v>
      </c>
      <c r="EH49" s="442">
        <v>24848</v>
      </c>
      <c r="EI49" s="442">
        <v>24774</v>
      </c>
      <c r="EJ49" s="442">
        <v>24706</v>
      </c>
      <c r="EK49" s="443">
        <f>EK48</f>
      </c>
      <c r="EL49" s="442">
        <v>24611</v>
      </c>
      <c r="EM49" s="442">
        <v>24532</v>
      </c>
      <c r="EN49" s="442">
        <f>EN48+EN47</f>
      </c>
      <c r="EO49" s="442">
        <f>EO48+EO47</f>
      </c>
      <c r="EP49" s="443">
        <f>EP48</f>
      </c>
      <c r="EQ49" s="442">
        <f>EQ48+EQ47</f>
      </c>
      <c r="ER49" s="442">
        <f>ER48+ER47</f>
      </c>
      <c r="ES49" s="442">
        <f>ES48+ES47</f>
      </c>
      <c r="ET49" s="442">
        <f>ET48+ET47</f>
      </c>
      <c r="EU49" s="443">
        <f>EU48</f>
      </c>
      <c r="EV49" s="442">
        <f>EV48+EV47</f>
      </c>
      <c r="EW49" s="442">
        <f>EW48+EW47</f>
      </c>
      <c r="EX49" s="442">
        <f>EX48+EX47</f>
      </c>
      <c r="EY49" s="442">
        <f>EY48+EY47</f>
      </c>
      <c r="EZ49" s="443">
        <f>EZ48</f>
      </c>
      <c r="FA49" s="442"/>
      <c r="FB49" s="463"/>
      <c r="FC49" s="461"/>
      <c r="FL49" s="111"/>
      <c r="FM49" s="111"/>
    </row>
    <row r="50" spans="1:169">
      <c r="B50" s="120"/>
      <c r="C50" s="120"/>
      <c r="D50" s="120"/>
      <c r="E50" s="120"/>
      <c r="G50" s="120"/>
      <c r="H50" s="120"/>
      <c r="I50" s="120"/>
      <c r="J50" s="120"/>
      <c r="L50" s="120"/>
      <c r="M50" s="120"/>
      <c r="N50" s="120"/>
      <c r="O50" s="120"/>
      <c r="Q50" s="120"/>
      <c r="R50" s="120"/>
      <c r="S50" s="120"/>
      <c r="T50" s="120"/>
      <c r="V50" s="120"/>
      <c r="W50" s="120"/>
      <c r="X50" s="120"/>
      <c r="Y50" s="120"/>
      <c r="AA50" s="120"/>
      <c r="AB50" s="120"/>
      <c r="AC50" s="120"/>
      <c r="AD50" s="120"/>
      <c r="AE50" s="84"/>
      <c r="AF50" s="120"/>
      <c r="AG50" s="120"/>
      <c r="AH50" s="120"/>
      <c r="AI50" s="120"/>
      <c r="AJ50" s="84"/>
      <c r="AK50" s="120"/>
      <c r="AL50" s="120"/>
      <c r="AM50" s="120"/>
      <c r="AN50" s="120"/>
      <c r="AO50" s="84"/>
      <c r="AP50" s="120"/>
      <c r="AQ50" s="120"/>
      <c r="AR50" s="120"/>
      <c r="AS50" s="120"/>
      <c r="AT50" s="84"/>
      <c r="AU50" s="120"/>
      <c r="AV50" s="120"/>
      <c r="AW50" s="120"/>
      <c r="AX50" s="120"/>
      <c r="AY50" s="84"/>
      <c r="AZ50" s="120"/>
      <c r="BA50" s="120"/>
      <c r="BB50" s="120"/>
      <c r="BC50" s="120"/>
      <c r="BD50" s="84"/>
      <c r="BE50" s="120"/>
      <c r="BF50" s="120"/>
      <c r="BG50" s="120"/>
      <c r="BH50" s="120"/>
      <c r="BI50" s="84"/>
      <c r="BJ50" s="120"/>
      <c r="BK50" s="120"/>
      <c r="BL50" s="120"/>
      <c r="BM50" s="120"/>
      <c r="BN50" s="84"/>
      <c r="BO50" s="120"/>
      <c r="BP50" s="120"/>
      <c r="BQ50" s="120"/>
      <c r="BR50" s="120"/>
      <c r="BS50" s="84"/>
      <c r="BT50" s="120"/>
      <c r="BU50" s="120"/>
      <c r="BV50" s="120"/>
      <c r="BW50" s="120"/>
      <c r="BX50" s="84"/>
      <c r="BY50" s="120"/>
      <c r="BZ50" s="120"/>
      <c r="CA50" s="120"/>
      <c r="CB50" s="120"/>
      <c r="CC50" s="84"/>
      <c r="CD50" s="120"/>
      <c r="CE50" s="120"/>
      <c r="CF50" s="120"/>
      <c r="CG50" s="120"/>
      <c r="CH50" s="84"/>
      <c r="CI50" s="120"/>
      <c r="CJ50" s="120"/>
      <c r="CK50" s="120"/>
      <c r="CL50" s="120"/>
      <c r="CM50" s="84"/>
      <c r="CN50" s="120"/>
      <c r="CO50" s="120"/>
      <c r="CP50" s="120"/>
      <c r="CQ50" s="120"/>
      <c r="CR50" s="446"/>
      <c r="CT50" s="290"/>
      <c r="CU50" s="290"/>
      <c r="CV50" s="290"/>
      <c r="CW50" s="464"/>
      <c r="CX50" s="107"/>
      <c r="CY50" s="290"/>
      <c r="CZ50" s="290"/>
      <c r="DA50" s="290"/>
      <c r="DB50" s="464"/>
      <c r="DC50" s="464"/>
      <c r="DD50" s="464"/>
      <c r="DE50" s="290"/>
      <c r="DF50" s="290"/>
      <c r="DG50" s="84"/>
      <c r="DH50" s="290"/>
      <c r="DI50" s="290"/>
      <c r="DJ50" s="295"/>
      <c r="DK50" s="290"/>
      <c r="DL50" s="84"/>
      <c r="DM50" s="290"/>
      <c r="DN50" s="290"/>
      <c r="DO50" s="290"/>
      <c r="DP50" s="290"/>
      <c r="DQ50" s="84"/>
      <c r="DR50" s="290"/>
      <c r="DS50" s="290"/>
      <c r="DT50" s="290"/>
      <c r="DU50" s="290"/>
      <c r="DV50" s="119"/>
      <c r="DW50" s="290"/>
      <c r="DX50" s="290"/>
      <c r="DY50" s="290"/>
      <c r="DZ50" s="290"/>
      <c r="EA50" s="119">
        <f>(EA37+EA42)/EA48</f>
      </c>
      <c r="EB50" s="290"/>
      <c r="EC50" s="290"/>
      <c r="ED50" s="290"/>
      <c r="EE50" s="290"/>
      <c r="EF50" s="84"/>
      <c r="EG50" s="290"/>
      <c r="EH50" s="290"/>
      <c r="EI50" s="290"/>
      <c r="EJ50" s="290"/>
      <c r="EK50" s="84"/>
      <c r="EL50" s="290"/>
      <c r="EM50" s="290"/>
      <c r="EN50" s="290"/>
      <c r="EO50" s="290"/>
      <c r="EP50" s="84"/>
      <c r="EQ50" s="121"/>
      <c r="ER50" s="290"/>
      <c r="ES50" s="290"/>
      <c r="ET50" s="290"/>
      <c r="EU50" s="84"/>
      <c r="EV50" s="121"/>
      <c r="EW50" s="290"/>
      <c r="EX50" s="290"/>
      <c r="EY50" s="290"/>
      <c r="EZ50" s="84"/>
      <c r="FA50" s="84"/>
      <c r="FB50" s="461"/>
      <c r="FC50" s="461"/>
      <c r="FL50" s="111"/>
      <c r="FM50" s="111"/>
    </row>
    <row r="51" spans="1:169" s="105" customFormat="1" hidden="1">
      <c r="A51" s="106" t="s">
        <v>376</v>
      </c>
      <c r="B51" s="465">
        <f>B37/B48</f>
      </c>
      <c r="C51" s="465">
        <f>C37/C48</f>
      </c>
      <c r="D51" s="465">
        <f>D37/D48</f>
      </c>
      <c r="E51" s="465">
        <f>E37/E48</f>
      </c>
      <c r="F51" s="95"/>
      <c r="G51" s="465">
        <f>G37/G48</f>
      </c>
      <c r="H51" s="465">
        <f>H37/H48</f>
      </c>
      <c r="I51" s="465">
        <f>I37/I48</f>
      </c>
      <c r="J51" s="465">
        <f>J37/J48</f>
      </c>
      <c r="K51" s="95"/>
      <c r="L51" s="465">
        <f>L37/L48</f>
      </c>
      <c r="M51" s="465">
        <f>M37/M48</f>
      </c>
      <c r="N51" s="465">
        <f>N37/N48</f>
      </c>
      <c r="O51" s="465">
        <f>O37/O48</f>
      </c>
      <c r="P51" s="95"/>
      <c r="Q51" s="465">
        <f>Q37/Q48</f>
      </c>
      <c r="R51" s="465">
        <f>R37/R48</f>
      </c>
      <c r="S51" s="465">
        <f>S37/S48</f>
      </c>
      <c r="T51" s="465">
        <f>T37/T48</f>
      </c>
      <c r="U51" s="95"/>
      <c r="V51" s="465">
        <f>V37/V48</f>
      </c>
      <c r="W51" s="465">
        <f>W37/W48</f>
      </c>
      <c r="X51" s="465">
        <f>X37/X48</f>
      </c>
      <c r="Y51" s="465">
        <f>Y37/Y48</f>
      </c>
      <c r="Z51" s="95"/>
      <c r="AA51" s="465">
        <f>AA37/AA48</f>
      </c>
      <c r="AB51" s="465">
        <f>AB37/AB48</f>
      </c>
      <c r="AC51" s="465">
        <f>AC37/AC48</f>
      </c>
      <c r="AD51" s="465">
        <f>AD37/AD48</f>
      </c>
      <c r="AE51" s="95"/>
      <c r="AF51" s="465">
        <f>AF37/AF48</f>
      </c>
      <c r="AG51" s="465">
        <f>AG37/AG48</f>
      </c>
      <c r="AH51" s="465"/>
      <c r="AI51" s="465"/>
      <c r="AJ51" s="95"/>
      <c r="AK51" s="465"/>
      <c r="AL51" s="465"/>
      <c r="AM51" s="465"/>
      <c r="AN51" s="465"/>
      <c r="AO51" s="95"/>
      <c r="AP51" s="465"/>
      <c r="AQ51" s="465"/>
      <c r="AR51" s="465"/>
      <c r="AS51" s="465"/>
      <c r="AT51" s="95"/>
      <c r="AU51" s="465"/>
      <c r="AV51" s="465"/>
      <c r="AW51" s="465"/>
      <c r="AX51" s="465"/>
      <c r="AY51" s="95"/>
      <c r="AZ51" s="465"/>
      <c r="BA51" s="465"/>
      <c r="BB51" s="465"/>
      <c r="BC51" s="465"/>
      <c r="BD51" s="95"/>
      <c r="BE51" s="465"/>
      <c r="BF51" s="465"/>
      <c r="BG51" s="465"/>
      <c r="BH51" s="465"/>
      <c r="BI51" s="95"/>
      <c r="BJ51" s="465"/>
      <c r="BK51" s="465"/>
      <c r="BL51" s="465"/>
      <c r="BM51" s="465"/>
      <c r="BN51" s="95"/>
      <c r="BO51" s="465"/>
      <c r="BP51" s="465"/>
      <c r="BQ51" s="465"/>
      <c r="BR51" s="465"/>
      <c r="BS51" s="95"/>
      <c r="BT51" s="465"/>
      <c r="BU51" s="465"/>
      <c r="BV51" s="465"/>
      <c r="BW51" s="465"/>
      <c r="BX51" s="95"/>
      <c r="BY51" s="465"/>
      <c r="BZ51" s="465"/>
      <c r="CA51" s="465"/>
      <c r="CB51" s="465"/>
      <c r="CC51" s="95"/>
      <c r="CD51" s="465"/>
      <c r="CE51" s="465"/>
      <c r="CF51" s="465"/>
      <c r="CG51" s="465"/>
      <c r="CH51" s="95"/>
      <c r="CI51" s="465"/>
      <c r="CJ51" s="465"/>
      <c r="CK51" s="465"/>
      <c r="CL51" s="465"/>
      <c r="CM51" s="95"/>
      <c r="CN51" s="465"/>
      <c r="CO51" s="465"/>
      <c r="CP51" s="465"/>
      <c r="CQ51" s="465"/>
      <c r="CR51" s="95"/>
      <c r="CS51" s="465"/>
      <c r="CT51" s="465"/>
      <c r="CU51" s="465"/>
      <c r="CV51" s="465"/>
      <c r="CW51" s="95"/>
      <c r="CX51" s="465"/>
      <c r="CY51" s="465"/>
      <c r="CZ51" s="465"/>
      <c r="DA51" s="465"/>
      <c r="DB51" s="95"/>
      <c r="DC51" s="465"/>
      <c r="DD51" s="465"/>
      <c r="DE51" s="465"/>
      <c r="DF51" s="465"/>
      <c r="DG51" s="95"/>
      <c r="DH51" s="465"/>
      <c r="DI51" s="465"/>
      <c r="DJ51" s="465"/>
      <c r="DK51" s="465"/>
      <c r="DL51" s="95"/>
      <c r="DM51" s="465"/>
      <c r="DN51" s="465"/>
      <c r="DO51" s="465"/>
      <c r="DP51" s="465"/>
      <c r="DQ51" s="95"/>
      <c r="DR51" s="465"/>
      <c r="DS51" s="465"/>
      <c r="DT51" s="465"/>
      <c r="DU51" s="465"/>
      <c r="DV51" s="95"/>
      <c r="DW51" s="465"/>
      <c r="DX51" s="465"/>
      <c r="DY51" s="465"/>
      <c r="DZ51" s="465"/>
      <c r="EA51" s="95"/>
      <c r="EB51" s="465"/>
      <c r="EC51" s="465"/>
      <c r="ED51" s="465"/>
      <c r="EE51" s="465"/>
      <c r="EF51" s="95"/>
      <c r="EG51" s="465"/>
      <c r="EH51" s="465"/>
      <c r="EI51" s="465"/>
      <c r="EJ51" s="465"/>
      <c r="EK51" s="95"/>
      <c r="EL51" s="465"/>
      <c r="EM51" s="465"/>
      <c r="EN51" s="465"/>
      <c r="EO51" s="465"/>
      <c r="EP51" s="95"/>
      <c r="EQ51" s="465"/>
      <c r="ER51" s="465"/>
      <c r="ES51" s="465"/>
      <c r="ET51" s="465"/>
      <c r="EU51" s="95"/>
      <c r="EV51" s="465"/>
      <c r="EW51" s="465"/>
      <c r="EX51" s="465"/>
      <c r="EY51" s="465"/>
      <c r="EZ51" s="95"/>
      <c r="FA51" s="95"/>
      <c r="FL51" s="111"/>
      <c r="FM51" s="111"/>
    </row>
    <row r="52" spans="1:169" s="105" customFormat="1" hidden="1">
      <c r="A52" s="106" t="s">
        <v>377</v>
      </c>
      <c r="B52" s="466" t="e">
        <f>#REF!/#REF!</f>
      </c>
      <c r="C52" s="466" t="e">
        <f>#REF!/#REF!</f>
      </c>
      <c r="D52" s="466" t="e">
        <f>#REF!/#REF!</f>
      </c>
      <c r="E52" s="466" t="e">
        <f>#REF!/#REF!</f>
      </c>
      <c r="F52" s="95"/>
      <c r="G52" s="466" t="e">
        <f>#REF!/#REF!</f>
      </c>
      <c r="H52" s="466" t="e">
        <f>#REF!/#REF!</f>
      </c>
      <c r="I52" s="466" t="e">
        <f>#REF!/#REF!</f>
      </c>
      <c r="J52" s="466" t="e">
        <f>#REF!/#REF!</f>
      </c>
      <c r="K52" s="95"/>
      <c r="L52" s="466" t="e">
        <f>#REF!/#REF!</f>
      </c>
      <c r="M52" s="466" t="e">
        <f>#REF!/#REF!</f>
      </c>
      <c r="N52" s="466" t="e">
        <f>#REF!/#REF!</f>
      </c>
      <c r="O52" s="466" t="e">
        <f>#REF!/#REF!</f>
      </c>
      <c r="P52" s="95"/>
      <c r="Q52" s="466" t="e">
        <f>#REF!/#REF!</f>
      </c>
      <c r="R52" s="466" t="e">
        <f>#REF!/#REF!</f>
      </c>
      <c r="S52" s="466" t="e">
        <f>#REF!/#REF!</f>
      </c>
      <c r="T52" s="466" t="e">
        <f>#REF!/#REF!</f>
      </c>
      <c r="U52" s="95"/>
      <c r="V52" s="466" t="e">
        <f>#REF!/#REF!</f>
      </c>
      <c r="W52" s="466" t="e">
        <f>#REF!/#REF!</f>
      </c>
      <c r="X52" s="466" t="e">
        <f>#REF!/#REF!</f>
      </c>
      <c r="Y52" s="466" t="e">
        <f>#REF!/#REF!</f>
      </c>
      <c r="Z52" s="95"/>
      <c r="AA52" s="466" t="e">
        <f>#REF!/#REF!</f>
      </c>
      <c r="AB52" s="466" t="e">
        <f>#REF!/#REF!</f>
      </c>
      <c r="AC52" s="466" t="e">
        <f>#REF!/#REF!</f>
      </c>
      <c r="AD52" s="466" t="e">
        <f>#REF!/AD48</f>
      </c>
      <c r="AE52" s="95"/>
      <c r="AF52" s="466" t="e">
        <f>#REF!/AF48</f>
      </c>
      <c r="AG52" s="466" t="e">
        <f>#REF!/AG48</f>
      </c>
      <c r="AH52" s="466"/>
      <c r="AI52" s="466"/>
      <c r="AJ52" s="95"/>
      <c r="AK52" s="466"/>
      <c r="AL52" s="466"/>
      <c r="AM52" s="466"/>
      <c r="AN52" s="466"/>
      <c r="AO52" s="95"/>
      <c r="AP52" s="466"/>
      <c r="AQ52" s="466"/>
      <c r="AR52" s="466"/>
      <c r="AS52" s="466"/>
      <c r="AT52" s="95"/>
      <c r="AU52" s="466"/>
      <c r="AV52" s="466"/>
      <c r="AW52" s="466"/>
      <c r="AX52" s="466"/>
      <c r="AY52" s="95"/>
      <c r="AZ52" s="466"/>
      <c r="BA52" s="466"/>
      <c r="BB52" s="466"/>
      <c r="BC52" s="466"/>
      <c r="BD52" s="95"/>
      <c r="BE52" s="466"/>
      <c r="BF52" s="466"/>
      <c r="BG52" s="466"/>
      <c r="BH52" s="466"/>
      <c r="BI52" s="95"/>
      <c r="BJ52" s="466"/>
      <c r="BK52" s="466"/>
      <c r="BL52" s="466"/>
      <c r="BM52" s="466"/>
      <c r="BN52" s="95"/>
      <c r="BO52" s="466"/>
      <c r="BP52" s="466"/>
      <c r="BQ52" s="466"/>
      <c r="BR52" s="466"/>
      <c r="BS52" s="95"/>
      <c r="BT52" s="466"/>
      <c r="BU52" s="466"/>
      <c r="BV52" s="466"/>
      <c r="BW52" s="466"/>
      <c r="BX52" s="95"/>
      <c r="BY52" s="466"/>
      <c r="BZ52" s="466"/>
      <c r="CA52" s="466"/>
      <c r="CB52" s="466"/>
      <c r="CC52" s="95"/>
      <c r="CD52" s="466"/>
      <c r="CE52" s="466"/>
      <c r="CF52" s="466"/>
      <c r="CG52" s="466"/>
      <c r="CH52" s="95"/>
      <c r="CI52" s="466"/>
      <c r="CJ52" s="466"/>
      <c r="CK52" s="466"/>
      <c r="CL52" s="466"/>
      <c r="CM52" s="95"/>
      <c r="CN52" s="466"/>
      <c r="CO52" s="466"/>
      <c r="CP52" s="466"/>
      <c r="CQ52" s="466"/>
      <c r="CR52" s="95"/>
      <c r="CS52" s="466"/>
      <c r="CT52" s="466"/>
      <c r="CU52" s="466"/>
      <c r="CV52" s="466"/>
      <c r="CW52" s="95"/>
      <c r="CX52" s="466"/>
      <c r="CY52" s="466"/>
      <c r="CZ52" s="466"/>
      <c r="DA52" s="466"/>
      <c r="DB52" s="95"/>
      <c r="DC52" s="466"/>
      <c r="DD52" s="466"/>
      <c r="DE52" s="466"/>
      <c r="DF52" s="466"/>
      <c r="DG52" s="95"/>
      <c r="DH52" s="466"/>
      <c r="DI52" s="466"/>
      <c r="DJ52" s="466"/>
      <c r="DK52" s="466"/>
      <c r="DL52" s="95"/>
      <c r="DM52" s="466"/>
      <c r="DN52" s="466"/>
      <c r="DO52" s="466"/>
      <c r="DP52" s="466"/>
      <c r="DQ52" s="95"/>
      <c r="DR52" s="466"/>
      <c r="DS52" s="466"/>
      <c r="DT52" s="466"/>
      <c r="DU52" s="466"/>
      <c r="DV52" s="95"/>
      <c r="DW52" s="466"/>
      <c r="DX52" s="466"/>
      <c r="DY52" s="466"/>
      <c r="DZ52" s="466"/>
      <c r="EA52" s="95"/>
      <c r="EB52" s="466"/>
      <c r="EC52" s="466"/>
      <c r="ED52" s="466"/>
      <c r="EE52" s="466"/>
      <c r="EF52" s="95"/>
      <c r="EG52" s="466"/>
      <c r="EH52" s="466"/>
      <c r="EI52" s="466"/>
      <c r="EJ52" s="466"/>
      <c r="EK52" s="95"/>
      <c r="EL52" s="466"/>
      <c r="EM52" s="466"/>
      <c r="EN52" s="466"/>
      <c r="EO52" s="466"/>
      <c r="EP52" s="95"/>
      <c r="EQ52" s="466"/>
      <c r="ER52" s="466"/>
      <c r="ES52" s="466"/>
      <c r="ET52" s="466"/>
      <c r="EU52" s="95"/>
      <c r="EV52" s="466"/>
      <c r="EW52" s="466"/>
      <c r="EX52" s="466"/>
      <c r="EY52" s="466"/>
      <c r="EZ52" s="95"/>
      <c r="FA52" s="95"/>
      <c r="FL52" s="111"/>
      <c r="FM52" s="111"/>
    </row>
    <row r="53" spans="1:169">
      <c r="A53" s="83" t="s">
        <v>378</v>
      </c>
      <c r="B53" s="467">
        <v>-7.7305356156819448E-3</v>
      </c>
      <c r="C53" s="467">
        <v>-8.3155846546238612E-3</v>
      </c>
      <c r="D53" s="467">
        <v>-1.6907259866950644E-2</v>
      </c>
      <c r="E53" s="467">
        <v>9.360784623070665E-3</v>
      </c>
      <c r="F53" s="122">
        <f>(F37+F42)/F48</f>
      </c>
      <c r="G53" s="467">
        <v>-6.016783348655198E-3</v>
      </c>
      <c r="H53" s="467">
        <v>-5.6851380642729245E-2</v>
      </c>
      <c r="I53" s="467">
        <v>2.1425913924293678E-2</v>
      </c>
      <c r="J53" s="467">
        <v>2.2137854517717239E-2</v>
      </c>
      <c r="K53" s="122">
        <f>(K37+K42)/K48</f>
      </c>
      <c r="L53" s="467">
        <v>1.4716252044903266E-2</v>
      </c>
      <c r="M53" s="467">
        <v>1.6633761105626844E-2</v>
      </c>
      <c r="N53" s="467">
        <v>3.0217639364337204E-2</v>
      </c>
      <c r="O53" s="467">
        <v>3.2382626294905618E-2</v>
      </c>
      <c r="P53" s="122">
        <f>(P37+P42)/P48</f>
      </c>
      <c r="Q53" s="467">
        <v>3.1489195745155012E-2</v>
      </c>
      <c r="R53" s="467">
        <v>4.9561563526111227E-2</v>
      </c>
      <c r="S53" s="467">
        <v>5.8163028889853856E-2</v>
      </c>
      <c r="T53" s="467">
        <v>6.5559346899751819E-2</v>
      </c>
      <c r="U53" s="122">
        <f>(U37+U42)/U48</f>
      </c>
      <c r="V53" s="467">
        <v>6.7841201449109184E-2</v>
      </c>
      <c r="W53" s="467">
        <v>7.1674632907031854E-2</v>
      </c>
      <c r="X53" s="467">
        <v>9.4497891188045705E-2</v>
      </c>
      <c r="Y53" s="467">
        <v>0.14448381575730213</v>
      </c>
      <c r="Z53" s="122">
        <f>(Z37+Z42)/Z48</f>
      </c>
      <c r="AA53" s="467">
        <v>8.4915197009989438E-2</v>
      </c>
      <c r="AB53" s="467">
        <v>3.9410637751575196E-2</v>
      </c>
      <c r="AC53" s="467">
        <v>1.003554790710609E-2</v>
      </c>
      <c r="AD53" s="467" t="e">
        <f>MIN(AD51:AD52)</f>
      </c>
      <c r="AE53" s="122">
        <f>(AE37+AE42)/AE48</f>
      </c>
      <c r="AF53" s="467" t="e">
        <f>MIN(AF51:AF52)</f>
      </c>
      <c r="AG53" s="467" t="e">
        <f>MIN(AG51:AG52)</f>
      </c>
      <c r="AH53" s="467">
        <f>AH37/AH48</f>
      </c>
      <c r="AI53" s="467">
        <f>AI37/AI48</f>
      </c>
      <c r="AJ53" s="122">
        <f>(AJ37+AJ42)/AJ48</f>
      </c>
      <c r="AK53" s="467">
        <f>AK37/AK48</f>
      </c>
      <c r="AL53" s="467">
        <f>AL37/AL48</f>
      </c>
      <c r="AM53" s="467">
        <f>AM37/AM48</f>
      </c>
      <c r="AN53" s="467">
        <f>AN37/AN48</f>
      </c>
      <c r="AO53" s="122">
        <f>(AO37+AO42)/AO48</f>
      </c>
      <c r="AP53" s="467">
        <f>AP37/AP48</f>
      </c>
      <c r="AQ53" s="467">
        <f>AQ37/AQ48</f>
      </c>
      <c r="AR53" s="467">
        <f>AR37/AR48</f>
      </c>
      <c r="AS53" s="467">
        <f>AS37/AS48</f>
      </c>
      <c r="AT53" s="122">
        <f>(AT37+AT42)/AT48</f>
      </c>
      <c r="AU53" s="467">
        <f>(AU37+AU42)/AU48</f>
      </c>
      <c r="AV53" s="467">
        <f>(AV37+AV42)/AV48</f>
      </c>
      <c r="AW53" s="467">
        <f>(AW37+AW42)/(384.826*1.5)</f>
      </c>
      <c r="AX53" s="467">
        <f>(AX37+AX42)/(391.514*1.5)</f>
      </c>
      <c r="AY53" s="122">
        <f>(AY37+AY42)/AY48</f>
      </c>
      <c r="AZ53" s="467">
        <f>(AZ37+AZ42)/(387.397*1.5)</f>
      </c>
      <c r="BA53" s="467">
        <f>(BA37+BA42)/(392.165*1.5)</f>
      </c>
      <c r="BB53" s="467">
        <f>(BB37+BB42)/595.058</f>
      </c>
      <c r="BC53" s="467">
        <f>(BC37+BC42)/593.336</f>
      </c>
      <c r="BD53" s="122">
        <f t="shared" ref="BD53:DE53" si="45">(BD37+BD42)/BD48</f>
      </c>
      <c r="BE53" s="467">
        <f t="shared" si="45"/>
      </c>
      <c r="BF53" s="467">
        <f t="shared" si="45"/>
      </c>
      <c r="BG53" s="467">
        <f t="shared" si="45"/>
      </c>
      <c r="BH53" s="467">
        <f t="shared" si="45"/>
      </c>
      <c r="BI53" s="122">
        <f t="shared" si="45"/>
      </c>
      <c r="BJ53" s="467">
        <f t="shared" si="45"/>
      </c>
      <c r="BK53" s="467">
        <f t="shared" si="45"/>
      </c>
      <c r="BL53" s="467">
        <f t="shared" si="45"/>
      </c>
      <c r="BM53" s="467">
        <f t="shared" si="45"/>
      </c>
      <c r="BN53" s="122">
        <f t="shared" si="45"/>
      </c>
      <c r="BO53" s="467">
        <f t="shared" si="45"/>
      </c>
      <c r="BP53" s="467">
        <f t="shared" si="45"/>
      </c>
      <c r="BQ53" s="467">
        <f t="shared" si="45"/>
      </c>
      <c r="BR53" s="467">
        <f t="shared" si="45"/>
      </c>
      <c r="BS53" s="122">
        <f t="shared" si="45"/>
      </c>
      <c r="BT53" s="467">
        <f t="shared" si="45"/>
      </c>
      <c r="BU53" s="467">
        <f t="shared" si="45"/>
      </c>
      <c r="BV53" s="467">
        <f t="shared" si="45"/>
      </c>
      <c r="BW53" s="467">
        <f t="shared" si="45"/>
      </c>
      <c r="BX53" s="122">
        <f t="shared" si="45"/>
      </c>
      <c r="BY53" s="467">
        <f t="shared" si="45"/>
      </c>
      <c r="BZ53" s="467">
        <f t="shared" si="45"/>
      </c>
      <c r="CA53" s="467">
        <f t="shared" si="45"/>
      </c>
      <c r="CB53" s="467">
        <f t="shared" si="45"/>
      </c>
      <c r="CC53" s="122">
        <f t="shared" si="45"/>
      </c>
      <c r="CD53" s="467">
        <f t="shared" si="45"/>
      </c>
      <c r="CE53" s="467">
        <f t="shared" si="45"/>
      </c>
      <c r="CF53" s="467">
        <f t="shared" si="45"/>
      </c>
      <c r="CG53" s="467">
        <f t="shared" si="45"/>
      </c>
      <c r="CH53" s="122">
        <f t="shared" si="45"/>
      </c>
      <c r="CI53" s="467">
        <f t="shared" si="45"/>
      </c>
      <c r="CJ53" s="467">
        <f t="shared" si="45"/>
      </c>
      <c r="CK53" s="467">
        <f t="shared" si="45"/>
      </c>
      <c r="CL53" s="467">
        <f t="shared" si="45"/>
      </c>
      <c r="CM53" s="122">
        <f t="shared" si="45"/>
      </c>
      <c r="CN53" s="467">
        <f t="shared" si="45"/>
      </c>
      <c r="CO53" s="467">
        <f t="shared" si="45"/>
      </c>
      <c r="CP53" s="467">
        <f t="shared" si="45"/>
      </c>
      <c r="CQ53" s="467">
        <f t="shared" si="45"/>
      </c>
      <c r="CR53" s="122">
        <f t="shared" si="45"/>
      </c>
      <c r="CS53" s="467">
        <f t="shared" si="45"/>
      </c>
      <c r="CT53" s="467">
        <f>(CT37+CT42)/CT48</f>
      </c>
      <c r="CU53" s="467">
        <f t="shared" si="45"/>
      </c>
      <c r="CV53" s="467">
        <f t="shared" si="45"/>
      </c>
      <c r="CW53" s="122">
        <f t="shared" si="45"/>
      </c>
      <c r="CX53" s="467">
        <f t="shared" si="45"/>
      </c>
      <c r="CY53" s="467">
        <f t="shared" si="45"/>
      </c>
      <c r="CZ53" s="467">
        <f t="shared" si="45"/>
      </c>
      <c r="DA53" s="467">
        <f>(DA37+DA42)/DA48</f>
      </c>
      <c r="DB53" s="122">
        <f>SUM(CX53:DA53)</f>
      </c>
      <c r="DC53" s="467">
        <f>(DC37+DC42)/DC48</f>
      </c>
      <c r="DD53" s="467">
        <f>(DD37+DD42)/DD48</f>
      </c>
      <c r="DE53" s="467">
        <f t="shared" si="45"/>
      </c>
      <c r="DF53" s="467">
        <f>(DF37+DF42)/DF48</f>
      </c>
      <c r="DG53" s="122">
        <f>SUM(DC53:DF53)</f>
      </c>
      <c r="DH53" s="467">
        <f t="shared" ref="DH53:DP53" si="46">(DH37+DH42)/DH48</f>
      </c>
      <c r="DI53" s="467">
        <f t="shared" si="46"/>
      </c>
      <c r="DJ53" s="467">
        <f>(DJ37+DJ42)/DJ48</f>
      </c>
      <c r="DK53" s="467">
        <f t="shared" si="46"/>
      </c>
      <c r="DL53" s="122">
        <f>SUM(DH53:DK53)</f>
      </c>
      <c r="DM53" s="467">
        <f t="shared" si="46"/>
      </c>
      <c r="DN53" s="467">
        <f t="shared" si="46"/>
      </c>
      <c r="DO53" s="467">
        <f t="shared" si="46"/>
      </c>
      <c r="DP53" s="467">
        <f t="shared" si="46"/>
      </c>
      <c r="DQ53" s="122">
        <f>SUM(DM53:DP53)</f>
      </c>
      <c r="DR53" s="467">
        <f>(DR37+DR42)/DR48</f>
      </c>
      <c r="DS53" s="467">
        <f>(DS37+DS42)/DS48</f>
      </c>
      <c r="DT53" s="467">
        <f>(DT37+DT42)/DT48</f>
      </c>
      <c r="DU53" s="467">
        <f>(DU37+DU42)/DU48</f>
      </c>
      <c r="DV53" s="122">
        <f>SUM(DR53:DU53)</f>
      </c>
      <c r="DW53" s="467">
        <f>(DW37+DW42)/DW48</f>
      </c>
      <c r="DX53" s="467">
        <f>(DX37+DX42)/DX48</f>
      </c>
      <c r="DY53" s="467">
        <f>(DY37+DY42)/DY48</f>
      </c>
      <c r="DZ53" s="467">
        <f>(DZ37+DZ42)/DZ48</f>
      </c>
      <c r="EA53" s="122">
        <f>SUM(DW53:DZ53)</f>
      </c>
      <c r="EB53" s="467">
        <f>(EB37+EB42)/EB48</f>
      </c>
      <c r="EC53" s="467">
        <f>(EC37+EC42)/EC48</f>
      </c>
      <c r="ED53" s="467">
        <f>(ED37+ED42)/ED48</f>
      </c>
      <c r="EE53" s="467">
        <f>(EE37+EE42)/EE48</f>
      </c>
      <c r="EF53" s="122">
        <f>SUM(EB53:EE53)</f>
      </c>
      <c r="EG53" s="467">
        <f>(EG37+EG42)/EG48</f>
      </c>
      <c r="EH53" s="467">
        <f>(EH37+EH42)/EH48</f>
      </c>
      <c r="EI53" s="467">
        <f>(EI37+EI42)/EI48</f>
      </c>
      <c r="EJ53" s="467">
        <f>(EJ37+EJ42)/EJ48</f>
      </c>
      <c r="EK53" s="122">
        <f>SUM(EG53:EJ53)</f>
      </c>
      <c r="EL53" s="467">
        <f>(EL37+EL42)/EL48</f>
      </c>
      <c r="EM53" s="467">
        <f>(EM37+EM42)/EM48</f>
      </c>
      <c r="EN53" s="467">
        <f>(EN37+EN42)/EN48</f>
      </c>
      <c r="EO53" s="467">
        <f>(EO37+EO42)/EO48</f>
      </c>
      <c r="EP53" s="122">
        <f>SUM(EL53:EO53)</f>
      </c>
      <c r="EQ53" s="467">
        <f>(EQ37+EQ42)/EQ48</f>
      </c>
      <c r="ER53" s="467">
        <f>(ER37+ER42)/ER48</f>
      </c>
      <c r="ES53" s="467">
        <f>(ES37+ES42)/ES48</f>
      </c>
      <c r="ET53" s="467">
        <f>(ET37+ET42)/ET48</f>
      </c>
      <c r="EU53" s="122">
        <f>SUM(EQ53:ET53)</f>
      </c>
      <c r="EV53" s="467">
        <f>(EV37+EV42)/EV48</f>
      </c>
      <c r="EW53" s="467">
        <f>(EW37+EW42)/EW48</f>
      </c>
      <c r="EX53" s="467">
        <f>(EX37+EX42)/EX48</f>
      </c>
      <c r="EY53" s="467">
        <f>(EY37+EY42)/EY48</f>
      </c>
      <c r="EZ53" s="122">
        <f>SUM(EV53:EY53)</f>
      </c>
      <c r="FA53" s="122"/>
      <c r="FB53" s="466"/>
      <c r="FC53" s="466"/>
      <c r="FD53" s="466"/>
      <c r="FE53" s="466"/>
      <c r="FF53" s="466"/>
      <c r="FG53" s="466"/>
      <c r="FH53" s="466"/>
      <c r="FI53" s="466"/>
      <c r="FJ53" s="466"/>
      <c r="FL53" s="111"/>
      <c r="FM53" s="111"/>
    </row>
    <row r="54" spans="1:169" s="105" customFormat="1">
      <c r="A54" s="83" t="s">
        <v>379</v>
      </c>
      <c r="B54" s="467">
        <f>(B37-B42)/B48</f>
      </c>
      <c r="C54" s="467">
        <f>(C37-C42)/C48</f>
      </c>
      <c r="D54" s="467">
        <f>(D37-D42)/D48</f>
      </c>
      <c r="E54" s="467">
        <f>(E37-E42)/E48</f>
      </c>
      <c r="F54" s="122">
        <f>(F37/F48)</f>
      </c>
      <c r="G54" s="467">
        <f>(G37-G42)/G48</f>
      </c>
      <c r="H54" s="467">
        <f>(H37-H42)/H48</f>
      </c>
      <c r="I54" s="467">
        <f>(I37-I42)/I48</f>
      </c>
      <c r="J54" s="467">
        <f>(J37-J42)/J48</f>
      </c>
      <c r="K54" s="122">
        <f>(K37/K48)</f>
      </c>
      <c r="L54" s="467">
        <f>(L37-L42)/L48</f>
      </c>
      <c r="M54" s="467">
        <f>(M37-M42)/M48</f>
      </c>
      <c r="N54" s="467">
        <f>(N37-N42)/N48</f>
      </c>
      <c r="O54" s="467">
        <f>(O37-O42)/O48</f>
      </c>
      <c r="P54" s="122">
        <f>(P37/P48)</f>
      </c>
      <c r="Q54" s="467">
        <f>(Q37-Q42)/Q48</f>
      </c>
      <c r="R54" s="467">
        <f>(R37-R42)/R48</f>
      </c>
      <c r="S54" s="467">
        <f>(S37-S42)/S48</f>
      </c>
      <c r="T54" s="467">
        <f>(T37-T42)/T48</f>
      </c>
      <c r="U54" s="122">
        <f>(U37/U48)</f>
      </c>
      <c r="V54" s="467">
        <f>(V37-V42)/V48</f>
      </c>
      <c r="W54" s="467">
        <f>(W37-W42)/W48</f>
      </c>
      <c r="X54" s="467">
        <f>(X37-X42)/X48</f>
      </c>
      <c r="Y54" s="467">
        <f>(Y37-Y42)/Y48</f>
      </c>
      <c r="Z54" s="122">
        <f>(Z37/Z48)</f>
      </c>
      <c r="AA54" s="467">
        <f>(AA37-AA42)/AA48</f>
      </c>
      <c r="AB54" s="467">
        <f>(AB37-AB42)/AB48</f>
      </c>
      <c r="AC54" s="467">
        <f>(AC37-AC42)/AC48</f>
      </c>
      <c r="AD54" s="467">
        <f>(AD37-AD42)/AD48</f>
      </c>
      <c r="AE54" s="122">
        <f>(AE37/AE48)</f>
      </c>
      <c r="AF54" s="467">
        <f>(AF37-AF42)/AF48</f>
      </c>
      <c r="AG54" s="467">
        <f>(AG37-AG42)/AG48</f>
      </c>
      <c r="AH54" s="467">
        <f>(AH37-AH42)/AH48</f>
      </c>
      <c r="AI54" s="467">
        <f>(AI37-AI42)/AI48</f>
      </c>
      <c r="AJ54" s="122">
        <f>(AJ37/AJ48)</f>
      </c>
      <c r="AK54" s="467">
        <f>(AK37-AK42)/AK48</f>
      </c>
      <c r="AL54" s="467">
        <f>(AL37-AL42)/AL48</f>
      </c>
      <c r="AM54" s="467">
        <f>(AM37-AM42)/AM48</f>
      </c>
      <c r="AN54" s="467">
        <f>(AN37-AN42)/AN48</f>
      </c>
      <c r="AO54" s="122">
        <f>(AO37/AO48)</f>
      </c>
      <c r="AP54" s="467">
        <f>(AP37-AP42)/AP48</f>
      </c>
      <c r="AQ54" s="467">
        <f>(AQ37-AQ42)/AQ48</f>
      </c>
      <c r="AR54" s="467">
        <f>(AR37-AR42)/AR48</f>
      </c>
      <c r="AS54" s="467">
        <f>(AS37-AS42)/AS48</f>
      </c>
      <c r="AT54" s="122">
        <f t="shared" ref="AT54:DD54" si="47">(AT37/AT48)</f>
      </c>
      <c r="AU54" s="467">
        <f t="shared" si="47"/>
      </c>
      <c r="AV54" s="467">
        <f t="shared" si="47"/>
      </c>
      <c r="AW54" s="467">
        <f t="shared" si="47"/>
      </c>
      <c r="AX54" s="467">
        <f t="shared" si="47"/>
      </c>
      <c r="AY54" s="122">
        <f t="shared" si="47"/>
      </c>
      <c r="AZ54" s="467">
        <f t="shared" si="47"/>
      </c>
      <c r="BA54" s="467">
        <f t="shared" si="47"/>
      </c>
      <c r="BB54" s="467">
        <f t="shared" si="47"/>
      </c>
      <c r="BC54" s="467">
        <f t="shared" si="47"/>
      </c>
      <c r="BD54" s="122">
        <f t="shared" si="47"/>
      </c>
      <c r="BE54" s="467">
        <f t="shared" si="47"/>
      </c>
      <c r="BF54" s="467">
        <f t="shared" si="47"/>
      </c>
      <c r="BG54" s="467">
        <f t="shared" si="47"/>
      </c>
      <c r="BH54" s="467">
        <f t="shared" si="47"/>
      </c>
      <c r="BI54" s="122">
        <f t="shared" si="47"/>
      </c>
      <c r="BJ54" s="467">
        <f t="shared" si="47"/>
      </c>
      <c r="BK54" s="467">
        <f t="shared" si="47"/>
      </c>
      <c r="BL54" s="467">
        <f t="shared" si="47"/>
      </c>
      <c r="BM54" s="467">
        <f t="shared" si="47"/>
      </c>
      <c r="BN54" s="122">
        <f t="shared" si="47"/>
      </c>
      <c r="BO54" s="467">
        <f t="shared" si="47"/>
      </c>
      <c r="BP54" s="467">
        <f t="shared" si="47"/>
      </c>
      <c r="BQ54" s="467">
        <f t="shared" si="47"/>
      </c>
      <c r="BR54" s="467">
        <f t="shared" si="47"/>
      </c>
      <c r="BS54" s="122">
        <f t="shared" si="47"/>
      </c>
      <c r="BT54" s="467">
        <f t="shared" si="47"/>
      </c>
      <c r="BU54" s="467">
        <f t="shared" si="47"/>
      </c>
      <c r="BV54" s="467">
        <f t="shared" si="47"/>
      </c>
      <c r="BW54" s="467">
        <f t="shared" si="47"/>
      </c>
      <c r="BX54" s="122">
        <f t="shared" si="47"/>
      </c>
      <c r="BY54" s="467">
        <f t="shared" si="47"/>
      </c>
      <c r="BZ54" s="467">
        <f t="shared" si="47"/>
      </c>
      <c r="CA54" s="467">
        <f t="shared" si="47"/>
      </c>
      <c r="CB54" s="467">
        <f t="shared" si="47"/>
      </c>
      <c r="CC54" s="122">
        <f t="shared" si="47"/>
      </c>
      <c r="CD54" s="467">
        <f t="shared" si="47"/>
      </c>
      <c r="CE54" s="467">
        <f t="shared" si="47"/>
      </c>
      <c r="CF54" s="467">
        <f t="shared" si="47"/>
      </c>
      <c r="CG54" s="467">
        <f t="shared" si="47"/>
      </c>
      <c r="CH54" s="122">
        <f>SUM(CD54:CG54)</f>
      </c>
      <c r="CI54" s="467">
        <f t="shared" si="47"/>
      </c>
      <c r="CJ54" s="467">
        <f t="shared" si="47"/>
      </c>
      <c r="CK54" s="467">
        <f t="shared" si="47"/>
      </c>
      <c r="CL54" s="467">
        <f t="shared" si="47"/>
      </c>
      <c r="CM54" s="122">
        <f>SUM(CI54:CL54)</f>
      </c>
      <c r="CN54" s="467">
        <f t="shared" si="47"/>
      </c>
      <c r="CO54" s="467">
        <f t="shared" si="47"/>
      </c>
      <c r="CP54" s="467">
        <f t="shared" si="47"/>
      </c>
      <c r="CQ54" s="467">
        <f t="shared" si="47"/>
      </c>
      <c r="CR54" s="122">
        <f>SUM(CN54:CQ54)</f>
      </c>
      <c r="CS54" s="467">
        <f t="shared" si="47"/>
      </c>
      <c r="CT54" s="467">
        <f t="shared" si="47"/>
      </c>
      <c r="CU54" s="467">
        <f t="shared" si="47"/>
      </c>
      <c r="CV54" s="467">
        <f t="shared" si="47"/>
      </c>
      <c r="CW54" s="122">
        <f>SUM(CS54:CV54)</f>
      </c>
      <c r="CX54" s="467">
        <f>(CX37/CX48)</f>
      </c>
      <c r="CY54" s="467">
        <f t="shared" si="47"/>
      </c>
      <c r="CZ54" s="467">
        <f t="shared" si="47"/>
      </c>
      <c r="DA54" s="467">
        <f t="shared" si="47"/>
      </c>
      <c r="DB54" s="122">
        <f>SUM(CX54:DA54)</f>
      </c>
      <c r="DC54" s="467">
        <f t="shared" si="47"/>
      </c>
      <c r="DD54" s="467">
        <f t="shared" si="47"/>
      </c>
      <c r="DE54" s="467">
        <f>(DE37/DE48)</f>
      </c>
      <c r="DF54" s="467">
        <f>(DF37/DF48)</f>
      </c>
      <c r="DG54" s="122">
        <f>SUM(DC54:DF54)</f>
      </c>
      <c r="DH54" s="467">
        <f t="shared" ref="DH54:DP54" si="48">(DH37/DH48)</f>
      </c>
      <c r="DI54" s="467">
        <f t="shared" si="48"/>
      </c>
      <c r="DJ54" s="467">
        <f t="shared" si="48"/>
      </c>
      <c r="DK54" s="467">
        <f>(DK37/DK48)</f>
      </c>
      <c r="DL54" s="122">
        <f>SUM(DH54:DK54)</f>
      </c>
      <c r="DM54" s="467">
        <f t="shared" si="48"/>
      </c>
      <c r="DN54" s="467">
        <f t="shared" si="48"/>
      </c>
      <c r="DO54" s="467">
        <f t="shared" si="48"/>
      </c>
      <c r="DP54" s="467">
        <f t="shared" si="48"/>
      </c>
      <c r="DQ54" s="122">
        <f>SUM(DM54:DP54)</f>
      </c>
      <c r="DR54" s="467">
        <f>(DR37/DR48)</f>
      </c>
      <c r="DS54" s="467">
        <f>(DS37/DS48)</f>
      </c>
      <c r="DT54" s="467">
        <f>(DT37/DT48)</f>
      </c>
      <c r="DU54" s="467">
        <f>(DU37/DU48)</f>
      </c>
      <c r="DV54" s="122">
        <f>SUM(DR54:DU54)</f>
      </c>
      <c r="DW54" s="467">
        <f>(DW37/DW48)</f>
      </c>
      <c r="DX54" s="467">
        <f>(DX37/DX48)</f>
      </c>
      <c r="DY54" s="467">
        <f>(DY37/DY48)</f>
      </c>
      <c r="DZ54" s="467">
        <f>(DZ37/DZ48)</f>
      </c>
      <c r="EA54" s="122">
        <f>SUM(DW54:DZ54)</f>
      </c>
      <c r="EB54" s="467">
        <f>(EB37/EB48)</f>
      </c>
      <c r="EC54" s="467">
        <f>(EC37/EC48)</f>
      </c>
      <c r="ED54" s="467">
        <f>(ED37/ED48)</f>
      </c>
      <c r="EE54" s="467">
        <f>(EE37/EE48)</f>
      </c>
      <c r="EF54" s="122">
        <f>SUM(EB54:EE54)</f>
      </c>
      <c r="EG54" s="467">
        <f>(EG37/EG48)</f>
      </c>
      <c r="EH54" s="467">
        <f>(EH37/EH48)</f>
      </c>
      <c r="EI54" s="467">
        <f>(EI37/EI48)</f>
      </c>
      <c r="EJ54" s="467">
        <f>(EJ37/EJ48)</f>
      </c>
      <c r="EK54" s="122">
        <f>SUM(EG54:EJ54)</f>
      </c>
      <c r="EL54" s="467">
        <f>(EL37/EL48)</f>
      </c>
      <c r="EM54" s="467">
        <f>(EM37/EM48)</f>
      </c>
      <c r="EN54" s="467">
        <f>(EN37/EN48)</f>
      </c>
      <c r="EO54" s="467">
        <f>(EO37/EO48)</f>
      </c>
      <c r="EP54" s="122">
        <f>SUM(EL54:EO54)</f>
      </c>
      <c r="EQ54" s="467">
        <f>(EQ37/EQ48)</f>
      </c>
      <c r="ER54" s="467">
        <f>(ER37/ER48)</f>
      </c>
      <c r="ES54" s="467">
        <f>(ES37/ES48)</f>
      </c>
      <c r="ET54" s="467">
        <f>(ET37/ET48)</f>
      </c>
      <c r="EU54" s="122">
        <f>SUM(EQ54:ET54)</f>
      </c>
      <c r="EV54" s="467">
        <f>(EV37/EV48)</f>
      </c>
      <c r="EW54" s="467">
        <f>(EW37/EW48)</f>
      </c>
      <c r="EX54" s="467">
        <f>(EX37/EX48)</f>
      </c>
      <c r="EY54" s="467">
        <f>(EY37/EY48)</f>
      </c>
      <c r="EZ54" s="122">
        <f>SUM(EV54:EY54)</f>
      </c>
      <c r="FA54" s="122"/>
      <c r="FB54" s="223"/>
      <c r="FC54" s="223"/>
      <c r="FD54" s="223"/>
      <c r="FE54" s="223"/>
      <c r="FF54" s="223"/>
      <c r="FG54" s="223"/>
      <c r="FH54" s="223"/>
      <c r="FI54" s="223"/>
      <c r="FJ54" s="223"/>
      <c r="FL54" s="111"/>
      <c r="FM54" s="111"/>
    </row>
    <row r="55" spans="1:169" s="473" customFormat="1">
      <c r="A55" s="423"/>
      <c r="B55" s="468"/>
      <c r="C55" s="468"/>
      <c r="D55" s="468"/>
      <c r="E55" s="468"/>
      <c r="F55" s="469"/>
      <c r="G55" s="468"/>
      <c r="H55" s="468"/>
      <c r="I55" s="468"/>
      <c r="J55" s="468"/>
      <c r="K55" s="469"/>
      <c r="L55" s="468"/>
      <c r="M55" s="468"/>
      <c r="N55" s="468"/>
      <c r="O55" s="468"/>
      <c r="P55" s="469"/>
      <c r="Q55" s="468"/>
      <c r="R55" s="468"/>
      <c r="S55" s="468"/>
      <c r="T55" s="468"/>
      <c r="U55" s="469"/>
      <c r="V55" s="468"/>
      <c r="W55" s="468"/>
      <c r="X55" s="468"/>
      <c r="Y55" s="468"/>
      <c r="Z55" s="469"/>
      <c r="AA55" s="468"/>
      <c r="AB55" s="468"/>
      <c r="AC55" s="468"/>
      <c r="AD55" s="468"/>
      <c r="AE55" s="469"/>
      <c r="AF55" s="468"/>
      <c r="AG55" s="468"/>
      <c r="AH55" s="468"/>
      <c r="AI55" s="468"/>
      <c r="AJ55" s="469"/>
      <c r="AK55" s="468"/>
      <c r="AL55" s="468"/>
      <c r="AM55" s="468"/>
      <c r="AN55" s="468"/>
      <c r="AO55" s="469"/>
      <c r="AP55" s="468"/>
      <c r="AQ55" s="468"/>
      <c r="AR55" s="468"/>
      <c r="AS55" s="468"/>
      <c r="AT55" s="469"/>
      <c r="AU55" s="468"/>
      <c r="AV55" s="468"/>
      <c r="AW55" s="468"/>
      <c r="AX55" s="468"/>
      <c r="AY55" s="469"/>
      <c r="AZ55" s="468"/>
      <c r="BA55" s="468"/>
      <c r="BB55" s="468"/>
      <c r="BC55" s="468"/>
      <c r="BD55" s="469"/>
      <c r="BE55" s="468"/>
      <c r="BF55" s="468"/>
      <c r="BG55" s="468"/>
      <c r="BH55" s="468"/>
      <c r="BI55" s="469"/>
      <c r="BJ55" s="468"/>
      <c r="BK55" s="468"/>
      <c r="BL55" s="468"/>
      <c r="BM55" s="468"/>
      <c r="BN55" s="469"/>
      <c r="BO55" s="468"/>
      <c r="BP55" s="468"/>
      <c r="BQ55" s="468"/>
      <c r="BR55" s="468"/>
      <c r="BS55" s="469"/>
      <c r="BT55" s="468"/>
      <c r="BU55" s="468"/>
      <c r="BV55" s="468"/>
      <c r="BW55" s="468"/>
      <c r="BX55" s="469"/>
      <c r="BY55" s="468"/>
      <c r="BZ55" s="468"/>
      <c r="CA55" s="468"/>
      <c r="CB55" s="470"/>
      <c r="CC55" s="471"/>
      <c r="CD55" s="472"/>
      <c r="CE55" s="472"/>
      <c r="CF55" s="472"/>
      <c r="CG55" s="472"/>
      <c r="CH55" s="471"/>
      <c r="CI55" s="472"/>
      <c r="CJ55" s="472"/>
      <c r="CK55" s="472"/>
      <c r="CL55" s="472"/>
      <c r="CM55" s="471"/>
      <c r="CN55" s="472"/>
      <c r="CO55" s="472"/>
      <c r="CP55" s="472"/>
      <c r="CQ55" s="472"/>
      <c r="CR55" s="471"/>
      <c r="CS55" s="472"/>
      <c r="CT55" s="472"/>
      <c r="CU55" s="472"/>
      <c r="CV55" s="472"/>
      <c r="CW55" s="471"/>
      <c r="CX55" s="472"/>
      <c r="CY55" s="472"/>
      <c r="CZ55" s="472"/>
      <c r="DA55" s="472"/>
      <c r="DB55" s="471"/>
      <c r="DC55" s="472"/>
      <c r="DD55" s="472"/>
      <c r="DE55" s="472"/>
      <c r="DF55" s="472"/>
      <c r="DG55" s="471"/>
      <c r="DH55" s="472"/>
      <c r="DI55" s="472"/>
      <c r="DJ55" s="472"/>
      <c r="DK55" s="472"/>
      <c r="DL55" s="471"/>
      <c r="DM55" s="472"/>
      <c r="DN55" s="472"/>
      <c r="DO55" s="472"/>
      <c r="DP55" s="472"/>
      <c r="DQ55" s="471"/>
      <c r="DR55" s="472"/>
      <c r="DS55" s="472"/>
      <c r="DT55" s="472"/>
      <c r="DU55" s="472"/>
      <c r="DV55" s="472"/>
      <c r="DW55" s="472"/>
      <c r="DX55" s="472"/>
      <c r="DY55" s="472"/>
      <c r="DZ55" s="472"/>
      <c r="EA55" s="472"/>
      <c r="EB55" s="472"/>
      <c r="EC55" s="472"/>
      <c r="ED55" s="472"/>
      <c r="EE55" s="472"/>
      <c r="EF55" s="472"/>
      <c r="EG55" s="472"/>
      <c r="EH55" s="472"/>
      <c r="EI55" s="472"/>
      <c r="EJ55" s="472"/>
      <c r="EK55" s="472"/>
      <c r="EL55" s="472"/>
      <c r="EM55" s="472"/>
      <c r="EN55" s="472"/>
      <c r="EO55" s="472"/>
      <c r="EP55" s="472"/>
      <c r="EQ55" s="472"/>
      <c r="ER55" s="472"/>
      <c r="ES55" s="472"/>
      <c r="ET55" s="472"/>
      <c r="EU55" s="472"/>
      <c r="EV55" s="472"/>
      <c r="EW55" s="472"/>
      <c r="EX55" s="472"/>
      <c r="EY55" s="472"/>
      <c r="EZ55" s="472"/>
      <c r="FA55" s="472"/>
      <c r="FB55" s="472"/>
      <c r="FL55" s="111"/>
      <c r="FM55" s="111"/>
    </row>
    <row r="56" spans="1:169">
      <c r="A56" s="106" t="s">
        <v>380</v>
      </c>
      <c r="B56" s="442">
        <f t="shared" ref="B56:BM56" si="49">B22+B11</f>
      </c>
      <c r="C56" s="442">
        <f t="shared" si="49"/>
      </c>
      <c r="D56" s="442">
        <f t="shared" si="49"/>
      </c>
      <c r="E56" s="442">
        <f t="shared" si="49"/>
      </c>
      <c r="F56" s="443">
        <f t="shared" si="49"/>
      </c>
      <c r="G56" s="442">
        <f t="shared" si="49"/>
      </c>
      <c r="H56" s="442">
        <f t="shared" si="49"/>
      </c>
      <c r="I56" s="442">
        <f t="shared" si="49"/>
      </c>
      <c r="J56" s="442">
        <f t="shared" si="49"/>
      </c>
      <c r="K56" s="443">
        <f t="shared" si="49"/>
      </c>
      <c r="L56" s="442">
        <f t="shared" si="49"/>
      </c>
      <c r="M56" s="442">
        <f t="shared" si="49"/>
      </c>
      <c r="N56" s="442">
        <f t="shared" si="49"/>
      </c>
      <c r="O56" s="442">
        <f t="shared" si="49"/>
      </c>
      <c r="P56" s="443">
        <f t="shared" si="49"/>
      </c>
      <c r="Q56" s="442">
        <f t="shared" si="49"/>
      </c>
      <c r="R56" s="442">
        <f t="shared" si="49"/>
      </c>
      <c r="S56" s="442">
        <f t="shared" si="49"/>
      </c>
      <c r="T56" s="442">
        <f t="shared" si="49"/>
      </c>
      <c r="U56" s="443">
        <f t="shared" si="49"/>
      </c>
      <c r="V56" s="442">
        <f t="shared" si="49"/>
      </c>
      <c r="W56" s="442">
        <f t="shared" si="49"/>
      </c>
      <c r="X56" s="442">
        <f t="shared" si="49"/>
      </c>
      <c r="Y56" s="442">
        <f t="shared" si="49"/>
      </c>
      <c r="Z56" s="443">
        <f t="shared" si="49"/>
      </c>
      <c r="AA56" s="442">
        <f t="shared" si="49"/>
      </c>
      <c r="AB56" s="442">
        <f t="shared" si="49"/>
      </c>
      <c r="AC56" s="442">
        <f t="shared" si="49"/>
      </c>
      <c r="AD56" s="442">
        <f t="shared" si="49"/>
      </c>
      <c r="AE56" s="443">
        <f t="shared" si="49"/>
      </c>
      <c r="AF56" s="442">
        <f t="shared" si="49"/>
      </c>
      <c r="AG56" s="442">
        <f t="shared" si="49"/>
      </c>
      <c r="AH56" s="442">
        <f t="shared" si="49"/>
      </c>
      <c r="AI56" s="442">
        <f t="shared" si="49"/>
      </c>
      <c r="AJ56" s="443">
        <f t="shared" si="49"/>
      </c>
      <c r="AK56" s="442">
        <f t="shared" si="49"/>
      </c>
      <c r="AL56" s="442">
        <f t="shared" si="49"/>
      </c>
      <c r="AM56" s="442">
        <f t="shared" si="49"/>
      </c>
      <c r="AN56" s="442">
        <f t="shared" si="49"/>
      </c>
      <c r="AO56" s="443">
        <f t="shared" si="49"/>
      </c>
      <c r="AP56" s="442">
        <f t="shared" si="49"/>
      </c>
      <c r="AQ56" s="442">
        <f t="shared" si="49"/>
      </c>
      <c r="AR56" s="442">
        <f t="shared" si="49"/>
      </c>
      <c r="AS56" s="442">
        <f t="shared" si="49"/>
      </c>
      <c r="AT56" s="443">
        <f t="shared" si="49"/>
      </c>
      <c r="AU56" s="442">
        <f t="shared" si="49"/>
      </c>
      <c r="AV56" s="442">
        <f t="shared" si="49"/>
      </c>
      <c r="AW56" s="442">
        <f t="shared" si="49"/>
      </c>
      <c r="AX56" s="442">
        <f t="shared" si="49"/>
      </c>
      <c r="AY56" s="443">
        <f t="shared" si="49"/>
      </c>
      <c r="AZ56" s="442">
        <f t="shared" si="49"/>
      </c>
      <c r="BA56" s="442">
        <f t="shared" si="49"/>
      </c>
      <c r="BB56" s="442">
        <f t="shared" si="49"/>
      </c>
      <c r="BC56" s="442">
        <f t="shared" si="49"/>
      </c>
      <c r="BD56" s="443">
        <f t="shared" si="49"/>
      </c>
      <c r="BE56" s="442">
        <f t="shared" si="49"/>
      </c>
      <c r="BF56" s="442">
        <f t="shared" si="49"/>
      </c>
      <c r="BG56" s="442">
        <f t="shared" si="49"/>
      </c>
      <c r="BH56" s="442">
        <f t="shared" si="49"/>
      </c>
      <c r="BI56" s="443">
        <f t="shared" si="49"/>
      </c>
      <c r="BJ56" s="442">
        <f t="shared" si="49"/>
      </c>
      <c r="BK56" s="442">
        <f t="shared" si="49"/>
      </c>
      <c r="BL56" s="442">
        <f t="shared" si="49"/>
      </c>
      <c r="BM56" s="442">
        <f t="shared" si="49"/>
      </c>
      <c r="BN56" s="443">
        <f t="shared" ref="BN56:DY56" si="50">BN22+BN11</f>
      </c>
      <c r="BO56" s="442">
        <f t="shared" si="50"/>
      </c>
      <c r="BP56" s="442">
        <f t="shared" si="50"/>
      </c>
      <c r="BQ56" s="442">
        <f t="shared" si="50"/>
      </c>
      <c r="BR56" s="442">
        <f t="shared" si="50"/>
      </c>
      <c r="BS56" s="443">
        <f t="shared" si="50"/>
      </c>
      <c r="BT56" s="442">
        <f t="shared" si="50"/>
      </c>
      <c r="BU56" s="442">
        <f t="shared" si="50"/>
      </c>
      <c r="BV56" s="442">
        <f t="shared" si="50"/>
      </c>
      <c r="BW56" s="442">
        <f t="shared" si="50"/>
      </c>
      <c r="BX56" s="443">
        <f t="shared" si="50"/>
      </c>
      <c r="BY56" s="442">
        <f t="shared" si="50"/>
      </c>
      <c r="BZ56" s="442">
        <f t="shared" si="50"/>
      </c>
      <c r="CA56" s="442">
        <f t="shared" si="50"/>
      </c>
      <c r="CB56" s="442">
        <f t="shared" si="50"/>
      </c>
      <c r="CC56" s="443">
        <f t="shared" si="50"/>
      </c>
      <c r="CD56" s="442">
        <f t="shared" si="50"/>
      </c>
      <c r="CE56" s="442">
        <f t="shared" si="50"/>
      </c>
      <c r="CF56" s="442">
        <f t="shared" si="50"/>
      </c>
      <c r="CG56" s="442">
        <f t="shared" si="50"/>
      </c>
      <c r="CH56" s="443">
        <f t="shared" si="50"/>
      </c>
      <c r="CI56" s="442">
        <f t="shared" si="50"/>
      </c>
      <c r="CJ56" s="442">
        <f t="shared" si="50"/>
      </c>
      <c r="CK56" s="442">
        <f t="shared" si="50"/>
      </c>
      <c r="CL56" s="442">
        <f t="shared" si="50"/>
      </c>
      <c r="CM56" s="443">
        <f t="shared" si="50"/>
      </c>
      <c r="CN56" s="442">
        <f t="shared" si="50"/>
      </c>
      <c r="CO56" s="442">
        <f t="shared" si="50"/>
      </c>
      <c r="CP56" s="442">
        <f t="shared" si="50"/>
      </c>
      <c r="CQ56" s="442">
        <f t="shared" si="50"/>
      </c>
      <c r="CR56" s="443">
        <f t="shared" si="50"/>
      </c>
      <c r="CS56" s="442">
        <f t="shared" si="50"/>
      </c>
      <c r="CT56" s="442">
        <f t="shared" si="50"/>
      </c>
      <c r="CU56" s="442">
        <f t="shared" si="50"/>
      </c>
      <c r="CV56" s="442">
        <f t="shared" si="50"/>
      </c>
      <c r="CW56" s="443">
        <f t="shared" si="50"/>
      </c>
      <c r="CX56" s="442">
        <f t="shared" si="50"/>
      </c>
      <c r="CY56" s="442">
        <f t="shared" si="50"/>
      </c>
      <c r="CZ56" s="442">
        <f t="shared" si="50"/>
      </c>
      <c r="DA56" s="442">
        <f t="shared" si="50"/>
      </c>
      <c r="DB56" s="443">
        <f t="shared" si="50"/>
      </c>
      <c r="DC56" s="442">
        <f t="shared" si="50"/>
      </c>
      <c r="DD56" s="442">
        <f t="shared" si="50"/>
      </c>
      <c r="DE56" s="442">
        <f t="shared" si="50"/>
      </c>
      <c r="DF56" s="442">
        <f t="shared" si="50"/>
      </c>
      <c r="DG56" s="443">
        <f t="shared" si="50"/>
      </c>
      <c r="DH56" s="442">
        <f t="shared" si="50"/>
      </c>
      <c r="DI56" s="442">
        <f t="shared" si="50"/>
      </c>
      <c r="DJ56" s="442">
        <f t="shared" si="50"/>
      </c>
      <c r="DK56" s="442">
        <f t="shared" si="50"/>
      </c>
      <c r="DL56" s="443">
        <f t="shared" si="50"/>
      </c>
      <c r="DM56" s="442">
        <f t="shared" si="50"/>
      </c>
      <c r="DN56" s="442">
        <f t="shared" si="50"/>
      </c>
      <c r="DO56" s="442">
        <f t="shared" si="50"/>
      </c>
      <c r="DP56" s="442">
        <f t="shared" si="50"/>
      </c>
      <c r="DQ56" s="443">
        <f t="shared" si="50"/>
      </c>
      <c r="DR56" s="442">
        <f t="shared" si="50"/>
      </c>
      <c r="DS56" s="442">
        <f t="shared" si="50"/>
      </c>
      <c r="DT56" s="442">
        <f t="shared" si="50"/>
      </c>
      <c r="DU56" s="442">
        <f t="shared" si="50"/>
      </c>
      <c r="DV56" s="443">
        <f t="shared" si="50"/>
      </c>
      <c r="DW56" s="442">
        <f t="shared" si="50"/>
      </c>
      <c r="DX56" s="442">
        <f t="shared" si="50"/>
      </c>
      <c r="DY56" s="442">
        <f t="shared" si="50"/>
      </c>
      <c r="DZ56" s="442">
        <f t="shared" ref="DZ56:EZ56" si="51">DZ22+DZ11</f>
      </c>
      <c r="EA56" s="443">
        <f t="shared" si="51"/>
      </c>
      <c r="EB56" s="442">
        <f t="shared" si="51"/>
      </c>
      <c r="EC56" s="442">
        <f t="shared" si="51"/>
      </c>
      <c r="ED56" s="442">
        <f t="shared" si="51"/>
      </c>
      <c r="EE56" s="442">
        <f>EE22+EE11</f>
      </c>
      <c r="EF56" s="443">
        <f t="shared" si="51"/>
      </c>
      <c r="EG56" s="442">
        <f>EG22+EG11</f>
      </c>
      <c r="EH56" s="442">
        <f>EH22+EH11</f>
      </c>
      <c r="EI56" s="442">
        <f>EI22+EI11</f>
      </c>
      <c r="EJ56" s="442">
        <f>EJ22+EJ11</f>
      </c>
      <c r="EK56" s="443">
        <f t="shared" si="51"/>
      </c>
      <c r="EL56" s="442">
        <f>EL22+EL11</f>
      </c>
      <c r="EM56" s="442">
        <f>EM22+EM11</f>
      </c>
      <c r="EN56" s="442">
        <f t="shared" si="51"/>
      </c>
      <c r="EO56" s="442">
        <f t="shared" si="51"/>
      </c>
      <c r="EP56" s="443">
        <f t="shared" si="51"/>
      </c>
      <c r="EQ56" s="442">
        <f t="shared" si="51"/>
      </c>
      <c r="ER56" s="442">
        <f t="shared" si="51"/>
      </c>
      <c r="ES56" s="442">
        <f t="shared" si="51"/>
      </c>
      <c r="ET56" s="442">
        <f t="shared" si="51"/>
      </c>
      <c r="EU56" s="443">
        <f t="shared" si="51"/>
      </c>
      <c r="EV56" s="442">
        <f t="shared" si="51"/>
      </c>
      <c r="EW56" s="442">
        <f t="shared" si="51"/>
      </c>
      <c r="EX56" s="442">
        <f t="shared" si="51"/>
      </c>
      <c r="EY56" s="442">
        <f t="shared" si="51"/>
      </c>
      <c r="EZ56" s="443">
        <f t="shared" si="51"/>
      </c>
      <c r="FA56" s="443"/>
      <c r="FB56" s="474"/>
      <c r="FC56" s="474"/>
      <c r="FD56" s="474"/>
      <c r="FE56" s="474"/>
      <c r="FF56" s="474"/>
      <c r="FG56" s="474"/>
      <c r="FH56" s="474"/>
      <c r="FI56" s="474"/>
      <c r="FJ56" s="474"/>
      <c r="FL56" s="111"/>
      <c r="FM56" s="111"/>
    </row>
    <row r="57" spans="1:169">
      <c r="A57" s="106" t="s">
        <v>381</v>
      </c>
      <c r="B57" s="475"/>
      <c r="C57" s="475"/>
      <c r="D57" s="475"/>
      <c r="E57" s="475"/>
      <c r="F57" s="471">
        <f>SUM(B57:E57)</f>
      </c>
      <c r="G57" s="475"/>
      <c r="H57" s="475"/>
      <c r="I57" s="475"/>
      <c r="J57" s="475"/>
      <c r="K57" s="471">
        <f>SUM(G57:J57)</f>
      </c>
      <c r="L57" s="475"/>
      <c r="M57" s="475"/>
      <c r="N57" s="475"/>
      <c r="O57" s="475"/>
      <c r="P57" s="471">
        <f>SUM(L57:O57)</f>
      </c>
      <c r="Q57" s="475"/>
      <c r="R57" s="475"/>
      <c r="S57" s="475"/>
      <c r="T57" s="475"/>
      <c r="U57" s="471">
        <f>SUM(Q57:T57)</f>
      </c>
      <c r="V57" s="475"/>
      <c r="W57" s="475"/>
      <c r="X57" s="475"/>
      <c r="Y57" s="475"/>
      <c r="Z57" s="471">
        <f>SUM(V57:Y57)</f>
      </c>
      <c r="AA57" s="475"/>
      <c r="AB57" s="475"/>
      <c r="AC57" s="475"/>
      <c r="AD57" s="475"/>
      <c r="AE57" s="471">
        <f>SUM(AA57:AD57)</f>
      </c>
      <c r="AF57" s="475"/>
      <c r="AG57" s="475"/>
      <c r="AH57" s="475"/>
      <c r="AI57" s="475"/>
      <c r="AJ57" s="471">
        <f>SUM(AF57:AI57)</f>
      </c>
      <c r="AK57" s="475"/>
      <c r="AL57" s="475"/>
      <c r="AM57" s="475"/>
      <c r="AN57" s="475"/>
      <c r="AO57" s="471">
        <f>SUM(AK57:AN57)</f>
      </c>
      <c r="AP57" s="475"/>
      <c r="AQ57" s="475"/>
      <c r="AR57" s="475"/>
      <c r="AS57" s="475"/>
      <c r="AT57" s="471">
        <f>SUM(AP57:AS57)</f>
      </c>
      <c r="AU57" s="475"/>
      <c r="AV57" s="475"/>
      <c r="AW57" s="475"/>
      <c r="AX57" s="475"/>
      <c r="AY57" s="471">
        <f>SUM(AU57:AX57)</f>
      </c>
      <c r="AZ57" s="475"/>
      <c r="BA57" s="475"/>
      <c r="BB57" s="475"/>
      <c r="BC57" s="475"/>
      <c r="BD57" s="471">
        <f>SUM(AZ57:BC57)</f>
      </c>
      <c r="BE57" s="475"/>
      <c r="BF57" s="475"/>
      <c r="BG57" s="475"/>
      <c r="BH57" s="475"/>
      <c r="BI57" s="471">
        <f>SUM(BE57:BH57)</f>
      </c>
      <c r="BJ57" s="475"/>
      <c r="BK57" s="475"/>
      <c r="BL57" s="475"/>
      <c r="BM57" s="475"/>
      <c r="BN57" s="471">
        <f>SUM(BJ57:BM57)</f>
      </c>
      <c r="BO57" s="475"/>
      <c r="BP57" s="475"/>
      <c r="BQ57" s="475"/>
      <c r="BR57" s="475"/>
      <c r="BS57" s="471">
        <f>SUM(BO57:BR57)</f>
      </c>
      <c r="BT57" s="475"/>
      <c r="BU57" s="475"/>
      <c r="BV57" s="475"/>
      <c r="BW57" s="475"/>
      <c r="BX57" s="471">
        <f>SUM(BT57:BW57)</f>
      </c>
      <c r="BY57" s="475"/>
      <c r="BZ57" s="475"/>
      <c r="CA57" s="475"/>
      <c r="CB57" s="472">
        <v>1.8749999999999999E-3</v>
      </c>
      <c r="CC57" s="471">
        <f>SUM(BY57:CB57)</f>
      </c>
      <c r="CD57" s="472">
        <v>1.8749999999999999E-3</v>
      </c>
      <c r="CE57" s="472">
        <v>1.8749999999999999E-3</v>
      </c>
      <c r="CF57" s="472">
        <v>1.8749999999999999E-3</v>
      </c>
      <c r="CG57" s="472">
        <v>2.1250000000000002E-3</v>
      </c>
      <c r="CH57" s="471">
        <f>SUM(CD57:CG57)</f>
      </c>
      <c r="CI57" s="472">
        <v>2.1250000000000002E-3</v>
      </c>
      <c r="CJ57" s="472">
        <v>2.1250000000000002E-3</v>
      </c>
      <c r="CK57" s="472">
        <v>2.1250000000000002E-3</v>
      </c>
      <c r="CL57" s="472">
        <v>2.1250000000000002E-3</v>
      </c>
      <c r="CM57" s="471">
        <f>SUM(CI57:CL57)</f>
      </c>
      <c r="CN57" s="472">
        <v>2.1250000000000002E-3</v>
      </c>
      <c r="CO57" s="472">
        <v>2.4375E-3</v>
      </c>
      <c r="CP57" s="472">
        <v>2.4375E-3</v>
      </c>
      <c r="CQ57" s="472">
        <v>2.875E-3</v>
      </c>
      <c r="CR57" s="471">
        <f>SUM(CN57:CQ57)</f>
      </c>
      <c r="CS57" s="472">
        <v>2.875E-3</v>
      </c>
      <c r="CT57" s="472">
        <v>2.875E-3</v>
      </c>
      <c r="CU57" s="472">
        <v>2.875E-3</v>
      </c>
      <c r="CV57" s="472">
        <v>3.5000000000000001E-3</v>
      </c>
      <c r="CW57" s="471">
        <f>SUM(CS57:CV57)</f>
      </c>
      <c r="CX57" s="476">
        <v>3.5000000000000005E-3</v>
      </c>
      <c r="CY57" s="476">
        <v>3.5000000000000005E-3</v>
      </c>
      <c r="CZ57" s="476">
        <v>3.5000000000000005E-3</v>
      </c>
      <c r="DA57" s="476">
        <v>3.7499999999999999E-3</v>
      </c>
      <c r="DB57" s="471">
        <f>SUM(CX57:DA57)</f>
      </c>
      <c r="DC57" s="476">
        <v>3.7499999999999999E-3</v>
      </c>
      <c r="DD57" s="476">
        <v>3.7499999999999999E-3</v>
      </c>
      <c r="DE57" s="476">
        <v>3.7499999999999999E-3</v>
      </c>
      <c r="DF57" s="476">
        <v>4.0000000000000001E-3</v>
      </c>
      <c r="DG57" s="471">
        <f>SUM(DC57:DF57)</f>
      </c>
      <c r="DH57" s="472">
        <v>4.0000000000000001E-3</v>
      </c>
      <c r="DI57" s="472">
        <v>4.0000000000000001E-3</v>
      </c>
      <c r="DJ57" s="472">
        <v>4.0000000000000001E-3</v>
      </c>
      <c r="DK57" s="472">
        <v>4.0000000000000001E-3</v>
      </c>
      <c r="DL57" s="471">
        <f>SUM(DH57:DK57)</f>
      </c>
      <c r="DM57" s="472">
        <v>4.0000000000000001E-3</v>
      </c>
      <c r="DN57" s="472">
        <v>4.0000000000000001E-3</v>
      </c>
      <c r="DO57" s="472">
        <v>4.0000000000000001E-3</v>
      </c>
      <c r="DP57" s="472">
        <v>4.0000000000000001E-3</v>
      </c>
      <c r="DQ57" s="471">
        <f>SUM(DM57:DP57)</f>
      </c>
      <c r="DR57" s="472">
        <v>4.0000000000000001E-3</v>
      </c>
      <c r="DS57" s="472">
        <v>4.0000000000000001E-3</v>
      </c>
      <c r="DT57" s="472">
        <v>4.0000000000000001E-3</v>
      </c>
      <c r="DU57" s="472">
        <v>4.0000000000000001E-3</v>
      </c>
      <c r="DV57" s="471">
        <f>SUM(DR57:DU57)</f>
      </c>
      <c r="DW57" s="472">
        <v>4.0000000000000001E-3</v>
      </c>
      <c r="DX57" s="472">
        <v>4.0000000000000001E-3</v>
      </c>
      <c r="DY57" s="472">
        <v>4.0000000000000001E-3</v>
      </c>
      <c r="DZ57" s="472">
        <v>4.0000000000000001E-3</v>
      </c>
      <c r="EA57" s="471">
        <f>SUM(DW57:DZ57)</f>
      </c>
      <c r="EB57" s="472">
        <v>4.0000000000000001E-3</v>
      </c>
      <c r="EC57" s="472">
        <v>4.0000000000000001E-3</v>
      </c>
      <c r="ED57" s="472">
        <v>4.0000000000000001E-3</v>
      </c>
      <c r="EE57" s="472">
        <v>4.0000000000000001E-3</v>
      </c>
      <c r="EF57" s="471">
        <f>SUM(EB57:EE57)</f>
      </c>
      <c r="EG57" s="472">
        <v>4.0000000000000001E-3</v>
      </c>
      <c r="EH57" s="472">
        <v>0.01</v>
      </c>
      <c r="EI57" s="472">
        <v>0.01</v>
      </c>
      <c r="EJ57" s="472">
        <v>0.01</v>
      </c>
      <c r="EK57" s="471">
        <f>SUM(EG57:EJ57)</f>
      </c>
      <c r="EL57" s="472">
        <v>0.01</v>
      </c>
      <c r="EM57" s="472">
        <v>0.01</v>
      </c>
      <c r="EN57" s="477">
        <f>EM57</f>
      </c>
      <c r="EO57" s="477">
        <f>EN57</f>
      </c>
      <c r="EP57" s="471">
        <f>SUM(EL57:EO57)</f>
      </c>
      <c r="EQ57" s="477">
        <f>EO57</f>
      </c>
      <c r="ER57" s="477">
        <f>EQ57</f>
      </c>
      <c r="ES57" s="477">
        <f>ER57</f>
      </c>
      <c r="ET57" s="477">
        <f>ES57</f>
      </c>
      <c r="EU57" s="471">
        <f>SUM(EQ57:ET57)</f>
      </c>
      <c r="EV57" s="477">
        <f>ET57</f>
      </c>
      <c r="EW57" s="477">
        <f>EV57</f>
      </c>
      <c r="EX57" s="477">
        <f>EW57</f>
      </c>
      <c r="EY57" s="477">
        <f>EX57</f>
      </c>
      <c r="EZ57" s="471">
        <f>SUM(EV57:EY57)</f>
      </c>
      <c r="FA57" s="471"/>
      <c r="FB57" s="123"/>
      <c r="FC57" s="123"/>
      <c r="FD57" s="123"/>
      <c r="FE57" s="123"/>
      <c r="FF57" s="123"/>
      <c r="FG57" s="123"/>
      <c r="FH57" s="123"/>
      <c r="FI57" s="123"/>
      <c r="FJ57" s="123"/>
      <c r="FL57" s="111"/>
      <c r="FM57" s="111"/>
    </row>
    <row r="58" spans="1:169" s="105" customFormat="1">
      <c r="A58" s="83" t="s">
        <v>382</v>
      </c>
      <c r="B58" s="467"/>
      <c r="C58" s="467"/>
      <c r="D58" s="467"/>
      <c r="E58" s="467"/>
      <c r="F58" s="122">
        <f>+F44/F48</f>
      </c>
      <c r="G58" s="467"/>
      <c r="H58" s="467"/>
      <c r="I58" s="467"/>
      <c r="J58" s="467"/>
      <c r="K58" s="122">
        <f>+K44/K48</f>
      </c>
      <c r="L58" s="467"/>
      <c r="M58" s="467"/>
      <c r="N58" s="467"/>
      <c r="O58" s="467"/>
      <c r="P58" s="122">
        <f>+P44/P48</f>
      </c>
      <c r="Q58" s="467"/>
      <c r="R58" s="467"/>
      <c r="S58" s="467"/>
      <c r="T58" s="467"/>
      <c r="U58" s="122">
        <f>+U44/U48</f>
      </c>
      <c r="V58" s="467"/>
      <c r="W58" s="467"/>
      <c r="X58" s="467"/>
      <c r="Y58" s="467"/>
      <c r="Z58" s="122">
        <f>+Z44/Z48</f>
      </c>
      <c r="AA58" s="467"/>
      <c r="AB58" s="467"/>
      <c r="AC58" s="467"/>
      <c r="AD58" s="467"/>
      <c r="AE58" s="122">
        <f t="shared" ref="AE58:CM58" si="52">+AE44/AE48</f>
      </c>
      <c r="AF58" s="467">
        <f t="shared" si="52"/>
      </c>
      <c r="AG58" s="467">
        <f t="shared" si="52"/>
      </c>
      <c r="AH58" s="467">
        <f t="shared" si="52"/>
      </c>
      <c r="AI58" s="467">
        <f t="shared" si="52"/>
      </c>
      <c r="AJ58" s="122">
        <f t="shared" si="52"/>
      </c>
      <c r="AK58" s="467">
        <f t="shared" si="52"/>
      </c>
      <c r="AL58" s="467">
        <f t="shared" si="52"/>
      </c>
      <c r="AM58" s="467">
        <f t="shared" si="52"/>
      </c>
      <c r="AN58" s="467">
        <f t="shared" si="52"/>
      </c>
      <c r="AO58" s="122">
        <f t="shared" si="52"/>
      </c>
      <c r="AP58" s="467">
        <f t="shared" si="52"/>
      </c>
      <c r="AQ58" s="467">
        <f t="shared" si="52"/>
      </c>
      <c r="AR58" s="467">
        <f t="shared" si="52"/>
      </c>
      <c r="AS58" s="467">
        <f t="shared" si="52"/>
      </c>
      <c r="AT58" s="122">
        <f t="shared" si="52"/>
      </c>
      <c r="AU58" s="467">
        <f t="shared" si="52"/>
      </c>
      <c r="AV58" s="467">
        <f t="shared" si="52"/>
      </c>
      <c r="AW58" s="467">
        <f t="shared" si="52"/>
      </c>
      <c r="AX58" s="467">
        <f t="shared" si="52"/>
      </c>
      <c r="AY58" s="122">
        <f t="shared" si="52"/>
      </c>
      <c r="AZ58" s="467">
        <f t="shared" si="52"/>
      </c>
      <c r="BA58" s="467">
        <f t="shared" si="52"/>
      </c>
      <c r="BB58" s="467">
        <f t="shared" si="52"/>
      </c>
      <c r="BC58" s="467">
        <f t="shared" si="52"/>
      </c>
      <c r="BD58" s="122">
        <f t="shared" si="52"/>
      </c>
      <c r="BE58" s="467">
        <f t="shared" si="52"/>
      </c>
      <c r="BF58" s="467">
        <f t="shared" si="52"/>
      </c>
      <c r="BG58" s="467">
        <f t="shared" si="52"/>
      </c>
      <c r="BH58" s="467">
        <f t="shared" si="52"/>
      </c>
      <c r="BI58" s="122">
        <f t="shared" si="52"/>
      </c>
      <c r="BJ58" s="467">
        <f t="shared" si="52"/>
      </c>
      <c r="BK58" s="467">
        <f t="shared" si="52"/>
      </c>
      <c r="BL58" s="467">
        <f t="shared" si="52"/>
      </c>
      <c r="BM58" s="467">
        <f t="shared" si="52"/>
      </c>
      <c r="BN58" s="122">
        <f t="shared" si="52"/>
      </c>
      <c r="BO58" s="467">
        <f t="shared" si="52"/>
      </c>
      <c r="BP58" s="467">
        <f t="shared" si="52"/>
      </c>
      <c r="BQ58" s="467">
        <f t="shared" si="52"/>
      </c>
      <c r="BR58" s="467">
        <f t="shared" si="52"/>
      </c>
      <c r="BS58" s="122">
        <f t="shared" si="52"/>
      </c>
      <c r="BT58" s="467">
        <f t="shared" si="52"/>
      </c>
      <c r="BU58" s="467">
        <f t="shared" si="52"/>
      </c>
      <c r="BV58" s="467">
        <f t="shared" si="52"/>
      </c>
      <c r="BW58" s="467">
        <f t="shared" si="52"/>
      </c>
      <c r="BX58" s="122">
        <f t="shared" si="52"/>
      </c>
      <c r="BY58" s="467">
        <f t="shared" si="52"/>
      </c>
      <c r="BZ58" s="467">
        <f t="shared" si="52"/>
      </c>
      <c r="CA58" s="467">
        <f t="shared" si="52"/>
      </c>
      <c r="CB58" s="467">
        <f t="shared" si="52"/>
      </c>
      <c r="CC58" s="122">
        <f t="shared" si="52"/>
      </c>
      <c r="CD58" s="467">
        <f t="shared" si="52"/>
      </c>
      <c r="CE58" s="467">
        <f t="shared" si="52"/>
      </c>
      <c r="CF58" s="467">
        <f t="shared" si="52"/>
      </c>
      <c r="CG58" s="467">
        <f t="shared" si="52"/>
      </c>
      <c r="CH58" s="122">
        <f t="shared" si="52"/>
      </c>
      <c r="CI58" s="467">
        <f t="shared" si="52"/>
      </c>
      <c r="CJ58" s="467">
        <f t="shared" si="52"/>
      </c>
      <c r="CK58" s="467">
        <f t="shared" si="52"/>
      </c>
      <c r="CL58" s="467">
        <f t="shared" si="52"/>
      </c>
      <c r="CM58" s="122">
        <f t="shared" si="52"/>
      </c>
      <c r="CN58" s="467">
        <f>+CN44/(CN48+CN47)</f>
      </c>
      <c r="CO58" s="467">
        <f>+CO44/(CO48+CO47)</f>
      </c>
      <c r="CP58" s="467">
        <f>+CP44/(CP48+CP47)</f>
      </c>
      <c r="CQ58" s="467">
        <f>+CQ44/(CQ48+CQ47)</f>
      </c>
      <c r="CR58" s="122">
        <f>+CR$44/CR$48</f>
      </c>
      <c r="CS58" s="467">
        <f>+CS44/(CS48+CS47)</f>
      </c>
      <c r="CT58" s="467">
        <f>+CT44/(CT48+CT47)</f>
      </c>
      <c r="CU58" s="467">
        <f>+CU44/(CU48+CU47)</f>
      </c>
      <c r="CV58" s="467">
        <f>+CV44/(CV48+CV47)</f>
      </c>
      <c r="CW58" s="122">
        <f>+CW44/CW48</f>
      </c>
      <c r="CX58" s="467">
        <f>+CX44/(CX48+CX47)</f>
      </c>
      <c r="CY58" s="467">
        <f>+CY44/(CY48+CY47)</f>
      </c>
      <c r="CZ58" s="467">
        <f>+CZ44/(CZ48+CZ47)</f>
      </c>
      <c r="DA58" s="467">
        <f>+DA44/(DA48+DA47)</f>
      </c>
      <c r="DB58" s="122">
        <f>+DB44/DB48</f>
      </c>
      <c r="DC58" s="467">
        <f>+DC44/(DC48+DC47)</f>
      </c>
      <c r="DD58" s="467">
        <f>+DD44/(DD48+DD47)</f>
      </c>
      <c r="DE58" s="467">
        <f>+DE44/(DE48+DE47)</f>
      </c>
      <c r="DF58" s="467">
        <f>+DF44/(DF48+DF47)</f>
      </c>
      <c r="DG58" s="122">
        <f>+DG44/DG48</f>
      </c>
      <c r="DH58" s="467">
        <f>+DH44/(DH48+DH47)</f>
      </c>
      <c r="DI58" s="467">
        <f>+DI44/(DI48+DI47)</f>
      </c>
      <c r="DJ58" s="467">
        <f>+DJ44/(DJ48+DJ47)</f>
      </c>
      <c r="DK58" s="467">
        <f>+DK44/(DK48+DK47)</f>
      </c>
      <c r="DL58" s="122">
        <f>+DL44/DL48</f>
      </c>
      <c r="DM58" s="467">
        <f>+DM44/(DM48+DM47)</f>
      </c>
      <c r="DN58" s="467">
        <f>+DN44/(DN48+DN47)</f>
      </c>
      <c r="DO58" s="467">
        <f>+DO44/(DO48+DO47)</f>
      </c>
      <c r="DP58" s="467">
        <f>+DP44/(DP48+DP47)</f>
      </c>
      <c r="DQ58" s="122">
        <f>+DQ44/DQ48</f>
      </c>
      <c r="DR58" s="467">
        <f>+DR44/(DR48+DR47)</f>
      </c>
      <c r="DS58" s="467">
        <f>+DS44/(DS48+DS47)</f>
      </c>
      <c r="DT58" s="467">
        <f>+DT44/(DT48+DT47)</f>
      </c>
      <c r="DU58" s="467">
        <f>+DU44/(DU48+DU47)</f>
      </c>
      <c r="DV58" s="122">
        <f>+DV44/DV48</f>
      </c>
      <c r="DW58" s="467">
        <f>+DW44/(DW48+DW47)</f>
      </c>
      <c r="DX58" s="467">
        <f>+DX44/(DX48+DX47)</f>
      </c>
      <c r="DY58" s="467">
        <f>+DY44/(DY48+DY47)</f>
      </c>
      <c r="DZ58" s="467">
        <f>+DZ44/(DZ48+DZ47)</f>
      </c>
      <c r="EA58" s="122">
        <f>+EA44/EA48</f>
      </c>
      <c r="EB58" s="467">
        <f>+EB44/(EB48+EB47)</f>
      </c>
      <c r="EC58" s="467">
        <f>+EC44/(EC48+EC47)</f>
      </c>
      <c r="ED58" s="467">
        <f>+ED44/(ED48+ED47)</f>
      </c>
      <c r="EE58" s="467">
        <f>+EE44/(EE48+EE47)</f>
      </c>
      <c r="EF58" s="122">
        <f>+EF44/EF48</f>
      </c>
      <c r="EG58" s="467">
        <f>+EG44/(EG48+EG47)</f>
      </c>
      <c r="EH58" s="467">
        <f>+EH44/(EH48+EH47)</f>
      </c>
      <c r="EI58" s="467">
        <f>+EI44/(EI48+EI47)</f>
      </c>
      <c r="EJ58" s="467">
        <f>+EJ44/(EJ48+EJ47)</f>
      </c>
      <c r="EK58" s="122">
        <f>+EK44/EK48</f>
      </c>
      <c r="EL58" s="467">
        <f>+EL44/(EL48+EL47)</f>
      </c>
      <c r="EM58" s="467">
        <f>+EM44/(EM48+EM47)</f>
      </c>
      <c r="EN58" s="467">
        <f>+EN44/(EN48+EN47)</f>
      </c>
      <c r="EO58" s="467">
        <f>+EO44/(EO48+EO47)</f>
      </c>
      <c r="EP58" s="122">
        <f>+EP44/EP48</f>
      </c>
      <c r="EQ58" s="467">
        <f>+EQ44/(EQ48+EQ47)</f>
      </c>
      <c r="ER58" s="467">
        <f>+ER44/(ER48+ER47)</f>
      </c>
      <c r="ES58" s="467">
        <f>+ES44/(ES48+ES47)</f>
      </c>
      <c r="ET58" s="467">
        <f>+ET44/(ET48+ET47)</f>
      </c>
      <c r="EU58" s="122">
        <f>+EU44/EU48</f>
      </c>
      <c r="EV58" s="467">
        <f>+EV44/(EV48+EV47)</f>
      </c>
      <c r="EW58" s="467">
        <f>+EW44/(EW48+EW47)</f>
      </c>
      <c r="EX58" s="467">
        <f>+EX44/(EX48+EX47)</f>
      </c>
      <c r="EY58" s="467">
        <f>+EY44/(EY48+EY47)</f>
      </c>
      <c r="EZ58" s="122">
        <f>+EZ44/EZ48</f>
      </c>
      <c r="FA58" s="122"/>
      <c r="FB58" s="223"/>
      <c r="FC58" s="223"/>
      <c r="FD58" s="223"/>
      <c r="FE58" s="223"/>
      <c r="FF58" s="223"/>
      <c r="FG58" s="223"/>
      <c r="FH58" s="223"/>
      <c r="FI58" s="223"/>
      <c r="FJ58" s="223"/>
      <c r="FL58" s="111"/>
      <c r="FM58" s="111"/>
    </row>
    <row r="59" spans="1:169">
      <c r="AD59" s="84"/>
      <c r="AE59" s="84"/>
      <c r="AF59" s="84"/>
      <c r="AG59" s="84"/>
      <c r="CK59" s="86"/>
      <c r="CL59" s="86"/>
      <c r="CM59" s="86"/>
      <c r="CQ59" s="475"/>
      <c r="CR59" s="122"/>
      <c r="CW59" s="478"/>
      <c r="CZ59" s="475"/>
      <c r="DB59" s="446"/>
      <c r="DG59" s="446"/>
      <c r="DL59" s="446"/>
      <c r="DQ59" s="446"/>
      <c r="DU59" s="479"/>
      <c r="DV59" s="446"/>
      <c r="DZ59" s="479"/>
      <c r="EA59" s="446"/>
      <c r="EE59" s="480"/>
      <c r="EF59" s="446"/>
      <c r="EG59" s="481"/>
      <c r="EH59" s="481"/>
      <c r="EI59" s="481"/>
      <c r="EJ59" s="481"/>
      <c r="EK59" s="446"/>
      <c r="EL59" s="481"/>
      <c r="EM59" s="481"/>
      <c r="EN59" s="481"/>
      <c r="EO59" s="481"/>
      <c r="EP59" s="446"/>
      <c r="EQ59" s="481"/>
      <c r="ER59" s="481"/>
      <c r="ES59" s="481"/>
      <c r="ET59" s="481"/>
      <c r="EU59" s="446"/>
      <c r="EV59" s="481"/>
      <c r="EW59" s="481"/>
      <c r="EX59" s="481"/>
      <c r="EY59" s="481"/>
      <c r="EZ59" s="446"/>
      <c r="FA59" s="446"/>
      <c r="FL59" s="111"/>
      <c r="FM59" s="111"/>
    </row>
    <row r="60" spans="1:169" s="128" customFormat="1" ht="18" customHeight="1">
      <c r="A60" s="124" t="s">
        <v>383</v>
      </c>
      <c r="B60" s="125"/>
      <c r="C60" s="125"/>
      <c r="D60" s="125"/>
      <c r="E60" s="125"/>
      <c r="F60" s="125"/>
      <c r="G60" s="125"/>
      <c r="H60" s="125"/>
      <c r="I60" s="125"/>
      <c r="J60" s="125"/>
      <c r="K60" s="125"/>
      <c r="L60" s="125"/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5"/>
      <c r="AA60" s="125"/>
      <c r="AB60" s="125"/>
      <c r="AC60" s="125"/>
      <c r="AD60" s="125"/>
      <c r="AE60" s="125"/>
      <c r="AF60" s="125"/>
      <c r="AG60" s="125"/>
      <c r="AH60" s="126"/>
      <c r="AI60" s="126"/>
      <c r="AJ60" s="126"/>
      <c r="AK60" s="126"/>
      <c r="AL60" s="126"/>
      <c r="AM60" s="126"/>
      <c r="AN60" s="126"/>
      <c r="AO60" s="126"/>
      <c r="AP60" s="126"/>
      <c r="AQ60" s="126"/>
      <c r="AR60" s="126"/>
      <c r="AS60" s="126"/>
      <c r="AT60" s="126"/>
      <c r="AU60" s="126"/>
      <c r="AV60" s="126"/>
      <c r="AW60" s="126"/>
      <c r="AX60" s="126"/>
      <c r="AY60" s="126"/>
      <c r="AZ60" s="126"/>
      <c r="BA60" s="126"/>
      <c r="BB60" s="126"/>
      <c r="BC60" s="126"/>
      <c r="BD60" s="126"/>
      <c r="BE60" s="126"/>
      <c r="BF60" s="126"/>
      <c r="BG60" s="126"/>
      <c r="BH60" s="126"/>
      <c r="BI60" s="126"/>
      <c r="BJ60" s="126"/>
      <c r="BK60" s="126"/>
      <c r="BL60" s="126"/>
      <c r="BM60" s="126"/>
      <c r="BN60" s="126"/>
      <c r="BO60" s="126"/>
      <c r="BP60" s="126"/>
      <c r="BQ60" s="126"/>
      <c r="BR60" s="126"/>
      <c r="BS60" s="126"/>
      <c r="BT60" s="126"/>
      <c r="BU60" s="126"/>
      <c r="BV60" s="126"/>
      <c r="BW60" s="126"/>
      <c r="BX60" s="126"/>
      <c r="BY60" s="126"/>
      <c r="BZ60" s="126"/>
      <c r="CA60" s="126"/>
      <c r="CB60" s="126"/>
      <c r="CC60" s="126"/>
      <c r="CD60" s="126"/>
      <c r="CE60" s="126"/>
      <c r="CF60" s="126"/>
      <c r="CG60" s="126"/>
      <c r="CH60" s="126"/>
      <c r="CI60" s="126"/>
      <c r="CJ60" s="126"/>
      <c r="CK60" s="126"/>
      <c r="CL60" s="126"/>
      <c r="CM60" s="126"/>
      <c r="CN60" s="126"/>
      <c r="CO60" s="126"/>
      <c r="CP60" s="126"/>
      <c r="CQ60" s="126"/>
      <c r="CR60" s="126"/>
      <c r="CS60" s="126"/>
      <c r="CT60" s="126"/>
      <c r="CU60" s="126"/>
      <c r="CV60" s="126"/>
      <c r="CW60" s="126"/>
      <c r="CX60" s="126"/>
      <c r="CY60" s="126"/>
      <c r="CZ60" s="126"/>
      <c r="DA60" s="126"/>
      <c r="DB60" s="125"/>
      <c r="DC60" s="126"/>
      <c r="DD60" s="126"/>
      <c r="DE60" s="126"/>
      <c r="DF60" s="126"/>
      <c r="DG60" s="126"/>
      <c r="DH60" s="126"/>
      <c r="DI60" s="126"/>
      <c r="DJ60" s="126"/>
      <c r="DK60" s="126"/>
      <c r="DL60" s="126"/>
      <c r="DM60" s="126"/>
      <c r="DN60" s="126"/>
      <c r="DO60" s="126"/>
      <c r="DP60" s="126"/>
      <c r="DQ60" s="126"/>
      <c r="DR60" s="126"/>
      <c r="DS60" s="126"/>
      <c r="DT60" s="126"/>
      <c r="DU60" s="126"/>
      <c r="DV60" s="126"/>
      <c r="DW60" s="126"/>
      <c r="DX60" s="126"/>
      <c r="DY60" s="126"/>
      <c r="DZ60" s="126"/>
      <c r="EA60" s="126"/>
      <c r="EB60" s="126"/>
      <c r="EC60" s="126"/>
      <c r="ED60" s="126"/>
      <c r="EE60" s="126"/>
      <c r="EF60" s="126"/>
      <c r="EG60" s="126"/>
      <c r="EH60" s="126"/>
      <c r="EI60" s="126"/>
      <c r="EJ60" s="126"/>
      <c r="EK60" s="126"/>
      <c r="EL60" s="126"/>
      <c r="EM60" s="126"/>
      <c r="EN60" s="126"/>
      <c r="EO60" s="126"/>
      <c r="EP60" s="126"/>
      <c r="EQ60" s="126"/>
      <c r="ER60" s="126"/>
      <c r="ES60" s="126"/>
      <c r="ET60" s="126"/>
      <c r="EU60" s="126"/>
      <c r="EV60" s="126"/>
      <c r="EW60" s="126"/>
      <c r="EX60" s="126"/>
      <c r="EY60" s="126"/>
      <c r="EZ60" s="126"/>
      <c r="FA60" s="127"/>
      <c r="FB60" s="127"/>
      <c r="FC60" s="127"/>
      <c r="FD60" s="127"/>
      <c r="FE60" s="127"/>
      <c r="FF60" s="127"/>
      <c r="FG60" s="127"/>
      <c r="FH60" s="127"/>
      <c r="FI60" s="127"/>
      <c r="FL60" s="111"/>
      <c r="FM60" s="111"/>
    </row>
    <row r="61" spans="1:169">
      <c r="AA61" s="426"/>
      <c r="AB61" s="426"/>
      <c r="AC61" s="426"/>
      <c r="AD61" s="426"/>
      <c r="AE61" s="426"/>
      <c r="AF61" s="120"/>
      <c r="AG61" s="120"/>
      <c r="AH61" s="120"/>
      <c r="AI61" s="120"/>
      <c r="AJ61" s="120"/>
      <c r="AK61" s="120"/>
      <c r="AL61" s="120"/>
      <c r="AM61" s="120"/>
      <c r="AN61" s="120"/>
      <c r="AO61" s="120"/>
      <c r="AP61" s="120"/>
      <c r="AQ61" s="120"/>
      <c r="AR61" s="120"/>
      <c r="AS61" s="120"/>
      <c r="AT61" s="120"/>
      <c r="AU61" s="120"/>
      <c r="BE61" s="461"/>
      <c r="CD61" s="461"/>
      <c r="CM61" s="461"/>
      <c r="CN61" s="482"/>
      <c r="CO61" s="482"/>
      <c r="CP61" s="482"/>
      <c r="CQ61" s="482"/>
      <c r="CR61" s="461"/>
      <c r="CS61" s="482"/>
      <c r="CT61" s="482"/>
      <c r="CU61" s="482"/>
      <c r="CV61" s="482"/>
      <c r="CW61" s="461"/>
      <c r="CX61" s="482"/>
      <c r="CY61" s="482"/>
      <c r="CZ61" s="482"/>
      <c r="DA61" s="482"/>
      <c r="DB61" s="481"/>
      <c r="DC61" s="121"/>
      <c r="DD61" s="482"/>
      <c r="DE61" s="482"/>
      <c r="DF61" s="482"/>
      <c r="DG61" s="481"/>
      <c r="DH61" s="121"/>
      <c r="DI61" s="482"/>
      <c r="DJ61" s="482"/>
      <c r="DK61" s="482"/>
      <c r="DL61" s="481"/>
      <c r="DM61" s="482"/>
      <c r="DN61" s="481"/>
      <c r="DO61" s="481"/>
      <c r="DP61" s="481"/>
      <c r="DQ61" s="481"/>
      <c r="DR61" s="481"/>
      <c r="DS61" s="481"/>
      <c r="DT61" s="481"/>
      <c r="DU61" s="481"/>
      <c r="DW61" s="118"/>
      <c r="DX61" s="481"/>
      <c r="DY61" s="481"/>
      <c r="DZ61" s="481"/>
      <c r="EB61" s="481"/>
      <c r="EC61" s="481"/>
      <c r="ED61" s="481"/>
      <c r="EE61" s="481"/>
      <c r="EG61" s="481"/>
      <c r="EH61" s="481"/>
      <c r="EI61" s="481"/>
      <c r="EJ61" s="481"/>
      <c r="EL61" s="481"/>
      <c r="EM61" s="481"/>
      <c r="EN61" s="481"/>
      <c r="EO61" s="481"/>
      <c r="EQ61" s="481"/>
      <c r="ER61" s="481"/>
      <c r="ES61" s="481"/>
      <c r="ET61" s="481"/>
      <c r="EV61" s="481"/>
      <c r="EW61" s="481"/>
      <c r="EX61" s="481"/>
      <c r="EY61" s="481"/>
      <c r="FL61" s="111"/>
      <c r="FM61" s="111"/>
    </row>
    <row r="62" spans="1:169">
      <c r="A62" s="106" t="s">
        <v>384</v>
      </c>
      <c r="B62" s="426"/>
      <c r="C62" s="426"/>
      <c r="D62" s="426"/>
      <c r="E62" s="426"/>
      <c r="F62" s="426"/>
      <c r="G62" s="426"/>
      <c r="H62" s="426"/>
      <c r="I62" s="426"/>
      <c r="J62" s="426"/>
      <c r="K62" s="483"/>
      <c r="L62" s="484">
        <v>51.823</v>
      </c>
      <c r="M62" s="484">
        <v>46.756999999999998</v>
      </c>
      <c r="N62" s="484">
        <v>55.2</v>
      </c>
      <c r="O62" s="484">
        <v>61.56</v>
      </c>
      <c r="P62" s="485">
        <f>O62</f>
      </c>
      <c r="Q62" s="484">
        <v>269.8</v>
      </c>
      <c r="R62" s="484">
        <v>289.20499999999998</v>
      </c>
      <c r="S62" s="484">
        <v>694.88300000000004</v>
      </c>
      <c r="T62" s="484">
        <v>674.27499999999998</v>
      </c>
      <c r="U62" s="485">
        <f>T62</f>
      </c>
      <c r="V62" s="484">
        <v>627.30100000000004</v>
      </c>
      <c r="W62" s="484">
        <v>681.07799999999997</v>
      </c>
      <c r="X62" s="484">
        <v>398.49099999999999</v>
      </c>
      <c r="Y62" s="484">
        <v>333</v>
      </c>
      <c r="Z62" s="485">
        <f>Y62</f>
      </c>
      <c r="AA62" s="484">
        <v>307.15100000000001</v>
      </c>
      <c r="AB62" s="484">
        <v>246.816</v>
      </c>
      <c r="AC62" s="484">
        <v>322.53500000000003</v>
      </c>
      <c r="AD62" s="484">
        <v>346.99400000000003</v>
      </c>
      <c r="AE62" s="485">
        <f>AD62</f>
      </c>
      <c r="AF62" s="484">
        <v>278.79599999999999</v>
      </c>
      <c r="AG62" s="484">
        <v>274.29700000000003</v>
      </c>
      <c r="AH62" s="484">
        <v>231.81299999999999</v>
      </c>
      <c r="AI62" s="484">
        <v>214.422</v>
      </c>
      <c r="AJ62" s="485">
        <f>AI62</f>
      </c>
      <c r="AK62" s="484">
        <v>196.67500000000001</v>
      </c>
      <c r="AL62" s="484">
        <v>180.57900000000001</v>
      </c>
      <c r="AM62" s="484">
        <v>156.68700000000001</v>
      </c>
      <c r="AN62" s="481">
        <v>208.512</v>
      </c>
      <c r="AO62" s="485">
        <f>AN62</f>
      </c>
      <c r="AP62" s="481">
        <v>281.00400000000002</v>
      </c>
      <c r="AQ62" s="481">
        <v>242.17</v>
      </c>
      <c r="AR62" s="481">
        <f>786.178-AR64</f>
      </c>
      <c r="AS62" s="481">
        <v>551.75599999999997</v>
      </c>
      <c r="AT62" s="485">
        <f>AS62</f>
      </c>
      <c r="AU62" s="481">
        <v>487.76299999999998</v>
      </c>
      <c r="AV62" s="481">
        <v>388.423</v>
      </c>
      <c r="AW62" s="481">
        <v>741.74599999999998</v>
      </c>
      <c r="AX62" s="481">
        <v>544.41399999999999</v>
      </c>
      <c r="AY62" s="485">
        <f>AX62</f>
      </c>
      <c r="AZ62" s="481">
        <v>678.95100000000002</v>
      </c>
      <c r="BA62" s="481">
        <v>914.745</v>
      </c>
      <c r="BB62" s="481">
        <v>1056.702</v>
      </c>
      <c r="BC62" s="481">
        <f>1809.478-BC64</f>
      </c>
      <c r="BD62" s="485">
        <f>BC62</f>
      </c>
      <c r="BE62" s="481">
        <v>803.30799999999999</v>
      </c>
      <c r="BF62" s="481">
        <f>1657.23-BF64</f>
      </c>
      <c r="BG62" s="481">
        <v>461.25299999999999</v>
      </c>
      <c r="BH62" s="481">
        <v>417.68799999999999</v>
      </c>
      <c r="BI62" s="485">
        <f>BH62</f>
      </c>
      <c r="BJ62" s="481">
        <v>512.274</v>
      </c>
      <c r="BK62" s="481">
        <v>523.78499999999997</v>
      </c>
      <c r="BL62" s="481">
        <f>1634.079-BL64</f>
      </c>
      <c r="BM62" s="481">
        <v>447.221</v>
      </c>
      <c r="BN62" s="485">
        <f>BM62</f>
      </c>
      <c r="BO62" s="481">
        <v>447.262</v>
      </c>
      <c r="BP62" s="481">
        <v>377.00299999999999</v>
      </c>
      <c r="BQ62" s="481">
        <f>1987.22-BQ64</f>
      </c>
      <c r="BR62" s="481">
        <v>665.36099999999999</v>
      </c>
      <c r="BS62" s="485">
        <f>BR62</f>
      </c>
      <c r="BT62" s="481">
        <v>683.63300000000004</v>
      </c>
      <c r="BU62" s="481">
        <v>532.61400000000003</v>
      </c>
      <c r="BV62" s="481">
        <v>566.81600000000003</v>
      </c>
      <c r="BW62" s="481">
        <f>3129.576-BW64</f>
      </c>
      <c r="BX62" s="485">
        <f>BW62</f>
      </c>
      <c r="BY62" s="481">
        <v>369.13499999999999</v>
      </c>
      <c r="BZ62" s="481">
        <v>499.61799999999999</v>
      </c>
      <c r="CA62" s="481">
        <v>525.38800000000003</v>
      </c>
      <c r="CB62" s="481">
        <v>732.78599999999994</v>
      </c>
      <c r="CC62" s="485">
        <f>CB62</f>
      </c>
      <c r="CD62" s="481">
        <v>561.423</v>
      </c>
      <c r="CE62" s="481">
        <v>591.32100000000003</v>
      </c>
      <c r="CF62" s="481">
        <v>562.08399999999995</v>
      </c>
      <c r="CG62" s="481">
        <v>1151.587</v>
      </c>
      <c r="CH62" s="485">
        <f>CG62</f>
      </c>
      <c r="CI62" s="481">
        <v>509.16500000000002</v>
      </c>
      <c r="CJ62" s="481">
        <v>515.09199999999998</v>
      </c>
      <c r="CK62" s="481">
        <f>CJ62+CK152</f>
      </c>
      <c r="CL62" s="481">
        <f>CK62+CL152</f>
      </c>
      <c r="CM62" s="485">
        <f>CL62</f>
      </c>
      <c r="CN62" s="481">
        <f>CL62+CN152</f>
      </c>
      <c r="CO62" s="481">
        <f>CN62+CO152</f>
      </c>
      <c r="CP62" s="481">
        <f>CO62+CP152</f>
      </c>
      <c r="CQ62" s="481">
        <f>CP62+CQ152</f>
      </c>
      <c r="CR62" s="485">
        <f>CQ62</f>
      </c>
      <c r="CS62" s="481">
        <f>CQ62+CS152</f>
      </c>
      <c r="CT62" s="481">
        <f>CS62+CT152</f>
      </c>
      <c r="CU62" s="481">
        <f>CT62+CU152</f>
      </c>
      <c r="CV62" s="481">
        <f>CU62+CV152</f>
      </c>
      <c r="CW62" s="485">
        <f>CV62</f>
      </c>
      <c r="CX62" s="481">
        <f>CV62+CX152</f>
      </c>
      <c r="CY62" s="481">
        <f>CX62+CY152</f>
      </c>
      <c r="CZ62" s="481">
        <f>CY62+CZ152</f>
      </c>
      <c r="DA62" s="481">
        <f>CZ62+DA152</f>
      </c>
      <c r="DB62" s="485">
        <f>DA62</f>
      </c>
      <c r="DC62" s="481">
        <f>DA62+DC152</f>
      </c>
      <c r="DD62" s="481">
        <f>DC62+DD152</f>
      </c>
      <c r="DE62" s="481">
        <f>DD62+DE152</f>
      </c>
      <c r="DF62" s="481">
        <f>DE62+DF152</f>
      </c>
      <c r="DG62" s="485">
        <f>DF62</f>
      </c>
      <c r="DH62" s="481">
        <f>DF62+DH152</f>
      </c>
      <c r="DI62" s="481">
        <f>DH62+DI152</f>
      </c>
      <c r="DJ62" s="481">
        <f>DI62+DJ152</f>
      </c>
      <c r="DK62" s="481">
        <v>10897</v>
      </c>
      <c r="DL62" s="485">
        <f>DK62</f>
      </c>
      <c r="DM62" s="481">
        <v>15495</v>
      </c>
      <c r="DN62" s="481">
        <v>3275</v>
      </c>
      <c r="DO62" s="481">
        <v>2252</v>
      </c>
      <c r="DP62" s="481">
        <v>848</v>
      </c>
      <c r="DQ62" s="485">
        <f>DP62</f>
      </c>
      <c r="DR62" s="481">
        <v>979</v>
      </c>
      <c r="DS62" s="481">
        <v>5629</v>
      </c>
      <c r="DT62" s="481">
        <v>1289</v>
      </c>
      <c r="DU62" s="481">
        <v>1991</v>
      </c>
      <c r="DV62" s="485">
        <f>DU62</f>
      </c>
      <c r="DW62" s="481">
        <f>3887+1</f>
      </c>
      <c r="DX62" s="481">
        <v>3014</v>
      </c>
      <c r="DY62" s="481">
        <v>2801</v>
      </c>
      <c r="DZ62" s="481">
        <v>3390</v>
      </c>
      <c r="EA62" s="485">
        <f>DZ62</f>
      </c>
      <c r="EB62" s="481">
        <v>5080</v>
      </c>
      <c r="EC62" s="481">
        <v>5883</v>
      </c>
      <c r="ED62" s="481">
        <v>5520</v>
      </c>
      <c r="EE62" s="481">
        <v>7281</v>
      </c>
      <c r="EF62" s="485">
        <f>EE62</f>
      </c>
      <c r="EG62" s="481">
        <f>7281+307</f>
      </c>
      <c r="EH62" s="481">
        <f>7281+307+984</f>
      </c>
      <c r="EI62" s="481">
        <v>9108</v>
      </c>
      <c r="EJ62" s="481">
        <v>8589</v>
      </c>
      <c r="EK62" s="485">
        <f>EJ62</f>
      </c>
      <c r="EL62" s="481">
        <v>15234</v>
      </c>
      <c r="EM62" s="481">
        <f>15234-3595</f>
      </c>
      <c r="EN62" s="481">
        <f>EM62+EN152</f>
      </c>
      <c r="EO62" s="481">
        <f>EN62+EO152</f>
      </c>
      <c r="EP62" s="485">
        <f>EO62</f>
      </c>
      <c r="EQ62" s="481">
        <f>EO62+EQ152</f>
      </c>
      <c r="ER62" s="481">
        <f>EQ62+ER152</f>
      </c>
      <c r="ES62" s="481">
        <f>ER62+ES152</f>
      </c>
      <c r="ET62" s="481">
        <f>ES62+ET152</f>
      </c>
      <c r="EU62" s="485">
        <f>ET62</f>
      </c>
      <c r="EV62" s="481">
        <f>ET62+EV152</f>
      </c>
      <c r="EW62" s="481">
        <f>EV62+EW152</f>
      </c>
      <c r="EX62" s="481">
        <f>EW62+EX152</f>
      </c>
      <c r="EY62" s="481">
        <f>EX62+EY152</f>
      </c>
      <c r="EZ62" s="485">
        <f>EY62</f>
      </c>
      <c r="FA62" s="485"/>
      <c r="FL62" s="111"/>
      <c r="FM62" s="111"/>
    </row>
    <row r="63" spans="1:169">
      <c r="A63" s="106" t="s">
        <v>385</v>
      </c>
      <c r="B63" s="426"/>
      <c r="C63" s="426"/>
      <c r="D63" s="426"/>
      <c r="E63" s="426"/>
      <c r="F63" s="426"/>
      <c r="G63" s="426"/>
      <c r="H63" s="426"/>
      <c r="I63" s="426"/>
      <c r="J63" s="426"/>
      <c r="K63" s="483"/>
      <c r="L63" s="484"/>
      <c r="M63" s="484"/>
      <c r="N63" s="484"/>
      <c r="O63" s="484"/>
      <c r="P63" s="485">
        <f>O63</f>
      </c>
      <c r="Q63" s="484"/>
      <c r="R63" s="484"/>
      <c r="S63" s="484"/>
      <c r="T63" s="484">
        <v>24.5</v>
      </c>
      <c r="U63" s="485">
        <f>T63</f>
      </c>
      <c r="V63" s="484">
        <v>28.05</v>
      </c>
      <c r="W63" s="484">
        <v>28.05</v>
      </c>
      <c r="X63" s="484">
        <v>7.05</v>
      </c>
      <c r="Y63" s="484">
        <v>7</v>
      </c>
      <c r="Z63" s="485">
        <f>Y63</f>
      </c>
      <c r="AA63" s="484">
        <v>7</v>
      </c>
      <c r="AB63" s="484">
        <v>0</v>
      </c>
      <c r="AC63" s="484">
        <v>0</v>
      </c>
      <c r="AD63" s="484">
        <v>0</v>
      </c>
      <c r="AE63" s="485">
        <f>AD63</f>
      </c>
      <c r="AF63" s="484">
        <v>0</v>
      </c>
      <c r="AG63" s="484">
        <v>0</v>
      </c>
      <c r="AH63" s="484">
        <v>0</v>
      </c>
      <c r="AI63" s="484">
        <v>0</v>
      </c>
      <c r="AJ63" s="485">
        <f>AI63</f>
      </c>
      <c r="AK63" s="484">
        <v>0</v>
      </c>
      <c r="AL63" s="484">
        <v>0</v>
      </c>
      <c r="AM63" s="484">
        <v>0</v>
      </c>
      <c r="AN63" s="484">
        <v>0</v>
      </c>
      <c r="AO63" s="485">
        <f>AN63</f>
      </c>
      <c r="AP63" s="484">
        <v>0</v>
      </c>
      <c r="AQ63" s="481">
        <v>0</v>
      </c>
      <c r="AR63" s="484">
        <v>0</v>
      </c>
      <c r="AS63" s="484">
        <v>0</v>
      </c>
      <c r="AT63" s="485">
        <f>AS63</f>
      </c>
      <c r="AU63" s="481">
        <f>AS63</f>
      </c>
      <c r="AV63" s="481">
        <f>AU63</f>
      </c>
      <c r="AW63" s="481">
        <v>0</v>
      </c>
      <c r="AX63" s="481">
        <f t="shared" ref="AX63:BF63" si="53">AW63</f>
      </c>
      <c r="AY63" s="485">
        <f>AX63</f>
      </c>
      <c r="AZ63" s="481">
        <f>AX63</f>
      </c>
      <c r="BA63" s="481">
        <f t="shared" si="53"/>
      </c>
      <c r="BB63" s="481">
        <f t="shared" si="53"/>
      </c>
      <c r="BC63" s="481">
        <f t="shared" si="53"/>
      </c>
      <c r="BD63" s="485">
        <f>BC63</f>
      </c>
      <c r="BE63" s="481">
        <f>BC63</f>
      </c>
      <c r="BF63" s="481">
        <f t="shared" si="53"/>
      </c>
      <c r="BG63" s="481">
        <v>0</v>
      </c>
      <c r="BH63" s="481">
        <f>BG63</f>
      </c>
      <c r="BI63" s="485">
        <f>BH63</f>
      </c>
      <c r="BJ63" s="481">
        <f>BH63</f>
      </c>
      <c r="BK63" s="481">
        <f>BJ63</f>
      </c>
      <c r="BL63" s="481">
        <v>0</v>
      </c>
      <c r="BM63" s="481">
        <f>BL63</f>
      </c>
      <c r="BN63" s="485">
        <f>BM63</f>
      </c>
      <c r="BO63" s="481">
        <f>BM63</f>
      </c>
      <c r="BP63" s="481">
        <f>BO63</f>
      </c>
      <c r="BQ63" s="481">
        <v>0</v>
      </c>
      <c r="BR63" s="481">
        <f>BQ63</f>
      </c>
      <c r="BS63" s="485">
        <f>BR63</f>
      </c>
      <c r="BT63" s="481">
        <f>BR63</f>
      </c>
      <c r="BU63" s="481">
        <f>BT63</f>
      </c>
      <c r="BV63" s="481">
        <v>0</v>
      </c>
      <c r="BW63" s="481">
        <f>BV63</f>
      </c>
      <c r="BX63" s="485">
        <f>BW63</f>
      </c>
      <c r="BY63" s="481">
        <f>BW63</f>
      </c>
      <c r="BZ63" s="481">
        <f>BY63</f>
      </c>
      <c r="CA63" s="481">
        <v>0</v>
      </c>
      <c r="CB63" s="481">
        <f>CA63</f>
      </c>
      <c r="CC63" s="485">
        <f>CB63</f>
      </c>
      <c r="CD63" s="481">
        <f>CB63</f>
      </c>
      <c r="CE63" s="481">
        <v>0</v>
      </c>
      <c r="CF63" s="481">
        <v>0</v>
      </c>
      <c r="CG63" s="481">
        <f>CF63</f>
      </c>
      <c r="CH63" s="485">
        <f>CG63</f>
      </c>
      <c r="CI63" s="481">
        <f>CG63</f>
      </c>
      <c r="CJ63" s="481">
        <f>CI63</f>
      </c>
      <c r="CK63" s="481">
        <f t="shared" ref="CK63:CP63" si="54">CJ63</f>
      </c>
      <c r="CL63" s="481">
        <f t="shared" si="54"/>
      </c>
      <c r="CM63" s="485">
        <f>CL63</f>
      </c>
      <c r="CN63" s="481">
        <f>CL63</f>
      </c>
      <c r="CO63" s="481">
        <f>CN63</f>
      </c>
      <c r="CP63" s="481">
        <f t="shared" si="54"/>
      </c>
      <c r="CQ63" s="481">
        <f>CP63</f>
      </c>
      <c r="CR63" s="485">
        <f>CQ63</f>
      </c>
      <c r="CS63" s="481">
        <f>CQ63</f>
      </c>
      <c r="CT63" s="481">
        <f>CS63</f>
      </c>
      <c r="CU63" s="481">
        <f>CT63</f>
      </c>
      <c r="CV63" s="481">
        <f>CU63</f>
      </c>
      <c r="CW63" s="485">
        <f>CV63</f>
      </c>
      <c r="CX63" s="481">
        <f>CV63</f>
      </c>
      <c r="CY63" s="481">
        <f>CX63</f>
      </c>
      <c r="CZ63" s="481">
        <f>CY63</f>
      </c>
      <c r="DA63" s="481">
        <f>CZ63</f>
      </c>
      <c r="DB63" s="485">
        <f>DA63</f>
      </c>
      <c r="DC63" s="481">
        <f>DA63</f>
      </c>
      <c r="DD63" s="481">
        <f>DC63</f>
      </c>
      <c r="DE63" s="481">
        <v>0</v>
      </c>
      <c r="DF63" s="481">
        <v>0</v>
      </c>
      <c r="DG63" s="485">
        <f>DF63</f>
      </c>
      <c r="DH63" s="481">
        <v>0</v>
      </c>
      <c r="DI63" s="481">
        <v>0</v>
      </c>
      <c r="DJ63" s="481">
        <v>0</v>
      </c>
      <c r="DK63" s="481">
        <f>DJ63</f>
      </c>
      <c r="DL63" s="485">
        <f>DK63</f>
      </c>
      <c r="DM63" s="481">
        <f>DK63</f>
      </c>
      <c r="DN63" s="481">
        <f>DM63</f>
      </c>
      <c r="DO63" s="481">
        <f>DN63</f>
      </c>
      <c r="DP63" s="481">
        <f>DO63</f>
      </c>
      <c r="DQ63" s="485">
        <f>DP63</f>
      </c>
      <c r="DR63" s="481">
        <f>DP63</f>
      </c>
      <c r="DS63" s="481">
        <f>DR63</f>
      </c>
      <c r="DT63" s="481">
        <f>DS63</f>
      </c>
      <c r="DU63" s="481">
        <f>DT63</f>
      </c>
      <c r="DV63" s="485">
        <f>DU63</f>
      </c>
      <c r="DW63" s="481">
        <f>DU63</f>
      </c>
      <c r="DX63" s="481">
        <f>DW63</f>
      </c>
      <c r="DY63" s="481">
        <f>DX63</f>
      </c>
      <c r="DZ63" s="481">
        <f>DY63</f>
      </c>
      <c r="EA63" s="485">
        <f>DZ63</f>
      </c>
      <c r="EB63" s="481">
        <f>EA63</f>
      </c>
      <c r="EC63" s="481">
        <f>EB63</f>
      </c>
      <c r="ED63" s="481">
        <f>EC63</f>
      </c>
      <c r="EE63" s="481">
        <f>ED63</f>
      </c>
      <c r="EF63" s="485">
        <f>EE63</f>
      </c>
      <c r="EG63" s="481">
        <f>EF63</f>
      </c>
      <c r="EH63" s="481">
        <f>EG63</f>
      </c>
      <c r="EI63" s="481">
        <f>EH63</f>
      </c>
      <c r="EJ63" s="481">
        <f>EI63</f>
      </c>
      <c r="EK63" s="485">
        <f>EJ63</f>
      </c>
      <c r="EL63" s="481">
        <f>EK63</f>
      </c>
      <c r="EM63" s="481">
        <f>EL63</f>
      </c>
      <c r="EN63" s="481">
        <f>EM63</f>
      </c>
      <c r="EO63" s="481">
        <f>EN63</f>
      </c>
      <c r="EP63" s="485">
        <f>EO63</f>
      </c>
      <c r="EQ63" s="481">
        <f>EO63</f>
      </c>
      <c r="ER63" s="481">
        <f t="shared" ref="ER63:ET64" si="55">EQ63</f>
      </c>
      <c r="ES63" s="481">
        <f t="shared" si="55"/>
      </c>
      <c r="ET63" s="481">
        <f t="shared" si="55"/>
      </c>
      <c r="EU63" s="485">
        <f>ET63</f>
      </c>
      <c r="EV63" s="481">
        <f>ET63</f>
      </c>
      <c r="EW63" s="481">
        <f t="shared" ref="EW63:EY64" si="56">EV63</f>
      </c>
      <c r="EX63" s="481">
        <f t="shared" si="56"/>
      </c>
      <c r="EY63" s="481">
        <f t="shared" si="56"/>
      </c>
      <c r="EZ63" s="485">
        <f>EY63</f>
      </c>
      <c r="FA63" s="485"/>
      <c r="FL63" s="111"/>
      <c r="FM63" s="111"/>
    </row>
    <row r="64" spans="1:169">
      <c r="A64" s="106" t="s">
        <v>386</v>
      </c>
      <c r="B64" s="426"/>
      <c r="C64" s="426"/>
      <c r="D64" s="426"/>
      <c r="E64" s="426"/>
      <c r="F64" s="426"/>
      <c r="G64" s="426"/>
      <c r="H64" s="426"/>
      <c r="I64" s="426"/>
      <c r="J64" s="426"/>
      <c r="K64" s="483"/>
      <c r="L64" s="484"/>
      <c r="M64" s="484"/>
      <c r="N64" s="484"/>
      <c r="O64" s="484"/>
      <c r="P64" s="485">
        <f>O64</f>
      </c>
      <c r="Q64" s="484"/>
      <c r="R64" s="484"/>
      <c r="S64" s="484"/>
      <c r="T64" s="484"/>
      <c r="U64" s="485">
        <f>T64</f>
      </c>
      <c r="V64" s="484"/>
      <c r="W64" s="484"/>
      <c r="X64" s="484">
        <v>318.67399999999998</v>
      </c>
      <c r="Y64" s="484">
        <v>458.37700000000001</v>
      </c>
      <c r="Z64" s="485">
        <f>Y64</f>
      </c>
      <c r="AA64" s="484">
        <v>521.24599999999998</v>
      </c>
      <c r="AB64" s="484">
        <v>579.59500000000003</v>
      </c>
      <c r="AC64" s="484">
        <v>589.04200000000003</v>
      </c>
      <c r="AD64" s="484">
        <v>681.41899999999998</v>
      </c>
      <c r="AE64" s="485">
        <f>AD64</f>
      </c>
      <c r="AF64" s="484">
        <v>771.54200000000003</v>
      </c>
      <c r="AG64" s="484">
        <v>737.29</v>
      </c>
      <c r="AH64" s="484">
        <v>380.31299999999999</v>
      </c>
      <c r="AI64" s="484">
        <v>389.62099999999998</v>
      </c>
      <c r="AJ64" s="485">
        <f>AI64</f>
      </c>
      <c r="AK64" s="484">
        <v>460.62799999999999</v>
      </c>
      <c r="AL64" s="484">
        <v>432.745</v>
      </c>
      <c r="AM64" s="484">
        <v>431.16300000000001</v>
      </c>
      <c r="AN64" s="484">
        <v>461.53300000000002</v>
      </c>
      <c r="AO64" s="485">
        <f>AN64</f>
      </c>
      <c r="AP64" s="484">
        <v>450.50799999999998</v>
      </c>
      <c r="AQ64" s="481">
        <v>475.37599999999998</v>
      </c>
      <c r="AR64" s="481">
        <v>421.87</v>
      </c>
      <c r="AS64" s="481">
        <v>398.41800000000001</v>
      </c>
      <c r="AT64" s="485">
        <f>AS64</f>
      </c>
      <c r="AU64" s="481">
        <v>467.29</v>
      </c>
      <c r="AV64" s="481">
        <v>462.74400000000003</v>
      </c>
      <c r="AW64" s="481">
        <v>431.84899999999999</v>
      </c>
      <c r="AX64" s="481">
        <v>573.43600000000004</v>
      </c>
      <c r="AY64" s="485">
        <f>AX64</f>
      </c>
      <c r="AZ64" s="481">
        <v>628.07299999999998</v>
      </c>
      <c r="BA64" s="481">
        <v>656.81799999999998</v>
      </c>
      <c r="BB64" s="481">
        <v>796.25099999999998</v>
      </c>
      <c r="BC64" s="481">
        <v>1082.509</v>
      </c>
      <c r="BD64" s="485">
        <f>BC64</f>
      </c>
      <c r="BE64" s="481">
        <v>818.33100000000002</v>
      </c>
      <c r="BF64" s="481">
        <v>938.08699999999999</v>
      </c>
      <c r="BG64" s="481">
        <v>843.63499999999999</v>
      </c>
      <c r="BH64" s="481">
        <v>837.702</v>
      </c>
      <c r="BI64" s="485">
        <f>BH64</f>
      </c>
      <c r="BJ64" s="481">
        <f>1338.147-BJ62</f>
      </c>
      <c r="BK64" s="481">
        <v>942.32</v>
      </c>
      <c r="BL64" s="481">
        <f>BK64</f>
      </c>
      <c r="BM64" s="481">
        <v>1281.0060000000001</v>
      </c>
      <c r="BN64" s="485">
        <f>BM64</f>
      </c>
      <c r="BO64" s="481">
        <v>1317.634</v>
      </c>
      <c r="BP64" s="481">
        <v>1395.4970000000001</v>
      </c>
      <c r="BQ64" s="481">
        <v>1536.046</v>
      </c>
      <c r="BR64" s="481">
        <v>1825.202</v>
      </c>
      <c r="BS64" s="485">
        <f>BR64</f>
      </c>
      <c r="BT64" s="481">
        <v>2042.9079999999999</v>
      </c>
      <c r="BU64" s="481">
        <v>1941.8820000000001</v>
      </c>
      <c r="BV64" s="481">
        <v>2181.538</v>
      </c>
      <c r="BW64" s="481">
        <v>2461.6999999999998</v>
      </c>
      <c r="BX64" s="485">
        <f>BW64</f>
      </c>
      <c r="BY64" s="481">
        <f>3130.812-BY62</f>
      </c>
      <c r="BZ64" s="481">
        <v>2778.482</v>
      </c>
      <c r="CA64" s="481">
        <v>2909.384</v>
      </c>
      <c r="CB64" s="481">
        <v>2995.0970000000002</v>
      </c>
      <c r="CC64" s="485">
        <f>CB64</f>
      </c>
      <c r="CD64" s="481">
        <v>3151.9279999999999</v>
      </c>
      <c r="CE64" s="481">
        <v>2344.5720000000001</v>
      </c>
      <c r="CF64" s="481">
        <v>2470.87</v>
      </c>
      <c r="CG64" s="481">
        <v>3520.223</v>
      </c>
      <c r="CH64" s="485">
        <f>CG64</f>
      </c>
      <c r="CI64" s="481">
        <v>3838.652</v>
      </c>
      <c r="CJ64" s="481">
        <v>3870.962</v>
      </c>
      <c r="CK64" s="481">
        <f>4240.797-CK62</f>
      </c>
      <c r="CL64" s="481">
        <f>4623.339-CL62</f>
      </c>
      <c r="CM64" s="485">
        <f>CL64</f>
      </c>
      <c r="CN64" s="481">
        <f>4792-CN62</f>
      </c>
      <c r="CO64" s="481">
        <f>4505-CO62</f>
      </c>
      <c r="CP64" s="481">
        <f>4728-CP62</f>
      </c>
      <c r="CQ64" s="481">
        <f>5037-CQ62</f>
      </c>
      <c r="CR64" s="485">
        <f>CQ64</f>
      </c>
      <c r="CS64" s="481">
        <f>4754-CS62</f>
      </c>
      <c r="CT64" s="481">
        <f>4879-CT62</f>
      </c>
      <c r="CU64" s="481">
        <f>6671-CU62</f>
      </c>
      <c r="CV64" s="481">
        <f>6798-CV62</f>
      </c>
      <c r="CW64" s="485">
        <f>CV64</f>
      </c>
      <c r="CX64" s="481">
        <f>6206-CX62</f>
      </c>
      <c r="CY64" s="481">
        <f>5877-CY62</f>
      </c>
      <c r="CZ64" s="481">
        <f>6320-CZ62</f>
      </c>
      <c r="DA64" s="481">
        <f>7108-DA62</f>
      </c>
      <c r="DB64" s="485">
        <f>DA64</f>
      </c>
      <c r="DC64" s="481">
        <f>7300-DC62</f>
      </c>
      <c r="DD64" s="481">
        <f>7943-DD62</f>
      </c>
      <c r="DE64" s="481">
        <f>7591-DE62</f>
      </c>
      <c r="DF64" s="481">
        <f>7422-DF62</f>
      </c>
      <c r="DG64" s="485">
        <f>DF64</f>
      </c>
      <c r="DH64" s="481">
        <f>7802-DH62</f>
      </c>
      <c r="DI64" s="481">
        <f>8475-DI62</f>
      </c>
      <c r="DJ64" s="481">
        <f>9769-DJ62</f>
      </c>
      <c r="DK64" s="481">
        <f>10897-DK62</f>
      </c>
      <c r="DL64" s="485">
        <f>DK64</f>
      </c>
      <c r="DM64" s="481">
        <f>16354-DM62</f>
      </c>
      <c r="DN64" s="481">
        <f>10981-DN62</f>
      </c>
      <c r="DO64" s="481">
        <f>10139-DO62</f>
      </c>
      <c r="DP64" s="481">
        <f>11561-DP62</f>
      </c>
      <c r="DQ64" s="485">
        <f>DP64</f>
      </c>
      <c r="DR64" s="481">
        <f>12667-DR62</f>
      </c>
      <c r="DS64" s="481">
        <f>19654-DS62</f>
      </c>
      <c r="DT64" s="481">
        <f>19298-DT62</f>
      </c>
      <c r="DU64" s="481">
        <f>21208-DU62</f>
      </c>
      <c r="DV64" s="485">
        <f>DU64</f>
      </c>
      <c r="DW64" s="481">
        <f>20338-DW62</f>
      </c>
      <c r="DX64" s="481">
        <f>17037-DX62</f>
      </c>
      <c r="DY64" s="481">
        <f>13143-DY62</f>
      </c>
      <c r="DZ64" s="481">
        <f>13296-DZ62</f>
      </c>
      <c r="EA64" s="485">
        <f>DZ64</f>
      </c>
      <c r="EB64" s="481">
        <f>15320-EB62</f>
      </c>
      <c r="EC64" s="481">
        <f>16023-EC62</f>
      </c>
      <c r="ED64" s="481">
        <f>18281-ED62</f>
      </c>
      <c r="EE64" s="481">
        <f>25984-EE62</f>
      </c>
      <c r="EF64" s="485">
        <f>EE64</f>
      </c>
      <c r="EG64" s="481">
        <f>31438-EG62</f>
      </c>
      <c r="EH64" s="481">
        <f>34800-EH62</f>
      </c>
      <c r="EI64" s="481">
        <f>38487-EI62</f>
      </c>
      <c r="EJ64" s="481">
        <f>43210-EJ62</f>
      </c>
      <c r="EK64" s="485">
        <f>EJ64</f>
      </c>
      <c r="EL64" s="481">
        <f>53691-EL62</f>
      </c>
      <c r="EM64" s="481">
        <f>56791-EM62</f>
      </c>
      <c r="EN64" s="481">
        <f>EM64</f>
      </c>
      <c r="EO64" s="481">
        <f>EN64</f>
      </c>
      <c r="EP64" s="485">
        <f>EO64</f>
      </c>
      <c r="EQ64" s="481">
        <f>EO64</f>
      </c>
      <c r="ER64" s="481">
        <f t="shared" si="55"/>
      </c>
      <c r="ES64" s="481">
        <f t="shared" si="55"/>
      </c>
      <c r="ET64" s="481">
        <f t="shared" si="55"/>
      </c>
      <c r="EU64" s="485">
        <f>ET64</f>
      </c>
      <c r="EV64" s="481">
        <f>ET64</f>
      </c>
      <c r="EW64" s="481">
        <f t="shared" si="56"/>
      </c>
      <c r="EX64" s="481">
        <f t="shared" si="56"/>
      </c>
      <c r="EY64" s="481">
        <f t="shared" si="56"/>
      </c>
      <c r="EZ64" s="485">
        <f>EY64</f>
      </c>
      <c r="FA64" s="485"/>
      <c r="FL64" s="111"/>
      <c r="FM64" s="111"/>
    </row>
    <row r="65" spans="1:169">
      <c r="A65" s="106" t="s">
        <v>224</v>
      </c>
      <c r="B65" s="426"/>
      <c r="C65" s="426"/>
      <c r="D65" s="426"/>
      <c r="E65" s="426"/>
      <c r="F65" s="426"/>
      <c r="G65" s="426"/>
      <c r="H65" s="426"/>
      <c r="I65" s="426"/>
      <c r="J65" s="426"/>
      <c r="K65" s="483"/>
      <c r="L65" s="484">
        <v>34.198999999999998</v>
      </c>
      <c r="M65" s="484">
        <v>50.179000000000002</v>
      </c>
      <c r="N65" s="484">
        <v>56.418999999999997</v>
      </c>
      <c r="O65" s="484">
        <v>67.224000000000004</v>
      </c>
      <c r="P65" s="485">
        <f>O65</f>
      </c>
      <c r="Q65" s="484">
        <v>71.998000000000005</v>
      </c>
      <c r="R65" s="484">
        <v>85.091999999999999</v>
      </c>
      <c r="S65" s="484">
        <v>104.352</v>
      </c>
      <c r="T65" s="484">
        <v>104.988</v>
      </c>
      <c r="U65" s="485">
        <f>T65</f>
      </c>
      <c r="V65" s="484">
        <v>86.629000000000005</v>
      </c>
      <c r="W65" s="484">
        <v>112.846</v>
      </c>
      <c r="X65" s="484">
        <v>117.664</v>
      </c>
      <c r="Y65" s="484">
        <v>147.34800000000001</v>
      </c>
      <c r="Z65" s="485">
        <f>Y65</f>
      </c>
      <c r="AA65" s="484">
        <v>151.429</v>
      </c>
      <c r="AB65" s="484">
        <v>133.03800000000001</v>
      </c>
      <c r="AC65" s="484">
        <v>149.86099999999999</v>
      </c>
      <c r="AD65" s="484">
        <v>154.501</v>
      </c>
      <c r="AE65" s="485">
        <f>AD65</f>
      </c>
      <c r="AF65" s="484">
        <v>155.751</v>
      </c>
      <c r="AG65" s="484">
        <v>190.21299999999999</v>
      </c>
      <c r="AH65" s="484">
        <v>157.839</v>
      </c>
      <c r="AI65" s="484">
        <v>196.631</v>
      </c>
      <c r="AJ65" s="485">
        <f>AI65</f>
      </c>
      <c r="AK65" s="484">
        <v>205.30799999999999</v>
      </c>
      <c r="AL65" s="484">
        <v>246.39599999999999</v>
      </c>
      <c r="AM65" s="481">
        <v>307.40899999999999</v>
      </c>
      <c r="AN65" s="481">
        <v>296.279</v>
      </c>
      <c r="AO65" s="485">
        <f>AN65</f>
      </c>
      <c r="AP65" s="481">
        <v>255.25200000000001</v>
      </c>
      <c r="AQ65" s="481">
        <v>355.39299999999997</v>
      </c>
      <c r="AR65" s="481">
        <v>351.73700000000002</v>
      </c>
      <c r="AS65" s="481">
        <v>318.18599999999998</v>
      </c>
      <c r="AT65" s="485">
        <f>AS65</f>
      </c>
      <c r="AU65" s="481">
        <v>391.27</v>
      </c>
      <c r="AV65" s="481">
        <v>459.63600000000002</v>
      </c>
      <c r="AW65" s="481">
        <v>439.25200000000001</v>
      </c>
      <c r="AX65" s="481">
        <v>518.67999999999995</v>
      </c>
      <c r="AY65" s="485">
        <f>AX65</f>
      </c>
      <c r="AZ65" s="481">
        <v>471.51900000000001</v>
      </c>
      <c r="BA65" s="481">
        <v>508.435</v>
      </c>
      <c r="BB65" s="481">
        <v>552.40700000000004</v>
      </c>
      <c r="BC65" s="481">
        <v>666.49400000000003</v>
      </c>
      <c r="BD65" s="485">
        <f>BC65</f>
      </c>
      <c r="BE65" s="481">
        <v>651.79999999999995</v>
      </c>
      <c r="BF65" s="481">
        <v>679.41600000000005</v>
      </c>
      <c r="BG65" s="481">
        <v>607.83399999999995</v>
      </c>
      <c r="BH65" s="481">
        <v>318.435</v>
      </c>
      <c r="BI65" s="485">
        <f>BH65</f>
      </c>
      <c r="BJ65" s="481">
        <v>304.39299999999997</v>
      </c>
      <c r="BK65" s="481">
        <v>351.96</v>
      </c>
      <c r="BL65" s="481">
        <v>397.82</v>
      </c>
      <c r="BM65" s="481">
        <v>374.96300000000002</v>
      </c>
      <c r="BN65" s="485">
        <f>BM65</f>
      </c>
      <c r="BO65" s="481">
        <v>529.66300000000001</v>
      </c>
      <c r="BP65" s="481">
        <v>395.93400000000003</v>
      </c>
      <c r="BQ65" s="481">
        <v>399.50200000000001</v>
      </c>
      <c r="BR65" s="481">
        <v>348.77</v>
      </c>
      <c r="BS65" s="485">
        <f>BR65</f>
      </c>
      <c r="BT65" s="481">
        <v>343.202</v>
      </c>
      <c r="BU65" s="481">
        <v>419.94400000000002</v>
      </c>
      <c r="BV65" s="481">
        <v>371.26100000000002</v>
      </c>
      <c r="BW65" s="481">
        <v>336.14299999999997</v>
      </c>
      <c r="BX65" s="485">
        <f>BW65</f>
      </c>
      <c r="BY65" s="481">
        <v>411.15499999999997</v>
      </c>
      <c r="BZ65" s="481">
        <v>445.31200000000001</v>
      </c>
      <c r="CA65" s="481">
        <v>444.94400000000002</v>
      </c>
      <c r="CB65" s="481">
        <v>454.25200000000001</v>
      </c>
      <c r="CC65" s="485">
        <f>CB65</f>
      </c>
      <c r="CD65" s="481">
        <v>346.99799999999999</v>
      </c>
      <c r="CE65" s="481">
        <v>418.12299999999999</v>
      </c>
      <c r="CF65" s="481">
        <v>447.63099999999997</v>
      </c>
      <c r="CG65" s="481">
        <v>426.35700000000003</v>
      </c>
      <c r="CH65" s="485">
        <f>CG65</f>
      </c>
      <c r="CI65" s="481">
        <v>396.43799999999999</v>
      </c>
      <c r="CJ65" s="481">
        <v>469.625</v>
      </c>
      <c r="CK65" s="481">
        <v>563.4</v>
      </c>
      <c r="CL65" s="481">
        <v>473.637</v>
      </c>
      <c r="CM65" s="485">
        <f>CL65</f>
      </c>
      <c r="CN65" s="481">
        <v>455</v>
      </c>
      <c r="CO65" s="481">
        <v>514</v>
      </c>
      <c r="CP65" s="481">
        <v>536</v>
      </c>
      <c r="CQ65" s="481">
        <v>505</v>
      </c>
      <c r="CR65" s="485">
        <f>CQ65</f>
      </c>
      <c r="CS65" s="481">
        <v>523</v>
      </c>
      <c r="CT65" s="481">
        <v>644</v>
      </c>
      <c r="CU65" s="481">
        <v>833</v>
      </c>
      <c r="CV65" s="481">
        <v>826</v>
      </c>
      <c r="CW65" s="485">
        <f>CV65</f>
      </c>
      <c r="CX65" s="481">
        <v>976</v>
      </c>
      <c r="CY65" s="481">
        <v>1213</v>
      </c>
      <c r="CZ65" s="481">
        <v>1167</v>
      </c>
      <c r="DA65" s="481">
        <v>1265</v>
      </c>
      <c r="DB65" s="485">
        <f>DA65</f>
      </c>
      <c r="DC65" s="481">
        <v>1220</v>
      </c>
      <c r="DD65" s="481">
        <v>1662</v>
      </c>
      <c r="DE65" s="481">
        <v>2219</v>
      </c>
      <c r="DF65" s="481">
        <v>1424</v>
      </c>
      <c r="DG65" s="485">
        <f>DF65</f>
      </c>
      <c r="DH65" s="481">
        <v>1242</v>
      </c>
      <c r="DI65" s="481">
        <v>1561</v>
      </c>
      <c r="DJ65" s="481">
        <v>1455</v>
      </c>
      <c r="DK65" s="481">
        <v>1657</v>
      </c>
      <c r="DL65" s="485">
        <f>DK65</f>
      </c>
      <c r="DM65" s="481">
        <v>1907</v>
      </c>
      <c r="DN65" s="481">
        <v>2084</v>
      </c>
      <c r="DO65" s="481">
        <v>2546</v>
      </c>
      <c r="DP65" s="481">
        <v>2429</v>
      </c>
      <c r="DQ65" s="485">
        <f>DP65</f>
      </c>
      <c r="DR65" s="481">
        <v>3024</v>
      </c>
      <c r="DS65" s="481">
        <v>3586</v>
      </c>
      <c r="DT65" s="481">
        <v>3954</v>
      </c>
      <c r="DU65" s="481">
        <v>4650</v>
      </c>
      <c r="DV65" s="485">
        <f>DU65</f>
      </c>
      <c r="DW65" s="481">
        <v>5438</v>
      </c>
      <c r="DX65" s="481">
        <v>5317</v>
      </c>
      <c r="DY65" s="481">
        <v>4908</v>
      </c>
      <c r="DZ65" s="481">
        <v>3827</v>
      </c>
      <c r="EA65" s="485">
        <f>DZ65</f>
      </c>
      <c r="EB65" s="481">
        <v>4080</v>
      </c>
      <c r="EC65" s="481">
        <v>7066</v>
      </c>
      <c r="ED65" s="481">
        <v>8309</v>
      </c>
      <c r="EE65" s="481">
        <v>9999</v>
      </c>
      <c r="EF65" s="485">
        <f>EE65</f>
      </c>
      <c r="EG65" s="481">
        <v>12365</v>
      </c>
      <c r="EH65" s="481">
        <v>14132</v>
      </c>
      <c r="EI65" s="481">
        <v>17693</v>
      </c>
      <c r="EJ65" s="481">
        <v>23065</v>
      </c>
      <c r="EK65" s="485">
        <f>EJ65</f>
      </c>
      <c r="EL65" s="481">
        <v>22132</v>
      </c>
      <c r="EM65" s="481">
        <v>27808</v>
      </c>
      <c r="EN65" s="481">
        <f>EN66/91*EN7</f>
      </c>
      <c r="EO65" s="481">
        <f>EO66/91*EO7</f>
      </c>
      <c r="EP65" s="485">
        <f>EO65</f>
      </c>
      <c r="EQ65" s="481">
        <f>EQ66/91*EQ7</f>
      </c>
      <c r="ER65" s="481">
        <f>ER66/91*ER7</f>
      </c>
      <c r="ES65" s="481">
        <f>ES66/91*ES7</f>
      </c>
      <c r="ET65" s="481">
        <f>ET66/91*ET7</f>
      </c>
      <c r="EU65" s="485">
        <f>ET65</f>
      </c>
      <c r="EV65" s="481">
        <f>EV66/91*EV7</f>
      </c>
      <c r="EW65" s="481">
        <f>EW66/91*EW7</f>
      </c>
      <c r="EX65" s="481">
        <f>EX66/91*EX7</f>
      </c>
      <c r="EY65" s="481">
        <f>EY66/91*EY7</f>
      </c>
      <c r="EZ65" s="485">
        <f>EY65</f>
      </c>
      <c r="FA65" s="485"/>
      <c r="FL65" s="111"/>
      <c r="FM65" s="111"/>
    </row>
    <row r="66" spans="1:169" s="490" customFormat="1">
      <c r="A66" s="486" t="s">
        <v>387</v>
      </c>
      <c r="B66" s="487"/>
      <c r="C66" s="487"/>
      <c r="D66" s="487"/>
      <c r="E66" s="487"/>
      <c r="F66" s="487"/>
      <c r="G66" s="487"/>
      <c r="H66" s="487"/>
      <c r="I66" s="487"/>
      <c r="J66" s="487"/>
      <c r="K66" s="488"/>
      <c r="L66" s="485">
        <f>L65/(L7/91)</f>
      </c>
      <c r="M66" s="485">
        <f>M65/(M7/91)</f>
      </c>
      <c r="N66" s="485">
        <f>N65/(N7/91)</f>
      </c>
      <c r="O66" s="485">
        <f>O65/(O7/91)</f>
      </c>
      <c r="P66" s="488"/>
      <c r="Q66" s="485">
        <f>Q65/(Q7/91)</f>
      </c>
      <c r="R66" s="485">
        <f>R65/(R7/91)</f>
      </c>
      <c r="S66" s="485">
        <f>S65/(S7/91)</f>
      </c>
      <c r="T66" s="485">
        <f>T65/(T7/91)</f>
      </c>
      <c r="U66" s="488"/>
      <c r="V66" s="485">
        <f>V65/(V7/91)</f>
      </c>
      <c r="W66" s="485">
        <f>W65/(W7/91)</f>
      </c>
      <c r="X66" s="485">
        <f>X65/(X7/91)</f>
      </c>
      <c r="Y66" s="485">
        <f>Y65/(Y7/91)</f>
      </c>
      <c r="Z66" s="488"/>
      <c r="AA66" s="485">
        <f>AA65/(AA7/91)</f>
      </c>
      <c r="AB66" s="485">
        <f>AB65/(AB7/91)</f>
      </c>
      <c r="AC66" s="485">
        <f>AC65/(AC7/91)</f>
      </c>
      <c r="AD66" s="485">
        <f>AD65/(AD7/91)</f>
      </c>
      <c r="AE66" s="488"/>
      <c r="AF66" s="485">
        <f>AF65/(AF7/91)</f>
      </c>
      <c r="AG66" s="485">
        <f>AG65/(AG7/91)</f>
      </c>
      <c r="AH66" s="485">
        <f>AH65/(AH7/91)</f>
      </c>
      <c r="AI66" s="485">
        <f>AI65/(AI7/91)</f>
      </c>
      <c r="AJ66" s="488"/>
      <c r="AK66" s="485">
        <f>AK65/(AK7/91)</f>
      </c>
      <c r="AL66" s="485">
        <f>AL65/(AL7/91)</f>
      </c>
      <c r="AM66" s="485">
        <f>AM65/(AM7/91)</f>
      </c>
      <c r="AN66" s="485">
        <f>AN65/(AN7/91)</f>
      </c>
      <c r="AO66" s="488"/>
      <c r="AP66" s="485">
        <f>AP65/(AP7/91)</f>
      </c>
      <c r="AQ66" s="485">
        <f>AQ65/(AQ7/91)</f>
      </c>
      <c r="AR66" s="485">
        <f>AR65/(AR7/91)</f>
      </c>
      <c r="AS66" s="485">
        <f>AS65/(AS7/91)</f>
      </c>
      <c r="AT66" s="488"/>
      <c r="AU66" s="485">
        <f>AU65/(AU7/91)</f>
      </c>
      <c r="AV66" s="485">
        <f>AV65/(AV7/91)</f>
      </c>
      <c r="AW66" s="485">
        <f>AW65/(AW7/91)</f>
      </c>
      <c r="AX66" s="485">
        <f>AX65/(AX7/91)</f>
      </c>
      <c r="AY66" s="488"/>
      <c r="AZ66" s="485">
        <f>AZ65/(AZ7/91)</f>
      </c>
      <c r="BA66" s="485">
        <f>BA65/(BA7/91)</f>
      </c>
      <c r="BB66" s="485">
        <f>BB65/(BB7/91)</f>
      </c>
      <c r="BC66" s="485">
        <f>BC65/(BC7/91)</f>
      </c>
      <c r="BD66" s="488"/>
      <c r="BE66" s="485">
        <f>BE65/(BE7/91)</f>
      </c>
      <c r="BF66" s="485">
        <f>BF65/(BF7/91)</f>
      </c>
      <c r="BG66" s="485">
        <f>BG65/(BG7/91)</f>
      </c>
      <c r="BH66" s="485">
        <f>BH65/(BH7/91)</f>
      </c>
      <c r="BI66" s="488"/>
      <c r="BJ66" s="485">
        <f>BJ65/(BJ7/91)</f>
      </c>
      <c r="BK66" s="485">
        <f>BK65/(BK7/91)</f>
      </c>
      <c r="BL66" s="485">
        <f>BL65/(BL7/91)</f>
      </c>
      <c r="BM66" s="485">
        <f>BM65/(BM7/91)</f>
      </c>
      <c r="BN66" s="488"/>
      <c r="BO66" s="485">
        <f>BO65/(BO7/91)</f>
      </c>
      <c r="BP66" s="485">
        <f>BP65/(BP7/91)</f>
      </c>
      <c r="BQ66" s="485">
        <f>BQ65/(BQ7/91)</f>
      </c>
      <c r="BR66" s="485">
        <f>BR65/(BR7/91)</f>
      </c>
      <c r="BS66" s="488"/>
      <c r="BT66" s="485">
        <f>BT65/(BT7/91)</f>
      </c>
      <c r="BU66" s="485">
        <f>BU65/(BU7/91)</f>
      </c>
      <c r="BV66" s="485">
        <f>BV65/(BV7/91)</f>
      </c>
      <c r="BW66" s="485">
        <f>BW65/(BW7/91)</f>
      </c>
      <c r="BX66" s="488"/>
      <c r="BY66" s="485">
        <f>BY65/(BY7/91)</f>
      </c>
      <c r="BZ66" s="485">
        <f>BZ65/(BZ7/91)</f>
      </c>
      <c r="CA66" s="485">
        <f>CA65/(CA7/91)</f>
      </c>
      <c r="CB66" s="485">
        <f>CB65/(CB7/91)</f>
      </c>
      <c r="CC66" s="488"/>
      <c r="CD66" s="485">
        <f>CD65/(CD7/91)</f>
      </c>
      <c r="CE66" s="485">
        <f>CE65/(CE7/91)</f>
      </c>
      <c r="CF66" s="485">
        <f>CF65/(CF7/91)</f>
      </c>
      <c r="CG66" s="485">
        <f>CG65/(CG7/91)</f>
      </c>
      <c r="CH66" s="488"/>
      <c r="CI66" s="485">
        <f>CI65/(CI7/91)</f>
      </c>
      <c r="CJ66" s="485">
        <f>CJ65/(CJ7/91)</f>
      </c>
      <c r="CK66" s="485">
        <f>CK65/(CK7/91)</f>
      </c>
      <c r="CL66" s="485">
        <f>CL65/(CL7/91)</f>
      </c>
      <c r="CM66" s="488"/>
      <c r="CN66" s="485">
        <f>CN65/(CN7/91)</f>
      </c>
      <c r="CO66" s="485">
        <f>CO65/(CO7/91)</f>
      </c>
      <c r="CP66" s="485">
        <f>CP65/(CP7/91)</f>
      </c>
      <c r="CQ66" s="485">
        <f>CQ65/(CQ7/91)</f>
      </c>
      <c r="CR66" s="488"/>
      <c r="CS66" s="485">
        <f>CS65/(CS7/91)</f>
      </c>
      <c r="CT66" s="485">
        <f>CT65/(CT7/91)</f>
      </c>
      <c r="CU66" s="485">
        <f>CU65/(CU7/91)</f>
      </c>
      <c r="CV66" s="485">
        <f>CV65/(CV7/91)</f>
      </c>
      <c r="CW66" s="488"/>
      <c r="CX66" s="485">
        <f>CX65/(CX7/91)</f>
      </c>
      <c r="CY66" s="485">
        <f>CY65/(CY7/91)</f>
      </c>
      <c r="CZ66" s="485">
        <f>CZ65/(CZ7/91)</f>
      </c>
      <c r="DA66" s="485">
        <f>DA65/(DA7/91)</f>
      </c>
      <c r="DB66" s="488"/>
      <c r="DC66" s="485">
        <f>DC65/(DC7/91)</f>
      </c>
      <c r="DD66" s="485">
        <f>DD65/(DD7/91)</f>
      </c>
      <c r="DE66" s="485">
        <f>DE65/(DE7/91)</f>
      </c>
      <c r="DF66" s="485">
        <f>DF65/(DF7/91)</f>
      </c>
      <c r="DG66" s="488"/>
      <c r="DH66" s="485">
        <f>DH65/(DH7/91)</f>
      </c>
      <c r="DI66" s="485">
        <f>DI65/(DI7/91)</f>
      </c>
      <c r="DJ66" s="485">
        <f>DJ65/(DJ7/91)</f>
      </c>
      <c r="DK66" s="485">
        <f>DK65/(DK7/91)</f>
      </c>
      <c r="DL66" s="488"/>
      <c r="DM66" s="485">
        <f>DM65/(DM7/91)</f>
      </c>
      <c r="DN66" s="485">
        <f>DN65/(DN7/91)</f>
      </c>
      <c r="DO66" s="485">
        <f>DO65/(DO7/91)</f>
      </c>
      <c r="DP66" s="485">
        <f>DP65/(DP7/91)</f>
      </c>
      <c r="DQ66" s="488"/>
      <c r="DR66" s="485">
        <f>DR65/(DR7/91)</f>
      </c>
      <c r="DS66" s="485">
        <f>DS65/(DS7/91)</f>
      </c>
      <c r="DT66" s="485">
        <f>DT65/(DT7/91)</f>
      </c>
      <c r="DU66" s="485">
        <f>DU65/(DU7/91)</f>
      </c>
      <c r="DV66" s="488"/>
      <c r="DW66" s="485">
        <f>DW65/(DW7/91)</f>
      </c>
      <c r="DX66" s="485">
        <f>DX65/(DX7/91)</f>
      </c>
      <c r="DY66" s="485">
        <f>DY65/(DY7/91)</f>
      </c>
      <c r="DZ66" s="485">
        <f>DZ65/(DZ7/91)</f>
      </c>
      <c r="EA66" s="488"/>
      <c r="EB66" s="485">
        <f>EB65/(EB7/91)</f>
      </c>
      <c r="EC66" s="485">
        <f>EC65/(EC7/91)</f>
      </c>
      <c r="ED66" s="485">
        <f>ED65/(ED7/91)</f>
      </c>
      <c r="EE66" s="485">
        <f>EE65/(EE7/91)</f>
      </c>
      <c r="EF66" s="488"/>
      <c r="EG66" s="485">
        <f>EG65/(EG7/91)</f>
      </c>
      <c r="EH66" s="485">
        <f>EH65/(EH7/91)</f>
      </c>
      <c r="EI66" s="485">
        <f>EI65/(EI7/91)</f>
      </c>
      <c r="EJ66" s="485">
        <f>EJ65/(EJ7/91)</f>
      </c>
      <c r="EK66" s="488"/>
      <c r="EL66" s="485">
        <f>EL65/(EL7/91)</f>
      </c>
      <c r="EM66" s="485">
        <f>EM65/(EM7/91)</f>
      </c>
      <c r="EN66" s="489">
        <v>50</v>
      </c>
      <c r="EO66" s="489">
        <v>50</v>
      </c>
      <c r="EP66" s="488"/>
      <c r="EQ66" s="489">
        <v>47</v>
      </c>
      <c r="ER66" s="489">
        <v>47</v>
      </c>
      <c r="ES66" s="489">
        <v>48</v>
      </c>
      <c r="ET66" s="489">
        <v>50</v>
      </c>
      <c r="EU66" s="488"/>
      <c r="EV66" s="489">
        <v>47</v>
      </c>
      <c r="EW66" s="489">
        <v>47</v>
      </c>
      <c r="EX66" s="489">
        <v>48</v>
      </c>
      <c r="EY66" s="489">
        <v>50</v>
      </c>
      <c r="EZ66" s="488"/>
      <c r="FA66" s="488"/>
      <c r="FL66" s="111"/>
      <c r="FM66" s="111"/>
    </row>
    <row r="67" spans="1:169">
      <c r="A67" s="106" t="s">
        <v>388</v>
      </c>
      <c r="B67" s="426"/>
      <c r="C67" s="426"/>
      <c r="D67" s="426"/>
      <c r="E67" s="426"/>
      <c r="F67" s="426"/>
      <c r="G67" s="426"/>
      <c r="H67" s="426"/>
      <c r="I67" s="426"/>
      <c r="J67" s="426"/>
      <c r="K67" s="483"/>
      <c r="L67" s="481">
        <v>15.193</v>
      </c>
      <c r="M67" s="481">
        <v>8.4410000000000007</v>
      </c>
      <c r="N67" s="481">
        <v>11.734</v>
      </c>
      <c r="O67" s="481">
        <v>37.631</v>
      </c>
      <c r="P67" s="485">
        <f>O67</f>
      </c>
      <c r="Q67" s="481">
        <v>55.241</v>
      </c>
      <c r="R67" s="481">
        <v>68.135000000000005</v>
      </c>
      <c r="S67" s="481">
        <v>93.191999999999993</v>
      </c>
      <c r="T67" s="481">
        <v>89.905000000000001</v>
      </c>
      <c r="U67" s="485">
        <f>T67</f>
      </c>
      <c r="V67" s="481">
        <v>86.77</v>
      </c>
      <c r="W67" s="481">
        <v>89.61</v>
      </c>
      <c r="X67" s="481">
        <v>120.488</v>
      </c>
      <c r="Y67" s="481">
        <v>213.87700000000001</v>
      </c>
      <c r="Z67" s="485">
        <f>Y67</f>
      </c>
      <c r="AA67" s="481">
        <v>253.92699999999999</v>
      </c>
      <c r="AB67" s="481">
        <v>285.35000000000002</v>
      </c>
      <c r="AC67" s="481">
        <v>205.04300000000001</v>
      </c>
      <c r="AD67" s="481">
        <v>145.04599999999999</v>
      </c>
      <c r="AE67" s="485">
        <f>AD67</f>
      </c>
      <c r="AF67" s="481">
        <v>165.785</v>
      </c>
      <c r="AG67" s="481">
        <v>217.85900000000001</v>
      </c>
      <c r="AH67" s="481">
        <v>260.81900000000002</v>
      </c>
      <c r="AI67" s="481">
        <v>234.238</v>
      </c>
      <c r="AJ67" s="485">
        <f>AI67</f>
      </c>
      <c r="AK67" s="481">
        <v>234.79599999999999</v>
      </c>
      <c r="AL67" s="481">
        <v>266.98500000000001</v>
      </c>
      <c r="AM67" s="481">
        <v>297.55099999999999</v>
      </c>
      <c r="AN67" s="481">
        <v>315.51799999999997</v>
      </c>
      <c r="AO67" s="485">
        <f>AN67</f>
      </c>
      <c r="AP67" s="481">
        <v>307.75900000000001</v>
      </c>
      <c r="AQ67" s="481">
        <v>300.95499999999998</v>
      </c>
      <c r="AR67" s="481">
        <v>284.84699999999998</v>
      </c>
      <c r="AS67" s="481">
        <v>254.792</v>
      </c>
      <c r="AT67" s="485">
        <f>AS67</f>
      </c>
      <c r="AU67" s="481">
        <v>346.43099999999998</v>
      </c>
      <c r="AV67" s="481">
        <v>378.661</v>
      </c>
      <c r="AW67" s="481">
        <v>373.55799999999999</v>
      </c>
      <c r="AX67" s="481">
        <v>354.68</v>
      </c>
      <c r="AY67" s="485">
        <f>AX67</f>
      </c>
      <c r="AZ67" s="481">
        <v>332.63499999999999</v>
      </c>
      <c r="BA67" s="481">
        <v>276.30500000000001</v>
      </c>
      <c r="BB67" s="481">
        <v>306.14299999999997</v>
      </c>
      <c r="BC67" s="481">
        <v>358.52100000000002</v>
      </c>
      <c r="BD67" s="485">
        <f>BC67</f>
      </c>
      <c r="BE67" s="481">
        <v>420.12599999999998</v>
      </c>
      <c r="BF67" s="481">
        <v>432.279</v>
      </c>
      <c r="BG67" s="481">
        <v>523.98800000000006</v>
      </c>
      <c r="BH67" s="481">
        <v>537.83399999999995</v>
      </c>
      <c r="BI67" s="485">
        <f>BH67</f>
      </c>
      <c r="BJ67" s="481">
        <v>327.25900000000001</v>
      </c>
      <c r="BK67" s="481">
        <v>279.21600000000001</v>
      </c>
      <c r="BL67" s="481">
        <v>277.64299999999997</v>
      </c>
      <c r="BM67" s="481">
        <v>330.67399999999998</v>
      </c>
      <c r="BN67" s="485">
        <f>BM67</f>
      </c>
      <c r="BO67" s="481">
        <v>388.13900000000001</v>
      </c>
      <c r="BP67" s="481">
        <v>434.22699999999998</v>
      </c>
      <c r="BQ67" s="481">
        <v>377.81200000000001</v>
      </c>
      <c r="BR67" s="481">
        <v>345.52499999999998</v>
      </c>
      <c r="BS67" s="485">
        <f>BR67</f>
      </c>
      <c r="BT67" s="481">
        <v>380.964</v>
      </c>
      <c r="BU67" s="481">
        <v>361.911</v>
      </c>
      <c r="BV67" s="481">
        <v>319.60199999999998</v>
      </c>
      <c r="BW67" s="481">
        <v>340.29700000000003</v>
      </c>
      <c r="BX67" s="485">
        <f>BW67</f>
      </c>
      <c r="BY67" s="481">
        <v>342.70699999999999</v>
      </c>
      <c r="BZ67" s="481">
        <v>387.185</v>
      </c>
      <c r="CA67" s="481">
        <v>428.983</v>
      </c>
      <c r="CB67" s="481">
        <v>419.68599999999998</v>
      </c>
      <c r="CC67" s="485">
        <f>CB67</f>
      </c>
      <c r="CD67" s="481">
        <v>377.59699999999998</v>
      </c>
      <c r="CE67" s="481">
        <v>378.28</v>
      </c>
      <c r="CF67" s="481">
        <v>380.31900000000002</v>
      </c>
      <c r="CG67" s="481">
        <v>387.76499999999999</v>
      </c>
      <c r="CH67" s="485">
        <f>CG67</f>
      </c>
      <c r="CI67" s="481">
        <v>393.28</v>
      </c>
      <c r="CJ67" s="481">
        <v>387.43400000000003</v>
      </c>
      <c r="CK67" s="481">
        <v>408.08100000000002</v>
      </c>
      <c r="CL67" s="481">
        <v>482.89299999999997</v>
      </c>
      <c r="CM67" s="485">
        <f>CL67</f>
      </c>
      <c r="CN67" s="481">
        <v>438</v>
      </c>
      <c r="CO67" s="481">
        <v>441</v>
      </c>
      <c r="CP67" s="481">
        <v>425</v>
      </c>
      <c r="CQ67" s="481">
        <v>418</v>
      </c>
      <c r="CR67" s="485">
        <f>CQ67</f>
      </c>
      <c r="CS67" s="481">
        <v>394</v>
      </c>
      <c r="CT67" s="481">
        <v>521</v>
      </c>
      <c r="CU67" s="481">
        <v>679</v>
      </c>
      <c r="CV67" s="481">
        <v>794</v>
      </c>
      <c r="CW67" s="485">
        <f>CV67</f>
      </c>
      <c r="CX67" s="481">
        <v>821</v>
      </c>
      <c r="CY67" s="481">
        <v>855</v>
      </c>
      <c r="CZ67" s="481">
        <v>857</v>
      </c>
      <c r="DA67" s="481">
        <v>796</v>
      </c>
      <c r="DB67" s="485">
        <f>DA67</f>
      </c>
      <c r="DC67" s="481">
        <v>797</v>
      </c>
      <c r="DD67" s="481">
        <v>1090</v>
      </c>
      <c r="DE67" s="481">
        <v>1417</v>
      </c>
      <c r="DF67" s="481">
        <v>1575</v>
      </c>
      <c r="DG67" s="485">
        <f>DF67</f>
      </c>
      <c r="DH67" s="481">
        <v>1426</v>
      </c>
      <c r="DI67" s="481">
        <v>1204</v>
      </c>
      <c r="DJ67" s="481">
        <v>1047</v>
      </c>
      <c r="DK67" s="481">
        <v>979</v>
      </c>
      <c r="DL67" s="485">
        <f>DK67</f>
      </c>
      <c r="DM67" s="481">
        <v>1128</v>
      </c>
      <c r="DN67" s="481">
        <v>1401</v>
      </c>
      <c r="DO67" s="481">
        <v>1495</v>
      </c>
      <c r="DP67" s="481">
        <v>1826</v>
      </c>
      <c r="DQ67" s="485">
        <f>DP67</f>
      </c>
      <c r="DR67" s="481">
        <v>1992</v>
      </c>
      <c r="DS67" s="481">
        <v>2114</v>
      </c>
      <c r="DT67" s="481">
        <v>2233</v>
      </c>
      <c r="DU67" s="481">
        <v>2605</v>
      </c>
      <c r="DV67" s="485">
        <f>DU67</f>
      </c>
      <c r="DW67" s="481">
        <v>3163</v>
      </c>
      <c r="DX67" s="481">
        <v>3889</v>
      </c>
      <c r="DY67" s="481">
        <v>4454</v>
      </c>
      <c r="DZ67" s="481">
        <v>5159</v>
      </c>
      <c r="EA67" s="485">
        <f>DZ67</f>
      </c>
      <c r="EB67" s="481">
        <v>4611</v>
      </c>
      <c r="EC67" s="481">
        <v>4319</v>
      </c>
      <c r="ED67" s="481">
        <v>4779</v>
      </c>
      <c r="EE67" s="481">
        <v>5282</v>
      </c>
      <c r="EF67" s="485">
        <f>EE67</f>
      </c>
      <c r="EG67" s="481">
        <v>5864</v>
      </c>
      <c r="EH67" s="481">
        <v>6675</v>
      </c>
      <c r="EI67" s="481">
        <v>7654</v>
      </c>
      <c r="EJ67" s="481">
        <v>10080</v>
      </c>
      <c r="EK67" s="485">
        <f>EJ67</f>
      </c>
      <c r="EL67" s="481">
        <v>11333</v>
      </c>
      <c r="EM67" s="481">
        <v>14962</v>
      </c>
      <c r="EN67" s="481">
        <f>EN71/91*(EN10+EN11)</f>
      </c>
      <c r="EO67" s="481">
        <f>EO71/91*(EO10+EO11)</f>
      </c>
      <c r="EP67" s="485">
        <f>EO67</f>
      </c>
      <c r="EQ67" s="481">
        <f>EQ71/91*(EQ10+EQ11)</f>
      </c>
      <c r="ER67" s="481">
        <f>ER71/91*(ER10+ER11)</f>
      </c>
      <c r="ES67" s="481">
        <f>ES71/91*(ES10+ES11)</f>
      </c>
      <c r="ET67" s="481">
        <f>ET71/91*(ET10+ET11)</f>
      </c>
      <c r="EU67" s="485">
        <f>ET67</f>
      </c>
      <c r="EV67" s="481">
        <f>EV71/91*(EV10+EV11)</f>
      </c>
      <c r="EW67" s="481">
        <f>EW71/91*(EW10+EW11)</f>
      </c>
      <c r="EX67" s="481">
        <f>EX71/91*(EX10+EX11)</f>
      </c>
      <c r="EY67" s="481">
        <f>EY71/91*(EY10+EY11)</f>
      </c>
      <c r="EZ67" s="485">
        <f>EY67</f>
      </c>
      <c r="FA67" s="485"/>
      <c r="FL67" s="111"/>
      <c r="FM67" s="111"/>
    </row>
    <row r="68" spans="1:169">
      <c r="A68" s="491" t="s">
        <v>389</v>
      </c>
      <c r="B68" s="426"/>
      <c r="C68" s="426"/>
      <c r="D68" s="426"/>
      <c r="E68" s="426"/>
      <c r="F68" s="426"/>
      <c r="G68" s="426"/>
      <c r="H68" s="426"/>
      <c r="I68" s="426"/>
      <c r="J68" s="426"/>
      <c r="K68" s="483"/>
      <c r="L68" s="481"/>
      <c r="M68" s="481"/>
      <c r="N68" s="481"/>
      <c r="O68" s="481"/>
      <c r="P68" s="485"/>
      <c r="Q68" s="481"/>
      <c r="R68" s="481"/>
      <c r="S68" s="481"/>
      <c r="T68" s="481"/>
      <c r="U68" s="485"/>
      <c r="V68" s="481"/>
      <c r="W68" s="481"/>
      <c r="X68" s="481"/>
      <c r="Y68" s="481"/>
      <c r="Z68" s="485"/>
      <c r="AA68" s="481"/>
      <c r="AB68" s="481"/>
      <c r="AC68" s="481"/>
      <c r="AD68" s="481"/>
      <c r="AE68" s="485"/>
      <c r="AF68" s="481"/>
      <c r="AG68" s="481"/>
      <c r="AH68" s="481"/>
      <c r="AI68" s="481"/>
      <c r="AJ68" s="485"/>
      <c r="AK68" s="481"/>
      <c r="AL68" s="481"/>
      <c r="AM68" s="481"/>
      <c r="AN68" s="481"/>
      <c r="AO68" s="485"/>
      <c r="AP68" s="481"/>
      <c r="AQ68" s="481"/>
      <c r="AR68" s="481"/>
      <c r="AS68" s="481"/>
      <c r="AT68" s="485"/>
      <c r="AU68" s="481"/>
      <c r="AV68" s="481"/>
      <c r="AW68" s="481"/>
      <c r="AX68" s="481"/>
      <c r="AY68" s="485"/>
      <c r="AZ68" s="481"/>
      <c r="BA68" s="481"/>
      <c r="BB68" s="481"/>
      <c r="BC68" s="481"/>
      <c r="BD68" s="485"/>
      <c r="BE68" s="481"/>
      <c r="BF68" s="481"/>
      <c r="BG68" s="481"/>
      <c r="BH68" s="481"/>
      <c r="BI68" s="485"/>
      <c r="BJ68" s="481"/>
      <c r="BK68" s="481"/>
      <c r="BL68" s="481"/>
      <c r="BM68" s="481"/>
      <c r="BN68" s="485"/>
      <c r="BO68" s="481"/>
      <c r="BP68" s="481"/>
      <c r="BQ68" s="481"/>
      <c r="BR68" s="481"/>
      <c r="BS68" s="485"/>
      <c r="BT68" s="481"/>
      <c r="BU68" s="481"/>
      <c r="BV68" s="481"/>
      <c r="BW68" s="481"/>
      <c r="BX68" s="485"/>
      <c r="BY68" s="481"/>
      <c r="BZ68" s="481"/>
      <c r="CA68" s="481"/>
      <c r="CB68" s="481"/>
      <c r="CC68" s="485"/>
      <c r="CD68" s="481"/>
      <c r="CE68" s="481"/>
      <c r="CF68" s="481"/>
      <c r="CG68" s="481"/>
      <c r="CH68" s="485"/>
      <c r="CI68" s="481"/>
      <c r="CJ68" s="481"/>
      <c r="CK68" s="481"/>
      <c r="CL68" s="481"/>
      <c r="CM68" s="485"/>
      <c r="CN68" s="481"/>
      <c r="CO68" s="481"/>
      <c r="CP68" s="481"/>
      <c r="CQ68" s="481"/>
      <c r="CR68" s="485"/>
      <c r="CS68" s="481"/>
      <c r="CT68" s="481"/>
      <c r="CU68" s="481"/>
      <c r="CV68" s="481"/>
      <c r="CW68" s="485"/>
      <c r="CX68" s="481"/>
      <c r="CY68" s="481"/>
      <c r="CZ68" s="481"/>
      <c r="DA68" s="481"/>
      <c r="DB68" s="485"/>
      <c r="DC68" s="481"/>
      <c r="DD68" s="481"/>
      <c r="DE68" s="481"/>
      <c r="DF68" s="481"/>
      <c r="DG68" s="485"/>
      <c r="DH68" s="481"/>
      <c r="DI68" s="481"/>
      <c r="DJ68" s="481"/>
      <c r="DK68" s="481"/>
      <c r="DL68" s="485"/>
      <c r="DM68" s="481"/>
      <c r="DN68" s="481"/>
      <c r="DO68" s="481"/>
      <c r="DP68" s="481"/>
      <c r="DQ68" s="485"/>
      <c r="DR68" s="492">
        <v>734</v>
      </c>
      <c r="DS68" s="492">
        <v>825</v>
      </c>
      <c r="DT68" s="492">
        <v>755</v>
      </c>
      <c r="DU68" s="492">
        <v>791</v>
      </c>
      <c r="DV68" s="485"/>
      <c r="DW68" s="492">
        <v>1119</v>
      </c>
      <c r="DX68" s="492">
        <v>1534</v>
      </c>
      <c r="DY68" s="492">
        <v>1936</v>
      </c>
      <c r="DZ68" s="492">
        <v>2430</v>
      </c>
      <c r="EA68" s="485"/>
      <c r="EB68" s="492">
        <v>1809</v>
      </c>
      <c r="EC68" s="492">
        <v>1632</v>
      </c>
      <c r="ED68" s="492">
        <v>1663</v>
      </c>
      <c r="EE68" s="492">
        <v>1719</v>
      </c>
      <c r="EF68" s="485"/>
      <c r="EG68" s="492">
        <v>1991</v>
      </c>
      <c r="EH68" s="492">
        <v>1895</v>
      </c>
      <c r="EI68" s="492">
        <v>1846</v>
      </c>
      <c r="EJ68" s="492">
        <v>3408</v>
      </c>
      <c r="EK68" s="485"/>
      <c r="EL68" s="492">
        <v>2525</v>
      </c>
      <c r="EM68" s="492"/>
      <c r="EN68" s="481"/>
      <c r="EO68" s="481"/>
      <c r="EP68" s="485"/>
      <c r="EQ68" s="481"/>
      <c r="ER68" s="481"/>
      <c r="ES68" s="481"/>
      <c r="ET68" s="481"/>
      <c r="EU68" s="485"/>
      <c r="EV68" s="481"/>
      <c r="EW68" s="481"/>
      <c r="EX68" s="481"/>
      <c r="EY68" s="481"/>
      <c r="EZ68" s="485"/>
      <c r="FA68" s="485"/>
      <c r="FL68" s="111"/>
      <c r="FM68" s="111"/>
    </row>
    <row r="69" spans="1:169">
      <c r="A69" s="491" t="s">
        <v>390</v>
      </c>
      <c r="B69" s="426"/>
      <c r="C69" s="426"/>
      <c r="D69" s="426"/>
      <c r="E69" s="426"/>
      <c r="F69" s="426"/>
      <c r="G69" s="426"/>
      <c r="H69" s="426"/>
      <c r="I69" s="426"/>
      <c r="J69" s="426"/>
      <c r="K69" s="483"/>
      <c r="L69" s="481"/>
      <c r="M69" s="481"/>
      <c r="N69" s="481"/>
      <c r="O69" s="481"/>
      <c r="P69" s="485"/>
      <c r="Q69" s="481"/>
      <c r="R69" s="481"/>
      <c r="S69" s="481"/>
      <c r="T69" s="481"/>
      <c r="U69" s="485"/>
      <c r="V69" s="481"/>
      <c r="W69" s="481"/>
      <c r="X69" s="481"/>
      <c r="Y69" s="481"/>
      <c r="Z69" s="485"/>
      <c r="AA69" s="481"/>
      <c r="AB69" s="481"/>
      <c r="AC69" s="481"/>
      <c r="AD69" s="481"/>
      <c r="AE69" s="485"/>
      <c r="AF69" s="481"/>
      <c r="AG69" s="481"/>
      <c r="AH69" s="481"/>
      <c r="AI69" s="481"/>
      <c r="AJ69" s="485"/>
      <c r="AK69" s="481"/>
      <c r="AL69" s="481"/>
      <c r="AM69" s="481"/>
      <c r="AN69" s="481"/>
      <c r="AO69" s="485"/>
      <c r="AP69" s="481"/>
      <c r="AQ69" s="481"/>
      <c r="AR69" s="481"/>
      <c r="AS69" s="481"/>
      <c r="AT69" s="485"/>
      <c r="AU69" s="481"/>
      <c r="AV69" s="481"/>
      <c r="AW69" s="481"/>
      <c r="AX69" s="481"/>
      <c r="AY69" s="485"/>
      <c r="AZ69" s="481"/>
      <c r="BA69" s="481"/>
      <c r="BB69" s="481"/>
      <c r="BC69" s="481"/>
      <c r="BD69" s="485"/>
      <c r="BE69" s="481"/>
      <c r="BF69" s="481"/>
      <c r="BG69" s="481"/>
      <c r="BH69" s="481"/>
      <c r="BI69" s="485"/>
      <c r="BJ69" s="481"/>
      <c r="BK69" s="481"/>
      <c r="BL69" s="481"/>
      <c r="BM69" s="481"/>
      <c r="BN69" s="485"/>
      <c r="BO69" s="481"/>
      <c r="BP69" s="481"/>
      <c r="BQ69" s="481"/>
      <c r="BR69" s="481"/>
      <c r="BS69" s="485"/>
      <c r="BT69" s="481"/>
      <c r="BU69" s="481"/>
      <c r="BV69" s="481"/>
      <c r="BW69" s="481"/>
      <c r="BX69" s="485"/>
      <c r="BY69" s="481"/>
      <c r="BZ69" s="481"/>
      <c r="CA69" s="481"/>
      <c r="CB69" s="481"/>
      <c r="CC69" s="485"/>
      <c r="CD69" s="481"/>
      <c r="CE69" s="481"/>
      <c r="CF69" s="481"/>
      <c r="CG69" s="481"/>
      <c r="CH69" s="485"/>
      <c r="CI69" s="481"/>
      <c r="CJ69" s="481"/>
      <c r="CK69" s="481"/>
      <c r="CL69" s="481"/>
      <c r="CM69" s="485"/>
      <c r="CN69" s="481"/>
      <c r="CO69" s="481"/>
      <c r="CP69" s="481"/>
      <c r="CQ69" s="481"/>
      <c r="CR69" s="485"/>
      <c r="CS69" s="481"/>
      <c r="CT69" s="481"/>
      <c r="CU69" s="481"/>
      <c r="CV69" s="481"/>
      <c r="CW69" s="485"/>
      <c r="CX69" s="481"/>
      <c r="CY69" s="481"/>
      <c r="CZ69" s="481"/>
      <c r="DA69" s="481"/>
      <c r="DB69" s="485"/>
      <c r="DC69" s="481"/>
      <c r="DD69" s="481"/>
      <c r="DE69" s="481"/>
      <c r="DF69" s="481"/>
      <c r="DG69" s="485"/>
      <c r="DH69" s="481"/>
      <c r="DI69" s="481"/>
      <c r="DJ69" s="481"/>
      <c r="DK69" s="481"/>
      <c r="DL69" s="485"/>
      <c r="DM69" s="481"/>
      <c r="DN69" s="481"/>
      <c r="DO69" s="481"/>
      <c r="DP69" s="481"/>
      <c r="DQ69" s="485"/>
      <c r="DR69" s="492">
        <v>504</v>
      </c>
      <c r="DS69" s="492">
        <v>553</v>
      </c>
      <c r="DT69" s="492">
        <v>538</v>
      </c>
      <c r="DU69" s="492">
        <v>692</v>
      </c>
      <c r="DV69" s="485"/>
      <c r="DW69" s="492">
        <v>672</v>
      </c>
      <c r="DX69" s="492">
        <v>767</v>
      </c>
      <c r="DY69" s="492">
        <v>788</v>
      </c>
      <c r="DZ69" s="492">
        <v>466</v>
      </c>
      <c r="EA69" s="485"/>
      <c r="EB69" s="492">
        <v>930</v>
      </c>
      <c r="EC69" s="492">
        <v>1058</v>
      </c>
      <c r="ED69" s="492">
        <v>1338</v>
      </c>
      <c r="EE69" s="492">
        <v>1505</v>
      </c>
      <c r="EF69" s="485"/>
      <c r="EG69" s="492">
        <v>1625</v>
      </c>
      <c r="EH69" s="492">
        <v>2111</v>
      </c>
      <c r="EI69" s="492">
        <v>2881</v>
      </c>
      <c r="EJ69" s="492">
        <v>3399</v>
      </c>
      <c r="EK69" s="485"/>
      <c r="EL69" s="492">
        <v>5339</v>
      </c>
      <c r="EM69" s="492"/>
      <c r="EN69" s="481"/>
      <c r="EO69" s="481"/>
      <c r="EP69" s="485"/>
      <c r="EQ69" s="481"/>
      <c r="ER69" s="481"/>
      <c r="ES69" s="481"/>
      <c r="ET69" s="481"/>
      <c r="EU69" s="485"/>
      <c r="EV69" s="481"/>
      <c r="EW69" s="481"/>
      <c r="EX69" s="481"/>
      <c r="EY69" s="481"/>
      <c r="EZ69" s="485"/>
      <c r="FA69" s="485"/>
      <c r="FL69" s="111"/>
      <c r="FM69" s="111"/>
    </row>
    <row r="70" spans="1:169">
      <c r="A70" s="491" t="s">
        <v>391</v>
      </c>
      <c r="B70" s="426"/>
      <c r="C70" s="426"/>
      <c r="D70" s="426"/>
      <c r="E70" s="426"/>
      <c r="F70" s="426"/>
      <c r="G70" s="426"/>
      <c r="H70" s="426"/>
      <c r="I70" s="426"/>
      <c r="J70" s="426"/>
      <c r="K70" s="483"/>
      <c r="L70" s="481"/>
      <c r="M70" s="481"/>
      <c r="N70" s="481"/>
      <c r="O70" s="481"/>
      <c r="P70" s="485"/>
      <c r="Q70" s="481"/>
      <c r="R70" s="481"/>
      <c r="S70" s="481"/>
      <c r="T70" s="481"/>
      <c r="U70" s="485"/>
      <c r="V70" s="481"/>
      <c r="W70" s="481"/>
      <c r="X70" s="481"/>
      <c r="Y70" s="481"/>
      <c r="Z70" s="485"/>
      <c r="AA70" s="481"/>
      <c r="AB70" s="481"/>
      <c r="AC70" s="481"/>
      <c r="AD70" s="481"/>
      <c r="AE70" s="485"/>
      <c r="AF70" s="481"/>
      <c r="AG70" s="481"/>
      <c r="AH70" s="481"/>
      <c r="AI70" s="481"/>
      <c r="AJ70" s="485"/>
      <c r="AK70" s="481"/>
      <c r="AL70" s="481"/>
      <c r="AM70" s="481"/>
      <c r="AN70" s="481"/>
      <c r="AO70" s="485"/>
      <c r="AP70" s="481"/>
      <c r="AQ70" s="481"/>
      <c r="AR70" s="481"/>
      <c r="AS70" s="481"/>
      <c r="AT70" s="485"/>
      <c r="AU70" s="481"/>
      <c r="AV70" s="481"/>
      <c r="AW70" s="481"/>
      <c r="AX70" s="481"/>
      <c r="AY70" s="485"/>
      <c r="AZ70" s="481"/>
      <c r="BA70" s="481"/>
      <c r="BB70" s="481"/>
      <c r="BC70" s="481"/>
      <c r="BD70" s="485"/>
      <c r="BE70" s="481"/>
      <c r="BF70" s="481"/>
      <c r="BG70" s="481"/>
      <c r="BH70" s="481"/>
      <c r="BI70" s="485"/>
      <c r="BJ70" s="481"/>
      <c r="BK70" s="481"/>
      <c r="BL70" s="481"/>
      <c r="BM70" s="481"/>
      <c r="BN70" s="485"/>
      <c r="BO70" s="481"/>
      <c r="BP70" s="481"/>
      <c r="BQ70" s="481"/>
      <c r="BR70" s="481"/>
      <c r="BS70" s="485"/>
      <c r="BT70" s="481"/>
      <c r="BU70" s="481"/>
      <c r="BV70" s="481"/>
      <c r="BW70" s="481"/>
      <c r="BX70" s="485"/>
      <c r="BY70" s="481"/>
      <c r="BZ70" s="481"/>
      <c r="CA70" s="481"/>
      <c r="CB70" s="481"/>
      <c r="CC70" s="485"/>
      <c r="CD70" s="481"/>
      <c r="CE70" s="481"/>
      <c r="CF70" s="481"/>
      <c r="CG70" s="481"/>
      <c r="CH70" s="485"/>
      <c r="CI70" s="481"/>
      <c r="CJ70" s="481"/>
      <c r="CK70" s="481"/>
      <c r="CL70" s="481"/>
      <c r="CM70" s="485"/>
      <c r="CN70" s="481"/>
      <c r="CO70" s="481"/>
      <c r="CP70" s="481"/>
      <c r="CQ70" s="481"/>
      <c r="CR70" s="485"/>
      <c r="CS70" s="481"/>
      <c r="CT70" s="481"/>
      <c r="CU70" s="481"/>
      <c r="CV70" s="481"/>
      <c r="CW70" s="485"/>
      <c r="CX70" s="481"/>
      <c r="CY70" s="481"/>
      <c r="CZ70" s="481"/>
      <c r="DA70" s="481"/>
      <c r="DB70" s="485"/>
      <c r="DC70" s="481"/>
      <c r="DD70" s="481"/>
      <c r="DE70" s="481"/>
      <c r="DF70" s="481"/>
      <c r="DG70" s="485"/>
      <c r="DH70" s="481"/>
      <c r="DI70" s="481"/>
      <c r="DJ70" s="481"/>
      <c r="DK70" s="481"/>
      <c r="DL70" s="485"/>
      <c r="DM70" s="481"/>
      <c r="DN70" s="481"/>
      <c r="DO70" s="481"/>
      <c r="DP70" s="481"/>
      <c r="DQ70" s="485"/>
      <c r="DR70" s="492">
        <v>754</v>
      </c>
      <c r="DS70" s="492">
        <v>736</v>
      </c>
      <c r="DT70" s="492">
        <v>940</v>
      </c>
      <c r="DU70" s="492">
        <v>1122</v>
      </c>
      <c r="DV70" s="485"/>
      <c r="DW70" s="492">
        <v>1372</v>
      </c>
      <c r="DX70" s="492">
        <v>1588</v>
      </c>
      <c r="DY70" s="492">
        <v>1730</v>
      </c>
      <c r="DZ70" s="492">
        <v>2263</v>
      </c>
      <c r="EA70" s="485"/>
      <c r="EB70" s="492">
        <v>1872</v>
      </c>
      <c r="EC70" s="492">
        <v>1629</v>
      </c>
      <c r="ED70" s="492">
        <v>1778</v>
      </c>
      <c r="EE70" s="492">
        <v>2058</v>
      </c>
      <c r="EF70" s="485"/>
      <c r="EG70" s="492">
        <v>2248</v>
      </c>
      <c r="EH70" s="492">
        <v>2669</v>
      </c>
      <c r="EI70" s="492">
        <v>2927</v>
      </c>
      <c r="EJ70" s="492">
        <v>3273</v>
      </c>
      <c r="EK70" s="485"/>
      <c r="EL70" s="492">
        <v>3469</v>
      </c>
      <c r="EM70" s="492"/>
      <c r="EN70" s="481"/>
      <c r="EO70" s="481"/>
      <c r="EP70" s="485"/>
      <c r="EQ70" s="481"/>
      <c r="ER70" s="481"/>
      <c r="ES70" s="481"/>
      <c r="ET70" s="481"/>
      <c r="EU70" s="485"/>
      <c r="EV70" s="481"/>
      <c r="EW70" s="481"/>
      <c r="EX70" s="481"/>
      <c r="EY70" s="481"/>
      <c r="EZ70" s="485"/>
      <c r="FA70" s="485"/>
      <c r="FL70" s="111"/>
      <c r="FM70" s="111"/>
    </row>
    <row r="71" spans="1:169">
      <c r="A71" s="486" t="s">
        <v>392</v>
      </c>
      <c r="B71" s="488"/>
      <c r="C71" s="488"/>
      <c r="D71" s="488"/>
      <c r="E71" s="488"/>
      <c r="F71" s="488"/>
      <c r="G71" s="488"/>
      <c r="H71" s="488"/>
      <c r="I71" s="488"/>
      <c r="J71" s="488"/>
      <c r="K71" s="488"/>
      <c r="L71" s="485">
        <f>L67/(L10+L11)*91</f>
      </c>
      <c r="M71" s="485">
        <f>M67/(M10+M11)*91</f>
      </c>
      <c r="N71" s="485">
        <f>N67/(N10+N11)*91</f>
      </c>
      <c r="O71" s="485">
        <f>O67/(O10+O11)*91</f>
      </c>
      <c r="P71" s="488"/>
      <c r="Q71" s="485">
        <f>Q67/(Q10+Q11)*91</f>
      </c>
      <c r="R71" s="485">
        <f>R67/(R10+R11)*91</f>
      </c>
      <c r="S71" s="485">
        <f>S67/(S10+S11)*91</f>
      </c>
      <c r="T71" s="485">
        <f>T67/(T10+T11)*91</f>
      </c>
      <c r="U71" s="488"/>
      <c r="V71" s="485">
        <f>V67/(V10+V11)*91</f>
      </c>
      <c r="W71" s="485">
        <f>W67/(W10+W11)*91</f>
      </c>
      <c r="X71" s="485">
        <f>X67/(X10+X11)*91</f>
      </c>
      <c r="Y71" s="485">
        <f>Y67/(Y10+Y11)*91</f>
      </c>
      <c r="Z71" s="488"/>
      <c r="AA71" s="485">
        <f>AA67/(AA10+AA11)*91</f>
      </c>
      <c r="AB71" s="485">
        <f>AB67/(AB10+AB11)*91</f>
      </c>
      <c r="AC71" s="485">
        <f>AC67/(AC10+AC11)*91</f>
      </c>
      <c r="AD71" s="485">
        <f>AD67/(AD10+AD11)*91</f>
      </c>
      <c r="AE71" s="488"/>
      <c r="AF71" s="485">
        <f>AF67/(AF10+AF11)*91</f>
      </c>
      <c r="AG71" s="485">
        <f>AG67/(AG10+AG11)*91</f>
      </c>
      <c r="AH71" s="485">
        <f>AH67/(AH10+AH11)*91</f>
      </c>
      <c r="AI71" s="485">
        <f>AI67/(AI10+AI11)*91</f>
      </c>
      <c r="AJ71" s="488"/>
      <c r="AK71" s="485">
        <f>AK67/(AK10+AK11)*91</f>
      </c>
      <c r="AL71" s="485">
        <f>AL67/(AL10+AL11)*91</f>
      </c>
      <c r="AM71" s="485">
        <f>AM67/(AM10+AM11)*91</f>
      </c>
      <c r="AN71" s="485">
        <f>AN67/(AN10+AN11)*91</f>
      </c>
      <c r="AO71" s="488"/>
      <c r="AP71" s="485">
        <f>AP67/(AP10+AP11)*91</f>
      </c>
      <c r="AQ71" s="485">
        <f>AQ67/(AQ10+AQ11)*91</f>
      </c>
      <c r="AR71" s="485">
        <f>AR67/(AR10+AR11)*91</f>
      </c>
      <c r="AS71" s="485">
        <f>AS67/(AS10+AS11)*91</f>
      </c>
      <c r="AT71" s="488"/>
      <c r="AU71" s="485">
        <f>AU67/(AU10+AU11)*91</f>
      </c>
      <c r="AV71" s="485">
        <f>AV67/(AV10+AV11)*91</f>
      </c>
      <c r="AW71" s="485">
        <f>AW67/(AW10+AW11)*91</f>
      </c>
      <c r="AX71" s="485">
        <f>AX67/(AX10+AX11)*91</f>
      </c>
      <c r="AY71" s="488"/>
      <c r="AZ71" s="485">
        <f>AZ67/(AZ10+AZ11)*91</f>
      </c>
      <c r="BA71" s="485">
        <f>BA67/(BA10+BA11)*91</f>
      </c>
      <c r="BB71" s="485">
        <f>BB67/(BB10+BB11)*91</f>
      </c>
      <c r="BC71" s="485">
        <f>BC67/(BC10+BC11)*91</f>
      </c>
      <c r="BD71" s="488"/>
      <c r="BE71" s="485">
        <f>BE67/(BE10+BE11)*91</f>
      </c>
      <c r="BF71" s="485">
        <f>BF67/(BF10+BF11)*91</f>
      </c>
      <c r="BG71" s="485">
        <f>BG67/(BG10+BG11)*91</f>
      </c>
      <c r="BH71" s="485">
        <f>BH67/(BH10+BH11)*91</f>
      </c>
      <c r="BI71" s="488"/>
      <c r="BJ71" s="485">
        <f>BJ67/(BJ10+BJ11)*91</f>
      </c>
      <c r="BK71" s="485">
        <f>BK67/(BK10+BK11)*91</f>
      </c>
      <c r="BL71" s="485">
        <f>BL67/(BL10+BL11)*91</f>
      </c>
      <c r="BM71" s="485">
        <f>BM67/(BM10+BM11)*91</f>
      </c>
      <c r="BN71" s="488"/>
      <c r="BO71" s="485">
        <f>BO67/(BO10+BO11)*91</f>
      </c>
      <c r="BP71" s="485">
        <f>BP67/(BP10+BP11)*91</f>
      </c>
      <c r="BQ71" s="485">
        <f>BQ67/(BQ10+BQ11)*91</f>
      </c>
      <c r="BR71" s="485">
        <f>BR67/(BR10+BR11)*91</f>
      </c>
      <c r="BS71" s="488"/>
      <c r="BT71" s="485">
        <f>BT67/(BT10+BT11)*91</f>
      </c>
      <c r="BU71" s="485">
        <f>BU67/(BU10+BU11)*91</f>
      </c>
      <c r="BV71" s="485">
        <f>BV67/(BV10+BV11)*91</f>
      </c>
      <c r="BW71" s="485">
        <f>BW67/(BW10+BW11)*91</f>
      </c>
      <c r="BX71" s="488"/>
      <c r="BY71" s="485">
        <f>BY67/(BY10+BY11)*91</f>
      </c>
      <c r="BZ71" s="485">
        <f>BZ67/(BZ10+BZ11)*91</f>
      </c>
      <c r="CA71" s="485">
        <f>CA67/(CA10+CA11)*91</f>
      </c>
      <c r="CB71" s="485">
        <f>CB67/(CB10+CB11)*91</f>
      </c>
      <c r="CC71" s="488"/>
      <c r="CD71" s="485">
        <f>CD67/(CD10+CD11)*91</f>
      </c>
      <c r="CE71" s="485">
        <f>CE67/(CE10+CE11)*91</f>
      </c>
      <c r="CF71" s="485">
        <f>CF67/(CF10+CF11)*91</f>
      </c>
      <c r="CG71" s="485">
        <f>CG67/(CG10+CG11)*91</f>
      </c>
      <c r="CH71" s="488"/>
      <c r="CI71" s="485">
        <f>CI67/(CI10+CI11)*91</f>
      </c>
      <c r="CJ71" s="485">
        <f>CJ67/(CJ10+CJ11)*91</f>
      </c>
      <c r="CK71" s="485">
        <f>CK67/(CK10+CK11)*91</f>
      </c>
      <c r="CL71" s="485">
        <f>CL67/(CL10+CL11)*91</f>
      </c>
      <c r="CM71" s="488"/>
      <c r="CN71" s="485">
        <f>CN67/(CN10+CN11)*91</f>
      </c>
      <c r="CO71" s="485">
        <f>CO67/(CO10+CO11)*91</f>
      </c>
      <c r="CP71" s="485">
        <f>CP67/(CP10+CP11)*91</f>
      </c>
      <c r="CQ71" s="485">
        <f>CQ67/(CQ10+CQ11)*91</f>
      </c>
      <c r="CR71" s="488"/>
      <c r="CS71" s="485">
        <f>CS67/(CS10+CS11)*91</f>
      </c>
      <c r="CT71" s="485">
        <f>CT67/(CT10+CT11)*91</f>
      </c>
      <c r="CU71" s="485">
        <f>CU67/(CU10+CU11)*91</f>
      </c>
      <c r="CV71" s="485">
        <f>CV67/(CV10+CV11)*91</f>
      </c>
      <c r="CW71" s="488"/>
      <c r="CX71" s="485">
        <f>CX67/(CX10+CX11)*91</f>
      </c>
      <c r="CY71" s="485">
        <f>CY67/(CY10+CY11)*91</f>
      </c>
      <c r="CZ71" s="485">
        <f>CZ67/(CZ10+CZ11)*91</f>
      </c>
      <c r="DA71" s="485">
        <f>DA67/(DA10+DA11)*91</f>
      </c>
      <c r="DB71" s="488"/>
      <c r="DC71" s="485">
        <f>DC67/(DC10+DC11)*91</f>
      </c>
      <c r="DD71" s="485">
        <f>DD67/(DD10+DD11)*91</f>
      </c>
      <c r="DE71" s="485">
        <f>DE67/(DE10+DE11)*91</f>
      </c>
      <c r="DF71" s="485">
        <f>DF67/(DF10+DF11)*91</f>
      </c>
      <c r="DG71" s="488"/>
      <c r="DH71" s="485">
        <f>DH67/(DH10+DH11)*91</f>
      </c>
      <c r="DI71" s="485">
        <f>DI67/(DI10+DI11)*91</f>
      </c>
      <c r="DJ71" s="485">
        <f>DJ67/(DJ10+DJ11)*91</f>
      </c>
      <c r="DK71" s="485">
        <f>DK67/(DK10+DK11)*91</f>
      </c>
      <c r="DL71" s="488"/>
      <c r="DM71" s="485">
        <f>DM67/(DM10+DM11)*91</f>
      </c>
      <c r="DN71" s="485">
        <f>DN67/(DN10+DN11)*91</f>
      </c>
      <c r="DO71" s="485">
        <f>DO67/(DO10+DO11)*91</f>
      </c>
      <c r="DP71" s="485">
        <f>DP67/(DP10+DP11)*91</f>
      </c>
      <c r="DQ71" s="488"/>
      <c r="DR71" s="485">
        <f>DR67/(DR10+DR11)*91</f>
      </c>
      <c r="DS71" s="485">
        <f>DS67/(DS10+DS11)*91</f>
      </c>
      <c r="DT71" s="485">
        <f>DT67/(DT10+DT11)*91</f>
      </c>
      <c r="DU71" s="485">
        <f>DU67/(DU10+DU11)*91</f>
      </c>
      <c r="DV71" s="488"/>
      <c r="DW71" s="485">
        <f>DW67/(DW10+DW11)*91</f>
      </c>
      <c r="DX71" s="485">
        <f>DX67/(DX10+DX11)*91</f>
      </c>
      <c r="DY71" s="485">
        <f>DY67/(DY10+DY11)*91</f>
      </c>
      <c r="DZ71" s="485">
        <f>DZ67/(DZ10+DZ11)*91</f>
      </c>
      <c r="EA71" s="488"/>
      <c r="EB71" s="485">
        <f>EB67/(EB10+EB11)*91</f>
      </c>
      <c r="EC71" s="485">
        <f>EC67/(EC10+EC11)*91</f>
      </c>
      <c r="ED71" s="485">
        <f>ED67/(ED10+ED11)*91</f>
      </c>
      <c r="EE71" s="485">
        <f>EE67/(EE10+EE11)*91</f>
      </c>
      <c r="EF71" s="488"/>
      <c r="EG71" s="485">
        <f>EG67/(EG10+EG11)*91</f>
      </c>
      <c r="EH71" s="485">
        <f>EH67/(EH10+EH11)*91</f>
      </c>
      <c r="EI71" s="485">
        <f>EI67/(EI10+EI11)*91</f>
      </c>
      <c r="EJ71" s="485">
        <f>EJ67/(EJ10+EJ11)*91</f>
      </c>
      <c r="EK71" s="488"/>
      <c r="EL71" s="485">
        <f>EL67/(EL10+EL11)*91</f>
      </c>
      <c r="EM71" s="485">
        <f>EM67/(EM10+EM11)*91</f>
      </c>
      <c r="EN71" s="489">
        <v>100</v>
      </c>
      <c r="EO71" s="489">
        <v>95</v>
      </c>
      <c r="EP71" s="488"/>
      <c r="EQ71" s="489">
        <v>90</v>
      </c>
      <c r="ER71" s="489">
        <v>85</v>
      </c>
      <c r="ES71" s="489">
        <v>90</v>
      </c>
      <c r="ET71" s="489">
        <v>85</v>
      </c>
      <c r="EU71" s="488"/>
      <c r="EV71" s="489">
        <v>85</v>
      </c>
      <c r="EW71" s="489">
        <v>85</v>
      </c>
      <c r="EX71" s="489">
        <v>85</v>
      </c>
      <c r="EY71" s="489">
        <v>85</v>
      </c>
      <c r="EZ71" s="488"/>
      <c r="FA71" s="488"/>
      <c r="FL71" s="111"/>
      <c r="FM71" s="111"/>
    </row>
    <row r="72" spans="1:169">
      <c r="A72" s="106" t="s">
        <v>393</v>
      </c>
      <c r="B72" s="426"/>
      <c r="C72" s="426"/>
      <c r="D72" s="426"/>
      <c r="E72" s="426"/>
      <c r="F72" s="426"/>
      <c r="G72" s="426"/>
      <c r="H72" s="426"/>
      <c r="I72" s="426"/>
      <c r="J72" s="426"/>
      <c r="K72" s="483"/>
      <c r="L72" s="484">
        <v>2.16</v>
      </c>
      <c r="M72" s="484">
        <v>2.746</v>
      </c>
      <c r="N72" s="484">
        <v>4.2089999999999996</v>
      </c>
      <c r="O72" s="484">
        <v>6.76</v>
      </c>
      <c r="P72" s="485">
        <f>O72</f>
      </c>
      <c r="Q72" s="484">
        <v>16.187000000000001</v>
      </c>
      <c r="R72" s="484">
        <v>24.504000000000001</v>
      </c>
      <c r="S72" s="484">
        <v>33.313000000000002</v>
      </c>
      <c r="T72" s="484">
        <v>36.741</v>
      </c>
      <c r="U72" s="485">
        <f>T72</f>
      </c>
      <c r="V72" s="484">
        <v>51.903000000000006</v>
      </c>
      <c r="W72" s="484">
        <v>54.146000000000001</v>
      </c>
      <c r="X72" s="484">
        <v>44.57</v>
      </c>
      <c r="Y72" s="484">
        <f>8.078+66.429</f>
      </c>
      <c r="Z72" s="485">
        <f>Y72</f>
      </c>
      <c r="AA72" s="484">
        <v>78.311000000000007</v>
      </c>
      <c r="AB72" s="484">
        <v>79.680999999999997</v>
      </c>
      <c r="AC72" s="484">
        <f>13.386+66.429</f>
      </c>
      <c r="AD72" s="484">
        <f>12.393+11.249</f>
      </c>
      <c r="AE72" s="485">
        <f>AD72</f>
      </c>
      <c r="AF72" s="484">
        <f>17.666+11.249</f>
      </c>
      <c r="AG72" s="484">
        <f>15.135+11.249</f>
      </c>
      <c r="AH72" s="484">
        <f>15.354+11.966</f>
      </c>
      <c r="AI72" s="484">
        <f>14.539+3.261</f>
      </c>
      <c r="AJ72" s="485">
        <f>AI72</f>
      </c>
      <c r="AK72" s="484">
        <f>16.289+3.261</f>
      </c>
      <c r="AL72" s="484">
        <f>16.328+3.261</f>
      </c>
      <c r="AM72" s="484">
        <v>18.341000000000001</v>
      </c>
      <c r="AN72" s="484">
        <f>19.819+3.265</f>
      </c>
      <c r="AO72" s="485">
        <f>AN72</f>
      </c>
      <c r="AP72" s="484">
        <f>21.869+3.265</f>
      </c>
      <c r="AQ72" s="484">
        <f>24.756+3.265</f>
      </c>
      <c r="AR72" s="481">
        <f>23.949+3.265</f>
      </c>
      <c r="AS72" s="481">
        <f>24.387+1.393</f>
      </c>
      <c r="AT72" s="485">
        <f>AS72</f>
      </c>
      <c r="AU72" s="481">
        <f>28.545+2.682</f>
      </c>
      <c r="AV72" s="481">
        <f>34.143+2.682</f>
      </c>
      <c r="AW72" s="481">
        <f>36.801+2.682</f>
      </c>
      <c r="AX72" s="481">
        <f>31.141+9.419</f>
      </c>
      <c r="AY72" s="485">
        <f>AX72</f>
      </c>
      <c r="AZ72" s="481">
        <v>43.055</v>
      </c>
      <c r="BA72" s="481">
        <v>41.101999999999997</v>
      </c>
      <c r="BB72" s="481">
        <v>44.551000000000002</v>
      </c>
      <c r="BC72" s="481">
        <v>54.335999999999999</v>
      </c>
      <c r="BD72" s="485">
        <f>BC72</f>
      </c>
      <c r="BE72" s="481">
        <v>55.427999999999997</v>
      </c>
      <c r="BF72" s="481">
        <v>45.293999999999997</v>
      </c>
      <c r="BG72" s="481">
        <v>43.389000000000003</v>
      </c>
      <c r="BH72" s="481">
        <v>56.298999999999999</v>
      </c>
      <c r="BI72" s="485">
        <f>BH72</f>
      </c>
      <c r="BJ72" s="481">
        <v>50.884999999999998</v>
      </c>
      <c r="BK72" s="481">
        <v>70.623999999999995</v>
      </c>
      <c r="BL72" s="481">
        <v>48.173999999999999</v>
      </c>
      <c r="BM72" s="481">
        <v>46.966000000000001</v>
      </c>
      <c r="BN72" s="485">
        <f>BM72</f>
      </c>
      <c r="BO72" s="481">
        <v>44.281999999999996</v>
      </c>
      <c r="BP72" s="481">
        <v>53.301000000000002</v>
      </c>
      <c r="BQ72" s="481">
        <v>43.167999999999999</v>
      </c>
      <c r="BR72" s="481">
        <v>42.091999999999999</v>
      </c>
      <c r="BS72" s="485">
        <f>BR72</f>
      </c>
      <c r="BT72" s="481">
        <v>46.055999999999997</v>
      </c>
      <c r="BU72" s="481">
        <v>61.206000000000003</v>
      </c>
      <c r="BV72" s="481">
        <v>60.853999999999999</v>
      </c>
      <c r="BW72" s="481">
        <v>99.341999999999999</v>
      </c>
      <c r="BX72" s="485">
        <f>BW72</f>
      </c>
      <c r="BY72" s="481">
        <v>147.44200000000001</v>
      </c>
      <c r="BZ72" s="481">
        <v>103.254</v>
      </c>
      <c r="CA72" s="481">
        <v>116.128</v>
      </c>
      <c r="CB72" s="481">
        <v>173.43700000000001</v>
      </c>
      <c r="CC72" s="485">
        <f>CB72</f>
      </c>
      <c r="CD72" s="481">
        <v>168.67</v>
      </c>
      <c r="CE72" s="481">
        <v>190.31200000000001</v>
      </c>
      <c r="CF72" s="481">
        <v>188.93700000000001</v>
      </c>
      <c r="CG72" s="481">
        <v>138.779</v>
      </c>
      <c r="CH72" s="485">
        <f>CG72</f>
      </c>
      <c r="CI72" s="481">
        <f>71.067+65.196</f>
      </c>
      <c r="CJ72" s="481">
        <f>67.776+66.697</f>
      </c>
      <c r="CK72" s="481">
        <v>128.83099999999999</v>
      </c>
      <c r="CL72" s="481">
        <v>133.428</v>
      </c>
      <c r="CM72" s="485">
        <f>CL72</f>
      </c>
      <c r="CN72" s="481">
        <v>147</v>
      </c>
      <c r="CO72" s="481">
        <v>148</v>
      </c>
      <c r="CP72" s="481">
        <f>93+52</f>
      </c>
      <c r="CQ72" s="481">
        <v>93</v>
      </c>
      <c r="CR72" s="485">
        <f>CQ72</f>
      </c>
      <c r="CS72" s="481">
        <v>119</v>
      </c>
      <c r="CT72" s="481">
        <v>112</v>
      </c>
      <c r="CU72" s="481">
        <v>124</v>
      </c>
      <c r="CV72" s="481">
        <v>118</v>
      </c>
      <c r="CW72" s="485">
        <f>CV72</f>
      </c>
      <c r="CX72" s="481">
        <v>113</v>
      </c>
      <c r="CY72" s="481">
        <v>125</v>
      </c>
      <c r="CZ72" s="481">
        <v>135</v>
      </c>
      <c r="DA72" s="481">
        <v>86</v>
      </c>
      <c r="DB72" s="485">
        <f>DA72</f>
      </c>
      <c r="DC72" s="481">
        <v>131</v>
      </c>
      <c r="DD72" s="481">
        <v>136</v>
      </c>
      <c r="DE72" s="481">
        <v>159</v>
      </c>
      <c r="DF72" s="481">
        <v>136</v>
      </c>
      <c r="DG72" s="485">
        <f>DF72</f>
      </c>
      <c r="DH72" s="481">
        <v>159</v>
      </c>
      <c r="DI72" s="481">
        <v>151</v>
      </c>
      <c r="DJ72" s="481">
        <v>149</v>
      </c>
      <c r="DK72" s="481">
        <v>157</v>
      </c>
      <c r="DL72" s="485">
        <f>DK72</f>
      </c>
      <c r="DM72" s="481">
        <v>195</v>
      </c>
      <c r="DN72" s="481">
        <v>215</v>
      </c>
      <c r="DO72" s="481">
        <v>213</v>
      </c>
      <c r="DP72" s="481">
        <v>239</v>
      </c>
      <c r="DQ72" s="485">
        <f>DP72</f>
      </c>
      <c r="DR72" s="481">
        <v>444</v>
      </c>
      <c r="DS72" s="481">
        <v>452</v>
      </c>
      <c r="DT72" s="481">
        <v>321</v>
      </c>
      <c r="DU72" s="481">
        <v>366</v>
      </c>
      <c r="DV72" s="485">
        <f>DU72</f>
      </c>
      <c r="DW72" s="481">
        <v>636</v>
      </c>
      <c r="DX72" s="481">
        <v>1175</v>
      </c>
      <c r="DY72" s="481">
        <v>718</v>
      </c>
      <c r="DZ72" s="481">
        <v>791</v>
      </c>
      <c r="EA72" s="485">
        <f>DZ72</f>
      </c>
      <c r="EB72" s="481">
        <v>872</v>
      </c>
      <c r="EC72" s="481">
        <v>1389</v>
      </c>
      <c r="ED72" s="481">
        <v>1289</v>
      </c>
      <c r="EE72" s="481">
        <v>3080</v>
      </c>
      <c r="EF72" s="485">
        <f>EE72</f>
      </c>
      <c r="EG72" s="481">
        <v>4062</v>
      </c>
      <c r="EH72" s="481">
        <v>4026</v>
      </c>
      <c r="EI72" s="481">
        <v>3806</v>
      </c>
      <c r="EJ72" s="481">
        <v>3771</v>
      </c>
      <c r="EK72" s="485">
        <f>EJ72</f>
      </c>
      <c r="EL72" s="481">
        <v>2779</v>
      </c>
      <c r="EM72" s="481">
        <v>2658</v>
      </c>
      <c r="EN72" s="481">
        <f>EM72</f>
      </c>
      <c r="EO72" s="481">
        <f>EN72</f>
      </c>
      <c r="EP72" s="485">
        <f>EO72</f>
      </c>
      <c r="EQ72" s="481">
        <f>EO72</f>
      </c>
      <c r="ER72" s="481">
        <f>EQ72</f>
      </c>
      <c r="ES72" s="481">
        <f>ER72</f>
      </c>
      <c r="ET72" s="481">
        <f>ES72</f>
      </c>
      <c r="EU72" s="485">
        <f>ET72</f>
      </c>
      <c r="EV72" s="481">
        <f>ET72</f>
      </c>
      <c r="EW72" s="481">
        <f>EV72</f>
      </c>
      <c r="EX72" s="481">
        <f>EW72</f>
      </c>
      <c r="EY72" s="481">
        <f>EX72</f>
      </c>
      <c r="EZ72" s="485">
        <f>EY72</f>
      </c>
      <c r="FA72" s="485"/>
      <c r="FL72" s="111"/>
      <c r="FM72" s="111"/>
    </row>
    <row r="73" spans="1:169">
      <c r="B73" s="426"/>
      <c r="C73" s="426"/>
      <c r="D73" s="426"/>
      <c r="E73" s="426"/>
      <c r="F73" s="426"/>
      <c r="G73" s="426"/>
      <c r="H73" s="426"/>
      <c r="I73" s="426"/>
      <c r="J73" s="426"/>
      <c r="K73" s="85"/>
      <c r="L73" s="484"/>
      <c r="M73" s="484"/>
      <c r="N73" s="484"/>
      <c r="O73" s="484"/>
      <c r="P73" s="481"/>
      <c r="Q73" s="484"/>
      <c r="R73" s="484"/>
      <c r="S73" s="484"/>
      <c r="T73" s="484"/>
      <c r="U73" s="481"/>
      <c r="V73" s="484"/>
      <c r="W73" s="484"/>
      <c r="X73" s="484"/>
      <c r="Y73" s="484"/>
      <c r="Z73" s="481"/>
      <c r="AA73" s="484"/>
      <c r="AB73" s="484"/>
      <c r="AC73" s="484"/>
      <c r="AD73" s="484"/>
      <c r="AE73" s="481"/>
      <c r="AF73" s="484"/>
      <c r="AG73" s="484"/>
      <c r="AH73" s="484"/>
      <c r="AI73" s="484"/>
      <c r="AJ73" s="481"/>
      <c r="AK73" s="484"/>
      <c r="AL73" s="484"/>
      <c r="AM73" s="481"/>
      <c r="AN73" s="481"/>
      <c r="AO73" s="481"/>
      <c r="AP73" s="481"/>
      <c r="AQ73" s="481"/>
      <c r="AR73" s="481"/>
      <c r="AS73" s="481"/>
      <c r="AT73" s="481"/>
      <c r="AU73" s="481"/>
      <c r="AV73" s="481"/>
      <c r="AW73" s="481"/>
      <c r="AX73" s="481"/>
      <c r="AY73" s="481"/>
      <c r="AZ73" s="481"/>
      <c r="BA73" s="481"/>
      <c r="BB73" s="481"/>
      <c r="BC73" s="481"/>
      <c r="BD73" s="481"/>
      <c r="BE73" s="481"/>
      <c r="BF73" s="481"/>
      <c r="BG73" s="481"/>
      <c r="BH73" s="481"/>
      <c r="BI73" s="481"/>
      <c r="BJ73" s="481"/>
      <c r="BK73" s="481"/>
      <c r="BL73" s="481"/>
      <c r="BM73" s="481"/>
      <c r="BN73" s="481"/>
      <c r="BO73" s="481"/>
      <c r="BP73" s="481"/>
      <c r="BQ73" s="481"/>
      <c r="BR73" s="481"/>
      <c r="BS73" s="481"/>
      <c r="BT73" s="481"/>
      <c r="BU73" s="481"/>
      <c r="BV73" s="481"/>
      <c r="BW73" s="481"/>
      <c r="BX73" s="481"/>
      <c r="BY73" s="481"/>
      <c r="BZ73" s="481"/>
      <c r="CA73" s="481"/>
      <c r="CB73" s="481"/>
      <c r="CC73" s="481"/>
      <c r="CD73" s="481"/>
      <c r="CE73" s="481"/>
      <c r="CF73" s="481"/>
      <c r="CG73" s="481"/>
      <c r="CH73" s="481"/>
      <c r="CI73" s="481"/>
      <c r="CJ73" s="481"/>
      <c r="CK73" s="481"/>
      <c r="CL73" s="481"/>
      <c r="CM73" s="481"/>
      <c r="CN73" s="481"/>
      <c r="CO73" s="481"/>
      <c r="CP73" s="481"/>
      <c r="CQ73" s="481"/>
      <c r="CR73" s="481"/>
      <c r="CS73" s="481"/>
      <c r="CT73" s="481"/>
      <c r="CU73" s="481"/>
      <c r="CV73" s="481"/>
      <c r="CW73" s="481"/>
      <c r="CX73" s="481"/>
      <c r="CY73" s="481"/>
      <c r="CZ73" s="481"/>
      <c r="DA73" s="481"/>
      <c r="DB73" s="481"/>
      <c r="DC73" s="481"/>
      <c r="DD73" s="481"/>
      <c r="DE73" s="481"/>
      <c r="DF73" s="481"/>
      <c r="DG73" s="481"/>
      <c r="DH73" s="481"/>
      <c r="DI73" s="118"/>
      <c r="DJ73" s="481"/>
      <c r="DK73" s="481"/>
      <c r="DL73" s="481"/>
      <c r="DM73" s="481"/>
      <c r="DN73" s="481"/>
      <c r="DO73" s="481"/>
      <c r="DP73" s="481"/>
      <c r="DQ73" s="481"/>
      <c r="DR73" s="481"/>
      <c r="DS73" s="481"/>
      <c r="DT73" s="481"/>
      <c r="DU73" s="481"/>
      <c r="DV73" s="481"/>
      <c r="DW73" s="481"/>
      <c r="DX73" s="481"/>
      <c r="DY73" s="481"/>
      <c r="DZ73" s="481"/>
      <c r="EA73" s="481"/>
      <c r="EB73" s="481"/>
      <c r="EC73" s="481"/>
      <c r="ED73" s="481"/>
      <c r="EE73" s="481"/>
      <c r="EF73" s="481"/>
      <c r="EG73" s="481"/>
      <c r="EH73" s="481"/>
      <c r="EI73" s="481"/>
      <c r="EJ73" s="481"/>
      <c r="EK73" s="481"/>
      <c r="EL73" s="481"/>
      <c r="EM73" s="481"/>
      <c r="EN73" s="481"/>
      <c r="EO73" s="481"/>
      <c r="EP73" s="481"/>
      <c r="EQ73" s="481"/>
      <c r="ER73" s="481"/>
      <c r="ES73" s="481"/>
      <c r="ET73" s="481"/>
      <c r="EU73" s="481"/>
      <c r="EV73" s="481"/>
      <c r="EW73" s="481"/>
      <c r="EX73" s="481"/>
      <c r="EY73" s="481"/>
      <c r="EZ73" s="481"/>
      <c r="FA73" s="481"/>
      <c r="FL73" s="111"/>
      <c r="FM73" s="111"/>
    </row>
    <row r="74" spans="1:169" s="105" customFormat="1">
      <c r="A74" s="83" t="s">
        <v>394</v>
      </c>
      <c r="B74" s="493"/>
      <c r="C74" s="493"/>
      <c r="D74" s="493"/>
      <c r="E74" s="493"/>
      <c r="F74" s="493"/>
      <c r="G74" s="493"/>
      <c r="H74" s="493"/>
      <c r="I74" s="493"/>
      <c r="J74" s="493"/>
      <c r="K74" s="483"/>
      <c r="L74" s="484">
        <f t="shared" ref="L74:S74" si="57">L62+L64+L65+L67+L72</f>
      </c>
      <c r="M74" s="484">
        <f t="shared" si="57"/>
      </c>
      <c r="N74" s="484">
        <f t="shared" si="57"/>
      </c>
      <c r="O74" s="484">
        <f t="shared" si="57"/>
      </c>
      <c r="P74" s="485">
        <f>O74</f>
      </c>
      <c r="Q74" s="484">
        <f t="shared" si="57"/>
      </c>
      <c r="R74" s="484">
        <f t="shared" si="57"/>
      </c>
      <c r="S74" s="484">
        <f t="shared" si="57"/>
      </c>
      <c r="T74" s="484">
        <f t="shared" ref="T74:BW74" si="58">T62+T63+T64+T65+T67+T72</f>
      </c>
      <c r="U74" s="485">
        <f>T74</f>
      </c>
      <c r="V74" s="484">
        <f t="shared" si="58"/>
      </c>
      <c r="W74" s="484">
        <f t="shared" si="58"/>
      </c>
      <c r="X74" s="484">
        <f t="shared" si="58"/>
      </c>
      <c r="Y74" s="484">
        <f t="shared" si="58"/>
      </c>
      <c r="Z74" s="485">
        <f>Y74</f>
      </c>
      <c r="AA74" s="484">
        <f t="shared" si="58"/>
      </c>
      <c r="AB74" s="484">
        <f t="shared" si="58"/>
      </c>
      <c r="AC74" s="484">
        <f t="shared" si="58"/>
      </c>
      <c r="AD74" s="484">
        <f t="shared" si="58"/>
      </c>
      <c r="AE74" s="485">
        <f>AD74</f>
      </c>
      <c r="AF74" s="484">
        <f t="shared" si="58"/>
      </c>
      <c r="AG74" s="484">
        <f t="shared" si="58"/>
      </c>
      <c r="AH74" s="484">
        <f t="shared" si="58"/>
      </c>
      <c r="AI74" s="484">
        <f t="shared" si="58"/>
      </c>
      <c r="AJ74" s="485">
        <f>AI74</f>
      </c>
      <c r="AK74" s="484">
        <f t="shared" si="58"/>
      </c>
      <c r="AL74" s="484">
        <f t="shared" si="58"/>
      </c>
      <c r="AM74" s="484">
        <f t="shared" si="58"/>
      </c>
      <c r="AN74" s="484">
        <f t="shared" si="58"/>
      </c>
      <c r="AO74" s="485">
        <f>AN74</f>
      </c>
      <c r="AP74" s="484">
        <f t="shared" si="58"/>
      </c>
      <c r="AQ74" s="481">
        <f t="shared" si="58"/>
      </c>
      <c r="AR74" s="481">
        <f t="shared" si="58"/>
      </c>
      <c r="AS74" s="481">
        <f t="shared" si="58"/>
      </c>
      <c r="AT74" s="485">
        <f>AS74</f>
      </c>
      <c r="AU74" s="481">
        <f t="shared" si="58"/>
      </c>
      <c r="AV74" s="481">
        <f t="shared" si="58"/>
      </c>
      <c r="AW74" s="481">
        <f t="shared" si="58"/>
      </c>
      <c r="AX74" s="481">
        <f t="shared" si="58"/>
      </c>
      <c r="AY74" s="485">
        <f>AX74</f>
      </c>
      <c r="AZ74" s="481">
        <f t="shared" si="58"/>
      </c>
      <c r="BA74" s="481">
        <f t="shared" si="58"/>
      </c>
      <c r="BB74" s="481">
        <f t="shared" si="58"/>
      </c>
      <c r="BC74" s="481">
        <f t="shared" si="58"/>
      </c>
      <c r="BD74" s="485">
        <f>BC74</f>
      </c>
      <c r="BE74" s="481">
        <f t="shared" si="58"/>
      </c>
      <c r="BF74" s="481">
        <f t="shared" si="58"/>
      </c>
      <c r="BG74" s="481">
        <f t="shared" si="58"/>
      </c>
      <c r="BH74" s="481">
        <f t="shared" si="58"/>
      </c>
      <c r="BI74" s="485">
        <f>BH74</f>
      </c>
      <c r="BJ74" s="481">
        <f t="shared" si="58"/>
      </c>
      <c r="BK74" s="481">
        <f t="shared" si="58"/>
      </c>
      <c r="BL74" s="481">
        <f t="shared" si="58"/>
      </c>
      <c r="BM74" s="481">
        <f t="shared" si="58"/>
      </c>
      <c r="BN74" s="485">
        <f>BM74</f>
      </c>
      <c r="BO74" s="481">
        <f t="shared" si="58"/>
      </c>
      <c r="BP74" s="481">
        <f t="shared" si="58"/>
      </c>
      <c r="BQ74" s="481">
        <f t="shared" si="58"/>
      </c>
      <c r="BR74" s="481">
        <f t="shared" si="58"/>
      </c>
      <c r="BS74" s="485">
        <f>BR74</f>
      </c>
      <c r="BT74" s="481">
        <f t="shared" si="58"/>
      </c>
      <c r="BU74" s="481">
        <f t="shared" si="58"/>
      </c>
      <c r="BV74" s="481">
        <f t="shared" si="58"/>
      </c>
      <c r="BW74" s="481">
        <f t="shared" si="58"/>
      </c>
      <c r="BX74" s="485">
        <f>BW74</f>
      </c>
      <c r="BY74" s="481">
        <f>BY62+BY63+BY64+BY65+BY67+BY72</f>
      </c>
      <c r="BZ74" s="481">
        <f>BZ62+BZ63+BZ64+BZ65+BZ67+BZ72</f>
      </c>
      <c r="CA74" s="481">
        <f>CA62+CA63+CA64+CA65+CA67+CA72</f>
      </c>
      <c r="CB74" s="481">
        <f>CB62+CB63+CB64+CB65+CB67+CB72</f>
      </c>
      <c r="CC74" s="485">
        <f>CB74</f>
      </c>
      <c r="CD74" s="481">
        <f>CD62+CD63+CD64+CD65+CD67+CD72</f>
      </c>
      <c r="CE74" s="481">
        <f>CE62+CE63+CE64+CE65+CE67+CE72</f>
      </c>
      <c r="CF74" s="481">
        <f>CF62+CF63+CF64+CF65+CF67+CF72</f>
      </c>
      <c r="CG74" s="481">
        <f>CG62+CG63+CG64+CG65+CG67+CG72</f>
      </c>
      <c r="CH74" s="485">
        <f>CG74</f>
      </c>
      <c r="CI74" s="481">
        <f>CI62+CI63+CI64+CI65+CI67+CI72</f>
      </c>
      <c r="CJ74" s="481">
        <f>CJ62+CJ63+CJ64+CJ65+CJ67+CJ72</f>
      </c>
      <c r="CK74" s="481">
        <f>CK62+CK63+CK64+CK65+CK67+CK72</f>
      </c>
      <c r="CL74" s="481">
        <f>CL62+CL63+CL64+CL65+CL67+CL72</f>
      </c>
      <c r="CM74" s="485">
        <f>CL74</f>
      </c>
      <c r="CN74" s="481">
        <f>CN62+CN63+CN64+CN65+CN67+CN72</f>
      </c>
      <c r="CO74" s="481">
        <f>CO62+CO63+CO64+CO65+CO67+CO72</f>
      </c>
      <c r="CP74" s="481">
        <f>CP62+CP63+CP64+CP65+CP67+CP72</f>
      </c>
      <c r="CQ74" s="481">
        <f>CQ62+CQ63+CQ64+CQ65+CQ67+CQ72</f>
      </c>
      <c r="CR74" s="485">
        <f>CQ74</f>
      </c>
      <c r="CS74" s="481">
        <f>CS62+CS63+CS64+CS65+CS67+CS72</f>
      </c>
      <c r="CT74" s="481">
        <f>CT62+CT63+CT64+CT65+CT67+CT72</f>
      </c>
      <c r="CU74" s="481">
        <f>CU62+CU63+CU64+CU65+CU67+CU72</f>
      </c>
      <c r="CV74" s="481">
        <f>CV62+CV63+CV64+CV65+CV67+CV72</f>
      </c>
      <c r="CW74" s="485">
        <f>CV74</f>
      </c>
      <c r="CX74" s="481">
        <f>CX62+CX63+CX64+CX65+CX67+CX72</f>
      </c>
      <c r="CY74" s="481">
        <f>CY62+CY63+CY64+CY65+CY67+CY72</f>
      </c>
      <c r="CZ74" s="481">
        <f>CZ62+CZ63+CZ64+CZ65+CZ67+CZ72</f>
      </c>
      <c r="DA74" s="481">
        <f>DA62+DA63+DA64+DA65+DA67+DA72</f>
      </c>
      <c r="DB74" s="485">
        <f>DA74</f>
      </c>
      <c r="DC74" s="481">
        <f>DC62+DC63+DC64+DC65+DC67+DC72</f>
      </c>
      <c r="DD74" s="481">
        <f>DD62+DD63+DD64+DD65+DD67+DD72</f>
      </c>
      <c r="DE74" s="481">
        <f>DE62+DE63+DE64+DE65+DE67+DE72</f>
      </c>
      <c r="DF74" s="481">
        <f>DF62+DF63+DF64+DF65+DF67+DF72</f>
      </c>
      <c r="DG74" s="485">
        <f>DF74</f>
      </c>
      <c r="DH74" s="481">
        <f>DH62+DH63+DH64+DH65+DH67+DH72</f>
      </c>
      <c r="DI74" s="481">
        <f>DI62+DI63+DI64+DI65+DI67+DI72</f>
      </c>
      <c r="DJ74" s="481">
        <f>DJ62+DJ63+DJ64+DJ65+DJ67+DJ72</f>
      </c>
      <c r="DK74" s="481">
        <f>DK62+DK63+DK64+DK65+DK67+DK72</f>
      </c>
      <c r="DL74" s="485">
        <f>DK74</f>
      </c>
      <c r="DM74" s="481">
        <f>DM62+DM63+DM64+DM65+DM67+DM72</f>
      </c>
      <c r="DN74" s="481">
        <f>DN62+DN63+DN64+DN65+DN67+DN72</f>
      </c>
      <c r="DO74" s="481">
        <f>DO62+DO63+DO64+DO65+DO67+DO72</f>
      </c>
      <c r="DP74" s="481">
        <f>DP62+DP63+DP64+DP65+DP67+DP72</f>
      </c>
      <c r="DQ74" s="485">
        <f>DP74</f>
      </c>
      <c r="DR74" s="481">
        <f>DR62+DR63+DR64+DR65+DR67+DR72</f>
      </c>
      <c r="DS74" s="481">
        <f>DS62+DS63+DS64+DS65+DS67+DS72</f>
      </c>
      <c r="DT74" s="481">
        <f>DT62+DT63+DT64+DT65+DT67+DT72</f>
      </c>
      <c r="DU74" s="481">
        <f>DU62+DU63+DU64+DU65+DU67+DU72</f>
      </c>
      <c r="DV74" s="485">
        <f>DU74</f>
      </c>
      <c r="DW74" s="481">
        <f>DW62+DW63+DW64+DW65+DW67+DW72</f>
      </c>
      <c r="DX74" s="481">
        <f>DX62+DX63+DX64+DX65+DX67+DX72</f>
      </c>
      <c r="DY74" s="481">
        <f>DY62+DY63+DY64+DY65+DY67+DY72</f>
      </c>
      <c r="DZ74" s="481">
        <f>DZ62+DZ63+DZ64+DZ65+DZ67+DZ72</f>
      </c>
      <c r="EA74" s="485">
        <f>DZ74</f>
      </c>
      <c r="EB74" s="481">
        <f>EB62+EB63+EB64+EB65+EB67+EB72</f>
      </c>
      <c r="EC74" s="481">
        <f>EC62+EC63+EC64+EC65+EC67+EC72</f>
      </c>
      <c r="ED74" s="481">
        <f>ED62+ED63+ED64+ED65+ED67+ED72</f>
      </c>
      <c r="EE74" s="481">
        <f>EE62+EE63+EE64+EE65+EE67+EE72</f>
      </c>
      <c r="EF74" s="485">
        <f>EE74</f>
      </c>
      <c r="EG74" s="481">
        <f>EG62+EG63+EG64+EG65+EG67+EG72</f>
      </c>
      <c r="EH74" s="481">
        <f>EH62+EH63+EH64+EH65+EH67+EH72</f>
      </c>
      <c r="EI74" s="481">
        <f>EI62+EI63+EI64+EI65+EI67+EI72</f>
      </c>
      <c r="EJ74" s="481">
        <f>EJ62+EJ63+EJ64+EJ65+EJ67+EJ72</f>
      </c>
      <c r="EK74" s="485">
        <f>EJ74</f>
      </c>
      <c r="EL74" s="481">
        <f>EL62+EL63+EL64+EL65+EL67+EL72</f>
      </c>
      <c r="EM74" s="481">
        <f>EM62+EM63+EM64+EM65+EM67+EM72</f>
      </c>
      <c r="EN74" s="481">
        <f>EN62+EN63+EN64+EN65+EN67+EN72</f>
      </c>
      <c r="EO74" s="481">
        <f>EO62+EO63+EO64+EO65+EO67+EO72</f>
      </c>
      <c r="EP74" s="485">
        <f>EO74</f>
      </c>
      <c r="EQ74" s="481">
        <f>EQ62+EQ63+EQ64+EQ65+EQ67+EQ72</f>
      </c>
      <c r="ER74" s="481">
        <f>ER62+ER63+ER64+ER65+ER67+ER72</f>
      </c>
      <c r="ES74" s="481">
        <f>ES62+ES63+ES64+ES65+ES67+ES72</f>
      </c>
      <c r="ET74" s="481">
        <f>ET62+ET63+ET64+ET65+ET67+ET72</f>
      </c>
      <c r="EU74" s="485">
        <f>ET74</f>
      </c>
      <c r="EV74" s="481">
        <f>EV62+EV63+EV64+EV65+EV67+EV72</f>
      </c>
      <c r="EW74" s="481">
        <f>EW62+EW63+EW64+EW65+EW67+EW72</f>
      </c>
      <c r="EX74" s="481">
        <f>EX62+EX63+EX64+EX65+EX67+EX72</f>
      </c>
      <c r="EY74" s="481">
        <f>EY62+EY63+EY64+EY65+EY67+EY72</f>
      </c>
      <c r="EZ74" s="485">
        <f>EY74</f>
      </c>
      <c r="FA74" s="485"/>
      <c r="FL74" s="111"/>
      <c r="FM74" s="111"/>
    </row>
    <row r="75" spans="1:169">
      <c r="B75" s="426"/>
      <c r="C75" s="426"/>
      <c r="D75" s="426"/>
      <c r="E75" s="426"/>
      <c r="F75" s="426"/>
      <c r="G75" s="426"/>
      <c r="H75" s="426"/>
      <c r="I75" s="426"/>
      <c r="J75" s="426"/>
      <c r="K75" s="85"/>
      <c r="L75" s="484"/>
      <c r="M75" s="484"/>
      <c r="N75" s="484"/>
      <c r="O75" s="484"/>
      <c r="P75" s="481"/>
      <c r="Q75" s="484"/>
      <c r="R75" s="484"/>
      <c r="S75" s="484"/>
      <c r="T75" s="484"/>
      <c r="U75" s="481"/>
      <c r="V75" s="484"/>
      <c r="W75" s="484"/>
      <c r="X75" s="484"/>
      <c r="Y75" s="484"/>
      <c r="Z75" s="481"/>
      <c r="AA75" s="484"/>
      <c r="AB75" s="484"/>
      <c r="AC75" s="484"/>
      <c r="AD75" s="484"/>
      <c r="AE75" s="481"/>
      <c r="AF75" s="484"/>
      <c r="AG75" s="484"/>
      <c r="AH75" s="484"/>
      <c r="AI75" s="484"/>
      <c r="AJ75" s="481"/>
      <c r="AK75" s="484"/>
      <c r="AL75" s="484"/>
      <c r="AM75" s="481"/>
      <c r="AN75" s="481"/>
      <c r="AO75" s="481"/>
      <c r="AP75" s="481"/>
      <c r="AQ75" s="481"/>
      <c r="AR75" s="481"/>
      <c r="AS75" s="481"/>
      <c r="AT75" s="481"/>
      <c r="AU75" s="481"/>
      <c r="AV75" s="481"/>
      <c r="AW75" s="481"/>
      <c r="AX75" s="481"/>
      <c r="AY75" s="481"/>
      <c r="AZ75" s="481"/>
      <c r="BA75" s="481"/>
      <c r="BB75" s="481"/>
      <c r="BC75" s="481"/>
      <c r="BD75" s="481"/>
      <c r="BE75" s="481"/>
      <c r="BF75" s="481"/>
      <c r="BG75" s="481"/>
      <c r="BH75" s="481"/>
      <c r="BI75" s="481"/>
      <c r="BJ75" s="481"/>
      <c r="BK75" s="481"/>
      <c r="BL75" s="481"/>
      <c r="BM75" s="481"/>
      <c r="BN75" s="481"/>
      <c r="BO75" s="481"/>
      <c r="BP75" s="481"/>
      <c r="BQ75" s="481"/>
      <c r="BR75" s="481"/>
      <c r="BS75" s="481"/>
      <c r="BT75" s="481"/>
      <c r="BU75" s="481"/>
      <c r="BV75" s="481"/>
      <c r="BW75" s="481"/>
      <c r="BX75" s="481"/>
      <c r="BY75" s="481"/>
      <c r="BZ75" s="481"/>
      <c r="CA75" s="481"/>
      <c r="CB75" s="481"/>
      <c r="CC75" s="481"/>
      <c r="CD75" s="481"/>
      <c r="CE75" s="481"/>
      <c r="CF75" s="481"/>
      <c r="CG75" s="481"/>
      <c r="CH75" s="481"/>
      <c r="CI75" s="481"/>
      <c r="CJ75" s="481"/>
      <c r="CK75" s="481"/>
      <c r="CL75" s="481"/>
      <c r="CM75" s="481"/>
      <c r="CN75" s="481"/>
      <c r="CO75" s="481"/>
      <c r="CP75" s="481"/>
      <c r="CQ75" s="481"/>
      <c r="CR75" s="481"/>
      <c r="CS75" s="481"/>
      <c r="CT75" s="481"/>
      <c r="CU75" s="481"/>
      <c r="CV75" s="481"/>
      <c r="CW75" s="481"/>
      <c r="CX75" s="481"/>
      <c r="CY75" s="481"/>
      <c r="CZ75" s="481"/>
      <c r="DA75" s="481"/>
      <c r="DB75" s="481"/>
      <c r="DC75" s="481"/>
      <c r="DD75" s="481"/>
      <c r="DE75" s="481"/>
      <c r="DF75" s="481"/>
      <c r="DG75" s="481"/>
      <c r="DH75" s="481"/>
      <c r="DI75" s="481"/>
      <c r="DJ75" s="481"/>
      <c r="DK75" s="481"/>
      <c r="DL75" s="481"/>
      <c r="DM75" s="481"/>
      <c r="DN75" s="481"/>
      <c r="DO75" s="481"/>
      <c r="DP75" s="481"/>
      <c r="DQ75" s="481"/>
      <c r="DR75" s="481"/>
      <c r="DS75" s="481"/>
      <c r="DT75" s="481"/>
      <c r="DU75" s="481"/>
      <c r="DV75" s="481"/>
      <c r="DW75" s="481"/>
      <c r="DX75" s="481"/>
      <c r="DY75" s="481"/>
      <c r="DZ75" s="481"/>
      <c r="EA75" s="481"/>
      <c r="EB75" s="481"/>
      <c r="EC75" s="481"/>
      <c r="ED75" s="481"/>
      <c r="EE75" s="481"/>
      <c r="EF75" s="481"/>
      <c r="EG75" s="481"/>
      <c r="EH75" s="481"/>
      <c r="EI75" s="481"/>
      <c r="EJ75" s="481"/>
      <c r="EK75" s="481"/>
      <c r="EL75" s="481"/>
      <c r="EM75" s="481"/>
      <c r="EN75" s="481"/>
      <c r="EO75" s="481"/>
      <c r="EP75" s="481"/>
      <c r="EQ75" s="481"/>
      <c r="ER75" s="481"/>
      <c r="ES75" s="481"/>
      <c r="ET75" s="481"/>
      <c r="EU75" s="481"/>
      <c r="EV75" s="481"/>
      <c r="EW75" s="481"/>
      <c r="EX75" s="481"/>
      <c r="EY75" s="481"/>
      <c r="EZ75" s="481"/>
      <c r="FA75" s="481"/>
      <c r="FL75" s="111"/>
      <c r="FM75" s="111"/>
    </row>
    <row r="76" spans="1:169">
      <c r="A76" s="106" t="s">
        <v>395</v>
      </c>
      <c r="B76" s="426"/>
      <c r="C76" s="426"/>
      <c r="D76" s="426"/>
      <c r="E76" s="426"/>
      <c r="F76" s="426"/>
      <c r="G76" s="426"/>
      <c r="H76" s="426"/>
      <c r="I76" s="426"/>
      <c r="J76" s="426"/>
      <c r="K76" s="483"/>
      <c r="L76" s="484">
        <f t="shared" ref="L76:AC76" si="59">L77+L78</f>
      </c>
      <c r="M76" s="484">
        <f t="shared" si="59"/>
      </c>
      <c r="N76" s="484">
        <f t="shared" si="59"/>
      </c>
      <c r="O76" s="484">
        <f t="shared" si="59"/>
      </c>
      <c r="P76" s="485">
        <f>O76</f>
      </c>
      <c r="Q76" s="484">
        <f t="shared" si="59"/>
      </c>
      <c r="R76" s="484">
        <f t="shared" si="59"/>
      </c>
      <c r="S76" s="484">
        <f t="shared" si="59"/>
      </c>
      <c r="T76" s="484">
        <f t="shared" si="59"/>
      </c>
      <c r="U76" s="485">
        <f>T76</f>
      </c>
      <c r="V76" s="484">
        <f t="shared" si="59"/>
      </c>
      <c r="W76" s="484">
        <f t="shared" si="59"/>
      </c>
      <c r="X76" s="484">
        <f t="shared" si="59"/>
      </c>
      <c r="Y76" s="484">
        <f t="shared" si="59"/>
      </c>
      <c r="Z76" s="485">
        <f>Y76</f>
      </c>
      <c r="AA76" s="484">
        <f t="shared" si="59"/>
      </c>
      <c r="AB76" s="484">
        <f t="shared" si="59"/>
      </c>
      <c r="AC76" s="484">
        <f t="shared" si="59"/>
      </c>
      <c r="AD76" s="481">
        <v>229.083</v>
      </c>
      <c r="AE76" s="485">
        <f>AD76</f>
      </c>
      <c r="AF76" s="481">
        <f>AF77+AF78</f>
      </c>
      <c r="AG76" s="481">
        <f>AG77+AG78</f>
      </c>
      <c r="AH76" s="481">
        <f>AH77+AH78</f>
      </c>
      <c r="AI76" s="481">
        <v>337.875</v>
      </c>
      <c r="AJ76" s="485">
        <f>AI76</f>
      </c>
      <c r="AK76" s="481">
        <v>351.06099999999998</v>
      </c>
      <c r="AL76" s="481">
        <v>367.65</v>
      </c>
      <c r="AM76" s="481">
        <v>385.721</v>
      </c>
      <c r="AN76" s="481">
        <v>388.95499999999998</v>
      </c>
      <c r="AO76" s="485">
        <f>AN76</f>
      </c>
      <c r="AP76" s="481">
        <f>AP78+AP77</f>
      </c>
      <c r="AQ76" s="481">
        <f>AQ78+AQ77</f>
      </c>
      <c r="AR76" s="481">
        <f>AQ76-AR134</f>
      </c>
      <c r="AS76" s="481">
        <f>AS78+AS77</f>
      </c>
      <c r="AT76" s="485">
        <f>AS76</f>
      </c>
      <c r="AU76" s="481">
        <f>SUM(AU77:AU78)</f>
      </c>
      <c r="AV76" s="481">
        <f>SUM(AV77:AV78)</f>
      </c>
      <c r="AW76" s="481">
        <f>SUM(AW77:AW78)</f>
      </c>
      <c r="AX76" s="481">
        <f>SUM(AX77:AX78)</f>
      </c>
      <c r="AY76" s="485">
        <f>AX76</f>
      </c>
      <c r="AZ76" s="481">
        <f>AZ78+AZ77</f>
      </c>
      <c r="BA76" s="481">
        <f t="shared" ref="BA76:CF76" si="60">BA77+BA78</f>
      </c>
      <c r="BB76" s="481">
        <f t="shared" si="60"/>
      </c>
      <c r="BC76" s="481">
        <f t="shared" si="60"/>
      </c>
      <c r="BD76" s="485">
        <f>BC76</f>
      </c>
      <c r="BE76" s="481">
        <f t="shared" si="60"/>
      </c>
      <c r="BF76" s="481">
        <f t="shared" si="60"/>
      </c>
      <c r="BG76" s="481">
        <f t="shared" si="60"/>
      </c>
      <c r="BH76" s="481">
        <f t="shared" si="60"/>
      </c>
      <c r="BI76" s="485">
        <f>BH76</f>
      </c>
      <c r="BJ76" s="481">
        <f t="shared" si="60"/>
      </c>
      <c r="BK76" s="481">
        <f t="shared" si="60"/>
      </c>
      <c r="BL76" s="481">
        <f t="shared" si="60"/>
      </c>
      <c r="BM76" s="481">
        <f t="shared" si="60"/>
      </c>
      <c r="BN76" s="485">
        <f>BM76</f>
      </c>
      <c r="BO76" s="481">
        <f t="shared" si="60"/>
      </c>
      <c r="BP76" s="481">
        <f t="shared" si="60"/>
      </c>
      <c r="BQ76" s="481">
        <f t="shared" si="60"/>
      </c>
      <c r="BR76" s="481">
        <f t="shared" si="60"/>
      </c>
      <c r="BS76" s="485">
        <f>BR76</f>
      </c>
      <c r="BT76" s="481">
        <f t="shared" si="60"/>
      </c>
      <c r="BU76" s="481">
        <f t="shared" si="60"/>
      </c>
      <c r="BV76" s="481">
        <f t="shared" si="60"/>
      </c>
      <c r="BW76" s="481">
        <f t="shared" si="60"/>
      </c>
      <c r="BX76" s="485">
        <f>BW76</f>
      </c>
      <c r="BY76" s="481">
        <f t="shared" si="60"/>
      </c>
      <c r="BZ76" s="481">
        <f t="shared" si="60"/>
      </c>
      <c r="CA76" s="481">
        <f t="shared" si="60"/>
      </c>
      <c r="CB76" s="481">
        <f t="shared" si="60"/>
      </c>
      <c r="CC76" s="485">
        <f>CB76</f>
      </c>
      <c r="CD76" s="481">
        <f t="shared" si="60"/>
      </c>
      <c r="CE76" s="481">
        <f t="shared" si="60"/>
      </c>
      <c r="CF76" s="481">
        <f t="shared" si="60"/>
      </c>
      <c r="CG76" s="481">
        <f>CG77+CG78</f>
      </c>
      <c r="CH76" s="485">
        <f>CG76</f>
      </c>
      <c r="CI76" s="481">
        <f>CI77+CI78</f>
      </c>
      <c r="CJ76" s="481">
        <f>CJ77+CJ78</f>
      </c>
      <c r="CK76" s="481">
        <f>CK77+CK78</f>
      </c>
      <c r="CL76" s="481">
        <f>CL77+CL78</f>
      </c>
      <c r="CM76" s="485">
        <f>CL76</f>
      </c>
      <c r="CN76" s="481">
        <f>CN77+CN78</f>
      </c>
      <c r="CO76" s="481">
        <f>CO77+CO78</f>
      </c>
      <c r="CP76" s="481">
        <f>CP77+CP78</f>
      </c>
      <c r="CQ76" s="481">
        <f>CQ77+CQ78</f>
      </c>
      <c r="CR76" s="485">
        <f>CQ76</f>
      </c>
      <c r="CS76" s="481">
        <f>CS77+CS78</f>
      </c>
      <c r="CT76" s="481">
        <f>CT77+CT78</f>
      </c>
      <c r="CU76" s="481">
        <f>CU77+CU78</f>
      </c>
      <c r="CV76" s="481">
        <f>CV77+CV78</f>
      </c>
      <c r="CW76" s="485">
        <f>CV76</f>
      </c>
      <c r="CX76" s="481">
        <f>CX77+CX78</f>
      </c>
      <c r="CY76" s="481">
        <f>CY77+CY78</f>
      </c>
      <c r="CZ76" s="481">
        <f>CZ77+CZ78</f>
      </c>
      <c r="DA76" s="481">
        <f>DA77+DA78</f>
      </c>
      <c r="DB76" s="485">
        <f>DA76</f>
      </c>
      <c r="DC76" s="481">
        <f>DC77+DC78</f>
      </c>
      <c r="DD76" s="481">
        <f>DD77+DD78</f>
      </c>
      <c r="DE76" s="481">
        <f>DE77+DE78</f>
      </c>
      <c r="DF76" s="481">
        <f>DF77+DF78</f>
      </c>
      <c r="DG76" s="485">
        <f>DF76</f>
      </c>
      <c r="DH76" s="481">
        <f>DH77+DH78</f>
      </c>
      <c r="DI76" s="481">
        <f>DI77+DI78</f>
      </c>
      <c r="DJ76" s="481">
        <f>DJ77+DJ78</f>
      </c>
      <c r="DK76" s="481">
        <f>DK77+DK78</f>
      </c>
      <c r="DL76" s="485">
        <f>DK76</f>
      </c>
      <c r="DM76" s="481">
        <f>DM77+DM78</f>
      </c>
      <c r="DN76" s="481">
        <f>DN77+DN78</f>
      </c>
      <c r="DO76" s="481">
        <f>DO77+DO78</f>
      </c>
      <c r="DP76" s="481">
        <f>DP77+DP78</f>
      </c>
      <c r="DQ76" s="485">
        <f>DP76</f>
      </c>
      <c r="DR76" s="481">
        <f>DR77+DR78</f>
      </c>
      <c r="DS76" s="481">
        <f>DS77+DS78</f>
      </c>
      <c r="DT76" s="481">
        <f>DT77+DT78</f>
      </c>
      <c r="DU76" s="481">
        <f>DU77+DU78</f>
      </c>
      <c r="DV76" s="485">
        <f>DU76</f>
      </c>
      <c r="DW76" s="481">
        <f>DW77+DW78</f>
      </c>
      <c r="DX76" s="481">
        <f>DX77+DX78</f>
      </c>
      <c r="DY76" s="481">
        <f>DY77+DY78</f>
      </c>
      <c r="DZ76" s="481">
        <f>DZ77+DZ78</f>
      </c>
      <c r="EA76" s="485">
        <f>DZ76</f>
      </c>
      <c r="EB76" s="481">
        <f>EB77+EB78</f>
      </c>
      <c r="EC76" s="481">
        <f>EC77+EC78</f>
      </c>
      <c r="ED76" s="481">
        <f>ED77+ED78</f>
      </c>
      <c r="EE76" s="481">
        <f>EE77+EE78</f>
      </c>
      <c r="EF76" s="485">
        <f>EE76</f>
      </c>
      <c r="EG76" s="481">
        <f>EG77+EG78</f>
      </c>
      <c r="EH76" s="481">
        <f>EH77+EH78</f>
      </c>
      <c r="EI76" s="481">
        <f>EI77+EI78</f>
      </c>
      <c r="EJ76" s="481">
        <f>EJ77+EJ78</f>
      </c>
      <c r="EK76" s="485">
        <f>EJ76</f>
      </c>
      <c r="EL76" s="481">
        <f>EL77+EL78</f>
      </c>
      <c r="EM76" s="481">
        <f>EM77+EM78</f>
      </c>
      <c r="EN76" s="481">
        <f>EM76-EN134</f>
      </c>
      <c r="EO76" s="481">
        <f>EN76-EO134</f>
      </c>
      <c r="EP76" s="485">
        <f>EO76</f>
      </c>
      <c r="EQ76" s="481">
        <f>EO76-EQ134</f>
      </c>
      <c r="ER76" s="481">
        <f>EQ76-ER134</f>
      </c>
      <c r="ES76" s="481">
        <f>ER76-ES134</f>
      </c>
      <c r="ET76" s="481">
        <f>ES76-ET134</f>
      </c>
      <c r="EU76" s="485">
        <f>ET76</f>
      </c>
      <c r="EV76" s="481">
        <f>ET76-EV134</f>
      </c>
      <c r="EW76" s="481">
        <f>EV76-EW134</f>
      </c>
      <c r="EX76" s="481">
        <f>EW76-EX134</f>
      </c>
      <c r="EY76" s="481">
        <f>EX76-EY134</f>
      </c>
      <c r="EZ76" s="485">
        <f>EY76</f>
      </c>
      <c r="FA76" s="485"/>
      <c r="FL76" s="111"/>
      <c r="FM76" s="111"/>
    </row>
    <row r="77" spans="1:169">
      <c r="A77" s="106" t="s">
        <v>396</v>
      </c>
      <c r="B77" s="426"/>
      <c r="C77" s="426"/>
      <c r="D77" s="426"/>
      <c r="E77" s="426"/>
      <c r="F77" s="426"/>
      <c r="G77" s="426"/>
      <c r="H77" s="426"/>
      <c r="I77" s="426"/>
      <c r="J77" s="426"/>
      <c r="K77" s="483"/>
      <c r="L77" s="484">
        <v>8.1780000000000008</v>
      </c>
      <c r="M77" s="484">
        <v>10.273999999999999</v>
      </c>
      <c r="N77" s="484">
        <v>12.616</v>
      </c>
      <c r="O77" s="484">
        <v>15.444000000000001</v>
      </c>
      <c r="P77" s="485">
        <f>O77</f>
      </c>
      <c r="Q77" s="484">
        <v>18.006</v>
      </c>
      <c r="R77" s="484">
        <v>21.254999999999999</v>
      </c>
      <c r="S77" s="484">
        <v>24.585999999999999</v>
      </c>
      <c r="T77" s="484">
        <v>28.965</v>
      </c>
      <c r="U77" s="485">
        <f>T77</f>
      </c>
      <c r="V77" s="484">
        <v>35.159999999999997</v>
      </c>
      <c r="W77" s="484">
        <v>45.78</v>
      </c>
      <c r="X77" s="484">
        <v>57.697000000000003</v>
      </c>
      <c r="Y77" s="484">
        <v>58.965000000000003</v>
      </c>
      <c r="Z77" s="485">
        <f>Y77</f>
      </c>
      <c r="AA77" s="484">
        <v>71.965000000000003</v>
      </c>
      <c r="AB77" s="484">
        <f>AA77+AB11</f>
      </c>
      <c r="AC77" s="484">
        <f>AB77+AC11</f>
      </c>
      <c r="AD77" s="481">
        <v>93.930999999999997</v>
      </c>
      <c r="AE77" s="485">
        <f>AD77</f>
      </c>
      <c r="AF77" s="481">
        <f>AD77</f>
      </c>
      <c r="AG77" s="481">
        <f>AE77</f>
      </c>
      <c r="AH77" s="481">
        <f>AF77</f>
      </c>
      <c r="AI77" s="481">
        <v>147.846</v>
      </c>
      <c r="AJ77" s="485">
        <f>AI77</f>
      </c>
      <c r="AK77" s="481">
        <v>166.02</v>
      </c>
      <c r="AL77" s="481">
        <v>184.66200000000001</v>
      </c>
      <c r="AM77" s="481">
        <v>203.523</v>
      </c>
      <c r="AN77" s="481">
        <v>210</v>
      </c>
      <c r="AO77" s="485">
        <f>AN77</f>
      </c>
      <c r="AP77" s="481">
        <f>AN77+AP11</f>
      </c>
      <c r="AQ77" s="481">
        <f>AP77+AQ11</f>
      </c>
      <c r="AR77" s="481">
        <f>AR76-AR78</f>
      </c>
      <c r="AS77" s="481">
        <v>282.24900000000002</v>
      </c>
      <c r="AT77" s="485">
        <f>AS77</f>
      </c>
      <c r="AU77" s="481">
        <f>AS77+AU11</f>
      </c>
      <c r="AV77" s="481">
        <f>AU77+AV11</f>
      </c>
      <c r="AW77" s="481">
        <f>AV77+AW11</f>
      </c>
      <c r="AX77" s="481">
        <f>AW77+AX11</f>
      </c>
      <c r="AY77" s="485">
        <f>AX77</f>
      </c>
      <c r="AZ77" s="481">
        <f>AX77+AZ11</f>
      </c>
      <c r="BA77" s="481">
        <f>AZ77+BA11</f>
      </c>
      <c r="BB77" s="481">
        <f>BA77+BB11</f>
      </c>
      <c r="BC77" s="481">
        <f>BB77+BC11</f>
      </c>
      <c r="BD77" s="485">
        <f>BC77</f>
      </c>
      <c r="BE77" s="481">
        <f>BC77+BE11</f>
      </c>
      <c r="BF77" s="481">
        <f>BE77+BF11</f>
      </c>
      <c r="BG77" s="481">
        <f>BF77+BG11</f>
      </c>
      <c r="BH77" s="481">
        <f>BG77+BH11</f>
      </c>
      <c r="BI77" s="485">
        <f>BH77</f>
      </c>
      <c r="BJ77" s="481">
        <f>BH77+BJ11</f>
      </c>
      <c r="BK77" s="481">
        <f>BJ77+BK11</f>
      </c>
      <c r="BL77" s="481">
        <f>BK77+BL11</f>
      </c>
      <c r="BM77" s="481">
        <f>BL77+BM11</f>
      </c>
      <c r="BN77" s="485">
        <f>BM77</f>
      </c>
      <c r="BO77" s="481">
        <f>BM77+BO11</f>
      </c>
      <c r="BP77" s="481">
        <f>BO77+BP11</f>
      </c>
      <c r="BQ77" s="481">
        <f>BP77+BQ11</f>
      </c>
      <c r="BR77" s="481">
        <f>BQ77+BR11</f>
      </c>
      <c r="BS77" s="485">
        <f>BR77</f>
      </c>
      <c r="BT77" s="481">
        <f>BR77+BT11</f>
      </c>
      <c r="BU77" s="481">
        <f>BT77+BU11</f>
      </c>
      <c r="BV77" s="481">
        <f>BU77+BV11</f>
      </c>
      <c r="BW77" s="481">
        <f>BV77+BW11</f>
      </c>
      <c r="BX77" s="485">
        <f>BW77</f>
      </c>
      <c r="BY77" s="481">
        <f>BW77+BY11</f>
      </c>
      <c r="BZ77" s="481">
        <f>BY77+BZ11</f>
      </c>
      <c r="CA77" s="481">
        <f>BZ77+CA11</f>
      </c>
      <c r="CB77" s="481">
        <f>CA77+CB11</f>
      </c>
      <c r="CC77" s="485">
        <f>CB77</f>
      </c>
      <c r="CD77" s="481">
        <f>CB77+CD11</f>
      </c>
      <c r="CE77" s="481">
        <f>CD77+CE11</f>
      </c>
      <c r="CF77" s="481">
        <f>CE77+CF11</f>
      </c>
      <c r="CG77" s="481">
        <f>CF77+CG11</f>
      </c>
      <c r="CH77" s="485">
        <f>CG77</f>
      </c>
      <c r="CI77" s="481">
        <f>CG77+CI11</f>
      </c>
      <c r="CJ77" s="481">
        <f>CI77+CJ11</f>
      </c>
      <c r="CK77" s="481">
        <f>CJ77+CK11</f>
      </c>
      <c r="CL77" s="481">
        <f>CK77+CL11</f>
      </c>
      <c r="CM77" s="485">
        <f>CL77</f>
      </c>
      <c r="CN77" s="481">
        <f>CL77+CN11</f>
      </c>
      <c r="CO77" s="481">
        <f>CN77+CO11</f>
      </c>
      <c r="CP77" s="481">
        <f>CO77+CP11</f>
      </c>
      <c r="CQ77" s="481">
        <f>CP77+CQ11</f>
      </c>
      <c r="CR77" s="485">
        <f>CQ77</f>
      </c>
      <c r="CS77" s="481">
        <f>CQ77+CS11</f>
      </c>
      <c r="CT77" s="481">
        <f>CS77+CT11</f>
      </c>
      <c r="CU77" s="481">
        <f>CT77+CU11</f>
      </c>
      <c r="CV77" s="481">
        <f>CU77+CV11</f>
      </c>
      <c r="CW77" s="485">
        <f>CV77</f>
      </c>
      <c r="CX77" s="481">
        <f>CV77+CX11</f>
      </c>
      <c r="CY77" s="481">
        <f>CX77+CY11</f>
      </c>
      <c r="CZ77" s="481">
        <f>CY77+CZ11</f>
      </c>
      <c r="DA77" s="481">
        <f>CZ77+DA11</f>
      </c>
      <c r="DB77" s="485">
        <f>DA77</f>
      </c>
      <c r="DC77" s="481">
        <f>DA77+DC11</f>
      </c>
      <c r="DD77" s="481">
        <f>DC77+DD11</f>
      </c>
      <c r="DE77" s="481">
        <f>DD77+DE11</f>
      </c>
      <c r="DF77" s="481">
        <f>DE77+DF11</f>
      </c>
      <c r="DG77" s="485">
        <f>DF77</f>
      </c>
      <c r="DH77" s="481">
        <f>DG77+DH11</f>
      </c>
      <c r="DI77" s="481">
        <f>DH77+DI11</f>
      </c>
      <c r="DJ77" s="481">
        <f>DI77+DJ11</f>
      </c>
      <c r="DK77" s="481">
        <f>DJ77+DK11</f>
      </c>
      <c r="DL77" s="485">
        <f>DK77</f>
      </c>
      <c r="DM77" s="481">
        <f>DK77+DM11</f>
      </c>
      <c r="DN77" s="481">
        <f>DM77+DN11</f>
      </c>
      <c r="DO77" s="481">
        <f>DN77+DO11</f>
      </c>
      <c r="DP77" s="481">
        <f>DO77+DP11</f>
      </c>
      <c r="DQ77" s="485">
        <f>DP77</f>
      </c>
      <c r="DR77" s="481">
        <f>DP77+DR11</f>
      </c>
      <c r="DS77" s="481">
        <f>DR77+DS11</f>
      </c>
      <c r="DT77" s="481">
        <f>DS77+DT11</f>
      </c>
      <c r="DU77" s="481">
        <f>DT77+DU11</f>
      </c>
      <c r="DV77" s="485">
        <f>DU77</f>
      </c>
      <c r="DW77" s="481">
        <f>DU77+DW11</f>
      </c>
      <c r="DX77" s="481">
        <f>DW77+DX11</f>
      </c>
      <c r="DY77" s="481">
        <f>DX77+DY11</f>
      </c>
      <c r="DZ77" s="481">
        <f>DY77+DZ11</f>
      </c>
      <c r="EA77" s="485">
        <f>DZ77</f>
      </c>
      <c r="EB77" s="481">
        <f>EA77+EB11</f>
      </c>
      <c r="EC77" s="481">
        <f>EB77+EC11</f>
      </c>
      <c r="ED77" s="481">
        <f>EC77+ED11</f>
      </c>
      <c r="EE77" s="481">
        <f>ED77+EE11</f>
      </c>
      <c r="EF77" s="485">
        <f>EE77</f>
      </c>
      <c r="EG77" s="481">
        <f>EF77+EG11</f>
      </c>
      <c r="EH77" s="481">
        <f>EG77+EH11</f>
      </c>
      <c r="EI77" s="481">
        <f>EH77+EI11</f>
      </c>
      <c r="EJ77" s="481">
        <f>EI77+EJ11</f>
      </c>
      <c r="EK77" s="485">
        <f>EJ77</f>
      </c>
      <c r="EL77" s="481">
        <f>EK77+EL11</f>
      </c>
      <c r="EM77" s="481">
        <f>EL77+EM11</f>
      </c>
      <c r="EN77" s="481">
        <f>EM77+EN11</f>
      </c>
      <c r="EO77" s="481">
        <f>EN77+EO11</f>
      </c>
      <c r="EP77" s="485">
        <f>EO77</f>
      </c>
      <c r="EQ77" s="481">
        <f>EO77+EQ11</f>
      </c>
      <c r="ER77" s="481">
        <f>EQ77+ER11</f>
      </c>
      <c r="ES77" s="481">
        <f>ER77+ES11</f>
      </c>
      <c r="ET77" s="481">
        <f>ES77+ET11</f>
      </c>
      <c r="EU77" s="485">
        <f>ET77</f>
      </c>
      <c r="EV77" s="481">
        <f>ET77+EV11</f>
      </c>
      <c r="EW77" s="481">
        <f>EV77+EW11</f>
      </c>
      <c r="EX77" s="481">
        <f>EW77+EX11</f>
      </c>
      <c r="EY77" s="481">
        <f>EX77+EY11</f>
      </c>
      <c r="EZ77" s="485">
        <f>EY77</f>
      </c>
      <c r="FA77" s="485"/>
      <c r="FL77" s="111"/>
      <c r="FM77" s="111"/>
    </row>
    <row r="78" spans="1:169">
      <c r="A78" s="106" t="s">
        <v>397</v>
      </c>
      <c r="B78" s="426"/>
      <c r="C78" s="426"/>
      <c r="D78" s="426"/>
      <c r="E78" s="426"/>
      <c r="F78" s="426"/>
      <c r="G78" s="426"/>
      <c r="H78" s="426"/>
      <c r="I78" s="426"/>
      <c r="J78" s="426"/>
      <c r="K78" s="483"/>
      <c r="L78" s="484">
        <v>22.690999999999999</v>
      </c>
      <c r="M78" s="484">
        <v>22.742000000000001</v>
      </c>
      <c r="N78" s="484">
        <v>26.623999999999999</v>
      </c>
      <c r="O78" s="484">
        <v>25.885999999999999</v>
      </c>
      <c r="P78" s="485">
        <f>O78</f>
      </c>
      <c r="Q78" s="484">
        <v>30.443000000000001</v>
      </c>
      <c r="R78" s="484">
        <v>34.908000000000001</v>
      </c>
      <c r="S78" s="484">
        <v>37.424999999999997</v>
      </c>
      <c r="T78" s="484">
        <v>47.28</v>
      </c>
      <c r="U78" s="485">
        <f>T78</f>
      </c>
      <c r="V78" s="484">
        <v>74.332999999999998</v>
      </c>
      <c r="W78" s="484">
        <v>94.863</v>
      </c>
      <c r="X78" s="484">
        <v>108.69499999999999</v>
      </c>
      <c r="Y78" s="484">
        <v>120.128</v>
      </c>
      <c r="Z78" s="485">
        <f>Y78</f>
      </c>
      <c r="AA78" s="484">
        <v>131.267</v>
      </c>
      <c r="AB78" s="484">
        <v>143.578</v>
      </c>
      <c r="AC78" s="484">
        <v>138.77799999999999</v>
      </c>
      <c r="AD78" s="481">
        <f>AD76-AD77</f>
      </c>
      <c r="AE78" s="485">
        <f>AD78</f>
      </c>
      <c r="AF78" s="481">
        <v>148.904</v>
      </c>
      <c r="AG78" s="481">
        <v>198.94499999999999</v>
      </c>
      <c r="AH78" s="481">
        <v>196.23</v>
      </c>
      <c r="AI78" s="481">
        <f>AI76-AI77</f>
      </c>
      <c r="AJ78" s="485">
        <f>AI78</f>
      </c>
      <c r="AK78" s="481">
        <v>185.041</v>
      </c>
      <c r="AL78" s="481">
        <f>AL76-AL77</f>
      </c>
      <c r="AM78" s="481">
        <f>AM76-AM77</f>
      </c>
      <c r="AN78" s="481">
        <f>AN76-AN77</f>
      </c>
      <c r="AO78" s="485">
        <f>AN78</f>
      </c>
      <c r="AP78" s="481">
        <v>169.23599999999999</v>
      </c>
      <c r="AQ78" s="481">
        <v>178.95099999999999</v>
      </c>
      <c r="AR78" s="481">
        <v>178.505</v>
      </c>
      <c r="AS78" s="481">
        <v>178.15199999999999</v>
      </c>
      <c r="AT78" s="485">
        <f>AS78</f>
      </c>
      <c r="AU78" s="481">
        <v>180.20599999999999</v>
      </c>
      <c r="AV78" s="481">
        <v>177.14400000000001</v>
      </c>
      <c r="AW78" s="481">
        <v>220.54</v>
      </c>
      <c r="AX78" s="481">
        <v>260.82799999999997</v>
      </c>
      <c r="AY78" s="485">
        <f>AX78</f>
      </c>
      <c r="AZ78" s="481">
        <v>271.19</v>
      </c>
      <c r="BA78" s="481">
        <v>264.83199999999999</v>
      </c>
      <c r="BB78" s="481">
        <v>322.94600000000003</v>
      </c>
      <c r="BC78" s="481">
        <v>359.80799999999999</v>
      </c>
      <c r="BD78" s="485">
        <f>BC78</f>
      </c>
      <c r="BE78" s="481">
        <v>522.05600000000004</v>
      </c>
      <c r="BF78" s="481">
        <v>599.47799999999995</v>
      </c>
      <c r="BG78" s="481">
        <v>609.67399999999998</v>
      </c>
      <c r="BH78" s="481">
        <v>625.798</v>
      </c>
      <c r="BI78" s="485">
        <f>BH78</f>
      </c>
      <c r="BJ78" s="481">
        <v>601.053</v>
      </c>
      <c r="BK78" s="481">
        <v>582.91399999999999</v>
      </c>
      <c r="BL78" s="481">
        <v>565.29600000000005</v>
      </c>
      <c r="BM78" s="481">
        <v>571.85799999999995</v>
      </c>
      <c r="BN78" s="485">
        <f>BM78</f>
      </c>
      <c r="BO78" s="481">
        <v>548.91600000000005</v>
      </c>
      <c r="BP78" s="481">
        <v>542.21600000000001</v>
      </c>
      <c r="BQ78" s="481">
        <v>585.67200000000003</v>
      </c>
      <c r="BR78" s="481">
        <v>614.43100000000004</v>
      </c>
      <c r="BS78" s="485">
        <f>BR78</f>
      </c>
      <c r="BT78" s="481">
        <v>553.36599999999999</v>
      </c>
      <c r="BU78" s="481">
        <v>550.89599999999996</v>
      </c>
      <c r="BV78" s="481">
        <v>551.75699999999995</v>
      </c>
      <c r="BW78" s="481">
        <v>560.072</v>
      </c>
      <c r="BX78" s="485">
        <f>BW78</f>
      </c>
      <c r="BY78" s="481">
        <v>553.54100000000005</v>
      </c>
      <c r="BZ78" s="481">
        <v>574.05600000000004</v>
      </c>
      <c r="CA78" s="481">
        <v>566.54</v>
      </c>
      <c r="CB78" s="481">
        <v>576.14400000000001</v>
      </c>
      <c r="CC78" s="485">
        <f>CB78</f>
      </c>
      <c r="CD78" s="481">
        <v>588.02300000000002</v>
      </c>
      <c r="CE78" s="481">
        <v>578.94799999999998</v>
      </c>
      <c r="CF78" s="481">
        <v>595.41800000000001</v>
      </c>
      <c r="CG78" s="481">
        <v>582.74</v>
      </c>
      <c r="CH78" s="485">
        <f>CG78</f>
      </c>
      <c r="CI78" s="481">
        <v>570.80200000000002</v>
      </c>
      <c r="CJ78" s="481">
        <v>556.91099999999994</v>
      </c>
      <c r="CK78" s="481">
        <v>566.601</v>
      </c>
      <c r="CL78" s="481">
        <v>557.28200000000004</v>
      </c>
      <c r="CM78" s="485">
        <f>CL78</f>
      </c>
      <c r="CN78" s="481">
        <v>547</v>
      </c>
      <c r="CO78" s="481">
        <v>497</v>
      </c>
      <c r="CP78" s="481">
        <v>477</v>
      </c>
      <c r="CQ78" s="481">
        <v>466</v>
      </c>
      <c r="CR78" s="485">
        <f>CQ78</f>
      </c>
      <c r="CS78" s="481">
        <v>479</v>
      </c>
      <c r="CT78" s="481">
        <v>485</v>
      </c>
      <c r="CU78" s="481">
        <v>503</v>
      </c>
      <c r="CV78" s="481">
        <v>521</v>
      </c>
      <c r="CW78" s="485">
        <f>CV78</f>
      </c>
      <c r="CX78" s="481">
        <v>539</v>
      </c>
      <c r="CY78" s="481">
        <v>578</v>
      </c>
      <c r="CZ78" s="481">
        <v>600</v>
      </c>
      <c r="DA78" s="481">
        <v>997</v>
      </c>
      <c r="DB78" s="485">
        <f>DA78</f>
      </c>
      <c r="DC78" s="481">
        <v>1066</v>
      </c>
      <c r="DD78" s="481">
        <v>1162</v>
      </c>
      <c r="DE78" s="481">
        <v>1292</v>
      </c>
      <c r="DF78" s="481">
        <v>1404</v>
      </c>
      <c r="DG78" s="485">
        <f>DF78</f>
      </c>
      <c r="DH78" s="481">
        <v>1473</v>
      </c>
      <c r="DI78" s="481">
        <v>1484</v>
      </c>
      <c r="DJ78" s="481">
        <v>1517</v>
      </c>
      <c r="DK78" s="481">
        <v>1674</v>
      </c>
      <c r="DL78" s="485">
        <f>DK78</f>
      </c>
      <c r="DM78" s="481">
        <v>1715</v>
      </c>
      <c r="DN78" s="481">
        <v>1964</v>
      </c>
      <c r="DO78" s="481">
        <v>2059</v>
      </c>
      <c r="DP78" s="481">
        <v>2149</v>
      </c>
      <c r="DQ78" s="485">
        <f>DP78</f>
      </c>
      <c r="DR78" s="481">
        <v>2268</v>
      </c>
      <c r="DS78" s="481">
        <v>2364</v>
      </c>
      <c r="DT78" s="481">
        <v>2509</v>
      </c>
      <c r="DU78" s="481">
        <v>2778</v>
      </c>
      <c r="DV78" s="485">
        <f>DU78</f>
      </c>
      <c r="DW78" s="481">
        <v>2916</v>
      </c>
      <c r="DX78" s="481">
        <v>3233</v>
      </c>
      <c r="DY78" s="481">
        <v>3774</v>
      </c>
      <c r="DZ78" s="481">
        <v>3807</v>
      </c>
      <c r="EA78" s="485">
        <f>DZ78</f>
      </c>
      <c r="EB78" s="481">
        <v>3740</v>
      </c>
      <c r="EC78" s="481">
        <v>3799</v>
      </c>
      <c r="ED78" s="481">
        <v>3844</v>
      </c>
      <c r="EE78" s="481">
        <v>3914</v>
      </c>
      <c r="EF78" s="485">
        <f>EE78</f>
      </c>
      <c r="EG78" s="481">
        <v>4006</v>
      </c>
      <c r="EH78" s="481">
        <v>4885</v>
      </c>
      <c r="EI78" s="481">
        <v>5343</v>
      </c>
      <c r="EJ78" s="481">
        <v>6283</v>
      </c>
      <c r="EK78" s="485">
        <f>EJ78</f>
      </c>
      <c r="EL78" s="481">
        <v>7136</v>
      </c>
      <c r="EM78" s="481">
        <v>9141</v>
      </c>
      <c r="EN78" s="481">
        <f>EN76-EN77</f>
      </c>
      <c r="EO78" s="481">
        <f>EO76-EO77</f>
      </c>
      <c r="EP78" s="485">
        <f>EO78</f>
      </c>
      <c r="EQ78" s="481">
        <f>EQ76-EQ77</f>
      </c>
      <c r="ER78" s="481">
        <f>ER76-ER77</f>
      </c>
      <c r="ES78" s="481">
        <f>ES76-ES77</f>
      </c>
      <c r="ET78" s="481">
        <f>ET76-ET77</f>
      </c>
      <c r="EU78" s="485">
        <f>ET78</f>
      </c>
      <c r="EV78" s="481">
        <f>EV76-EV77</f>
      </c>
      <c r="EW78" s="481">
        <f>EW76-EW77</f>
      </c>
      <c r="EX78" s="481">
        <f>EX76-EX77</f>
      </c>
      <c r="EY78" s="481">
        <f>EY76-EY77</f>
      </c>
      <c r="EZ78" s="485">
        <f>EY78</f>
      </c>
      <c r="FA78" s="485"/>
      <c r="FL78" s="111"/>
      <c r="FM78" s="111"/>
    </row>
    <row r="79" spans="1:169">
      <c r="B79" s="426"/>
      <c r="C79" s="426"/>
      <c r="D79" s="426"/>
      <c r="E79" s="426"/>
      <c r="F79" s="426"/>
      <c r="G79" s="426"/>
      <c r="H79" s="426"/>
      <c r="I79" s="426"/>
      <c r="J79" s="426"/>
      <c r="K79" s="85"/>
      <c r="L79" s="484"/>
      <c r="M79" s="484"/>
      <c r="N79" s="484"/>
      <c r="O79" s="484"/>
      <c r="P79" s="481"/>
      <c r="Q79" s="484"/>
      <c r="R79" s="484"/>
      <c r="S79" s="484"/>
      <c r="T79" s="484"/>
      <c r="U79" s="481"/>
      <c r="V79" s="494"/>
      <c r="W79" s="484"/>
      <c r="X79" s="484"/>
      <c r="Y79" s="484"/>
      <c r="Z79" s="481"/>
      <c r="AA79" s="484"/>
      <c r="AB79" s="484"/>
      <c r="AC79" s="484"/>
      <c r="AD79" s="484"/>
      <c r="AE79" s="481"/>
      <c r="AF79" s="484"/>
      <c r="AG79" s="484"/>
      <c r="AH79" s="484"/>
      <c r="AI79" s="484"/>
      <c r="AJ79" s="481"/>
      <c r="AK79" s="484"/>
      <c r="AL79" s="484"/>
      <c r="AM79" s="481"/>
      <c r="AN79" s="481"/>
      <c r="AO79" s="481"/>
      <c r="AP79" s="481"/>
      <c r="AQ79" s="481"/>
      <c r="AR79" s="481"/>
      <c r="AS79" s="481"/>
      <c r="AT79" s="481"/>
      <c r="AU79" s="481"/>
      <c r="AV79" s="481"/>
      <c r="AW79" s="481"/>
      <c r="AX79" s="481"/>
      <c r="AY79" s="481"/>
      <c r="AZ79" s="481"/>
      <c r="BA79" s="481"/>
      <c r="BB79" s="481"/>
      <c r="BC79" s="481"/>
      <c r="BD79" s="481"/>
      <c r="BE79" s="481"/>
      <c r="BF79" s="481"/>
      <c r="BG79" s="481"/>
      <c r="BH79" s="481"/>
      <c r="BI79" s="481"/>
      <c r="BJ79" s="481"/>
      <c r="BK79" s="481"/>
      <c r="BL79" s="481"/>
      <c r="BM79" s="481"/>
      <c r="BN79" s="481"/>
      <c r="BO79" s="481"/>
      <c r="BP79" s="481"/>
      <c r="BQ79" s="481"/>
      <c r="BR79" s="481"/>
      <c r="BS79" s="481"/>
      <c r="BT79" s="481"/>
      <c r="BU79" s="481"/>
      <c r="BV79" s="481"/>
      <c r="BW79" s="481"/>
      <c r="BX79" s="481"/>
      <c r="BY79" s="481"/>
      <c r="BZ79" s="481"/>
      <c r="CA79" s="481"/>
      <c r="CB79" s="481"/>
      <c r="CC79" s="481"/>
      <c r="CD79" s="481"/>
      <c r="CE79" s="481"/>
      <c r="CF79" s="481"/>
      <c r="CG79" s="481"/>
      <c r="CH79" s="481"/>
      <c r="CI79" s="481"/>
      <c r="CJ79" s="481"/>
      <c r="CK79" s="481"/>
      <c r="CL79" s="481"/>
      <c r="CM79" s="481"/>
      <c r="CN79" s="481"/>
      <c r="CO79" s="481"/>
      <c r="CP79" s="481"/>
      <c r="CQ79" s="481"/>
      <c r="CR79" s="481"/>
      <c r="CS79" s="481"/>
      <c r="CT79" s="481"/>
      <c r="CU79" s="481"/>
      <c r="CV79" s="481"/>
      <c r="CW79" s="481"/>
      <c r="CX79" s="481"/>
      <c r="CY79" s="481"/>
      <c r="CZ79" s="481"/>
      <c r="DA79" s="481"/>
      <c r="DB79" s="481"/>
      <c r="DC79" s="481"/>
      <c r="DD79" s="481"/>
      <c r="DE79" s="481"/>
      <c r="DF79" s="481"/>
      <c r="DG79" s="481"/>
      <c r="DH79" s="481"/>
      <c r="DI79" s="481"/>
      <c r="DJ79" s="481"/>
      <c r="DK79" s="481"/>
      <c r="DL79" s="481"/>
      <c r="DM79" s="481"/>
      <c r="DN79" s="481"/>
      <c r="DO79" s="481"/>
      <c r="DP79" s="481"/>
      <c r="DQ79" s="481"/>
      <c r="DR79" s="481"/>
      <c r="DS79" s="481"/>
      <c r="DT79" s="481"/>
      <c r="DU79" s="481"/>
      <c r="DV79" s="481"/>
      <c r="DW79" s="481"/>
      <c r="DX79" s="481"/>
      <c r="DY79" s="481"/>
      <c r="DZ79" s="481"/>
      <c r="EA79" s="481"/>
      <c r="EB79" s="481"/>
      <c r="EC79" s="481"/>
      <c r="ED79" s="481"/>
      <c r="EE79" s="481"/>
      <c r="EF79" s="481"/>
      <c r="EG79" s="481"/>
      <c r="EH79" s="481"/>
      <c r="EI79" s="481"/>
      <c r="EJ79" s="481"/>
      <c r="EK79" s="481"/>
      <c r="EL79" s="481"/>
      <c r="EM79" s="481"/>
      <c r="EN79" s="481"/>
      <c r="EO79" s="481"/>
      <c r="EP79" s="481"/>
      <c r="EQ79" s="481"/>
      <c r="ER79" s="481"/>
      <c r="ES79" s="481"/>
      <c r="ET79" s="481"/>
      <c r="EU79" s="481"/>
      <c r="EV79" s="481"/>
      <c r="EW79" s="481"/>
      <c r="EX79" s="481"/>
      <c r="EY79" s="481"/>
      <c r="EZ79" s="481"/>
      <c r="FA79" s="481"/>
      <c r="FL79" s="111"/>
      <c r="FM79" s="111"/>
    </row>
    <row r="80" spans="1:169">
      <c r="A80" s="83" t="s">
        <v>398</v>
      </c>
      <c r="B80" s="426"/>
      <c r="C80" s="426"/>
      <c r="D80" s="426"/>
      <c r="E80" s="426"/>
      <c r="F80" s="426"/>
      <c r="G80" s="426"/>
      <c r="H80" s="426"/>
      <c r="I80" s="426"/>
      <c r="J80" s="426"/>
      <c r="K80" s="461"/>
      <c r="L80" s="484"/>
      <c r="M80" s="484"/>
      <c r="N80" s="484"/>
      <c r="O80" s="484"/>
      <c r="P80" s="481"/>
      <c r="Q80" s="494"/>
      <c r="R80" s="484"/>
      <c r="S80" s="484"/>
      <c r="T80" s="494"/>
      <c r="U80" s="481"/>
      <c r="V80" s="494"/>
      <c r="W80" s="494"/>
      <c r="X80" s="494"/>
      <c r="Y80" s="484"/>
      <c r="Z80" s="481"/>
      <c r="AA80" s="484"/>
      <c r="AB80" s="484"/>
      <c r="AC80" s="484"/>
      <c r="AD80" s="484"/>
      <c r="AE80" s="481"/>
      <c r="AF80" s="484"/>
      <c r="AG80" s="484"/>
      <c r="AH80" s="484"/>
      <c r="AI80" s="484"/>
      <c r="AJ80" s="481"/>
      <c r="AK80" s="484"/>
      <c r="AL80" s="484"/>
      <c r="AM80" s="481"/>
      <c r="AN80" s="481"/>
      <c r="AO80" s="481"/>
      <c r="AP80" s="481"/>
      <c r="AQ80" s="481"/>
      <c r="AR80" s="481"/>
      <c r="AS80" s="481"/>
      <c r="AT80" s="481"/>
      <c r="AU80" s="481"/>
      <c r="AV80" s="481"/>
      <c r="AW80" s="481"/>
      <c r="AX80" s="481"/>
      <c r="AY80" s="481"/>
      <c r="AZ80" s="481"/>
      <c r="BA80" s="481"/>
      <c r="BB80" s="481"/>
      <c r="BC80" s="481"/>
      <c r="BD80" s="481"/>
      <c r="BE80" s="481"/>
      <c r="BF80" s="481"/>
      <c r="BG80" s="481"/>
      <c r="BH80" s="481"/>
      <c r="BI80" s="481"/>
      <c r="BJ80" s="481"/>
      <c r="BK80" s="481"/>
      <c r="BL80" s="481"/>
      <c r="BM80" s="481"/>
      <c r="BN80" s="481"/>
      <c r="BO80" s="481"/>
      <c r="BP80" s="481"/>
      <c r="BQ80" s="481"/>
      <c r="BR80" s="481"/>
      <c r="BS80" s="481"/>
      <c r="BT80" s="481"/>
      <c r="BU80" s="481"/>
      <c r="BV80" s="481"/>
      <c r="BW80" s="481"/>
      <c r="BX80" s="481"/>
      <c r="BY80" s="481"/>
      <c r="BZ80" s="481"/>
      <c r="CA80" s="481"/>
      <c r="CB80" s="481"/>
      <c r="CC80" s="481"/>
      <c r="CD80" s="481"/>
      <c r="CE80" s="481"/>
      <c r="CF80" s="481"/>
      <c r="CG80" s="481"/>
      <c r="CH80" s="481"/>
      <c r="CI80" s="481"/>
      <c r="CJ80" s="481"/>
      <c r="CK80" s="481"/>
      <c r="CL80" s="481"/>
      <c r="CM80" s="481"/>
      <c r="CN80" s="481"/>
      <c r="CO80" s="481"/>
      <c r="CP80" s="481"/>
      <c r="CQ80" s="481"/>
      <c r="CR80" s="481"/>
      <c r="CS80" s="481"/>
      <c r="CT80" s="481"/>
      <c r="CU80" s="481"/>
      <c r="CV80" s="481"/>
      <c r="CW80" s="481"/>
      <c r="CX80" s="481"/>
      <c r="CY80" s="481"/>
      <c r="CZ80" s="481"/>
      <c r="DA80" s="481"/>
      <c r="DB80" s="481"/>
      <c r="DC80" s="481"/>
      <c r="DD80" s="481"/>
      <c r="DE80" s="481"/>
      <c r="DF80" s="481"/>
      <c r="DG80" s="481"/>
      <c r="DH80" s="481"/>
      <c r="DI80" s="481"/>
      <c r="DJ80" s="481"/>
      <c r="DK80" s="481"/>
      <c r="DL80" s="481"/>
      <c r="DM80" s="481"/>
      <c r="DN80" s="481"/>
      <c r="DO80" s="481"/>
      <c r="DP80" s="481"/>
      <c r="DQ80" s="481"/>
      <c r="DR80" s="481"/>
      <c r="DS80" s="481"/>
      <c r="DT80" s="481"/>
      <c r="DU80" s="481"/>
      <c r="DV80" s="481"/>
      <c r="DW80" s="481"/>
      <c r="DX80" s="481"/>
      <c r="DY80" s="481"/>
      <c r="DZ80" s="481"/>
      <c r="EA80" s="481"/>
      <c r="EB80" s="481"/>
      <c r="EC80" s="481"/>
      <c r="ED80" s="481"/>
      <c r="EE80" s="481"/>
      <c r="EF80" s="481"/>
      <c r="EG80" s="481"/>
      <c r="EH80" s="481"/>
      <c r="EI80" s="481"/>
      <c r="EJ80" s="481"/>
      <c r="EK80" s="481"/>
      <c r="EL80" s="481"/>
      <c r="EM80" s="481"/>
      <c r="EN80" s="481"/>
      <c r="EO80" s="481"/>
      <c r="EP80" s="481"/>
      <c r="EQ80" s="481"/>
      <c r="ER80" s="481"/>
      <c r="ES80" s="481"/>
      <c r="ET80" s="481"/>
      <c r="EU80" s="481"/>
      <c r="EV80" s="481"/>
      <c r="EW80" s="481"/>
      <c r="EX80" s="481"/>
      <c r="EY80" s="481"/>
      <c r="EZ80" s="481"/>
      <c r="FA80" s="481"/>
      <c r="FL80" s="111"/>
      <c r="FM80" s="111"/>
    </row>
    <row r="81" spans="1:169">
      <c r="A81" s="106" t="s">
        <v>399</v>
      </c>
      <c r="B81" s="426"/>
      <c r="C81" s="426"/>
      <c r="D81" s="426"/>
      <c r="E81" s="426"/>
      <c r="F81" s="426"/>
      <c r="G81" s="426"/>
      <c r="H81" s="426"/>
      <c r="I81" s="426"/>
      <c r="J81" s="426"/>
      <c r="K81" s="483"/>
      <c r="L81" s="484"/>
      <c r="M81" s="484"/>
      <c r="N81" s="484"/>
      <c r="O81" s="484"/>
      <c r="P81" s="485">
        <f>O81</f>
      </c>
      <c r="Q81" s="484"/>
      <c r="R81" s="484"/>
      <c r="S81" s="484"/>
      <c r="T81" s="484"/>
      <c r="U81" s="485">
        <f>T81</f>
      </c>
      <c r="V81" s="484"/>
      <c r="W81" s="484"/>
      <c r="X81" s="484"/>
      <c r="Y81" s="484"/>
      <c r="Z81" s="485">
        <f>Y81</f>
      </c>
      <c r="AA81" s="484"/>
      <c r="AB81" s="484"/>
      <c r="AC81" s="484">
        <v>10.423999999999999</v>
      </c>
      <c r="AD81" s="484">
        <v>10.473000000000001</v>
      </c>
      <c r="AE81" s="485">
        <f>AD81</f>
      </c>
      <c r="AF81" s="484">
        <v>12.170999999999999</v>
      </c>
      <c r="AG81" s="484">
        <v>12.72</v>
      </c>
      <c r="AH81" s="484">
        <v>6.7329999999999997</v>
      </c>
      <c r="AI81" s="484">
        <v>7.7309999999999999</v>
      </c>
      <c r="AJ81" s="485">
        <f>AI81</f>
      </c>
      <c r="AK81" s="484">
        <v>7.2549999999999999</v>
      </c>
      <c r="AL81" s="484">
        <v>8.2769999999999992</v>
      </c>
      <c r="AM81" s="484">
        <v>8.1319999999999997</v>
      </c>
      <c r="AN81" s="484">
        <v>9.0340000000000007</v>
      </c>
      <c r="AO81" s="485">
        <f>AN81</f>
      </c>
      <c r="AP81" s="484">
        <v>10.678000000000001</v>
      </c>
      <c r="AQ81" s="484">
        <v>15.977</v>
      </c>
      <c r="AR81" s="481">
        <v>24.713000000000001</v>
      </c>
      <c r="AS81" s="481">
        <v>27.477</v>
      </c>
      <c r="AT81" s="485">
        <f>AS81</f>
      </c>
      <c r="AU81" s="481">
        <v>31.027999999999999</v>
      </c>
      <c r="AV81" s="481">
        <v>37.527000000000001</v>
      </c>
      <c r="AW81" s="481">
        <v>42.103999999999999</v>
      </c>
      <c r="AX81" s="481">
        <v>28.349</v>
      </c>
      <c r="AY81" s="485">
        <f>AX81</f>
      </c>
      <c r="AZ81" s="481">
        <v>33.454000000000001</v>
      </c>
      <c r="BA81" s="481">
        <v>25.911999999999999</v>
      </c>
      <c r="BB81" s="481">
        <v>25.155999999999999</v>
      </c>
      <c r="BC81" s="481">
        <v>38.051000000000002</v>
      </c>
      <c r="BD81" s="485">
        <f>BC81</f>
      </c>
      <c r="BE81" s="481">
        <v>40.389000000000003</v>
      </c>
      <c r="BF81" s="481">
        <v>35.404000000000003</v>
      </c>
      <c r="BG81" s="481">
        <v>37.192999999999998</v>
      </c>
      <c r="BH81" s="481">
        <v>40.026000000000003</v>
      </c>
      <c r="BI81" s="485">
        <f>BH81</f>
      </c>
      <c r="BJ81" s="481">
        <v>44.677</v>
      </c>
      <c r="BK81" s="481">
        <v>42.067999999999998</v>
      </c>
      <c r="BL81" s="481">
        <v>42.901000000000003</v>
      </c>
      <c r="BM81" s="481">
        <v>42.927999999999997</v>
      </c>
      <c r="BN81" s="485">
        <f>BM81</f>
      </c>
      <c r="BO81" s="481">
        <v>41.866999999999997</v>
      </c>
      <c r="BP81" s="481">
        <v>44.366999999999997</v>
      </c>
      <c r="BQ81" s="481">
        <v>39.719000000000001</v>
      </c>
      <c r="BR81" s="481">
        <v>40.85</v>
      </c>
      <c r="BS81" s="485">
        <f>BR81</f>
      </c>
      <c r="BT81" s="481">
        <v>38.01</v>
      </c>
      <c r="BU81" s="481">
        <v>93.512</v>
      </c>
      <c r="BV81" s="481">
        <v>46.323</v>
      </c>
      <c r="BW81" s="481">
        <v>120.33199999999999</v>
      </c>
      <c r="BX81" s="485">
        <f>BW81</f>
      </c>
      <c r="BY81" s="481">
        <v>118.08499999999999</v>
      </c>
      <c r="BZ81" s="481">
        <v>116.006</v>
      </c>
      <c r="CA81" s="481">
        <v>111.499</v>
      </c>
      <c r="CB81" s="481">
        <v>107.48099999999999</v>
      </c>
      <c r="CC81" s="485">
        <f>CB81</f>
      </c>
      <c r="CD81" s="481">
        <v>107.125</v>
      </c>
      <c r="CE81" s="481">
        <v>104.486</v>
      </c>
      <c r="CF81" s="481">
        <v>102.346</v>
      </c>
      <c r="CG81" s="481">
        <v>0</v>
      </c>
      <c r="CH81" s="485">
        <f>CG81</f>
      </c>
      <c r="CI81" s="481">
        <v>0</v>
      </c>
      <c r="CJ81" s="481">
        <v>0</v>
      </c>
      <c r="CK81" s="481">
        <v>93.679000000000002</v>
      </c>
      <c r="CL81" s="481">
        <v>90.896000000000001</v>
      </c>
      <c r="CM81" s="485">
        <f>CL81</f>
      </c>
      <c r="CN81" s="481">
        <v>89</v>
      </c>
      <c r="CO81" s="481">
        <v>66</v>
      </c>
      <c r="CP81" s="481">
        <v>73</v>
      </c>
      <c r="CQ81" s="481">
        <v>67</v>
      </c>
      <c r="CR81" s="485">
        <f>CQ81</f>
      </c>
      <c r="CS81" s="481">
        <v>66</v>
      </c>
      <c r="CT81" s="481">
        <v>64</v>
      </c>
      <c r="CU81" s="481">
        <v>64</v>
      </c>
      <c r="CV81" s="481">
        <v>62</v>
      </c>
      <c r="CW81" s="485">
        <f>CV81</f>
      </c>
      <c r="CX81" s="481">
        <v>47</v>
      </c>
      <c r="CY81" s="481">
        <v>60</v>
      </c>
      <c r="CZ81" s="481">
        <v>70</v>
      </c>
      <c r="DA81" s="481">
        <v>0</v>
      </c>
      <c r="DB81" s="485">
        <f>DA81</f>
      </c>
      <c r="DC81" s="481">
        <f>DA81</f>
      </c>
      <c r="DD81" s="481">
        <f t="shared" ref="DD81:DG83" si="61">DC81</f>
      </c>
      <c r="DE81" s="481">
        <f t="shared" si="61"/>
      </c>
      <c r="DF81" s="481">
        <f t="shared" si="61"/>
      </c>
      <c r="DG81" s="485">
        <f t="shared" si="61"/>
      </c>
      <c r="DH81" s="481">
        <f>DF81</f>
      </c>
      <c r="DI81" s="481">
        <v>0</v>
      </c>
      <c r="DJ81" s="481">
        <f t="shared" ref="DJ81:DL83" si="62">DI81</f>
      </c>
      <c r="DK81" s="481">
        <f t="shared" si="62"/>
      </c>
      <c r="DL81" s="485">
        <f t="shared" si="62"/>
      </c>
      <c r="DM81" s="481">
        <f>DK81</f>
      </c>
      <c r="DN81" s="481">
        <f t="shared" ref="DN81:DU83" si="63">DM81</f>
      </c>
      <c r="DO81" s="481">
        <f t="shared" si="63"/>
      </c>
      <c r="DP81" s="481">
        <f t="shared" si="63"/>
      </c>
      <c r="DQ81" s="485">
        <f t="shared" si="63"/>
      </c>
      <c r="DR81" s="481">
        <f>DP81</f>
      </c>
      <c r="DS81" s="481">
        <f t="shared" si="63"/>
      </c>
      <c r="DT81" s="481">
        <f t="shared" si="63"/>
      </c>
      <c r="DU81" s="481">
        <f t="shared" si="63"/>
      </c>
      <c r="DV81" s="485">
        <f>DU81</f>
      </c>
      <c r="DW81" s="481">
        <f>DU81</f>
      </c>
      <c r="DX81" s="481">
        <f t="shared" ref="DX81:EM82" si="64">DW81</f>
      </c>
      <c r="DY81" s="481">
        <f t="shared" si="64"/>
      </c>
      <c r="DZ81" s="481">
        <f t="shared" si="64"/>
      </c>
      <c r="EA81" s="485">
        <f>DZ81</f>
      </c>
      <c r="EB81" s="481">
        <f t="shared" si="64"/>
      </c>
      <c r="EC81" s="481">
        <f t="shared" si="64"/>
      </c>
      <c r="ED81" s="481">
        <f t="shared" si="64"/>
      </c>
      <c r="EE81" s="481">
        <f t="shared" si="64"/>
      </c>
      <c r="EF81" s="485">
        <f>EE81</f>
      </c>
      <c r="EG81" s="481">
        <f t="shared" si="64"/>
      </c>
      <c r="EH81" s="481">
        <f t="shared" si="64"/>
      </c>
      <c r="EI81" s="481">
        <f t="shared" si="64"/>
      </c>
      <c r="EJ81" s="481">
        <f t="shared" si="64"/>
      </c>
      <c r="EK81" s="485">
        <f>EJ81</f>
      </c>
      <c r="EL81" s="481">
        <f t="shared" si="64"/>
      </c>
      <c r="EM81" s="481">
        <f t="shared" si="64"/>
      </c>
      <c r="EN81" s="481">
        <f t="shared" ref="EN81:EP83" si="65">EM81</f>
      </c>
      <c r="EO81" s="481">
        <f t="shared" si="65"/>
      </c>
      <c r="EP81" s="485">
        <f t="shared" si="65"/>
      </c>
      <c r="EQ81" s="481">
        <f>EO81</f>
      </c>
      <c r="ER81" s="481">
        <f t="shared" ref="ER81:EU83" si="66">EQ81</f>
      </c>
      <c r="ES81" s="481">
        <f t="shared" si="66"/>
      </c>
      <c r="ET81" s="481">
        <f t="shared" si="66"/>
      </c>
      <c r="EU81" s="485">
        <f t="shared" si="66"/>
      </c>
      <c r="EV81" s="481">
        <f>ET81</f>
      </c>
      <c r="EW81" s="481">
        <f t="shared" ref="EW81:EZ83" si="67">EV81</f>
      </c>
      <c r="EX81" s="481">
        <f t="shared" si="67"/>
      </c>
      <c r="EY81" s="481">
        <f t="shared" si="67"/>
      </c>
      <c r="EZ81" s="485">
        <f t="shared" si="67"/>
      </c>
      <c r="FA81" s="485"/>
      <c r="FL81" s="111"/>
      <c r="FM81" s="111"/>
    </row>
    <row r="82" spans="1:169">
      <c r="A82" s="106" t="s">
        <v>400</v>
      </c>
      <c r="B82" s="426"/>
      <c r="C82" s="426"/>
      <c r="D82" s="426"/>
      <c r="E82" s="426"/>
      <c r="F82" s="426"/>
      <c r="G82" s="426"/>
      <c r="H82" s="426"/>
      <c r="I82" s="426"/>
      <c r="J82" s="426"/>
      <c r="K82" s="483"/>
      <c r="L82" s="484"/>
      <c r="M82" s="484"/>
      <c r="N82" s="484"/>
      <c r="O82" s="484"/>
      <c r="P82" s="485">
        <f>O82</f>
      </c>
      <c r="Q82" s="484"/>
      <c r="R82" s="484"/>
      <c r="S82" s="484"/>
      <c r="T82" s="484"/>
      <c r="U82" s="485">
        <f>T82</f>
      </c>
      <c r="V82" s="484"/>
      <c r="W82" s="484"/>
      <c r="X82" s="484"/>
      <c r="Y82" s="484"/>
      <c r="Z82" s="485">
        <f>Y82</f>
      </c>
      <c r="AA82" s="484"/>
      <c r="AB82" s="484"/>
      <c r="AC82" s="484">
        <v>56.040999999999997</v>
      </c>
      <c r="AD82" s="484">
        <v>43.317</v>
      </c>
      <c r="AE82" s="485">
        <f>AD82</f>
      </c>
      <c r="AF82" s="484">
        <v>43.317</v>
      </c>
      <c r="AG82" s="484">
        <v>43.317</v>
      </c>
      <c r="AH82" s="484">
        <v>44.201000000000001</v>
      </c>
      <c r="AI82" s="484">
        <v>0</v>
      </c>
      <c r="AJ82" s="485">
        <f>AI82</f>
      </c>
      <c r="AK82" s="484">
        <v>0</v>
      </c>
      <c r="AL82" s="484">
        <v>0</v>
      </c>
      <c r="AM82" s="484">
        <f>AL82</f>
      </c>
      <c r="AN82" s="484">
        <f>AM82</f>
      </c>
      <c r="AO82" s="485">
        <f>AN82</f>
      </c>
      <c r="AP82" s="484">
        <f>AN82</f>
      </c>
      <c r="AQ82" s="484">
        <v>0</v>
      </c>
      <c r="AR82" s="481">
        <v>0</v>
      </c>
      <c r="AS82" s="481">
        <v>0</v>
      </c>
      <c r="AT82" s="485">
        <f>AS82</f>
      </c>
      <c r="AU82" s="481">
        <v>38.021000000000001</v>
      </c>
      <c r="AV82" s="481">
        <v>9.7840000000000007</v>
      </c>
      <c r="AW82" s="481">
        <v>12.404</v>
      </c>
      <c r="AX82" s="481">
        <v>7.38</v>
      </c>
      <c r="AY82" s="485">
        <f>AX82</f>
      </c>
      <c r="AZ82" s="481">
        <v>0</v>
      </c>
      <c r="BA82" s="481">
        <v>0</v>
      </c>
      <c r="BB82" s="481">
        <f>BA82</f>
      </c>
      <c r="BC82" s="481">
        <f>BB82</f>
      </c>
      <c r="BD82" s="485">
        <f>BC82</f>
      </c>
      <c r="BE82" s="481">
        <f>BC82</f>
      </c>
      <c r="BF82" s="481">
        <v>0</v>
      </c>
      <c r="BG82" s="481">
        <f>BF82</f>
      </c>
      <c r="BH82" s="481">
        <f>BG82</f>
      </c>
      <c r="BI82" s="485">
        <f>BH82</f>
      </c>
      <c r="BJ82" s="481">
        <f>BH82</f>
      </c>
      <c r="BK82" s="481">
        <v>0</v>
      </c>
      <c r="BL82" s="481">
        <f>BK82</f>
      </c>
      <c r="BM82" s="481">
        <f>BL82</f>
      </c>
      <c r="BN82" s="485">
        <f>BM82</f>
      </c>
      <c r="BO82" s="481">
        <f>BM82</f>
      </c>
      <c r="BP82" s="481">
        <v>0</v>
      </c>
      <c r="BQ82" s="481">
        <f>BP82</f>
      </c>
      <c r="BR82" s="481">
        <f>BQ82</f>
      </c>
      <c r="BS82" s="485">
        <f>BR82</f>
      </c>
      <c r="BT82" s="481">
        <f>BR82</f>
      </c>
      <c r="BU82" s="481">
        <v>0</v>
      </c>
      <c r="BV82" s="481">
        <f>BU82</f>
      </c>
      <c r="BW82" s="481">
        <f>BV82</f>
      </c>
      <c r="BX82" s="485">
        <f>BW82</f>
      </c>
      <c r="BY82" s="481">
        <f>BW82</f>
      </c>
      <c r="BZ82" s="481">
        <v>0</v>
      </c>
      <c r="CA82" s="481">
        <f>BZ82</f>
      </c>
      <c r="CB82" s="481">
        <f>CA82</f>
      </c>
      <c r="CC82" s="485">
        <f>CB82</f>
      </c>
      <c r="CD82" s="481">
        <f>CB82</f>
      </c>
      <c r="CE82" s="481">
        <f>CD82</f>
      </c>
      <c r="CF82" s="481">
        <f>CE82</f>
      </c>
      <c r="CG82" s="481">
        <f>CF82</f>
      </c>
      <c r="CH82" s="485">
        <f>CG82</f>
      </c>
      <c r="CI82" s="481">
        <f>CG82</f>
      </c>
      <c r="CJ82" s="481">
        <f>CI82</f>
      </c>
      <c r="CK82" s="481">
        <f t="shared" ref="CK82:CP82" si="68">CJ82</f>
      </c>
      <c r="CL82" s="481">
        <f t="shared" si="68"/>
      </c>
      <c r="CM82" s="485">
        <f>CL82</f>
      </c>
      <c r="CN82" s="481">
        <f>CL82</f>
      </c>
      <c r="CO82" s="481">
        <f t="shared" si="68"/>
      </c>
      <c r="CP82" s="481">
        <f t="shared" si="68"/>
      </c>
      <c r="CQ82" s="481">
        <f>CP82</f>
      </c>
      <c r="CR82" s="485">
        <f>CQ82</f>
      </c>
      <c r="CS82" s="481">
        <f>CQ82</f>
      </c>
      <c r="CT82" s="481">
        <f>CS82</f>
      </c>
      <c r="CU82" s="481">
        <f>CT82</f>
      </c>
      <c r="CV82" s="481">
        <f>CU82</f>
      </c>
      <c r="CW82" s="485">
        <f>CV82</f>
      </c>
      <c r="CX82" s="481">
        <v>0</v>
      </c>
      <c r="CY82" s="481">
        <f>CX82</f>
      </c>
      <c r="CZ82" s="481">
        <f>CY82</f>
      </c>
      <c r="DA82" s="481">
        <f>CZ82</f>
      </c>
      <c r="DB82" s="485">
        <f>DA82</f>
      </c>
      <c r="DC82" s="481">
        <f>DA82</f>
      </c>
      <c r="DD82" s="481">
        <f t="shared" si="61"/>
      </c>
      <c r="DE82" s="481">
        <f t="shared" si="61"/>
      </c>
      <c r="DF82" s="481">
        <f t="shared" si="61"/>
      </c>
      <c r="DG82" s="485">
        <f t="shared" si="61"/>
      </c>
      <c r="DH82" s="481">
        <f>DF82</f>
      </c>
      <c r="DI82" s="481">
        <v>0</v>
      </c>
      <c r="DJ82" s="481">
        <f t="shared" si="62"/>
      </c>
      <c r="DK82" s="481">
        <f t="shared" si="62"/>
      </c>
      <c r="DL82" s="485">
        <f t="shared" si="62"/>
      </c>
      <c r="DM82" s="481">
        <f>DK82</f>
      </c>
      <c r="DN82" s="481">
        <f t="shared" si="63"/>
      </c>
      <c r="DO82" s="481">
        <f t="shared" si="63"/>
      </c>
      <c r="DP82" s="481">
        <f t="shared" si="63"/>
      </c>
      <c r="DQ82" s="485">
        <f t="shared" si="63"/>
      </c>
      <c r="DR82" s="481">
        <f>DP82</f>
      </c>
      <c r="DS82" s="481">
        <f t="shared" si="63"/>
      </c>
      <c r="DT82" s="481">
        <f t="shared" si="63"/>
      </c>
      <c r="DU82" s="481">
        <f t="shared" si="63"/>
      </c>
      <c r="DV82" s="485">
        <f>DU82</f>
      </c>
      <c r="DW82" s="481">
        <f>DU82</f>
      </c>
      <c r="DX82" s="481">
        <f t="shared" si="64"/>
      </c>
      <c r="DY82" s="481">
        <f t="shared" si="64"/>
      </c>
      <c r="DZ82" s="481">
        <f t="shared" si="64"/>
      </c>
      <c r="EA82" s="485">
        <f>DZ82</f>
      </c>
      <c r="EB82" s="481">
        <f t="shared" si="64"/>
      </c>
      <c r="EC82" s="481">
        <f t="shared" si="64"/>
      </c>
      <c r="ED82" s="481">
        <f t="shared" si="64"/>
      </c>
      <c r="EE82" s="481">
        <f t="shared" si="64"/>
      </c>
      <c r="EF82" s="485">
        <f>EE82</f>
      </c>
      <c r="EG82" s="481">
        <f t="shared" si="64"/>
      </c>
      <c r="EH82" s="481">
        <f t="shared" si="64"/>
      </c>
      <c r="EI82" s="481">
        <f t="shared" si="64"/>
      </c>
      <c r="EJ82" s="481">
        <f t="shared" si="64"/>
      </c>
      <c r="EK82" s="485">
        <f>EJ82</f>
      </c>
      <c r="EL82" s="481">
        <f t="shared" si="64"/>
      </c>
      <c r="EM82" s="481">
        <f t="shared" si="64"/>
      </c>
      <c r="EN82" s="481">
        <f t="shared" si="65"/>
      </c>
      <c r="EO82" s="481">
        <f t="shared" si="65"/>
      </c>
      <c r="EP82" s="485">
        <f t="shared" si="65"/>
      </c>
      <c r="EQ82" s="481">
        <f>EO82</f>
      </c>
      <c r="ER82" s="481">
        <f t="shared" si="66"/>
      </c>
      <c r="ES82" s="481">
        <f t="shared" si="66"/>
      </c>
      <c r="ET82" s="481">
        <f t="shared" si="66"/>
      </c>
      <c r="EU82" s="485">
        <f t="shared" si="66"/>
      </c>
      <c r="EV82" s="481">
        <f>ET82</f>
      </c>
      <c r="EW82" s="481">
        <f t="shared" si="67"/>
      </c>
      <c r="EX82" s="481">
        <f t="shared" si="67"/>
      </c>
      <c r="EY82" s="481">
        <f t="shared" si="67"/>
      </c>
      <c r="EZ82" s="485">
        <f t="shared" si="67"/>
      </c>
      <c r="FA82" s="485"/>
      <c r="FL82" s="111"/>
      <c r="FM82" s="111"/>
    </row>
    <row r="83" spans="1:169">
      <c r="A83" s="106" t="s">
        <v>401</v>
      </c>
      <c r="B83" s="426"/>
      <c r="C83" s="426"/>
      <c r="D83" s="426"/>
      <c r="E83" s="426"/>
      <c r="F83" s="426"/>
      <c r="G83" s="426"/>
      <c r="H83" s="426"/>
      <c r="I83" s="426"/>
      <c r="J83" s="426"/>
      <c r="K83" s="483"/>
      <c r="L83" s="484"/>
      <c r="M83" s="484"/>
      <c r="N83" s="484"/>
      <c r="O83" s="484"/>
      <c r="P83" s="485">
        <f>O83</f>
      </c>
      <c r="Q83" s="484"/>
      <c r="R83" s="484"/>
      <c r="S83" s="484"/>
      <c r="T83" s="484"/>
      <c r="U83" s="485">
        <f>T83</f>
      </c>
      <c r="V83" s="484"/>
      <c r="W83" s="484"/>
      <c r="X83" s="484"/>
      <c r="Y83" s="484"/>
      <c r="Z83" s="485">
        <f>Y83</f>
      </c>
      <c r="AA83" s="484"/>
      <c r="AB83" s="484"/>
      <c r="AC83" s="484">
        <v>78.158000000000001</v>
      </c>
      <c r="AD83" s="484">
        <v>76.471000000000004</v>
      </c>
      <c r="AE83" s="485">
        <f>AD83</f>
      </c>
      <c r="AF83" s="484">
        <f>55.139+27.213</f>
      </c>
      <c r="AG83" s="484">
        <f>55.139+23.949</f>
      </c>
      <c r="AH83" s="484">
        <f>108.497+45.015</f>
      </c>
      <c r="AI83" s="484">
        <f>108.909+39.963</f>
      </c>
      <c r="AJ83" s="485">
        <f>AI83</f>
      </c>
      <c r="AK83" s="484">
        <f>108.78+40.157</f>
      </c>
      <c r="AL83" s="484">
        <f>108.566+34.764</f>
      </c>
      <c r="AM83" s="484">
        <v>138.17500000000001</v>
      </c>
      <c r="AN83" s="484">
        <f>108.107+27.514</f>
      </c>
      <c r="AO83" s="485">
        <f>AN83</f>
      </c>
      <c r="AP83" s="484">
        <f>108.107+27.416</f>
      </c>
      <c r="AQ83" s="484">
        <f>108.107+23.268</f>
      </c>
      <c r="AR83" s="481">
        <f>133.107+19.207</f>
      </c>
      <c r="AS83" s="481">
        <f>145.317+15.421</f>
      </c>
      <c r="AT83" s="485">
        <f>AS83</f>
      </c>
      <c r="AU83" s="481">
        <f>204.603+22.989</f>
      </c>
      <c r="AV83" s="481">
        <f>203.657+29.428</f>
      </c>
      <c r="AW83" s="481">
        <f>203.679+26.538</f>
      </c>
      <c r="AX83" s="481">
        <f>301.425+45.511</f>
      </c>
      <c r="AY83" s="485">
        <f>AX83</f>
      </c>
      <c r="AZ83" s="481">
        <f>291.077+50.914</f>
      </c>
      <c r="BA83" s="481">
        <f>293.383+54.735</f>
      </c>
      <c r="BB83" s="481">
        <f>292.934+78.173</f>
      </c>
      <c r="BC83" s="481">
        <f>354.057+106.926</f>
      </c>
      <c r="BD83" s="485">
        <f>BC83</f>
      </c>
      <c r="BE83" s="481">
        <f>371.019+125.001</f>
      </c>
      <c r="BF83" s="481">
        <f>365.8+145.148</f>
      </c>
      <c r="BG83" s="481">
        <f>366.286+155.646</f>
      </c>
      <c r="BH83" s="481">
        <f>369.844+147.101</f>
      </c>
      <c r="BI83" s="485">
        <f>BH83</f>
      </c>
      <c r="BJ83" s="481">
        <f>369.844+142.446</f>
      </c>
      <c r="BK83" s="481">
        <f>369.844+135.678</f>
      </c>
      <c r="BL83" s="481">
        <f>369.844+127.817</f>
      </c>
      <c r="BM83" s="481">
        <f>369.844+120.458</f>
      </c>
      <c r="BN83" s="485">
        <f>BM83</f>
      </c>
      <c r="BO83" s="481">
        <f>369.844+115.423</f>
      </c>
      <c r="BP83" s="481">
        <f>369.844+118.879</f>
      </c>
      <c r="BQ83" s="481">
        <f>369.844+112.642</f>
      </c>
      <c r="BR83" s="481">
        <f>369.844+243.171</f>
      </c>
      <c r="BS83" s="485">
        <f>BR83</f>
      </c>
      <c r="BT83" s="481">
        <f>369.844+278.761</f>
      </c>
      <c r="BU83" s="481">
        <f>593.513+358.136</f>
      </c>
      <c r="BV83" s="481">
        <f>648.053+342.839</f>
      </c>
      <c r="BW83" s="481">
        <f>641.03+326.136</f>
      </c>
      <c r="BX83" s="485">
        <f>BW83</f>
      </c>
      <c r="BY83" s="481">
        <f>641.03+363.395</f>
      </c>
      <c r="BZ83" s="481">
        <f>641.03+346.938</f>
      </c>
      <c r="CA83" s="481">
        <f>641.03+331.248</f>
      </c>
      <c r="CB83" s="481">
        <f>641.03+312.332</f>
      </c>
      <c r="CC83" s="485">
        <f>CB83</f>
      </c>
      <c r="CD83" s="481">
        <f>641.03+336.733</f>
      </c>
      <c r="CE83" s="481">
        <f>641.03+322.52</f>
      </c>
      <c r="CF83" s="481">
        <f>643.179+320.589</f>
      </c>
      <c r="CG83" s="481">
        <f>643.179+296.012+104.252</f>
      </c>
      <c r="CH83" s="485">
        <f>CG83</f>
      </c>
      <c r="CI83" s="484">
        <f>643.179+277.53+99.354</f>
      </c>
      <c r="CJ83" s="484">
        <f>643.179+260.613+95.43</f>
      </c>
      <c r="CK83" s="481">
        <f>643.179+241.301</f>
      </c>
      <c r="CL83" s="481">
        <f>618.179+221.714</f>
      </c>
      <c r="CM83" s="485">
        <f>CL83</f>
      </c>
      <c r="CN83" s="481">
        <f>618+205</f>
      </c>
      <c r="CO83" s="481">
        <f>618+190</f>
      </c>
      <c r="CP83" s="481">
        <f>618+172</f>
      </c>
      <c r="CQ83" s="481">
        <f>618+166</f>
      </c>
      <c r="CR83" s="485">
        <f>CQ83</f>
      </c>
      <c r="CS83" s="481">
        <f>618+155</f>
      </c>
      <c r="CT83" s="481">
        <f>618+138</f>
      </c>
      <c r="CU83" s="481">
        <f>618+120</f>
      </c>
      <c r="CV83" s="481">
        <f>618+104</f>
      </c>
      <c r="CW83" s="485">
        <f>CV83</f>
      </c>
      <c r="CX83" s="481">
        <f>618+90</f>
      </c>
      <c r="CY83" s="481">
        <f>76+618</f>
      </c>
      <c r="CZ83" s="481">
        <f>618+63</f>
      </c>
      <c r="DA83" s="481">
        <f>618+52+319</f>
      </c>
      <c r="DB83" s="485">
        <f>DA83</f>
      </c>
      <c r="DC83" s="481">
        <f>618+55+273</f>
      </c>
      <c r="DD83" s="481">
        <f>618+51+220</f>
      </c>
      <c r="DE83" s="481">
        <f>618+49+312</f>
      </c>
      <c r="DF83" s="481">
        <f>618+45+668</f>
      </c>
      <c r="DG83" s="485">
        <f t="shared" si="61"/>
      </c>
      <c r="DH83" s="481">
        <f>536+618+54+601+110</f>
      </c>
      <c r="DI83" s="481">
        <f>535+618+49+588+110</f>
      </c>
      <c r="DJ83" s="481">
        <f>527+618+43+569+116</f>
      </c>
      <c r="DK83" s="481">
        <f>618+618+49+548+118</f>
      </c>
      <c r="DL83" s="485">
        <f t="shared" si="62"/>
      </c>
      <c r="DM83" s="481">
        <f>595+628+80+533+119</f>
      </c>
      <c r="DN83" s="481">
        <f>701+4193+2854+630+157</f>
      </c>
      <c r="DO83" s="481">
        <f>681+4193+2861+666+2028</f>
      </c>
      <c r="DP83" s="481">
        <f>707+4193+2737+806+2144</f>
      </c>
      <c r="DQ83" s="485">
        <f t="shared" si="63"/>
      </c>
      <c r="DR83" s="481">
        <f>727+4193+2613+778+2090</f>
      </c>
      <c r="DS83" s="481">
        <f>801+4193+2478+958+2050</f>
      </c>
      <c r="DT83" s="481">
        <f>830+4302+2454+970+3761</f>
      </c>
      <c r="DU83" s="481">
        <f>829+4349+2339+1222+3841</f>
      </c>
      <c r="DV83" s="485">
        <f>DU83</f>
      </c>
      <c r="DW83" s="481">
        <f>856+4365+2211+1784+3505</f>
      </c>
      <c r="DX83" s="481">
        <f>4372+2036+852+2225+3340</f>
      </c>
      <c r="DY83" s="481">
        <f>927+4372+1850+2762+3580</f>
      </c>
      <c r="DZ83" s="481">
        <f>1038+4372+1676+3396+3820</f>
      </c>
      <c r="EA83" s="485">
        <f>DZ83</f>
      </c>
      <c r="EB83" s="481">
        <f>1094+4430+1541+4568+4204</f>
      </c>
      <c r="EC83" s="481">
        <f>1235+4430+1395+5398+4501</f>
      </c>
      <c r="ED83" s="481">
        <f>1316+4430+1251+5982+4667</f>
      </c>
      <c r="EE83" s="481">
        <f>1346+4430+1112+6081+4500</f>
      </c>
      <c r="EF83" s="485">
        <f>EE83</f>
      </c>
      <c r="EG83" s="481">
        <f>1532+4453+986+7798+4568</f>
      </c>
      <c r="EH83" s="481">
        <f>1556+4622+952+9578+4001</f>
      </c>
      <c r="EI83" s="481">
        <f>1755+4724+838+10276+5437</f>
      </c>
      <c r="EJ83" s="481">
        <f>1793+5188+807+10979+6425</f>
      </c>
      <c r="EK83" s="485">
        <f>EJ83</f>
      </c>
      <c r="EL83" s="481">
        <f>1810+5498+769+13318+6788</f>
      </c>
      <c r="EM83" s="481">
        <f>2084+5755+755+13570+7216</f>
      </c>
      <c r="EN83" s="481">
        <f t="shared" si="65"/>
      </c>
      <c r="EO83" s="481">
        <f t="shared" si="65"/>
      </c>
      <c r="EP83" s="485">
        <f t="shared" si="65"/>
      </c>
      <c r="EQ83" s="481">
        <f>EO83</f>
      </c>
      <c r="ER83" s="481">
        <f t="shared" si="66"/>
      </c>
      <c r="ES83" s="481">
        <f t="shared" si="66"/>
      </c>
      <c r="ET83" s="481">
        <f t="shared" si="66"/>
      </c>
      <c r="EU83" s="485">
        <f t="shared" si="66"/>
      </c>
      <c r="EV83" s="481">
        <f>ET83</f>
      </c>
      <c r="EW83" s="481">
        <f t="shared" si="67"/>
      </c>
      <c r="EX83" s="481">
        <f t="shared" si="67"/>
      </c>
      <c r="EY83" s="481">
        <f t="shared" si="67"/>
      </c>
      <c r="EZ83" s="485">
        <f t="shared" si="67"/>
      </c>
      <c r="FA83" s="485"/>
      <c r="FL83" s="111"/>
      <c r="FM83" s="111"/>
    </row>
    <row r="84" spans="1:169">
      <c r="A84" s="106" t="s">
        <v>402</v>
      </c>
      <c r="B84" s="493"/>
      <c r="C84" s="493"/>
      <c r="D84" s="493"/>
      <c r="E84" s="493"/>
      <c r="F84" s="493"/>
      <c r="G84" s="493"/>
      <c r="H84" s="493"/>
      <c r="I84" s="493"/>
      <c r="J84" s="493"/>
      <c r="K84" s="483"/>
      <c r="L84" s="484">
        <v>0.59</v>
      </c>
      <c r="M84" s="484">
        <v>3.5379999999999998</v>
      </c>
      <c r="N84" s="484">
        <v>3.367</v>
      </c>
      <c r="O84" s="484">
        <v>3.1890000000000001</v>
      </c>
      <c r="P84" s="481">
        <f>O84</f>
      </c>
      <c r="Q84" s="484">
        <v>4.1219999999999999</v>
      </c>
      <c r="R84" s="484">
        <v>5.3390000000000004</v>
      </c>
      <c r="S84" s="484">
        <v>20.181000000000001</v>
      </c>
      <c r="T84" s="484">
        <v>38.738</v>
      </c>
      <c r="U84" s="481">
        <f>T84</f>
      </c>
      <c r="V84" s="484">
        <v>126.798</v>
      </c>
      <c r="W84" s="484">
        <v>128.66499999999999</v>
      </c>
      <c r="X84" s="484">
        <v>131.71799999999999</v>
      </c>
      <c r="Y84" s="484">
        <v>148.93700000000001</v>
      </c>
      <c r="Z84" s="481">
        <f>Y84</f>
      </c>
      <c r="AA84" s="484">
        <v>149.386</v>
      </c>
      <c r="AB84" s="484">
        <v>147.096</v>
      </c>
      <c r="AC84" s="484">
        <f t="shared" ref="AC84:BM84" si="69">SUM(AC81:AC83)</f>
      </c>
      <c r="AD84" s="484">
        <f t="shared" si="69"/>
      </c>
      <c r="AE84" s="485">
        <f>AD84</f>
      </c>
      <c r="AF84" s="484">
        <f t="shared" si="69"/>
      </c>
      <c r="AG84" s="484">
        <f t="shared" si="69"/>
      </c>
      <c r="AH84" s="484">
        <f t="shared" si="69"/>
      </c>
      <c r="AI84" s="484">
        <f t="shared" si="69"/>
      </c>
      <c r="AJ84" s="485">
        <f>AI84</f>
      </c>
      <c r="AK84" s="484">
        <f t="shared" si="69"/>
      </c>
      <c r="AL84" s="484">
        <f t="shared" si="69"/>
      </c>
      <c r="AM84" s="484">
        <f t="shared" si="69"/>
      </c>
      <c r="AN84" s="484">
        <f t="shared" si="69"/>
      </c>
      <c r="AO84" s="485">
        <f>AN84</f>
      </c>
      <c r="AP84" s="484">
        <f t="shared" si="69"/>
      </c>
      <c r="AQ84" s="484">
        <f t="shared" si="69"/>
      </c>
      <c r="AR84" s="481">
        <f t="shared" si="69"/>
      </c>
      <c r="AS84" s="481">
        <f t="shared" si="69"/>
      </c>
      <c r="AT84" s="485">
        <f>AS84</f>
      </c>
      <c r="AU84" s="481">
        <f t="shared" si="69"/>
      </c>
      <c r="AV84" s="481">
        <f t="shared" si="69"/>
      </c>
      <c r="AW84" s="481">
        <f t="shared" si="69"/>
      </c>
      <c r="AX84" s="481">
        <f t="shared" si="69"/>
      </c>
      <c r="AY84" s="485">
        <f>AX84</f>
      </c>
      <c r="AZ84" s="481">
        <f t="shared" si="69"/>
      </c>
      <c r="BA84" s="481">
        <f t="shared" si="69"/>
      </c>
      <c r="BB84" s="481">
        <f t="shared" si="69"/>
      </c>
      <c r="BC84" s="481">
        <f t="shared" si="69"/>
      </c>
      <c r="BD84" s="485">
        <f>BC84</f>
      </c>
      <c r="BE84" s="481">
        <f t="shared" si="69"/>
      </c>
      <c r="BF84" s="481">
        <f t="shared" si="69"/>
      </c>
      <c r="BG84" s="481">
        <f t="shared" si="69"/>
      </c>
      <c r="BH84" s="481">
        <f t="shared" si="69"/>
      </c>
      <c r="BI84" s="485">
        <f>BH84</f>
      </c>
      <c r="BJ84" s="481">
        <f t="shared" si="69"/>
      </c>
      <c r="BK84" s="481">
        <f t="shared" si="69"/>
      </c>
      <c r="BL84" s="481">
        <f t="shared" si="69"/>
      </c>
      <c r="BM84" s="481">
        <f t="shared" si="69"/>
      </c>
      <c r="BN84" s="485">
        <f>BM84</f>
      </c>
      <c r="BO84" s="481">
        <f t="shared" ref="BO84:BW84" si="70">SUM(BO81:BO83)</f>
      </c>
      <c r="BP84" s="481">
        <f t="shared" si="70"/>
      </c>
      <c r="BQ84" s="481">
        <f t="shared" si="70"/>
      </c>
      <c r="BR84" s="481">
        <f t="shared" si="70"/>
      </c>
      <c r="BS84" s="485">
        <f>BR84</f>
      </c>
      <c r="BT84" s="481">
        <f t="shared" si="70"/>
      </c>
      <c r="BU84" s="481">
        <f t="shared" si="70"/>
      </c>
      <c r="BV84" s="481">
        <f t="shared" si="70"/>
      </c>
      <c r="BW84" s="481">
        <f t="shared" si="70"/>
      </c>
      <c r="BX84" s="485">
        <f>BW84</f>
      </c>
      <c r="BY84" s="481">
        <f>SUM(BY81:BY83)</f>
      </c>
      <c r="BZ84" s="481">
        <f>SUM(BZ81:BZ83)</f>
      </c>
      <c r="CA84" s="481">
        <f>SUM(CA81:CA83)</f>
      </c>
      <c r="CB84" s="481">
        <f>SUM(CB81:CB83)</f>
      </c>
      <c r="CC84" s="485">
        <f>CB84</f>
      </c>
      <c r="CD84" s="481">
        <f t="shared" ref="CD84:CI84" si="71">SUM(CD81:CD83)</f>
      </c>
      <c r="CE84" s="481">
        <f t="shared" si="71"/>
      </c>
      <c r="CF84" s="481">
        <f t="shared" si="71"/>
      </c>
      <c r="CG84" s="481">
        <f t="shared" si="71"/>
      </c>
      <c r="CH84" s="485">
        <f>CG84</f>
      </c>
      <c r="CI84" s="484">
        <f t="shared" si="71"/>
      </c>
      <c r="CJ84" s="484">
        <f>SUM(CJ81:CJ83)</f>
      </c>
      <c r="CK84" s="481">
        <f>SUM(CK81:CK83)</f>
      </c>
      <c r="CL84" s="481">
        <f>SUM(CL81:CL83)</f>
      </c>
      <c r="CM84" s="485">
        <f>CL84</f>
      </c>
      <c r="CN84" s="481">
        <f>SUM(CN81:CN83)</f>
      </c>
      <c r="CO84" s="481">
        <f>SUM(CO81:CO83)</f>
      </c>
      <c r="CP84" s="481">
        <f>SUM(CP81:CP83)</f>
      </c>
      <c r="CQ84" s="481">
        <f>SUM(CQ81:CQ83)</f>
      </c>
      <c r="CR84" s="485">
        <f>CQ84</f>
      </c>
      <c r="CS84" s="481">
        <f>SUM(CS81:CS83)</f>
      </c>
      <c r="CT84" s="481">
        <f>SUM(CT81:CT83)</f>
      </c>
      <c r="CU84" s="481">
        <f>SUM(CU81:CU83)</f>
      </c>
      <c r="CV84" s="481">
        <f>SUM(CV81:CV83)</f>
      </c>
      <c r="CW84" s="485">
        <f>CV84</f>
      </c>
      <c r="CX84" s="481">
        <f>SUM(CX81:CX83)</f>
      </c>
      <c r="CY84" s="481">
        <f>SUM(CY81:CY83)</f>
      </c>
      <c r="CZ84" s="481">
        <f>SUM(CZ81:CZ83)</f>
      </c>
      <c r="DA84" s="481">
        <f>SUM(DA81:DA83)</f>
      </c>
      <c r="DB84" s="485">
        <f>DA84</f>
      </c>
      <c r="DC84" s="481">
        <f>SUM(DC81:DC83)</f>
      </c>
      <c r="DD84" s="481">
        <f>SUM(DD81:DD83)</f>
      </c>
      <c r="DE84" s="481">
        <f>SUM(DE81:DE83)</f>
      </c>
      <c r="DF84" s="481">
        <f>SUM(DF81:DF83)</f>
      </c>
      <c r="DG84" s="485">
        <f>DF84</f>
      </c>
      <c r="DH84" s="481">
        <f>SUM(DH81:DH83)</f>
      </c>
      <c r="DI84" s="481">
        <f>SUM(DI81:DI83)</f>
      </c>
      <c r="DJ84" s="481">
        <f>SUM(DJ81:DJ83)</f>
      </c>
      <c r="DK84" s="481">
        <f>SUM(DK81:DK83)</f>
      </c>
      <c r="DL84" s="485">
        <f>DK84</f>
      </c>
      <c r="DM84" s="481">
        <f>SUM(DM81:DM83)</f>
      </c>
      <c r="DN84" s="481">
        <f>SUM(DN81:DN83)</f>
      </c>
      <c r="DO84" s="481">
        <f>SUM(DO81:DO83)</f>
      </c>
      <c r="DP84" s="481">
        <f>SUM(DP81:DP83)</f>
      </c>
      <c r="DQ84" s="485">
        <f>DP84</f>
      </c>
      <c r="DR84" s="481">
        <f>SUM(DR81:DR83)</f>
      </c>
      <c r="DS84" s="481">
        <f>SUM(DS81:DS83)</f>
      </c>
      <c r="DT84" s="481">
        <f>SUM(DT81:DT83)</f>
      </c>
      <c r="DU84" s="481">
        <f>SUM(DU81:DU83)</f>
      </c>
      <c r="DV84" s="485">
        <f>DU84</f>
      </c>
      <c r="DW84" s="481">
        <f>SUM(DW81:DW83)</f>
      </c>
      <c r="DX84" s="481">
        <f>SUM(DX81:DX83)</f>
      </c>
      <c r="DY84" s="481">
        <f>SUM(DY81:DY83)</f>
      </c>
      <c r="DZ84" s="481">
        <f>SUM(DZ81:DZ83)</f>
      </c>
      <c r="EA84" s="485">
        <f>DZ84</f>
      </c>
      <c r="EB84" s="481">
        <f>SUM(EB81:EB83)</f>
      </c>
      <c r="EC84" s="481">
        <f>SUM(EC81:EC83)</f>
      </c>
      <c r="ED84" s="481">
        <f>SUM(ED81:ED83)</f>
      </c>
      <c r="EE84" s="481">
        <f>SUM(EE81:EE83)</f>
      </c>
      <c r="EF84" s="485">
        <f>EE84</f>
      </c>
      <c r="EG84" s="481">
        <f>SUM(EG81:EG83)</f>
      </c>
      <c r="EH84" s="481">
        <f>SUM(EH81:EH83)</f>
      </c>
      <c r="EI84" s="481">
        <f>SUM(EI81:EI83)</f>
      </c>
      <c r="EJ84" s="481">
        <f>SUM(EJ81:EJ83)</f>
      </c>
      <c r="EK84" s="485">
        <f>EJ84</f>
      </c>
      <c r="EL84" s="481">
        <f>SUM(EL81:EL83)</f>
      </c>
      <c r="EM84" s="481">
        <f>SUM(EM81:EM83)</f>
      </c>
      <c r="EN84" s="481">
        <f>SUM(EN81:EN83)</f>
      </c>
      <c r="EO84" s="481">
        <f>SUM(EO81:EO83)</f>
      </c>
      <c r="EP84" s="485">
        <f>EO84</f>
      </c>
      <c r="EQ84" s="481">
        <f>SUM(EQ81:EQ83)</f>
      </c>
      <c r="ER84" s="481">
        <f>SUM(ER81:ER83)</f>
      </c>
      <c r="ES84" s="481">
        <f>SUM(ES81:ES83)</f>
      </c>
      <c r="ET84" s="481">
        <f>SUM(ET81:ET83)</f>
      </c>
      <c r="EU84" s="485">
        <f>ET84</f>
      </c>
      <c r="EV84" s="481">
        <f>SUM(EV81:EV83)</f>
      </c>
      <c r="EW84" s="481">
        <f>SUM(EW81:EW83)</f>
      </c>
      <c r="EX84" s="481">
        <f>SUM(EX81:EX83)</f>
      </c>
      <c r="EY84" s="481">
        <f>SUM(EY81:EY83)</f>
      </c>
      <c r="EZ84" s="485">
        <f>EY84</f>
      </c>
      <c r="FA84" s="485"/>
      <c r="FL84" s="111"/>
      <c r="FM84" s="111"/>
    </row>
    <row r="85" spans="1:169">
      <c r="B85" s="426"/>
      <c r="C85" s="426"/>
      <c r="D85" s="426"/>
      <c r="E85" s="426"/>
      <c r="F85" s="426"/>
      <c r="G85" s="426"/>
      <c r="H85" s="426"/>
      <c r="I85" s="426"/>
      <c r="J85" s="426"/>
      <c r="K85" s="85"/>
      <c r="L85" s="484"/>
      <c r="M85" s="484"/>
      <c r="N85" s="484"/>
      <c r="O85" s="484"/>
      <c r="P85" s="481"/>
      <c r="Q85" s="484"/>
      <c r="R85" s="484"/>
      <c r="S85" s="484"/>
      <c r="T85" s="484"/>
      <c r="U85" s="481"/>
      <c r="V85" s="484"/>
      <c r="W85" s="484"/>
      <c r="X85" s="484"/>
      <c r="Y85" s="484"/>
      <c r="Z85" s="481"/>
      <c r="AA85" s="484"/>
      <c r="AB85" s="484"/>
      <c r="AC85" s="484"/>
      <c r="AD85" s="484"/>
      <c r="AE85" s="481"/>
      <c r="AF85" s="484"/>
      <c r="AG85" s="484"/>
      <c r="AH85" s="484"/>
      <c r="AI85" s="484"/>
      <c r="AJ85" s="481"/>
      <c r="AK85" s="484"/>
      <c r="AL85" s="484"/>
      <c r="AM85" s="484"/>
      <c r="AN85" s="481"/>
      <c r="AO85" s="481"/>
      <c r="AP85" s="481"/>
      <c r="AQ85" s="481"/>
      <c r="AR85" s="481"/>
      <c r="AS85" s="481"/>
      <c r="AT85" s="481"/>
      <c r="AU85" s="481"/>
      <c r="AV85" s="481"/>
      <c r="AW85" s="481"/>
      <c r="AX85" s="481"/>
      <c r="AY85" s="481"/>
      <c r="AZ85" s="481"/>
      <c r="BA85" s="481"/>
      <c r="BB85" s="481"/>
      <c r="BC85" s="481"/>
      <c r="BD85" s="481"/>
      <c r="BE85" s="481"/>
      <c r="BF85" s="481"/>
      <c r="BG85" s="481"/>
      <c r="BH85" s="481"/>
      <c r="BI85" s="481"/>
      <c r="BJ85" s="481"/>
      <c r="BK85" s="481"/>
      <c r="BL85" s="481"/>
      <c r="BM85" s="481"/>
      <c r="BN85" s="481"/>
      <c r="BO85" s="481"/>
      <c r="BP85" s="481"/>
      <c r="BQ85" s="481"/>
      <c r="BR85" s="481"/>
      <c r="BS85" s="481"/>
      <c r="BT85" s="481"/>
      <c r="BU85" s="481"/>
      <c r="BV85" s="481"/>
      <c r="BW85" s="481"/>
      <c r="BX85" s="481"/>
      <c r="BY85" s="481"/>
      <c r="BZ85" s="481"/>
      <c r="CA85" s="481"/>
      <c r="CB85" s="481"/>
      <c r="CC85" s="481"/>
      <c r="CD85" s="481"/>
      <c r="CE85" s="481"/>
      <c r="CF85" s="481"/>
      <c r="CG85" s="481"/>
      <c r="CH85" s="481"/>
      <c r="CI85" s="481"/>
      <c r="CJ85" s="481"/>
      <c r="CK85" s="481"/>
      <c r="CL85" s="481"/>
      <c r="CM85" s="481"/>
      <c r="CN85" s="481"/>
      <c r="CO85" s="481"/>
      <c r="CP85" s="481"/>
      <c r="CQ85" s="481"/>
      <c r="CR85" s="481"/>
      <c r="CS85" s="481"/>
      <c r="CT85" s="481"/>
      <c r="CU85" s="481"/>
      <c r="CV85" s="481"/>
      <c r="CW85" s="481"/>
      <c r="CX85" s="481"/>
      <c r="CY85" s="481"/>
      <c r="CZ85" s="481"/>
      <c r="DA85" s="481"/>
      <c r="DB85" s="481"/>
      <c r="DC85" s="481"/>
      <c r="DD85" s="481"/>
      <c r="DE85" s="481"/>
      <c r="DF85" s="481"/>
      <c r="DG85" s="481"/>
      <c r="DH85" s="481"/>
      <c r="DI85" s="481"/>
      <c r="DJ85" s="481"/>
      <c r="DK85" s="481"/>
      <c r="DL85" s="481"/>
      <c r="DM85" s="481"/>
      <c r="DN85" s="481"/>
      <c r="DO85" s="481"/>
      <c r="DP85" s="481"/>
      <c r="DQ85" s="481"/>
      <c r="DR85" s="481"/>
      <c r="DS85" s="481"/>
      <c r="DT85" s="481"/>
      <c r="DU85" s="481"/>
      <c r="DV85" s="481"/>
      <c r="DW85" s="481"/>
      <c r="DX85" s="481"/>
      <c r="DY85" s="481"/>
      <c r="DZ85" s="481"/>
      <c r="EA85" s="481"/>
      <c r="EB85" s="481"/>
      <c r="EC85" s="481"/>
      <c r="ED85" s="481"/>
      <c r="EE85" s="481"/>
      <c r="EF85" s="481"/>
      <c r="EG85" s="481"/>
      <c r="EH85" s="481"/>
      <c r="EI85" s="481"/>
      <c r="EJ85" s="481"/>
      <c r="EK85" s="481"/>
      <c r="EL85" s="481"/>
      <c r="EM85" s="481"/>
      <c r="EN85" s="481"/>
      <c r="EO85" s="481"/>
      <c r="EP85" s="481"/>
      <c r="EQ85" s="481"/>
      <c r="ER85" s="481"/>
      <c r="ES85" s="481"/>
      <c r="ET85" s="481"/>
      <c r="EU85" s="481"/>
      <c r="EV85" s="481"/>
      <c r="EW85" s="481"/>
      <c r="EX85" s="481"/>
      <c r="EY85" s="481"/>
      <c r="EZ85" s="481"/>
      <c r="FA85" s="481"/>
      <c r="FL85" s="111"/>
      <c r="FM85" s="111"/>
    </row>
    <row r="86" spans="1:169" s="105" customFormat="1">
      <c r="A86" s="83" t="s">
        <v>403</v>
      </c>
      <c r="B86" s="495"/>
      <c r="C86" s="495"/>
      <c r="D86" s="495"/>
      <c r="E86" s="495"/>
      <c r="F86" s="495"/>
      <c r="G86" s="495"/>
      <c r="H86" s="495"/>
      <c r="I86" s="495"/>
      <c r="J86" s="495"/>
      <c r="K86" s="496"/>
      <c r="L86" s="497">
        <f t="shared" ref="L86:BW86" si="72">L84+L78+L74</f>
      </c>
      <c r="M86" s="497">
        <f t="shared" si="72"/>
      </c>
      <c r="N86" s="497">
        <f t="shared" si="72"/>
      </c>
      <c r="O86" s="497">
        <f t="shared" si="72"/>
      </c>
      <c r="P86" s="498">
        <f>O86</f>
      </c>
      <c r="Q86" s="497">
        <f t="shared" si="72"/>
      </c>
      <c r="R86" s="497">
        <f t="shared" si="72"/>
      </c>
      <c r="S86" s="497">
        <f t="shared" si="72"/>
      </c>
      <c r="T86" s="497">
        <f t="shared" si="72"/>
      </c>
      <c r="U86" s="498">
        <f>T86</f>
      </c>
      <c r="V86" s="497">
        <f t="shared" si="72"/>
      </c>
      <c r="W86" s="497">
        <f t="shared" si="72"/>
      </c>
      <c r="X86" s="497">
        <f t="shared" si="72"/>
      </c>
      <c r="Y86" s="497">
        <f t="shared" si="72"/>
      </c>
      <c r="Z86" s="498">
        <f>Y86</f>
      </c>
      <c r="AA86" s="497">
        <f t="shared" si="72"/>
      </c>
      <c r="AB86" s="497">
        <f t="shared" si="72"/>
      </c>
      <c r="AC86" s="497">
        <f t="shared" si="72"/>
      </c>
      <c r="AD86" s="497">
        <f t="shared" si="72"/>
      </c>
      <c r="AE86" s="498">
        <f>AD86</f>
      </c>
      <c r="AF86" s="497">
        <f t="shared" si="72"/>
      </c>
      <c r="AG86" s="497">
        <f t="shared" si="72"/>
      </c>
      <c r="AH86" s="497">
        <f t="shared" si="72"/>
      </c>
      <c r="AI86" s="497">
        <f t="shared" si="72"/>
      </c>
      <c r="AJ86" s="498">
        <f>AI86</f>
      </c>
      <c r="AK86" s="497">
        <f t="shared" si="72"/>
      </c>
      <c r="AL86" s="497">
        <f t="shared" si="72"/>
      </c>
      <c r="AM86" s="497">
        <f t="shared" si="72"/>
      </c>
      <c r="AN86" s="497">
        <f t="shared" si="72"/>
      </c>
      <c r="AO86" s="498">
        <f>AN86</f>
      </c>
      <c r="AP86" s="497">
        <f t="shared" si="72"/>
      </c>
      <c r="AQ86" s="497">
        <f t="shared" si="72"/>
      </c>
      <c r="AR86" s="497">
        <f t="shared" si="72"/>
      </c>
      <c r="AS86" s="497">
        <f t="shared" si="72"/>
      </c>
      <c r="AT86" s="498">
        <f>AS86</f>
      </c>
      <c r="AU86" s="497">
        <f t="shared" si="72"/>
      </c>
      <c r="AV86" s="497">
        <f t="shared" si="72"/>
      </c>
      <c r="AW86" s="497">
        <f t="shared" si="72"/>
      </c>
      <c r="AX86" s="497">
        <f t="shared" si="72"/>
      </c>
      <c r="AY86" s="498">
        <f>AX86</f>
      </c>
      <c r="AZ86" s="497">
        <f t="shared" si="72"/>
      </c>
      <c r="BA86" s="497">
        <f t="shared" si="72"/>
      </c>
      <c r="BB86" s="497">
        <f t="shared" si="72"/>
      </c>
      <c r="BC86" s="497">
        <f t="shared" si="72"/>
      </c>
      <c r="BD86" s="498">
        <f>BC86</f>
      </c>
      <c r="BE86" s="497">
        <f t="shared" si="72"/>
      </c>
      <c r="BF86" s="497">
        <f t="shared" si="72"/>
      </c>
      <c r="BG86" s="497">
        <f t="shared" si="72"/>
      </c>
      <c r="BH86" s="497">
        <f t="shared" si="72"/>
      </c>
      <c r="BI86" s="498">
        <f>BH86</f>
      </c>
      <c r="BJ86" s="497">
        <f t="shared" si="72"/>
      </c>
      <c r="BK86" s="497">
        <f t="shared" si="72"/>
      </c>
      <c r="BL86" s="497">
        <f t="shared" si="72"/>
      </c>
      <c r="BM86" s="497">
        <f t="shared" si="72"/>
      </c>
      <c r="BN86" s="498">
        <f>BM86</f>
      </c>
      <c r="BO86" s="497">
        <f t="shared" si="72"/>
      </c>
      <c r="BP86" s="497">
        <f t="shared" si="72"/>
      </c>
      <c r="BQ86" s="497">
        <f t="shared" si="72"/>
      </c>
      <c r="BR86" s="497">
        <f t="shared" si="72"/>
      </c>
      <c r="BS86" s="498">
        <f>BR86</f>
      </c>
      <c r="BT86" s="497">
        <f t="shared" si="72"/>
      </c>
      <c r="BU86" s="497">
        <f t="shared" si="72"/>
      </c>
      <c r="BV86" s="497">
        <f t="shared" si="72"/>
      </c>
      <c r="BW86" s="497">
        <f t="shared" si="72"/>
      </c>
      <c r="BX86" s="498">
        <f>BW86</f>
      </c>
      <c r="BY86" s="497">
        <f>BY84+BY78+BY74</f>
      </c>
      <c r="BZ86" s="497">
        <f>BZ84+BZ78+BZ74</f>
      </c>
      <c r="CA86" s="497">
        <f>CA84+CA78+CA74</f>
      </c>
      <c r="CB86" s="497">
        <f>CB84+CB78+CB74</f>
      </c>
      <c r="CC86" s="498">
        <f>CB86</f>
      </c>
      <c r="CD86" s="497">
        <f>CD84+CD78+CD74</f>
      </c>
      <c r="CE86" s="497">
        <f>CE84+CE78+CE74</f>
      </c>
      <c r="CF86" s="497">
        <f>CF84+CF78+CF74</f>
      </c>
      <c r="CG86" s="497">
        <f>CG84+CG78+CG74</f>
      </c>
      <c r="CH86" s="498">
        <f>CG86</f>
      </c>
      <c r="CI86" s="497">
        <f>CI84+CI78+CI74</f>
      </c>
      <c r="CJ86" s="497">
        <f>CJ84+CJ78+CJ74</f>
      </c>
      <c r="CK86" s="497">
        <f>CK84+CK78+CK74</f>
      </c>
      <c r="CL86" s="497">
        <f>CL84+CL78+CL74</f>
      </c>
      <c r="CM86" s="498">
        <f>CL86</f>
      </c>
      <c r="CN86" s="497">
        <f>CN84+CN78+CN74</f>
      </c>
      <c r="CO86" s="497">
        <f>CO84+CO78+CO74</f>
      </c>
      <c r="CP86" s="497">
        <f>CP84+CP78+CP74</f>
      </c>
      <c r="CQ86" s="497">
        <f>CQ84+CQ78+CQ74</f>
      </c>
      <c r="CR86" s="498">
        <f>CQ86</f>
      </c>
      <c r="CS86" s="497">
        <f>CS84+CS78+CS74</f>
      </c>
      <c r="CT86" s="497">
        <f>CT84+CT78+CT74</f>
      </c>
      <c r="CU86" s="497">
        <f>CU84+CU78+CU74</f>
      </c>
      <c r="CV86" s="497">
        <f>CV84+CV78+CV74</f>
      </c>
      <c r="CW86" s="498">
        <f>CV86</f>
      </c>
      <c r="CX86" s="497">
        <f>CX84+CX78+CX74</f>
      </c>
      <c r="CY86" s="497">
        <f>CY84+CY78+CY74</f>
      </c>
      <c r="CZ86" s="497">
        <f>CZ84+CZ78+CZ74</f>
      </c>
      <c r="DA86" s="497">
        <f>DA84+DA78+DA74</f>
      </c>
      <c r="DB86" s="498">
        <f>DA86</f>
      </c>
      <c r="DC86" s="497">
        <f>DC84+DC78+DC74</f>
      </c>
      <c r="DD86" s="497">
        <f>DD84+DD78+DD74</f>
      </c>
      <c r="DE86" s="497">
        <f>DE84+DE78+DE74</f>
      </c>
      <c r="DF86" s="497">
        <f>DF84+DF78+DF74</f>
      </c>
      <c r="DG86" s="498">
        <f>DF86</f>
      </c>
      <c r="DH86" s="497">
        <f>DH84+DH78+DH74</f>
      </c>
      <c r="DI86" s="497">
        <f>DI84+DI78+DI74</f>
      </c>
      <c r="DJ86" s="497">
        <f>DJ84+DJ78+DJ74</f>
      </c>
      <c r="DK86" s="497">
        <f>DK84+DK78+DK74</f>
      </c>
      <c r="DL86" s="498">
        <f>DK86</f>
      </c>
      <c r="DM86" s="497">
        <f>DM84+DM78+DM74</f>
      </c>
      <c r="DN86" s="497">
        <f>DN84+DN78+DN74</f>
      </c>
      <c r="DO86" s="497">
        <f>DO84+DO78+DO74</f>
      </c>
      <c r="DP86" s="497">
        <f>DP84+DP78+DP74</f>
      </c>
      <c r="DQ86" s="498">
        <f>DP86</f>
      </c>
      <c r="DR86" s="497">
        <f>DR84+DR78+DR74</f>
      </c>
      <c r="DS86" s="497">
        <f>DS84+DS78+DS74</f>
      </c>
      <c r="DT86" s="497">
        <f>DT84+DT78+DT74</f>
      </c>
      <c r="DU86" s="497">
        <f>DU84+DU78+DU74</f>
      </c>
      <c r="DV86" s="498">
        <f>DU86</f>
      </c>
      <c r="DW86" s="497">
        <f>DW84+DW78+DW74</f>
      </c>
      <c r="DX86" s="497">
        <f>DX84+DX78+DX74</f>
      </c>
      <c r="DY86" s="497">
        <f>DY84+DY78+DY74</f>
      </c>
      <c r="DZ86" s="497">
        <f>DZ84+DZ78+DZ74</f>
      </c>
      <c r="EA86" s="498">
        <f>DZ86</f>
      </c>
      <c r="EB86" s="497">
        <f>EB84+EB78+EB74</f>
      </c>
      <c r="EC86" s="497">
        <f>EC84+EC78+EC74</f>
      </c>
      <c r="ED86" s="497">
        <f>ED84+ED78+ED74</f>
      </c>
      <c r="EE86" s="497">
        <f>EE84+EE78+EE74</f>
      </c>
      <c r="EF86" s="498">
        <f>EE86</f>
      </c>
      <c r="EG86" s="497">
        <f>EG84+EG78+EG74</f>
      </c>
      <c r="EH86" s="497">
        <f>EH84+EH78+EH74</f>
      </c>
      <c r="EI86" s="497">
        <f>EI84+EI78+EI74</f>
      </c>
      <c r="EJ86" s="497">
        <f>EJ84+EJ78+EJ74</f>
      </c>
      <c r="EK86" s="498">
        <f>EJ86</f>
      </c>
      <c r="EL86" s="497">
        <f>EL84+EL78+EL74</f>
      </c>
      <c r="EM86" s="497">
        <f>EM84+EM78+EM74</f>
      </c>
      <c r="EN86" s="497">
        <f>EN84+EN78+EN74</f>
      </c>
      <c r="EO86" s="497">
        <f>EO84+EO78+EO74</f>
      </c>
      <c r="EP86" s="498">
        <f>EO86</f>
      </c>
      <c r="EQ86" s="497">
        <f>EQ84+EQ78+EQ74</f>
      </c>
      <c r="ER86" s="497">
        <f>ER84+ER78+ER74</f>
      </c>
      <c r="ES86" s="497">
        <f>ES84+ES78+ES74</f>
      </c>
      <c r="ET86" s="497">
        <f>ET84+ET78+ET74</f>
      </c>
      <c r="EU86" s="498">
        <f>ET86</f>
      </c>
      <c r="EV86" s="497">
        <f>EV84+EV78+EV74</f>
      </c>
      <c r="EW86" s="497">
        <f>EW84+EW78+EW74</f>
      </c>
      <c r="EX86" s="497">
        <f>EX84+EX78+EX74</f>
      </c>
      <c r="EY86" s="497">
        <f>EY84+EY78+EY74</f>
      </c>
      <c r="EZ86" s="498">
        <f>EY86</f>
      </c>
      <c r="FA86" s="498"/>
      <c r="FL86" s="111"/>
      <c r="FM86" s="111"/>
    </row>
    <row r="87" spans="1:169">
      <c r="B87" s="426"/>
      <c r="C87" s="426"/>
      <c r="D87" s="426"/>
      <c r="E87" s="426"/>
      <c r="F87" s="426"/>
      <c r="G87" s="426"/>
      <c r="H87" s="426"/>
      <c r="I87" s="426"/>
      <c r="J87" s="426"/>
      <c r="K87" s="88"/>
      <c r="L87" s="484"/>
      <c r="M87" s="484"/>
      <c r="N87" s="484"/>
      <c r="O87" s="484"/>
      <c r="P87" s="481"/>
      <c r="Q87" s="484"/>
      <c r="R87" s="484"/>
      <c r="S87" s="484"/>
      <c r="T87" s="484"/>
      <c r="U87" s="481"/>
      <c r="V87" s="484"/>
      <c r="W87" s="484"/>
      <c r="X87" s="484"/>
      <c r="Y87" s="484"/>
      <c r="Z87" s="481"/>
      <c r="AA87" s="484"/>
      <c r="AB87" s="484"/>
      <c r="AC87" s="484"/>
      <c r="AD87" s="484"/>
      <c r="AE87" s="481"/>
      <c r="AF87" s="484"/>
      <c r="AG87" s="484"/>
      <c r="AH87" s="484"/>
      <c r="AI87" s="484"/>
      <c r="AJ87" s="481"/>
      <c r="AK87" s="484"/>
      <c r="AL87" s="484"/>
      <c r="AM87" s="484"/>
      <c r="AN87" s="481"/>
      <c r="AO87" s="481"/>
      <c r="AP87" s="481"/>
      <c r="AQ87" s="481"/>
      <c r="AR87" s="481"/>
      <c r="AS87" s="481"/>
      <c r="AT87" s="481"/>
      <c r="AU87" s="481"/>
      <c r="AV87" s="481"/>
      <c r="AW87" s="481"/>
      <c r="AX87" s="481"/>
      <c r="AY87" s="481"/>
      <c r="AZ87" s="481"/>
      <c r="BA87" s="481"/>
      <c r="BB87" s="481"/>
      <c r="BC87" s="481"/>
      <c r="BD87" s="481"/>
      <c r="BE87" s="481"/>
      <c r="BF87" s="481"/>
      <c r="BG87" s="481"/>
      <c r="BH87" s="481"/>
      <c r="BI87" s="481"/>
      <c r="BJ87" s="481"/>
      <c r="BK87" s="481"/>
      <c r="BL87" s="481"/>
      <c r="BM87" s="481"/>
      <c r="BN87" s="481"/>
      <c r="BO87" s="481"/>
      <c r="BP87" s="481"/>
      <c r="BQ87" s="481"/>
      <c r="BR87" s="481"/>
      <c r="BS87" s="481"/>
      <c r="BT87" s="481"/>
      <c r="BU87" s="481"/>
      <c r="BV87" s="481"/>
      <c r="BW87" s="481"/>
      <c r="BX87" s="481"/>
      <c r="BY87" s="481"/>
      <c r="BZ87" s="481"/>
      <c r="CA87" s="481"/>
      <c r="CB87" s="481"/>
      <c r="CC87" s="481"/>
      <c r="CD87" s="481"/>
      <c r="CE87" s="481"/>
      <c r="CF87" s="481"/>
      <c r="CG87" s="481"/>
      <c r="CH87" s="481"/>
      <c r="CI87" s="481"/>
      <c r="CJ87" s="481"/>
      <c r="CK87" s="481"/>
      <c r="CL87" s="481"/>
      <c r="CM87" s="481"/>
      <c r="CN87" s="481"/>
      <c r="CO87" s="481"/>
      <c r="CP87" s="481"/>
      <c r="CQ87" s="481"/>
      <c r="CR87" s="481"/>
      <c r="CS87" s="481"/>
      <c r="CT87" s="481"/>
      <c r="CU87" s="481"/>
      <c r="CV87" s="481"/>
      <c r="CW87" s="481"/>
      <c r="CX87" s="481"/>
      <c r="CY87" s="481"/>
      <c r="CZ87" s="481"/>
      <c r="DA87" s="481"/>
      <c r="DB87" s="481"/>
      <c r="DC87" s="481"/>
      <c r="DD87" s="481"/>
      <c r="DE87" s="481"/>
      <c r="DF87" s="481"/>
      <c r="DG87" s="481"/>
      <c r="DH87" s="481"/>
      <c r="DI87" s="481"/>
      <c r="DJ87" s="481"/>
      <c r="DK87" s="481"/>
      <c r="DL87" s="481"/>
      <c r="DM87" s="481"/>
      <c r="DN87" s="481"/>
      <c r="DO87" s="481"/>
      <c r="DP87" s="481"/>
      <c r="DQ87" s="481"/>
      <c r="DR87" s="481"/>
      <c r="DS87" s="481"/>
      <c r="DT87" s="481"/>
      <c r="DU87" s="481"/>
      <c r="DV87" s="481"/>
      <c r="DW87" s="481"/>
      <c r="DX87" s="481"/>
      <c r="DY87" s="481"/>
      <c r="DZ87" s="481"/>
      <c r="EA87" s="481"/>
      <c r="EB87" s="481"/>
      <c r="EC87" s="481"/>
      <c r="ED87" s="481"/>
      <c r="EE87" s="481"/>
      <c r="EF87" s="481"/>
      <c r="EG87" s="481"/>
      <c r="EH87" s="481"/>
      <c r="EI87" s="481"/>
      <c r="EJ87" s="481"/>
      <c r="EK87" s="481"/>
      <c r="EL87" s="481"/>
      <c r="EM87" s="481"/>
      <c r="EN87" s="481"/>
      <c r="EO87" s="481"/>
      <c r="EP87" s="481"/>
      <c r="EQ87" s="481"/>
      <c r="ER87" s="481"/>
      <c r="ES87" s="481"/>
      <c r="ET87" s="481"/>
      <c r="EU87" s="481"/>
      <c r="EV87" s="481"/>
      <c r="EW87" s="481"/>
      <c r="EX87" s="481"/>
      <c r="EY87" s="481"/>
      <c r="EZ87" s="481"/>
      <c r="FA87" s="481"/>
      <c r="FL87" s="111"/>
      <c r="FM87" s="111"/>
    </row>
    <row r="88" spans="1:169">
      <c r="A88" s="106" t="s">
        <v>404</v>
      </c>
      <c r="B88" s="426"/>
      <c r="C88" s="426"/>
      <c r="D88" s="426"/>
      <c r="E88" s="426"/>
      <c r="F88" s="426"/>
      <c r="G88" s="426"/>
      <c r="H88" s="426"/>
      <c r="I88" s="426"/>
      <c r="J88" s="426"/>
      <c r="K88" s="483"/>
      <c r="L88" s="484">
        <v>1.8580000000000001</v>
      </c>
      <c r="M88" s="484">
        <v>1.766</v>
      </c>
      <c r="N88" s="484">
        <v>2.016</v>
      </c>
      <c r="O88" s="484">
        <v>1.786</v>
      </c>
      <c r="P88" s="485">
        <f>O88</f>
      </c>
      <c r="Q88" s="484">
        <v>1.55</v>
      </c>
      <c r="R88" s="484">
        <v>1.1040000000000001</v>
      </c>
      <c r="S88" s="484">
        <v>0.68500000000000005</v>
      </c>
      <c r="T88" s="484">
        <v>0.58799999999999997</v>
      </c>
      <c r="U88" s="485">
        <f>T88</f>
      </c>
      <c r="V88" s="484">
        <v>0.42899999999999999</v>
      </c>
      <c r="W88" s="484">
        <v>2.0190000000000001</v>
      </c>
      <c r="X88" s="484">
        <v>4.0140000000000002</v>
      </c>
      <c r="Y88" s="484">
        <v>3.8959999999999999</v>
      </c>
      <c r="Z88" s="485">
        <f>Y88</f>
      </c>
      <c r="AA88" s="484">
        <v>3.944</v>
      </c>
      <c r="AB88" s="484">
        <v>5.6070000000000002</v>
      </c>
      <c r="AC88" s="484">
        <v>5.58</v>
      </c>
      <c r="AD88" s="484">
        <v>5.6760000000000002</v>
      </c>
      <c r="AE88" s="485">
        <f>AD88</f>
      </c>
      <c r="AF88" s="484">
        <v>6.2030000000000003</v>
      </c>
      <c r="AG88" s="484">
        <v>6.5279999999999996</v>
      </c>
      <c r="AH88" s="484">
        <v>5.7880000000000003</v>
      </c>
      <c r="AI88" s="484">
        <v>4.0149999999999997</v>
      </c>
      <c r="AJ88" s="485">
        <f>AI88</f>
      </c>
      <c r="AK88" s="484">
        <v>3.0430000000000001</v>
      </c>
      <c r="AL88" s="484">
        <v>2.0379999999999998</v>
      </c>
      <c r="AM88" s="484">
        <v>1.36</v>
      </c>
      <c r="AN88" s="484">
        <v>0.85599999999999998</v>
      </c>
      <c r="AO88" s="485">
        <f>AN88</f>
      </c>
      <c r="AP88" s="484">
        <v>0.34499999999999997</v>
      </c>
      <c r="AQ88" s="481">
        <v>0</v>
      </c>
      <c r="AR88" s="481">
        <v>0</v>
      </c>
      <c r="AS88" s="481">
        <v>0</v>
      </c>
      <c r="AT88" s="485">
        <f>AS88</f>
      </c>
      <c r="AU88" s="481">
        <v>0</v>
      </c>
      <c r="AV88" s="481">
        <v>0</v>
      </c>
      <c r="AW88" s="481">
        <v>0</v>
      </c>
      <c r="AX88" s="481">
        <v>0</v>
      </c>
      <c r="AY88" s="485">
        <f>AX88</f>
      </c>
      <c r="AZ88" s="481">
        <f>AX88</f>
      </c>
      <c r="BA88" s="481">
        <f>AZ88</f>
      </c>
      <c r="BB88" s="481">
        <v>0</v>
      </c>
      <c r="BC88" s="481">
        <f>BB88</f>
      </c>
      <c r="BD88" s="485">
        <f>BC88</f>
      </c>
      <c r="BE88" s="481">
        <f>BC88</f>
      </c>
      <c r="BF88" s="481">
        <f>BE88</f>
      </c>
      <c r="BG88" s="481">
        <v>0</v>
      </c>
      <c r="BH88" s="481">
        <f>BG88</f>
      </c>
      <c r="BI88" s="485">
        <f>BH88</f>
      </c>
      <c r="BJ88" s="481">
        <f>BH88</f>
      </c>
      <c r="BK88" s="481">
        <f>BJ88</f>
      </c>
      <c r="BL88" s="481">
        <v>0</v>
      </c>
      <c r="BM88" s="481">
        <f>BL88</f>
      </c>
      <c r="BN88" s="485">
        <f>BM88</f>
      </c>
      <c r="BO88" s="481">
        <f>BM88</f>
      </c>
      <c r="BP88" s="481">
        <f>BO88</f>
      </c>
      <c r="BQ88" s="481">
        <v>0</v>
      </c>
      <c r="BR88" s="481">
        <f>BQ88</f>
      </c>
      <c r="BS88" s="485">
        <f>BR88</f>
      </c>
      <c r="BT88" s="481">
        <f>BR88</f>
      </c>
      <c r="BU88" s="481">
        <f>BT88</f>
      </c>
      <c r="BV88" s="481">
        <v>0</v>
      </c>
      <c r="BW88" s="481">
        <f>BV88</f>
      </c>
      <c r="BX88" s="485">
        <f>BW88</f>
      </c>
      <c r="BY88" s="481">
        <f>BW88</f>
      </c>
      <c r="BZ88" s="481">
        <f>BY88</f>
      </c>
      <c r="CA88" s="481">
        <v>0</v>
      </c>
      <c r="CB88" s="481">
        <f>CA88</f>
      </c>
      <c r="CC88" s="485">
        <f>CB88</f>
      </c>
      <c r="CD88" s="481">
        <f>CB88</f>
      </c>
      <c r="CE88" s="481">
        <f>CD88</f>
      </c>
      <c r="CF88" s="481">
        <v>0</v>
      </c>
      <c r="CG88" s="481">
        <f t="shared" ref="CG88:CP88" si="73">CF88</f>
      </c>
      <c r="CH88" s="485">
        <f>CG88</f>
      </c>
      <c r="CI88" s="481">
        <f>CG88</f>
      </c>
      <c r="CJ88" s="481">
        <f t="shared" si="73"/>
      </c>
      <c r="CK88" s="481">
        <f t="shared" si="73"/>
      </c>
      <c r="CL88" s="481">
        <f t="shared" si="73"/>
      </c>
      <c r="CM88" s="485">
        <f>CL88</f>
      </c>
      <c r="CN88" s="481">
        <f>CL88</f>
      </c>
      <c r="CO88" s="481">
        <f t="shared" si="73"/>
      </c>
      <c r="CP88" s="481">
        <f t="shared" si="73"/>
      </c>
      <c r="CQ88" s="481">
        <f>CP88</f>
      </c>
      <c r="CR88" s="485">
        <f>CQ88</f>
      </c>
      <c r="CS88" s="481">
        <f>CQ88</f>
      </c>
      <c r="CT88" s="481">
        <f>CS88</f>
      </c>
      <c r="CU88" s="481">
        <f>CT88</f>
      </c>
      <c r="CV88" s="481">
        <f>CU88</f>
      </c>
      <c r="CW88" s="485">
        <f>CV88</f>
      </c>
      <c r="CX88" s="481">
        <v>0</v>
      </c>
      <c r="CY88" s="481">
        <v>0</v>
      </c>
      <c r="CZ88" s="481">
        <v>0</v>
      </c>
      <c r="DA88" s="481">
        <v>0</v>
      </c>
      <c r="DB88" s="485">
        <f>DA88</f>
      </c>
      <c r="DC88" s="481">
        <f>DA88</f>
      </c>
      <c r="DD88" s="481">
        <v>0</v>
      </c>
      <c r="DE88" s="481">
        <v>0</v>
      </c>
      <c r="DF88" s="481">
        <v>0</v>
      </c>
      <c r="DG88" s="485">
        <f>DF88</f>
      </c>
      <c r="DH88" s="481">
        <f>DF88</f>
      </c>
      <c r="DI88" s="481">
        <v>0</v>
      </c>
      <c r="DJ88" s="481">
        <f>DI88</f>
      </c>
      <c r="DK88" s="481">
        <f>DJ88</f>
      </c>
      <c r="DL88" s="485">
        <f>DK88</f>
      </c>
      <c r="DM88" s="481">
        <f>DK88</f>
      </c>
      <c r="DN88" s="481">
        <f>DM88</f>
      </c>
      <c r="DO88" s="481">
        <f>DN88</f>
      </c>
      <c r="DP88" s="481">
        <f>DO88</f>
      </c>
      <c r="DQ88" s="485">
        <f>DP88</f>
      </c>
      <c r="DR88" s="481">
        <f>DP88</f>
      </c>
      <c r="DS88" s="481">
        <f>DR88</f>
      </c>
      <c r="DT88" s="481">
        <f>DS88</f>
      </c>
      <c r="DU88" s="481">
        <f>DT88</f>
      </c>
      <c r="DV88" s="485">
        <f>DU88</f>
      </c>
      <c r="DW88" s="481">
        <f>DU88</f>
      </c>
      <c r="DX88" s="481">
        <f t="shared" ref="DX88:EM88" si="74">DW88</f>
      </c>
      <c r="DY88" s="481">
        <f t="shared" si="74"/>
      </c>
      <c r="DZ88" s="481">
        <f t="shared" si="74"/>
      </c>
      <c r="EA88" s="485">
        <f t="shared" si="74"/>
      </c>
      <c r="EB88" s="481">
        <f t="shared" si="74"/>
      </c>
      <c r="EC88" s="481">
        <f t="shared" si="74"/>
      </c>
      <c r="ED88" s="481">
        <f t="shared" si="74"/>
      </c>
      <c r="EE88" s="481">
        <f t="shared" si="74"/>
      </c>
      <c r="EF88" s="485">
        <f t="shared" si="74"/>
      </c>
      <c r="EG88" s="481">
        <f t="shared" si="74"/>
      </c>
      <c r="EH88" s="481">
        <f t="shared" si="74"/>
      </c>
      <c r="EI88" s="481">
        <f t="shared" si="74"/>
      </c>
      <c r="EJ88" s="481">
        <f t="shared" si="74"/>
      </c>
      <c r="EK88" s="485">
        <f>EJ88</f>
      </c>
      <c r="EL88" s="481">
        <f t="shared" si="74"/>
      </c>
      <c r="EM88" s="481">
        <f t="shared" si="74"/>
      </c>
      <c r="EN88" s="481">
        <f>EM88</f>
      </c>
      <c r="EO88" s="481">
        <f>EN88</f>
      </c>
      <c r="EP88" s="485">
        <f>EO88</f>
      </c>
      <c r="EQ88" s="481">
        <f>EO88</f>
      </c>
      <c r="ER88" s="481">
        <f>EQ88</f>
      </c>
      <c r="ES88" s="481">
        <f>ER88</f>
      </c>
      <c r="ET88" s="481">
        <f>ES88</f>
      </c>
      <c r="EU88" s="485">
        <f>ET88</f>
      </c>
      <c r="EV88" s="481">
        <f>ET88</f>
      </c>
      <c r="EW88" s="481">
        <f>EV88</f>
      </c>
      <c r="EX88" s="481">
        <f>EW88</f>
      </c>
      <c r="EY88" s="481">
        <f>EX88</f>
      </c>
      <c r="EZ88" s="485">
        <f>EY88</f>
      </c>
      <c r="FA88" s="485"/>
      <c r="FL88" s="111"/>
      <c r="FM88" s="111"/>
    </row>
    <row r="89" spans="1:169">
      <c r="A89" s="106" t="s">
        <v>405</v>
      </c>
      <c r="B89" s="426"/>
      <c r="C89" s="426"/>
      <c r="D89" s="426"/>
      <c r="E89" s="426"/>
      <c r="F89" s="426"/>
      <c r="G89" s="426"/>
      <c r="H89" s="426"/>
      <c r="I89" s="426"/>
      <c r="J89" s="426"/>
      <c r="K89" s="483"/>
      <c r="L89" s="484">
        <v>27.509</v>
      </c>
      <c r="M89" s="484">
        <v>34.779000000000003</v>
      </c>
      <c r="N89" s="484">
        <v>43.027000000000001</v>
      </c>
      <c r="O89" s="484">
        <v>64.91</v>
      </c>
      <c r="P89" s="485">
        <f>O89</f>
      </c>
      <c r="Q89" s="484">
        <v>68.527000000000001</v>
      </c>
      <c r="R89" s="484">
        <v>75.887</v>
      </c>
      <c r="S89" s="484">
        <v>86.715999999999994</v>
      </c>
      <c r="T89" s="484">
        <v>76.534999999999997</v>
      </c>
      <c r="U89" s="485">
        <f>T89</f>
      </c>
      <c r="V89" s="484">
        <v>72.048000000000002</v>
      </c>
      <c r="W89" s="484">
        <v>88.736999999999995</v>
      </c>
      <c r="X89" s="484">
        <v>108.953</v>
      </c>
      <c r="Y89" s="484">
        <v>214.01900000000001</v>
      </c>
      <c r="Z89" s="485">
        <f>Y89</f>
      </c>
      <c r="AA89" s="484">
        <v>190.36</v>
      </c>
      <c r="AB89" s="484">
        <v>165.39500000000001</v>
      </c>
      <c r="AC89" s="484">
        <v>170.589</v>
      </c>
      <c r="AD89" s="484">
        <v>141.12899999999999</v>
      </c>
      <c r="AE89" s="485">
        <f>AD89</f>
      </c>
      <c r="AF89" s="484">
        <v>234.43700000000001</v>
      </c>
      <c r="AG89" s="484">
        <v>282.39699999999999</v>
      </c>
      <c r="AH89" s="484">
        <v>242.309</v>
      </c>
      <c r="AI89" s="484">
        <v>185.34200000000001</v>
      </c>
      <c r="AJ89" s="485">
        <f>AI89</f>
      </c>
      <c r="AK89" s="484">
        <v>214.61799999999999</v>
      </c>
      <c r="AL89" s="484">
        <v>223.20099999999999</v>
      </c>
      <c r="AM89" s="484">
        <v>262.95999999999998</v>
      </c>
      <c r="AN89" s="481">
        <v>238.22300000000001</v>
      </c>
      <c r="AO89" s="485">
        <f>AN89</f>
      </c>
      <c r="AP89" s="481">
        <v>182.14599999999999</v>
      </c>
      <c r="AQ89" s="481">
        <v>221.047</v>
      </c>
      <c r="AR89" s="481">
        <v>179.77699999999999</v>
      </c>
      <c r="AS89" s="481">
        <v>179.39500000000001</v>
      </c>
      <c r="AT89" s="485">
        <f>AS89</f>
      </c>
      <c r="AU89" s="481">
        <v>298.14699999999999</v>
      </c>
      <c r="AV89" s="481">
        <v>230.916</v>
      </c>
      <c r="AW89" s="481">
        <v>324.39600000000002</v>
      </c>
      <c r="AX89" s="481">
        <v>272.07499999999999</v>
      </c>
      <c r="AY89" s="485">
        <f>AX89</f>
      </c>
      <c r="AZ89" s="481">
        <v>334.04599999999999</v>
      </c>
      <c r="BA89" s="481">
        <v>323.38099999999997</v>
      </c>
      <c r="BB89" s="481">
        <v>449.79199999999997</v>
      </c>
      <c r="BC89" s="481">
        <v>492.09899999999999</v>
      </c>
      <c r="BD89" s="485">
        <f>BC89</f>
      </c>
      <c r="BE89" s="481">
        <v>427.85500000000002</v>
      </c>
      <c r="BF89" s="481">
        <v>438.892</v>
      </c>
      <c r="BG89" s="481">
        <v>387.25200000000001</v>
      </c>
      <c r="BH89" s="481">
        <v>218.864</v>
      </c>
      <c r="BI89" s="485">
        <f>BH89</f>
      </c>
      <c r="BJ89" s="481">
        <v>226.114</v>
      </c>
      <c r="BK89" s="481">
        <v>275.97800000000001</v>
      </c>
      <c r="BL89" s="481">
        <v>321.52999999999997</v>
      </c>
      <c r="BM89" s="481">
        <v>344.52699999999999</v>
      </c>
      <c r="BN89" s="485">
        <f>BM89</f>
      </c>
      <c r="BO89" s="481">
        <v>362.74</v>
      </c>
      <c r="BP89" s="481">
        <v>280.041</v>
      </c>
      <c r="BQ89" s="481">
        <v>324.77</v>
      </c>
      <c r="BR89" s="481">
        <v>286.13799999999998</v>
      </c>
      <c r="BS89" s="485">
        <f>BR89</f>
      </c>
      <c r="BT89" s="481">
        <v>346.29500000000002</v>
      </c>
      <c r="BU89" s="481">
        <v>297.81299999999999</v>
      </c>
      <c r="BV89" s="481">
        <v>307.94299999999998</v>
      </c>
      <c r="BW89" s="481">
        <v>335.072</v>
      </c>
      <c r="BX89" s="485">
        <f>BW89</f>
      </c>
      <c r="BY89" s="481">
        <v>395.57799999999997</v>
      </c>
      <c r="BZ89" s="481">
        <v>417.25</v>
      </c>
      <c r="CA89" s="481">
        <v>390.26499999999999</v>
      </c>
      <c r="CB89" s="481">
        <v>356.428</v>
      </c>
      <c r="CC89" s="485">
        <f>CB89</f>
      </c>
      <c r="CD89" s="481">
        <v>328.25900000000001</v>
      </c>
      <c r="CE89" s="481">
        <v>310.27100000000002</v>
      </c>
      <c r="CF89" s="481">
        <v>333.28300000000002</v>
      </c>
      <c r="CG89" s="481">
        <v>324.39100000000002</v>
      </c>
      <c r="CH89" s="485">
        <f>CG89</f>
      </c>
      <c r="CI89" s="481">
        <v>309.00799999999998</v>
      </c>
      <c r="CJ89" s="481">
        <v>261.62700000000001</v>
      </c>
      <c r="CK89" s="481">
        <v>328.09699999999998</v>
      </c>
      <c r="CL89" s="481">
        <v>293.22300000000001</v>
      </c>
      <c r="CM89" s="485">
        <f>CL89</f>
      </c>
      <c r="CN89" s="481">
        <v>222</v>
      </c>
      <c r="CO89" s="481">
        <v>277</v>
      </c>
      <c r="CP89" s="481">
        <v>295</v>
      </c>
      <c r="CQ89" s="481">
        <v>296</v>
      </c>
      <c r="CR89" s="485">
        <f>CQ89</f>
      </c>
      <c r="CS89" s="481">
        <v>320</v>
      </c>
      <c r="CT89" s="481">
        <v>423</v>
      </c>
      <c r="CU89" s="481">
        <v>523</v>
      </c>
      <c r="CV89" s="481">
        <v>485</v>
      </c>
      <c r="CW89" s="485">
        <f>CV89</f>
      </c>
      <c r="CX89" s="481">
        <v>348</v>
      </c>
      <c r="CY89" s="481">
        <v>431</v>
      </c>
      <c r="CZ89" s="481">
        <v>511</v>
      </c>
      <c r="DA89" s="481">
        <v>596</v>
      </c>
      <c r="DB89" s="485">
        <f>DA89</f>
      </c>
      <c r="DC89" s="481">
        <v>623</v>
      </c>
      <c r="DD89" s="481">
        <v>800</v>
      </c>
      <c r="DE89" s="481">
        <v>902</v>
      </c>
      <c r="DF89" s="481">
        <v>511</v>
      </c>
      <c r="DG89" s="485">
        <f>DF89</f>
      </c>
      <c r="DH89" s="481">
        <v>368</v>
      </c>
      <c r="DI89" s="481">
        <v>437</v>
      </c>
      <c r="DJ89" s="481">
        <v>591</v>
      </c>
      <c r="DK89" s="481">
        <v>687</v>
      </c>
      <c r="DL89" s="485">
        <f>DK89</f>
      </c>
      <c r="DM89" s="481">
        <v>761</v>
      </c>
      <c r="DN89" s="481">
        <v>893</v>
      </c>
      <c r="DO89" s="481">
        <v>1097</v>
      </c>
      <c r="DP89" s="481">
        <v>1201</v>
      </c>
      <c r="DQ89" s="485">
        <f>DP89</f>
      </c>
      <c r="DR89" s="481">
        <v>1218</v>
      </c>
      <c r="DS89" s="481">
        <v>1474</v>
      </c>
      <c r="DT89" s="481">
        <v>1664</v>
      </c>
      <c r="DU89" s="481">
        <v>1783</v>
      </c>
      <c r="DV89" s="485">
        <f>DU89</f>
      </c>
      <c r="DW89" s="481">
        <v>1999</v>
      </c>
      <c r="DX89" s="481">
        <v>2421</v>
      </c>
      <c r="DY89" s="481">
        <v>1491</v>
      </c>
      <c r="DZ89" s="481">
        <v>1193</v>
      </c>
      <c r="EA89" s="485">
        <f>DZ89</f>
      </c>
      <c r="EB89" s="481">
        <v>1141</v>
      </c>
      <c r="EC89" s="481">
        <v>1929</v>
      </c>
      <c r="ED89" s="481">
        <v>2380</v>
      </c>
      <c r="EE89" s="481">
        <v>2699</v>
      </c>
      <c r="EF89" s="485">
        <f>EE89</f>
      </c>
      <c r="EG89" s="481">
        <v>2715</v>
      </c>
      <c r="EH89" s="481">
        <v>3680</v>
      </c>
      <c r="EI89" s="481">
        <v>5353</v>
      </c>
      <c r="EJ89" s="481">
        <v>6310</v>
      </c>
      <c r="EK89" s="485">
        <f>EJ89</f>
      </c>
      <c r="EL89" s="481">
        <v>7331</v>
      </c>
      <c r="EM89" s="481">
        <v>9064</v>
      </c>
      <c r="EN89" s="481">
        <f>EM89+EM89*((EN10/EM10-1)*0.5)</f>
      </c>
      <c r="EO89" s="481">
        <f>EN89+EN89*((EO10/EN10-1)*0.5)</f>
      </c>
      <c r="EP89" s="485">
        <f>EO89</f>
      </c>
      <c r="EQ89" s="481">
        <f>EO89+EO89*((EQ10/EO10-1)*0.5)</f>
      </c>
      <c r="ER89" s="481">
        <f>EQ89+EQ89*((ER10/EQ10-1)*0.5)</f>
      </c>
      <c r="ES89" s="481">
        <f>ER89+ER89*((ES10/ER10-1)*0.5)</f>
      </c>
      <c r="ET89" s="481">
        <f>ES89+ES89*((ET10/ES10-1)*0.5)</f>
      </c>
      <c r="EU89" s="485">
        <f>ET89</f>
      </c>
      <c r="EV89" s="481">
        <f>ET89+ET89*((EV10/ET10-1)*0.5)</f>
      </c>
      <c r="EW89" s="481">
        <f>EV89+EV89*((EW10/EV10-1)*0.5)</f>
      </c>
      <c r="EX89" s="481">
        <f>EW89+EW89*((EX10/EW10-1)*0.5)</f>
      </c>
      <c r="EY89" s="481">
        <f>EX89+EX89*((EY10/EX10-1)*0.5)</f>
      </c>
      <c r="EZ89" s="485">
        <f>EY89</f>
      </c>
      <c r="FA89" s="485"/>
      <c r="FL89" s="111"/>
      <c r="FM89" s="111"/>
    </row>
    <row r="90" spans="1:169">
      <c r="A90" s="499" t="s">
        <v>406</v>
      </c>
      <c r="B90" s="500"/>
      <c r="C90" s="500"/>
      <c r="D90" s="500"/>
      <c r="E90" s="500"/>
      <c r="F90" s="500"/>
      <c r="G90" s="500"/>
      <c r="H90" s="500"/>
      <c r="I90" s="500"/>
      <c r="J90" s="500"/>
      <c r="K90" s="501"/>
      <c r="L90" s="130">
        <f>L89/L7/4</f>
      </c>
      <c r="M90" s="130">
        <f>M89/M7/4</f>
      </c>
      <c r="N90" s="130">
        <f>N89/N7/4</f>
      </c>
      <c r="O90" s="130">
        <f>O89/O7/4</f>
      </c>
      <c r="P90" s="129"/>
      <c r="Q90" s="130">
        <f>Q89/Q7/4</f>
      </c>
      <c r="R90" s="130">
        <f>R89/R7/4</f>
      </c>
      <c r="S90" s="130">
        <f>S89/S7/4</f>
      </c>
      <c r="T90" s="130">
        <f>T89/T7/4</f>
      </c>
      <c r="U90" s="129"/>
      <c r="V90" s="130">
        <f>V89/V7/4</f>
      </c>
      <c r="W90" s="130">
        <f>W89/W7/4</f>
      </c>
      <c r="X90" s="130">
        <f>X89/X7/4</f>
      </c>
      <c r="Y90" s="130">
        <f>Y89/Y7/4</f>
      </c>
      <c r="Z90" s="129"/>
      <c r="AA90" s="130">
        <f>AA89/AA7/4</f>
      </c>
      <c r="AB90" s="130">
        <f>AB89/AB7/4</f>
      </c>
      <c r="AC90" s="130">
        <f>AC89/AC7/4</f>
      </c>
      <c r="AD90" s="130">
        <f>AD89/AD7/4</f>
      </c>
      <c r="AE90" s="129"/>
      <c r="AF90" s="130">
        <f>AF89/AF7/4</f>
      </c>
      <c r="AG90" s="130">
        <f>AG89/AG7/4</f>
      </c>
      <c r="AH90" s="130">
        <f>AH89/AH7/4</f>
      </c>
      <c r="AI90" s="130">
        <f>AI89/AI7/4</f>
      </c>
      <c r="AJ90" s="129"/>
      <c r="AK90" s="130">
        <f>AK89/AK7/4</f>
      </c>
      <c r="AL90" s="130">
        <f>AL89/AL7/4</f>
      </c>
      <c r="AM90" s="130">
        <f>AM89/AM7/4</f>
      </c>
      <c r="AN90" s="130">
        <f>AN89/AN7/4</f>
      </c>
      <c r="AO90" s="129"/>
      <c r="AP90" s="130">
        <f>AP89/AP7/4</f>
      </c>
      <c r="AQ90" s="129">
        <f>AQ89/AQ7/4</f>
      </c>
      <c r="AR90" s="129">
        <f>AR89/AR7/4</f>
      </c>
      <c r="AS90" s="129">
        <f>AS89/AS7/4</f>
      </c>
      <c r="AT90" s="129"/>
      <c r="AU90" s="129">
        <f>AU89/AU7/4</f>
      </c>
      <c r="AV90" s="129">
        <f>AV89/AV7/4</f>
      </c>
      <c r="AW90" s="129">
        <f>AW89/AW7/4</f>
      </c>
      <c r="AX90" s="129">
        <f>AX89/AX7/4</f>
      </c>
      <c r="AY90" s="129"/>
      <c r="AZ90" s="129">
        <f>AZ89/AZ7/4</f>
      </c>
      <c r="BA90" s="129">
        <f>BA89/BA7/4</f>
      </c>
      <c r="BB90" s="129">
        <f>BB89/BB7/4</f>
      </c>
      <c r="BC90" s="129">
        <f>BC89/BC7/4</f>
      </c>
      <c r="BD90" s="129"/>
      <c r="BE90" s="129">
        <f>BE89/BE7/4</f>
      </c>
      <c r="BF90" s="129">
        <f>BF89/BF7/4</f>
      </c>
      <c r="BG90" s="129">
        <f>BG89/BG7/4</f>
      </c>
      <c r="BH90" s="129">
        <f>BH89/BH7/4</f>
      </c>
      <c r="BI90" s="129"/>
      <c r="BJ90" s="129">
        <f>BJ89/BJ7/4</f>
      </c>
      <c r="BK90" s="129">
        <f>BK89/BK7/4</f>
      </c>
      <c r="BL90" s="129">
        <f>BL89/BL7/4</f>
      </c>
      <c r="BM90" s="129">
        <f>BM89/BM7/4</f>
      </c>
      <c r="BN90" s="129"/>
      <c r="BO90" s="129">
        <f>BO89/BO7/4</f>
      </c>
      <c r="BP90" s="129">
        <f>BP89/BP7/4</f>
      </c>
      <c r="BQ90" s="129">
        <f>BQ89/BQ7/4</f>
      </c>
      <c r="BR90" s="129">
        <f>BR89/BR7/4</f>
      </c>
      <c r="BS90" s="129"/>
      <c r="BT90" s="129">
        <f>BT89/BT7/4</f>
      </c>
      <c r="BU90" s="129">
        <f>BU89/BU7/4</f>
      </c>
      <c r="BV90" s="129">
        <f>BV89/BV7/4</f>
      </c>
      <c r="BW90" s="129">
        <f>BW89/BW7/4</f>
      </c>
      <c r="BX90" s="129"/>
      <c r="BY90" s="130">
        <f>BW90</f>
      </c>
      <c r="BZ90" s="129">
        <f>BZ89/BZ7/4</f>
      </c>
      <c r="CA90" s="129">
        <f>CA89/CA7/4</f>
      </c>
      <c r="CB90" s="129">
        <f>CB89/CB7/4</f>
      </c>
      <c r="CC90" s="129"/>
      <c r="CD90" s="130">
        <f>CB90</f>
      </c>
      <c r="CE90" s="130">
        <f>CD90</f>
      </c>
      <c r="CF90" s="129">
        <f>CF89/CF7/4</f>
      </c>
      <c r="CG90" s="129">
        <f>CG89/CG7/4</f>
      </c>
      <c r="CH90" s="129"/>
      <c r="CI90" s="129">
        <f>CI89/CI7/4</f>
      </c>
      <c r="CJ90" s="129">
        <f>CJ89/CJ7/4</f>
      </c>
      <c r="CK90" s="129">
        <f>CK89/CK7/4</f>
      </c>
      <c r="CL90" s="129">
        <f>CL89/CL7/4</f>
      </c>
      <c r="CM90" s="129"/>
      <c r="CN90" s="129">
        <f>CN89/CN7/4</f>
      </c>
      <c r="CO90" s="129">
        <f>CO89/CO7/4</f>
      </c>
      <c r="CP90" s="129">
        <f>CP89/CP7/4</f>
      </c>
      <c r="CQ90" s="129">
        <f>CQ89/CQ7/4</f>
      </c>
      <c r="CR90" s="129"/>
      <c r="CS90" s="129">
        <f>CS89/CS7/4</f>
      </c>
      <c r="CT90" s="129">
        <f>CT89/CT7/4</f>
      </c>
      <c r="CU90" s="129">
        <f>CU89/CU7/4</f>
      </c>
      <c r="CV90" s="129">
        <f>CV89/CV7/4</f>
      </c>
      <c r="CW90" s="129"/>
      <c r="CX90" s="129">
        <f>CX89/CX7/4</f>
      </c>
      <c r="CY90" s="129">
        <f>CY89/CY7/4</f>
      </c>
      <c r="CZ90" s="129">
        <f>CZ89/CZ7/4</f>
      </c>
      <c r="DA90" s="129">
        <f>DA89/DA7/4</f>
      </c>
      <c r="DB90" s="129"/>
      <c r="DC90" s="129">
        <f>DC89/DC7/4</f>
      </c>
      <c r="DD90" s="129">
        <f>DD89/DD7/4</f>
      </c>
      <c r="DE90" s="129">
        <f>DE89/DE7/4</f>
      </c>
      <c r="DF90" s="129">
        <f>DF89/DF7/4</f>
      </c>
      <c r="DG90" s="131"/>
      <c r="DH90" s="129">
        <f>DH89/DH7/4</f>
      </c>
      <c r="DI90" s="129">
        <f>DI89/DI7/4</f>
      </c>
      <c r="DJ90" s="129">
        <f>DJ89/DJ7/4</f>
      </c>
      <c r="DK90" s="129">
        <f>DK89/DK7/4</f>
      </c>
      <c r="DL90" s="131"/>
      <c r="DM90" s="129">
        <f>DM89/DM7/4</f>
      </c>
      <c r="DN90" s="129">
        <f>DN89/DN7/4</f>
      </c>
      <c r="DO90" s="129">
        <f>DO89/DO7/4</f>
      </c>
      <c r="DP90" s="129">
        <f>DP89/DP7/4</f>
      </c>
      <c r="DQ90" s="131"/>
      <c r="DR90" s="129">
        <f>DR89/DR7/4</f>
      </c>
      <c r="DS90" s="129">
        <f>DS89/DS7/4</f>
      </c>
      <c r="DT90" s="129">
        <f>DT89/DT7/4</f>
      </c>
      <c r="DU90" s="129">
        <f>DU89/DU7/4</f>
      </c>
      <c r="DV90" s="488"/>
      <c r="DW90" s="129">
        <f>DW89/DW7/4</f>
      </c>
      <c r="DX90" s="129">
        <f>DX89/DX7/4</f>
      </c>
      <c r="DY90" s="129">
        <f>DY89/DY7/4</f>
      </c>
      <c r="DZ90" s="129">
        <f>DZ89/DZ7/4</f>
      </c>
      <c r="EA90" s="488"/>
      <c r="EB90" s="129">
        <f>EB89/EB7/4</f>
      </c>
      <c r="EC90" s="129">
        <f>EC89/EC7/4</f>
      </c>
      <c r="ED90" s="129">
        <f>ED89/ED7/4</f>
      </c>
      <c r="EE90" s="129">
        <f>EE89/EE7/4</f>
      </c>
      <c r="EF90" s="488"/>
      <c r="EG90" s="129">
        <f>EG89/EG7/4</f>
      </c>
      <c r="EH90" s="129">
        <f>EH89/EH7/4</f>
      </c>
      <c r="EI90" s="129">
        <f>EI89/EI7/4</f>
      </c>
      <c r="EJ90" s="129">
        <f>EJ89/EJ7/4</f>
      </c>
      <c r="EK90" s="488"/>
      <c r="EL90" s="129">
        <f>EL89/EL7/4</f>
      </c>
      <c r="EM90" s="129">
        <f>EM89/EM7/4</f>
      </c>
      <c r="EN90" s="129">
        <f>EN89/EN7/4</f>
      </c>
      <c r="EO90" s="129">
        <f>EO89/EO7/4</f>
      </c>
      <c r="EP90" s="488"/>
      <c r="EQ90" s="129">
        <f>EQ89/EQ7/4</f>
      </c>
      <c r="ER90" s="129">
        <f>ER89/ER7/4</f>
      </c>
      <c r="ES90" s="129">
        <f>ES89/ES7/4</f>
      </c>
      <c r="ET90" s="129">
        <f>ET89/ET7/4</f>
      </c>
      <c r="EU90" s="488"/>
      <c r="EV90" s="129">
        <f>EV89/EV7/4</f>
      </c>
      <c r="EW90" s="129">
        <f>EW89/EW7/4</f>
      </c>
      <c r="EX90" s="129">
        <f>EX89/EX7/4</f>
      </c>
      <c r="EY90" s="129">
        <f>EY89/EY7/4</f>
      </c>
      <c r="EZ90" s="488"/>
      <c r="FA90" s="488"/>
      <c r="FL90" s="111"/>
      <c r="FM90" s="111"/>
    </row>
    <row r="91" spans="1:169">
      <c r="A91" s="106" t="s">
        <v>407</v>
      </c>
      <c r="B91" s="426"/>
      <c r="C91" s="426"/>
      <c r="D91" s="426"/>
      <c r="E91" s="426"/>
      <c r="F91" s="426"/>
      <c r="G91" s="426"/>
      <c r="H91" s="426"/>
      <c r="I91" s="426"/>
      <c r="J91" s="426"/>
      <c r="K91" s="483"/>
      <c r="L91" s="484">
        <v>0</v>
      </c>
      <c r="M91" s="484">
        <v>0</v>
      </c>
      <c r="N91" s="484">
        <v>0</v>
      </c>
      <c r="O91" s="484">
        <v>0</v>
      </c>
      <c r="P91" s="485">
        <f>O91</f>
      </c>
      <c r="Q91" s="484">
        <v>0</v>
      </c>
      <c r="R91" s="484">
        <v>0</v>
      </c>
      <c r="S91" s="484">
        <v>0</v>
      </c>
      <c r="T91" s="484">
        <v>0</v>
      </c>
      <c r="U91" s="485">
        <f>T91</f>
      </c>
      <c r="V91" s="484">
        <v>0</v>
      </c>
      <c r="W91" s="484">
        <v>0</v>
      </c>
      <c r="X91" s="484">
        <v>0</v>
      </c>
      <c r="Y91" s="484">
        <v>0</v>
      </c>
      <c r="Z91" s="485">
        <f>Y91</f>
      </c>
      <c r="AA91" s="484">
        <v>0</v>
      </c>
      <c r="AB91" s="484">
        <v>0</v>
      </c>
      <c r="AC91" s="484">
        <v>0</v>
      </c>
      <c r="AD91" s="484">
        <v>0</v>
      </c>
      <c r="AE91" s="485">
        <f>AD91</f>
      </c>
      <c r="AF91" s="484">
        <v>0</v>
      </c>
      <c r="AG91" s="484">
        <v>4.117</v>
      </c>
      <c r="AH91" s="484">
        <v>0</v>
      </c>
      <c r="AI91" s="484">
        <v>0</v>
      </c>
      <c r="AJ91" s="485">
        <f>AI91</f>
      </c>
      <c r="AK91" s="484">
        <v>0</v>
      </c>
      <c r="AL91" s="484">
        <v>0</v>
      </c>
      <c r="AM91" s="484">
        <v>0</v>
      </c>
      <c r="AN91" s="484">
        <v>0</v>
      </c>
      <c r="AO91" s="485">
        <f>AN91</f>
      </c>
      <c r="AP91" s="484">
        <f>AN91</f>
      </c>
      <c r="AQ91" s="481">
        <v>0</v>
      </c>
      <c r="AR91" s="481">
        <v>0</v>
      </c>
      <c r="AS91" s="481">
        <v>0</v>
      </c>
      <c r="AT91" s="485">
        <f>AS91</f>
      </c>
      <c r="AU91" s="481">
        <v>0</v>
      </c>
      <c r="AV91" s="481">
        <v>0</v>
      </c>
      <c r="AW91" s="481">
        <v>0</v>
      </c>
      <c r="AX91" s="481">
        <f>AW91</f>
      </c>
      <c r="AY91" s="485">
        <f>AX91</f>
      </c>
      <c r="AZ91" s="481">
        <f>AX91</f>
      </c>
      <c r="BA91" s="481">
        <f>AZ91</f>
      </c>
      <c r="BB91" s="481">
        <v>0</v>
      </c>
      <c r="BC91" s="481">
        <v>0</v>
      </c>
      <c r="BD91" s="485">
        <f>BC91</f>
      </c>
      <c r="BE91" s="481">
        <v>0</v>
      </c>
      <c r="BF91" s="481">
        <f>BE91</f>
      </c>
      <c r="BG91" s="481">
        <v>0</v>
      </c>
      <c r="BH91" s="481">
        <v>0</v>
      </c>
      <c r="BI91" s="485">
        <f>BH91</f>
      </c>
      <c r="BJ91" s="481">
        <v>0</v>
      </c>
      <c r="BK91" s="481">
        <f>BJ91</f>
      </c>
      <c r="BL91" s="481">
        <v>0</v>
      </c>
      <c r="BM91" s="481">
        <v>0</v>
      </c>
      <c r="BN91" s="485">
        <f>BM91</f>
      </c>
      <c r="BO91" s="481">
        <v>0</v>
      </c>
      <c r="BP91" s="481">
        <f>BO91</f>
      </c>
      <c r="BQ91" s="481">
        <v>0</v>
      </c>
      <c r="BR91" s="481">
        <v>0</v>
      </c>
      <c r="BS91" s="485">
        <f>BR91</f>
      </c>
      <c r="BT91" s="481">
        <v>0</v>
      </c>
      <c r="BU91" s="481">
        <f>BT91</f>
      </c>
      <c r="BV91" s="481">
        <v>0</v>
      </c>
      <c r="BW91" s="481">
        <v>0</v>
      </c>
      <c r="BX91" s="485">
        <f>BW91</f>
      </c>
      <c r="BY91" s="481">
        <f>BW91</f>
      </c>
      <c r="BZ91" s="481">
        <f>BY91</f>
      </c>
      <c r="CA91" s="481">
        <v>0</v>
      </c>
      <c r="CB91" s="481">
        <v>0</v>
      </c>
      <c r="CC91" s="485">
        <f>CB91</f>
      </c>
      <c r="CD91" s="481">
        <f>CB91</f>
      </c>
      <c r="CE91" s="481">
        <f>CD91</f>
      </c>
      <c r="CF91" s="481">
        <v>0</v>
      </c>
      <c r="CG91" s="481">
        <v>0</v>
      </c>
      <c r="CH91" s="485">
        <f>CG91</f>
      </c>
      <c r="CI91" s="481">
        <v>0</v>
      </c>
      <c r="CJ91" s="481">
        <v>0</v>
      </c>
      <c r="CK91" s="481">
        <f t="shared" ref="CK91:CP91" si="75">CJ91</f>
      </c>
      <c r="CL91" s="481">
        <f t="shared" si="75"/>
      </c>
      <c r="CM91" s="485">
        <f>CL91</f>
      </c>
      <c r="CN91" s="481">
        <f>CL91</f>
      </c>
      <c r="CO91" s="481">
        <f t="shared" si="75"/>
      </c>
      <c r="CP91" s="481">
        <f t="shared" si="75"/>
      </c>
      <c r="CQ91" s="481">
        <f>CP91</f>
      </c>
      <c r="CR91" s="485">
        <f>CQ91</f>
      </c>
      <c r="CS91" s="481">
        <f>CQ91</f>
      </c>
      <c r="CT91" s="481">
        <f t="shared" ref="CT91:CW92" si="76">CS91</f>
      </c>
      <c r="CU91" s="481">
        <f t="shared" si="76"/>
      </c>
      <c r="CV91" s="481">
        <v>0</v>
      </c>
      <c r="CW91" s="485">
        <f t="shared" si="76"/>
      </c>
      <c r="CX91" s="481">
        <v>0</v>
      </c>
      <c r="CY91" s="481">
        <v>0</v>
      </c>
      <c r="CZ91" s="481">
        <v>0</v>
      </c>
      <c r="DA91" s="481">
        <v>0</v>
      </c>
      <c r="DB91" s="485">
        <f>DA91</f>
      </c>
      <c r="DC91" s="481">
        <v>0</v>
      </c>
      <c r="DD91" s="481">
        <v>0</v>
      </c>
      <c r="DE91" s="481">
        <v>3</v>
      </c>
      <c r="DF91" s="481">
        <v>0</v>
      </c>
      <c r="DG91" s="485">
        <f>DF91</f>
      </c>
      <c r="DH91" s="481">
        <f>DF91</f>
      </c>
      <c r="DI91" s="481">
        <v>0</v>
      </c>
      <c r="DJ91" s="481">
        <f t="shared" ref="DJ91:DL92" si="77">DI91</f>
      </c>
      <c r="DK91" s="481">
        <f t="shared" si="77"/>
      </c>
      <c r="DL91" s="485">
        <f t="shared" si="77"/>
      </c>
      <c r="DM91" s="481">
        <f>DK91</f>
      </c>
      <c r="DN91" s="481">
        <f>DM91</f>
      </c>
      <c r="DO91" s="481">
        <v>998</v>
      </c>
      <c r="DP91" s="481">
        <v>999</v>
      </c>
      <c r="DQ91" s="485">
        <f>DP91</f>
      </c>
      <c r="DR91" s="481">
        <v>999</v>
      </c>
      <c r="DS91" s="481">
        <v>1000</v>
      </c>
      <c r="DT91" s="481">
        <v>0</v>
      </c>
      <c r="DU91" s="481">
        <v>0</v>
      </c>
      <c r="DV91" s="485">
        <f>DU91</f>
      </c>
      <c r="DW91" s="481">
        <v>0</v>
      </c>
      <c r="DX91" s="481">
        <v>1249</v>
      </c>
      <c r="DY91" s="481">
        <v>1249</v>
      </c>
      <c r="DZ91" s="481">
        <v>1250</v>
      </c>
      <c r="EA91" s="485">
        <f>DZ91</f>
      </c>
      <c r="EB91" s="481">
        <v>1250</v>
      </c>
      <c r="EC91" s="481">
        <v>1249</v>
      </c>
      <c r="ED91" s="481">
        <v>1249</v>
      </c>
      <c r="EE91" s="481">
        <v>1250</v>
      </c>
      <c r="EF91" s="485">
        <f>EE91</f>
      </c>
      <c r="EG91" s="481">
        <v>1250</v>
      </c>
      <c r="EH91" s="481">
        <v>0</v>
      </c>
      <c r="EI91" s="481">
        <v>0</v>
      </c>
      <c r="EJ91" s="481">
        <v>0</v>
      </c>
      <c r="EK91" s="485">
        <f>EJ91</f>
      </c>
      <c r="EL91" s="481">
        <v>0</v>
      </c>
      <c r="EM91" s="481">
        <v>0</v>
      </c>
      <c r="EN91" s="481">
        <f t="shared" ref="EN91:EP92" si="78">EM91</f>
      </c>
      <c r="EO91" s="481">
        <f t="shared" si="78"/>
      </c>
      <c r="EP91" s="485">
        <f t="shared" si="78"/>
      </c>
      <c r="EQ91" s="481">
        <f>EO91</f>
      </c>
      <c r="ER91" s="481">
        <f t="shared" ref="ER91:EU92" si="79">EQ91</f>
      </c>
      <c r="ES91" s="481">
        <f t="shared" si="79"/>
      </c>
      <c r="ET91" s="481">
        <f t="shared" si="79"/>
      </c>
      <c r="EU91" s="485">
        <f t="shared" si="79"/>
      </c>
      <c r="EV91" s="481">
        <f>ET91</f>
      </c>
      <c r="EW91" s="481">
        <f t="shared" ref="EW91:EZ92" si="80">EV91</f>
      </c>
      <c r="EX91" s="481">
        <f t="shared" si="80"/>
      </c>
      <c r="EY91" s="481">
        <f t="shared" si="80"/>
      </c>
      <c r="EZ91" s="485">
        <f t="shared" si="80"/>
      </c>
      <c r="FA91" s="485"/>
      <c r="FL91" s="111"/>
      <c r="FM91" s="111"/>
    </row>
    <row r="92" spans="1:169">
      <c r="A92" s="106" t="s">
        <v>408</v>
      </c>
      <c r="B92" s="426"/>
      <c r="C92" s="426"/>
      <c r="D92" s="426"/>
      <c r="E92" s="426"/>
      <c r="F92" s="426"/>
      <c r="G92" s="426"/>
      <c r="H92" s="426"/>
      <c r="I92" s="426"/>
      <c r="J92" s="426"/>
      <c r="K92" s="483"/>
      <c r="L92" s="484">
        <v>9.2889999999999997</v>
      </c>
      <c r="M92" s="484">
        <v>8.452</v>
      </c>
      <c r="N92" s="484">
        <v>7.1909999999999998</v>
      </c>
      <c r="O92" s="484">
        <v>9.5289999999999999</v>
      </c>
      <c r="P92" s="485">
        <f>O92</f>
      </c>
      <c r="Q92" s="484">
        <v>14.321</v>
      </c>
      <c r="R92" s="484">
        <v>23.43</v>
      </c>
      <c r="S92" s="484">
        <v>33.828000000000003</v>
      </c>
      <c r="T92" s="484">
        <v>33.212000000000003</v>
      </c>
      <c r="U92" s="485">
        <f>T92</f>
      </c>
      <c r="V92" s="484">
        <v>45.704000000000001</v>
      </c>
      <c r="W92" s="484">
        <v>69.394999999999996</v>
      </c>
      <c r="X92" s="484">
        <v>73.625</v>
      </c>
      <c r="Y92" s="484">
        <v>145.386</v>
      </c>
      <c r="Z92" s="485">
        <f>Y92</f>
      </c>
      <c r="AA92" s="484">
        <v>182.45599999999999</v>
      </c>
      <c r="AB92" s="484">
        <v>190.274</v>
      </c>
      <c r="AC92" s="484">
        <f>203.832+0.584</f>
      </c>
      <c r="AD92" s="484">
        <f>228.467+4.176</f>
      </c>
      <c r="AE92" s="485">
        <f>AD92</f>
      </c>
      <c r="AF92" s="484">
        <f>175.344+0.525</f>
      </c>
      <c r="AG92" s="484">
        <v>183.196</v>
      </c>
      <c r="AH92" s="484">
        <v>187.405</v>
      </c>
      <c r="AI92" s="484">
        <v>144.755</v>
      </c>
      <c r="AJ92" s="485">
        <f>AI92</f>
      </c>
      <c r="AK92" s="484">
        <v>140.88999999999999</v>
      </c>
      <c r="AL92" s="484">
        <v>148.797</v>
      </c>
      <c r="AM92" s="484">
        <v>150.833</v>
      </c>
      <c r="AN92" s="484">
        <v>182.077</v>
      </c>
      <c r="AO92" s="485">
        <f>AN92</f>
      </c>
      <c r="AP92" s="484">
        <v>193.029</v>
      </c>
      <c r="AQ92" s="481">
        <v>204.45099999999999</v>
      </c>
      <c r="AR92" s="481">
        <v>247.39</v>
      </c>
      <c r="AS92" s="481">
        <v>259.26400000000001</v>
      </c>
      <c r="AT92" s="485">
        <f>AS92</f>
      </c>
      <c r="AU92" s="481">
        <v>236.37899999999999</v>
      </c>
      <c r="AV92" s="481">
        <v>274.12799999999999</v>
      </c>
      <c r="AW92" s="481">
        <v>333.03300000000002</v>
      </c>
      <c r="AX92" s="481">
        <v>366.73200000000003</v>
      </c>
      <c r="AY92" s="485">
        <f>AX92</f>
      </c>
      <c r="AZ92" s="481">
        <v>289.82100000000003</v>
      </c>
      <c r="BA92" s="481">
        <v>357.41699999999997</v>
      </c>
      <c r="BB92" s="481">
        <v>406.65</v>
      </c>
      <c r="BC92" s="481">
        <v>475.06200000000001</v>
      </c>
      <c r="BD92" s="485">
        <f>BC92</f>
      </c>
      <c r="BE92" s="481">
        <v>448.697</v>
      </c>
      <c r="BF92" s="481">
        <v>696.12400000000002</v>
      </c>
      <c r="BG92" s="481">
        <v>617.21299999999997</v>
      </c>
      <c r="BH92" s="481">
        <v>559.72699999999998</v>
      </c>
      <c r="BI92" s="485">
        <f>BH92</f>
      </c>
      <c r="BJ92" s="481">
        <v>476.05799999999999</v>
      </c>
      <c r="BK92" s="481">
        <v>615.34299999999996</v>
      </c>
      <c r="BL92" s="481">
        <v>567.27599999999995</v>
      </c>
      <c r="BM92" s="481">
        <v>439.851</v>
      </c>
      <c r="BN92" s="485">
        <f>BM92</f>
      </c>
      <c r="BO92" s="481">
        <v>402.553</v>
      </c>
      <c r="BP92" s="481">
        <v>539.09799999999996</v>
      </c>
      <c r="BQ92" s="481">
        <v>491.71899999999999</v>
      </c>
      <c r="BR92" s="481">
        <v>656.54399999999998</v>
      </c>
      <c r="BS92" s="485">
        <f>BR92</f>
      </c>
      <c r="BT92" s="481">
        <v>634.87099999999998</v>
      </c>
      <c r="BU92" s="481">
        <v>662.48599999999999</v>
      </c>
      <c r="BV92" s="481">
        <v>578.74099999999999</v>
      </c>
      <c r="BW92" s="481">
        <v>594.88599999999997</v>
      </c>
      <c r="BX92" s="485">
        <f>BW92</f>
      </c>
      <c r="BY92" s="481">
        <v>551.82600000000002</v>
      </c>
      <c r="BZ92" s="481">
        <v>604.71</v>
      </c>
      <c r="CA92" s="481">
        <v>601.09400000000005</v>
      </c>
      <c r="CB92" s="481">
        <v>619.79499999999996</v>
      </c>
      <c r="CC92" s="485">
        <f>CB92</f>
      </c>
      <c r="CD92" s="481">
        <v>597.31799999999998</v>
      </c>
      <c r="CE92" s="481">
        <v>625.52</v>
      </c>
      <c r="CF92" s="481">
        <v>652.64400000000001</v>
      </c>
      <c r="CG92" s="481">
        <v>621.10500000000002</v>
      </c>
      <c r="CH92" s="485">
        <f>CG92</f>
      </c>
      <c r="CI92" s="481">
        <v>588.93700000000001</v>
      </c>
      <c r="CJ92" s="481">
        <v>607.10199999999998</v>
      </c>
      <c r="CK92" s="481">
        <v>605.80999999999995</v>
      </c>
      <c r="CL92" s="481">
        <v>602.80700000000002</v>
      </c>
      <c r="CM92" s="485">
        <f>CL92</f>
      </c>
      <c r="CN92" s="481">
        <v>661</v>
      </c>
      <c r="CO92" s="481">
        <v>659</v>
      </c>
      <c r="CP92" s="481">
        <v>560</v>
      </c>
      <c r="CQ92" s="481">
        <v>642</v>
      </c>
      <c r="CR92" s="485">
        <f>CQ92</f>
      </c>
      <c r="CS92" s="481">
        <v>636</v>
      </c>
      <c r="CT92" s="481">
        <v>556</v>
      </c>
      <c r="CU92" s="481">
        <v>507</v>
      </c>
      <c r="CV92" s="481">
        <v>507</v>
      </c>
      <c r="CW92" s="485">
        <f t="shared" si="76"/>
      </c>
      <c r="CX92" s="481">
        <f>420</f>
      </c>
      <c r="CY92" s="481">
        <v>517</v>
      </c>
      <c r="CZ92" s="481">
        <v>493</v>
      </c>
      <c r="DA92" s="481">
        <f>542+15</f>
      </c>
      <c r="DB92" s="485">
        <f>DA92</f>
      </c>
      <c r="DC92" s="481">
        <f>469+14</f>
      </c>
      <c r="DD92" s="481">
        <f>648+14</f>
      </c>
      <c r="DE92" s="481">
        <v>703</v>
      </c>
      <c r="DF92" s="481">
        <v>818</v>
      </c>
      <c r="DG92" s="485">
        <f>DF92</f>
      </c>
      <c r="DH92" s="481">
        <v>815</v>
      </c>
      <c r="DI92" s="481">
        <v>880</v>
      </c>
      <c r="DJ92" s="481">
        <v>884</v>
      </c>
      <c r="DK92" s="481">
        <v>1097</v>
      </c>
      <c r="DL92" s="485">
        <f t="shared" si="77"/>
      </c>
      <c r="DM92" s="481">
        <v>1142</v>
      </c>
      <c r="DN92" s="481">
        <v>1517</v>
      </c>
      <c r="DO92" s="481">
        <v>1574</v>
      </c>
      <c r="DP92" s="481">
        <v>1725</v>
      </c>
      <c r="DQ92" s="485">
        <f>DP92</f>
      </c>
      <c r="DR92" s="481">
        <v>1787</v>
      </c>
      <c r="DS92" s="481">
        <v>1974</v>
      </c>
      <c r="DT92" s="481">
        <v>1948</v>
      </c>
      <c r="DU92" s="481">
        <v>2552</v>
      </c>
      <c r="DV92" s="485">
        <f>DU92</f>
      </c>
      <c r="DW92" s="481">
        <v>3563</v>
      </c>
      <c r="DX92" s="481">
        <v>3903</v>
      </c>
      <c r="DY92" s="481">
        <v>4115</v>
      </c>
      <c r="DZ92" s="481">
        <v>4120</v>
      </c>
      <c r="EA92" s="485">
        <f>DZ92</f>
      </c>
      <c r="EB92" s="481">
        <v>4869</v>
      </c>
      <c r="EC92" s="481">
        <v>7156</v>
      </c>
      <c r="ED92" s="481">
        <v>5472</v>
      </c>
      <c r="EE92" s="481">
        <v>6682</v>
      </c>
      <c r="EF92" s="485">
        <f>EE92</f>
      </c>
      <c r="EG92" s="481">
        <v>11258</v>
      </c>
      <c r="EH92" s="481">
        <v>10289</v>
      </c>
      <c r="EI92" s="481">
        <v>11126</v>
      </c>
      <c r="EJ92" s="481">
        <v>11737</v>
      </c>
      <c r="EK92" s="485">
        <f>EJ92</f>
      </c>
      <c r="EL92" s="481">
        <v>19211</v>
      </c>
      <c r="EM92" s="481">
        <v>15193</v>
      </c>
      <c r="EN92" s="481">
        <f t="shared" si="78"/>
      </c>
      <c r="EO92" s="481">
        <f t="shared" si="78"/>
      </c>
      <c r="EP92" s="485">
        <f t="shared" si="78"/>
      </c>
      <c r="EQ92" s="481">
        <f>EO92</f>
      </c>
      <c r="ER92" s="481">
        <f t="shared" si="79"/>
      </c>
      <c r="ES92" s="481">
        <f t="shared" si="79"/>
      </c>
      <c r="ET92" s="481">
        <f t="shared" si="79"/>
      </c>
      <c r="EU92" s="485">
        <f t="shared" si="79"/>
      </c>
      <c r="EV92" s="481">
        <f>ET92</f>
      </c>
      <c r="EW92" s="481">
        <f t="shared" si="80"/>
      </c>
      <c r="EX92" s="481">
        <f t="shared" si="80"/>
      </c>
      <c r="EY92" s="481">
        <f t="shared" si="80"/>
      </c>
      <c r="EZ92" s="485">
        <f t="shared" si="80"/>
      </c>
      <c r="FA92" s="485"/>
      <c r="FL92" s="111"/>
      <c r="FM92" s="111"/>
    </row>
    <row r="93" spans="1:169" s="105" customFormat="1">
      <c r="A93" s="83" t="s">
        <v>409</v>
      </c>
      <c r="B93" s="493"/>
      <c r="C93" s="493"/>
      <c r="D93" s="493"/>
      <c r="E93" s="493"/>
      <c r="F93" s="493"/>
      <c r="G93" s="493"/>
      <c r="H93" s="493"/>
      <c r="I93" s="493"/>
      <c r="J93" s="493"/>
      <c r="K93" s="483"/>
      <c r="L93" s="484">
        <f t="shared" ref="L93:BM93" si="81">SUM(L88:L89,L91:L92)</f>
      </c>
      <c r="M93" s="484">
        <f t="shared" si="81"/>
      </c>
      <c r="N93" s="484">
        <f t="shared" si="81"/>
      </c>
      <c r="O93" s="484">
        <f t="shared" si="81"/>
      </c>
      <c r="P93" s="485">
        <f>O93</f>
      </c>
      <c r="Q93" s="484">
        <f t="shared" si="81"/>
      </c>
      <c r="R93" s="484">
        <f t="shared" si="81"/>
      </c>
      <c r="S93" s="484">
        <f t="shared" si="81"/>
      </c>
      <c r="T93" s="484">
        <f t="shared" si="81"/>
      </c>
      <c r="U93" s="485">
        <f>T93</f>
      </c>
      <c r="V93" s="484">
        <f t="shared" si="81"/>
      </c>
      <c r="W93" s="484">
        <f t="shared" si="81"/>
      </c>
      <c r="X93" s="484">
        <f t="shared" si="81"/>
      </c>
      <c r="Y93" s="484">
        <f t="shared" si="81"/>
      </c>
      <c r="Z93" s="485">
        <f>Y93</f>
      </c>
      <c r="AA93" s="484">
        <f t="shared" si="81"/>
      </c>
      <c r="AB93" s="484">
        <f t="shared" si="81"/>
      </c>
      <c r="AC93" s="484">
        <f t="shared" si="81"/>
      </c>
      <c r="AD93" s="484">
        <f t="shared" si="81"/>
      </c>
      <c r="AE93" s="485">
        <f>AD93</f>
      </c>
      <c r="AF93" s="484">
        <f t="shared" si="81"/>
      </c>
      <c r="AG93" s="484">
        <f t="shared" si="81"/>
      </c>
      <c r="AH93" s="484">
        <f t="shared" si="81"/>
      </c>
      <c r="AI93" s="484">
        <f t="shared" si="81"/>
      </c>
      <c r="AJ93" s="485">
        <f>AI93</f>
      </c>
      <c r="AK93" s="484">
        <f t="shared" si="81"/>
      </c>
      <c r="AL93" s="484">
        <f t="shared" si="81"/>
      </c>
      <c r="AM93" s="484">
        <f t="shared" si="81"/>
      </c>
      <c r="AN93" s="484">
        <f t="shared" si="81"/>
      </c>
      <c r="AO93" s="485">
        <f>AN93</f>
      </c>
      <c r="AP93" s="484">
        <f t="shared" si="81"/>
      </c>
      <c r="AQ93" s="481">
        <f t="shared" si="81"/>
      </c>
      <c r="AR93" s="481">
        <f t="shared" si="81"/>
      </c>
      <c r="AS93" s="481">
        <f t="shared" si="81"/>
      </c>
      <c r="AT93" s="485">
        <f>AS93</f>
      </c>
      <c r="AU93" s="481">
        <f t="shared" si="81"/>
      </c>
      <c r="AV93" s="481">
        <f t="shared" si="81"/>
      </c>
      <c r="AW93" s="481">
        <f t="shared" si="81"/>
      </c>
      <c r="AX93" s="481">
        <f t="shared" si="81"/>
      </c>
      <c r="AY93" s="485">
        <f>AX93</f>
      </c>
      <c r="AZ93" s="481">
        <f t="shared" si="81"/>
      </c>
      <c r="BA93" s="481">
        <f t="shared" si="81"/>
      </c>
      <c r="BB93" s="481">
        <f t="shared" si="81"/>
      </c>
      <c r="BC93" s="481">
        <f t="shared" si="81"/>
      </c>
      <c r="BD93" s="485">
        <f>BC93</f>
      </c>
      <c r="BE93" s="481">
        <f t="shared" si="81"/>
      </c>
      <c r="BF93" s="481">
        <f t="shared" si="81"/>
      </c>
      <c r="BG93" s="481">
        <f t="shared" si="81"/>
      </c>
      <c r="BH93" s="481">
        <f t="shared" si="81"/>
      </c>
      <c r="BI93" s="485">
        <f>BH93</f>
      </c>
      <c r="BJ93" s="481">
        <f t="shared" si="81"/>
      </c>
      <c r="BK93" s="481">
        <f t="shared" si="81"/>
      </c>
      <c r="BL93" s="481">
        <f t="shared" si="81"/>
      </c>
      <c r="BM93" s="481">
        <f t="shared" si="81"/>
      </c>
      <c r="BN93" s="485">
        <f>BM93</f>
      </c>
      <c r="BO93" s="481">
        <f t="shared" ref="BO93:BW93" si="82">SUM(BO88:BO89,BO91:BO92)</f>
      </c>
      <c r="BP93" s="481">
        <f t="shared" si="82"/>
      </c>
      <c r="BQ93" s="481">
        <f t="shared" si="82"/>
      </c>
      <c r="BR93" s="481">
        <f t="shared" si="82"/>
      </c>
      <c r="BS93" s="485">
        <f>BR93</f>
      </c>
      <c r="BT93" s="481">
        <f t="shared" si="82"/>
      </c>
      <c r="BU93" s="481">
        <f t="shared" si="82"/>
      </c>
      <c r="BV93" s="481">
        <f t="shared" si="82"/>
      </c>
      <c r="BW93" s="481">
        <f t="shared" si="82"/>
      </c>
      <c r="BX93" s="485">
        <f>BW93</f>
      </c>
      <c r="BY93" s="481">
        <f>SUM(BY88:BY89,BY91:BY92)</f>
      </c>
      <c r="BZ93" s="481">
        <f>SUM(BZ88:BZ89,BZ91:BZ92)</f>
      </c>
      <c r="CA93" s="481">
        <f>SUM(CA88:CA89,CA91:CA92)</f>
      </c>
      <c r="CB93" s="481">
        <f>SUM(CB88:CB89,CB91:CB92)</f>
      </c>
      <c r="CC93" s="485">
        <f>CB93</f>
      </c>
      <c r="CD93" s="481">
        <f>SUM(CD88:CD89,CD91:CD92)</f>
      </c>
      <c r="CE93" s="481">
        <f>SUM(CE88:CE89,CE91:CE92)</f>
      </c>
      <c r="CF93" s="481">
        <f>SUM(CF88:CF89,CF91:CF92)</f>
      </c>
      <c r="CG93" s="481">
        <f>SUM(CG88:CG89,CG91:CG92)</f>
      </c>
      <c r="CH93" s="485">
        <f>CG93</f>
      </c>
      <c r="CI93" s="481">
        <f>SUM(CI88:CI89,CI91:CI92)</f>
      </c>
      <c r="CJ93" s="481">
        <f>SUM(CJ88:CJ89,CJ91:CJ92)</f>
      </c>
      <c r="CK93" s="481">
        <f>SUM(CK88:CK89,CK91:CK92)</f>
      </c>
      <c r="CL93" s="481">
        <f>SUM(CL88:CL89,CL91:CL92)</f>
      </c>
      <c r="CM93" s="485">
        <f>CL93</f>
      </c>
      <c r="CN93" s="481">
        <f>SUM(CN88:CN89,CN91:CN92)</f>
      </c>
      <c r="CO93" s="481">
        <f>SUM(CO88:CO89,CO91:CO92)</f>
      </c>
      <c r="CP93" s="481">
        <f>SUM(CP88:CP89,CP91:CP92)</f>
      </c>
      <c r="CQ93" s="481">
        <f>SUM(CQ88:CQ89,CQ91:CQ92)</f>
      </c>
      <c r="CR93" s="485">
        <f>CQ93</f>
      </c>
      <c r="CS93" s="481">
        <f>SUM(CS88:CS89,CS91:CS92)</f>
      </c>
      <c r="CT93" s="481">
        <f>SUM(CT88:CT89,CT91:CT92)</f>
      </c>
      <c r="CU93" s="481">
        <f>SUM(CU88:CU89,CU91:CU92)</f>
      </c>
      <c r="CV93" s="481">
        <f>SUM(CV88:CV89,CV91:CV92)</f>
      </c>
      <c r="CW93" s="485">
        <f>CV93</f>
      </c>
      <c r="CX93" s="481">
        <f>SUM(CX88:CX89,CX91:CX92)</f>
      </c>
      <c r="CY93" s="481">
        <f>SUM(CY88:CY89,CY91:CY92)</f>
      </c>
      <c r="CZ93" s="481">
        <f>SUM(CZ88:CZ89,CZ91:CZ92)</f>
      </c>
      <c r="DA93" s="481">
        <f>SUM(DA88:DA89,DA91:DA92)</f>
      </c>
      <c r="DB93" s="485">
        <f>DA93</f>
      </c>
      <c r="DC93" s="481">
        <f>SUM(DC88:DC89,DC91:DC92)</f>
      </c>
      <c r="DD93" s="481">
        <f>SUM(DD88:DD89,DD91:DD92)</f>
      </c>
      <c r="DE93" s="481">
        <f>SUM(DE88:DE89,DE91:DE92)</f>
      </c>
      <c r="DF93" s="481">
        <f>SUM(DF88:DF89,DF91:DF92)</f>
      </c>
      <c r="DG93" s="485">
        <f>DF93</f>
      </c>
      <c r="DH93" s="481">
        <f>SUM(DH88:DH89,DH91:DH92)</f>
      </c>
      <c r="DI93" s="481">
        <f>SUM(DI88:DI89,DI91:DI92)</f>
      </c>
      <c r="DJ93" s="481">
        <f>SUM(DJ88:DJ89,DJ91:DJ92)</f>
      </c>
      <c r="DK93" s="481">
        <f>SUM(DK88:DK89,DK91:DK92)</f>
      </c>
      <c r="DL93" s="485">
        <f>DK93</f>
      </c>
      <c r="DM93" s="481">
        <f>SUM(DM88:DM89,DM91:DM92)</f>
      </c>
      <c r="DN93" s="481">
        <f>SUM(DN88:DN89,DN91:DN92)</f>
      </c>
      <c r="DO93" s="481">
        <f>SUM(DO88:DO89,DO91:DO92)</f>
      </c>
      <c r="DP93" s="481">
        <f>SUM(DP88:DP89,DP91:DP92)</f>
      </c>
      <c r="DQ93" s="485">
        <f>DP93</f>
      </c>
      <c r="DR93" s="481">
        <f>SUM(DR88:DR89,DR91:DR92)</f>
      </c>
      <c r="DS93" s="481">
        <f>SUM(DS88:DS89,DS91:DS92)</f>
      </c>
      <c r="DT93" s="481">
        <f>SUM(DT88:DT89,DT91:DT92)</f>
      </c>
      <c r="DU93" s="481">
        <f>SUM(DU88:DU89,DU91:DU92)</f>
      </c>
      <c r="DV93" s="485">
        <f>DU93</f>
      </c>
      <c r="DW93" s="481">
        <f>SUM(DW88:DW89,DW91:DW92)</f>
      </c>
      <c r="DX93" s="481">
        <f>SUM(DX88:DX89,DX91:DX92)</f>
      </c>
      <c r="DY93" s="481">
        <f>SUM(DY88:DY89,DY91:DY92)</f>
      </c>
      <c r="DZ93" s="481">
        <f>SUM(DZ88:DZ89,DZ91:DZ92)</f>
      </c>
      <c r="EA93" s="485">
        <f>DZ93</f>
      </c>
      <c r="EB93" s="481">
        <f>SUM(EB88:EB89,EB91:EB92)</f>
      </c>
      <c r="EC93" s="481">
        <f>SUM(EC88:EC89,EC91:EC92)</f>
      </c>
      <c r="ED93" s="481">
        <f>SUM(ED88:ED89,ED91:ED92)</f>
      </c>
      <c r="EE93" s="481">
        <f>SUM(EE88:EE89,EE91:EE92)</f>
      </c>
      <c r="EF93" s="485">
        <f>EE93</f>
      </c>
      <c r="EG93" s="481">
        <f>SUM(EG88:EG89,EG91:EG92)</f>
      </c>
      <c r="EH93" s="481">
        <f>SUM(EH88:EH89,EH91:EH92)</f>
      </c>
      <c r="EI93" s="481">
        <f>SUM(EI88:EI89,EI91:EI92)</f>
      </c>
      <c r="EJ93" s="481">
        <f>SUM(EJ88:EJ89,EJ91:EJ92)</f>
      </c>
      <c r="EK93" s="485">
        <f>EJ93</f>
      </c>
      <c r="EL93" s="481">
        <f>SUM(EL88:EL89,EL91:EL92)</f>
      </c>
      <c r="EM93" s="481">
        <f>SUM(EM88:EM89,EM91:EM92)</f>
      </c>
      <c r="EN93" s="481">
        <f>SUM(EN88:EN89,EN91:EN92)</f>
      </c>
      <c r="EO93" s="481">
        <f>SUM(EO88:EO89,EO91:EO92)</f>
      </c>
      <c r="EP93" s="485">
        <f>EO93</f>
      </c>
      <c r="EQ93" s="481">
        <f>SUM(EQ88:EQ89,EQ91:EQ92)</f>
      </c>
      <c r="ER93" s="481">
        <f>SUM(ER88:ER89,ER91:ER92)</f>
      </c>
      <c r="ES93" s="481">
        <f>SUM(ES88:ES89,ES91:ES92)</f>
      </c>
      <c r="ET93" s="481">
        <f>SUM(ET88:ET89,ET91:ET92)</f>
      </c>
      <c r="EU93" s="485">
        <f>ET93</f>
      </c>
      <c r="EV93" s="481">
        <f>SUM(EV88:EV89,EV91:EV92)</f>
      </c>
      <c r="EW93" s="481">
        <f>SUM(EW88:EW89,EW91:EW92)</f>
      </c>
      <c r="EX93" s="481">
        <f>SUM(EX88:EX89,EX91:EX92)</f>
      </c>
      <c r="EY93" s="481">
        <f>SUM(EY88:EY89,EY91:EY92)</f>
      </c>
      <c r="EZ93" s="485">
        <f>EY93</f>
      </c>
      <c r="FA93" s="485"/>
      <c r="FH93" s="85"/>
      <c r="FI93" s="85"/>
      <c r="FL93" s="111"/>
      <c r="FM93" s="111"/>
    </row>
    <row r="94" spans="1:169" s="105" customFormat="1">
      <c r="A94" s="83"/>
      <c r="B94" s="493"/>
      <c r="C94" s="493"/>
      <c r="D94" s="493"/>
      <c r="E94" s="493"/>
      <c r="F94" s="493"/>
      <c r="G94" s="493"/>
      <c r="H94" s="493"/>
      <c r="I94" s="493"/>
      <c r="J94" s="493"/>
      <c r="L94" s="502"/>
      <c r="M94" s="502"/>
      <c r="N94" s="502"/>
      <c r="O94" s="502"/>
      <c r="P94" s="485"/>
      <c r="Q94" s="502"/>
      <c r="R94" s="502"/>
      <c r="S94" s="502"/>
      <c r="T94" s="502"/>
      <c r="U94" s="485"/>
      <c r="V94" s="502"/>
      <c r="W94" s="502"/>
      <c r="X94" s="502"/>
      <c r="Y94" s="502"/>
      <c r="Z94" s="485"/>
      <c r="AA94" s="502"/>
      <c r="AB94" s="502"/>
      <c r="AC94" s="502"/>
      <c r="AD94" s="502"/>
      <c r="AE94" s="485"/>
      <c r="AF94" s="502"/>
      <c r="AG94" s="502"/>
      <c r="AH94" s="502"/>
      <c r="AI94" s="502"/>
      <c r="AJ94" s="485"/>
      <c r="AK94" s="502"/>
      <c r="AL94" s="502"/>
      <c r="AM94" s="502"/>
      <c r="AN94" s="485"/>
      <c r="AO94" s="485"/>
      <c r="AP94" s="485"/>
      <c r="AQ94" s="485"/>
      <c r="AR94" s="485"/>
      <c r="AS94" s="485"/>
      <c r="AT94" s="485"/>
      <c r="AU94" s="485"/>
      <c r="AV94" s="485"/>
      <c r="AW94" s="485"/>
      <c r="AX94" s="485"/>
      <c r="AY94" s="485"/>
      <c r="AZ94" s="485"/>
      <c r="BA94" s="485"/>
      <c r="BB94" s="485"/>
      <c r="BC94" s="485"/>
      <c r="BD94" s="485"/>
      <c r="BE94" s="485"/>
      <c r="BF94" s="485"/>
      <c r="BG94" s="485"/>
      <c r="BH94" s="485"/>
      <c r="BI94" s="485"/>
      <c r="BJ94" s="485"/>
      <c r="BK94" s="485"/>
      <c r="BL94" s="485"/>
      <c r="BM94" s="485"/>
      <c r="BN94" s="485"/>
      <c r="BO94" s="485"/>
      <c r="BP94" s="485"/>
      <c r="BQ94" s="485"/>
      <c r="BR94" s="485"/>
      <c r="BS94" s="485"/>
      <c r="BT94" s="485"/>
      <c r="BU94" s="485"/>
      <c r="BV94" s="485"/>
      <c r="BW94" s="485"/>
      <c r="BX94" s="485"/>
      <c r="BY94" s="485"/>
      <c r="BZ94" s="485"/>
      <c r="CA94" s="485"/>
      <c r="CB94" s="485"/>
      <c r="CC94" s="485"/>
      <c r="CD94" s="485"/>
      <c r="CE94" s="485"/>
      <c r="CF94" s="485"/>
      <c r="CG94" s="485"/>
      <c r="CH94" s="485"/>
      <c r="CI94" s="485"/>
      <c r="CJ94" s="485"/>
      <c r="CK94" s="485"/>
      <c r="CL94" s="485"/>
      <c r="CM94" s="485"/>
      <c r="CN94" s="485"/>
      <c r="CO94" s="485"/>
      <c r="CP94" s="485"/>
      <c r="CQ94" s="485"/>
      <c r="CR94" s="485"/>
      <c r="CS94" s="485"/>
      <c r="CT94" s="485"/>
      <c r="CU94" s="485"/>
      <c r="CV94" s="485"/>
      <c r="CW94" s="485"/>
      <c r="CX94" s="485"/>
      <c r="CY94" s="485"/>
      <c r="CZ94" s="485"/>
      <c r="DA94" s="485"/>
      <c r="DB94" s="485"/>
      <c r="DC94" s="485"/>
      <c r="DD94" s="485"/>
      <c r="DE94" s="485"/>
      <c r="DF94" s="485"/>
      <c r="DG94" s="485"/>
      <c r="DH94" s="485"/>
      <c r="DI94" s="485"/>
      <c r="DJ94" s="485"/>
      <c r="DK94" s="485"/>
      <c r="DL94" s="485"/>
      <c r="DM94" s="485"/>
      <c r="DN94" s="485"/>
      <c r="DO94" s="485"/>
      <c r="DP94" s="485"/>
      <c r="DQ94" s="485"/>
      <c r="DR94" s="485"/>
      <c r="DS94" s="485"/>
      <c r="DT94" s="485"/>
      <c r="DU94" s="485"/>
      <c r="DV94" s="485"/>
      <c r="DW94" s="485"/>
      <c r="DX94" s="485"/>
      <c r="DY94" s="485"/>
      <c r="DZ94" s="485"/>
      <c r="EA94" s="485"/>
      <c r="EB94" s="485"/>
      <c r="EC94" s="485"/>
      <c r="ED94" s="485"/>
      <c r="EE94" s="485"/>
      <c r="EF94" s="485"/>
      <c r="EG94" s="485"/>
      <c r="EH94" s="485"/>
      <c r="EI94" s="485"/>
      <c r="EJ94" s="485"/>
      <c r="EK94" s="485"/>
      <c r="EL94" s="485"/>
      <c r="EM94" s="485"/>
      <c r="EN94" s="485"/>
      <c r="EO94" s="485"/>
      <c r="EP94" s="485"/>
      <c r="EQ94" s="485"/>
      <c r="ER94" s="485"/>
      <c r="ES94" s="485"/>
      <c r="ET94" s="485"/>
      <c r="EU94" s="485"/>
      <c r="EV94" s="485"/>
      <c r="EW94" s="485"/>
      <c r="EX94" s="485"/>
      <c r="EY94" s="485"/>
      <c r="EZ94" s="485"/>
      <c r="FA94" s="485"/>
      <c r="FL94" s="111"/>
      <c r="FM94" s="111"/>
    </row>
    <row r="95" spans="1:169">
      <c r="A95" s="106" t="s">
        <v>410</v>
      </c>
      <c r="B95" s="426"/>
      <c r="C95" s="426"/>
      <c r="D95" s="426"/>
      <c r="E95" s="426"/>
      <c r="F95" s="426"/>
      <c r="G95" s="426"/>
      <c r="H95" s="426"/>
      <c r="I95" s="426"/>
      <c r="J95" s="426"/>
      <c r="K95" s="483"/>
      <c r="L95" s="484">
        <v>1.298</v>
      </c>
      <c r="M95" s="484">
        <v>0.94199999999999995</v>
      </c>
      <c r="N95" s="484">
        <v>1.169</v>
      </c>
      <c r="O95" s="484">
        <v>0.96199999999999997</v>
      </c>
      <c r="P95" s="485">
        <f>O95</f>
      </c>
      <c r="Q95" s="484">
        <v>0.69699999999999995</v>
      </c>
      <c r="R95" s="484">
        <v>0.67200000000000004</v>
      </c>
      <c r="S95" s="484">
        <v>0.64400000000000002</v>
      </c>
      <c r="T95" s="484">
        <v>0.378</v>
      </c>
      <c r="U95" s="485">
        <f>T95</f>
      </c>
      <c r="V95" s="484">
        <v>0.307</v>
      </c>
      <c r="W95" s="484">
        <v>3.6720000000000002</v>
      </c>
      <c r="X95" s="484">
        <v>6.9409999999999998</v>
      </c>
      <c r="Y95" s="484">
        <v>5.8609999999999998</v>
      </c>
      <c r="Z95" s="485">
        <f>Y95</f>
      </c>
      <c r="AA95" s="484">
        <v>4.9370000000000003</v>
      </c>
      <c r="AB95" s="484">
        <v>7.9260000000000002</v>
      </c>
      <c r="AC95" s="484">
        <v>6.34</v>
      </c>
      <c r="AD95" s="484">
        <v>4.88</v>
      </c>
      <c r="AE95" s="485">
        <f>AD95</f>
      </c>
      <c r="AF95" s="484">
        <v>4.194</v>
      </c>
      <c r="AG95" s="484">
        <v>3.5219999999999998</v>
      </c>
      <c r="AH95" s="484">
        <v>2.6339999999999999</v>
      </c>
      <c r="AI95" s="484">
        <v>0.85599999999999998</v>
      </c>
      <c r="AJ95" s="485">
        <f>AI95</f>
      </c>
      <c r="AK95" s="484">
        <v>0.34499999999999997</v>
      </c>
      <c r="AL95" s="484">
        <v>0</v>
      </c>
      <c r="AM95" s="484">
        <f>AL95</f>
      </c>
      <c r="AN95" s="484">
        <v>0</v>
      </c>
      <c r="AO95" s="485">
        <f>AN95</f>
      </c>
      <c r="AP95" s="484">
        <v>0</v>
      </c>
      <c r="AQ95" s="481">
        <v>0</v>
      </c>
      <c r="AR95" s="481">
        <v>0</v>
      </c>
      <c r="AS95" s="481">
        <v>0</v>
      </c>
      <c r="AT95" s="485">
        <f>AS95</f>
      </c>
      <c r="AU95" s="481">
        <v>0</v>
      </c>
      <c r="AV95" s="481">
        <f t="shared" ref="AV95:BD98" si="83">AU95</f>
      </c>
      <c r="AW95" s="481">
        <f t="shared" si="83"/>
      </c>
      <c r="AX95" s="481">
        <f t="shared" si="83"/>
      </c>
      <c r="AY95" s="485">
        <f>AX95</f>
      </c>
      <c r="AZ95" s="481">
        <f>AX95</f>
      </c>
      <c r="BA95" s="481">
        <f t="shared" si="83"/>
      </c>
      <c r="BB95" s="481">
        <f t="shared" si="83"/>
      </c>
      <c r="BC95" s="481">
        <f t="shared" si="83"/>
      </c>
      <c r="BD95" s="485">
        <f>BC95</f>
      </c>
      <c r="BE95" s="481">
        <f>BC95</f>
      </c>
      <c r="BF95" s="481">
        <f t="shared" ref="BF95:BI98" si="84">BE95</f>
      </c>
      <c r="BG95" s="481">
        <f t="shared" si="84"/>
      </c>
      <c r="BH95" s="481">
        <f t="shared" si="84"/>
      </c>
      <c r="BI95" s="485">
        <f>BH95</f>
      </c>
      <c r="BJ95" s="481">
        <f>BH95</f>
      </c>
      <c r="BK95" s="481">
        <f t="shared" ref="BK95:BZ97" si="85">BJ95</f>
      </c>
      <c r="BL95" s="481">
        <f t="shared" si="85"/>
      </c>
      <c r="BM95" s="481">
        <f t="shared" si="85"/>
      </c>
      <c r="BN95" s="485">
        <f>BM95</f>
      </c>
      <c r="BO95" s="481">
        <f>BM95</f>
      </c>
      <c r="BP95" s="481">
        <f t="shared" si="85"/>
      </c>
      <c r="BQ95" s="481">
        <f t="shared" si="85"/>
      </c>
      <c r="BR95" s="481">
        <f t="shared" si="85"/>
      </c>
      <c r="BS95" s="485">
        <f>BR95</f>
      </c>
      <c r="BT95" s="481">
        <f>BR95</f>
      </c>
      <c r="BU95" s="481">
        <f t="shared" si="85"/>
      </c>
      <c r="BV95" s="481">
        <f t="shared" si="85"/>
      </c>
      <c r="BW95" s="481">
        <f t="shared" si="85"/>
      </c>
      <c r="BX95" s="485">
        <f>BW95</f>
      </c>
      <c r="BY95" s="481">
        <f>BW95</f>
      </c>
      <c r="BZ95" s="481">
        <f t="shared" si="85"/>
      </c>
      <c r="CA95" s="481">
        <f t="shared" ref="BN95:CC98" si="86">BZ95</f>
      </c>
      <c r="CB95" s="481">
        <f t="shared" si="86"/>
      </c>
      <c r="CC95" s="485">
        <f t="shared" si="86"/>
      </c>
      <c r="CD95" s="481">
        <f>CB95</f>
      </c>
      <c r="CE95" s="481">
        <f t="shared" ref="CE95:CF97" si="87">CD95</f>
      </c>
      <c r="CF95" s="481">
        <f t="shared" si="87"/>
      </c>
      <c r="CG95" s="481">
        <f>CF95</f>
      </c>
      <c r="CH95" s="485">
        <f>CG95</f>
      </c>
      <c r="CI95" s="481">
        <f>CG95</f>
      </c>
      <c r="CJ95" s="481">
        <f>CI95</f>
      </c>
      <c r="CK95" s="481">
        <f>CJ95</f>
      </c>
      <c r="CL95" s="481">
        <f>CK95</f>
      </c>
      <c r="CM95" s="485">
        <f>CL95</f>
      </c>
      <c r="CN95" s="481">
        <f>CL95</f>
      </c>
      <c r="CO95" s="481">
        <f>CN95</f>
      </c>
      <c r="CP95" s="481">
        <f>CO95</f>
      </c>
      <c r="CQ95" s="481">
        <f>CP95</f>
      </c>
      <c r="CR95" s="485">
        <f>CQ95</f>
      </c>
      <c r="CS95" s="481">
        <f>CQ95</f>
      </c>
      <c r="CT95" s="481">
        <f>CS95</f>
      </c>
      <c r="CU95" s="481">
        <f>CT95</f>
      </c>
      <c r="CV95" s="481">
        <f>CU95</f>
      </c>
      <c r="CW95" s="485">
        <f>CV95</f>
      </c>
      <c r="CX95" s="481">
        <v>0</v>
      </c>
      <c r="CY95" s="481">
        <v>0</v>
      </c>
      <c r="CZ95" s="481">
        <v>0</v>
      </c>
      <c r="DA95" s="481">
        <v>0</v>
      </c>
      <c r="DB95" s="485">
        <f>DA95</f>
      </c>
      <c r="DC95" s="481">
        <v>0</v>
      </c>
      <c r="DD95" s="481">
        <v>0</v>
      </c>
      <c r="DE95" s="481">
        <v>0</v>
      </c>
      <c r="DF95" s="481">
        <v>0</v>
      </c>
      <c r="DG95" s="485">
        <f>DF95</f>
      </c>
      <c r="DH95" s="481">
        <f>DF95</f>
      </c>
      <c r="DI95" s="481">
        <v>0</v>
      </c>
      <c r="DJ95" s="481">
        <f t="shared" ref="DJ95:DL98" si="88">DI95</f>
      </c>
      <c r="DK95" s="481">
        <f t="shared" si="88"/>
      </c>
      <c r="DL95" s="485">
        <f t="shared" si="88"/>
      </c>
      <c r="DM95" s="481">
        <f>DK95</f>
      </c>
      <c r="DN95" s="481">
        <f t="shared" ref="DN95:DU98" si="89">DM95</f>
      </c>
      <c r="DO95" s="481">
        <f t="shared" si="89"/>
      </c>
      <c r="DP95" s="481">
        <f t="shared" si="89"/>
      </c>
      <c r="DQ95" s="485">
        <f t="shared" si="89"/>
      </c>
      <c r="DR95" s="481">
        <f>DP95</f>
      </c>
      <c r="DS95" s="481">
        <f t="shared" si="89"/>
      </c>
      <c r="DT95" s="481">
        <f t="shared" si="89"/>
      </c>
      <c r="DU95" s="481">
        <f t="shared" si="89"/>
      </c>
      <c r="DV95" s="485">
        <f>DU95</f>
      </c>
      <c r="DW95" s="481">
        <f>DU95</f>
      </c>
      <c r="DX95" s="481">
        <f t="shared" ref="DX95:EM96" si="90">DW95</f>
      </c>
      <c r="DY95" s="481">
        <f t="shared" si="90"/>
      </c>
      <c r="DZ95" s="481">
        <f t="shared" si="90"/>
      </c>
      <c r="EA95" s="485">
        <f>DZ95</f>
      </c>
      <c r="EB95" s="481">
        <f t="shared" si="90"/>
      </c>
      <c r="EC95" s="481">
        <f t="shared" si="90"/>
      </c>
      <c r="ED95" s="481">
        <f t="shared" si="90"/>
      </c>
      <c r="EE95" s="481">
        <f t="shared" si="90"/>
      </c>
      <c r="EF95" s="485">
        <f>EE95</f>
      </c>
      <c r="EG95" s="481">
        <f t="shared" si="90"/>
      </c>
      <c r="EH95" s="481">
        <f t="shared" si="90"/>
      </c>
      <c r="EI95" s="481">
        <f t="shared" si="90"/>
      </c>
      <c r="EJ95" s="481">
        <f t="shared" si="90"/>
      </c>
      <c r="EK95" s="485">
        <f>EJ95</f>
      </c>
      <c r="EL95" s="481">
        <f t="shared" si="90"/>
      </c>
      <c r="EM95" s="481">
        <f t="shared" si="90"/>
      </c>
      <c r="EN95" s="481">
        <f t="shared" ref="EN95:EP98" si="91">EM95</f>
      </c>
      <c r="EO95" s="481">
        <f t="shared" si="91"/>
      </c>
      <c r="EP95" s="485">
        <f t="shared" si="91"/>
      </c>
      <c r="EQ95" s="481">
        <f>EO95</f>
      </c>
      <c r="ER95" s="481">
        <f t="shared" ref="ER95:EU98" si="92">EQ95</f>
      </c>
      <c r="ES95" s="481">
        <f t="shared" si="92"/>
      </c>
      <c r="ET95" s="481">
        <f t="shared" si="92"/>
      </c>
      <c r="EU95" s="485">
        <f t="shared" si="92"/>
      </c>
      <c r="EV95" s="481">
        <f>ET95</f>
      </c>
      <c r="EW95" s="481">
        <f t="shared" ref="EW95:EZ98" si="93">EV95</f>
      </c>
      <c r="EX95" s="481">
        <f t="shared" si="93"/>
      </c>
      <c r="EY95" s="481">
        <f t="shared" si="93"/>
      </c>
      <c r="EZ95" s="485">
        <f t="shared" si="93"/>
      </c>
      <c r="FA95" s="485"/>
      <c r="FH95" s="105"/>
      <c r="FL95" s="111"/>
      <c r="FM95" s="111"/>
    </row>
    <row r="96" spans="1:169">
      <c r="A96" s="106" t="s">
        <v>411</v>
      </c>
      <c r="B96" s="426"/>
      <c r="C96" s="426"/>
      <c r="D96" s="426"/>
      <c r="E96" s="426"/>
      <c r="F96" s="426"/>
      <c r="G96" s="426"/>
      <c r="H96" s="426"/>
      <c r="I96" s="426"/>
      <c r="J96" s="426"/>
      <c r="K96" s="483"/>
      <c r="L96" s="484">
        <v>0</v>
      </c>
      <c r="M96" s="484">
        <v>0</v>
      </c>
      <c r="N96" s="484">
        <v>0</v>
      </c>
      <c r="O96" s="484">
        <v>0</v>
      </c>
      <c r="P96" s="485">
        <f>O96</f>
      </c>
      <c r="Q96" s="484">
        <v>0</v>
      </c>
      <c r="R96" s="484">
        <v>0</v>
      </c>
      <c r="S96" s="484">
        <v>300</v>
      </c>
      <c r="T96" s="484">
        <v>300</v>
      </c>
      <c r="U96" s="485">
        <f>T96</f>
      </c>
      <c r="V96" s="484">
        <v>300</v>
      </c>
      <c r="W96" s="484">
        <v>300</v>
      </c>
      <c r="X96" s="484">
        <v>300</v>
      </c>
      <c r="Y96" s="484">
        <v>300</v>
      </c>
      <c r="Z96" s="485">
        <f>Y96</f>
      </c>
      <c r="AA96" s="484">
        <v>300</v>
      </c>
      <c r="AB96" s="484">
        <v>300</v>
      </c>
      <c r="AC96" s="484">
        <v>300</v>
      </c>
      <c r="AD96" s="484">
        <v>300</v>
      </c>
      <c r="AE96" s="485">
        <f>AD96</f>
      </c>
      <c r="AF96" s="484">
        <v>300</v>
      </c>
      <c r="AG96" s="484">
        <v>300</v>
      </c>
      <c r="AH96" s="484">
        <v>0</v>
      </c>
      <c r="AI96" s="484">
        <v>0</v>
      </c>
      <c r="AJ96" s="485">
        <f>AI96</f>
      </c>
      <c r="AK96" s="484">
        <v>0</v>
      </c>
      <c r="AL96" s="484">
        <v>0</v>
      </c>
      <c r="AM96" s="484">
        <v>0</v>
      </c>
      <c r="AN96" s="484">
        <v>0</v>
      </c>
      <c r="AO96" s="485">
        <f>AN96</f>
      </c>
      <c r="AP96" s="484">
        <v>0</v>
      </c>
      <c r="AQ96" s="481">
        <v>0</v>
      </c>
      <c r="AR96" s="481">
        <v>0</v>
      </c>
      <c r="AS96" s="481">
        <v>0</v>
      </c>
      <c r="AT96" s="485">
        <f>AS96</f>
      </c>
      <c r="AU96" s="481">
        <v>0</v>
      </c>
      <c r="AV96" s="481">
        <f t="shared" si="83"/>
      </c>
      <c r="AW96" s="481">
        <f t="shared" si="83"/>
      </c>
      <c r="AX96" s="481">
        <f t="shared" si="83"/>
      </c>
      <c r="AY96" s="485">
        <f t="shared" si="83"/>
      </c>
      <c r="AZ96" s="481">
        <f>AX96</f>
      </c>
      <c r="BA96" s="481">
        <f t="shared" si="83"/>
      </c>
      <c r="BB96" s="481">
        <f t="shared" si="83"/>
      </c>
      <c r="BC96" s="481">
        <f t="shared" si="83"/>
      </c>
      <c r="BD96" s="485">
        <f t="shared" si="83"/>
      </c>
      <c r="BE96" s="481">
        <f>BC96</f>
      </c>
      <c r="BF96" s="481">
        <f t="shared" si="84"/>
      </c>
      <c r="BG96" s="481">
        <f t="shared" si="84"/>
      </c>
      <c r="BH96" s="481">
        <f t="shared" si="84"/>
      </c>
      <c r="BI96" s="485">
        <f t="shared" si="84"/>
      </c>
      <c r="BJ96" s="481">
        <f>BH96</f>
      </c>
      <c r="BK96" s="481">
        <f t="shared" si="85"/>
      </c>
      <c r="BL96" s="481">
        <f t="shared" si="85"/>
      </c>
      <c r="BM96" s="481">
        <f t="shared" si="85"/>
      </c>
      <c r="BN96" s="485">
        <f t="shared" si="85"/>
      </c>
      <c r="BO96" s="481">
        <f>BM96</f>
      </c>
      <c r="BP96" s="481">
        <f t="shared" si="85"/>
      </c>
      <c r="BQ96" s="481">
        <f t="shared" si="85"/>
      </c>
      <c r="BR96" s="481">
        <f t="shared" si="85"/>
      </c>
      <c r="BS96" s="485">
        <f t="shared" si="85"/>
      </c>
      <c r="BT96" s="481">
        <f>BR96</f>
      </c>
      <c r="BU96" s="481">
        <f t="shared" si="85"/>
      </c>
      <c r="BV96" s="481">
        <f t="shared" si="85"/>
      </c>
      <c r="BW96" s="481">
        <f t="shared" si="85"/>
      </c>
      <c r="BX96" s="485">
        <f t="shared" si="85"/>
      </c>
      <c r="BY96" s="481">
        <f>BW96</f>
      </c>
      <c r="BZ96" s="481">
        <f t="shared" si="85"/>
      </c>
      <c r="CA96" s="481">
        <f t="shared" si="86"/>
      </c>
      <c r="CB96" s="481">
        <f t="shared" si="86"/>
      </c>
      <c r="CC96" s="485">
        <f t="shared" si="86"/>
      </c>
      <c r="CD96" s="481">
        <f>CB96</f>
      </c>
      <c r="CE96" s="481">
        <f t="shared" si="87"/>
      </c>
      <c r="CF96" s="481">
        <f t="shared" si="87"/>
      </c>
      <c r="CG96" s="481">
        <v>1356.375</v>
      </c>
      <c r="CH96" s="485">
        <f>CG96</f>
      </c>
      <c r="CI96" s="481">
        <v>1363.2760000000001</v>
      </c>
      <c r="CJ96" s="481">
        <v>1370.249</v>
      </c>
      <c r="CK96" s="481">
        <v>1377.259</v>
      </c>
      <c r="CL96" s="481">
        <v>1384.3420000000001</v>
      </c>
      <c r="CM96" s="485">
        <f>CL96</f>
      </c>
      <c r="CN96" s="481">
        <v>1391</v>
      </c>
      <c r="CO96" s="481">
        <v>1399</v>
      </c>
      <c r="CP96" s="481">
        <v>1406</v>
      </c>
      <c r="CQ96" s="481">
        <f>1413+87</f>
      </c>
      <c r="CR96" s="485">
        <f>CQ96</f>
      </c>
      <c r="CS96" s="481">
        <f>1421+79</f>
      </c>
      <c r="CT96" s="481">
        <f>1428+72</f>
      </c>
      <c r="CU96" s="481">
        <f>1011+45</f>
      </c>
      <c r="CV96" s="481">
        <f>796+31</f>
      </c>
      <c r="CW96" s="485">
        <f>CV96</f>
      </c>
      <c r="CX96" s="481">
        <f>215+7</f>
      </c>
      <c r="CY96" s="481">
        <f>84+2</f>
      </c>
      <c r="CZ96" s="481">
        <v>23</v>
      </c>
      <c r="DA96" s="481">
        <v>0</v>
      </c>
      <c r="DB96" s="485">
        <f>DA96</f>
      </c>
      <c r="DC96" s="481">
        <v>0</v>
      </c>
      <c r="DD96" s="481">
        <v>0</v>
      </c>
      <c r="DE96" s="481">
        <v>0</v>
      </c>
      <c r="DF96" s="481">
        <v>0</v>
      </c>
      <c r="DG96" s="485">
        <f>DF96</f>
      </c>
      <c r="DH96" s="481">
        <f>DF96</f>
      </c>
      <c r="DI96" s="481">
        <v>0</v>
      </c>
      <c r="DJ96" s="481">
        <f t="shared" si="88"/>
      </c>
      <c r="DK96" s="481">
        <f t="shared" si="88"/>
      </c>
      <c r="DL96" s="485">
        <f t="shared" si="88"/>
      </c>
      <c r="DM96" s="481">
        <f>DK96</f>
      </c>
      <c r="DN96" s="481">
        <f t="shared" si="89"/>
      </c>
      <c r="DO96" s="481">
        <f t="shared" si="89"/>
      </c>
      <c r="DP96" s="481">
        <f t="shared" si="89"/>
      </c>
      <c r="DQ96" s="485">
        <f t="shared" si="89"/>
      </c>
      <c r="DR96" s="481">
        <f>DP96</f>
      </c>
      <c r="DS96" s="481">
        <f t="shared" si="89"/>
      </c>
      <c r="DT96" s="481">
        <f t="shared" si="89"/>
      </c>
      <c r="DU96" s="481">
        <f t="shared" si="89"/>
      </c>
      <c r="DV96" s="485">
        <f>DU96</f>
      </c>
      <c r="DW96" s="481">
        <f>DU96</f>
      </c>
      <c r="DX96" s="481">
        <f t="shared" si="90"/>
      </c>
      <c r="DY96" s="481">
        <f t="shared" si="90"/>
      </c>
      <c r="DZ96" s="481">
        <f t="shared" si="90"/>
      </c>
      <c r="EA96" s="485">
        <f>DZ96</f>
      </c>
      <c r="EB96" s="481">
        <f t="shared" si="90"/>
      </c>
      <c r="EC96" s="481">
        <f t="shared" si="90"/>
      </c>
      <c r="ED96" s="481">
        <f t="shared" si="90"/>
      </c>
      <c r="EE96" s="481">
        <f t="shared" si="90"/>
      </c>
      <c r="EF96" s="485">
        <f>EE96</f>
      </c>
      <c r="EG96" s="481">
        <f t="shared" si="90"/>
      </c>
      <c r="EH96" s="481">
        <f t="shared" si="90"/>
      </c>
      <c r="EI96" s="481">
        <f t="shared" si="90"/>
      </c>
      <c r="EJ96" s="481">
        <f t="shared" si="90"/>
      </c>
      <c r="EK96" s="485">
        <f>EJ96</f>
      </c>
      <c r="EL96" s="481">
        <f t="shared" si="90"/>
      </c>
      <c r="EM96" s="481">
        <f t="shared" si="90"/>
      </c>
      <c r="EN96" s="481">
        <f t="shared" si="91"/>
      </c>
      <c r="EO96" s="481">
        <f t="shared" si="91"/>
      </c>
      <c r="EP96" s="485">
        <f t="shared" si="91"/>
      </c>
      <c r="EQ96" s="481">
        <f>EO96</f>
      </c>
      <c r="ER96" s="481">
        <f t="shared" si="92"/>
      </c>
      <c r="ES96" s="481">
        <f t="shared" si="92"/>
      </c>
      <c r="ET96" s="481">
        <f t="shared" si="92"/>
      </c>
      <c r="EU96" s="485">
        <f t="shared" si="92"/>
      </c>
      <c r="EV96" s="481">
        <f>ET96</f>
      </c>
      <c r="EW96" s="481">
        <f t="shared" si="93"/>
      </c>
      <c r="EX96" s="481">
        <f t="shared" si="93"/>
      </c>
      <c r="EY96" s="481">
        <f t="shared" si="93"/>
      </c>
      <c r="EZ96" s="485">
        <f t="shared" si="93"/>
      </c>
      <c r="FA96" s="485"/>
      <c r="FB96" s="461"/>
      <c r="FH96" s="132"/>
      <c r="FL96" s="111"/>
      <c r="FM96" s="111"/>
    </row>
    <row r="97" spans="1:169">
      <c r="A97" s="106" t="s">
        <v>412</v>
      </c>
      <c r="B97" s="426"/>
      <c r="C97" s="426"/>
      <c r="D97" s="426"/>
      <c r="E97" s="426"/>
      <c r="F97" s="426"/>
      <c r="G97" s="426"/>
      <c r="H97" s="426"/>
      <c r="I97" s="426"/>
      <c r="J97" s="426"/>
      <c r="K97" s="483"/>
      <c r="L97" s="484">
        <v>0</v>
      </c>
      <c r="M97" s="484">
        <v>6</v>
      </c>
      <c r="N97" s="484">
        <v>5.75</v>
      </c>
      <c r="O97" s="484">
        <v>0.5</v>
      </c>
      <c r="P97" s="485">
        <f>O97</f>
      </c>
      <c r="Q97" s="484">
        <v>0.25</v>
      </c>
      <c r="R97" s="484">
        <v>0</v>
      </c>
      <c r="S97" s="484">
        <v>0</v>
      </c>
      <c r="T97" s="484">
        <v>0</v>
      </c>
      <c r="U97" s="485">
        <f>T97</f>
      </c>
      <c r="V97" s="484">
        <v>0</v>
      </c>
      <c r="W97" s="484">
        <v>0</v>
      </c>
      <c r="X97" s="484">
        <v>0</v>
      </c>
      <c r="Y97" s="484">
        <v>0</v>
      </c>
      <c r="Z97" s="485">
        <f>Y97</f>
      </c>
      <c r="AA97" s="484">
        <v>0</v>
      </c>
      <c r="AB97" s="484">
        <v>0</v>
      </c>
      <c r="AC97" s="484">
        <v>0</v>
      </c>
      <c r="AD97" s="484">
        <v>0</v>
      </c>
      <c r="AE97" s="485">
        <f>AD97</f>
      </c>
      <c r="AF97" s="484">
        <v>6</v>
      </c>
      <c r="AG97" s="484">
        <v>4.5</v>
      </c>
      <c r="AH97" s="484">
        <f>4.582</f>
      </c>
      <c r="AI97" s="484">
        <v>4.5819999999999999</v>
      </c>
      <c r="AJ97" s="485">
        <f>AI97</f>
      </c>
      <c r="AK97" s="484">
        <v>4.5819999999999999</v>
      </c>
      <c r="AL97" s="484">
        <v>3.0819999999999999</v>
      </c>
      <c r="AM97" s="484">
        <v>7.4829999999999997</v>
      </c>
      <c r="AN97" s="484">
        <v>8.3580000000000005</v>
      </c>
      <c r="AO97" s="485">
        <f>AN97</f>
      </c>
      <c r="AP97" s="484">
        <v>8.2330000000000005</v>
      </c>
      <c r="AQ97" s="481">
        <v>6.7329999999999997</v>
      </c>
      <c r="AR97" s="481">
        <v>8.1460000000000008</v>
      </c>
      <c r="AS97" s="481">
        <v>10.624000000000001</v>
      </c>
      <c r="AT97" s="485">
        <f>AS97</f>
      </c>
      <c r="AU97" s="481">
        <v>0</v>
      </c>
      <c r="AV97" s="481">
        <v>0</v>
      </c>
      <c r="AW97" s="481">
        <v>0</v>
      </c>
      <c r="AX97" s="481">
        <f t="shared" si="83"/>
      </c>
      <c r="AY97" s="485">
        <f t="shared" si="83"/>
      </c>
      <c r="AZ97" s="481">
        <f>AX97</f>
      </c>
      <c r="BA97" s="481">
        <f t="shared" si="83"/>
      </c>
      <c r="BB97" s="481">
        <f t="shared" si="83"/>
      </c>
      <c r="BC97" s="481">
        <f t="shared" si="83"/>
      </c>
      <c r="BD97" s="485">
        <f t="shared" si="83"/>
      </c>
      <c r="BE97" s="481">
        <f>BC97</f>
      </c>
      <c r="BF97" s="481">
        <f t="shared" si="84"/>
      </c>
      <c r="BG97" s="481">
        <f t="shared" si="84"/>
      </c>
      <c r="BH97" s="481">
        <f t="shared" si="84"/>
      </c>
      <c r="BI97" s="485">
        <f t="shared" si="84"/>
      </c>
      <c r="BJ97" s="481">
        <f>BH97</f>
      </c>
      <c r="BK97" s="481">
        <f t="shared" si="85"/>
      </c>
      <c r="BL97" s="481">
        <f t="shared" si="85"/>
      </c>
      <c r="BM97" s="481">
        <f t="shared" si="85"/>
      </c>
      <c r="BN97" s="485">
        <f t="shared" si="85"/>
      </c>
      <c r="BO97" s="481">
        <f>BM97</f>
      </c>
      <c r="BP97" s="481">
        <f t="shared" si="85"/>
      </c>
      <c r="BQ97" s="481">
        <f t="shared" si="85"/>
      </c>
      <c r="BR97" s="481">
        <f t="shared" si="85"/>
      </c>
      <c r="BS97" s="485">
        <f t="shared" si="85"/>
      </c>
      <c r="BT97" s="481">
        <f>BR97</f>
      </c>
      <c r="BU97" s="481">
        <f t="shared" si="85"/>
      </c>
      <c r="BV97" s="481">
        <f t="shared" si="85"/>
      </c>
      <c r="BW97" s="481">
        <f t="shared" si="85"/>
      </c>
      <c r="BX97" s="485">
        <f t="shared" si="85"/>
      </c>
      <c r="BY97" s="481">
        <f>BW97</f>
      </c>
      <c r="BZ97" s="481">
        <f t="shared" si="85"/>
      </c>
      <c r="CA97" s="481">
        <f t="shared" si="86"/>
      </c>
      <c r="CB97" s="481">
        <f t="shared" si="86"/>
      </c>
      <c r="CC97" s="485">
        <f t="shared" si="86"/>
      </c>
      <c r="CD97" s="481">
        <f>CB97</f>
      </c>
      <c r="CE97" s="481">
        <f t="shared" si="87"/>
      </c>
      <c r="CF97" s="481">
        <f t="shared" si="87"/>
      </c>
      <c r="CG97" s="481">
        <f>CF97</f>
      </c>
      <c r="CH97" s="485">
        <f>CG97</f>
      </c>
      <c r="CI97" s="481">
        <f>CG97</f>
      </c>
      <c r="CJ97" s="481">
        <f>CI97</f>
      </c>
      <c r="CK97" s="481">
        <f>CJ97</f>
      </c>
      <c r="CL97" s="481">
        <f>CK97</f>
      </c>
      <c r="CM97" s="485">
        <f>CL97</f>
      </c>
      <c r="CN97" s="481">
        <f>CL97</f>
      </c>
      <c r="CO97" s="481">
        <f>CN97</f>
      </c>
      <c r="CP97" s="481">
        <f>CO97</f>
      </c>
      <c r="CQ97" s="481">
        <f>CP97</f>
      </c>
      <c r="CR97" s="485">
        <f>CQ97</f>
      </c>
      <c r="CS97" s="481">
        <f>CQ97</f>
      </c>
      <c r="CT97" s="481">
        <f>CS97</f>
      </c>
      <c r="CU97" s="481">
        <v>1982</v>
      </c>
      <c r="CV97" s="481">
        <v>1983</v>
      </c>
      <c r="CW97" s="485">
        <f>CV97</f>
      </c>
      <c r="CX97" s="481">
        <f>1984</f>
      </c>
      <c r="CY97" s="481">
        <v>1984</v>
      </c>
      <c r="CZ97" s="481">
        <v>1985</v>
      </c>
      <c r="DA97" s="481">
        <v>1985</v>
      </c>
      <c r="DB97" s="485">
        <f>DA97</f>
      </c>
      <c r="DC97" s="481">
        <v>1986</v>
      </c>
      <c r="DD97" s="481">
        <v>1987</v>
      </c>
      <c r="DE97" s="481">
        <v>1987</v>
      </c>
      <c r="DF97" s="481">
        <v>1988</v>
      </c>
      <c r="DG97" s="485">
        <f>DF97</f>
      </c>
      <c r="DH97" s="481">
        <v>1988</v>
      </c>
      <c r="DI97" s="481">
        <v>1989</v>
      </c>
      <c r="DJ97" s="481">
        <v>1990</v>
      </c>
      <c r="DK97" s="481">
        <v>1991</v>
      </c>
      <c r="DL97" s="485">
        <f t="shared" si="88"/>
      </c>
      <c r="DM97" s="481">
        <v>6959</v>
      </c>
      <c r="DN97" s="481">
        <v>6960</v>
      </c>
      <c r="DO97" s="481">
        <v>5963</v>
      </c>
      <c r="DP97" s="481">
        <v>5964</v>
      </c>
      <c r="DQ97" s="485">
        <f t="shared" si="89"/>
      </c>
      <c r="DR97" s="481">
        <v>5964</v>
      </c>
      <c r="DS97" s="481">
        <v>10943</v>
      </c>
      <c r="DT97" s="481">
        <v>10944</v>
      </c>
      <c r="DU97" s="481">
        <v>10946</v>
      </c>
      <c r="DV97" s="485">
        <f>DU97</f>
      </c>
      <c r="DW97" s="481">
        <v>10947</v>
      </c>
      <c r="DX97" s="481">
        <v>9700</v>
      </c>
      <c r="DY97" s="481">
        <v>9701</v>
      </c>
      <c r="DZ97" s="481">
        <v>9703</v>
      </c>
      <c r="EA97" s="485">
        <f>DZ97</f>
      </c>
      <c r="EB97" s="481">
        <v>9704</v>
      </c>
      <c r="EC97" s="481">
        <v>8456</v>
      </c>
      <c r="ED97" s="481">
        <v>8457</v>
      </c>
      <c r="EE97" s="481">
        <v>8459</v>
      </c>
      <c r="EF97" s="485">
        <f>EE97</f>
      </c>
      <c r="EG97" s="481">
        <v>8460</v>
      </c>
      <c r="EH97" s="481">
        <v>8461</v>
      </c>
      <c r="EI97" s="481">
        <v>8462</v>
      </c>
      <c r="EJ97" s="481">
        <v>8463</v>
      </c>
      <c r="EK97" s="485">
        <f>EJ97</f>
      </c>
      <c r="EL97" s="481">
        <v>8464</v>
      </c>
      <c r="EM97" s="481">
        <v>8466</v>
      </c>
      <c r="EN97" s="481">
        <f t="shared" si="91"/>
      </c>
      <c r="EO97" s="481">
        <f t="shared" si="91"/>
      </c>
      <c r="EP97" s="485">
        <f t="shared" si="91"/>
      </c>
      <c r="EQ97" s="481">
        <f>EO97</f>
      </c>
      <c r="ER97" s="481">
        <f t="shared" si="92"/>
      </c>
      <c r="ES97" s="481">
        <f t="shared" si="92"/>
      </c>
      <c r="ET97" s="481">
        <f t="shared" si="92"/>
      </c>
      <c r="EU97" s="485">
        <f t="shared" si="92"/>
      </c>
      <c r="EV97" s="481">
        <f>ET97</f>
      </c>
      <c r="EW97" s="481">
        <f t="shared" si="93"/>
      </c>
      <c r="EX97" s="481">
        <f t="shared" si="93"/>
      </c>
      <c r="EY97" s="481">
        <f t="shared" si="93"/>
      </c>
      <c r="EZ97" s="485">
        <f t="shared" si="93"/>
      </c>
      <c r="FA97" s="485"/>
      <c r="FB97" s="480"/>
      <c r="FH97" s="105"/>
      <c r="FL97" s="111"/>
      <c r="FM97" s="111"/>
    </row>
    <row r="98" spans="1:169">
      <c r="A98" s="106" t="s">
        <v>413</v>
      </c>
      <c r="B98" s="426"/>
      <c r="C98" s="426"/>
      <c r="D98" s="426"/>
      <c r="E98" s="426"/>
      <c r="F98" s="426"/>
      <c r="G98" s="426"/>
      <c r="H98" s="426"/>
      <c r="I98" s="426"/>
      <c r="J98" s="426"/>
      <c r="K98" s="483"/>
      <c r="L98" s="484">
        <v>0</v>
      </c>
      <c r="M98" s="484">
        <v>0</v>
      </c>
      <c r="N98" s="484">
        <v>0</v>
      </c>
      <c r="O98" s="484">
        <v>0</v>
      </c>
      <c r="P98" s="485">
        <f>O98</f>
      </c>
      <c r="Q98" s="484">
        <v>200</v>
      </c>
      <c r="R98" s="484">
        <v>200</v>
      </c>
      <c r="S98" s="484">
        <v>200</v>
      </c>
      <c r="T98" s="484">
        <v>200</v>
      </c>
      <c r="U98" s="485">
        <f>T98</f>
      </c>
      <c r="V98" s="484">
        <v>200</v>
      </c>
      <c r="W98" s="484">
        <v>197.864</v>
      </c>
      <c r="X98" s="484">
        <v>143.18100000000001</v>
      </c>
      <c r="Y98" s="484">
        <v>70.192999999999998</v>
      </c>
      <c r="Z98" s="485">
        <f>Y98</f>
      </c>
      <c r="AA98" s="484">
        <v>49.369</v>
      </c>
      <c r="AB98" s="484">
        <v>62.42</v>
      </c>
      <c r="AC98" s="484">
        <v>63.494999999999997</v>
      </c>
      <c r="AD98" s="484">
        <v>0</v>
      </c>
      <c r="AE98" s="485">
        <f>AD98</f>
      </c>
      <c r="AF98" s="484">
        <v>0</v>
      </c>
      <c r="AG98" s="484">
        <v>0</v>
      </c>
      <c r="AH98" s="484">
        <v>6.38</v>
      </c>
      <c r="AI98" s="484">
        <v>8.609</v>
      </c>
      <c r="AJ98" s="485">
        <f>AI98</f>
      </c>
      <c r="AK98" s="484">
        <v>8.609</v>
      </c>
      <c r="AL98" s="484">
        <v>8.609</v>
      </c>
      <c r="AM98" s="484">
        <f>8.609</f>
      </c>
      <c r="AN98" s="484">
        <f>20.754</f>
      </c>
      <c r="AO98" s="485">
        <f>AN98</f>
      </c>
      <c r="AP98" s="484">
        <f>20.754</f>
      </c>
      <c r="AQ98" s="481">
        <f>20.754</f>
      </c>
      <c r="AR98" s="481">
        <v>20.754000000000001</v>
      </c>
      <c r="AS98" s="481">
        <v>8.26</v>
      </c>
      <c r="AT98" s="485">
        <f>AS98</f>
      </c>
      <c r="AU98" s="481">
        <v>17.681999999999999</v>
      </c>
      <c r="AV98" s="481">
        <v>24.236999999999998</v>
      </c>
      <c r="AW98" s="481">
        <f>27.667+0.34</f>
      </c>
      <c r="AX98" s="481">
        <v>29.536999999999999</v>
      </c>
      <c r="AY98" s="485">
        <f t="shared" si="83"/>
      </c>
      <c r="AZ98" s="481">
        <v>81.106999999999999</v>
      </c>
      <c r="BA98" s="481">
        <v>95.191000000000003</v>
      </c>
      <c r="BB98" s="481">
        <v>140.89500000000001</v>
      </c>
      <c r="BC98" s="481">
        <v>162.59800000000001</v>
      </c>
      <c r="BD98" s="485">
        <f t="shared" si="83"/>
      </c>
      <c r="BE98" s="481">
        <v>193.72800000000001</v>
      </c>
      <c r="BF98" s="481">
        <v>162.11799999999999</v>
      </c>
      <c r="BG98" s="481">
        <v>157.358</v>
      </c>
      <c r="BH98" s="481">
        <f>151.85+25.634</f>
      </c>
      <c r="BI98" s="485">
        <f t="shared" si="84"/>
      </c>
      <c r="BJ98" s="481">
        <f>132.305+25.351</f>
      </c>
      <c r="BK98" s="481">
        <f>134.619+25.06</f>
      </c>
      <c r="BL98" s="481">
        <f>126.373+24.76</f>
      </c>
      <c r="BM98" s="481">
        <f>111.95+24.45</f>
      </c>
      <c r="BN98" s="485">
        <f t="shared" si="86"/>
      </c>
      <c r="BO98" s="481">
        <f>152.994+24.098</f>
      </c>
      <c r="BP98" s="481">
        <f>127.881+23.734</f>
      </c>
      <c r="BQ98" s="481">
        <f>177.851+23.359</f>
      </c>
      <c r="BR98" s="481">
        <f>347.713+23.389</f>
      </c>
      <c r="BS98" s="485">
        <f t="shared" si="86"/>
      </c>
      <c r="BT98" s="481">
        <f>284.813+22.957</f>
      </c>
      <c r="BU98" s="481">
        <f>241.353+22.493</f>
      </c>
      <c r="BV98" s="481">
        <f>206.96+21.949</f>
      </c>
      <c r="BW98" s="481">
        <f>455.807+21.439</f>
      </c>
      <c r="BX98" s="485">
        <f t="shared" si="86"/>
      </c>
      <c r="BY98" s="481">
        <f>452.505+20.83</f>
      </c>
      <c r="BZ98" s="481">
        <f>396.019+20.237</f>
      </c>
      <c r="CA98" s="481">
        <f>341.312+19.627</f>
      </c>
      <c r="CB98" s="481">
        <f>589.321+18.998</f>
      </c>
      <c r="CC98" s="485">
        <f>CB98</f>
      </c>
      <c r="CD98" s="481">
        <f>511.433+18.333</f>
      </c>
      <c r="CE98" s="481">
        <f>443.943+17.685</f>
      </c>
      <c r="CF98" s="481">
        <f>387.784+17.015</f>
      </c>
      <c r="CG98" s="481">
        <f>475.125+17.5</f>
      </c>
      <c r="CH98" s="485">
        <f>CG98</f>
      </c>
      <c r="CI98" s="481">
        <f>419.774+16.683</f>
      </c>
      <c r="CJ98" s="481">
        <f>374.113+15.842</f>
      </c>
      <c r="CK98" s="481">
        <f>355.133+14.977</f>
      </c>
      <c r="CL98" s="481">
        <f>488.928+14.086</f>
      </c>
      <c r="CM98" s="485">
        <f>CL98</f>
      </c>
      <c r="CN98" s="481">
        <f>448+13</f>
      </c>
      <c r="CO98" s="481">
        <f>447+12</f>
      </c>
      <c r="CP98" s="481">
        <f>437+11</f>
      </c>
      <c r="CQ98" s="481">
        <f>453+10</f>
      </c>
      <c r="CR98" s="485">
        <f>CQ98</f>
      </c>
      <c r="CS98" s="481">
        <f>447+9</f>
      </c>
      <c r="CT98" s="481">
        <f>494+8</f>
      </c>
      <c r="CU98" s="481">
        <f>213+7</f>
      </c>
      <c r="CV98" s="481">
        <f>271+6</f>
      </c>
      <c r="CW98" s="485">
        <f>CV98</f>
      </c>
      <c r="CX98" s="481">
        <f>300+4</f>
      </c>
      <c r="CY98" s="481">
        <f>408+3</f>
      </c>
      <c r="CZ98" s="481">
        <f>464+1</f>
      </c>
      <c r="DA98" s="481">
        <v>632</v>
      </c>
      <c r="DB98" s="485">
        <f>DA98</f>
      </c>
      <c r="DC98" s="481">
        <v>651</v>
      </c>
      <c r="DD98" s="481">
        <v>638</v>
      </c>
      <c r="DE98" s="481">
        <v>587</v>
      </c>
      <c r="DF98" s="481">
        <v>633</v>
      </c>
      <c r="DG98" s="485">
        <f>DF98</f>
      </c>
      <c r="DH98" s="481">
        <f>486+660</f>
      </c>
      <c r="DI98" s="481">
        <f>483+650</f>
      </c>
      <c r="DJ98" s="481">
        <f>469+662</f>
      </c>
      <c r="DK98" s="481">
        <f>561+775</f>
      </c>
      <c r="DL98" s="485">
        <f t="shared" si="88"/>
      </c>
      <c r="DM98" s="481">
        <f>519+774</f>
      </c>
      <c r="DN98" s="481">
        <f>611+1285</f>
      </c>
      <c r="DO98" s="481">
        <f>604+1311</f>
      </c>
      <c r="DP98" s="481">
        <f>634+1375</f>
      </c>
      <c r="DQ98" s="485">
        <f t="shared" si="89"/>
      </c>
      <c r="DR98" s="481">
        <f>640+1414</f>
      </c>
      <c r="DS98" s="481">
        <f>716+1396</f>
      </c>
      <c r="DT98" s="481">
        <f>743+1535</f>
      </c>
      <c r="DU98" s="481">
        <f>741+1553</f>
      </c>
      <c r="DV98" s="485">
        <f>DU98</f>
      </c>
      <c r="DW98" s="481">
        <f>752+1631</f>
      </c>
      <c r="DX98" s="481">
        <f>743+1609</f>
      </c>
      <c r="DY98" s="481">
        <f>798+1785</f>
      </c>
      <c r="DZ98" s="481">
        <f>902+1913</f>
      </c>
      <c r="EA98" s="485">
        <f>DZ98</f>
      </c>
      <c r="EB98" s="481">
        <f>939+2037</f>
      </c>
      <c r="EC98" s="481">
        <f>1041+2223</f>
      </c>
      <c r="ED98" s="481">
        <f>1091+2234</f>
      </c>
      <c r="EE98" s="481">
        <f>1119+2541</f>
      </c>
      <c r="EF98" s="485">
        <f>EE98</f>
      </c>
      <c r="EG98" s="481">
        <f>1281+2966</f>
      </c>
      <c r="EH98" s="481">
        <f>1304+3336</f>
      </c>
      <c r="EI98" s="481">
        <f>1490+3683</f>
      </c>
      <c r="EJ98" s="481">
        <f>1519+4245</f>
      </c>
      <c r="EK98" s="485">
        <f>EJ98</f>
      </c>
      <c r="EL98" s="481">
        <f>1521+4884</f>
      </c>
      <c r="EM98" s="481">
        <f>1831+6055</f>
      </c>
      <c r="EN98" s="481">
        <f t="shared" si="91"/>
      </c>
      <c r="EO98" s="481">
        <f t="shared" si="91"/>
      </c>
      <c r="EP98" s="485">
        <f t="shared" si="91"/>
      </c>
      <c r="EQ98" s="481">
        <f>EO98</f>
      </c>
      <c r="ER98" s="481">
        <f t="shared" si="92"/>
      </c>
      <c r="ES98" s="481">
        <f t="shared" si="92"/>
      </c>
      <c r="ET98" s="481">
        <f t="shared" si="92"/>
      </c>
      <c r="EU98" s="485">
        <f t="shared" si="92"/>
      </c>
      <c r="EV98" s="481">
        <f>ET98</f>
      </c>
      <c r="EW98" s="481">
        <f t="shared" si="93"/>
      </c>
      <c r="EX98" s="481">
        <f t="shared" si="93"/>
      </c>
      <c r="EY98" s="481">
        <f t="shared" si="93"/>
      </c>
      <c r="EZ98" s="485">
        <f t="shared" si="93"/>
      </c>
      <c r="FA98" s="485"/>
      <c r="FH98" s="132"/>
      <c r="FL98" s="111"/>
      <c r="FM98" s="111"/>
    </row>
    <row r="99" spans="1:169">
      <c r="B99" s="426"/>
      <c r="C99" s="426"/>
      <c r="D99" s="426"/>
      <c r="E99" s="426"/>
      <c r="F99" s="426"/>
      <c r="G99" s="426"/>
      <c r="H99" s="426"/>
      <c r="I99" s="426"/>
      <c r="J99" s="426"/>
      <c r="K99" s="133"/>
      <c r="L99" s="484"/>
      <c r="M99" s="484"/>
      <c r="N99" s="484"/>
      <c r="O99" s="484"/>
      <c r="P99" s="481"/>
      <c r="Q99" s="484"/>
      <c r="R99" s="484"/>
      <c r="S99" s="484"/>
      <c r="T99" s="484"/>
      <c r="U99" s="481"/>
      <c r="V99" s="484"/>
      <c r="W99" s="484"/>
      <c r="X99" s="484"/>
      <c r="Y99" s="484"/>
      <c r="Z99" s="481"/>
      <c r="AA99" s="484"/>
      <c r="AB99" s="484"/>
      <c r="AC99" s="484"/>
      <c r="AD99" s="484"/>
      <c r="AE99" s="481"/>
      <c r="AF99" s="484"/>
      <c r="AG99" s="484"/>
      <c r="AH99" s="484"/>
      <c r="AI99" s="484"/>
      <c r="AJ99" s="481"/>
      <c r="AK99" s="484"/>
      <c r="AL99" s="484"/>
      <c r="AM99" s="484"/>
      <c r="AN99" s="481"/>
      <c r="AO99" s="481"/>
      <c r="AP99" s="481"/>
      <c r="AQ99" s="481"/>
      <c r="AR99" s="481"/>
      <c r="AS99" s="481"/>
      <c r="AT99" s="481"/>
      <c r="AU99" s="481"/>
      <c r="AV99" s="481"/>
      <c r="AW99" s="481"/>
      <c r="AX99" s="481"/>
      <c r="AY99" s="481"/>
      <c r="AZ99" s="481"/>
      <c r="BA99" s="481"/>
      <c r="BB99" s="481"/>
      <c r="BC99" s="481"/>
      <c r="BD99" s="481"/>
      <c r="BE99" s="481"/>
      <c r="BF99" s="481"/>
      <c r="BG99" s="481"/>
      <c r="BH99" s="481"/>
      <c r="BI99" s="481"/>
      <c r="BJ99" s="481"/>
      <c r="BK99" s="481"/>
      <c r="BL99" s="481"/>
      <c r="BM99" s="481"/>
      <c r="BN99" s="481"/>
      <c r="BO99" s="481"/>
      <c r="BP99" s="481"/>
      <c r="BQ99" s="481"/>
      <c r="BR99" s="481"/>
      <c r="BS99" s="481"/>
      <c r="BT99" s="481"/>
      <c r="BU99" s="481"/>
      <c r="BV99" s="481"/>
      <c r="BW99" s="481"/>
      <c r="BX99" s="481"/>
      <c r="BY99" s="481"/>
      <c r="BZ99" s="481"/>
      <c r="CA99" s="481"/>
      <c r="CB99" s="481"/>
      <c r="CC99" s="481"/>
      <c r="CD99" s="481"/>
      <c r="CE99" s="481"/>
      <c r="CF99" s="481"/>
      <c r="CG99" s="481"/>
      <c r="CH99" s="481"/>
      <c r="CI99" s="481"/>
      <c r="CJ99" s="481"/>
      <c r="CK99" s="481"/>
      <c r="CL99" s="481"/>
      <c r="CM99" s="481"/>
      <c r="CN99" s="481"/>
      <c r="CO99" s="481"/>
      <c r="CP99" s="481"/>
      <c r="CQ99" s="481"/>
      <c r="CR99" s="481"/>
      <c r="CS99" s="481"/>
      <c r="CT99" s="481"/>
      <c r="CU99" s="481"/>
      <c r="CV99" s="481"/>
      <c r="CW99" s="481"/>
      <c r="CX99" s="481"/>
      <c r="CY99" s="481"/>
      <c r="CZ99" s="481"/>
      <c r="DA99" s="481"/>
      <c r="DB99" s="481"/>
      <c r="DC99" s="481"/>
      <c r="DD99" s="481"/>
      <c r="DE99" s="481"/>
      <c r="DF99" s="481"/>
      <c r="DG99" s="481"/>
      <c r="DH99" s="481"/>
      <c r="DI99" s="481"/>
      <c r="DJ99" s="481"/>
      <c r="DK99" s="481"/>
      <c r="DL99" s="481"/>
      <c r="DM99" s="481"/>
      <c r="DN99" s="481"/>
      <c r="DO99" s="481"/>
      <c r="DP99" s="481"/>
      <c r="DQ99" s="481"/>
      <c r="DR99" s="481"/>
      <c r="DS99" s="481"/>
      <c r="DT99" s="481"/>
      <c r="DU99" s="481"/>
      <c r="DV99" s="481"/>
      <c r="DW99" s="481"/>
      <c r="DX99" s="481"/>
      <c r="DY99" s="481"/>
      <c r="DZ99" s="481"/>
      <c r="EA99" s="481"/>
      <c r="EB99" s="481"/>
      <c r="EC99" s="481"/>
      <c r="ED99" s="481"/>
      <c r="EE99" s="481"/>
      <c r="EF99" s="481"/>
      <c r="EG99" s="481"/>
      <c r="EH99" s="481"/>
      <c r="EI99" s="481"/>
      <c r="EJ99" s="481"/>
      <c r="EK99" s="481"/>
      <c r="EL99" s="481"/>
      <c r="EM99" s="481"/>
      <c r="EN99" s="481"/>
      <c r="EO99" s="481"/>
      <c r="EP99" s="481"/>
      <c r="EQ99" s="481"/>
      <c r="ER99" s="481"/>
      <c r="ES99" s="481"/>
      <c r="ET99" s="481"/>
      <c r="EU99" s="481"/>
      <c r="EV99" s="481"/>
      <c r="EW99" s="481"/>
      <c r="EX99" s="481"/>
      <c r="EY99" s="481"/>
      <c r="EZ99" s="481"/>
      <c r="FA99" s="481"/>
      <c r="FH99" s="105"/>
      <c r="FL99" s="111"/>
      <c r="FM99" s="111"/>
    </row>
    <row r="100" spans="1:169" s="105" customFormat="1">
      <c r="A100" s="106" t="s">
        <v>414</v>
      </c>
      <c r="B100" s="426"/>
      <c r="C100" s="426"/>
      <c r="D100" s="426"/>
      <c r="E100" s="426"/>
      <c r="F100" s="426"/>
      <c r="G100" s="426"/>
      <c r="H100" s="426"/>
      <c r="I100" s="426"/>
      <c r="J100" s="426"/>
      <c r="K100" s="461"/>
      <c r="L100" s="484">
        <f t="shared" ref="L100:BE100" si="94">SUM(L93:L98)</f>
      </c>
      <c r="M100" s="484">
        <f t="shared" si="94"/>
      </c>
      <c r="N100" s="484">
        <f t="shared" si="94"/>
      </c>
      <c r="O100" s="484">
        <f t="shared" si="94"/>
      </c>
      <c r="P100" s="485">
        <f>O100</f>
      </c>
      <c r="Q100" s="484">
        <f t="shared" si="94"/>
      </c>
      <c r="R100" s="484">
        <f t="shared" si="94"/>
      </c>
      <c r="S100" s="484">
        <f t="shared" si="94"/>
      </c>
      <c r="T100" s="484">
        <f t="shared" si="94"/>
      </c>
      <c r="U100" s="485">
        <f>T100</f>
      </c>
      <c r="V100" s="484">
        <f t="shared" si="94"/>
      </c>
      <c r="W100" s="484">
        <f t="shared" si="94"/>
      </c>
      <c r="X100" s="484">
        <f t="shared" si="94"/>
      </c>
      <c r="Y100" s="484">
        <f t="shared" si="94"/>
      </c>
      <c r="Z100" s="485">
        <f>Y100</f>
      </c>
      <c r="AA100" s="484">
        <f t="shared" si="94"/>
      </c>
      <c r="AB100" s="484">
        <f t="shared" si="94"/>
      </c>
      <c r="AC100" s="484">
        <f t="shared" si="94"/>
      </c>
      <c r="AD100" s="484">
        <f t="shared" si="94"/>
      </c>
      <c r="AE100" s="485">
        <f>AD100</f>
      </c>
      <c r="AF100" s="484">
        <f t="shared" si="94"/>
      </c>
      <c r="AG100" s="484">
        <f t="shared" si="94"/>
      </c>
      <c r="AH100" s="484">
        <f t="shared" si="94"/>
      </c>
      <c r="AI100" s="484">
        <f t="shared" si="94"/>
      </c>
      <c r="AJ100" s="485">
        <f>AI100</f>
      </c>
      <c r="AK100" s="484">
        <f t="shared" si="94"/>
      </c>
      <c r="AL100" s="484">
        <f t="shared" si="94"/>
      </c>
      <c r="AM100" s="484">
        <f t="shared" si="94"/>
      </c>
      <c r="AN100" s="484">
        <f t="shared" si="94"/>
      </c>
      <c r="AO100" s="485">
        <f>AN100</f>
      </c>
      <c r="AP100" s="484">
        <f t="shared" si="94"/>
      </c>
      <c r="AQ100" s="481">
        <f t="shared" si="94"/>
      </c>
      <c r="AR100" s="481">
        <f t="shared" si="94"/>
      </c>
      <c r="AS100" s="481">
        <f t="shared" si="94"/>
      </c>
      <c r="AT100" s="485">
        <f>AS100</f>
      </c>
      <c r="AU100" s="481">
        <f t="shared" si="94"/>
      </c>
      <c r="AV100" s="481">
        <f t="shared" si="94"/>
      </c>
      <c r="AW100" s="481">
        <f t="shared" si="94"/>
      </c>
      <c r="AX100" s="481">
        <f t="shared" si="94"/>
      </c>
      <c r="AY100" s="485">
        <f>AX100</f>
      </c>
      <c r="AZ100" s="481">
        <f t="shared" si="94"/>
      </c>
      <c r="BA100" s="481">
        <f t="shared" si="94"/>
      </c>
      <c r="BB100" s="481">
        <f>SUM(BB93:BB98)</f>
      </c>
      <c r="BC100" s="481">
        <f>SUM(BC93:BC98)</f>
      </c>
      <c r="BD100" s="485">
        <f>BC100</f>
      </c>
      <c r="BE100" s="481">
        <f t="shared" si="94"/>
      </c>
      <c r="BF100" s="481">
        <f t="shared" ref="BF100:BW100" si="95">SUM(BF93:BF98)</f>
      </c>
      <c r="BG100" s="481">
        <f t="shared" si="95"/>
      </c>
      <c r="BH100" s="481">
        <f t="shared" si="95"/>
      </c>
      <c r="BI100" s="485">
        <f>BH100</f>
      </c>
      <c r="BJ100" s="481">
        <f t="shared" si="95"/>
      </c>
      <c r="BK100" s="481">
        <f t="shared" si="95"/>
      </c>
      <c r="BL100" s="481">
        <f t="shared" si="95"/>
      </c>
      <c r="BM100" s="481">
        <f t="shared" si="95"/>
      </c>
      <c r="BN100" s="485">
        <f>BM100</f>
      </c>
      <c r="BO100" s="481">
        <f t="shared" si="95"/>
      </c>
      <c r="BP100" s="481">
        <f t="shared" si="95"/>
      </c>
      <c r="BQ100" s="481">
        <f t="shared" si="95"/>
      </c>
      <c r="BR100" s="481">
        <f t="shared" si="95"/>
      </c>
      <c r="BS100" s="485">
        <f>BR100</f>
      </c>
      <c r="BT100" s="481">
        <f t="shared" si="95"/>
      </c>
      <c r="BU100" s="481">
        <f t="shared" si="95"/>
      </c>
      <c r="BV100" s="481">
        <f t="shared" si="95"/>
      </c>
      <c r="BW100" s="481">
        <f t="shared" si="95"/>
      </c>
      <c r="BX100" s="485">
        <f>BW100</f>
      </c>
      <c r="BY100" s="481">
        <f>SUM(BY93:BY98)</f>
      </c>
      <c r="BZ100" s="481">
        <f>SUM(BZ93:BZ98)</f>
      </c>
      <c r="CA100" s="481">
        <f>SUM(CA93:CA98)</f>
      </c>
      <c r="CB100" s="481">
        <f>SUM(CB93:CB98)</f>
      </c>
      <c r="CC100" s="485">
        <f>CB100</f>
      </c>
      <c r="CD100" s="481">
        <f>SUM(CD93:CD98)</f>
      </c>
      <c r="CE100" s="481">
        <f>SUM(CE93:CE98)</f>
      </c>
      <c r="CF100" s="481">
        <f>SUM(CF93:CF98)</f>
      </c>
      <c r="CG100" s="481">
        <f>SUM(CG93:CG98)</f>
      </c>
      <c r="CH100" s="485">
        <f>CG100</f>
      </c>
      <c r="CI100" s="481">
        <f>SUM(CI93:CI98)</f>
      </c>
      <c r="CJ100" s="481">
        <f>SUM(CJ93:CJ98)</f>
      </c>
      <c r="CK100" s="481">
        <f>SUM(CK93:CK98)</f>
      </c>
      <c r="CL100" s="481">
        <f>SUM(CL93:CL98)</f>
      </c>
      <c r="CM100" s="485">
        <f>CL100</f>
      </c>
      <c r="CN100" s="481">
        <f>SUM(CN93:CN98)</f>
      </c>
      <c r="CO100" s="481">
        <f>SUM(CO93:CO98)</f>
      </c>
      <c r="CP100" s="481">
        <f>SUM(CP93:CP98)</f>
      </c>
      <c r="CQ100" s="481">
        <f>SUM(CQ93:CQ98)</f>
      </c>
      <c r="CR100" s="485">
        <f>CQ100</f>
      </c>
      <c r="CS100" s="481">
        <f>SUM(CS93:CS98)</f>
      </c>
      <c r="CT100" s="481">
        <f>SUM(CT93:CT98)</f>
      </c>
      <c r="CU100" s="481">
        <f>SUM(CU93:CU98)</f>
      </c>
      <c r="CV100" s="481">
        <f>SUM(CV93:CV98)</f>
      </c>
      <c r="CW100" s="485">
        <f>CV100</f>
      </c>
      <c r="CX100" s="481">
        <f>SUM(CX93:CX98)</f>
      </c>
      <c r="CY100" s="481">
        <f>SUM(CY93:CY98)</f>
      </c>
      <c r="CZ100" s="481">
        <f>SUM(CZ93:CZ98)</f>
      </c>
      <c r="DA100" s="481">
        <f>SUM(DA93:DA98)</f>
      </c>
      <c r="DB100" s="485">
        <f>DA100</f>
      </c>
      <c r="DC100" s="481">
        <f>SUM(DC93:DC98)</f>
      </c>
      <c r="DD100" s="481">
        <f>SUM(DD93:DD98)</f>
      </c>
      <c r="DE100" s="481">
        <f>SUM(DE93:DE98)</f>
      </c>
      <c r="DF100" s="481">
        <f>SUM(DF93:DF98)</f>
      </c>
      <c r="DG100" s="485">
        <f>DF100</f>
      </c>
      <c r="DH100" s="481">
        <f>SUM(DH93:DH98)</f>
      </c>
      <c r="DI100" s="481">
        <f>SUM(DI93:DI98)</f>
      </c>
      <c r="DJ100" s="481">
        <f>SUM(DJ93:DJ98)</f>
      </c>
      <c r="DK100" s="481">
        <f>SUM(DK93:DK98)</f>
      </c>
      <c r="DL100" s="485">
        <f>DK100</f>
      </c>
      <c r="DM100" s="481">
        <f>SUM(DM93:DM98)</f>
      </c>
      <c r="DN100" s="481">
        <f>SUM(DN93:DN98)</f>
      </c>
      <c r="DO100" s="481">
        <f>SUM(DO93:DO98)</f>
      </c>
      <c r="DP100" s="481">
        <f>SUM(DP93:DP98)</f>
      </c>
      <c r="DQ100" s="485">
        <f>DP100</f>
      </c>
      <c r="DR100" s="481">
        <f>SUM(DR93:DR98)</f>
      </c>
      <c r="DS100" s="481">
        <f>SUM(DS93:DS98)</f>
      </c>
      <c r="DT100" s="481">
        <f>SUM(DT93:DT98)</f>
      </c>
      <c r="DU100" s="481">
        <f>SUM(DU93:DU98)</f>
      </c>
      <c r="DV100" s="485">
        <f>DU100</f>
      </c>
      <c r="DW100" s="481">
        <f>SUM(DW93:DW98)</f>
      </c>
      <c r="DX100" s="481">
        <f>SUM(DX93:DX98)</f>
      </c>
      <c r="DY100" s="481">
        <f>SUM(DY93:DY98)</f>
      </c>
      <c r="DZ100" s="481">
        <f>SUM(DZ93:DZ98)</f>
      </c>
      <c r="EA100" s="485">
        <f>DZ100</f>
      </c>
      <c r="EB100" s="481">
        <f>SUM(EB93:EB98)</f>
      </c>
      <c r="EC100" s="481">
        <f>SUM(EC93:EC98)</f>
      </c>
      <c r="ED100" s="481">
        <f>SUM(ED93:ED98)</f>
      </c>
      <c r="EE100" s="481">
        <f>SUM(EE93:EE98)</f>
      </c>
      <c r="EF100" s="485">
        <f>EE100</f>
      </c>
      <c r="EG100" s="481">
        <f>SUM(EG93:EG98)</f>
      </c>
      <c r="EH100" s="481">
        <f>SUM(EH93:EH98)</f>
      </c>
      <c r="EI100" s="481">
        <f>SUM(EI93:EI98)</f>
      </c>
      <c r="EJ100" s="481">
        <f>SUM(EJ93:EJ98)</f>
      </c>
      <c r="EK100" s="485">
        <f>EJ100</f>
      </c>
      <c r="EL100" s="481">
        <f>SUM(EL93:EL98)</f>
      </c>
      <c r="EM100" s="481">
        <f>SUM(EM93:EM98)</f>
      </c>
      <c r="EN100" s="481">
        <f>SUM(EN93:EN98)</f>
      </c>
      <c r="EO100" s="481">
        <f>SUM(EO93:EO98)</f>
      </c>
      <c r="EP100" s="485">
        <f>EO100</f>
      </c>
      <c r="EQ100" s="481">
        <f>SUM(EQ93:EQ98)</f>
      </c>
      <c r="ER100" s="481">
        <f>SUM(ER93:ER98)</f>
      </c>
      <c r="ES100" s="481">
        <f>SUM(ES93:ES98)</f>
      </c>
      <c r="ET100" s="481">
        <f>SUM(ET93:ET98)</f>
      </c>
      <c r="EU100" s="485">
        <f>ET100</f>
      </c>
      <c r="EV100" s="481">
        <f>SUM(EV93:EV98)</f>
      </c>
      <c r="EW100" s="481">
        <f>SUM(EW93:EW98)</f>
      </c>
      <c r="EX100" s="481">
        <f>SUM(EX93:EX98)</f>
      </c>
      <c r="EY100" s="481">
        <f>SUM(EY93:EY98)</f>
      </c>
      <c r="EZ100" s="485">
        <f>EY100</f>
      </c>
      <c r="FA100" s="485"/>
      <c r="FH100" s="132"/>
      <c r="FI100" s="85"/>
      <c r="FL100" s="111"/>
      <c r="FM100" s="111"/>
    </row>
    <row r="101" spans="1:169">
      <c r="B101" s="426"/>
      <c r="C101" s="426"/>
      <c r="D101" s="426"/>
      <c r="E101" s="426"/>
      <c r="F101" s="426"/>
      <c r="G101" s="426"/>
      <c r="H101" s="426"/>
      <c r="I101" s="426"/>
      <c r="J101" s="426"/>
      <c r="K101" s="85"/>
      <c r="L101" s="484"/>
      <c r="M101" s="484"/>
      <c r="N101" s="484"/>
      <c r="O101" s="484"/>
      <c r="P101" s="481"/>
      <c r="Q101" s="484"/>
      <c r="R101" s="484"/>
      <c r="S101" s="484"/>
      <c r="T101" s="484"/>
      <c r="U101" s="481"/>
      <c r="V101" s="484"/>
      <c r="W101" s="484"/>
      <c r="X101" s="484"/>
      <c r="Y101" s="484"/>
      <c r="Z101" s="481"/>
      <c r="AA101" s="484"/>
      <c r="AB101" s="484"/>
      <c r="AC101" s="484"/>
      <c r="AD101" s="484"/>
      <c r="AE101" s="481"/>
      <c r="AF101" s="484"/>
      <c r="AG101" s="484"/>
      <c r="AH101" s="484"/>
      <c r="AI101" s="484"/>
      <c r="AJ101" s="481"/>
      <c r="AK101" s="484"/>
      <c r="AL101" s="484"/>
      <c r="AM101" s="484"/>
      <c r="AN101" s="481"/>
      <c r="AO101" s="481"/>
      <c r="AP101" s="481"/>
      <c r="AQ101" s="481"/>
      <c r="AR101" s="481"/>
      <c r="AS101" s="481"/>
      <c r="AT101" s="481"/>
      <c r="AU101" s="481"/>
      <c r="AV101" s="481"/>
      <c r="AW101" s="481"/>
      <c r="AX101" s="481"/>
      <c r="AY101" s="481"/>
      <c r="AZ101" s="481"/>
      <c r="BA101" s="481"/>
      <c r="BB101" s="481"/>
      <c r="BC101" s="481"/>
      <c r="BD101" s="481"/>
      <c r="BE101" s="481"/>
      <c r="BF101" s="481"/>
      <c r="BG101" s="481"/>
      <c r="BH101" s="481"/>
      <c r="BI101" s="481"/>
      <c r="BJ101" s="481"/>
      <c r="BK101" s="481"/>
      <c r="BL101" s="481"/>
      <c r="BM101" s="481"/>
      <c r="BN101" s="481"/>
      <c r="BO101" s="481"/>
      <c r="BP101" s="481"/>
      <c r="BQ101" s="481"/>
      <c r="BR101" s="481"/>
      <c r="BS101" s="481"/>
      <c r="BT101" s="481"/>
      <c r="BU101" s="481"/>
      <c r="BV101" s="481"/>
      <c r="BW101" s="481"/>
      <c r="BX101" s="481"/>
      <c r="BY101" s="481"/>
      <c r="BZ101" s="481"/>
      <c r="CA101" s="481"/>
      <c r="CB101" s="481"/>
      <c r="CC101" s="481"/>
      <c r="CD101" s="481"/>
      <c r="CE101" s="481"/>
      <c r="CF101" s="481"/>
      <c r="CG101" s="481"/>
      <c r="CH101" s="481"/>
      <c r="CI101" s="481"/>
      <c r="CJ101" s="481"/>
      <c r="CK101" s="481"/>
      <c r="CL101" s="481"/>
      <c r="CM101" s="481"/>
      <c r="CN101" s="481"/>
      <c r="CO101" s="481"/>
      <c r="CP101" s="481"/>
      <c r="CQ101" s="481"/>
      <c r="CR101" s="481"/>
      <c r="CS101" s="481"/>
      <c r="CT101" s="481"/>
      <c r="CU101" s="481"/>
      <c r="CV101" s="481"/>
      <c r="CW101" s="481"/>
      <c r="CX101" s="481"/>
      <c r="CY101" s="481"/>
      <c r="CZ101" s="481"/>
      <c r="DA101" s="481"/>
      <c r="DB101" s="481"/>
      <c r="DC101" s="481"/>
      <c r="DD101" s="481"/>
      <c r="DE101" s="481"/>
      <c r="DF101" s="481"/>
      <c r="DG101" s="481"/>
      <c r="DH101" s="481"/>
      <c r="DI101" s="481"/>
      <c r="DJ101" s="481"/>
      <c r="DK101" s="481"/>
      <c r="DL101" s="481"/>
      <c r="DM101" s="481"/>
      <c r="DN101" s="481"/>
      <c r="DO101" s="481"/>
      <c r="DP101" s="481"/>
      <c r="DQ101" s="481"/>
      <c r="DR101" s="481"/>
      <c r="DS101" s="481"/>
      <c r="DT101" s="481"/>
      <c r="DU101" s="481"/>
      <c r="DV101" s="481"/>
      <c r="DW101" s="481"/>
      <c r="DX101" s="481"/>
      <c r="DY101" s="481"/>
      <c r="DZ101" s="481"/>
      <c r="EA101" s="481"/>
      <c r="EB101" s="481"/>
      <c r="EC101" s="481"/>
      <c r="ED101" s="481"/>
      <c r="EE101" s="481"/>
      <c r="EF101" s="481"/>
      <c r="EG101" s="481"/>
      <c r="EH101" s="481"/>
      <c r="EI101" s="481"/>
      <c r="EJ101" s="481"/>
      <c r="EK101" s="481"/>
      <c r="EL101" s="481"/>
      <c r="EM101" s="481"/>
      <c r="EN101" s="481"/>
      <c r="EO101" s="481"/>
      <c r="EP101" s="481"/>
      <c r="EQ101" s="481"/>
      <c r="ER101" s="481"/>
      <c r="ES101" s="481"/>
      <c r="ET101" s="481"/>
      <c r="EU101" s="481"/>
      <c r="EV101" s="481"/>
      <c r="EW101" s="481"/>
      <c r="EX101" s="481"/>
      <c r="EY101" s="481"/>
      <c r="EZ101" s="481"/>
      <c r="FA101" s="481"/>
      <c r="FL101" s="111"/>
      <c r="FM101" s="111"/>
    </row>
    <row r="102" spans="1:169" s="105" customFormat="1">
      <c r="A102" s="106" t="s">
        <v>415</v>
      </c>
      <c r="B102" s="426"/>
      <c r="C102" s="426"/>
      <c r="D102" s="426"/>
      <c r="E102" s="426"/>
      <c r="F102" s="426"/>
      <c r="G102" s="426"/>
      <c r="H102" s="426"/>
      <c r="I102" s="426"/>
      <c r="J102" s="426"/>
      <c r="K102" s="461"/>
      <c r="L102" s="484">
        <v>86.701999999999998</v>
      </c>
      <c r="M102" s="484">
        <v>82.463999999999999</v>
      </c>
      <c r="N102" s="484">
        <v>98.4</v>
      </c>
      <c r="O102" s="484">
        <v>124.563</v>
      </c>
      <c r="P102" s="485">
        <f>O102</f>
      </c>
      <c r="Q102" s="484">
        <v>162.446</v>
      </c>
      <c r="R102" s="484">
        <v>206.09</v>
      </c>
      <c r="S102" s="484">
        <v>361.47300000000001</v>
      </c>
      <c r="T102" s="484">
        <v>405.714</v>
      </c>
      <c r="U102" s="485">
        <f>T102</f>
      </c>
      <c r="V102" s="484">
        <v>463.29599999999999</v>
      </c>
      <c r="W102" s="484">
        <v>527.57100000000003</v>
      </c>
      <c r="X102" s="484">
        <v>610.63599999999997</v>
      </c>
      <c r="Y102" s="484">
        <v>763.81899999999996</v>
      </c>
      <c r="Z102" s="485">
        <f>Y102</f>
      </c>
      <c r="AA102" s="484">
        <v>868.65099999999995</v>
      </c>
      <c r="AB102" s="484">
        <v>883.53200000000004</v>
      </c>
      <c r="AC102" s="484">
        <v>879.27700000000004</v>
      </c>
      <c r="AD102" s="484">
        <v>932.68700000000001</v>
      </c>
      <c r="AE102" s="485">
        <f>AD102</f>
      </c>
      <c r="AF102" s="484">
        <v>960.83</v>
      </c>
      <c r="AG102" s="484">
        <v>995.85299999999995</v>
      </c>
      <c r="AH102" s="484">
        <v>1009.682</v>
      </c>
      <c r="AI102" s="484">
        <v>1051.1849999999999</v>
      </c>
      <c r="AJ102" s="485">
        <f>AI102</f>
      </c>
      <c r="AK102" s="484">
        <v>1086.1030000000001</v>
      </c>
      <c r="AL102" s="484">
        <v>1095.162</v>
      </c>
      <c r="AM102" s="484">
        <v>1108.4110000000001</v>
      </c>
      <c r="AN102" s="484">
        <v>1178.268</v>
      </c>
      <c r="AO102" s="485">
        <f>AN102</f>
      </c>
      <c r="AP102" s="484">
        <v>1230.587</v>
      </c>
      <c r="AQ102" s="481">
        <v>1275.2329999999999</v>
      </c>
      <c r="AR102" s="481">
        <v>1349.441</v>
      </c>
      <c r="AS102" s="481">
        <v>1457.7560000000001</v>
      </c>
      <c r="AT102" s="485">
        <f>AS102</f>
      </c>
      <c r="AU102" s="481">
        <v>1648.62</v>
      </c>
      <c r="AV102" s="481">
        <v>1654.548</v>
      </c>
      <c r="AW102" s="481">
        <v>1845.7170000000001</v>
      </c>
      <c r="AX102" s="481">
        <v>2006.9190000000001</v>
      </c>
      <c r="AY102" s="485">
        <f>AX102</f>
      </c>
      <c r="AZ102" s="481">
        <v>2095.8939999999998</v>
      </c>
      <c r="BA102" s="481">
        <v>2260.2779999999998</v>
      </c>
      <c r="BB102" s="481">
        <v>2477.9259999999999</v>
      </c>
      <c r="BC102" s="481">
        <v>2617.9119999999998</v>
      </c>
      <c r="BD102" s="485">
        <f>BC102</f>
      </c>
      <c r="BE102" s="481">
        <v>2737.1779999999999</v>
      </c>
      <c r="BF102" s="481">
        <v>2662.915</v>
      </c>
      <c r="BG102" s="481">
        <v>2487.0749999999998</v>
      </c>
      <c r="BH102" s="481">
        <v>2394.652</v>
      </c>
      <c r="BI102" s="485">
        <f>BH102</f>
      </c>
      <c r="BJ102" s="481">
        <v>2318.8760000000002</v>
      </c>
      <c r="BK102" s="481">
        <v>2247.4090000000001</v>
      </c>
      <c r="BL102" s="481">
        <v>2423.6350000000002</v>
      </c>
      <c r="BM102" s="481">
        <v>2665.14</v>
      </c>
      <c r="BN102" s="485">
        <f>BM102</f>
      </c>
      <c r="BO102" s="481">
        <v>2860.645</v>
      </c>
      <c r="BP102" s="481">
        <v>2760.5140000000001</v>
      </c>
      <c r="BQ102" s="481">
        <v>2897.88</v>
      </c>
      <c r="BR102" s="481">
        <v>3181.462</v>
      </c>
      <c r="BS102" s="485">
        <f>BR102</f>
      </c>
      <c r="BT102" s="481">
        <v>3447.808</v>
      </c>
      <c r="BU102" s="481">
        <v>3689.4690000000001</v>
      </c>
      <c r="BV102" s="481">
        <v>3973.45</v>
      </c>
      <c r="BW102" s="481">
        <v>4145.7240000000002</v>
      </c>
      <c r="BX102" s="485">
        <f>BW102</f>
      </c>
      <c r="BY102" s="481">
        <v>4287.4279999999999</v>
      </c>
      <c r="BZ102" s="481">
        <v>4453.665</v>
      </c>
      <c r="CA102" s="481">
        <v>4722.8459999999995</v>
      </c>
      <c r="CB102" s="481">
        <v>4827.7030000000004</v>
      </c>
      <c r="CC102" s="485">
        <f>CB102</f>
      </c>
      <c r="CD102" s="481">
        <v>4824.1840000000002</v>
      </c>
      <c r="CE102" s="481">
        <v>4172.1729999999998</v>
      </c>
      <c r="CF102" s="481">
        <v>4320.6469999999999</v>
      </c>
      <c r="CG102" s="481">
        <v>4456.3980000000001</v>
      </c>
      <c r="CH102" s="485">
        <f>CG102</f>
      </c>
      <c r="CI102" s="481">
        <v>4166.9849999999997</v>
      </c>
      <c r="CJ102" s="481">
        <v>4304.7860000000001</v>
      </c>
      <c r="CK102" s="481">
        <v>4204.5929999999998</v>
      </c>
      <c r="CL102" s="481">
        <v>4417.982</v>
      </c>
      <c r="CM102" s="485">
        <f>CL102</f>
      </c>
      <c r="CN102" s="481">
        <v>4556</v>
      </c>
      <c r="CO102" s="481">
        <v>4185</v>
      </c>
      <c r="CP102" s="481">
        <v>4465</v>
      </c>
      <c r="CQ102" s="481">
        <v>4469</v>
      </c>
      <c r="CR102" s="485">
        <f>CQ102</f>
      </c>
      <c r="CS102" s="481">
        <v>4196</v>
      </c>
      <c r="CT102" s="481">
        <v>4480</v>
      </c>
      <c r="CU102" s="481">
        <v>5324</v>
      </c>
      <c r="CV102" s="481">
        <v>5762</v>
      </c>
      <c r="CW102" s="485">
        <f>CV102</f>
      </c>
      <c r="CX102" s="481">
        <f>6132</f>
      </c>
      <c r="CY102" s="481">
        <v>5973</v>
      </c>
      <c r="CZ102" s="481">
        <f>6352+1</f>
      </c>
      <c r="DA102" s="481">
        <v>7471</v>
      </c>
      <c r="DB102" s="485">
        <f>DA102</f>
      </c>
      <c r="DC102" s="481">
        <v>7717</v>
      </c>
      <c r="DD102" s="481">
        <v>8795</v>
      </c>
      <c r="DE102" s="481">
        <v>9475</v>
      </c>
      <c r="DF102" s="481">
        <v>9342</v>
      </c>
      <c r="DG102" s="485">
        <f>DF102</f>
      </c>
      <c r="DH102" s="481">
        <v>9704</v>
      </c>
      <c r="DI102" s="481">
        <v>10336</v>
      </c>
      <c r="DJ102" s="481">
        <v>11214</v>
      </c>
      <c r="DK102" s="481">
        <v>12204</v>
      </c>
      <c r="DL102" s="485">
        <f>DK102</f>
      </c>
      <c r="DM102" s="481">
        <v>13099</v>
      </c>
      <c r="DN102" s="481">
        <v>13914</v>
      </c>
      <c r="DO102" s="481">
        <v>15334</v>
      </c>
      <c r="DP102" s="481">
        <v>16893</v>
      </c>
      <c r="DQ102" s="485">
        <f>DP102</f>
      </c>
      <c r="DR102" s="481">
        <v>18774</v>
      </c>
      <c r="DS102" s="481">
        <v>21147</v>
      </c>
      <c r="DT102" s="481">
        <v>23798</v>
      </c>
      <c r="DU102" s="481">
        <v>26612</v>
      </c>
      <c r="DV102" s="485">
        <f>DU102</f>
      </c>
      <c r="DW102" s="481">
        <v>26320</v>
      </c>
      <c r="DX102" s="481">
        <v>23851</v>
      </c>
      <c r="DY102" s="481">
        <v>21349</v>
      </c>
      <c r="DZ102" s="481">
        <v>22101</v>
      </c>
      <c r="EA102" s="485">
        <f>DZ102</f>
      </c>
      <c r="EB102" s="481">
        <v>24520</v>
      </c>
      <c r="EC102" s="481">
        <v>27501</v>
      </c>
      <c r="ED102" s="481">
        <v>33265</v>
      </c>
      <c r="EE102" s="481">
        <v>42978</v>
      </c>
      <c r="EF102" s="485">
        <f>EE102</f>
      </c>
      <c r="EG102" s="481">
        <v>49142</v>
      </c>
      <c r="EH102" s="481">
        <v>58157</v>
      </c>
      <c r="EI102" s="481">
        <v>65899</v>
      </c>
      <c r="EJ102" s="481">
        <v>79327</v>
      </c>
      <c r="EK102" s="485">
        <f>EJ102</f>
      </c>
      <c r="EL102" s="481">
        <v>83843</v>
      </c>
      <c r="EM102" s="481">
        <v>100131</v>
      </c>
      <c r="EN102" s="481">
        <f>EM102+EN115+EN143+EN144+EN120+EN146</f>
      </c>
      <c r="EO102" s="481">
        <f>EN102+EO115+EO143+EO144+EO120+EO146</f>
      </c>
      <c r="EP102" s="485">
        <f>EO102</f>
      </c>
      <c r="EQ102" s="481">
        <f>EO102+EQ115+EQ143+EQ144+EQ120+EQ146</f>
      </c>
      <c r="ER102" s="481">
        <f>EQ102+ER115+ER143+ER144+ER120+ER146</f>
      </c>
      <c r="ES102" s="481">
        <f>ER102+ES115+ES143+ES144+ES120+ES146</f>
      </c>
      <c r="ET102" s="481">
        <f>ES102+ET115+ET143+ET144+ET120+ET146</f>
      </c>
      <c r="EU102" s="485">
        <f>ET102</f>
      </c>
      <c r="EV102" s="481">
        <f>ET102+EV115+EV143+EV144+EV120+EV146</f>
      </c>
      <c r="EW102" s="481">
        <f>EV102+EW115+EW143+EW144+EW120+EW146</f>
      </c>
      <c r="EX102" s="481">
        <f>EW102+EX115+EX143+EX144+EX120+EX146</f>
      </c>
      <c r="EY102" s="481">
        <f>EX102+EY115+EY143+EY144+EY120+EY146</f>
      </c>
      <c r="EZ102" s="485">
        <f>EY102</f>
      </c>
      <c r="FA102" s="485"/>
      <c r="FL102" s="111"/>
      <c r="FM102" s="111"/>
    </row>
    <row r="103" spans="1:169">
      <c r="B103" s="426"/>
      <c r="C103" s="426"/>
      <c r="D103" s="426"/>
      <c r="E103" s="426"/>
      <c r="F103" s="426"/>
      <c r="G103" s="426"/>
      <c r="H103" s="426"/>
      <c r="I103" s="426"/>
      <c r="J103" s="426"/>
      <c r="K103" s="85"/>
      <c r="L103" s="484"/>
      <c r="M103" s="484"/>
      <c r="N103" s="484"/>
      <c r="O103" s="484"/>
      <c r="P103" s="481"/>
      <c r="Q103" s="484"/>
      <c r="R103" s="484"/>
      <c r="S103" s="484"/>
      <c r="T103" s="484"/>
      <c r="U103" s="481"/>
      <c r="V103" s="484"/>
      <c r="W103" s="484"/>
      <c r="X103" s="484"/>
      <c r="Y103" s="484"/>
      <c r="Z103" s="481"/>
      <c r="AA103" s="484"/>
      <c r="AB103" s="484"/>
      <c r="AC103" s="502"/>
      <c r="AD103" s="502"/>
      <c r="AE103" s="481"/>
      <c r="AF103" s="502"/>
      <c r="AG103" s="502"/>
      <c r="AH103" s="502"/>
      <c r="AI103" s="502"/>
      <c r="AJ103" s="481"/>
      <c r="AK103" s="502"/>
      <c r="AL103" s="502"/>
      <c r="AM103" s="481"/>
      <c r="AN103" s="481"/>
      <c r="AO103" s="481"/>
      <c r="AP103" s="481"/>
      <c r="AQ103" s="481"/>
      <c r="AR103" s="481"/>
      <c r="AS103" s="481"/>
      <c r="AT103" s="481"/>
      <c r="AU103" s="481"/>
      <c r="AV103" s="481"/>
      <c r="AW103" s="481"/>
      <c r="AX103" s="481"/>
      <c r="AY103" s="481"/>
      <c r="AZ103" s="481"/>
      <c r="BA103" s="481"/>
      <c r="BB103" s="481"/>
      <c r="BC103" s="481"/>
      <c r="BD103" s="481"/>
      <c r="BE103" s="481"/>
      <c r="BF103" s="481"/>
      <c r="BG103" s="481"/>
      <c r="BH103" s="481"/>
      <c r="BI103" s="481"/>
      <c r="BJ103" s="481"/>
      <c r="BK103" s="481"/>
      <c r="BL103" s="481"/>
      <c r="BM103" s="481"/>
      <c r="BN103" s="481"/>
      <c r="BO103" s="481"/>
      <c r="BP103" s="481"/>
      <c r="BQ103" s="481"/>
      <c r="BR103" s="481"/>
      <c r="BS103" s="481"/>
      <c r="BT103" s="481"/>
      <c r="BU103" s="481"/>
      <c r="BV103" s="481"/>
      <c r="BW103" s="481"/>
      <c r="BX103" s="481"/>
      <c r="BY103" s="481"/>
      <c r="BZ103" s="481"/>
      <c r="CA103" s="481"/>
      <c r="CB103" s="481"/>
      <c r="CC103" s="481"/>
      <c r="CD103" s="481"/>
      <c r="CE103" s="481"/>
      <c r="CF103" s="481"/>
      <c r="CG103" s="481"/>
      <c r="CH103" s="481"/>
      <c r="CI103" s="481"/>
      <c r="CJ103" s="481"/>
      <c r="CK103" s="481"/>
      <c r="CL103" s="481"/>
      <c r="CM103" s="481"/>
      <c r="CN103" s="481"/>
      <c r="CO103" s="481"/>
      <c r="CP103" s="481"/>
      <c r="CQ103" s="481"/>
      <c r="CR103" s="481"/>
      <c r="CS103" s="481"/>
      <c r="CT103" s="481"/>
      <c r="CU103" s="481"/>
      <c r="CV103" s="481"/>
      <c r="CW103" s="481"/>
      <c r="CX103" s="481"/>
      <c r="CY103" s="481"/>
      <c r="CZ103" s="481"/>
      <c r="DA103" s="481"/>
      <c r="DB103" s="481"/>
      <c r="DC103" s="481"/>
      <c r="DD103" s="481"/>
      <c r="DE103" s="481"/>
      <c r="DF103" s="481"/>
      <c r="DG103" s="481"/>
      <c r="DH103" s="481"/>
      <c r="DI103" s="481"/>
      <c r="DJ103" s="481"/>
      <c r="DK103" s="481"/>
      <c r="DL103" s="481"/>
      <c r="DM103" s="481"/>
      <c r="DN103" s="481"/>
      <c r="DO103" s="481"/>
      <c r="DP103" s="481"/>
      <c r="DQ103" s="481"/>
      <c r="DR103" s="481"/>
      <c r="DS103" s="481"/>
      <c r="DT103" s="481"/>
      <c r="DU103" s="481"/>
      <c r="DV103" s="481"/>
      <c r="DW103" s="481"/>
      <c r="DX103" s="481"/>
      <c r="DY103" s="481"/>
      <c r="DZ103" s="481"/>
      <c r="EA103" s="481"/>
      <c r="EB103" s="481"/>
      <c r="EC103" s="481"/>
      <c r="ED103" s="481"/>
      <c r="EE103" s="481"/>
      <c r="EF103" s="481"/>
      <c r="EG103" s="481"/>
      <c r="EH103" s="481"/>
      <c r="EI103" s="481"/>
      <c r="EJ103" s="481"/>
      <c r="EK103" s="481"/>
      <c r="EL103" s="481"/>
      <c r="EM103" s="481"/>
      <c r="EN103" s="481"/>
      <c r="EO103" s="481"/>
      <c r="EP103" s="481"/>
      <c r="EQ103" s="481"/>
      <c r="ER103" s="481"/>
      <c r="ES103" s="481"/>
      <c r="ET103" s="481"/>
      <c r="EU103" s="481"/>
      <c r="EV103" s="481"/>
      <c r="EW103" s="481"/>
      <c r="EX103" s="481"/>
      <c r="EY103" s="481"/>
      <c r="EZ103" s="481"/>
      <c r="FA103" s="481"/>
      <c r="FL103" s="111"/>
      <c r="FM103" s="111"/>
    </row>
    <row r="104" spans="1:169" s="105" customFormat="1">
      <c r="A104" s="83" t="s">
        <v>416</v>
      </c>
      <c r="B104" s="495"/>
      <c r="C104" s="495"/>
      <c r="D104" s="495"/>
      <c r="E104" s="495"/>
      <c r="F104" s="495"/>
      <c r="G104" s="495"/>
      <c r="H104" s="495"/>
      <c r="I104" s="495"/>
      <c r="J104" s="495"/>
      <c r="K104" s="496"/>
      <c r="L104" s="497">
        <f t="shared" ref="L104:BW104" si="96">L102+L100</f>
      </c>
      <c r="M104" s="497">
        <f t="shared" si="96"/>
      </c>
      <c r="N104" s="497">
        <f t="shared" si="96"/>
      </c>
      <c r="O104" s="497">
        <f t="shared" si="96"/>
      </c>
      <c r="P104" s="498">
        <f>O104</f>
      </c>
      <c r="Q104" s="497">
        <f t="shared" si="96"/>
      </c>
      <c r="R104" s="497">
        <f t="shared" si="96"/>
      </c>
      <c r="S104" s="497">
        <f t="shared" si="96"/>
      </c>
      <c r="T104" s="497">
        <f t="shared" si="96"/>
      </c>
      <c r="U104" s="498">
        <f>T104</f>
      </c>
      <c r="V104" s="497">
        <f t="shared" si="96"/>
      </c>
      <c r="W104" s="497">
        <f t="shared" si="96"/>
      </c>
      <c r="X104" s="497">
        <f t="shared" si="96"/>
      </c>
      <c r="Y104" s="497">
        <f t="shared" si="96"/>
      </c>
      <c r="Z104" s="498">
        <f>Y104</f>
      </c>
      <c r="AA104" s="497">
        <f t="shared" si="96"/>
      </c>
      <c r="AB104" s="497">
        <f t="shared" si="96"/>
      </c>
      <c r="AC104" s="497">
        <f t="shared" si="96"/>
      </c>
      <c r="AD104" s="497">
        <f t="shared" si="96"/>
      </c>
      <c r="AE104" s="498">
        <f>AD104</f>
      </c>
      <c r="AF104" s="497">
        <f t="shared" si="96"/>
      </c>
      <c r="AG104" s="497">
        <f t="shared" si="96"/>
      </c>
      <c r="AH104" s="497">
        <f t="shared" si="96"/>
      </c>
      <c r="AI104" s="497">
        <f t="shared" si="96"/>
      </c>
      <c r="AJ104" s="498">
        <f>AI104</f>
      </c>
      <c r="AK104" s="497">
        <f t="shared" si="96"/>
      </c>
      <c r="AL104" s="497">
        <f t="shared" si="96"/>
      </c>
      <c r="AM104" s="497">
        <f t="shared" si="96"/>
      </c>
      <c r="AN104" s="497">
        <f t="shared" si="96"/>
      </c>
      <c r="AO104" s="498">
        <f>AN104</f>
      </c>
      <c r="AP104" s="497">
        <f t="shared" si="96"/>
      </c>
      <c r="AQ104" s="497">
        <f t="shared" si="96"/>
      </c>
      <c r="AR104" s="497">
        <f t="shared" si="96"/>
      </c>
      <c r="AS104" s="497">
        <f t="shared" si="96"/>
      </c>
      <c r="AT104" s="498">
        <f>AS104</f>
      </c>
      <c r="AU104" s="497">
        <f t="shared" si="96"/>
      </c>
      <c r="AV104" s="497">
        <f t="shared" si="96"/>
      </c>
      <c r="AW104" s="497">
        <f t="shared" si="96"/>
      </c>
      <c r="AX104" s="497">
        <f t="shared" si="96"/>
      </c>
      <c r="AY104" s="498">
        <f>AX104</f>
      </c>
      <c r="AZ104" s="497">
        <f t="shared" si="96"/>
      </c>
      <c r="BA104" s="497">
        <f t="shared" si="96"/>
      </c>
      <c r="BB104" s="497">
        <f>BB102+BB100</f>
      </c>
      <c r="BC104" s="497">
        <f>BC102+BC100</f>
      </c>
      <c r="BD104" s="498">
        <f>BC104</f>
      </c>
      <c r="BE104" s="497">
        <f t="shared" si="96"/>
      </c>
      <c r="BF104" s="497">
        <f t="shared" si="96"/>
      </c>
      <c r="BG104" s="497">
        <f t="shared" si="96"/>
      </c>
      <c r="BH104" s="497">
        <f t="shared" si="96"/>
      </c>
      <c r="BI104" s="498">
        <f>BH104</f>
      </c>
      <c r="BJ104" s="497">
        <f t="shared" si="96"/>
      </c>
      <c r="BK104" s="497">
        <f t="shared" si="96"/>
      </c>
      <c r="BL104" s="497">
        <f t="shared" si="96"/>
      </c>
      <c r="BM104" s="497">
        <f t="shared" si="96"/>
      </c>
      <c r="BN104" s="498">
        <f>BM104</f>
      </c>
      <c r="BO104" s="497">
        <f t="shared" si="96"/>
      </c>
      <c r="BP104" s="497">
        <f t="shared" si="96"/>
      </c>
      <c r="BQ104" s="497">
        <f t="shared" si="96"/>
      </c>
      <c r="BR104" s="497">
        <f t="shared" si="96"/>
      </c>
      <c r="BS104" s="498">
        <f>BR104</f>
      </c>
      <c r="BT104" s="497">
        <f t="shared" si="96"/>
      </c>
      <c r="BU104" s="497">
        <f t="shared" si="96"/>
      </c>
      <c r="BV104" s="497">
        <f t="shared" si="96"/>
      </c>
      <c r="BW104" s="497">
        <f t="shared" si="96"/>
      </c>
      <c r="BX104" s="498">
        <f>BW104</f>
      </c>
      <c r="BY104" s="497">
        <f>BY102+BY100</f>
      </c>
      <c r="BZ104" s="497">
        <f>BZ102+BZ100</f>
      </c>
      <c r="CA104" s="497">
        <f>CA102+CA100</f>
      </c>
      <c r="CB104" s="497">
        <f>CB102+CB100</f>
      </c>
      <c r="CC104" s="498">
        <f>CB104</f>
      </c>
      <c r="CD104" s="497">
        <f>CD102+CD100</f>
      </c>
      <c r="CE104" s="497">
        <f>CE102+CE100</f>
      </c>
      <c r="CF104" s="497">
        <f>CF102+CF100</f>
      </c>
      <c r="CG104" s="497">
        <f>CG102+CG100</f>
      </c>
      <c r="CH104" s="498">
        <f>CG104</f>
      </c>
      <c r="CI104" s="497">
        <f>CI102+CI100</f>
      </c>
      <c r="CJ104" s="497">
        <f>CJ102+CJ100</f>
      </c>
      <c r="CK104" s="497">
        <f>CK102+CK100</f>
      </c>
      <c r="CL104" s="497">
        <f>CL102+CL100</f>
      </c>
      <c r="CM104" s="498">
        <f>CL104</f>
      </c>
      <c r="CN104" s="497">
        <f>CN102+CN100</f>
      </c>
      <c r="CO104" s="497">
        <f>CO102+CO100</f>
      </c>
      <c r="CP104" s="497">
        <f>CP102+CP100</f>
      </c>
      <c r="CQ104" s="497">
        <f>CQ102+CQ100</f>
      </c>
      <c r="CR104" s="498">
        <f>CQ104</f>
      </c>
      <c r="CS104" s="497">
        <f>CS102+CS100</f>
      </c>
      <c r="CT104" s="497">
        <f>CT102+CT100</f>
      </c>
      <c r="CU104" s="497">
        <f>CU102+CU100</f>
      </c>
      <c r="CV104" s="497">
        <f>CV102+CV100</f>
      </c>
      <c r="CW104" s="498">
        <f>CV104</f>
      </c>
      <c r="CX104" s="497">
        <f>CX102+CX100</f>
      </c>
      <c r="CY104" s="497">
        <f>CY102+CY100</f>
      </c>
      <c r="CZ104" s="497">
        <f>CZ102+CZ100</f>
      </c>
      <c r="DA104" s="497">
        <f>DA102+DA100</f>
      </c>
      <c r="DB104" s="498">
        <f>DA104</f>
      </c>
      <c r="DC104" s="497">
        <f>DC102+DC100</f>
      </c>
      <c r="DD104" s="497">
        <f>DD102+DD100</f>
      </c>
      <c r="DE104" s="497">
        <f>DE102+DE100</f>
      </c>
      <c r="DF104" s="497">
        <f>DF102+DF100</f>
      </c>
      <c r="DG104" s="498">
        <f>DF104</f>
      </c>
      <c r="DH104" s="497">
        <f>DH102+DH100</f>
      </c>
      <c r="DI104" s="497">
        <f>DI102+DI100</f>
      </c>
      <c r="DJ104" s="497">
        <f>DJ102+DJ100</f>
      </c>
      <c r="DK104" s="497">
        <f>DK102+DK100</f>
      </c>
      <c r="DL104" s="498">
        <f>DK104</f>
      </c>
      <c r="DM104" s="497">
        <f>DM102+DM100</f>
      </c>
      <c r="DN104" s="497">
        <f>DN102+DN100</f>
      </c>
      <c r="DO104" s="497">
        <f>DO102+DO100</f>
      </c>
      <c r="DP104" s="497">
        <f>DP102+DP100</f>
      </c>
      <c r="DQ104" s="498">
        <f>DP104</f>
      </c>
      <c r="DR104" s="497">
        <f>DR102+DR100</f>
      </c>
      <c r="DS104" s="497">
        <f>DS102+DS100</f>
      </c>
      <c r="DT104" s="497">
        <f>DT102+DT100</f>
      </c>
      <c r="DU104" s="497">
        <f>DU102+DU100</f>
      </c>
      <c r="DV104" s="498">
        <f>DU104</f>
      </c>
      <c r="DW104" s="497">
        <f>DW102+DW100</f>
      </c>
      <c r="DX104" s="497">
        <f>DX102+DX100</f>
      </c>
      <c r="DY104" s="497">
        <f>DY102+DY100</f>
      </c>
      <c r="DZ104" s="497">
        <f>DZ102+DZ100</f>
      </c>
      <c r="EA104" s="498">
        <f>DZ104</f>
      </c>
      <c r="EB104" s="497">
        <f>EB102+EB100</f>
      </c>
      <c r="EC104" s="497">
        <f>EC102+EC100</f>
      </c>
      <c r="ED104" s="497">
        <f>ED102+ED100</f>
      </c>
      <c r="EE104" s="497">
        <f>EE102+EE100</f>
      </c>
      <c r="EF104" s="498">
        <f>EE104</f>
      </c>
      <c r="EG104" s="497">
        <f>EG102+EG100</f>
      </c>
      <c r="EH104" s="497">
        <f>EH102+EH100</f>
      </c>
      <c r="EI104" s="497">
        <f>EI102+EI100</f>
      </c>
      <c r="EJ104" s="497">
        <f>EJ102+EJ100</f>
      </c>
      <c r="EK104" s="498">
        <f>EJ104</f>
      </c>
      <c r="EL104" s="497">
        <f>EL102+EL100</f>
      </c>
      <c r="EM104" s="497">
        <f>EM102+EM100</f>
      </c>
      <c r="EN104" s="497">
        <f>EN102+EN100</f>
      </c>
      <c r="EO104" s="497">
        <f>EO102+EO100</f>
      </c>
      <c r="EP104" s="498">
        <f>EO104</f>
      </c>
      <c r="EQ104" s="497">
        <f>EQ102+EQ100</f>
      </c>
      <c r="ER104" s="497">
        <f>ER102+ER100</f>
      </c>
      <c r="ES104" s="497">
        <f>ES102+ES100</f>
      </c>
      <c r="ET104" s="497">
        <f>ET102+ET100</f>
      </c>
      <c r="EU104" s="498">
        <f>ET104</f>
      </c>
      <c r="EV104" s="497">
        <f>EV102+EV100</f>
      </c>
      <c r="EW104" s="497">
        <f>EW102+EW100</f>
      </c>
      <c r="EX104" s="497">
        <f>EX102+EX100</f>
      </c>
      <c r="EY104" s="497">
        <f>EY102+EY100</f>
      </c>
      <c r="EZ104" s="498">
        <f>EY104</f>
      </c>
      <c r="FA104" s="498"/>
      <c r="FL104" s="111"/>
      <c r="FM104" s="111"/>
    </row>
    <row r="105" spans="1:169">
      <c r="M105" s="503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  <c r="AN105" s="84"/>
      <c r="AO105" s="84"/>
      <c r="AP105" s="84"/>
      <c r="AQ105" s="84"/>
      <c r="AR105" s="84"/>
      <c r="AS105" s="84"/>
      <c r="AT105" s="84"/>
      <c r="AU105" s="84"/>
      <c r="AV105" s="84"/>
      <c r="AW105" s="84"/>
      <c r="AX105" s="84"/>
      <c r="AY105" s="84"/>
      <c r="AZ105" s="84"/>
      <c r="BA105" s="84"/>
      <c r="BB105" s="84"/>
      <c r="BC105" s="84"/>
      <c r="BD105" s="84"/>
      <c r="BE105" s="84"/>
      <c r="BF105" s="84"/>
      <c r="BG105" s="84"/>
      <c r="BH105" s="84"/>
      <c r="BI105" s="84"/>
      <c r="BJ105" s="84"/>
      <c r="BK105" s="84"/>
      <c r="BL105" s="84"/>
      <c r="BM105" s="84"/>
      <c r="BN105" s="84"/>
      <c r="BO105" s="84"/>
      <c r="BP105" s="84"/>
      <c r="BQ105" s="84"/>
      <c r="BR105" s="84"/>
      <c r="BS105" s="84"/>
      <c r="BT105" s="84"/>
      <c r="BU105" s="84"/>
      <c r="BV105" s="84"/>
      <c r="BW105" s="84"/>
      <c r="BX105" s="84"/>
      <c r="BY105" s="84"/>
      <c r="BZ105" s="84"/>
      <c r="CA105" s="84"/>
      <c r="CB105" s="84"/>
      <c r="CC105" s="84"/>
      <c r="CD105" s="84"/>
      <c r="CE105" s="84"/>
      <c r="CF105" s="84"/>
      <c r="CG105" s="84"/>
      <c r="CH105" s="84"/>
      <c r="CI105" s="84"/>
      <c r="CJ105" s="84"/>
      <c r="CK105" s="84"/>
      <c r="CL105" s="84"/>
      <c r="CM105" s="84"/>
      <c r="CN105" s="84"/>
      <c r="CO105" s="84"/>
      <c r="CP105" s="84"/>
      <c r="CQ105" s="84"/>
      <c r="CR105" s="84"/>
      <c r="CS105" s="84"/>
      <c r="CT105" s="84"/>
      <c r="CU105" s="84"/>
      <c r="CV105" s="84"/>
      <c r="CW105" s="84"/>
      <c r="CX105" s="84"/>
      <c r="CY105" s="84"/>
      <c r="CZ105" s="84"/>
      <c r="DA105" s="84"/>
      <c r="DC105" s="84"/>
      <c r="DD105" s="84"/>
      <c r="DE105" s="84"/>
      <c r="DF105" s="84"/>
      <c r="DG105" s="84"/>
      <c r="DH105" s="84"/>
      <c r="DI105" s="84"/>
      <c r="DJ105" s="84"/>
      <c r="DK105" s="84"/>
      <c r="DL105" s="84"/>
      <c r="DM105" s="84"/>
      <c r="DN105" s="84"/>
      <c r="DO105" s="84"/>
      <c r="DP105" s="84"/>
      <c r="DQ105" s="84"/>
      <c r="DR105" s="84"/>
      <c r="DS105" s="84"/>
      <c r="DT105" s="84"/>
      <c r="DU105" s="84"/>
      <c r="DV105" s="84"/>
      <c r="DW105" s="84"/>
      <c r="DX105" s="84"/>
      <c r="DY105" s="84"/>
      <c r="DZ105" s="84"/>
      <c r="EA105" s="84"/>
      <c r="EB105" s="84"/>
      <c r="EC105" s="84"/>
      <c r="ED105" s="84"/>
      <c r="EE105" s="84"/>
      <c r="EF105" s="84"/>
      <c r="EG105" s="84"/>
      <c r="EH105" s="84"/>
      <c r="EI105" s="84"/>
      <c r="EJ105" s="84"/>
      <c r="EK105" s="84"/>
      <c r="EL105" s="84"/>
      <c r="EM105" s="84"/>
      <c r="EN105" s="84"/>
      <c r="EO105" s="84"/>
      <c r="EP105" s="84"/>
      <c r="EQ105" s="84"/>
      <c r="ER105" s="84"/>
      <c r="ES105" s="84"/>
      <c r="ET105" s="84"/>
      <c r="EU105" s="84"/>
      <c r="EV105" s="84"/>
      <c r="EW105" s="84"/>
      <c r="EX105" s="84"/>
      <c r="EY105" s="84"/>
      <c r="EZ105" s="84"/>
      <c r="FA105" s="84"/>
      <c r="FL105" s="111"/>
      <c r="FM105" s="111"/>
    </row>
    <row r="106" spans="1:169">
      <c r="A106" s="106" t="s">
        <v>417</v>
      </c>
      <c r="M106" s="503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  <c r="AN106" s="84"/>
      <c r="AO106" s="84"/>
      <c r="AP106" s="84"/>
      <c r="AQ106" s="84"/>
      <c r="AR106" s="84"/>
      <c r="AS106" s="84"/>
      <c r="AT106" s="84"/>
      <c r="AU106" s="84"/>
      <c r="AV106" s="84"/>
      <c r="AW106" s="84"/>
      <c r="AX106" s="84"/>
      <c r="AY106" s="84"/>
      <c r="AZ106" s="84"/>
      <c r="BA106" s="84"/>
      <c r="BB106" s="84"/>
      <c r="BC106" s="84"/>
      <c r="BD106" s="84"/>
      <c r="BE106" s="84"/>
      <c r="BF106" s="84"/>
      <c r="BG106" s="84"/>
      <c r="BH106" s="84"/>
      <c r="BI106" s="84"/>
      <c r="BJ106" s="84"/>
      <c r="BK106" s="84"/>
      <c r="BL106" s="84"/>
      <c r="BM106" s="84"/>
      <c r="BN106" s="84"/>
      <c r="BO106" s="84"/>
      <c r="BP106" s="84"/>
      <c r="BQ106" s="84"/>
      <c r="BR106" s="84"/>
      <c r="BS106" s="84"/>
      <c r="BT106" s="84"/>
      <c r="BU106" s="84"/>
      <c r="BV106" s="84"/>
      <c r="BW106" s="84"/>
      <c r="BX106" s="84"/>
      <c r="BY106" s="84"/>
      <c r="BZ106" s="84"/>
      <c r="CA106" s="84"/>
      <c r="CB106" s="84"/>
      <c r="CC106" s="84"/>
      <c r="CD106" s="84"/>
      <c r="CE106" s="84"/>
      <c r="CF106" s="84"/>
      <c r="CG106" s="84"/>
      <c r="CH106" s="84"/>
      <c r="CI106" s="84"/>
      <c r="CJ106" s="88">
        <f t="shared" ref="CJ106:CR106" si="97">CJ91+CJ97+CJ96-CJ62-CJ64</f>
      </c>
      <c r="CK106" s="88">
        <f t="shared" si="97"/>
      </c>
      <c r="CL106" s="88">
        <f t="shared" si="97"/>
      </c>
      <c r="CM106" s="88">
        <f t="shared" si="97"/>
      </c>
      <c r="CN106" s="88">
        <f t="shared" si="97"/>
      </c>
      <c r="CO106" s="88">
        <f t="shared" si="97"/>
      </c>
      <c r="CP106" s="88">
        <f t="shared" si="97"/>
      </c>
      <c r="CQ106" s="88">
        <f t="shared" si="97"/>
      </c>
      <c r="CR106" s="88">
        <f t="shared" si="97"/>
      </c>
      <c r="CS106" s="88">
        <f>CS91+CS97+CS96-CS62-CS64</f>
      </c>
      <c r="CT106" s="88">
        <f t="shared" ref="CT106:EU106" si="98">CT91+CT97+CT96-CT62-CT64</f>
      </c>
      <c r="CU106" s="88">
        <f t="shared" si="98"/>
      </c>
      <c r="CV106" s="88">
        <f>CV91+CV97+CV96-CV62-CV64</f>
      </c>
      <c r="CW106" s="88">
        <f t="shared" si="98"/>
      </c>
      <c r="CX106" s="88">
        <f>CX91+CX97+CX96-CX62-CX64</f>
      </c>
      <c r="CY106" s="88">
        <f t="shared" si="98"/>
      </c>
      <c r="CZ106" s="88">
        <f t="shared" si="98"/>
      </c>
      <c r="DA106" s="88">
        <f t="shared" si="98"/>
      </c>
      <c r="DB106" s="88">
        <f t="shared" si="98"/>
      </c>
      <c r="DC106" s="88">
        <f t="shared" si="98"/>
      </c>
      <c r="DD106" s="88">
        <f t="shared" si="98"/>
      </c>
      <c r="DE106" s="88">
        <f t="shared" si="98"/>
      </c>
      <c r="DF106" s="88">
        <f t="shared" si="98"/>
      </c>
      <c r="DG106" s="88">
        <f t="shared" si="98"/>
      </c>
      <c r="DH106" s="88">
        <f t="shared" si="98"/>
      </c>
      <c r="DI106" s="88">
        <f t="shared" si="98"/>
      </c>
      <c r="DJ106" s="88">
        <f>DJ91+DJ97+DJ96-DJ62-DJ64</f>
      </c>
      <c r="DK106" s="88">
        <f t="shared" si="98"/>
      </c>
      <c r="DL106" s="88">
        <f>DL91+DL97+DL96-DL62-DL64</f>
      </c>
      <c r="DM106" s="88">
        <f t="shared" si="98"/>
      </c>
      <c r="DN106" s="88">
        <f t="shared" si="98"/>
      </c>
      <c r="DO106" s="88">
        <f t="shared" si="98"/>
      </c>
      <c r="DP106" s="88">
        <f t="shared" si="98"/>
      </c>
      <c r="DQ106" s="88">
        <f t="shared" si="98"/>
      </c>
      <c r="DR106" s="88">
        <f t="shared" si="98"/>
      </c>
      <c r="DS106" s="88">
        <f t="shared" si="98"/>
      </c>
      <c r="DT106" s="88">
        <f t="shared" si="98"/>
      </c>
      <c r="DU106" s="88">
        <f t="shared" si="98"/>
      </c>
      <c r="DV106" s="88">
        <f t="shared" si="98"/>
      </c>
      <c r="DW106" s="88">
        <f t="shared" si="98"/>
      </c>
      <c r="DX106" s="88">
        <f t="shared" si="98"/>
      </c>
      <c r="DY106" s="88">
        <f t="shared" si="98"/>
      </c>
      <c r="DZ106" s="88">
        <f t="shared" si="98"/>
      </c>
      <c r="EA106" s="88">
        <f t="shared" si="98"/>
      </c>
      <c r="EB106" s="88">
        <f t="shared" si="98"/>
      </c>
      <c r="EC106" s="88">
        <f t="shared" si="98"/>
      </c>
      <c r="ED106" s="88">
        <f t="shared" si="98"/>
      </c>
      <c r="EE106" s="88">
        <f t="shared" si="98"/>
      </c>
      <c r="EF106" s="88">
        <f t="shared" si="98"/>
      </c>
      <c r="EG106" s="88">
        <f t="shared" si="98"/>
      </c>
      <c r="EH106" s="88">
        <f t="shared" si="98"/>
      </c>
      <c r="EI106" s="88">
        <f t="shared" si="98"/>
      </c>
      <c r="EJ106" s="88">
        <f t="shared" si="98"/>
      </c>
      <c r="EK106" s="88">
        <f t="shared" si="98"/>
      </c>
      <c r="EL106" s="88">
        <f t="shared" si="98"/>
      </c>
      <c r="EM106" s="88">
        <f>EM91+EM97+EM96-EM62-EM64</f>
      </c>
      <c r="EN106" s="88">
        <f t="shared" si="98"/>
      </c>
      <c r="EO106" s="88">
        <f t="shared" si="98"/>
      </c>
      <c r="EP106" s="88">
        <f t="shared" si="98"/>
      </c>
      <c r="EQ106" s="88">
        <f t="shared" si="98"/>
      </c>
      <c r="ER106" s="88">
        <f t="shared" si="98"/>
      </c>
      <c r="ES106" s="88">
        <f t="shared" si="98"/>
      </c>
      <c r="ET106" s="88">
        <f t="shared" si="98"/>
      </c>
      <c r="EU106" s="88">
        <f t="shared" si="98"/>
      </c>
      <c r="EV106" s="88">
        <f>EV91+EV97+EV96-EV62-EV64</f>
      </c>
      <c r="EW106" s="88">
        <f>EW91+EW97+EW96-EW62-EW64</f>
      </c>
      <c r="EX106" s="88">
        <f>EX91+EX97+EX96-EX62-EX64</f>
      </c>
      <c r="EY106" s="88">
        <f>EY91+EY97+EY96-EY62-EY64</f>
      </c>
      <c r="EZ106" s="88">
        <f>EZ91+EZ97+EZ96-EZ62-EZ64</f>
      </c>
      <c r="FA106" s="88"/>
      <c r="FL106" s="111"/>
      <c r="FM106" s="111"/>
    </row>
    <row r="107" spans="1:169">
      <c r="A107" s="106" t="s">
        <v>380</v>
      </c>
      <c r="M107" s="503"/>
      <c r="AD107" s="84"/>
      <c r="AE107" s="84"/>
      <c r="AF107" s="84"/>
      <c r="AG107" s="84"/>
      <c r="AH107" s="84"/>
      <c r="AI107" s="84"/>
      <c r="AJ107" s="84"/>
      <c r="AK107" s="84"/>
      <c r="AL107" s="84"/>
      <c r="AM107" s="84"/>
      <c r="AN107" s="84"/>
      <c r="AO107" s="84"/>
      <c r="AP107" s="84"/>
      <c r="AQ107" s="84"/>
      <c r="AR107" s="84"/>
      <c r="AS107" s="84"/>
      <c r="AT107" s="84"/>
      <c r="AU107" s="84"/>
      <c r="AV107" s="84"/>
      <c r="AW107" s="84"/>
      <c r="AX107" s="84"/>
      <c r="AY107" s="84"/>
      <c r="AZ107" s="84"/>
      <c r="BA107" s="84"/>
      <c r="BB107" s="84"/>
      <c r="BC107" s="84"/>
      <c r="BD107" s="84"/>
      <c r="BE107" s="84"/>
      <c r="BF107" s="84"/>
      <c r="BG107" s="84"/>
      <c r="BH107" s="84"/>
      <c r="BI107" s="84"/>
      <c r="BJ107" s="84"/>
      <c r="BK107" s="84"/>
      <c r="BL107" s="84"/>
      <c r="BM107" s="84"/>
      <c r="BN107" s="84"/>
      <c r="BO107" s="84"/>
      <c r="BP107" s="84"/>
      <c r="BQ107" s="84"/>
      <c r="BR107" s="84"/>
      <c r="BS107" s="84"/>
      <c r="BT107" s="84"/>
      <c r="BU107" s="84"/>
      <c r="BV107" s="84"/>
      <c r="BW107" s="84"/>
      <c r="BX107" s="84"/>
      <c r="BY107" s="84"/>
      <c r="BZ107" s="84"/>
      <c r="CA107" s="84"/>
      <c r="CB107" s="84"/>
      <c r="CC107" s="84"/>
      <c r="CD107" s="84"/>
      <c r="CE107" s="84"/>
      <c r="CF107" s="84"/>
      <c r="CG107" s="84"/>
      <c r="CH107" s="84"/>
      <c r="CI107" s="84"/>
      <c r="CJ107" s="84"/>
      <c r="CK107" s="84"/>
      <c r="CL107" s="84"/>
      <c r="CM107" s="84"/>
      <c r="CN107" s="84"/>
      <c r="CO107" s="84"/>
      <c r="CP107" s="84"/>
      <c r="CQ107" s="84"/>
      <c r="CR107" s="84"/>
      <c r="CS107" s="84"/>
      <c r="CT107" s="84"/>
      <c r="CU107" s="84"/>
      <c r="CV107" s="84"/>
      <c r="CW107" s="84"/>
      <c r="CX107" s="84"/>
      <c r="CY107" s="84"/>
      <c r="CZ107" s="84"/>
      <c r="DA107" s="84"/>
      <c r="DC107" s="442">
        <f t="shared" ref="DC107:EU107" si="99">+DC56</f>
      </c>
      <c r="DD107" s="442">
        <f t="shared" si="99"/>
      </c>
      <c r="DE107" s="442">
        <f t="shared" si="99"/>
      </c>
      <c r="DF107" s="442">
        <f t="shared" si="99"/>
      </c>
      <c r="DG107" s="443">
        <f t="shared" si="99"/>
      </c>
      <c r="DH107" s="442">
        <f t="shared" si="99"/>
      </c>
      <c r="DI107" s="442">
        <f t="shared" si="99"/>
      </c>
      <c r="DJ107" s="442">
        <f t="shared" si="99"/>
      </c>
      <c r="DK107" s="442">
        <f t="shared" si="99"/>
      </c>
      <c r="DL107" s="443">
        <f t="shared" si="99"/>
      </c>
      <c r="DM107" s="442">
        <f t="shared" si="99"/>
      </c>
      <c r="DN107" s="442">
        <f t="shared" si="99"/>
      </c>
      <c r="DO107" s="442">
        <f t="shared" si="99"/>
      </c>
      <c r="DP107" s="442">
        <f t="shared" si="99"/>
      </c>
      <c r="DQ107" s="443">
        <f t="shared" si="99"/>
      </c>
      <c r="DR107" s="442">
        <f>+DR56</f>
      </c>
      <c r="DS107" s="442">
        <f>+DS56</f>
      </c>
      <c r="DT107" s="442">
        <f>+DT56</f>
      </c>
      <c r="DU107" s="442">
        <f>+DU56</f>
      </c>
      <c r="DV107" s="443">
        <f t="shared" si="99"/>
      </c>
      <c r="DW107" s="442">
        <f>+DW56</f>
      </c>
      <c r="DX107" s="442">
        <f>+DX56</f>
      </c>
      <c r="DY107" s="442">
        <f>+DY56</f>
      </c>
      <c r="DZ107" s="442">
        <f>+DZ56</f>
      </c>
      <c r="EA107" s="443">
        <f t="shared" si="99"/>
      </c>
      <c r="EB107" s="442">
        <f t="shared" si="99"/>
      </c>
      <c r="EC107" s="442">
        <f t="shared" si="99"/>
      </c>
      <c r="ED107" s="442">
        <f t="shared" si="99"/>
      </c>
      <c r="EE107" s="442">
        <f t="shared" si="99"/>
      </c>
      <c r="EF107" s="443">
        <f t="shared" si="99"/>
      </c>
      <c r="EG107" s="442">
        <f t="shared" si="99"/>
      </c>
      <c r="EH107" s="442">
        <f t="shared" si="99"/>
      </c>
      <c r="EI107" s="442">
        <f t="shared" si="99"/>
      </c>
      <c r="EJ107" s="442">
        <f t="shared" si="99"/>
      </c>
      <c r="EK107" s="443">
        <f t="shared" si="99"/>
      </c>
      <c r="EL107" s="442">
        <f t="shared" si="99"/>
      </c>
      <c r="EM107" s="442">
        <f>+EM56</f>
      </c>
      <c r="EN107" s="442">
        <f t="shared" si="99"/>
      </c>
      <c r="EO107" s="442">
        <f t="shared" si="99"/>
      </c>
      <c r="EP107" s="443">
        <f t="shared" si="99"/>
      </c>
      <c r="EQ107" s="442">
        <f t="shared" si="99"/>
      </c>
      <c r="ER107" s="442">
        <f t="shared" si="99"/>
      </c>
      <c r="ES107" s="442">
        <f t="shared" si="99"/>
      </c>
      <c r="ET107" s="442">
        <f t="shared" si="99"/>
      </c>
      <c r="EU107" s="443">
        <f t="shared" si="99"/>
      </c>
      <c r="EV107" s="442">
        <f>+EV56</f>
      </c>
      <c r="EW107" s="442">
        <f>+EW56</f>
      </c>
      <c r="EX107" s="442">
        <f>+EX56</f>
      </c>
      <c r="EY107" s="442">
        <f>+EY56</f>
      </c>
      <c r="EZ107" s="443">
        <f>+EZ56</f>
      </c>
      <c r="FA107" s="443"/>
      <c r="FL107" s="111"/>
      <c r="FM107" s="111"/>
    </row>
    <row r="108" spans="1:169">
      <c r="A108" s="106" t="s">
        <v>418</v>
      </c>
      <c r="M108" s="503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  <c r="AN108" s="84"/>
      <c r="AO108" s="84"/>
      <c r="AP108" s="84"/>
      <c r="AQ108" s="84"/>
      <c r="AR108" s="84"/>
      <c r="AS108" s="84"/>
      <c r="AT108" s="84"/>
      <c r="AU108" s="84"/>
      <c r="AV108" s="84"/>
      <c r="AW108" s="84"/>
      <c r="AX108" s="84"/>
      <c r="AY108" s="84"/>
      <c r="AZ108" s="84"/>
      <c r="BA108" s="84"/>
      <c r="BB108" s="84"/>
      <c r="BC108" s="84"/>
      <c r="BD108" s="84"/>
      <c r="BE108" s="84"/>
      <c r="BF108" s="84"/>
      <c r="BG108" s="84"/>
      <c r="BH108" s="84"/>
      <c r="BI108" s="84"/>
      <c r="BJ108" s="84"/>
      <c r="BK108" s="84"/>
      <c r="BL108" s="84"/>
      <c r="BM108" s="84"/>
      <c r="BN108" s="84"/>
      <c r="BO108" s="84"/>
      <c r="BP108" s="84"/>
      <c r="BQ108" s="84"/>
      <c r="BR108" s="84"/>
      <c r="BS108" s="84"/>
      <c r="BT108" s="84"/>
      <c r="BU108" s="84"/>
      <c r="BV108" s="84"/>
      <c r="BW108" s="84"/>
      <c r="BX108" s="84"/>
      <c r="BY108" s="84"/>
      <c r="BZ108" s="84"/>
      <c r="CA108" s="84"/>
      <c r="CB108" s="84"/>
      <c r="CC108" s="84"/>
      <c r="CD108" s="84"/>
      <c r="CE108" s="84"/>
      <c r="CF108" s="84"/>
      <c r="CG108" s="84"/>
      <c r="CH108" s="84"/>
      <c r="CI108" s="84"/>
      <c r="CJ108" s="84"/>
      <c r="CK108" s="84"/>
      <c r="CL108" s="84"/>
      <c r="CM108" s="84"/>
      <c r="CN108" s="84"/>
      <c r="CO108" s="84"/>
      <c r="CP108" s="84"/>
      <c r="CQ108" s="84"/>
      <c r="CR108" s="84"/>
      <c r="CS108" s="84"/>
      <c r="CT108" s="84"/>
      <c r="CU108" s="84"/>
      <c r="CV108" s="84"/>
      <c r="CW108" s="84"/>
      <c r="CX108" s="84"/>
      <c r="CY108" s="84"/>
      <c r="CZ108" s="84"/>
      <c r="DA108" s="84"/>
      <c r="DC108" s="84"/>
      <c r="DD108" s="84"/>
      <c r="DE108" s="84"/>
      <c r="DF108" s="84"/>
      <c r="DG108" s="84"/>
      <c r="DH108" s="84"/>
      <c r="DI108" s="84"/>
      <c r="DJ108" s="84"/>
      <c r="DK108" s="84"/>
      <c r="DL108" s="84"/>
      <c r="DM108" s="84"/>
      <c r="DN108" s="84"/>
      <c r="DO108" s="84"/>
      <c r="DP108" s="84"/>
      <c r="DQ108" s="84"/>
      <c r="DR108" s="84"/>
      <c r="DS108" s="84"/>
      <c r="DT108" s="84"/>
      <c r="DU108" s="84"/>
      <c r="DV108" s="84"/>
      <c r="DW108" s="84"/>
      <c r="DX108" s="84"/>
      <c r="DY108" s="84"/>
      <c r="DZ108" s="84"/>
      <c r="EA108" s="84"/>
      <c r="EB108" s="84"/>
      <c r="EC108" s="84"/>
      <c r="ED108" s="84"/>
      <c r="EE108" s="84"/>
      <c r="EF108" s="84"/>
      <c r="EG108" s="84"/>
      <c r="EH108" s="84"/>
      <c r="EI108" s="84"/>
      <c r="EJ108" s="84"/>
      <c r="EK108" s="84"/>
      <c r="EL108" s="84"/>
      <c r="EM108" s="84"/>
      <c r="EN108" s="84"/>
      <c r="EO108" s="84"/>
      <c r="EP108" s="84"/>
      <c r="EQ108" s="84"/>
      <c r="ER108" s="84"/>
      <c r="ES108" s="84"/>
      <c r="ET108" s="84"/>
      <c r="EU108" s="84"/>
      <c r="EV108" s="84"/>
      <c r="EW108" s="84"/>
      <c r="EX108" s="84"/>
      <c r="EY108" s="84"/>
      <c r="EZ108" s="84"/>
      <c r="FA108" s="84"/>
      <c r="FL108" s="111"/>
      <c r="FM108" s="111"/>
    </row>
    <row r="109" spans="1:169">
      <c r="M109" s="503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  <c r="AN109" s="84"/>
      <c r="AO109" s="84"/>
      <c r="AP109" s="84"/>
      <c r="AQ109" s="84"/>
      <c r="AR109" s="84"/>
      <c r="AS109" s="84"/>
      <c r="AT109" s="84"/>
      <c r="AU109" s="84"/>
      <c r="AV109" s="84"/>
      <c r="AW109" s="84"/>
      <c r="AX109" s="84"/>
      <c r="AY109" s="84"/>
      <c r="AZ109" s="84"/>
      <c r="BA109" s="84"/>
      <c r="BB109" s="84"/>
      <c r="BC109" s="84"/>
      <c r="BD109" s="84"/>
      <c r="BE109" s="84"/>
      <c r="BF109" s="84"/>
      <c r="BG109" s="84"/>
      <c r="BH109" s="84"/>
      <c r="BI109" s="84"/>
      <c r="BJ109" s="84"/>
      <c r="BK109" s="84"/>
      <c r="BL109" s="84"/>
      <c r="BM109" s="84"/>
      <c r="BN109" s="84"/>
      <c r="BO109" s="84"/>
      <c r="BP109" s="84"/>
      <c r="BQ109" s="84"/>
      <c r="BR109" s="84"/>
      <c r="BS109" s="84"/>
      <c r="BT109" s="84"/>
      <c r="BU109" s="84"/>
      <c r="BV109" s="84"/>
      <c r="BW109" s="84"/>
      <c r="BX109" s="84"/>
      <c r="BY109" s="84"/>
      <c r="BZ109" s="84"/>
      <c r="CA109" s="84"/>
      <c r="CB109" s="84"/>
      <c r="CC109" s="84"/>
      <c r="CD109" s="84"/>
      <c r="CE109" s="84"/>
      <c r="CF109" s="84"/>
      <c r="CG109" s="84"/>
      <c r="CH109" s="84"/>
      <c r="CI109" s="84"/>
      <c r="CJ109" s="84"/>
      <c r="CK109" s="84"/>
      <c r="CL109" s="84"/>
      <c r="CM109" s="84"/>
      <c r="CN109" s="84"/>
      <c r="CO109" s="84"/>
      <c r="CP109" s="84"/>
      <c r="CQ109" s="84"/>
      <c r="CR109" s="84"/>
      <c r="CS109" s="84"/>
      <c r="CT109" s="84"/>
      <c r="CU109" s="84"/>
      <c r="CV109" s="84"/>
      <c r="CW109" s="84"/>
      <c r="CX109" s="84"/>
      <c r="CY109" s="84"/>
      <c r="CZ109" s="84"/>
      <c r="DA109" s="84"/>
      <c r="DC109" s="84"/>
      <c r="DD109" s="84"/>
      <c r="DE109" s="84"/>
      <c r="DF109" s="84"/>
      <c r="DG109" s="84"/>
      <c r="DH109" s="84"/>
      <c r="DI109" s="84"/>
      <c r="DJ109" s="84"/>
      <c r="DK109" s="84"/>
      <c r="DL109" s="84"/>
      <c r="DM109" s="84"/>
      <c r="DN109" s="84"/>
      <c r="DO109" s="84"/>
      <c r="DP109" s="84"/>
      <c r="DQ109" s="84"/>
      <c r="DR109" s="84"/>
      <c r="DS109" s="84"/>
      <c r="DT109" s="84"/>
      <c r="DU109" s="84"/>
      <c r="DV109" s="84"/>
      <c r="DW109" s="84"/>
      <c r="DX109" s="84"/>
      <c r="DY109" s="84"/>
      <c r="DZ109" s="84"/>
      <c r="EA109" s="84"/>
      <c r="EB109" s="84"/>
      <c r="EC109" s="84"/>
      <c r="ED109" s="84"/>
      <c r="EE109" s="84"/>
      <c r="EF109" s="84"/>
      <c r="EG109" s="84"/>
      <c r="EH109" s="84"/>
      <c r="EI109" s="84"/>
      <c r="EJ109" s="84"/>
      <c r="EK109" s="84"/>
      <c r="EL109" s="84"/>
      <c r="EM109" s="84"/>
      <c r="EN109" s="84"/>
      <c r="EO109" s="84"/>
      <c r="EP109" s="84"/>
      <c r="EQ109" s="84"/>
      <c r="ER109" s="84"/>
      <c r="ES109" s="84"/>
      <c r="ET109" s="84"/>
      <c r="EU109" s="84"/>
      <c r="EV109" s="84"/>
      <c r="EW109" s="84"/>
      <c r="EX109" s="84"/>
      <c r="EY109" s="84"/>
      <c r="EZ109" s="84"/>
      <c r="FA109" s="84"/>
      <c r="FL109" s="111"/>
      <c r="FM109" s="111"/>
    </row>
    <row r="110" spans="1:169">
      <c r="K110" s="85"/>
      <c r="P110" s="85"/>
      <c r="U110" s="85"/>
      <c r="Z110" s="85"/>
      <c r="AD110" s="84"/>
      <c r="AE110" s="85"/>
      <c r="AF110" s="84"/>
      <c r="DB110" s="85"/>
      <c r="FL110" s="111"/>
      <c r="FM110" s="111"/>
    </row>
    <row r="111" spans="1:169">
      <c r="K111" s="85"/>
      <c r="P111" s="85"/>
      <c r="U111" s="85"/>
      <c r="Z111" s="85"/>
      <c r="AD111" s="84"/>
      <c r="AE111" s="85"/>
      <c r="AF111" s="84"/>
      <c r="DB111" s="85"/>
      <c r="FL111" s="111"/>
      <c r="FM111" s="111"/>
    </row>
    <row r="112" spans="1:169" s="128" customFormat="1" ht="18" customHeight="1">
      <c r="A112" s="124" t="s">
        <v>419</v>
      </c>
      <c r="B112" s="125"/>
      <c r="C112" s="125"/>
      <c r="D112" s="125"/>
      <c r="E112" s="125"/>
      <c r="F112" s="125"/>
      <c r="G112" s="125"/>
      <c r="H112" s="125"/>
      <c r="I112" s="125"/>
      <c r="J112" s="125"/>
      <c r="K112" s="125"/>
      <c r="L112" s="125"/>
      <c r="M112" s="125"/>
      <c r="N112" s="125"/>
      <c r="O112" s="125"/>
      <c r="P112" s="125"/>
      <c r="Q112" s="125"/>
      <c r="R112" s="125"/>
      <c r="S112" s="125"/>
      <c r="T112" s="125"/>
      <c r="U112" s="125"/>
      <c r="V112" s="125"/>
      <c r="W112" s="125"/>
      <c r="X112" s="125"/>
      <c r="Y112" s="125"/>
      <c r="Z112" s="125"/>
      <c r="AA112" s="125"/>
      <c r="AB112" s="125"/>
      <c r="AC112" s="125"/>
      <c r="AD112" s="125"/>
      <c r="AE112" s="125"/>
      <c r="AF112" s="125"/>
      <c r="AG112" s="125"/>
      <c r="AH112" s="126"/>
      <c r="AI112" s="126"/>
      <c r="AJ112" s="126"/>
      <c r="AK112" s="126"/>
      <c r="AL112" s="126"/>
      <c r="AM112" s="126"/>
      <c r="AN112" s="126"/>
      <c r="AO112" s="126"/>
      <c r="AP112" s="126"/>
      <c r="AQ112" s="126"/>
      <c r="AR112" s="126"/>
      <c r="AS112" s="126"/>
      <c r="AT112" s="126"/>
      <c r="AU112" s="126"/>
      <c r="AV112" s="126"/>
      <c r="AW112" s="126"/>
      <c r="AX112" s="126"/>
      <c r="AY112" s="126"/>
      <c r="AZ112" s="126"/>
      <c r="BA112" s="126"/>
      <c r="BB112" s="126"/>
      <c r="BC112" s="126"/>
      <c r="BD112" s="126"/>
      <c r="BE112" s="126"/>
      <c r="BF112" s="126"/>
      <c r="BG112" s="126"/>
      <c r="BH112" s="126"/>
      <c r="BI112" s="126"/>
      <c r="BJ112" s="126"/>
      <c r="BK112" s="126"/>
      <c r="BL112" s="126"/>
      <c r="BM112" s="126"/>
      <c r="BN112" s="126"/>
      <c r="BO112" s="126"/>
      <c r="BP112" s="126"/>
      <c r="BQ112" s="126"/>
      <c r="BR112" s="126"/>
      <c r="BS112" s="126"/>
      <c r="BT112" s="126"/>
      <c r="BU112" s="126"/>
      <c r="BV112" s="126"/>
      <c r="BW112" s="126"/>
      <c r="BX112" s="126"/>
      <c r="BY112" s="126"/>
      <c r="BZ112" s="126"/>
      <c r="CA112" s="126"/>
      <c r="CB112" s="126"/>
      <c r="CC112" s="126"/>
      <c r="CD112" s="126"/>
      <c r="CE112" s="126"/>
      <c r="CF112" s="126"/>
      <c r="CG112" s="126"/>
      <c r="CH112" s="126"/>
      <c r="CI112" s="126"/>
      <c r="CJ112" s="126"/>
      <c r="CK112" s="126"/>
      <c r="CL112" s="126"/>
      <c r="CM112" s="126"/>
      <c r="CN112" s="126"/>
      <c r="CO112" s="126"/>
      <c r="CP112" s="126"/>
      <c r="CQ112" s="126"/>
      <c r="CR112" s="126"/>
      <c r="CS112" s="126"/>
      <c r="CT112" s="126"/>
      <c r="CU112" s="126"/>
      <c r="CV112" s="126"/>
      <c r="CW112" s="126"/>
      <c r="CX112" s="126"/>
      <c r="CY112" s="126"/>
      <c r="CZ112" s="126"/>
      <c r="DA112" s="126"/>
      <c r="DB112" s="125"/>
      <c r="DC112" s="126"/>
      <c r="DD112" s="126"/>
      <c r="DE112" s="126"/>
      <c r="DF112" s="126"/>
      <c r="DG112" s="126"/>
      <c r="DH112" s="126"/>
      <c r="DI112" s="126"/>
      <c r="DJ112" s="126"/>
      <c r="DK112" s="126"/>
      <c r="DL112" s="126"/>
      <c r="DM112" s="126"/>
      <c r="DN112" s="126"/>
      <c r="DO112" s="126"/>
      <c r="DP112" s="126"/>
      <c r="DQ112" s="126"/>
      <c r="DR112" s="126"/>
      <c r="DS112" s="126"/>
      <c r="DT112" s="126"/>
      <c r="DU112" s="126"/>
      <c r="DV112" s="126"/>
      <c r="DW112" s="126"/>
      <c r="DX112" s="126"/>
      <c r="DY112" s="126"/>
      <c r="DZ112" s="126"/>
      <c r="EA112" s="126"/>
      <c r="EB112" s="126"/>
      <c r="EC112" s="126"/>
      <c r="ED112" s="126"/>
      <c r="EE112" s="126"/>
      <c r="EF112" s="126"/>
      <c r="EG112" s="126"/>
      <c r="EH112" s="126"/>
      <c r="EI112" s="126"/>
      <c r="EJ112" s="126"/>
      <c r="EK112" s="126"/>
      <c r="EL112" s="126"/>
      <c r="EM112" s="126"/>
      <c r="EN112" s="126"/>
      <c r="EO112" s="126"/>
      <c r="EP112" s="126"/>
      <c r="EQ112" s="126"/>
      <c r="ER112" s="126"/>
      <c r="ES112" s="126"/>
      <c r="ET112" s="126"/>
      <c r="EU112" s="126"/>
      <c r="EV112" s="126"/>
      <c r="EW112" s="126"/>
      <c r="EX112" s="126"/>
      <c r="EY112" s="126"/>
      <c r="EZ112" s="126"/>
      <c r="FA112" s="127"/>
      <c r="FB112" s="127"/>
      <c r="FC112" s="127"/>
      <c r="FD112" s="127"/>
      <c r="FE112" s="127"/>
      <c r="FF112" s="127"/>
      <c r="FG112" s="127"/>
      <c r="FH112" s="127"/>
      <c r="FI112" s="127"/>
      <c r="FL112" s="111"/>
      <c r="FM112" s="111"/>
    </row>
    <row r="113" spans="1:169">
      <c r="K113" s="85"/>
      <c r="M113" s="504"/>
      <c r="P113" s="85"/>
      <c r="S113" s="504"/>
      <c r="T113" s="504"/>
      <c r="U113" s="85"/>
      <c r="X113" s="504"/>
      <c r="Z113" s="85"/>
      <c r="AB113" s="505"/>
      <c r="AC113" s="504"/>
      <c r="AD113" s="504"/>
      <c r="AE113" s="85"/>
      <c r="AF113" s="504"/>
      <c r="AI113" s="134"/>
      <c r="AK113" s="134"/>
      <c r="AL113" s="134"/>
      <c r="AS113" s="134"/>
      <c r="CF113" s="88"/>
      <c r="CT113" s="88"/>
      <c r="CU113" s="88"/>
      <c r="DB113" s="85"/>
      <c r="FL113" s="111"/>
      <c r="FM113" s="111"/>
    </row>
    <row r="114" spans="1:169">
      <c r="A114" s="83" t="s">
        <v>420</v>
      </c>
      <c r="B114" s="506"/>
      <c r="C114" s="506"/>
      <c r="K114" s="85"/>
      <c r="M114" s="504"/>
      <c r="N114" s="506"/>
      <c r="P114" s="85"/>
      <c r="Q114" s="504"/>
      <c r="R114" s="504"/>
      <c r="S114" s="504"/>
      <c r="T114" s="504"/>
      <c r="U114" s="85"/>
      <c r="X114" s="504"/>
      <c r="Z114" s="85"/>
      <c r="AB114" s="505"/>
      <c r="AC114" s="504"/>
      <c r="AD114" s="504"/>
      <c r="AE114" s="85"/>
      <c r="AF114" s="504"/>
      <c r="AH114" s="134"/>
      <c r="AI114" s="134"/>
      <c r="AK114" s="134"/>
      <c r="AL114" s="134"/>
      <c r="AS114" s="134"/>
      <c r="BY114" s="88"/>
      <c r="BZ114" s="88"/>
      <c r="CD114" s="86"/>
      <c r="CE114" s="86"/>
      <c r="CF114" s="86"/>
      <c r="CP114" s="88"/>
      <c r="CQ114" s="88"/>
      <c r="CT114" s="88"/>
      <c r="CU114" s="88"/>
      <c r="CY114" s="88"/>
      <c r="CZ114" s="88"/>
      <c r="DA114" s="88"/>
      <c r="DB114" s="85"/>
      <c r="DD114" s="88"/>
      <c r="DI114" s="507"/>
      <c r="DJ114" s="507"/>
      <c r="FL114" s="111"/>
      <c r="FM114" s="111"/>
    </row>
    <row r="115" spans="1:169">
      <c r="A115" s="106" t="s">
        <v>421</v>
      </c>
      <c r="B115" s="506"/>
      <c r="C115" s="506"/>
      <c r="D115" s="506"/>
      <c r="E115" s="506"/>
      <c r="F115" s="506"/>
      <c r="G115" s="506"/>
      <c r="H115" s="506"/>
      <c r="I115" s="506"/>
      <c r="J115" s="506"/>
      <c r="K115" s="474"/>
      <c r="L115" s="508">
        <f>L44</f>
      </c>
      <c r="M115" s="508">
        <f>M44</f>
      </c>
      <c r="N115" s="508">
        <f>N44</f>
      </c>
      <c r="O115" s="508">
        <f>O44</f>
      </c>
      <c r="P115" s="509">
        <f t="shared" ref="P115:P120" si="100">SUM(L115:O115)</f>
      </c>
      <c r="Q115" s="508">
        <f>Q44</f>
      </c>
      <c r="R115" s="508">
        <f>R44</f>
      </c>
      <c r="S115" s="508">
        <f>S44</f>
      </c>
      <c r="T115" s="508">
        <f>T44</f>
      </c>
      <c r="U115" s="509">
        <f t="shared" ref="U115:U120" si="101">SUM(Q115:T115)</f>
      </c>
      <c r="V115" s="508">
        <f>V44</f>
      </c>
      <c r="W115" s="508">
        <f>W44</f>
      </c>
      <c r="X115" s="508">
        <f>X44</f>
      </c>
      <c r="Y115" s="508">
        <f>Y44</f>
      </c>
      <c r="Z115" s="509">
        <f t="shared" ref="Z115:Z120" si="102">SUM(V115:Y115)</f>
      </c>
      <c r="AA115" s="508">
        <f>AA44</f>
      </c>
      <c r="AB115" s="508">
        <f>AB44</f>
      </c>
      <c r="AC115" s="508">
        <f>AC44</f>
      </c>
      <c r="AD115" s="508">
        <v>50.935999999999979</v>
      </c>
      <c r="AE115" s="509">
        <f t="shared" ref="AE115:AE120" si="103">SUM(AA115:AD115)</f>
      </c>
      <c r="AF115" s="508">
        <f>AF44</f>
      </c>
      <c r="AG115" s="508">
        <f>AG44</f>
      </c>
      <c r="AH115" s="508">
        <f>AH44</f>
      </c>
      <c r="AI115" s="508">
        <f>AI44</f>
      </c>
      <c r="AJ115" s="509">
        <f t="shared" ref="AJ115:AJ120" si="104">SUM(AF115:AI115)</f>
      </c>
      <c r="AK115" s="508">
        <f>AK44</f>
      </c>
      <c r="AL115" s="508">
        <f>AL44</f>
      </c>
      <c r="AM115" s="508">
        <f>AM44</f>
      </c>
      <c r="AN115" s="508">
        <f>AN44</f>
      </c>
      <c r="AO115" s="509">
        <f t="shared" ref="AO115:AO120" si="105">SUM(AK115:AN115)</f>
      </c>
      <c r="AP115" s="508">
        <v>64.444000000000003</v>
      </c>
      <c r="AQ115" s="508">
        <f>AQ44</f>
      </c>
      <c r="AR115" s="508">
        <f>AR44</f>
      </c>
      <c r="AS115" s="508">
        <f>AS44</f>
      </c>
      <c r="AT115" s="509">
        <f t="shared" ref="AT115:AT120" si="106">SUM(AP115:AS115)</f>
      </c>
      <c r="AU115" s="508">
        <f>AU44</f>
      </c>
      <c r="AV115" s="508">
        <f>AV44</f>
      </c>
      <c r="AW115" s="508">
        <f>AW44</f>
      </c>
      <c r="AX115" s="508">
        <f>AX44</f>
      </c>
      <c r="AY115" s="509">
        <f t="shared" ref="AY115:AY120" si="107">SUM(AU115:AX115)</f>
      </c>
      <c r="AZ115" s="508">
        <f>AZ44</f>
      </c>
      <c r="BA115" s="508">
        <f>BA44</f>
      </c>
      <c r="BB115" s="508">
        <f>BB44</f>
      </c>
      <c r="BC115" s="508">
        <f>BC44</f>
      </c>
      <c r="BD115" s="509">
        <f t="shared" ref="BD115:BD120" si="108">SUM(AZ115:BC115)</f>
      </c>
      <c r="BE115" s="508">
        <f>BE44</f>
      </c>
      <c r="BF115" s="508">
        <f>BF44</f>
      </c>
      <c r="BG115" s="508">
        <f>BG44</f>
      </c>
      <c r="BH115" s="508">
        <f>BH44</f>
      </c>
      <c r="BI115" s="509">
        <f t="shared" ref="BI115:BI120" si="109">SUM(BE115:BH115)</f>
      </c>
      <c r="BJ115" s="508">
        <f>BJ44</f>
      </c>
      <c r="BK115" s="508">
        <f>BK44</f>
      </c>
      <c r="BL115" s="508">
        <f>BL44</f>
      </c>
      <c r="BM115" s="508">
        <f>BM44</f>
      </c>
      <c r="BN115" s="509">
        <f t="shared" ref="BN115:BN120" si="110">SUM(BJ115:BM115)</f>
      </c>
      <c r="BO115" s="508">
        <f>BO44</f>
      </c>
      <c r="BP115" s="508">
        <f>BP44</f>
      </c>
      <c r="BQ115" s="508">
        <f>BQ44</f>
      </c>
      <c r="BR115" s="508">
        <f>BR44</f>
      </c>
      <c r="BS115" s="509">
        <f t="shared" ref="BS115:BS120" si="111">SUM(BO115:BR115)</f>
      </c>
      <c r="BT115" s="508">
        <f t="shared" ref="BT115:CG115" si="112">BT44</f>
      </c>
      <c r="BU115" s="508">
        <f t="shared" si="112"/>
      </c>
      <c r="BV115" s="508">
        <f t="shared" si="112"/>
      </c>
      <c r="BW115" s="508">
        <f t="shared" si="112"/>
      </c>
      <c r="BX115" s="509">
        <f t="shared" si="112"/>
      </c>
      <c r="BY115" s="508">
        <f t="shared" si="112"/>
      </c>
      <c r="BZ115" s="508">
        <f t="shared" si="112"/>
      </c>
      <c r="CA115" s="508">
        <f t="shared" si="112"/>
      </c>
      <c r="CB115" s="508">
        <f t="shared" si="112"/>
      </c>
      <c r="CC115" s="509">
        <f t="shared" si="112"/>
      </c>
      <c r="CD115" s="508">
        <f t="shared" si="112"/>
      </c>
      <c r="CE115" s="508">
        <f t="shared" si="112"/>
      </c>
      <c r="CF115" s="508">
        <f t="shared" si="112"/>
      </c>
      <c r="CG115" s="508">
        <f t="shared" si="112"/>
      </c>
      <c r="CH115" s="509">
        <f t="shared" ref="CH115:CH120" si="113">SUM(CD115:CG115)</f>
      </c>
      <c r="CI115" s="508">
        <f>CI44</f>
      </c>
      <c r="CJ115" s="508">
        <f>CJ44</f>
      </c>
      <c r="CK115" s="508">
        <f>CK44</f>
      </c>
      <c r="CL115" s="508">
        <f>CL44</f>
      </c>
      <c r="CM115" s="509">
        <f t="shared" ref="CM115:CM120" si="114">SUM(CI115:CL115)</f>
      </c>
      <c r="CN115" s="508">
        <f>CN44</f>
      </c>
      <c r="CO115" s="508">
        <f>CO44</f>
      </c>
      <c r="CP115" s="508">
        <f>CP44</f>
      </c>
      <c r="CQ115" s="508">
        <f>CQ44+1</f>
      </c>
      <c r="CR115" s="509">
        <f t="shared" ref="CR115:CR120" si="115">SUM(CN115:CQ115)</f>
      </c>
      <c r="CS115" s="508">
        <f>CS44</f>
      </c>
      <c r="CT115" s="508">
        <f>CT44</f>
      </c>
      <c r="CU115" s="508">
        <v>563</v>
      </c>
      <c r="CV115" s="508">
        <f>1666-CU115-CT115-CS115</f>
      </c>
      <c r="CW115" s="509">
        <f t="shared" ref="CW115:CW120" si="116">SUM(CS115:CV115)</f>
      </c>
      <c r="CX115" s="508">
        <f>CX44</f>
      </c>
      <c r="CY115" s="508">
        <f>CY44</f>
      </c>
      <c r="CZ115" s="508">
        <v>839</v>
      </c>
      <c r="DA115" s="508">
        <f>DA44</f>
      </c>
      <c r="DB115" s="509">
        <f t="shared" ref="DB115:DB120" si="117">SUM(CX115:DA115)</f>
      </c>
      <c r="DC115" s="508">
        <f>DC44</f>
      </c>
      <c r="DD115" s="508">
        <f>DD44</f>
      </c>
      <c r="DE115" s="508">
        <f>DE44</f>
      </c>
      <c r="DF115" s="508">
        <f>DF44</f>
      </c>
      <c r="DG115" s="509">
        <f t="shared" ref="DG115:DG120" si="118">SUM(DC115:DF115)</f>
      </c>
      <c r="DH115" s="508">
        <f>DH44</f>
      </c>
      <c r="DI115" s="508">
        <f>DI44</f>
      </c>
      <c r="DJ115" s="508">
        <f>DJ44</f>
      </c>
      <c r="DK115" s="508">
        <f>DK44</f>
      </c>
      <c r="DL115" s="509">
        <f t="shared" ref="DL115:DL120" si="119">SUM(DH115:DK115)</f>
      </c>
      <c r="DM115" s="508">
        <f>DM44</f>
      </c>
      <c r="DN115" s="508">
        <f>DN44</f>
      </c>
      <c r="DO115" s="508">
        <f>DO44</f>
      </c>
      <c r="DP115" s="508">
        <f>DP44</f>
      </c>
      <c r="DQ115" s="509">
        <f t="shared" ref="DQ115:DQ120" si="120">SUM(DM115:DP115)</f>
      </c>
      <c r="DR115" s="508">
        <f>DR44</f>
      </c>
      <c r="DS115" s="508">
        <f>DS44</f>
      </c>
      <c r="DT115" s="508">
        <f>DT44</f>
      </c>
      <c r="DU115" s="508">
        <f>DU44</f>
      </c>
      <c r="DV115" s="509">
        <f t="shared" ref="DV115:DV120" si="121">SUM(DR115:DU115)</f>
      </c>
      <c r="DW115" s="508">
        <f>DW44</f>
      </c>
      <c r="DX115" s="508">
        <f>DX44</f>
      </c>
      <c r="DY115" s="508">
        <f>DY44</f>
      </c>
      <c r="DZ115" s="508">
        <f>DZ44</f>
      </c>
      <c r="EA115" s="509">
        <f t="shared" ref="EA115:EA120" si="122">SUM(DW115:DZ115)</f>
      </c>
      <c r="EB115" s="508">
        <f>EB44</f>
      </c>
      <c r="EC115" s="508">
        <f>EC44</f>
      </c>
      <c r="ED115" s="508">
        <f>ED44</f>
      </c>
      <c r="EE115" s="508">
        <f>EE44</f>
      </c>
      <c r="EF115" s="509">
        <f t="shared" ref="EF115:EF120" si="123">SUM(EB115:EE115)</f>
      </c>
      <c r="EG115" s="508">
        <f>EG44</f>
      </c>
      <c r="EH115" s="508">
        <f>EH44</f>
      </c>
      <c r="EI115" s="508">
        <f>EI44</f>
      </c>
      <c r="EJ115" s="508">
        <f>EJ44</f>
      </c>
      <c r="EK115" s="509">
        <f t="shared" ref="EK115:EK120" si="124">SUM(EG115:EJ115)</f>
      </c>
      <c r="EL115" s="508">
        <f>EL44</f>
      </c>
      <c r="EM115" s="508">
        <f>EM44</f>
      </c>
      <c r="EN115" s="508">
        <f>EN44</f>
      </c>
      <c r="EO115" s="508">
        <f>EO44</f>
      </c>
      <c r="EP115" s="509">
        <f t="shared" ref="EP115:EP120" si="125">SUM(EL115:EO115)</f>
      </c>
      <c r="EQ115" s="508">
        <f>EQ44</f>
      </c>
      <c r="ER115" s="508">
        <f>ER44</f>
      </c>
      <c r="ES115" s="508">
        <f>ES44</f>
      </c>
      <c r="ET115" s="508">
        <f>ET44</f>
      </c>
      <c r="EU115" s="509">
        <f t="shared" ref="EU115:EU120" si="126">SUM(EQ115:ET115)</f>
      </c>
      <c r="EV115" s="508">
        <f>EV44</f>
      </c>
      <c r="EW115" s="508">
        <f>EW44</f>
      </c>
      <c r="EX115" s="508">
        <f>EX44</f>
      </c>
      <c r="EY115" s="508">
        <f>EY44</f>
      </c>
      <c r="EZ115" s="509">
        <f t="shared" ref="EZ115:EZ120" si="127">SUM(EV115:EY115)</f>
      </c>
      <c r="FA115" s="509"/>
      <c r="FB115" s="88"/>
      <c r="FC115" s="88"/>
      <c r="FD115" s="88"/>
      <c r="FE115" s="88"/>
      <c r="FF115" s="88"/>
      <c r="FG115" s="88"/>
      <c r="FH115" s="88"/>
      <c r="FI115" s="88"/>
      <c r="FJ115" s="88"/>
      <c r="FL115" s="111"/>
      <c r="FM115" s="111"/>
    </row>
    <row r="116" spans="1:169">
      <c r="A116" s="106" t="s">
        <v>352</v>
      </c>
      <c r="B116" s="506"/>
      <c r="C116" s="506"/>
      <c r="D116" s="506"/>
      <c r="E116" s="506"/>
      <c r="F116" s="506"/>
      <c r="G116" s="506"/>
      <c r="H116" s="506"/>
      <c r="I116" s="506"/>
      <c r="J116" s="506"/>
      <c r="K116" s="474"/>
      <c r="L116" s="508">
        <f>L11</f>
      </c>
      <c r="M116" s="508">
        <f>M11</f>
      </c>
      <c r="N116" s="508">
        <f>N11</f>
      </c>
      <c r="O116" s="508">
        <f>O11</f>
      </c>
      <c r="P116" s="509">
        <f t="shared" si="100"/>
      </c>
      <c r="Q116" s="508">
        <f>Q11</f>
      </c>
      <c r="R116" s="508">
        <f>R11</f>
      </c>
      <c r="S116" s="508">
        <f>S11</f>
      </c>
      <c r="T116" s="508">
        <f>T11</f>
      </c>
      <c r="U116" s="509">
        <f t="shared" si="101"/>
      </c>
      <c r="V116" s="508">
        <f>V11</f>
      </c>
      <c r="W116" s="508">
        <f>W11</f>
      </c>
      <c r="X116" s="508">
        <f>X11</f>
      </c>
      <c r="Y116" s="508">
        <f>Y11</f>
      </c>
      <c r="Z116" s="509">
        <f t="shared" si="102"/>
      </c>
      <c r="AA116" s="508">
        <f>AA11</f>
      </c>
      <c r="AB116" s="508">
        <f>AB11</f>
      </c>
      <c r="AC116" s="508">
        <f>AC11</f>
      </c>
      <c r="AD116" s="508">
        <v>15.150999999999994</v>
      </c>
      <c r="AE116" s="509">
        <f t="shared" si="103"/>
      </c>
      <c r="AF116" s="508">
        <f>AF11</f>
      </c>
      <c r="AG116" s="508">
        <f>AG11</f>
      </c>
      <c r="AH116" s="508">
        <f>AH11</f>
      </c>
      <c r="AI116" s="508">
        <f>AI11</f>
      </c>
      <c r="AJ116" s="509">
        <f t="shared" si="104"/>
      </c>
      <c r="AK116" s="508">
        <f>AK11</f>
      </c>
      <c r="AL116" s="508">
        <f>AL11</f>
      </c>
      <c r="AM116" s="508">
        <f>71.512-SUM(AK116:AL116)</f>
      </c>
      <c r="AN116" s="508">
        <f>102.597-SUM(AK116:AM116)</f>
      </c>
      <c r="AO116" s="509">
        <f t="shared" si="105"/>
      </c>
      <c r="AP116" s="508">
        <v>24.893000000000001</v>
      </c>
      <c r="AQ116" s="508">
        <f>AQ11</f>
      </c>
      <c r="AR116" s="508">
        <f>AR11</f>
      </c>
      <c r="AS116" s="508">
        <f>AS11</f>
      </c>
      <c r="AT116" s="509">
        <f t="shared" si="106"/>
      </c>
      <c r="AU116" s="508">
        <v>24.030999999999999</v>
      </c>
      <c r="AV116" s="508">
        <f>48.239-AU116</f>
      </c>
      <c r="AW116" s="508">
        <f>73.27-SUM(AU116:AV116)</f>
      </c>
      <c r="AX116" s="508">
        <f>107.562-SUM(AU116:AW116)</f>
      </c>
      <c r="AY116" s="509">
        <f t="shared" si="107"/>
      </c>
      <c r="AZ116" s="508">
        <v>31.334</v>
      </c>
      <c r="BA116" s="508">
        <f>63.226-AZ116</f>
      </c>
      <c r="BB116" s="508">
        <f>96.256-SUM(AZ116:BA116)</f>
      </c>
      <c r="BC116" s="508">
        <f>133.192-SUM(AZ116:BB116)</f>
      </c>
      <c r="BD116" s="509">
        <f t="shared" si="108"/>
      </c>
      <c r="BE116" s="508">
        <v>41.357999999999997</v>
      </c>
      <c r="BF116" s="508">
        <f>87.664-SUM(BE116)</f>
      </c>
      <c r="BG116" s="508">
        <f>136.968-BF116-BE116</f>
      </c>
      <c r="BH116" s="508">
        <f>185.023-BG116-BF116-BE116</f>
      </c>
      <c r="BI116" s="509">
        <f t="shared" si="109"/>
      </c>
      <c r="BJ116" s="508">
        <v>50.658000000000001</v>
      </c>
      <c r="BK116" s="508">
        <f>99.98-BJ116</f>
      </c>
      <c r="BL116" s="508">
        <f>BL11</f>
      </c>
      <c r="BM116" s="508">
        <f>196.664-BL116-BK116-BJ116</f>
      </c>
      <c r="BN116" s="509">
        <f t="shared" si="110"/>
      </c>
      <c r="BO116" s="508">
        <v>47.146999999999998</v>
      </c>
      <c r="BP116" s="508">
        <v>46.573</v>
      </c>
      <c r="BQ116" s="508">
        <v>46.875999999999998</v>
      </c>
      <c r="BR116" s="508">
        <f>186.989-BQ116-BP116-BO116</f>
      </c>
      <c r="BS116" s="509">
        <f t="shared" si="111"/>
      </c>
      <c r="BT116" s="508">
        <f>BT11</f>
      </c>
      <c r="BU116" s="508">
        <f>BU11</f>
      </c>
      <c r="BV116" s="508">
        <f>BV11</f>
      </c>
      <c r="BW116" s="508">
        <f>BW11</f>
      </c>
      <c r="BX116" s="509">
        <f>SUM(BT116:BW116)</f>
      </c>
      <c r="BY116" s="508">
        <f>BY11</f>
      </c>
      <c r="BZ116" s="508">
        <f>BZ11</f>
      </c>
      <c r="CA116" s="508">
        <f>CA11</f>
      </c>
      <c r="CB116" s="508">
        <f>226.235-CA116-BZ116-BY116</f>
      </c>
      <c r="CC116" s="509">
        <f>SUM(BY116:CB116)</f>
      </c>
      <c r="CD116" s="508">
        <v>59.744</v>
      </c>
      <c r="CE116" s="508">
        <f>CE11</f>
      </c>
      <c r="CF116" s="508">
        <f>CF11</f>
      </c>
      <c r="CG116" s="508">
        <f>CG11</f>
      </c>
      <c r="CH116" s="509">
        <f t="shared" si="113"/>
      </c>
      <c r="CI116" s="508">
        <f>CI11</f>
      </c>
      <c r="CJ116" s="508">
        <f>CJ11</f>
      </c>
      <c r="CK116" s="508">
        <f>166.17-CJ116-CI116</f>
      </c>
      <c r="CL116" s="508">
        <f>220.125-CK116-CJ116-CI116</f>
      </c>
      <c r="CM116" s="509">
        <f t="shared" si="114"/>
      </c>
      <c r="CN116" s="508">
        <v>54</v>
      </c>
      <c r="CO116" s="508">
        <f>103-CN116</f>
      </c>
      <c r="CP116" s="508">
        <f>151-CO116-CN116</f>
      </c>
      <c r="CQ116" s="508">
        <f>197-CP116-CO116-CN116</f>
      </c>
      <c r="CR116" s="509">
        <f t="shared" si="115"/>
      </c>
      <c r="CS116" s="508">
        <f>CS11</f>
      </c>
      <c r="CT116" s="508">
        <f>CT11</f>
      </c>
      <c r="CU116" s="508">
        <f>CU11</f>
      </c>
      <c r="CV116" s="508">
        <f>187-CU116-CT116-CS116</f>
      </c>
      <c r="CW116" s="509">
        <f t="shared" si="116"/>
      </c>
      <c r="CX116" s="508">
        <v>47</v>
      </c>
      <c r="CY116" s="508">
        <f>96-CX116</f>
      </c>
      <c r="CZ116" s="508">
        <f>145-CY116-CX116</f>
      </c>
      <c r="DA116" s="508">
        <f>199-CZ116-CY116-CX116</f>
      </c>
      <c r="DB116" s="509">
        <f t="shared" si="117"/>
      </c>
      <c r="DC116" s="508">
        <v>57</v>
      </c>
      <c r="DD116" s="508">
        <f>116-DC116</f>
      </c>
      <c r="DE116" s="508">
        <f>184-DD116-DC116</f>
      </c>
      <c r="DF116" s="508">
        <f>262-DE116-DD116-DC116</f>
      </c>
      <c r="DG116" s="509">
        <f t="shared" si="118"/>
      </c>
      <c r="DH116" s="508">
        <f>DH11</f>
      </c>
      <c r="DI116" s="508">
        <f>183-DH116</f>
      </c>
      <c r="DJ116" s="508">
        <f>275-DI116-DH116</f>
      </c>
      <c r="DK116" s="508">
        <v>106</v>
      </c>
      <c r="DL116" s="509">
        <f t="shared" si="119"/>
      </c>
      <c r="DM116" s="508">
        <v>107</v>
      </c>
      <c r="DN116" s="508">
        <v>404</v>
      </c>
      <c r="DO116" s="508">
        <v>299</v>
      </c>
      <c r="DP116" s="508">
        <v>287</v>
      </c>
      <c r="DQ116" s="509">
        <f t="shared" si="120"/>
      </c>
      <c r="DR116" s="508">
        <v>281</v>
      </c>
      <c r="DS116" s="508">
        <v>286</v>
      </c>
      <c r="DT116" s="508">
        <v>298</v>
      </c>
      <c r="DU116" s="508">
        <v>309</v>
      </c>
      <c r="DV116" s="509">
        <f t="shared" si="121"/>
      </c>
      <c r="DW116" s="508">
        <v>334</v>
      </c>
      <c r="DX116" s="508">
        <v>378</v>
      </c>
      <c r="DY116" s="508">
        <v>406</v>
      </c>
      <c r="DZ116" s="508">
        <v>426</v>
      </c>
      <c r="EA116" s="509">
        <f t="shared" si="122"/>
      </c>
      <c r="EB116" s="508">
        <v>384</v>
      </c>
      <c r="EC116" s="508">
        <v>365</v>
      </c>
      <c r="ED116" s="508">
        <v>372</v>
      </c>
      <c r="EE116" s="508">
        <v>387</v>
      </c>
      <c r="EF116" s="509">
        <f t="shared" si="123"/>
      </c>
      <c r="EG116" s="508">
        <v>410</v>
      </c>
      <c r="EH116" s="508">
        <v>433</v>
      </c>
      <c r="EI116" s="508">
        <v>478</v>
      </c>
      <c r="EJ116" s="508">
        <v>543</v>
      </c>
      <c r="EK116" s="509">
        <f t="shared" si="124"/>
      </c>
      <c r="EL116" s="508">
        <v>611</v>
      </c>
      <c r="EM116" s="508">
        <v>668</v>
      </c>
      <c r="EN116" s="508">
        <f>EN11</f>
      </c>
      <c r="EO116" s="508">
        <f>EO11</f>
      </c>
      <c r="EP116" s="509">
        <f t="shared" si="125"/>
      </c>
      <c r="EQ116" s="508">
        <f>EQ11</f>
      </c>
      <c r="ER116" s="508">
        <f>ER11</f>
      </c>
      <c r="ES116" s="508">
        <f>ES11</f>
      </c>
      <c r="ET116" s="508">
        <f>ET11</f>
      </c>
      <c r="EU116" s="509">
        <f t="shared" si="126"/>
      </c>
      <c r="EV116" s="508">
        <f>EV11</f>
      </c>
      <c r="EW116" s="508">
        <f>EW11</f>
      </c>
      <c r="EX116" s="508">
        <f>EX11</f>
      </c>
      <c r="EY116" s="508">
        <f>EY11</f>
      </c>
      <c r="EZ116" s="509">
        <f t="shared" si="127"/>
      </c>
      <c r="FA116" s="509"/>
      <c r="FB116" s="88"/>
      <c r="FC116" s="88"/>
      <c r="FD116" s="88"/>
      <c r="FE116" s="88"/>
      <c r="FF116" s="88"/>
      <c r="FG116" s="88"/>
      <c r="FH116" s="88"/>
      <c r="FI116" s="88"/>
      <c r="FJ116" s="88"/>
      <c r="FL116" s="111"/>
      <c r="FM116" s="111"/>
    </row>
    <row r="117" spans="1:169">
      <c r="A117" s="106" t="s">
        <v>422</v>
      </c>
      <c r="B117" s="506"/>
      <c r="C117" s="506"/>
      <c r="D117" s="506"/>
      <c r="E117" s="506"/>
      <c r="F117" s="506"/>
      <c r="G117" s="506"/>
      <c r="H117" s="506"/>
      <c r="I117" s="506"/>
      <c r="J117" s="506"/>
      <c r="K117" s="474"/>
      <c r="L117" s="508"/>
      <c r="M117" s="508"/>
      <c r="N117" s="508"/>
      <c r="O117" s="508"/>
      <c r="P117" s="509">
        <f t="shared" si="100"/>
      </c>
      <c r="Q117" s="508"/>
      <c r="R117" s="508"/>
      <c r="S117" s="508"/>
      <c r="T117" s="508">
        <v>-27.201000000000001</v>
      </c>
      <c r="U117" s="509">
        <f t="shared" si="101"/>
      </c>
      <c r="V117" s="508">
        <v>4.1539999999999999</v>
      </c>
      <c r="W117" s="508">
        <f>-8.301-V117</f>
      </c>
      <c r="X117" s="508">
        <f>-10.592-W117-V117</f>
      </c>
      <c r="Y117" s="508">
        <f>-51.914-X117-W117-V117</f>
      </c>
      <c r="Z117" s="509">
        <f t="shared" si="102"/>
      </c>
      <c r="AA117" s="508">
        <v>-0.12</v>
      </c>
      <c r="AB117" s="508">
        <f>-0.12-AA117</f>
      </c>
      <c r="AC117" s="508">
        <f>-0.12-AB117-AA117</f>
      </c>
      <c r="AD117" s="508">
        <v>29.888000000000002</v>
      </c>
      <c r="AE117" s="509">
        <f t="shared" si="103"/>
      </c>
      <c r="AF117" s="508">
        <v>0.156</v>
      </c>
      <c r="AG117" s="508">
        <v>0</v>
      </c>
      <c r="AH117" s="508">
        <f>0-SUM(AF117:AG117)</f>
      </c>
      <c r="AI117" s="508">
        <v>55.134999999999998</v>
      </c>
      <c r="AJ117" s="509">
        <f t="shared" si="104"/>
      </c>
      <c r="AK117" s="508">
        <v>0</v>
      </c>
      <c r="AL117" s="508">
        <v>0</v>
      </c>
      <c r="AM117" s="508">
        <v>0</v>
      </c>
      <c r="AN117" s="508">
        <f>12.141-SUM(AK117:AM117)</f>
      </c>
      <c r="AO117" s="509">
        <f t="shared" si="105"/>
      </c>
      <c r="AP117" s="508">
        <v>0</v>
      </c>
      <c r="AQ117" s="508">
        <v>0</v>
      </c>
      <c r="AR117" s="507">
        <v>0</v>
      </c>
      <c r="AS117" s="507">
        <v>0</v>
      </c>
      <c r="AT117" s="509">
        <f t="shared" si="106"/>
      </c>
      <c r="AU117" s="507">
        <v>0</v>
      </c>
      <c r="AV117" s="507">
        <f>28.237-AU117</f>
      </c>
      <c r="AW117" s="507">
        <f>25.617-SUM(AU117:AV117)</f>
      </c>
      <c r="AX117" s="507">
        <f>41.766-SUM(AU117:AW117)</f>
      </c>
      <c r="AY117" s="509">
        <f t="shared" si="107"/>
      </c>
      <c r="AZ117" s="507">
        <v>0</v>
      </c>
      <c r="BA117" s="507">
        <v>0</v>
      </c>
      <c r="BB117" s="507">
        <v>67.278999999999996</v>
      </c>
      <c r="BC117" s="507">
        <f>89.516-SUM(AZ117:BB117)</f>
      </c>
      <c r="BD117" s="509">
        <f t="shared" si="108"/>
      </c>
      <c r="BE117" s="507">
        <v>31.186</v>
      </c>
      <c r="BF117" s="507">
        <f>5.547-SUM(BE117)</f>
      </c>
      <c r="BG117" s="507">
        <f>1.568-BF117-BE117</f>
      </c>
      <c r="BH117" s="507">
        <f>-23.277-BG117-BF117-BE117</f>
      </c>
      <c r="BI117" s="509">
        <f t="shared" si="109"/>
      </c>
      <c r="BJ117" s="507">
        <v>-15.378</v>
      </c>
      <c r="BK117" s="507">
        <f>-28.031-BJ117</f>
      </c>
      <c r="BL117" s="507">
        <v>0</v>
      </c>
      <c r="BM117" s="507">
        <f>-21.147-BL117-BK117-BJ117</f>
      </c>
      <c r="BN117" s="509">
        <f t="shared" si="110"/>
      </c>
      <c r="BO117" s="507">
        <v>0</v>
      </c>
      <c r="BP117" s="507">
        <v>-15.244</v>
      </c>
      <c r="BQ117" s="507">
        <f>-0.172-BP117</f>
      </c>
      <c r="BR117" s="507">
        <f>-2.646-BQ117-BP117-BO117</f>
      </c>
      <c r="BS117" s="509">
        <f t="shared" si="111"/>
      </c>
      <c r="BT117" s="507">
        <v>8.4149999999999991</v>
      </c>
      <c r="BU117" s="507">
        <f>20.082-BT117</f>
      </c>
      <c r="BV117" s="507">
        <f>14.242-BU117-BT117</f>
      </c>
      <c r="BW117" s="507">
        <f>19.056-BV117-BU117-BT117</f>
      </c>
      <c r="BX117" s="509">
        <f>SUM(BT117:BW117)</f>
      </c>
      <c r="BY117" s="507">
        <v>3.63</v>
      </c>
      <c r="BZ117" s="507">
        <f>13.791-BY117</f>
      </c>
      <c r="CA117" s="507">
        <f>42.684-BZ117-BY117</f>
      </c>
      <c r="CB117" s="507">
        <f>31.86-CA117-BZ117-BY117</f>
      </c>
      <c r="CC117" s="509">
        <f>SUM(BY117:CB117)</f>
      </c>
      <c r="CD117" s="507">
        <v>-3.0630000000000002</v>
      </c>
      <c r="CE117" s="507">
        <f>-0.611-CD117</f>
      </c>
      <c r="CF117" s="507">
        <f>7.914-CE117-CD117</f>
      </c>
      <c r="CG117" s="507">
        <f>15.43-CF117-CE117-CD117</f>
      </c>
      <c r="CH117" s="509">
        <f t="shared" si="113"/>
      </c>
      <c r="CI117" s="507">
        <v>21.463999999999999</v>
      </c>
      <c r="CJ117" s="507">
        <f>38.313-CI117</f>
      </c>
      <c r="CK117" s="507">
        <f>62.081-CJ117-CI117</f>
      </c>
      <c r="CL117" s="507">
        <f>82.569-CK117-CJ117-CI117</f>
      </c>
      <c r="CM117" s="509">
        <f t="shared" si="114"/>
      </c>
      <c r="CN117" s="507">
        <v>28</v>
      </c>
      <c r="CO117" s="507">
        <f>65-CN117</f>
      </c>
      <c r="CP117" s="507">
        <f>107-CO117-CN117</f>
      </c>
      <c r="CQ117" s="507">
        <f>134-CP117-CO117-CN117</f>
      </c>
      <c r="CR117" s="509">
        <f t="shared" si="115"/>
      </c>
      <c r="CS117" s="508">
        <v>33</v>
      </c>
      <c r="CT117" s="508">
        <f>74-CS117</f>
      </c>
      <c r="CU117" s="508">
        <f>146-CT117-CS117</f>
      </c>
      <c r="CV117" s="508">
        <f>197-CU117-CT117-CS117</f>
      </c>
      <c r="CW117" s="509">
        <f t="shared" si="116"/>
      </c>
      <c r="CX117" s="507">
        <v>22</v>
      </c>
      <c r="CY117" s="507">
        <f>115-CX117</f>
      </c>
      <c r="CZ117" s="507">
        <f>158-CY117-CX117</f>
      </c>
      <c r="DA117" s="507">
        <f>-359-CZ117-CY117-CX117</f>
      </c>
      <c r="DB117" s="509">
        <f t="shared" si="117"/>
      </c>
      <c r="DC117" s="507">
        <v>51</v>
      </c>
      <c r="DD117" s="507">
        <f>113-DC117</f>
      </c>
      <c r="DE117" s="507">
        <f>30-DD117-DC117</f>
      </c>
      <c r="DF117" s="507">
        <f>-315-DE117-DD117-DC117</f>
      </c>
      <c r="DG117" s="509">
        <f t="shared" si="118"/>
      </c>
      <c r="DH117" s="507">
        <v>-42</v>
      </c>
      <c r="DI117" s="507">
        <f>-27-DH117</f>
      </c>
      <c r="DJ117" s="507">
        <f>-5-DI117-DH117</f>
      </c>
      <c r="DK117" s="507">
        <v>23</v>
      </c>
      <c r="DL117" s="509">
        <f t="shared" si="119"/>
      </c>
      <c r="DM117" s="507">
        <v>0</v>
      </c>
      <c r="DN117" s="507">
        <v>0</v>
      </c>
      <c r="DO117" s="507">
        <v>-53</v>
      </c>
      <c r="DP117" s="507">
        <v>-164</v>
      </c>
      <c r="DQ117" s="509">
        <f t="shared" si="120"/>
      </c>
      <c r="DR117" s="507">
        <v>24</v>
      </c>
      <c r="DS117" s="507">
        <v>0</v>
      </c>
      <c r="DT117" s="507">
        <v>-21</v>
      </c>
      <c r="DU117" s="507">
        <v>-225</v>
      </c>
      <c r="DV117" s="509">
        <f t="shared" si="121"/>
      </c>
      <c r="DW117" s="507">
        <v>-542</v>
      </c>
      <c r="DX117" s="507">
        <v>0</v>
      </c>
      <c r="DY117" s="507">
        <v>-532</v>
      </c>
      <c r="DZ117" s="507">
        <v>-647</v>
      </c>
      <c r="EA117" s="509">
        <f t="shared" si="122"/>
      </c>
      <c r="EB117" s="507">
        <v>-1135</v>
      </c>
      <c r="EC117" s="507">
        <v>-746</v>
      </c>
      <c r="ED117" s="507">
        <v>-529</v>
      </c>
      <c r="EE117" s="507">
        <v>-78</v>
      </c>
      <c r="EF117" s="509">
        <f t="shared" si="123"/>
      </c>
      <c r="EG117" s="507">
        <v>-1577</v>
      </c>
      <c r="EH117" s="507">
        <v>-1699</v>
      </c>
      <c r="EI117" s="507">
        <v>-602</v>
      </c>
      <c r="EJ117" s="507">
        <v>-598</v>
      </c>
      <c r="EK117" s="509">
        <f t="shared" si="124"/>
      </c>
      <c r="EL117" s="507">
        <v>-2177</v>
      </c>
      <c r="EM117" s="507">
        <v>18</v>
      </c>
      <c r="EN117" s="510">
        <v>0</v>
      </c>
      <c r="EO117" s="510">
        <v>0</v>
      </c>
      <c r="EP117" s="509">
        <f t="shared" si="125"/>
      </c>
      <c r="EQ117" s="510">
        <v>0</v>
      </c>
      <c r="ER117" s="510">
        <v>0</v>
      </c>
      <c r="ES117" s="510">
        <v>0</v>
      </c>
      <c r="ET117" s="510">
        <v>0</v>
      </c>
      <c r="EU117" s="509">
        <f t="shared" si="126"/>
      </c>
      <c r="EV117" s="510">
        <v>0</v>
      </c>
      <c r="EW117" s="510">
        <v>0</v>
      </c>
      <c r="EX117" s="510">
        <v>0</v>
      </c>
      <c r="EY117" s="510">
        <v>0</v>
      </c>
      <c r="EZ117" s="509">
        <f t="shared" si="127"/>
      </c>
      <c r="FA117" s="509"/>
      <c r="FB117" s="88"/>
      <c r="FC117" s="88"/>
      <c r="FD117" s="88"/>
      <c r="FE117" s="88"/>
      <c r="FF117" s="88"/>
      <c r="FG117" s="88"/>
      <c r="FH117" s="88"/>
      <c r="FI117" s="88"/>
      <c r="FJ117" s="88"/>
      <c r="FL117" s="111"/>
      <c r="FM117" s="111"/>
    </row>
    <row r="118" spans="1:169">
      <c r="A118" s="106" t="s">
        <v>423</v>
      </c>
      <c r="B118" s="506"/>
      <c r="C118" s="506"/>
      <c r="D118" s="506"/>
      <c r="E118" s="506"/>
      <c r="F118" s="506"/>
      <c r="G118" s="506"/>
      <c r="H118" s="506"/>
      <c r="I118" s="506"/>
      <c r="J118" s="506"/>
      <c r="K118" s="474"/>
      <c r="L118" s="508">
        <v>0.25900000000000001</v>
      </c>
      <c r="M118" s="508">
        <f>0.452-L118</f>
      </c>
      <c r="N118" s="508">
        <f>0.578-M118-L118</f>
      </c>
      <c r="O118" s="508">
        <f>0.662-N118-M118-L118</f>
      </c>
      <c r="P118" s="509">
        <f t="shared" si="100"/>
      </c>
      <c r="Q118" s="508">
        <v>5.2999999999999999E-2</v>
      </c>
      <c r="R118" s="508">
        <f>0.085-Q118</f>
      </c>
      <c r="S118" s="508">
        <f>0.103-R118-Q118</f>
      </c>
      <c r="T118" s="508">
        <f>0.112-S118-R118-Q118</f>
      </c>
      <c r="U118" s="509">
        <f t="shared" si="101"/>
      </c>
      <c r="V118" s="508">
        <v>4.0000000000000001E-3</v>
      </c>
      <c r="W118" s="508">
        <f>0.006-V118</f>
      </c>
      <c r="X118" s="508">
        <f>0.006-W118-V118</f>
      </c>
      <c r="Y118" s="508">
        <f>0.006-X118-W118-V118</f>
      </c>
      <c r="Z118" s="509">
        <f t="shared" si="102"/>
      </c>
      <c r="AA118" s="508">
        <v>0</v>
      </c>
      <c r="AB118" s="508">
        <v>0</v>
      </c>
      <c r="AC118" s="508">
        <v>0</v>
      </c>
      <c r="AD118" s="508">
        <v>0</v>
      </c>
      <c r="AE118" s="509">
        <f t="shared" si="103"/>
      </c>
      <c r="AF118" s="508">
        <v>0</v>
      </c>
      <c r="AG118" s="508">
        <v>0</v>
      </c>
      <c r="AH118" s="508">
        <v>0</v>
      </c>
      <c r="AI118" s="508">
        <v>0.67200000000000004</v>
      </c>
      <c r="AJ118" s="509">
        <f t="shared" si="104"/>
      </c>
      <c r="AK118" s="508">
        <v>0</v>
      </c>
      <c r="AL118" s="508">
        <v>0</v>
      </c>
      <c r="AM118" s="508">
        <v>0</v>
      </c>
      <c r="AN118" s="508">
        <f>1.337-SUM(AK118:AM118)</f>
      </c>
      <c r="AO118" s="509">
        <f t="shared" si="105"/>
      </c>
      <c r="AP118" s="508">
        <v>0.28499999999999998</v>
      </c>
      <c r="AQ118" s="508">
        <f>0-AP118</f>
      </c>
      <c r="AR118" s="507">
        <f>0-SUM(AP118:AQ118)</f>
      </c>
      <c r="AS118" s="507">
        <v>0</v>
      </c>
      <c r="AT118" s="509">
        <f t="shared" si="106"/>
      </c>
      <c r="AU118" s="507">
        <v>0</v>
      </c>
      <c r="AV118" s="507">
        <v>0</v>
      </c>
      <c r="AW118" s="507">
        <v>0</v>
      </c>
      <c r="AX118" s="507">
        <v>0</v>
      </c>
      <c r="AY118" s="509">
        <f t="shared" si="107"/>
      </c>
      <c r="AZ118" s="507">
        <v>0</v>
      </c>
      <c r="BA118" s="507">
        <v>0</v>
      </c>
      <c r="BB118" s="507">
        <v>0</v>
      </c>
      <c r="BC118" s="507">
        <v>0</v>
      </c>
      <c r="BD118" s="509">
        <f t="shared" si="108"/>
      </c>
      <c r="BE118" s="507">
        <v>0</v>
      </c>
      <c r="BF118" s="507">
        <v>0</v>
      </c>
      <c r="BG118" s="507">
        <v>0</v>
      </c>
      <c r="BH118" s="507">
        <v>0</v>
      </c>
      <c r="BI118" s="509">
        <f t="shared" si="109"/>
      </c>
      <c r="BJ118" s="507">
        <v>0</v>
      </c>
      <c r="BK118" s="507">
        <v>0</v>
      </c>
      <c r="BL118" s="507">
        <v>0</v>
      </c>
      <c r="BM118" s="507">
        <v>0</v>
      </c>
      <c r="BN118" s="509">
        <f t="shared" si="110"/>
      </c>
      <c r="BO118" s="507">
        <v>0</v>
      </c>
      <c r="BP118" s="507">
        <v>0</v>
      </c>
      <c r="BQ118" s="507">
        <v>0</v>
      </c>
      <c r="BR118" s="507">
        <v>0</v>
      </c>
      <c r="BS118" s="509">
        <f t="shared" si="111"/>
      </c>
      <c r="BT118" s="507">
        <v>0</v>
      </c>
      <c r="BU118" s="507">
        <v>0</v>
      </c>
      <c r="BV118" s="507">
        <v>0</v>
      </c>
      <c r="BW118" s="507">
        <v>0</v>
      </c>
      <c r="BX118" s="509">
        <f>SUM(BT118:BW118)</f>
      </c>
      <c r="BY118" s="507">
        <v>0</v>
      </c>
      <c r="BZ118" s="507">
        <v>0</v>
      </c>
      <c r="CA118" s="507">
        <v>0</v>
      </c>
      <c r="CB118" s="507">
        <v>0</v>
      </c>
      <c r="CC118" s="509">
        <f>SUM(BY118:CB118)</f>
      </c>
      <c r="CD118" s="507">
        <v>0</v>
      </c>
      <c r="CE118" s="507">
        <v>0</v>
      </c>
      <c r="CF118" s="507">
        <v>0</v>
      </c>
      <c r="CG118" s="507">
        <v>0</v>
      </c>
      <c r="CH118" s="509">
        <f t="shared" si="113"/>
      </c>
      <c r="CI118" s="507">
        <v>0</v>
      </c>
      <c r="CJ118" s="507">
        <v>0</v>
      </c>
      <c r="CK118" s="507">
        <v>0</v>
      </c>
      <c r="CL118" s="507">
        <v>0</v>
      </c>
      <c r="CM118" s="509">
        <f t="shared" si="114"/>
      </c>
      <c r="CN118" s="507">
        <v>0</v>
      </c>
      <c r="CO118" s="507">
        <v>0</v>
      </c>
      <c r="CP118" s="510">
        <v>0</v>
      </c>
      <c r="CQ118" s="510">
        <v>0</v>
      </c>
      <c r="CR118" s="509">
        <f t="shared" si="115"/>
      </c>
      <c r="CS118" s="508">
        <v>0</v>
      </c>
      <c r="CT118" s="508">
        <v>0</v>
      </c>
      <c r="CU118" s="508">
        <v>0</v>
      </c>
      <c r="CV118" s="508">
        <v>0</v>
      </c>
      <c r="CW118" s="509">
        <f t="shared" si="116"/>
      </c>
      <c r="CX118" s="507">
        <v>0</v>
      </c>
      <c r="CY118" s="507">
        <v>0</v>
      </c>
      <c r="CZ118" s="507">
        <v>0</v>
      </c>
      <c r="DA118" s="507">
        <v>0</v>
      </c>
      <c r="DB118" s="509">
        <f t="shared" si="117"/>
      </c>
      <c r="DC118" s="507">
        <v>0</v>
      </c>
      <c r="DD118" s="507">
        <v>0</v>
      </c>
      <c r="DE118" s="507">
        <v>0</v>
      </c>
      <c r="DF118" s="507">
        <v>0</v>
      </c>
      <c r="DG118" s="509">
        <f t="shared" si="118"/>
      </c>
      <c r="DH118" s="507">
        <v>0</v>
      </c>
      <c r="DI118" s="507">
        <v>0</v>
      </c>
      <c r="DJ118" s="507">
        <v>0</v>
      </c>
      <c r="DK118" s="507">
        <v>0</v>
      </c>
      <c r="DL118" s="509">
        <f t="shared" si="119"/>
      </c>
      <c r="DM118" s="507">
        <v>0</v>
      </c>
      <c r="DN118" s="507">
        <v>0</v>
      </c>
      <c r="DO118" s="507">
        <v>0</v>
      </c>
      <c r="DP118" s="507">
        <v>0</v>
      </c>
      <c r="DQ118" s="509">
        <f t="shared" si="120"/>
      </c>
      <c r="DR118" s="507">
        <v>0</v>
      </c>
      <c r="DS118" s="507">
        <v>0</v>
      </c>
      <c r="DT118" s="507">
        <v>0</v>
      </c>
      <c r="DU118" s="507">
        <v>0</v>
      </c>
      <c r="DV118" s="509">
        <f t="shared" si="121"/>
      </c>
      <c r="DW118" s="507">
        <v>0</v>
      </c>
      <c r="DX118" s="507">
        <v>0</v>
      </c>
      <c r="DY118" s="507">
        <v>0</v>
      </c>
      <c r="DZ118" s="507">
        <v>0</v>
      </c>
      <c r="EA118" s="509">
        <f t="shared" si="122"/>
      </c>
      <c r="EB118" s="507">
        <v>0</v>
      </c>
      <c r="EC118" s="507">
        <v>0</v>
      </c>
      <c r="ED118" s="507">
        <v>0</v>
      </c>
      <c r="EE118" s="507">
        <v>0</v>
      </c>
      <c r="EF118" s="509">
        <f t="shared" si="123"/>
      </c>
      <c r="EG118" s="507">
        <v>0</v>
      </c>
      <c r="EH118" s="507">
        <v>0</v>
      </c>
      <c r="EI118" s="507">
        <v>0</v>
      </c>
      <c r="EJ118" s="507">
        <v>0</v>
      </c>
      <c r="EK118" s="509">
        <f t="shared" si="124"/>
      </c>
      <c r="EL118" s="507">
        <v>0</v>
      </c>
      <c r="EM118" s="507">
        <v>0</v>
      </c>
      <c r="EN118" s="510">
        <v>0</v>
      </c>
      <c r="EO118" s="510">
        <v>0</v>
      </c>
      <c r="EP118" s="509">
        <f t="shared" si="125"/>
      </c>
      <c r="EQ118" s="510">
        <v>0</v>
      </c>
      <c r="ER118" s="510">
        <v>0</v>
      </c>
      <c r="ES118" s="510">
        <v>0</v>
      </c>
      <c r="ET118" s="510">
        <v>0</v>
      </c>
      <c r="EU118" s="509">
        <f t="shared" si="126"/>
      </c>
      <c r="EV118" s="510">
        <v>0</v>
      </c>
      <c r="EW118" s="510">
        <v>0</v>
      </c>
      <c r="EX118" s="510">
        <v>0</v>
      </c>
      <c r="EY118" s="510">
        <v>0</v>
      </c>
      <c r="EZ118" s="509">
        <f t="shared" si="127"/>
      </c>
      <c r="FA118" s="509"/>
      <c r="FB118" s="88"/>
      <c r="FC118" s="88"/>
      <c r="FD118" s="88"/>
      <c r="FE118" s="88"/>
      <c r="FF118" s="88"/>
      <c r="FG118" s="88"/>
      <c r="FH118" s="88"/>
      <c r="FI118" s="88"/>
      <c r="FJ118" s="88"/>
      <c r="FL118" s="111"/>
      <c r="FM118" s="111"/>
    </row>
    <row r="119" spans="1:169">
      <c r="A119" s="106" t="s">
        <v>424</v>
      </c>
      <c r="B119" s="506"/>
      <c r="C119" s="506"/>
      <c r="D119" s="506"/>
      <c r="E119" s="506"/>
      <c r="F119" s="506"/>
      <c r="G119" s="506"/>
      <c r="H119" s="506"/>
      <c r="I119" s="506"/>
      <c r="J119" s="506"/>
      <c r="K119" s="474"/>
      <c r="L119" s="508">
        <v>4.2999999999999997E-2</v>
      </c>
      <c r="M119" s="508">
        <f>0.503-L119</f>
      </c>
      <c r="N119" s="508">
        <f>1.857-M119-L119</f>
      </c>
      <c r="O119" s="508">
        <f>10.613-N119-M119-L119</f>
      </c>
      <c r="P119" s="509">
        <f t="shared" si="100"/>
      </c>
      <c r="Q119" s="508">
        <v>13.977</v>
      </c>
      <c r="R119" s="508">
        <f>30.325-Q119</f>
      </c>
      <c r="S119" s="508">
        <f>53.424-R119-Q119</f>
      </c>
      <c r="T119" s="508">
        <f>63.199-S119-R119-Q119</f>
      </c>
      <c r="U119" s="509">
        <f t="shared" si="101"/>
      </c>
      <c r="V119" s="508">
        <v>15.214</v>
      </c>
      <c r="W119" s="508">
        <f>30.82-V119</f>
      </c>
      <c r="X119" s="508">
        <f>58.299-W119-V119</f>
      </c>
      <c r="Y119" s="508">
        <f>88.932-X119-W119-V119</f>
      </c>
      <c r="Z119" s="509">
        <f t="shared" si="102"/>
      </c>
      <c r="AA119" s="508">
        <v>7.03</v>
      </c>
      <c r="AB119" s="508">
        <f>9.12-AA119</f>
      </c>
      <c r="AC119" s="508">
        <f>9.12-AB119-AA119</f>
      </c>
      <c r="AD119" s="508">
        <v>6.0000000000000497E-2</v>
      </c>
      <c r="AE119" s="509">
        <f t="shared" si="103"/>
      </c>
      <c r="AF119" s="508">
        <v>0</v>
      </c>
      <c r="AG119" s="508">
        <v>0</v>
      </c>
      <c r="AH119" s="508">
        <v>0</v>
      </c>
      <c r="AI119" s="508">
        <v>8.4879999999999995</v>
      </c>
      <c r="AJ119" s="509">
        <f t="shared" si="104"/>
      </c>
      <c r="AK119" s="508">
        <v>0</v>
      </c>
      <c r="AL119" s="508">
        <v>0</v>
      </c>
      <c r="AM119" s="508">
        <v>0</v>
      </c>
      <c r="AN119" s="508">
        <f>11.845-SUM(AK119:AM119)</f>
      </c>
      <c r="AO119" s="509">
        <f t="shared" si="105"/>
      </c>
      <c r="AP119" s="508">
        <v>0</v>
      </c>
      <c r="AQ119" s="508">
        <v>0</v>
      </c>
      <c r="AR119" s="507">
        <v>0</v>
      </c>
      <c r="AS119" s="507">
        <v>0</v>
      </c>
      <c r="AT119" s="509">
        <f t="shared" si="106"/>
      </c>
      <c r="AU119" s="507">
        <v>-7.33</v>
      </c>
      <c r="AV119" s="507">
        <f>-14.362-AU119</f>
      </c>
      <c r="AW119" s="507">
        <f>-22.559-SUM(AU119:AV119)</f>
      </c>
      <c r="AX119" s="507">
        <f>-8.482-SUM(AU119:AW119)</f>
      </c>
      <c r="AY119" s="509">
        <f t="shared" si="107"/>
      </c>
      <c r="AZ119" s="507">
        <v>0</v>
      </c>
      <c r="BA119" s="507">
        <v>0</v>
      </c>
      <c r="BB119" s="507">
        <v>0</v>
      </c>
      <c r="BC119" s="507">
        <v>0</v>
      </c>
      <c r="BD119" s="509">
        <f t="shared" si="108"/>
      </c>
      <c r="BE119" s="507">
        <v>0</v>
      </c>
      <c r="BF119" s="507">
        <v>0</v>
      </c>
      <c r="BG119" s="507">
        <v>0</v>
      </c>
      <c r="BH119" s="507">
        <v>0</v>
      </c>
      <c r="BI119" s="509">
        <f t="shared" si="109"/>
      </c>
      <c r="BJ119" s="507">
        <v>-7.5949999999999998</v>
      </c>
      <c r="BK119" s="507">
        <v>7.5949999999999998</v>
      </c>
      <c r="BL119" s="507">
        <v>0</v>
      </c>
      <c r="BM119" s="507">
        <f>1.893-BL119-BK119-BJ119</f>
      </c>
      <c r="BN119" s="509">
        <f t="shared" si="110"/>
      </c>
      <c r="BO119" s="507">
        <v>0</v>
      </c>
      <c r="BP119" s="507">
        <v>0</v>
      </c>
      <c r="BQ119" s="507">
        <v>0</v>
      </c>
      <c r="BR119" s="507">
        <f>-15.316-BQ119-BP119-BO119</f>
      </c>
      <c r="BS119" s="509">
        <f t="shared" si="111"/>
      </c>
      <c r="BT119" s="507">
        <v>-13.644</v>
      </c>
      <c r="BU119" s="507">
        <f>-25.021-BT119</f>
      </c>
      <c r="BV119" s="507">
        <f>-52.703-BU119-BT119</f>
      </c>
      <c r="BW119" s="507">
        <f>-52.793-BV119-BU119-BT119</f>
      </c>
      <c r="BX119" s="509">
        <f>SUM(BT119:BW119)</f>
      </c>
      <c r="BY119" s="507">
        <v>-8.6750000000000007</v>
      </c>
      <c r="BZ119" s="507">
        <f>-18.154-BY119</f>
      </c>
      <c r="CA119" s="507">
        <f>-25.646-BZ119-BY119</f>
      </c>
      <c r="CB119" s="507">
        <f>-68.71-CA119-BZ119-BY119</f>
      </c>
      <c r="CC119" s="509">
        <f>SUM(BY119:CB119)</f>
      </c>
      <c r="CD119" s="507">
        <v>-10.119999999999999</v>
      </c>
      <c r="CE119" s="507">
        <f>-17.36-CD119</f>
      </c>
      <c r="CF119" s="507">
        <f>-23.743-CE119-CD119</f>
      </c>
      <c r="CG119" s="507">
        <f>-25.801-CF119-CE119-CD119</f>
      </c>
      <c r="CH119" s="509">
        <f t="shared" si="113"/>
      </c>
      <c r="CI119" s="507">
        <v>-4.0860000000000003</v>
      </c>
      <c r="CJ119" s="507">
        <f>-6.843-CI119</f>
      </c>
      <c r="CK119" s="507">
        <f>+-11.744-CJ119-CI119</f>
      </c>
      <c r="CL119" s="507">
        <f>-18.456-CK119-CJ119-CI119</f>
      </c>
      <c r="CM119" s="509">
        <f t="shared" si="114"/>
      </c>
      <c r="CN119" s="507">
        <v>-6</v>
      </c>
      <c r="CO119" s="507">
        <f>+-6-CN119</f>
      </c>
      <c r="CP119" s="510">
        <f>0-CO119-CN119</f>
      </c>
      <c r="CQ119" s="510">
        <f>-10-CP119-CO119-CN119</f>
      </c>
      <c r="CR119" s="509">
        <f t="shared" si="115"/>
      </c>
      <c r="CS119" s="508">
        <v>-9</v>
      </c>
      <c r="CT119" s="508">
        <f>-26-CS119</f>
      </c>
      <c r="CU119" s="508">
        <f>0-CT119-CS119</f>
      </c>
      <c r="CV119" s="508">
        <f>0-CU119-CT119-CS119</f>
      </c>
      <c r="CW119" s="509">
        <f t="shared" si="116"/>
      </c>
      <c r="CX119" s="507">
        <v>0</v>
      </c>
      <c r="CY119" s="507">
        <v>0</v>
      </c>
      <c r="CZ119" s="507">
        <v>0</v>
      </c>
      <c r="DA119" s="507">
        <v>0</v>
      </c>
      <c r="DB119" s="509">
        <f t="shared" si="117"/>
      </c>
      <c r="DC119" s="507">
        <v>0</v>
      </c>
      <c r="DD119" s="507">
        <v>0</v>
      </c>
      <c r="DE119" s="507">
        <v>0</v>
      </c>
      <c r="DF119" s="507">
        <v>0</v>
      </c>
      <c r="DG119" s="509">
        <f t="shared" si="118"/>
      </c>
      <c r="DH119" s="507">
        <v>0</v>
      </c>
      <c r="DI119" s="507">
        <v>0</v>
      </c>
      <c r="DJ119" s="507">
        <v>5</v>
      </c>
      <c r="DK119" s="507">
        <v>0</v>
      </c>
      <c r="DL119" s="509">
        <f t="shared" si="119"/>
      </c>
      <c r="DM119" s="507">
        <v>0</v>
      </c>
      <c r="DN119" s="507">
        <v>0</v>
      </c>
      <c r="DO119" s="507">
        <v>0</v>
      </c>
      <c r="DP119" s="507">
        <v>0</v>
      </c>
      <c r="DQ119" s="509">
        <f t="shared" si="120"/>
      </c>
      <c r="DR119" s="507">
        <v>0</v>
      </c>
      <c r="DS119" s="507">
        <v>0</v>
      </c>
      <c r="DT119" s="507">
        <v>0</v>
      </c>
      <c r="DU119" s="507">
        <v>0</v>
      </c>
      <c r="DV119" s="509">
        <f t="shared" si="121"/>
      </c>
      <c r="DW119" s="507">
        <v>0</v>
      </c>
      <c r="DX119" s="507">
        <v>0</v>
      </c>
      <c r="DY119" s="507">
        <v>0</v>
      </c>
      <c r="DZ119" s="507">
        <v>0</v>
      </c>
      <c r="EA119" s="509">
        <f t="shared" si="122"/>
      </c>
      <c r="EB119" s="507">
        <v>0</v>
      </c>
      <c r="EC119" s="507">
        <v>0</v>
      </c>
      <c r="ED119" s="507">
        <v>0</v>
      </c>
      <c r="EE119" s="507">
        <v>0</v>
      </c>
      <c r="EF119" s="509">
        <f t="shared" si="123"/>
      </c>
      <c r="EG119" s="507">
        <v>0</v>
      </c>
      <c r="EH119" s="507">
        <v>0</v>
      </c>
      <c r="EI119" s="507">
        <v>0</v>
      </c>
      <c r="EJ119" s="507">
        <v>0</v>
      </c>
      <c r="EK119" s="509">
        <f t="shared" si="124"/>
      </c>
      <c r="EL119" s="507">
        <v>0</v>
      </c>
      <c r="EM119" s="507">
        <v>0</v>
      </c>
      <c r="EN119" s="510">
        <v>0</v>
      </c>
      <c r="EO119" s="510">
        <v>0</v>
      </c>
      <c r="EP119" s="509">
        <f t="shared" si="125"/>
      </c>
      <c r="EQ119" s="510">
        <v>0</v>
      </c>
      <c r="ER119" s="510">
        <v>0</v>
      </c>
      <c r="ES119" s="510">
        <v>0</v>
      </c>
      <c r="ET119" s="510">
        <v>0</v>
      </c>
      <c r="EU119" s="509">
        <f t="shared" si="126"/>
      </c>
      <c r="EV119" s="510">
        <v>0</v>
      </c>
      <c r="EW119" s="510">
        <v>0</v>
      </c>
      <c r="EX119" s="510">
        <v>0</v>
      </c>
      <c r="EY119" s="510">
        <v>0</v>
      </c>
      <c r="EZ119" s="509">
        <f t="shared" si="127"/>
      </c>
      <c r="FA119" s="509"/>
      <c r="FB119" s="88"/>
      <c r="FC119" s="88"/>
      <c r="FD119" s="88"/>
      <c r="FE119" s="88"/>
      <c r="FF119" s="88"/>
      <c r="FG119" s="88"/>
      <c r="FH119" s="88"/>
      <c r="FI119" s="88"/>
      <c r="FJ119" s="88"/>
      <c r="FL119" s="111"/>
      <c r="FM119" s="111"/>
    </row>
    <row r="120" spans="1:169">
      <c r="A120" s="106" t="s">
        <v>425</v>
      </c>
      <c r="B120" s="506"/>
      <c r="C120" s="506"/>
      <c r="D120" s="506"/>
      <c r="E120" s="506"/>
      <c r="F120" s="506"/>
      <c r="G120" s="506"/>
      <c r="H120" s="506"/>
      <c r="I120" s="506"/>
      <c r="J120" s="506"/>
      <c r="K120" s="474"/>
      <c r="L120" s="508"/>
      <c r="M120" s="508">
        <v>3.0000000000000001E-3</v>
      </c>
      <c r="N120" s="508">
        <f>0.009-M120</f>
      </c>
      <c r="O120" s="508">
        <f>0.015-N120-M120</f>
      </c>
      <c r="P120" s="509">
        <f t="shared" si="100"/>
      </c>
      <c r="Q120" s="508">
        <v>0</v>
      </c>
      <c r="R120" s="508">
        <f>1.324-Q120</f>
      </c>
      <c r="S120" s="508">
        <f>1.382-R120-Q120</f>
      </c>
      <c r="T120" s="508">
        <f>0.005+0.037+0.909-S120-R120-Q120</f>
      </c>
      <c r="U120" s="509">
        <f t="shared" si="101"/>
      </c>
      <c r="V120" s="508">
        <v>0.189</v>
      </c>
      <c r="W120" s="508">
        <f>1.147-V120</f>
      </c>
      <c r="X120" s="508">
        <f>0.346+1.448-W120-V120</f>
      </c>
      <c r="Y120" s="508">
        <f>0.364+1.446-X120-W120-V120</f>
      </c>
      <c r="Z120" s="509">
        <f t="shared" si="102"/>
      </c>
      <c r="AA120" s="508">
        <f>-0.156+0.236</f>
      </c>
      <c r="AB120" s="508">
        <f>-0.156+1.987-AA120</f>
      </c>
      <c r="AC120" s="508">
        <f>-0.156+39.906+2.165-AB120-AA120</f>
      </c>
      <c r="AD120" s="508">
        <v>-0.24800000000000169</v>
      </c>
      <c r="AE120" s="509">
        <f t="shared" si="103"/>
      </c>
      <c r="AF120" s="508">
        <f>0.311</f>
      </c>
      <c r="AG120" s="508">
        <f>1.195-AF120</f>
      </c>
      <c r="AH120" s="508">
        <f>5.485+3.5+0.361+1.195-AG120-AF120</f>
      </c>
      <c r="AI120" s="508">
        <f>3.5+5.485+0.731-SUM(AF120:AH120)</f>
      </c>
      <c r="AJ120" s="509">
        <f t="shared" si="104"/>
      </c>
      <c r="AK120" s="508">
        <f>0.383-0.496</f>
      </c>
      <c r="AL120" s="508">
        <f>0.747-0.202-AK120</f>
      </c>
      <c r="AM120" s="508">
        <f>-0.533+1.052-0.245-SUM(AK120:AL120)</f>
      </c>
      <c r="AN120" s="508">
        <f>-0.533+0.412-0.844-SUM(AK120:AM120)</f>
      </c>
      <c r="AO120" s="509">
        <f t="shared" si="105"/>
      </c>
      <c r="AP120" s="508">
        <f>-0.341+0.004</f>
      </c>
      <c r="AQ120" s="508">
        <f>0.562-0.477+0.085-AP120</f>
      </c>
      <c r="AR120" s="507">
        <f>-0.096+0.83+0.163+0.085-SUM(AP120:AQ120)</f>
      </c>
      <c r="AS120" s="507">
        <f>-0.096+1.005-10.622+1.096-0.492+34.821-SUM(AP120:AR120)</f>
      </c>
      <c r="AT120" s="509">
        <f t="shared" si="106"/>
      </c>
      <c r="AU120" s="507">
        <f>0.602+24.111+0.255-0.704</f>
      </c>
      <c r="AV120" s="507">
        <f>0.015+51.953+0.036-0.704+0.602-AU120</f>
      </c>
      <c r="AW120" s="507">
        <f>-0.704+0.602+83.244+0.226+0.036-SUM(AU120:AV120)</f>
      </c>
      <c r="AX120" s="507">
        <f>-0.704+0.205+14.002+116.735-0.188+0.251-SUM(AU120:AW120)</f>
      </c>
      <c r="AY120" s="509">
        <f t="shared" si="107"/>
      </c>
      <c r="AZ120" s="507">
        <f>0.06+37.405</f>
      </c>
      <c r="BA120" s="507">
        <f>66.865+39.277+0.185-AZ120</f>
      </c>
      <c r="BB120" s="507">
        <f>98.868+0.618-49.634-SUM(AZ120:BA120)</f>
      </c>
      <c r="BC120" s="507">
        <f>133.365-57.255+4+0.22-0.436-SUM(AZ120:BB120)</f>
      </c>
      <c r="BD120" s="509">
        <f t="shared" si="108"/>
      </c>
      <c r="BE120" s="507">
        <f>BE41+1.238</f>
      </c>
      <c r="BF120" s="507">
        <f>81.423+3.145-26.68-SUM(BE120)</f>
      </c>
      <c r="BG120" s="507">
        <f>120.873-21.502+9.891+1.899-BF120-BE120</f>
      </c>
      <c r="BH120" s="507">
        <f>162.706+9.891-21.797-2.946+3.134-BG120-BF120-BE120</f>
      </c>
      <c r="BI120" s="509">
        <f t="shared" si="109"/>
      </c>
      <c r="BJ120" s="507">
        <f>135.735+34.113+1.474-0.088</f>
      </c>
      <c r="BK120" s="507">
        <f>135.735+59.489+2.453-0.616-BJ120</f>
      </c>
      <c r="BL120" s="507">
        <f>BL41</f>
      </c>
      <c r="BM120" s="507">
        <f>135.735+107.091-0.857-BL120-BK120-BJ120</f>
      </c>
      <c r="BN120" s="509">
        <f t="shared" si="110"/>
      </c>
      <c r="BO120" s="507">
        <f>25.177+2.493+14.398-0.519</f>
      </c>
      <c r="BP120" s="507">
        <f>49.808+5.89-BO120</f>
      </c>
      <c r="BQ120" s="507">
        <f>5.382+74.985-BP120-BO120</f>
      </c>
      <c r="BR120" s="507">
        <f>100.353-BQ120-BP120-BO120+0.887+0.685</f>
      </c>
      <c r="BS120" s="509">
        <f t="shared" si="111"/>
      </c>
      <c r="BT120" s="507">
        <f>2.195+31.739</f>
      </c>
      <c r="BU120" s="507">
        <f>67.688+10.696-BT120</f>
      </c>
      <c r="BV120" s="507">
        <f>100.918+13.689-BU120-BT120-0.013</f>
      </c>
      <c r="BW120" s="507">
        <f>136.354+19.095-BV120-BU120-BT120</f>
      </c>
      <c r="BX120" s="509">
        <f>SUM(BT120:BW120)</f>
      </c>
      <c r="BY120" s="507">
        <f>35.569+5.451</f>
      </c>
      <c r="BZ120" s="507">
        <f>67.824+32.496-BY120</f>
      </c>
      <c r="CA120" s="507">
        <f>100.893+39.978-BZ120-BY120</f>
      </c>
      <c r="CB120" s="507">
        <f>47.911+136.662-CA120-BZ120-BY120</f>
      </c>
      <c r="CC120" s="509">
        <f>SUM(BY120:CB120)</f>
      </c>
      <c r="CD120" s="507">
        <f>4.988+33.397</f>
      </c>
      <c r="CE120" s="507">
        <f>65.792+8.867-CD120</f>
      </c>
      <c r="CF120" s="507">
        <f>100.091+11.311-CE120-CD120</f>
      </c>
      <c r="CG120" s="507">
        <f>23.718-10.471+4.6-CF120-CE120-CD120+136.295</f>
      </c>
      <c r="CH120" s="509">
        <f t="shared" si="113"/>
      </c>
      <c r="CI120" s="507">
        <f>35.521+6.901-16.982+7.281</f>
      </c>
      <c r="CJ120" s="507">
        <f>13.874+73.936-14.482+14.124-CI120</f>
      </c>
      <c r="CK120" s="507">
        <f>115.371-CJ120-CI120+20.884-17.654+19.343</f>
      </c>
      <c r="CL120" s="507">
        <f>24.099-16.549+27.967+157.841-CK120-CJ120-CI120</f>
      </c>
      <c r="CM120" s="509">
        <f t="shared" si="114"/>
      </c>
      <c r="CN120" s="507">
        <f>45-3+7+7</f>
      </c>
      <c r="CO120" s="507">
        <f>93+32+14-3+11-CN120</f>
      </c>
      <c r="CP120" s="507">
        <f>145+37+22-7-5+16-CO120-CN120</f>
      </c>
      <c r="CQ120" s="507">
        <f>204+45+29-6+19-CP120-CO120-CN120</f>
      </c>
      <c r="CR120" s="509">
        <f t="shared" si="115"/>
      </c>
      <c r="CS120" s="508">
        <f>CS41+8-3+4</f>
      </c>
      <c r="CT120" s="508">
        <f>111+14-3+7-CS120</f>
      </c>
      <c r="CU120" s="508">
        <f>20+15-2+8-CT120-CS120+176</f>
      </c>
      <c r="CV120" s="508">
        <f>247+25-3+21+11-CU120-CT120-CS120</f>
      </c>
      <c r="CW120" s="509">
        <f t="shared" si="116"/>
      </c>
      <c r="CX120" s="507">
        <f>76+2+14+5</f>
      </c>
      <c r="CY120" s="507">
        <f>158+2+17+1+8-CX120</f>
      </c>
      <c r="CZ120" s="507">
        <f>265+3+19+1+11-CY120-CX120</f>
      </c>
      <c r="DA120" s="507">
        <f>391+19+3-1+18-CZ120-CY120-CX120</f>
      </c>
      <c r="DB120" s="509">
        <f t="shared" si="117"/>
      </c>
      <c r="DC120" s="507">
        <f>129-8</f>
      </c>
      <c r="DD120" s="507">
        <f>262+-22-DC120</f>
      </c>
      <c r="DE120" s="507">
        <f>400-35-DD120-DC120</f>
      </c>
      <c r="DF120" s="507">
        <f>557-45-DE120-DD120-DC120</f>
      </c>
      <c r="DG120" s="509">
        <f t="shared" si="118"/>
      </c>
      <c r="DH120" s="507">
        <f>178-2</f>
      </c>
      <c r="DI120" s="507">
        <f>401+1-DH120</f>
      </c>
      <c r="DJ120" s="507">
        <f>624-DI120-DH120</f>
      </c>
      <c r="DK120" s="507">
        <v>220</v>
      </c>
      <c r="DL120" s="509">
        <f t="shared" si="119"/>
      </c>
      <c r="DM120" s="507">
        <f>224+16+4</f>
      </c>
      <c r="DN120" s="507">
        <f>374-80-8</f>
      </c>
      <c r="DO120" s="507">
        <f>383+2</f>
      </c>
      <c r="DP120" s="507">
        <f>417-17</f>
      </c>
      <c r="DQ120" s="509">
        <f t="shared" si="120"/>
      </c>
      <c r="DR120" s="507">
        <f>429-133-3</f>
      </c>
      <c r="DS120" s="507">
        <f>465-185+1+18</f>
      </c>
      <c r="DT120" s="507">
        <f>559+10-20</f>
      </c>
      <c r="DU120" s="507">
        <f>53+21+551</f>
      </c>
      <c r="DV120" s="509">
        <f t="shared" si="121"/>
      </c>
      <c r="DW120" s="507">
        <f>578+17+23+1353</f>
      </c>
      <c r="DX120" s="507">
        <f>648-443+7-5</f>
      </c>
      <c r="DY120" s="507">
        <f>32+530+183+11-45</f>
      </c>
      <c r="DZ120" s="507">
        <f>738+10+20</f>
      </c>
      <c r="EA120" s="509">
        <f t="shared" si="122"/>
      </c>
      <c r="EB120" s="507">
        <f>735+14-34</f>
      </c>
      <c r="EC120" s="507">
        <f>842-60-69</f>
      </c>
      <c r="ED120" s="507">
        <f>979+69-66</f>
      </c>
      <c r="EE120" s="507">
        <f>993-260-109</f>
      </c>
      <c r="EF120" s="509">
        <f t="shared" si="123"/>
      </c>
      <c r="EG120" s="507">
        <f>1011-69-145</f>
      </c>
      <c r="EH120" s="507">
        <f>1154-193-144</f>
      </c>
      <c r="EI120" s="507">
        <f>1252-37-79</f>
      </c>
      <c r="EJ120" s="507">
        <f>1321-727-138</f>
      </c>
      <c r="EK120" s="509">
        <f t="shared" si="124"/>
      </c>
      <c r="EL120" s="507">
        <f>1474+175-98</f>
      </c>
      <c r="EM120" s="507">
        <f>1624-2247-100</f>
      </c>
      <c r="EN120" s="507">
        <f>EN41</f>
      </c>
      <c r="EO120" s="507">
        <f>EO41</f>
      </c>
      <c r="EP120" s="509">
        <f t="shared" si="125"/>
      </c>
      <c r="EQ120" s="507">
        <f>EQ41</f>
      </c>
      <c r="ER120" s="507">
        <f>ER41</f>
      </c>
      <c r="ES120" s="507">
        <f>ES41</f>
      </c>
      <c r="ET120" s="507">
        <f>ET41</f>
      </c>
      <c r="EU120" s="509">
        <f t="shared" si="126"/>
      </c>
      <c r="EV120" s="507">
        <f>EV41</f>
      </c>
      <c r="EW120" s="507">
        <f>EW41</f>
      </c>
      <c r="EX120" s="507">
        <f>EX41</f>
      </c>
      <c r="EY120" s="507">
        <f>EY41</f>
      </c>
      <c r="EZ120" s="509">
        <f t="shared" si="127"/>
      </c>
      <c r="FA120" s="509"/>
      <c r="FB120" s="88"/>
      <c r="FC120" s="88"/>
      <c r="FD120" s="88"/>
      <c r="FE120" s="88"/>
      <c r="FF120" s="88"/>
      <c r="FG120" s="88"/>
      <c r="FH120" s="88"/>
      <c r="FI120" s="88"/>
      <c r="FJ120" s="88"/>
      <c r="FL120" s="111"/>
      <c r="FM120" s="111"/>
    </row>
    <row r="121" spans="1:169">
      <c r="B121" s="506"/>
      <c r="C121" s="506"/>
      <c r="D121" s="506"/>
      <c r="E121" s="506"/>
      <c r="F121" s="506"/>
      <c r="G121" s="506"/>
      <c r="H121" s="506"/>
      <c r="I121" s="506"/>
      <c r="J121" s="506"/>
      <c r="K121" s="88"/>
      <c r="L121" s="508"/>
      <c r="M121" s="508"/>
      <c r="N121" s="508"/>
      <c r="O121" s="508"/>
      <c r="P121" s="507"/>
      <c r="Q121" s="508"/>
      <c r="R121" s="508"/>
      <c r="S121" s="508"/>
      <c r="T121" s="508"/>
      <c r="U121" s="507"/>
      <c r="V121" s="508"/>
      <c r="W121" s="508"/>
      <c r="X121" s="508"/>
      <c r="Y121" s="508"/>
      <c r="Z121" s="507"/>
      <c r="AA121" s="508"/>
      <c r="AB121" s="508"/>
      <c r="AC121" s="508"/>
      <c r="AD121" s="508"/>
      <c r="AE121" s="507"/>
      <c r="AF121" s="508"/>
      <c r="AG121" s="508"/>
      <c r="AH121" s="508"/>
      <c r="AI121" s="508"/>
      <c r="AJ121" s="507"/>
      <c r="AK121" s="508"/>
      <c r="AL121" s="508"/>
      <c r="AM121" s="508"/>
      <c r="AN121" s="508"/>
      <c r="AO121" s="507"/>
      <c r="AP121" s="508"/>
      <c r="AQ121" s="507"/>
      <c r="AR121" s="507"/>
      <c r="AS121" s="507"/>
      <c r="AT121" s="507"/>
      <c r="AU121" s="507"/>
      <c r="AV121" s="507"/>
      <c r="AW121" s="507"/>
      <c r="AX121" s="507"/>
      <c r="AY121" s="507"/>
      <c r="AZ121" s="507"/>
      <c r="BA121" s="507"/>
      <c r="BB121" s="507"/>
      <c r="BC121" s="507"/>
      <c r="BD121" s="507"/>
      <c r="BE121" s="507"/>
      <c r="BF121" s="507"/>
      <c r="BG121" s="507"/>
      <c r="BH121" s="507"/>
      <c r="BI121" s="507"/>
      <c r="BJ121" s="507"/>
      <c r="BK121" s="507"/>
      <c r="BL121" s="507"/>
      <c r="BM121" s="507"/>
      <c r="BN121" s="507"/>
      <c r="BO121" s="507"/>
      <c r="BP121" s="507"/>
      <c r="BQ121" s="507"/>
      <c r="BR121" s="507"/>
      <c r="BS121" s="507"/>
      <c r="BT121" s="507"/>
      <c r="BU121" s="507"/>
      <c r="BV121" s="507"/>
      <c r="BW121" s="507"/>
      <c r="BX121" s="507"/>
      <c r="BY121" s="507"/>
      <c r="BZ121" s="507"/>
      <c r="CA121" s="507"/>
      <c r="CB121" s="507"/>
      <c r="CC121" s="507"/>
      <c r="CD121" s="507"/>
      <c r="CE121" s="507"/>
      <c r="CF121" s="507"/>
      <c r="CG121" s="507"/>
      <c r="CH121" s="507"/>
      <c r="CI121" s="507"/>
      <c r="CJ121" s="507"/>
      <c r="CK121" s="507"/>
      <c r="CL121" s="507"/>
      <c r="CM121" s="507"/>
      <c r="CN121" s="507"/>
      <c r="CO121" s="507"/>
      <c r="CP121" s="507"/>
      <c r="CQ121" s="507"/>
      <c r="CR121" s="507"/>
      <c r="CS121" s="507"/>
      <c r="CT121" s="507"/>
      <c r="CU121" s="507"/>
      <c r="CV121" s="507"/>
      <c r="CW121" s="507"/>
      <c r="CX121" s="507"/>
      <c r="CY121" s="507"/>
      <c r="CZ121" s="507"/>
      <c r="DA121" s="507"/>
      <c r="DB121" s="507"/>
      <c r="DC121" s="507"/>
      <c r="DD121" s="507"/>
      <c r="DE121" s="507"/>
      <c r="DF121" s="507"/>
      <c r="DG121" s="507"/>
      <c r="DH121" s="507"/>
      <c r="DI121" s="507"/>
      <c r="DJ121" s="507"/>
      <c r="DK121" s="507"/>
      <c r="DL121" s="507"/>
      <c r="DM121" s="507"/>
      <c r="DN121" s="507"/>
      <c r="DO121" s="507"/>
      <c r="DP121" s="507"/>
      <c r="DQ121" s="507"/>
      <c r="DR121" s="507"/>
      <c r="DS121" s="507"/>
      <c r="DT121" s="507"/>
      <c r="DU121" s="507"/>
      <c r="DV121" s="507"/>
      <c r="DW121" s="507"/>
      <c r="DX121" s="507"/>
      <c r="DY121" s="507"/>
      <c r="DZ121" s="507"/>
      <c r="EA121" s="507"/>
      <c r="EB121" s="507"/>
      <c r="EC121" s="507"/>
      <c r="ED121" s="507"/>
      <c r="EE121" s="507"/>
      <c r="EF121" s="507"/>
      <c r="EG121" s="507"/>
      <c r="EH121" s="507"/>
      <c r="EI121" s="507"/>
      <c r="EJ121" s="507"/>
      <c r="EK121" s="507"/>
      <c r="EL121" s="507"/>
      <c r="EM121" s="507"/>
      <c r="EN121" s="507"/>
      <c r="EO121" s="507"/>
      <c r="EP121" s="507"/>
      <c r="EQ121" s="507"/>
      <c r="ER121" s="507"/>
      <c r="ES121" s="507"/>
      <c r="ET121" s="507"/>
      <c r="EU121" s="507"/>
      <c r="EV121" s="507"/>
      <c r="EW121" s="507"/>
      <c r="EX121" s="507"/>
      <c r="EY121" s="507"/>
      <c r="EZ121" s="507"/>
      <c r="FA121" s="507"/>
      <c r="FB121" s="88"/>
      <c r="FC121" s="88"/>
      <c r="FD121" s="88"/>
      <c r="FE121" s="88"/>
      <c r="FF121" s="88"/>
      <c r="FG121" s="88"/>
      <c r="FH121" s="88"/>
      <c r="FI121" s="88"/>
      <c r="FJ121" s="88"/>
      <c r="FL121" s="111"/>
      <c r="FM121" s="111"/>
    </row>
    <row r="122" spans="1:169">
      <c r="A122" s="106" t="s">
        <v>426</v>
      </c>
      <c r="B122" s="506"/>
      <c r="C122" s="506"/>
      <c r="D122" s="506"/>
      <c r="E122" s="506"/>
      <c r="F122" s="506"/>
      <c r="G122" s="506"/>
      <c r="H122" s="506"/>
      <c r="I122" s="506"/>
      <c r="J122" s="506"/>
      <c r="K122" s="88"/>
      <c r="L122" s="508"/>
      <c r="M122" s="508"/>
      <c r="N122" s="508"/>
      <c r="O122" s="508"/>
      <c r="P122" s="507"/>
      <c r="Q122" s="508"/>
      <c r="R122" s="508"/>
      <c r="S122" s="508"/>
      <c r="T122" s="508"/>
      <c r="U122" s="507"/>
      <c r="V122" s="508"/>
      <c r="W122" s="508"/>
      <c r="X122" s="508"/>
      <c r="Y122" s="508"/>
      <c r="Z122" s="507"/>
      <c r="AA122" s="508"/>
      <c r="AB122" s="508"/>
      <c r="AC122" s="508"/>
      <c r="AD122" s="508"/>
      <c r="AE122" s="507"/>
      <c r="AF122" s="508"/>
      <c r="AG122" s="508"/>
      <c r="AH122" s="508"/>
      <c r="AI122" s="508"/>
      <c r="AJ122" s="507"/>
      <c r="AK122" s="508"/>
      <c r="AL122" s="508"/>
      <c r="AM122" s="508"/>
      <c r="AN122" s="508"/>
      <c r="AO122" s="507"/>
      <c r="AP122" s="508"/>
      <c r="AQ122" s="507"/>
      <c r="AR122" s="507"/>
      <c r="AS122" s="507"/>
      <c r="AT122" s="507"/>
      <c r="AU122" s="507"/>
      <c r="AV122" s="507"/>
      <c r="AW122" s="507"/>
      <c r="AX122" s="507"/>
      <c r="AY122" s="507"/>
      <c r="AZ122" s="507"/>
      <c r="BA122" s="507"/>
      <c r="BB122" s="507"/>
      <c r="BC122" s="507"/>
      <c r="BD122" s="507"/>
      <c r="BE122" s="507"/>
      <c r="BF122" s="507"/>
      <c r="BG122" s="507"/>
      <c r="BH122" s="507"/>
      <c r="BI122" s="507"/>
      <c r="BJ122" s="507"/>
      <c r="BK122" s="507"/>
      <c r="BL122" s="507"/>
      <c r="BM122" s="507"/>
      <c r="BN122" s="507"/>
      <c r="BO122" s="507"/>
      <c r="BP122" s="507"/>
      <c r="BQ122" s="507"/>
      <c r="BR122" s="507"/>
      <c r="BS122" s="507"/>
      <c r="BT122" s="507"/>
      <c r="BU122" s="507"/>
      <c r="BV122" s="507"/>
      <c r="BW122" s="507"/>
      <c r="BX122" s="507"/>
      <c r="BY122" s="507"/>
      <c r="BZ122" s="507"/>
      <c r="CA122" s="507"/>
      <c r="CB122" s="507"/>
      <c r="CC122" s="507"/>
      <c r="CD122" s="507"/>
      <c r="CE122" s="507"/>
      <c r="CF122" s="507"/>
      <c r="CG122" s="507"/>
      <c r="CH122" s="507"/>
      <c r="CI122" s="507"/>
      <c r="CJ122" s="507"/>
      <c r="CK122" s="507"/>
      <c r="CL122" s="507"/>
      <c r="CM122" s="507"/>
      <c r="CN122" s="507"/>
      <c r="CO122" s="507"/>
      <c r="CP122" s="507"/>
      <c r="CQ122" s="507"/>
      <c r="CR122" s="507"/>
      <c r="CS122" s="507"/>
      <c r="CT122" s="507"/>
      <c r="CU122" s="507"/>
      <c r="CV122" s="507"/>
      <c r="CW122" s="507"/>
      <c r="CX122" s="507"/>
      <c r="CY122" s="507"/>
      <c r="CZ122" s="507"/>
      <c r="DA122" s="507"/>
      <c r="DB122" s="507"/>
      <c r="DC122" s="507"/>
      <c r="DD122" s="507"/>
      <c r="DE122" s="507"/>
      <c r="DF122" s="507"/>
      <c r="DG122" s="507"/>
      <c r="DH122" s="507"/>
      <c r="DI122" s="507"/>
      <c r="DJ122" s="507"/>
      <c r="DK122" s="507"/>
      <c r="DL122" s="507"/>
      <c r="DM122" s="507"/>
      <c r="DN122" s="507"/>
      <c r="DO122" s="507"/>
      <c r="DP122" s="507"/>
      <c r="DQ122" s="507"/>
      <c r="DR122" s="507"/>
      <c r="DS122" s="507"/>
      <c r="DT122" s="507"/>
      <c r="DU122" s="507"/>
      <c r="DV122" s="507"/>
      <c r="DW122" s="507"/>
      <c r="DX122" s="507"/>
      <c r="DY122" s="507"/>
      <c r="DZ122" s="507"/>
      <c r="EA122" s="507"/>
      <c r="EB122" s="507"/>
      <c r="EC122" s="507"/>
      <c r="ED122" s="507"/>
      <c r="EE122" s="507"/>
      <c r="EF122" s="507"/>
      <c r="EG122" s="507"/>
      <c r="EH122" s="507"/>
      <c r="EI122" s="507"/>
      <c r="EJ122" s="507"/>
      <c r="EK122" s="507"/>
      <c r="EL122" s="507"/>
      <c r="EM122" s="507"/>
      <c r="EN122" s="507"/>
      <c r="EO122" s="507"/>
      <c r="EP122" s="507"/>
      <c r="EQ122" s="507"/>
      <c r="ER122" s="507"/>
      <c r="ES122" s="507"/>
      <c r="ET122" s="507"/>
      <c r="EU122" s="507"/>
      <c r="EV122" s="507"/>
      <c r="EW122" s="507"/>
      <c r="EX122" s="507"/>
      <c r="EY122" s="507"/>
      <c r="EZ122" s="507"/>
      <c r="FA122" s="507"/>
      <c r="FB122" s="88"/>
      <c r="FC122" s="88"/>
      <c r="FD122" s="88"/>
      <c r="FE122" s="88"/>
      <c r="FF122" s="88"/>
      <c r="FG122" s="88"/>
      <c r="FH122" s="88"/>
      <c r="FI122" s="88"/>
      <c r="FJ122" s="88"/>
      <c r="FL122" s="111"/>
      <c r="FM122" s="111"/>
    </row>
    <row r="123" spans="1:169">
      <c r="A123" s="132" t="s">
        <v>427</v>
      </c>
      <c r="B123" s="506"/>
      <c r="C123" s="506"/>
      <c r="D123" s="506"/>
      <c r="E123" s="506"/>
      <c r="F123" s="506"/>
      <c r="G123" s="506"/>
      <c r="H123" s="506"/>
      <c r="I123" s="506"/>
      <c r="J123" s="506"/>
      <c r="K123" s="474"/>
      <c r="L123" s="508">
        <v>-13.566000000000001</v>
      </c>
      <c r="M123" s="508">
        <f>-36.998-L123</f>
      </c>
      <c r="N123" s="508">
        <f>-43.238-M123-L123</f>
      </c>
      <c r="O123" s="508">
        <f>-54.043-N123-M123-L123</f>
      </c>
      <c r="P123" s="509">
        <f t="shared" ref="P123:P129" si="128">SUM(L123:O123)</f>
      </c>
      <c r="Q123" s="508">
        <v>-4.774</v>
      </c>
      <c r="R123" s="508">
        <f>-17.868-Q123</f>
      </c>
      <c r="S123" s="508">
        <f>-37.128-R123-Q123</f>
      </c>
      <c r="T123" s="508">
        <f>-38.673-S123-R123-Q123</f>
      </c>
      <c r="U123" s="509">
        <f t="shared" ref="U123:U129" si="129">SUM(Q123:T123)</f>
      </c>
      <c r="V123" s="508">
        <v>18.170000000000002</v>
      </c>
      <c r="W123" s="508">
        <f>-9.005-V123</f>
      </c>
      <c r="X123" s="508">
        <f>-14.124-W123-V123</f>
      </c>
      <c r="Y123" s="508">
        <f>-43.806-X123-W123-V123</f>
      </c>
      <c r="Z123" s="509">
        <f t="shared" ref="Z123:Z129" si="130">SUM(V123:Y123)</f>
      </c>
      <c r="AA123" s="508">
        <v>-4.3170000000000002</v>
      </c>
      <c r="AB123" s="508">
        <f>12.323-AA123</f>
      </c>
      <c r="AC123" s="508">
        <f>-4.678-AB123-AA123</f>
      </c>
      <c r="AD123" s="508">
        <v>-4.3919999999999995</v>
      </c>
      <c r="AE123" s="509">
        <f t="shared" ref="AE123:AE129" si="131">SUM(AA123:AD123)</f>
      </c>
      <c r="AF123" s="508">
        <v>-1.5609999999999999</v>
      </c>
      <c r="AG123" s="508">
        <f>-36.907-AF123</f>
      </c>
      <c r="AH123" s="508">
        <f>-3.064-AG123-AF123</f>
      </c>
      <c r="AI123" s="508">
        <f>-41.356-SUM(AF123:AH123)</f>
      </c>
      <c r="AJ123" s="509">
        <f t="shared" ref="AJ123:AJ129" si="132">SUM(AF123:AI123)</f>
      </c>
      <c r="AK123" s="508">
        <v>-8.1809999999999992</v>
      </c>
      <c r="AL123" s="508">
        <f>-59.834-AK123</f>
      </c>
      <c r="AM123" s="508">
        <f>-122.041-SUM(AK123:AL123)</f>
      </c>
      <c r="AN123" s="508">
        <f>-110.312-SUM(AK123:AM123)</f>
      </c>
      <c r="AO123" s="509">
        <f t="shared" ref="AO123:AO129" si="133">SUM(AK123:AN123)</f>
      </c>
      <c r="AP123" s="508">
        <v>49.43</v>
      </c>
      <c r="AQ123" s="508">
        <f>-48.637-AP123</f>
      </c>
      <c r="AR123" s="507">
        <f>-55.621-SUM(AP123:AQ123)</f>
      </c>
      <c r="AS123" s="507">
        <f>-21.415-SUM(AP123:AR123)</f>
      </c>
      <c r="AT123" s="509">
        <f t="shared" ref="AT123:AT129" si="134">SUM(AP123:AS123)</f>
      </c>
      <c r="AU123" s="507">
        <v>-64.135000000000005</v>
      </c>
      <c r="AV123" s="507">
        <f>-132.259-AU123</f>
      </c>
      <c r="AW123" s="507">
        <f>-112.335-SUM(AU123:AV123)</f>
      </c>
      <c r="AX123" s="507">
        <f>-175.261-SUM(AU123:AW123)</f>
      </c>
      <c r="AY123" s="509">
        <f t="shared" ref="AY123:AY129" si="135">SUM(AU123:AX123)</f>
      </c>
      <c r="AZ123" s="507">
        <v>47.847000000000001</v>
      </c>
      <c r="BA123" s="507">
        <f>10.95-AZ123</f>
      </c>
      <c r="BB123" s="507">
        <f>-32.943-SUM(AZ123:BA123)</f>
      </c>
      <c r="BC123" s="507">
        <f>-146.055-SUM(AZ123:BB123)</f>
      </c>
      <c r="BD123" s="509">
        <f t="shared" ref="BD123:BD129" si="136">SUM(AZ123:BC123)</f>
      </c>
      <c r="BE123" s="507">
        <v>15.826000000000001</v>
      </c>
      <c r="BF123" s="507">
        <f>-12.373-SUM(BE123)</f>
      </c>
      <c r="BG123" s="507">
        <f>59.276-BF123-BE123</f>
      </c>
      <c r="BH123" s="507">
        <f>348.873-BG123-BF123-BE123</f>
      </c>
      <c r="BI123" s="509">
        <f t="shared" ref="BI123:BI129" si="137">SUM(BE123:BH123)</f>
      </c>
      <c r="BJ123" s="507">
        <v>14.170999999999999</v>
      </c>
      <c r="BK123" s="507">
        <f>-33.758-BJ123</f>
      </c>
      <c r="BL123" s="507">
        <f>BK65-BL65</f>
      </c>
      <c r="BM123" s="507">
        <f>-56.741-BL123-BK123-BJ123</f>
      </c>
      <c r="BN123" s="509">
        <f t="shared" ref="BN123:BN129" si="138">SUM(BJ123:BM123)</f>
      </c>
      <c r="BO123" s="507">
        <v>-155.011</v>
      </c>
      <c r="BP123" s="507">
        <f>-21.193-BO123</f>
      </c>
      <c r="BQ123" s="507">
        <f>-24.567-BP123-BO123</f>
      </c>
      <c r="BR123" s="507">
        <f>26.341-BQ123-BP123-BO123</f>
      </c>
      <c r="BS123" s="509">
        <f t="shared" ref="BS123:BS129" si="139">SUM(BO123:BR123)</f>
      </c>
      <c r="BT123" s="507">
        <v>5.82</v>
      </c>
      <c r="BU123" s="507">
        <f>-57.511-BT123</f>
      </c>
      <c r="BV123" s="507">
        <f>-8.834-BU123-BT123</f>
      </c>
      <c r="BW123" s="507">
        <f>26.236-BV123-BU123-BT123</f>
      </c>
      <c r="BX123" s="509">
        <f t="shared" ref="BX123:BX129" si="140">SUM(BT123:BW123)</f>
      </c>
      <c r="BY123" s="507">
        <v>-75.369</v>
      </c>
      <c r="BZ123" s="507">
        <f>-109.218-BY123</f>
      </c>
      <c r="CA123" s="507">
        <f>-109.008-BZ123-BY123</f>
      </c>
      <c r="CB123" s="507">
        <f>-118.94-CA123-BZ123-BY123</f>
      </c>
      <c r="CC123" s="509">
        <f t="shared" ref="CC123:CC129" si="141">SUM(BY123:CB123)</f>
      </c>
      <c r="CD123" s="507">
        <v>108.476</v>
      </c>
      <c r="CE123" s="507">
        <f>37.271-CD123</f>
      </c>
      <c r="CF123" s="507">
        <f>7.806-CE123-CD123</f>
      </c>
      <c r="CG123" s="507">
        <f>28.852-CF123-CE123-CD123</f>
      </c>
      <c r="CH123" s="509">
        <f t="shared" ref="CH123:CH129" si="142">SUM(CD123:CG123)</f>
      </c>
      <c r="CI123" s="507">
        <v>28.077000000000002</v>
      </c>
      <c r="CJ123" s="507">
        <f>-45.747-CI123</f>
      </c>
      <c r="CK123" s="507">
        <f>-138.729-CJ123-CI123</f>
      </c>
      <c r="CL123" s="507">
        <f>-49.324-CK123-CJ123-CI123</f>
      </c>
      <c r="CM123" s="509">
        <f t="shared" ref="CM123:CM129" si="143">SUM(CI123:CL123)</f>
      </c>
      <c r="CN123" s="507">
        <v>18</v>
      </c>
      <c r="CO123" s="507">
        <f>-41-CN123</f>
      </c>
      <c r="CP123" s="507">
        <f>-63-CO123-CN123</f>
      </c>
      <c r="CQ123" s="507">
        <f>-32-CP123-CO123-CN123</f>
      </c>
      <c r="CR123" s="509">
        <f t="shared" ref="CR123:CR129" si="144">SUM(CN123:CQ123)</f>
      </c>
      <c r="CS123" s="507">
        <v>-17</v>
      </c>
      <c r="CT123" s="507">
        <f>-138-CS123</f>
      </c>
      <c r="CU123" s="507">
        <f>-328-CT123-CS123</f>
      </c>
      <c r="CV123" s="507">
        <f>-321-CU123-CT123-CS123</f>
      </c>
      <c r="CW123" s="509">
        <f t="shared" ref="CW123:CW129" si="145">SUM(CS123:CV123)</f>
      </c>
      <c r="CX123" s="507">
        <v>-150</v>
      </c>
      <c r="CY123" s="507">
        <f>-387-CX123</f>
      </c>
      <c r="CZ123" s="507">
        <f>-342-CY123-CX123</f>
      </c>
      <c r="DA123" s="507">
        <f>-440-CZ123-CY123-CX123</f>
      </c>
      <c r="DB123" s="509">
        <f t="shared" ref="DB123:DB129" si="146">SUM(CX123:DA123)</f>
      </c>
      <c r="DC123" s="507">
        <v>56</v>
      </c>
      <c r="DD123" s="507">
        <f>-386-DC123</f>
      </c>
      <c r="DE123" s="507">
        <f>-943-DD123-DC123</f>
      </c>
      <c r="DF123" s="507">
        <f>-149-DE123-DD123-DC123</f>
      </c>
      <c r="DG123" s="509">
        <f t="shared" ref="DG123:DG129" si="147">SUM(DC123:DF123)</f>
      </c>
      <c r="DH123" s="507">
        <v>182</v>
      </c>
      <c r="DI123" s="507">
        <f>-137-DH123</f>
      </c>
      <c r="DJ123" s="507">
        <f>-32-DI123-DH123</f>
      </c>
      <c r="DK123" s="507">
        <v>-202</v>
      </c>
      <c r="DL123" s="509">
        <f t="shared" ref="DL123:DL129" si="148">SUM(DH123:DK123)</f>
      </c>
      <c r="DM123" s="507">
        <v>-249</v>
      </c>
      <c r="DN123" s="507">
        <v>44</v>
      </c>
      <c r="DO123" s="507">
        <v>-463</v>
      </c>
      <c r="DP123" s="507">
        <f>117</f>
      </c>
      <c r="DQ123" s="509">
        <f t="shared" ref="DQ123:DQ129" si="149">SUM(DM123:DP123)</f>
      </c>
      <c r="DR123" s="507">
        <v>-595</v>
      </c>
      <c r="DS123" s="507">
        <v>-563</v>
      </c>
      <c r="DT123" s="507">
        <v>-366</v>
      </c>
      <c r="DU123" s="507">
        <f>-692</f>
      </c>
      <c r="DV123" s="509">
        <f t="shared" ref="DV123:DV129" si="150">SUM(DR123:DU123)</f>
      </c>
      <c r="DW123" s="507">
        <v>-788</v>
      </c>
      <c r="DX123" s="507">
        <v>120</v>
      </c>
      <c r="DY123" s="507">
        <v>410</v>
      </c>
      <c r="DZ123" s="507">
        <v>1081</v>
      </c>
      <c r="EA123" s="509">
        <f t="shared" ref="EA123:EA129" si="151">SUM(DW123:DZ123)</f>
      </c>
      <c r="EB123" s="507">
        <v>-252</v>
      </c>
      <c r="EC123" s="507">
        <v>-2986</v>
      </c>
      <c r="ED123" s="507">
        <v>-1243</v>
      </c>
      <c r="EE123" s="507">
        <v>-1690</v>
      </c>
      <c r="EF123" s="509">
        <f t="shared" ref="EF123:EF129" si="152">SUM(EB123:EE123)</f>
      </c>
      <c r="EG123" s="507">
        <v>-2366</v>
      </c>
      <c r="EH123" s="507">
        <v>-1767</v>
      </c>
      <c r="EI123" s="507">
        <v>-3561</v>
      </c>
      <c r="EJ123" s="507">
        <v>-5370</v>
      </c>
      <c r="EK123" s="509">
        <f t="shared" ref="EK123:EK129" si="153">SUM(EG123:EJ123)</f>
      </c>
      <c r="EL123" s="507">
        <v>933</v>
      </c>
      <c r="EM123" s="507">
        <v>-5675</v>
      </c>
      <c r="EN123" s="507">
        <f>EM65-EN65</f>
      </c>
      <c r="EO123" s="507">
        <f>EN65-EO65</f>
      </c>
      <c r="EP123" s="509">
        <f t="shared" ref="EP123:EP129" si="154">SUM(EL123:EO123)</f>
      </c>
      <c r="EQ123" s="507">
        <f>EO65-EQ65</f>
      </c>
      <c r="ER123" s="507">
        <f>EQ65-ER65</f>
      </c>
      <c r="ES123" s="507">
        <f>ER65-ES65</f>
      </c>
      <c r="ET123" s="507">
        <f>ES65-ET65</f>
      </c>
      <c r="EU123" s="509">
        <f t="shared" ref="EU123:EU129" si="155">SUM(EQ123:ET123)</f>
      </c>
      <c r="EV123" s="507">
        <f>ET65-EV65</f>
      </c>
      <c r="EW123" s="507">
        <f>EV65-EW65</f>
      </c>
      <c r="EX123" s="507">
        <f>EW65-EX65</f>
      </c>
      <c r="EY123" s="507">
        <f>EX65-EY65</f>
      </c>
      <c r="EZ123" s="509">
        <f t="shared" ref="EZ123:EZ129" si="156">SUM(EV123:EY123)</f>
      </c>
      <c r="FA123" s="509"/>
      <c r="FB123" s="88"/>
      <c r="FC123" s="88"/>
      <c r="FD123" s="88"/>
      <c r="FE123" s="88"/>
      <c r="FF123" s="88"/>
      <c r="FG123" s="88"/>
      <c r="FH123" s="88"/>
      <c r="FI123" s="88"/>
      <c r="FJ123" s="88"/>
      <c r="FL123" s="111"/>
      <c r="FM123" s="111"/>
    </row>
    <row r="124" spans="1:169">
      <c r="A124" s="132" t="s">
        <v>221</v>
      </c>
      <c r="B124" s="506"/>
      <c r="C124" s="506"/>
      <c r="D124" s="506"/>
      <c r="E124" s="506"/>
      <c r="F124" s="506"/>
      <c r="G124" s="506"/>
      <c r="H124" s="506"/>
      <c r="I124" s="506"/>
      <c r="J124" s="506"/>
      <c r="K124" s="474"/>
      <c r="L124" s="508">
        <v>13.43</v>
      </c>
      <c r="M124" s="508">
        <f>20.182-L124</f>
      </c>
      <c r="N124" s="508">
        <f>16.889-M124-L124</f>
      </c>
      <c r="O124" s="508">
        <f>-9.008-N124-M124-L124</f>
      </c>
      <c r="P124" s="509">
        <f t="shared" si="128"/>
      </c>
      <c r="Q124" s="508">
        <v>-17.61</v>
      </c>
      <c r="R124" s="508">
        <f>-30.504-Q124</f>
      </c>
      <c r="S124" s="508">
        <f>-55.561-R124-Q124</f>
      </c>
      <c r="T124" s="508">
        <f>-52.274-S124-R124-Q124</f>
      </c>
      <c r="U124" s="509">
        <f t="shared" si="129"/>
      </c>
      <c r="V124" s="508">
        <v>0.92800000000000005</v>
      </c>
      <c r="W124" s="508">
        <f>-0.807-V124</f>
      </c>
      <c r="X124" s="508">
        <f>-31.808-W124-V124</f>
      </c>
      <c r="Y124" s="508">
        <f>-123.497-X124-W124-V124</f>
      </c>
      <c r="Z124" s="509">
        <f t="shared" si="130"/>
      </c>
      <c r="AA124" s="508">
        <v>-40.049999999999997</v>
      </c>
      <c r="AB124" s="508">
        <f>-71.473-AA124</f>
      </c>
      <c r="AC124" s="508">
        <f>8.834-AB124-AA124</f>
      </c>
      <c r="AD124" s="508">
        <v>59.997</v>
      </c>
      <c r="AE124" s="509">
        <f t="shared" si="131"/>
      </c>
      <c r="AF124" s="508">
        <v>-20.739000000000001</v>
      </c>
      <c r="AG124" s="508">
        <f>-72.813-AF124</f>
      </c>
      <c r="AH124" s="508">
        <f>-111.707-AG124-AF124</f>
      </c>
      <c r="AI124" s="508">
        <f>-85.126-SUM(AF124:AH124)</f>
      </c>
      <c r="AJ124" s="509">
        <f t="shared" si="132"/>
      </c>
      <c r="AK124" s="508">
        <v>-0.55800000000000005</v>
      </c>
      <c r="AL124" s="508">
        <f>-32.747-AK124</f>
      </c>
      <c r="AM124" s="508">
        <f>-63.313-SUM(AK124:AL124)</f>
      </c>
      <c r="AN124" s="508">
        <f>-81.28-SUM(AK124:AM124)</f>
      </c>
      <c r="AO124" s="509">
        <f t="shared" si="133"/>
      </c>
      <c r="AP124" s="508">
        <v>7.7590000000000003</v>
      </c>
      <c r="AQ124" s="508">
        <f>14.563-AP124</f>
      </c>
      <c r="AR124" s="507">
        <f>30.671-SUM(AP124:AQ124)</f>
      </c>
      <c r="AS124" s="507">
        <f>60.726-SUM(AP124:AR124)</f>
      </c>
      <c r="AT124" s="509">
        <f t="shared" si="134"/>
      </c>
      <c r="AU124" s="507">
        <v>-87.957999999999998</v>
      </c>
      <c r="AV124" s="507">
        <f>-118.315-AU124</f>
      </c>
      <c r="AW124" s="507">
        <f>-112.54-SUM(AU124:AV124)</f>
      </c>
      <c r="AX124" s="507">
        <f>-91.395-SUM(AU124:AW124)</f>
      </c>
      <c r="AY124" s="509">
        <f t="shared" si="135"/>
      </c>
      <c r="AZ124" s="507">
        <v>22.84</v>
      </c>
      <c r="BA124" s="507">
        <f>78.489-AZ124</f>
      </c>
      <c r="BB124" s="507">
        <f>48.59-SUM(AZ124:BA124)</f>
      </c>
      <c r="BC124" s="507">
        <f>-3.69-SUM(AZ124:BB124)</f>
      </c>
      <c r="BD124" s="509">
        <f t="shared" si="136"/>
      </c>
      <c r="BE124" s="507">
        <v>-61.149000000000001</v>
      </c>
      <c r="BF124" s="507">
        <f>-73.139-SUM(BE124)</f>
      </c>
      <c r="BG124" s="507">
        <f>-165.154-BF124-BE124</f>
      </c>
      <c r="BH124" s="507">
        <f>-177.295-BG124-BF124-BE124</f>
      </c>
      <c r="BI124" s="509">
        <f t="shared" si="137"/>
      </c>
      <c r="BJ124" s="507">
        <v>211.233</v>
      </c>
      <c r="BK124" s="507">
        <f>256.564-BJ124</f>
      </c>
      <c r="BL124" s="507">
        <f>BK67-BL67</f>
      </c>
      <c r="BM124" s="507">
        <f>204.656-BL124-BK124-BJ124</f>
      </c>
      <c r="BN124" s="509">
        <f t="shared" si="138"/>
      </c>
      <c r="BO124" s="507">
        <v>-56.816000000000003</v>
      </c>
      <c r="BP124" s="507">
        <f>-102.778-BO124</f>
      </c>
      <c r="BQ124" s="507">
        <f>-46.746-BP124-BO124</f>
      </c>
      <c r="BR124" s="507">
        <f>-14.128-BQ124-BP124-BO124</f>
      </c>
      <c r="BS124" s="509">
        <f t="shared" si="139"/>
      </c>
      <c r="BT124" s="507">
        <v>-35.183</v>
      </c>
      <c r="BU124" s="507">
        <f>-2.169-BT124</f>
      </c>
      <c r="BV124" s="507">
        <f>39.748-BU124-BT124</f>
      </c>
      <c r="BW124" s="507">
        <f>18.884-BV124-BU124-BT124</f>
      </c>
      <c r="BX124" s="509">
        <f t="shared" si="140"/>
      </c>
      <c r="BY124" s="507">
        <v>-2.1909999999999998</v>
      </c>
      <c r="BZ124" s="507">
        <f>-46.834-BY124</f>
      </c>
      <c r="CA124" s="507">
        <f>-88.378-BY124-BZ124</f>
      </c>
      <c r="CB124" s="507">
        <f>-78.949-CA124-BZ124-BY124</f>
      </c>
      <c r="CC124" s="509">
        <f t="shared" si="141"/>
      </c>
      <c r="CD124" s="507">
        <v>41.51</v>
      </c>
      <c r="CE124" s="507">
        <f>34.722-CD124</f>
      </c>
      <c r="CF124" s="507">
        <f>32.178-CE124-CD124</f>
      </c>
      <c r="CG124" s="507">
        <f>24.651-CF124-CE124-CD124</f>
      </c>
      <c r="CH124" s="509">
        <f t="shared" si="142"/>
      </c>
      <c r="CI124" s="507">
        <v>-5.6790000000000003</v>
      </c>
      <c r="CJ124" s="507">
        <f>0.508-CI124</f>
      </c>
      <c r="CK124" s="507">
        <f>-19.875-CJ124-CI124</f>
      </c>
      <c r="CL124" s="507">
        <f>-94.984-CK124-CJ124-CI124</f>
      </c>
      <c r="CM124" s="509">
        <f t="shared" si="143"/>
      </c>
      <c r="CN124" s="507">
        <v>45</v>
      </c>
      <c r="CO124" s="507">
        <f>42-CN124</f>
      </c>
      <c r="CP124" s="507">
        <f>59-CO124-CN124</f>
      </c>
      <c r="CQ124" s="507">
        <f>66-CP124-CO124-CN124</f>
      </c>
      <c r="CR124" s="509">
        <f t="shared" si="144"/>
      </c>
      <c r="CS124" s="507">
        <v>23</v>
      </c>
      <c r="CT124" s="507">
        <f>-104-CS124</f>
      </c>
      <c r="CU124" s="507">
        <f>-261-CT124-CS124</f>
      </c>
      <c r="CV124" s="507">
        <f>-375-CU124-CT124-CS124</f>
      </c>
      <c r="CW124" s="509">
        <f t="shared" si="145"/>
      </c>
      <c r="CX124" s="507">
        <v>-27</v>
      </c>
      <c r="CY124" s="507">
        <f>-61-CX124</f>
      </c>
      <c r="CZ124" s="507">
        <f>-61-CY124-CX124</f>
      </c>
      <c r="DA124" s="507">
        <f>0-CZ124-CY124-CX124</f>
      </c>
      <c r="DB124" s="509">
        <f t="shared" si="146"/>
      </c>
      <c r="DC124" s="507">
        <v>-2</v>
      </c>
      <c r="DD124" s="507">
        <f>-295-DC124</f>
      </c>
      <c r="DE124" s="507">
        <f>-620-DD124-DC124</f>
      </c>
      <c r="DF124" s="507">
        <f>-776-DE124-DD124-DC124</f>
      </c>
      <c r="DG124" s="509">
        <f t="shared" si="147"/>
      </c>
      <c r="DH124" s="507">
        <v>153</v>
      </c>
      <c r="DI124" s="507">
        <f>378-DH124</f>
      </c>
      <c r="DJ124" s="507">
        <f>531-DI124-DH124</f>
      </c>
      <c r="DK124" s="507">
        <v>66</v>
      </c>
      <c r="DL124" s="509">
        <f t="shared" si="148"/>
      </c>
      <c r="DM124" s="507">
        <v>-151</v>
      </c>
      <c r="DN124" s="507">
        <v>54</v>
      </c>
      <c r="DO124" s="507">
        <v>-93</v>
      </c>
      <c r="DP124" s="507">
        <v>-334</v>
      </c>
      <c r="DQ124" s="509">
        <f t="shared" si="149"/>
      </c>
      <c r="DR124" s="507">
        <v>-159</v>
      </c>
      <c r="DS124" s="507">
        <v>-123</v>
      </c>
      <c r="DT124" s="507">
        <v>-118</v>
      </c>
      <c r="DU124" s="507">
        <v>-374</v>
      </c>
      <c r="DV124" s="509">
        <f t="shared" si="150"/>
      </c>
      <c r="DW124" s="507">
        <v>-560</v>
      </c>
      <c r="DX124" s="507">
        <v>-725</v>
      </c>
      <c r="DY124" s="507">
        <v>-563</v>
      </c>
      <c r="DZ124" s="507">
        <v>-706</v>
      </c>
      <c r="EA124" s="509">
        <f t="shared" si="151"/>
      </c>
      <c r="EB124" s="507">
        <v>566</v>
      </c>
      <c r="EC124" s="507">
        <v>296</v>
      </c>
      <c r="ED124" s="507">
        <v>-457</v>
      </c>
      <c r="EE124" s="507">
        <v>-503</v>
      </c>
      <c r="EF124" s="509">
        <f t="shared" si="152"/>
      </c>
      <c r="EG124" s="507">
        <v>-577</v>
      </c>
      <c r="EH124" s="507">
        <v>-803</v>
      </c>
      <c r="EI124" s="507">
        <v>-978</v>
      </c>
      <c r="EJ124" s="507">
        <v>-2424</v>
      </c>
      <c r="EK124" s="509">
        <f t="shared" si="153"/>
      </c>
      <c r="EL124" s="507">
        <v>-1258</v>
      </c>
      <c r="EM124" s="507">
        <v>-3622</v>
      </c>
      <c r="EN124" s="507">
        <f>EM67-EN67</f>
      </c>
      <c r="EO124" s="507">
        <f>EN67-EO67</f>
      </c>
      <c r="EP124" s="509">
        <f t="shared" si="154"/>
      </c>
      <c r="EQ124" s="507">
        <f>EO67-EQ67</f>
      </c>
      <c r="ER124" s="507">
        <f>EQ67-ER67</f>
      </c>
      <c r="ES124" s="507">
        <f>ER67-ES67</f>
      </c>
      <c r="ET124" s="507">
        <f>ES67-ET67</f>
      </c>
      <c r="EU124" s="509">
        <f t="shared" si="155"/>
      </c>
      <c r="EV124" s="507">
        <f>ET67-EV67</f>
      </c>
      <c r="EW124" s="507">
        <f>EV67-EW67</f>
      </c>
      <c r="EX124" s="507">
        <f>EW67-EX67</f>
      </c>
      <c r="EY124" s="507">
        <f>EX67-EY67</f>
      </c>
      <c r="EZ124" s="509">
        <f t="shared" si="156"/>
      </c>
      <c r="FA124" s="509"/>
      <c r="FB124" s="88"/>
      <c r="FC124" s="88"/>
      <c r="FD124" s="88"/>
      <c r="FE124" s="88"/>
      <c r="FF124" s="88"/>
      <c r="FG124" s="88"/>
      <c r="FH124" s="88"/>
      <c r="FI124" s="88"/>
      <c r="FJ124" s="88"/>
      <c r="FL124" s="111"/>
      <c r="FM124" s="111"/>
    </row>
    <row r="125" spans="1:169" ht="12.75" customHeight="1">
      <c r="A125" s="132" t="s">
        <v>428</v>
      </c>
      <c r="B125" s="506"/>
      <c r="C125" s="506"/>
      <c r="D125" s="506"/>
      <c r="E125" s="506"/>
      <c r="F125" s="506"/>
      <c r="G125" s="506"/>
      <c r="H125" s="506"/>
      <c r="I125" s="506"/>
      <c r="J125" s="506"/>
      <c r="K125" s="474"/>
      <c r="L125" s="508">
        <v>-0.56100000000000005</v>
      </c>
      <c r="M125" s="508">
        <f>-1.147-L125</f>
      </c>
      <c r="N125" s="508">
        <f>-2.61-M125-L125</f>
      </c>
      <c r="O125" s="508">
        <f>-5.161-N125-M125-L125</f>
      </c>
      <c r="P125" s="509">
        <f t="shared" si="128"/>
      </c>
      <c r="Q125" s="508">
        <v>-9.4269999999999996</v>
      </c>
      <c r="R125" s="508">
        <f>-17.744-Q125</f>
      </c>
      <c r="S125" s="508">
        <f>-26.553-R125-Q125</f>
      </c>
      <c r="T125" s="508">
        <f>-29.981-S125-R125-Q125</f>
      </c>
      <c r="U125" s="509">
        <f t="shared" si="129"/>
      </c>
      <c r="V125" s="508">
        <f>-42.52-2.179</f>
      </c>
      <c r="W125" s="508">
        <f>-37.205-3.184-V125</f>
      </c>
      <c r="X125" s="508">
        <f>-27.32-0.485-W125-V125</f>
      </c>
      <c r="Y125" s="508">
        <f>-38.016+0.277-X125-W125-V125</f>
      </c>
      <c r="Z125" s="509">
        <f t="shared" si="130"/>
      </c>
      <c r="AA125" s="508">
        <v>-3.8039999999999998</v>
      </c>
      <c r="AB125" s="508">
        <f>-5.174-AA125</f>
      </c>
      <c r="AC125" s="508">
        <f>-5.308-AB125-AA125</f>
      </c>
      <c r="AD125" s="508">
        <v>39.009</v>
      </c>
      <c r="AE125" s="509">
        <f t="shared" si="131"/>
      </c>
      <c r="AF125" s="508">
        <v>-6.1849999999999996</v>
      </c>
      <c r="AG125" s="508">
        <f>-3.654-AF125</f>
      </c>
      <c r="AH125" s="508">
        <f>-3.513-AG125-AF125</f>
      </c>
      <c r="AI125" s="508">
        <f>-2.698-SUM(AF125:AH125)</f>
      </c>
      <c r="AJ125" s="509">
        <f t="shared" si="132"/>
      </c>
      <c r="AK125" s="508">
        <v>-1.75</v>
      </c>
      <c r="AL125" s="508">
        <f>-1.789-AK125</f>
      </c>
      <c r="AM125" s="508">
        <f>-0.83-SUM(AK125:AL125)</f>
      </c>
      <c r="AN125" s="508">
        <f>-5.569-SUM(AK125:AM125)</f>
      </c>
      <c r="AO125" s="509">
        <f t="shared" si="133"/>
      </c>
      <c r="AP125" s="508">
        <v>-2.0499999999999998</v>
      </c>
      <c r="AQ125" s="508">
        <f>-4.937-AP125</f>
      </c>
      <c r="AR125" s="507">
        <f>-3.956-SUM(AP125:AQ125)</f>
      </c>
      <c r="AS125" s="507">
        <f>-4.568-SUM(AP125:AR125)</f>
      </c>
      <c r="AT125" s="509">
        <f t="shared" si="134"/>
      </c>
      <c r="AU125" s="507">
        <v>-3.3319999999999999</v>
      </c>
      <c r="AV125" s="507">
        <f>-8.883-AU125</f>
      </c>
      <c r="AW125" s="507">
        <f>-10.502-SUM(AU125:AV125)</f>
      </c>
      <c r="AX125" s="507">
        <f>-5.294-SUM(AU125:AW125)</f>
      </c>
      <c r="AY125" s="509">
        <f t="shared" si="135"/>
      </c>
      <c r="AZ125" s="507">
        <v>-2.6419999999999999</v>
      </c>
      <c r="BA125" s="507">
        <f>-0.842-AZ125</f>
      </c>
      <c r="BB125" s="507">
        <f>-4.327-SUM(AZ125:BA125)</f>
      </c>
      <c r="BC125" s="507">
        <f>-6.293-SUM(AZ125:BB125)</f>
      </c>
      <c r="BD125" s="509">
        <f t="shared" si="136"/>
      </c>
      <c r="BE125" s="507">
        <v>-0.83099999999999996</v>
      </c>
      <c r="BF125" s="507">
        <f>9.136-SUM(BE125)</f>
      </c>
      <c r="BG125" s="507">
        <f>11.205-BF125-BE125</f>
      </c>
      <c r="BH125" s="507">
        <f>21.528-BG125-BF125-BE125</f>
      </c>
      <c r="BI125" s="509">
        <f t="shared" si="137"/>
      </c>
      <c r="BJ125" s="507">
        <v>5.4139999999999997</v>
      </c>
      <c r="BK125" s="507">
        <f>-14.325-BJ125</f>
      </c>
      <c r="BL125" s="507">
        <v>18.149999999999999</v>
      </c>
      <c r="BM125" s="507">
        <f>1.58-BL125-BK125-BJ125</f>
      </c>
      <c r="BN125" s="509">
        <f t="shared" si="138"/>
      </c>
      <c r="BO125" s="507">
        <v>2.6850000000000001</v>
      </c>
      <c r="BP125" s="507">
        <f>-6.335-BO125</f>
      </c>
      <c r="BQ125" s="507">
        <f>3.798-BP125-BO125</f>
      </c>
      <c r="BR125" s="507">
        <f>8.528-BQ125-BP125-BO125</f>
      </c>
      <c r="BS125" s="509">
        <f t="shared" si="139"/>
      </c>
      <c r="BT125" s="507">
        <v>-3.964</v>
      </c>
      <c r="BU125" s="507">
        <f>2.255-BT125</f>
      </c>
      <c r="BV125" s="507">
        <f>0.035-BU125-BT125</f>
      </c>
      <c r="BW125" s="507">
        <f>-14.803-BV125-BU125-BT125</f>
      </c>
      <c r="BX125" s="509">
        <f t="shared" si="140"/>
      </c>
      <c r="BY125" s="507">
        <v>-48.1</v>
      </c>
      <c r="BZ125" s="507">
        <f>-3.912-BY125</f>
      </c>
      <c r="CA125" s="507">
        <f>-16.786-BZ125-BY125</f>
      </c>
      <c r="CB125" s="507">
        <f>-20.29-CA125-BZ125-BY125</f>
      </c>
      <c r="CC125" s="509">
        <f t="shared" si="141"/>
      </c>
      <c r="CD125" s="507">
        <v>7.367</v>
      </c>
      <c r="CE125" s="507">
        <f>-4.956-CD125</f>
      </c>
      <c r="CF125" s="507">
        <f>-4.687-CE125-CD125</f>
      </c>
      <c r="CG125" s="507">
        <f>6.729-CF125-CE125-CD125</f>
      </c>
      <c r="CH125" s="509">
        <f t="shared" si="142"/>
      </c>
      <c r="CI125" s="507">
        <v>-0.78200000000000003</v>
      </c>
      <c r="CJ125" s="507">
        <f>2.51-CI125</f>
      </c>
      <c r="CK125" s="507">
        <f>5.024-CJ125-CI125</f>
      </c>
      <c r="CL125" s="507">
        <f>4.427-CK125-CJ125-CI125</f>
      </c>
      <c r="CM125" s="509">
        <f t="shared" si="143"/>
      </c>
      <c r="CN125" s="507">
        <v>-17</v>
      </c>
      <c r="CO125" s="507">
        <f>-13-CN125</f>
      </c>
      <c r="CP125" s="507">
        <f>-25-CO125-CN125</f>
      </c>
      <c r="CQ125" s="510">
        <f>-16-CP125-CO125-CN125</f>
      </c>
      <c r="CR125" s="509">
        <f t="shared" si="144"/>
      </c>
      <c r="CS125" s="507">
        <v>-18</v>
      </c>
      <c r="CT125" s="507">
        <f>-17-CS125</f>
      </c>
      <c r="CU125" s="507">
        <f>-28-CT125-CS125</f>
      </c>
      <c r="CV125" s="507">
        <f>-18-CU125-CT125-CS125</f>
      </c>
      <c r="CW125" s="509">
        <f t="shared" si="145"/>
      </c>
      <c r="CX125" s="507">
        <v>-2</v>
      </c>
      <c r="CY125" s="507">
        <f>-15-CX125</f>
      </c>
      <c r="CZ125" s="507">
        <f>-26-CY125-CX125</f>
      </c>
      <c r="DA125" s="507">
        <f>21-CZ125-CY125-CX125</f>
      </c>
      <c r="DB125" s="509">
        <f t="shared" si="146"/>
      </c>
      <c r="DC125" s="507">
        <v>-38</v>
      </c>
      <c r="DD125" s="507">
        <f>-44-DC125</f>
      </c>
      <c r="DE125" s="507">
        <f>-68-DD125-DC125</f>
      </c>
      <c r="DF125" s="507">
        <f>-55-DE125-DD125-DC125</f>
      </c>
      <c r="DG125" s="509">
        <f t="shared" si="147"/>
      </c>
      <c r="DH125" s="507">
        <v>5</v>
      </c>
      <c r="DI125" s="507">
        <f>36-DH125</f>
      </c>
      <c r="DJ125" s="507">
        <f>55-DI125-DH125</f>
      </c>
      <c r="DK125" s="507">
        <v>22</v>
      </c>
      <c r="DL125" s="509">
        <f t="shared" si="148"/>
      </c>
      <c r="DM125" s="507">
        <v>-8</v>
      </c>
      <c r="DN125" s="507">
        <v>42</v>
      </c>
      <c r="DO125" s="507">
        <v>-443</v>
      </c>
      <c r="DP125" s="507">
        <f>15+88</f>
      </c>
      <c r="DQ125" s="509">
        <f t="shared" si="149"/>
      </c>
      <c r="DR125" s="507">
        <v>2</v>
      </c>
      <c r="DS125" s="507">
        <v>16</v>
      </c>
      <c r="DT125" s="507">
        <v>-1575</v>
      </c>
      <c r="DU125" s="507">
        <f>-158-61</f>
      </c>
      <c r="DV125" s="509">
        <f t="shared" si="150"/>
      </c>
      <c r="DW125" s="507">
        <v>-1261</v>
      </c>
      <c r="DX125" s="507">
        <v>-293</v>
      </c>
      <c r="DY125" s="507">
        <v>247</v>
      </c>
      <c r="DZ125" s="507">
        <v>-210</v>
      </c>
      <c r="EA125" s="509">
        <f t="shared" si="151"/>
      </c>
      <c r="EB125" s="507">
        <v>-215</v>
      </c>
      <c r="EC125" s="507">
        <v>-376</v>
      </c>
      <c r="ED125" s="507">
        <v>254</v>
      </c>
      <c r="EE125" s="507">
        <v>-1184</v>
      </c>
      <c r="EF125" s="509">
        <f t="shared" si="152"/>
      </c>
      <c r="EG125" s="507">
        <v>-726</v>
      </c>
      <c r="EH125" s="507">
        <v>714</v>
      </c>
      <c r="EI125" s="507">
        <v>-714</v>
      </c>
      <c r="EJ125" s="507">
        <v>331</v>
      </c>
      <c r="EK125" s="509">
        <f t="shared" si="153"/>
      </c>
      <c r="EL125" s="507">
        <v>560</v>
      </c>
      <c r="EM125" s="507">
        <v>387</v>
      </c>
      <c r="EN125" s="510">
        <v>0</v>
      </c>
      <c r="EO125" s="510">
        <v>0</v>
      </c>
      <c r="EP125" s="509">
        <f t="shared" si="154"/>
      </c>
      <c r="EQ125" s="510">
        <v>0</v>
      </c>
      <c r="ER125" s="510">
        <v>0</v>
      </c>
      <c r="ES125" s="510">
        <v>0</v>
      </c>
      <c r="ET125" s="510">
        <v>0</v>
      </c>
      <c r="EU125" s="509">
        <f t="shared" si="155"/>
      </c>
      <c r="EV125" s="510">
        <v>0</v>
      </c>
      <c r="EW125" s="510">
        <v>0</v>
      </c>
      <c r="EX125" s="510">
        <v>0</v>
      </c>
      <c r="EY125" s="510">
        <v>0</v>
      </c>
      <c r="EZ125" s="509">
        <f t="shared" si="156"/>
      </c>
      <c r="FA125" s="509"/>
      <c r="FB125" s="88"/>
      <c r="FC125" s="88"/>
      <c r="FD125" s="88"/>
      <c r="FE125" s="88"/>
      <c r="FF125" s="88"/>
      <c r="FG125" s="88"/>
      <c r="FH125" s="88"/>
      <c r="FI125" s="88"/>
      <c r="FJ125" s="88"/>
      <c r="FL125" s="111"/>
      <c r="FM125" s="111"/>
    </row>
    <row r="126" spans="1:169">
      <c r="A126" s="132" t="s">
        <v>399</v>
      </c>
      <c r="B126" s="506"/>
      <c r="C126" s="506"/>
      <c r="D126" s="506"/>
      <c r="E126" s="506"/>
      <c r="F126" s="506"/>
      <c r="G126" s="506"/>
      <c r="H126" s="506"/>
      <c r="I126" s="506"/>
      <c r="J126" s="506"/>
      <c r="K126" s="474"/>
      <c r="L126" s="508">
        <v>-0.02</v>
      </c>
      <c r="M126" s="508">
        <f>-2.968-L126</f>
      </c>
      <c r="N126" s="508">
        <f>-2.797-M126-L126</f>
      </c>
      <c r="O126" s="508">
        <f>-3.008-N126-M126-L126</f>
      </c>
      <c r="P126" s="509">
        <f t="shared" si="128"/>
      </c>
      <c r="Q126" s="508">
        <v>-1.087</v>
      </c>
      <c r="R126" s="508">
        <f>-2.471-Q126</f>
      </c>
      <c r="S126" s="508">
        <f>-8.496-R126-Q126</f>
      </c>
      <c r="T126" s="508">
        <f>1.344-S126-R126-Q126</f>
      </c>
      <c r="U126" s="509">
        <f t="shared" si="129"/>
      </c>
      <c r="V126" s="508">
        <v>8.1000000000000003E-2</v>
      </c>
      <c r="W126" s="508">
        <f>-2.59-V126</f>
      </c>
      <c r="X126" s="508">
        <f>-11.362-W126-V126</f>
      </c>
      <c r="Y126" s="508">
        <f>-13.957-X126-W126-V126</f>
      </c>
      <c r="Z126" s="509">
        <f t="shared" si="130"/>
      </c>
      <c r="AA126" s="508">
        <v>1.077</v>
      </c>
      <c r="AB126" s="508">
        <f>0.629-AA126</f>
      </c>
      <c r="AC126" s="508">
        <f>0.455-AB126-AA126</f>
      </c>
      <c r="AD126" s="508">
        <v>-0.39200000000000013</v>
      </c>
      <c r="AE126" s="509">
        <f t="shared" si="131"/>
      </c>
      <c r="AF126" s="508">
        <v>-2.0299999999999998</v>
      </c>
      <c r="AG126" s="508">
        <f>-2.922-AF126</f>
      </c>
      <c r="AH126" s="508">
        <f>-2.484-AG126-AF126</f>
      </c>
      <c r="AI126" s="508">
        <f>-3.482-SUM(AF126:AH126)</f>
      </c>
      <c r="AJ126" s="509">
        <f t="shared" si="132"/>
      </c>
      <c r="AK126" s="508">
        <v>0.47599999999999998</v>
      </c>
      <c r="AL126" s="508">
        <f>-0.546-AK126</f>
      </c>
      <c r="AM126" s="508">
        <f>-0.556-SUM(AK126:AL126)</f>
      </c>
      <c r="AN126" s="508">
        <f>-1.458-SUM(AK126:AM126)</f>
      </c>
      <c r="AO126" s="509">
        <f t="shared" si="133"/>
      </c>
      <c r="AP126" s="508">
        <v>-1.6439999999999999</v>
      </c>
      <c r="AQ126" s="508">
        <f>-6.943-AP126</f>
      </c>
      <c r="AR126" s="507">
        <f>-5.995-SUM(AP126:AQ126)</f>
      </c>
      <c r="AS126" s="507">
        <f>-8.073-SUM(AP126:AR126)</f>
      </c>
      <c r="AT126" s="509">
        <f t="shared" si="134"/>
      </c>
      <c r="AU126" s="507">
        <v>-3.4060000000000001</v>
      </c>
      <c r="AV126" s="507">
        <f>-4.399-AU126</f>
      </c>
      <c r="AW126" s="507">
        <f>-13.67-SUM(AU126:AV126)</f>
      </c>
      <c r="AX126" s="507">
        <f>7.314-SUM(AU126:AW126)</f>
      </c>
      <c r="AY126" s="509">
        <f t="shared" si="135"/>
      </c>
      <c r="AZ126" s="507">
        <v>2.2749999999999999</v>
      </c>
      <c r="BA126" s="507">
        <f>2.437-AZ126</f>
      </c>
      <c r="BB126" s="507">
        <f>3.193-SUM(AZ126:BA126)</f>
      </c>
      <c r="BC126" s="507">
        <f>-13.914-SUM(AZ126:BB126)</f>
      </c>
      <c r="BD126" s="509">
        <f t="shared" si="136"/>
      </c>
      <c r="BE126" s="507">
        <f>-2.258-4.98</f>
      </c>
      <c r="BF126" s="507">
        <f>-0.491-SUM(BE126)</f>
      </c>
      <c r="BG126" s="507">
        <f>-2.03-BF126-BE126</f>
      </c>
      <c r="BH126" s="507">
        <f>-2.108-BG126-BF126-BE126</f>
      </c>
      <c r="BI126" s="509">
        <f t="shared" si="137"/>
      </c>
      <c r="BJ126" s="507">
        <v>-4.9690000000000003</v>
      </c>
      <c r="BK126" s="507">
        <f>-2.824-BJ126</f>
      </c>
      <c r="BL126" s="507">
        <v>0</v>
      </c>
      <c r="BM126" s="507">
        <f>3.857-BL126-BK126-BJ126</f>
      </c>
      <c r="BN126" s="509">
        <f t="shared" si="138"/>
      </c>
      <c r="BO126" s="507">
        <v>1.0609999999999999</v>
      </c>
      <c r="BP126" s="507">
        <f>0.086-BO126</f>
      </c>
      <c r="BQ126" s="507">
        <f>4.864-BP126-BO126</f>
      </c>
      <c r="BR126" s="507">
        <f>4.331-BQ126-BP126-BO126</f>
      </c>
      <c r="BS126" s="509">
        <f t="shared" si="139"/>
      </c>
      <c r="BT126" s="507">
        <v>3.226</v>
      </c>
      <c r="BU126" s="507">
        <f>-0.992-BT126</f>
      </c>
      <c r="BV126" s="507">
        <f>-2.992-BU126-BT126</f>
      </c>
      <c r="BW126" s="507">
        <f>-70.694-BV126-BU126-BT126</f>
      </c>
      <c r="BX126" s="509">
        <f t="shared" si="140"/>
      </c>
      <c r="BY126" s="507">
        <v>-1.8819999999999999</v>
      </c>
      <c r="BZ126" s="507">
        <f>0.494-BY126</f>
      </c>
      <c r="CA126" s="507">
        <f>4.784-BZ126-BY126</f>
      </c>
      <c r="CB126" s="507">
        <f>8.567-CA126-BZ126-BY126</f>
      </c>
      <c r="CC126" s="509">
        <f t="shared" si="141"/>
      </c>
      <c r="CD126" s="507">
        <v>1.806</v>
      </c>
      <c r="CE126" s="507">
        <f>4.445-CD126</f>
      </c>
      <c r="CF126" s="507">
        <f>7.585-CE126-CD126</f>
      </c>
      <c r="CG126" s="507">
        <f>4.823-CF126-CE126-CD126</f>
      </c>
      <c r="CH126" s="509">
        <f t="shared" si="142"/>
      </c>
      <c r="CI126" s="507">
        <v>0.22900000000000001</v>
      </c>
      <c r="CJ126" s="507">
        <f>1.028-CI126</f>
      </c>
      <c r="CK126" s="507">
        <f>-161.874-CJ126-CI126</f>
      </c>
      <c r="CL126" s="507">
        <f>0-CK126-CJ126-CI126</f>
      </c>
      <c r="CM126" s="509">
        <f t="shared" si="143"/>
      </c>
      <c r="CN126" s="507">
        <v>-57</v>
      </c>
      <c r="CO126" s="507">
        <f>-95-CN126</f>
      </c>
      <c r="CP126" s="507">
        <f>-145-CO126-CN126</f>
      </c>
      <c r="CQ126" s="510">
        <f>-97-CP126-CO126-CN126</f>
      </c>
      <c r="CR126" s="509">
        <f t="shared" si="144"/>
      </c>
      <c r="CS126" s="507">
        <v>-31</v>
      </c>
      <c r="CT126" s="507">
        <f>-12-CS126</f>
      </c>
      <c r="CU126" s="507">
        <f>-29-CT126-CS126</f>
      </c>
      <c r="CV126" s="507">
        <f>-14-CU126-CT126-CS126</f>
      </c>
      <c r="CW126" s="509">
        <f t="shared" si="145"/>
      </c>
      <c r="CX126" s="507">
        <v>8</v>
      </c>
      <c r="CY126" s="507">
        <f>0-CX126</f>
      </c>
      <c r="CZ126" s="507">
        <f>0-CY126-CX126</f>
      </c>
      <c r="DA126" s="507">
        <f>481-CZ126-CY126-CX126</f>
      </c>
      <c r="DB126" s="509">
        <f t="shared" si="146"/>
      </c>
      <c r="DC126" s="507">
        <v>0</v>
      </c>
      <c r="DD126" s="507">
        <v>0</v>
      </c>
      <c r="DE126" s="507">
        <v>0</v>
      </c>
      <c r="DF126" s="507">
        <v>0</v>
      </c>
      <c r="DG126" s="509">
        <f t="shared" si="147"/>
      </c>
      <c r="DH126" s="507">
        <v>0</v>
      </c>
      <c r="DI126" s="507">
        <v>0</v>
      </c>
      <c r="DJ126" s="507">
        <v>0</v>
      </c>
      <c r="DK126" s="507">
        <v>0</v>
      </c>
      <c r="DL126" s="509">
        <f t="shared" si="148"/>
      </c>
      <c r="DM126" s="507">
        <v>10</v>
      </c>
      <c r="DN126" s="507">
        <v>10</v>
      </c>
      <c r="DO126" s="507">
        <v>0</v>
      </c>
      <c r="DP126" s="507">
        <v>0</v>
      </c>
      <c r="DQ126" s="509">
        <f t="shared" si="149"/>
      </c>
      <c r="DR126" s="507">
        <v>47</v>
      </c>
      <c r="DS126" s="507">
        <f>51</f>
      </c>
      <c r="DT126" s="507">
        <v>0</v>
      </c>
      <c r="DU126" s="507">
        <v>0</v>
      </c>
      <c r="DV126" s="509">
        <f t="shared" si="150"/>
      </c>
      <c r="DW126" s="507">
        <v>70</v>
      </c>
      <c r="DX126" s="507">
        <v>-10</v>
      </c>
      <c r="DY126" s="507">
        <v>0</v>
      </c>
      <c r="DZ126" s="507">
        <v>0</v>
      </c>
      <c r="EA126" s="509">
        <f t="shared" si="151"/>
      </c>
      <c r="EB126" s="507">
        <v>0</v>
      </c>
      <c r="EC126" s="507">
        <v>0</v>
      </c>
      <c r="ED126" s="507">
        <v>0</v>
      </c>
      <c r="EE126" s="507">
        <v>0</v>
      </c>
      <c r="EF126" s="509">
        <f t="shared" si="152"/>
      </c>
      <c r="EG126" s="507">
        <v>0</v>
      </c>
      <c r="EH126" s="507">
        <v>0</v>
      </c>
      <c r="EI126" s="507">
        <v>0</v>
      </c>
      <c r="EJ126" s="507">
        <v>0</v>
      </c>
      <c r="EK126" s="509">
        <f t="shared" si="153"/>
      </c>
      <c r="EL126" s="507">
        <v>0</v>
      </c>
      <c r="EM126" s="507">
        <v>0</v>
      </c>
      <c r="EN126" s="510">
        <v>0</v>
      </c>
      <c r="EO126" s="510">
        <v>0</v>
      </c>
      <c r="EP126" s="509">
        <f t="shared" si="154"/>
      </c>
      <c r="EQ126" s="510">
        <v>0</v>
      </c>
      <c r="ER126" s="510">
        <v>0</v>
      </c>
      <c r="ES126" s="510">
        <v>0</v>
      </c>
      <c r="ET126" s="510">
        <v>0</v>
      </c>
      <c r="EU126" s="509">
        <f t="shared" si="155"/>
      </c>
      <c r="EV126" s="510">
        <v>0</v>
      </c>
      <c r="EW126" s="510">
        <v>0</v>
      </c>
      <c r="EX126" s="510">
        <v>0</v>
      </c>
      <c r="EY126" s="510">
        <v>0</v>
      </c>
      <c r="EZ126" s="509">
        <f t="shared" si="156"/>
      </c>
      <c r="FA126" s="509"/>
      <c r="FB126" s="88"/>
      <c r="FC126" s="88"/>
      <c r="FD126" s="88"/>
      <c r="FE126" s="88"/>
      <c r="FF126" s="88"/>
      <c r="FG126" s="88"/>
      <c r="FH126" s="88"/>
      <c r="FI126" s="88"/>
      <c r="FJ126" s="88"/>
      <c r="FL126" s="111"/>
      <c r="FM126" s="111"/>
    </row>
    <row r="127" spans="1:169" ht="12.75" customHeight="1">
      <c r="A127" s="132" t="s">
        <v>429</v>
      </c>
      <c r="B127" s="506"/>
      <c r="C127" s="506"/>
      <c r="D127" s="506"/>
      <c r="E127" s="506"/>
      <c r="F127" s="506"/>
      <c r="G127" s="506"/>
      <c r="H127" s="506"/>
      <c r="I127" s="506"/>
      <c r="J127" s="506"/>
      <c r="K127" s="474"/>
      <c r="L127" s="508">
        <v>-8.2210000000000001</v>
      </c>
      <c r="M127" s="508">
        <f>-0.951-L127</f>
      </c>
      <c r="N127" s="508">
        <f>7.297-M127-L127</f>
      </c>
      <c r="O127" s="508">
        <f>24.18-N127-M127-L127</f>
      </c>
      <c r="P127" s="509">
        <f t="shared" si="128"/>
      </c>
      <c r="Q127" s="508">
        <v>3.367</v>
      </c>
      <c r="R127" s="508">
        <f>10.477-Q127</f>
      </c>
      <c r="S127" s="508">
        <f>21.306-R127-Q127</f>
      </c>
      <c r="T127" s="508">
        <f>11.125-S127-R127-Q127</f>
      </c>
      <c r="U127" s="509">
        <f t="shared" si="129"/>
      </c>
      <c r="V127" s="508">
        <v>-0.69199999999999995</v>
      </c>
      <c r="W127" s="508">
        <f>15.997-V127</f>
      </c>
      <c r="X127" s="508">
        <f>36.213-W127-V127</f>
      </c>
      <c r="Y127" s="508">
        <f>141.717-X127-W127-V127</f>
      </c>
      <c r="Z127" s="509">
        <f t="shared" si="130"/>
      </c>
      <c r="AA127" s="508">
        <v>-23.658999999999999</v>
      </c>
      <c r="AB127" s="508">
        <f>-48.624-AA127</f>
      </c>
      <c r="AC127" s="508">
        <f>-43.43-AB127-AA127</f>
      </c>
      <c r="AD127" s="508">
        <v>-29.46</v>
      </c>
      <c r="AE127" s="509">
        <f t="shared" si="131"/>
      </c>
      <c r="AF127" s="508">
        <v>93.308000000000007</v>
      </c>
      <c r="AG127" s="508">
        <f>141.038-AF127</f>
      </c>
      <c r="AH127" s="508">
        <f>100.474-AG127-AF127</f>
      </c>
      <c r="AI127" s="508">
        <f>43.506-SUM(AF127:AH127)</f>
      </c>
      <c r="AJ127" s="509">
        <f t="shared" si="132"/>
      </c>
      <c r="AK127" s="508">
        <v>29.276</v>
      </c>
      <c r="AL127" s="508">
        <f>37.859-AK127</f>
      </c>
      <c r="AM127" s="508">
        <f>77.678-SUM(AK127:AL127)</f>
      </c>
      <c r="AN127" s="508">
        <f>52.941-SUM(AK127:AM127)</f>
      </c>
      <c r="AO127" s="509">
        <f t="shared" si="133"/>
      </c>
      <c r="AP127" s="508">
        <v>-56.076999999999998</v>
      </c>
      <c r="AQ127" s="508">
        <f>-17.176-AP127</f>
      </c>
      <c r="AR127" s="507">
        <f>-62.494-SUM(AP127:AQ127)</f>
      </c>
      <c r="AS127" s="507">
        <f>-58.828-SUM(AP127:AR127)</f>
      </c>
      <c r="AT127" s="509">
        <f t="shared" si="134"/>
      </c>
      <c r="AU127" s="507">
        <v>107.729</v>
      </c>
      <c r="AV127" s="507">
        <f>32.508-AU127</f>
      </c>
      <c r="AW127" s="507">
        <f>82.573-SUM(AU127:AV127)</f>
      </c>
      <c r="AX127" s="507">
        <f>38.613-SUM(AU127:AW127)</f>
      </c>
      <c r="AY127" s="509">
        <f t="shared" si="135"/>
      </c>
      <c r="AZ127" s="507">
        <v>61.344000000000001</v>
      </c>
      <c r="BA127" s="507">
        <f>50.685-AZ127</f>
      </c>
      <c r="BB127" s="507">
        <f>175.096-SUM(AZ127:BA127)</f>
      </c>
      <c r="BC127" s="507">
        <f>216.875-SUM(AZ127:BB127)</f>
      </c>
      <c r="BD127" s="509">
        <f t="shared" si="136"/>
      </c>
      <c r="BE127" s="507">
        <v>-68.608000000000004</v>
      </c>
      <c r="BF127" s="507">
        <f>-87.73-SUM(BE127)</f>
      </c>
      <c r="BG127" s="507">
        <f>-114.292-BF127-BE127</f>
      </c>
      <c r="BH127" s="507">
        <f>-283.207-BG127-BF127-BE127</f>
      </c>
      <c r="BI127" s="509">
        <f t="shared" si="137"/>
      </c>
      <c r="BJ127" s="507">
        <f>BJ89-BH89</f>
      </c>
      <c r="BK127" s="507">
        <f>56.486-BJ127</f>
      </c>
      <c r="BL127" s="507">
        <f>BL89-BK89</f>
      </c>
      <c r="BM127" s="507">
        <f>119.366-BL127-BK127-BJ127</f>
      </c>
      <c r="BN127" s="509">
        <f t="shared" si="138"/>
      </c>
      <c r="BO127" s="507">
        <v>16.821999999999999</v>
      </c>
      <c r="BP127" s="507">
        <f>-67.486-BO127</f>
      </c>
      <c r="BQ127" s="507">
        <f>-21.868-BP127-BO127</f>
      </c>
      <c r="BR127" s="507">
        <f>-69.786-BQ127-BP127-BO127</f>
      </c>
      <c r="BS127" s="509">
        <f t="shared" si="139"/>
      </c>
      <c r="BT127" s="507">
        <v>53.74</v>
      </c>
      <c r="BU127" s="507">
        <f>-8.366-BT127</f>
      </c>
      <c r="BV127" s="507">
        <f>9.218-BU127-BT127</f>
      </c>
      <c r="BW127" s="507">
        <f>35.708-BV127-BU127-BT127</f>
      </c>
      <c r="BX127" s="509">
        <f t="shared" si="140"/>
      </c>
      <c r="BY127" s="507">
        <v>33.515999999999998</v>
      </c>
      <c r="BZ127" s="507">
        <f>65.646-BY127</f>
      </c>
      <c r="CA127" s="507">
        <f>49.099-BZ127-BY127</f>
      </c>
      <c r="CB127" s="507">
        <f>10.885-CA127-BZ127-BY127</f>
      </c>
      <c r="CC127" s="509">
        <f t="shared" si="141"/>
      </c>
      <c r="CD127" s="507">
        <v>-53.100999999999999</v>
      </c>
      <c r="CE127" s="507">
        <f>-36.452-CD127</f>
      </c>
      <c r="CF127" s="507">
        <f>CF89-CE89</f>
      </c>
      <c r="CG127" s="507">
        <f>-20.382-CF127-CE127-CD127</f>
      </c>
      <c r="CH127" s="509">
        <f t="shared" si="142"/>
      </c>
      <c r="CI127" s="507">
        <v>-14.88</v>
      </c>
      <c r="CJ127" s="507">
        <f>-63.648-CI127</f>
      </c>
      <c r="CK127" s="507">
        <f>9.827-CJ127-CI127</f>
      </c>
      <c r="CL127" s="507">
        <f>-26.895-CK127-CJ127-CI127</f>
      </c>
      <c r="CM127" s="509">
        <f t="shared" si="143"/>
      </c>
      <c r="CN127" s="507">
        <v>-67</v>
      </c>
      <c r="CO127" s="507">
        <f>-13-CN127</f>
      </c>
      <c r="CP127" s="507">
        <f>7-CO127-CN127</f>
      </c>
      <c r="CQ127" s="507">
        <f>-11-CP127-CO127-CN127</f>
      </c>
      <c r="CR127" s="509">
        <f t="shared" si="144"/>
      </c>
      <c r="CS127" s="507">
        <v>32</v>
      </c>
      <c r="CT127" s="507">
        <f>131-CS127</f>
      </c>
      <c r="CU127" s="507">
        <f>218-CT127-CS127</f>
      </c>
      <c r="CV127" s="507">
        <f>184-CU127-CT127-CS127</f>
      </c>
      <c r="CW127" s="509">
        <f t="shared" si="145"/>
      </c>
      <c r="CX127" s="507">
        <v>-133</v>
      </c>
      <c r="CY127" s="507">
        <f>-63-CX127</f>
      </c>
      <c r="CZ127" s="507">
        <f>27-CY127-CX127</f>
      </c>
      <c r="DA127" s="507">
        <f>90-CZ127-CY127-CX127</f>
      </c>
      <c r="DB127" s="509">
        <f t="shared" si="146"/>
      </c>
      <c r="DC127" s="507">
        <v>22</v>
      </c>
      <c r="DD127" s="507">
        <f>172-DC127</f>
      </c>
      <c r="DE127" s="507">
        <f>224-DD127-DC127</f>
      </c>
      <c r="DF127" s="507">
        <f>-135-DE127-DD127-DC127</f>
      </c>
      <c r="DG127" s="509">
        <f t="shared" si="147"/>
      </c>
      <c r="DH127" s="507">
        <v>-123</v>
      </c>
      <c r="DI127" s="507">
        <f>-45-DH127</f>
      </c>
      <c r="DJ127" s="507">
        <f>91-DI127-DH127</f>
      </c>
      <c r="DK127" s="507">
        <v>104</v>
      </c>
      <c r="DL127" s="509">
        <f t="shared" si="148"/>
      </c>
      <c r="DM127" s="507">
        <v>71</v>
      </c>
      <c r="DN127" s="507">
        <v>-8</v>
      </c>
      <c r="DO127" s="507">
        <v>225</v>
      </c>
      <c r="DP127" s="507">
        <v>75</v>
      </c>
      <c r="DQ127" s="509">
        <f t="shared" si="149"/>
      </c>
      <c r="DR127" s="507">
        <v>70</v>
      </c>
      <c r="DS127" s="507">
        <v>209</v>
      </c>
      <c r="DT127" s="507">
        <v>195</v>
      </c>
      <c r="DU127" s="507">
        <v>183</v>
      </c>
      <c r="DV127" s="509">
        <f t="shared" si="150"/>
      </c>
      <c r="DW127" s="507">
        <v>255</v>
      </c>
      <c r="DX127" s="507">
        <v>304</v>
      </c>
      <c r="DY127" s="507">
        <v>-917</v>
      </c>
      <c r="DZ127" s="507">
        <v>-193</v>
      </c>
      <c r="EA127" s="509">
        <f t="shared" si="151"/>
      </c>
      <c r="EB127" s="507">
        <v>11</v>
      </c>
      <c r="EC127" s="507">
        <v>777</v>
      </c>
      <c r="ED127" s="507">
        <v>461</v>
      </c>
      <c r="EE127" s="507">
        <v>281</v>
      </c>
      <c r="EF127" s="509">
        <f t="shared" si="152"/>
      </c>
      <c r="EG127" s="507">
        <v>-22</v>
      </c>
      <c r="EH127" s="507">
        <v>823</v>
      </c>
      <c r="EI127" s="507">
        <v>1689</v>
      </c>
      <c r="EJ127" s="507">
        <v>867</v>
      </c>
      <c r="EK127" s="509">
        <f t="shared" si="153"/>
      </c>
      <c r="EL127" s="507">
        <v>941</v>
      </c>
      <c r="EM127" s="507">
        <v>1314</v>
      </c>
      <c r="EN127" s="507">
        <f>EN89-EM89</f>
      </c>
      <c r="EO127" s="507">
        <f>EO89-EN89</f>
      </c>
      <c r="EP127" s="509">
        <f t="shared" si="154"/>
      </c>
      <c r="EQ127" s="507">
        <f>EQ89-EO89</f>
      </c>
      <c r="ER127" s="507">
        <f>ER89-EQ89</f>
      </c>
      <c r="ES127" s="507">
        <f>ES89-ER89</f>
      </c>
      <c r="ET127" s="507">
        <f>ET89-ES89</f>
      </c>
      <c r="EU127" s="509">
        <f t="shared" si="155"/>
      </c>
      <c r="EV127" s="507">
        <f>EV89-ET89</f>
      </c>
      <c r="EW127" s="507">
        <f>EW89-EV89</f>
      </c>
      <c r="EX127" s="507">
        <f>EX89-EW89</f>
      </c>
      <c r="EY127" s="507">
        <f>EY89-EX89</f>
      </c>
      <c r="EZ127" s="509">
        <f t="shared" si="156"/>
      </c>
      <c r="FA127" s="509"/>
      <c r="FB127" s="88"/>
      <c r="FC127" s="88"/>
      <c r="FD127" s="88"/>
      <c r="FE127" s="88"/>
      <c r="FF127" s="88"/>
      <c r="FG127" s="88"/>
      <c r="FH127" s="88"/>
      <c r="FI127" s="88"/>
      <c r="FJ127" s="88"/>
      <c r="FL127" s="111"/>
      <c r="FM127" s="111"/>
    </row>
    <row r="128" spans="1:169" ht="12.75" customHeight="1">
      <c r="A128" s="132" t="s">
        <v>408</v>
      </c>
      <c r="B128" s="506"/>
      <c r="C128" s="506"/>
      <c r="D128" s="506"/>
      <c r="E128" s="506"/>
      <c r="F128" s="506"/>
      <c r="G128" s="506"/>
      <c r="H128" s="506"/>
      <c r="I128" s="506"/>
      <c r="J128" s="506"/>
      <c r="K128" s="474"/>
      <c r="L128" s="508">
        <v>4.2770000000000001</v>
      </c>
      <c r="M128" s="508">
        <f>3.441+1-L128</f>
      </c>
      <c r="N128" s="508">
        <f>2.179+0.75-M128-L128</f>
      </c>
      <c r="O128" s="508">
        <f>4.517-N128-M128-L128</f>
      </c>
      <c r="P128" s="509">
        <f t="shared" si="128"/>
      </c>
      <c r="Q128" s="508">
        <v>4.7919999999999998</v>
      </c>
      <c r="R128" s="508">
        <f>13.901-Q128</f>
      </c>
      <c r="S128" s="508">
        <f>24.299-R128-Q128</f>
      </c>
      <c r="T128" s="508">
        <f>23.683-S128-R128-Q128</f>
      </c>
      <c r="U128" s="509">
        <f t="shared" si="129"/>
      </c>
      <c r="V128" s="508">
        <v>9.484</v>
      </c>
      <c r="W128" s="508">
        <f>32.661-V128</f>
      </c>
      <c r="X128" s="508">
        <f>34.814-W128-V128</f>
      </c>
      <c r="Y128" s="508">
        <f>108.646-X128-W128-V128</f>
      </c>
      <c r="Z128" s="509">
        <f t="shared" si="130"/>
      </c>
      <c r="AA128" s="508">
        <v>37.286999999999999</v>
      </c>
      <c r="AB128" s="508">
        <f>43.306-AA128</f>
      </c>
      <c r="AC128" s="508">
        <f>35.763+21.926-AB128-AA128</f>
      </c>
      <c r="AD128" s="508">
        <v>-31.125</v>
      </c>
      <c r="AE128" s="509">
        <f t="shared" si="131"/>
      </c>
      <c r="AF128" s="508">
        <v>-3.0259999999999998</v>
      </c>
      <c r="AG128" s="508">
        <f>11.318-AF128</f>
      </c>
      <c r="AH128" s="508">
        <f>8.698-AG128-AF128</f>
      </c>
      <c r="AI128" s="508">
        <f>-44.746-SUM(AF128:AH128)</f>
      </c>
      <c r="AJ128" s="509">
        <f t="shared" si="132"/>
      </c>
      <c r="AK128" s="508">
        <v>-3.2869999999999999</v>
      </c>
      <c r="AL128" s="508">
        <f>15.153-AK128</f>
      </c>
      <c r="AM128" s="508">
        <f>17.958-SUM(AK128:AL128)</f>
      </c>
      <c r="AN128" s="508">
        <f>50.567-SUM(AK128:AM128)</f>
      </c>
      <c r="AO128" s="509">
        <f t="shared" si="133"/>
      </c>
      <c r="AP128" s="508">
        <v>2.8759999999999999</v>
      </c>
      <c r="AQ128" s="508">
        <f>10.938-AP128</f>
      </c>
      <c r="AR128" s="507">
        <f>38.715-SUM(AP128:AQ128)</f>
      </c>
      <c r="AS128" s="507">
        <f>52.291-SUM(AP128:AR128)</f>
      </c>
      <c r="AT128" s="509">
        <f t="shared" si="134"/>
      </c>
      <c r="AU128" s="507">
        <v>-32.390999999999998</v>
      </c>
      <c r="AV128" s="507">
        <f>5.913-AU128</f>
      </c>
      <c r="AW128" s="507">
        <f>78.13-SUM(AU128:AV128)</f>
      </c>
      <c r="AX128" s="507">
        <f>93.153-SUM(AU128:AW128)</f>
      </c>
      <c r="AY128" s="509">
        <f t="shared" si="135"/>
      </c>
      <c r="AZ128" s="507">
        <v>-26.233000000000001</v>
      </c>
      <c r="BA128" s="507">
        <f>21.337-AZ128</f>
      </c>
      <c r="BB128" s="507">
        <f>74.077-SUM(AZ128:BA128)</f>
      </c>
      <c r="BC128" s="507">
        <f>123.026-SUM(AZ128:BB128)</f>
      </c>
      <c r="BD128" s="509">
        <f t="shared" si="136"/>
      </c>
      <c r="BE128" s="507">
        <v>-25.466000000000001</v>
      </c>
      <c r="BF128" s="507">
        <f>183.824-SUM(BE128)</f>
      </c>
      <c r="BG128" s="507">
        <f>112.879-BF128-BE128</f>
      </c>
      <c r="BH128" s="507">
        <f>58.876-BG128-BF128-BE128</f>
      </c>
      <c r="BI128" s="509">
        <f t="shared" si="137"/>
      </c>
      <c r="BJ128" s="507">
        <v>-88.552000000000007</v>
      </c>
      <c r="BK128" s="507">
        <f>52.732-BJ128</f>
      </c>
      <c r="BL128" s="507">
        <v>0</v>
      </c>
      <c r="BM128" s="507">
        <f>-136.303-BL128-BK128-BJ128</f>
      </c>
      <c r="BN128" s="509">
        <f t="shared" si="138"/>
      </c>
      <c r="BO128" s="507">
        <v>-40.427999999999997</v>
      </c>
      <c r="BP128" s="507">
        <f>95.846-BO128</f>
      </c>
      <c r="BQ128" s="507">
        <f>23.357-BP128-BO128</f>
      </c>
      <c r="BR128" s="507">
        <f>196.413-BQ128-BP128-BO128</f>
      </c>
      <c r="BS128" s="509">
        <f t="shared" si="139"/>
      </c>
      <c r="BT128" s="507">
        <v>-63.127000000000002</v>
      </c>
      <c r="BU128" s="507">
        <f>-139.156-BT128</f>
      </c>
      <c r="BV128" s="507">
        <f>-232.058-BU128-BT128</f>
      </c>
      <c r="BW128" s="507">
        <f>6.818-BV128-BU128-BT128</f>
      </c>
      <c r="BX128" s="509">
        <f t="shared" si="140"/>
      </c>
      <c r="BY128" s="507">
        <v>-66.084999999999994</v>
      </c>
      <c r="BZ128" s="507">
        <f>-100.624-BY128</f>
      </c>
      <c r="CA128" s="507">
        <f>-180.854-BZ128-BY128</f>
      </c>
      <c r="CB128" s="507">
        <f>86.405-CA128-BZ128-BY128</f>
      </c>
      <c r="CC128" s="509">
        <f t="shared" si="141"/>
      </c>
      <c r="CD128" s="507">
        <v>-93.245000000000005</v>
      </c>
      <c r="CE128" s="507">
        <f>-115.522-CD128</f>
      </c>
      <c r="CF128" s="507">
        <v>-52.442</v>
      </c>
      <c r="CG128" s="507">
        <f>-32.436-CF128-CE128-CD128</f>
      </c>
      <c r="CH128" s="509">
        <f t="shared" si="142"/>
      </c>
      <c r="CI128" s="507">
        <v>-97.641000000000005</v>
      </c>
      <c r="CJ128" s="507">
        <f>-141.451-CI128</f>
      </c>
      <c r="CK128" s="507">
        <f>-23.356-CJ128-CI128</f>
      </c>
      <c r="CL128" s="507">
        <f>5.322-41.073-CK128-CJ128-CI128</f>
      </c>
      <c r="CM128" s="509">
        <f t="shared" si="143"/>
      </c>
      <c r="CN128" s="507">
        <v>58</v>
      </c>
      <c r="CO128" s="507">
        <f>60-CN128</f>
      </c>
      <c r="CP128" s="507">
        <f>-41-CO128-CN128</f>
      </c>
      <c r="CQ128" s="507">
        <f>39-CP128-CO128-CN128</f>
      </c>
      <c r="CR128" s="509">
        <f t="shared" si="144"/>
      </c>
      <c r="CS128" s="507">
        <v>-7</v>
      </c>
      <c r="CT128" s="507">
        <f>-85-CS128</f>
      </c>
      <c r="CU128" s="507">
        <f>-136-CT128-CS128</f>
      </c>
      <c r="CV128" s="507">
        <f>-135-CU128-CT128-CS128</f>
      </c>
      <c r="CW128" s="509">
        <f t="shared" si="145"/>
      </c>
      <c r="CX128" s="507">
        <v>-87</v>
      </c>
      <c r="CY128" s="507">
        <f>9-CX128</f>
      </c>
      <c r="CZ128" s="507">
        <f>-15-CY128-CX128</f>
      </c>
      <c r="DA128" s="507">
        <f>33-CZ128-CY128-CX128</f>
      </c>
      <c r="DB128" s="509">
        <f t="shared" si="146"/>
      </c>
      <c r="DC128" s="507">
        <f>-81+15</f>
      </c>
      <c r="DD128" s="507">
        <f>96+1-DC128</f>
      </c>
      <c r="DE128" s="507">
        <f>147-49-DD128-DC128</f>
      </c>
      <c r="DF128" s="507">
        <f>256-DE128-DD128-DC128</f>
      </c>
      <c r="DG128" s="509">
        <f t="shared" si="147"/>
      </c>
      <c r="DH128" s="507">
        <v>-129</v>
      </c>
      <c r="DI128" s="507">
        <f>-79-DH128</f>
      </c>
      <c r="DJ128" s="507">
        <f>-103-DI128-DH128</f>
      </c>
      <c r="DK128" s="507">
        <v>157</v>
      </c>
      <c r="DL128" s="509">
        <f t="shared" si="148"/>
      </c>
      <c r="DM128" s="507">
        <v>-32</v>
      </c>
      <c r="DN128" s="507">
        <v>112</v>
      </c>
      <c r="DO128" s="507">
        <f>31+55</f>
      </c>
      <c r="DP128" s="507">
        <v>126</v>
      </c>
      <c r="DQ128" s="509">
        <f t="shared" si="149"/>
      </c>
      <c r="DR128" s="507">
        <v>-1</v>
      </c>
      <c r="DS128" s="507">
        <v>133</v>
      </c>
      <c r="DT128" s="507">
        <f>-62+155</f>
      </c>
      <c r="DU128" s="507">
        <v>423</v>
      </c>
      <c r="DV128" s="509">
        <f t="shared" si="150"/>
      </c>
      <c r="DW128" s="507">
        <v>634</v>
      </c>
      <c r="DX128" s="507">
        <v>633</v>
      </c>
      <c r="DY128" s="507">
        <v>-92</v>
      </c>
      <c r="DZ128" s="507">
        <v>166</v>
      </c>
      <c r="EA128" s="509">
        <f t="shared" si="151"/>
      </c>
      <c r="EB128" s="507">
        <v>689</v>
      </c>
      <c r="EC128" s="507">
        <v>1986</v>
      </c>
      <c r="ED128" s="507">
        <v>-1722</v>
      </c>
      <c r="EE128" s="507">
        <v>1072</v>
      </c>
      <c r="EF128" s="509">
        <f t="shared" si="152"/>
      </c>
      <c r="EG128" s="507">
        <v>4202</v>
      </c>
      <c r="EH128" s="507">
        <v>-888</v>
      </c>
      <c r="EI128" s="507">
        <v>606</v>
      </c>
      <c r="EJ128" s="507">
        <v>360</v>
      </c>
      <c r="EK128" s="509">
        <f t="shared" si="153"/>
      </c>
      <c r="EL128" s="507">
        <v>7128</v>
      </c>
      <c r="EM128" s="507">
        <v>-4053</v>
      </c>
      <c r="EN128" s="510">
        <v>0</v>
      </c>
      <c r="EO128" s="510">
        <v>0</v>
      </c>
      <c r="EP128" s="509">
        <f t="shared" si="154"/>
      </c>
      <c r="EQ128" s="510">
        <v>0</v>
      </c>
      <c r="ER128" s="510">
        <v>0</v>
      </c>
      <c r="ES128" s="510">
        <v>0</v>
      </c>
      <c r="ET128" s="510">
        <v>0</v>
      </c>
      <c r="EU128" s="509">
        <f t="shared" si="155"/>
      </c>
      <c r="EV128" s="510">
        <v>0</v>
      </c>
      <c r="EW128" s="510">
        <v>0</v>
      </c>
      <c r="EX128" s="510">
        <v>0</v>
      </c>
      <c r="EY128" s="510">
        <v>0</v>
      </c>
      <c r="EZ128" s="509">
        <f t="shared" si="156"/>
      </c>
      <c r="FA128" s="509"/>
      <c r="FB128" s="88"/>
      <c r="FC128" s="88"/>
      <c r="FD128" s="88"/>
      <c r="FE128" s="88"/>
      <c r="FF128" s="88"/>
      <c r="FG128" s="88"/>
      <c r="FH128" s="88"/>
      <c r="FI128" s="88"/>
      <c r="FJ128" s="88"/>
      <c r="FL128" s="111"/>
      <c r="FM128" s="111"/>
    </row>
    <row r="129" spans="1:170" ht="12.75" customHeight="1">
      <c r="A129" s="132" t="s">
        <v>430</v>
      </c>
      <c r="B129" s="506"/>
      <c r="C129" s="506"/>
      <c r="D129" s="506"/>
      <c r="E129" s="506"/>
      <c r="F129" s="506"/>
      <c r="G129" s="506"/>
      <c r="H129" s="506"/>
      <c r="I129" s="506"/>
      <c r="J129" s="506"/>
      <c r="K129" s="474"/>
      <c r="L129" s="508"/>
      <c r="M129" s="508"/>
      <c r="N129" s="508"/>
      <c r="O129" s="508"/>
      <c r="P129" s="509">
        <f t="shared" si="128"/>
      </c>
      <c r="Q129" s="508"/>
      <c r="R129" s="508"/>
      <c r="S129" s="508"/>
      <c r="T129" s="508"/>
      <c r="U129" s="509">
        <f t="shared" si="129"/>
      </c>
      <c r="V129" s="508"/>
      <c r="W129" s="508">
        <v>-2.1360000000000001</v>
      </c>
      <c r="X129" s="508">
        <f>-51.819-W129-V129</f>
      </c>
      <c r="Y129" s="508">
        <f>-129.807-X129-W129-V129</f>
      </c>
      <c r="Z129" s="509">
        <f t="shared" si="130"/>
      </c>
      <c r="AA129" s="508">
        <v>-20.824000000000002</v>
      </c>
      <c r="AB129" s="508">
        <f>-7.773-AA129</f>
      </c>
      <c r="AC129" s="508">
        <f>-6.698-AB129-AA129</f>
      </c>
      <c r="AD129" s="508">
        <v>-5.0990000000000002</v>
      </c>
      <c r="AE129" s="509">
        <f t="shared" si="131"/>
      </c>
      <c r="AF129" s="508">
        <v>-55.511000000000003</v>
      </c>
      <c r="AG129" s="508">
        <f>-57.634-AF129</f>
      </c>
      <c r="AH129" s="508">
        <f>-56.981-AG129-AF129</f>
      </c>
      <c r="AI129" s="508">
        <f>-46.866-SUM(AF129:AH129)</f>
      </c>
      <c r="AJ129" s="509">
        <f t="shared" si="132"/>
      </c>
      <c r="AK129" s="508">
        <v>0.86199999999999999</v>
      </c>
      <c r="AL129" s="508">
        <f>0-AK129</f>
      </c>
      <c r="AM129" s="508">
        <v>0</v>
      </c>
      <c r="AN129" s="508">
        <v>0</v>
      </c>
      <c r="AO129" s="509">
        <f t="shared" si="133"/>
      </c>
      <c r="AP129" s="508">
        <v>0</v>
      </c>
      <c r="AQ129" s="508">
        <v>0</v>
      </c>
      <c r="AR129" s="507">
        <v>0</v>
      </c>
      <c r="AS129" s="507">
        <v>0</v>
      </c>
      <c r="AT129" s="509">
        <f t="shared" si="134"/>
      </c>
      <c r="AU129" s="507">
        <v>0</v>
      </c>
      <c r="AV129" s="507">
        <v>0</v>
      </c>
      <c r="AW129" s="507">
        <v>0</v>
      </c>
      <c r="AX129" s="507">
        <v>0</v>
      </c>
      <c r="AY129" s="509">
        <f t="shared" si="135"/>
      </c>
      <c r="AZ129" s="507">
        <v>0</v>
      </c>
      <c r="BA129" s="507">
        <v>0</v>
      </c>
      <c r="BB129" s="507">
        <v>0</v>
      </c>
      <c r="BC129" s="507">
        <v>0</v>
      </c>
      <c r="BD129" s="509">
        <f t="shared" si="136"/>
      </c>
      <c r="BE129" s="507">
        <v>0</v>
      </c>
      <c r="BF129" s="507">
        <v>0</v>
      </c>
      <c r="BG129" s="507">
        <v>0</v>
      </c>
      <c r="BH129" s="507">
        <v>0</v>
      </c>
      <c r="BI129" s="509">
        <f t="shared" si="137"/>
      </c>
      <c r="BJ129" s="507">
        <v>0</v>
      </c>
      <c r="BK129" s="507">
        <v>0</v>
      </c>
      <c r="BL129" s="507">
        <v>0</v>
      </c>
      <c r="BM129" s="507">
        <v>0</v>
      </c>
      <c r="BN129" s="509">
        <f t="shared" si="138"/>
      </c>
      <c r="BO129" s="507">
        <v>0</v>
      </c>
      <c r="BP129" s="507">
        <v>0</v>
      </c>
      <c r="BQ129" s="507">
        <v>0</v>
      </c>
      <c r="BR129" s="507">
        <v>0</v>
      </c>
      <c r="BS129" s="509">
        <f t="shared" si="139"/>
      </c>
      <c r="BT129" s="507">
        <v>0</v>
      </c>
      <c r="BU129" s="507">
        <v>0</v>
      </c>
      <c r="BV129" s="507">
        <v>0</v>
      </c>
      <c r="BW129" s="507">
        <v>0</v>
      </c>
      <c r="BX129" s="509">
        <f t="shared" si="140"/>
      </c>
      <c r="BY129" s="507">
        <v>0</v>
      </c>
      <c r="BZ129" s="507">
        <v>0</v>
      </c>
      <c r="CA129" s="507">
        <v>0</v>
      </c>
      <c r="CB129" s="507">
        <v>0</v>
      </c>
      <c r="CC129" s="509">
        <f t="shared" si="141"/>
      </c>
      <c r="CD129" s="507">
        <v>0</v>
      </c>
      <c r="CE129" s="507">
        <v>0</v>
      </c>
      <c r="CF129" s="507">
        <v>0</v>
      </c>
      <c r="CG129" s="507">
        <v>0</v>
      </c>
      <c r="CH129" s="509">
        <f t="shared" si="142"/>
      </c>
      <c r="CI129" s="507">
        <v>0</v>
      </c>
      <c r="CJ129" s="507">
        <v>0</v>
      </c>
      <c r="CK129" s="507">
        <v>0</v>
      </c>
      <c r="CL129" s="507">
        <v>0</v>
      </c>
      <c r="CM129" s="509">
        <f t="shared" si="143"/>
      </c>
      <c r="CN129" s="507">
        <v>0</v>
      </c>
      <c r="CO129" s="507">
        <v>0</v>
      </c>
      <c r="CP129" s="507">
        <v>0</v>
      </c>
      <c r="CQ129" s="507">
        <v>0</v>
      </c>
      <c r="CR129" s="509">
        <f t="shared" si="144"/>
      </c>
      <c r="CS129" s="507">
        <v>0</v>
      </c>
      <c r="CT129" s="507">
        <v>0</v>
      </c>
      <c r="CU129" s="507">
        <v>0</v>
      </c>
      <c r="CV129" s="507">
        <v>0</v>
      </c>
      <c r="CW129" s="509">
        <f t="shared" si="145"/>
      </c>
      <c r="CX129" s="507">
        <v>0</v>
      </c>
      <c r="CY129" s="507">
        <f>16-CX129</f>
      </c>
      <c r="CZ129" s="507">
        <f>31-CY129-CX129</f>
      </c>
      <c r="DA129" s="507">
        <f>0-CZ129-CY129-CX129</f>
      </c>
      <c r="DB129" s="509">
        <f t="shared" si="146"/>
      </c>
      <c r="DC129" s="507">
        <v>0</v>
      </c>
      <c r="DD129" s="507">
        <v>0</v>
      </c>
      <c r="DE129" s="507">
        <v>0</v>
      </c>
      <c r="DF129" s="510">
        <f>2-DE129-DD129-DC129</f>
      </c>
      <c r="DG129" s="509">
        <f t="shared" si="147"/>
      </c>
      <c r="DH129" s="507">
        <v>13</v>
      </c>
      <c r="DI129" s="507">
        <f>-2-DH129+1</f>
      </c>
      <c r="DJ129" s="507">
        <f>10-DI129-DH129</f>
      </c>
      <c r="DK129" s="507">
        <v>19</v>
      </c>
      <c r="DL129" s="509">
        <f t="shared" si="148"/>
      </c>
      <c r="DM129" s="507">
        <v>0</v>
      </c>
      <c r="DN129" s="507">
        <v>0</v>
      </c>
      <c r="DO129" s="507">
        <v>0</v>
      </c>
      <c r="DP129" s="507">
        <v>0</v>
      </c>
      <c r="DQ129" s="509">
        <f t="shared" si="149"/>
      </c>
      <c r="DR129" s="507">
        <v>0</v>
      </c>
      <c r="DS129" s="507">
        <v>0</v>
      </c>
      <c r="DT129" s="507">
        <v>0</v>
      </c>
      <c r="DU129" s="507">
        <v>0</v>
      </c>
      <c r="DV129" s="509">
        <f t="shared" si="150"/>
      </c>
      <c r="DW129" s="507">
        <v>0</v>
      </c>
      <c r="DX129" s="507">
        <v>0</v>
      </c>
      <c r="DY129" s="507">
        <v>42</v>
      </c>
      <c r="DZ129" s="507">
        <v>150</v>
      </c>
      <c r="EA129" s="509">
        <f t="shared" si="151"/>
      </c>
      <c r="EB129" s="507">
        <v>105</v>
      </c>
      <c r="EC129" s="507">
        <v>131</v>
      </c>
      <c r="ED129" s="507">
        <v>-28</v>
      </c>
      <c r="EE129" s="507">
        <v>305</v>
      </c>
      <c r="EF129" s="509">
        <f t="shared" si="152"/>
      </c>
      <c r="EG129" s="507">
        <v>323</v>
      </c>
      <c r="EH129" s="507">
        <v>260</v>
      </c>
      <c r="EI129" s="507">
        <v>266</v>
      </c>
      <c r="EJ129" s="507">
        <v>372</v>
      </c>
      <c r="EK129" s="509">
        <f t="shared" si="153"/>
      </c>
      <c r="EL129" s="507">
        <v>350</v>
      </c>
      <c r="EM129" s="507">
        <v>629</v>
      </c>
      <c r="EN129" s="510">
        <v>0</v>
      </c>
      <c r="EO129" s="510">
        <v>0</v>
      </c>
      <c r="EP129" s="509">
        <f t="shared" si="154"/>
      </c>
      <c r="EQ129" s="510">
        <v>0</v>
      </c>
      <c r="ER129" s="510">
        <v>0</v>
      </c>
      <c r="ES129" s="510">
        <v>0</v>
      </c>
      <c r="ET129" s="510">
        <v>0</v>
      </c>
      <c r="EU129" s="509">
        <f t="shared" si="155"/>
      </c>
      <c r="EV129" s="510">
        <v>0</v>
      </c>
      <c r="EW129" s="510">
        <v>0</v>
      </c>
      <c r="EX129" s="510">
        <v>0</v>
      </c>
      <c r="EY129" s="510">
        <v>0</v>
      </c>
      <c r="EZ129" s="509">
        <f t="shared" si="156"/>
      </c>
      <c r="FA129" s="509"/>
      <c r="FB129" s="88"/>
      <c r="FC129" s="88"/>
      <c r="FD129" s="88"/>
      <c r="FE129" s="88"/>
      <c r="FF129" s="88"/>
      <c r="FG129" s="88"/>
      <c r="FH129" s="88"/>
      <c r="FI129" s="88"/>
      <c r="FJ129" s="88"/>
      <c r="FL129" s="111"/>
      <c r="FM129" s="111"/>
    </row>
    <row r="130" spans="1:170" ht="12.75" customHeight="1">
      <c r="A130" s="132"/>
      <c r="B130" s="506"/>
      <c r="C130" s="506"/>
      <c r="D130" s="506"/>
      <c r="E130" s="506"/>
      <c r="F130" s="506"/>
      <c r="G130" s="506"/>
      <c r="H130" s="506"/>
      <c r="I130" s="506"/>
      <c r="J130" s="506"/>
      <c r="K130" s="88"/>
      <c r="L130" s="508"/>
      <c r="M130" s="508"/>
      <c r="N130" s="508"/>
      <c r="O130" s="508"/>
      <c r="P130" s="507"/>
      <c r="Q130" s="508"/>
      <c r="R130" s="508"/>
      <c r="S130" s="508"/>
      <c r="T130" s="508"/>
      <c r="U130" s="507"/>
      <c r="V130" s="508"/>
      <c r="W130" s="508"/>
      <c r="X130" s="508"/>
      <c r="Y130" s="508"/>
      <c r="Z130" s="507"/>
      <c r="AA130" s="508"/>
      <c r="AB130" s="508"/>
      <c r="AC130" s="508"/>
      <c r="AD130" s="508"/>
      <c r="AE130" s="507"/>
      <c r="AF130" s="508"/>
      <c r="AG130" s="508"/>
      <c r="AH130" s="508"/>
      <c r="AI130" s="508"/>
      <c r="AJ130" s="507"/>
      <c r="AK130" s="508"/>
      <c r="AL130" s="508"/>
      <c r="AM130" s="508"/>
      <c r="AN130" s="508"/>
      <c r="AO130" s="507"/>
      <c r="AP130" s="508"/>
      <c r="AQ130" s="507"/>
      <c r="AR130" s="507"/>
      <c r="AS130" s="507"/>
      <c r="AT130" s="507"/>
      <c r="AU130" s="507"/>
      <c r="AV130" s="507"/>
      <c r="AW130" s="507"/>
      <c r="AX130" s="507"/>
      <c r="AY130" s="507"/>
      <c r="AZ130" s="507"/>
      <c r="BA130" s="507"/>
      <c r="BB130" s="507"/>
      <c r="BC130" s="507"/>
      <c r="BD130" s="507"/>
      <c r="BE130" s="507"/>
      <c r="BF130" s="507"/>
      <c r="BG130" s="507"/>
      <c r="BH130" s="507"/>
      <c r="BI130" s="507"/>
      <c r="BJ130" s="507"/>
      <c r="BK130" s="507"/>
      <c r="BL130" s="507"/>
      <c r="BM130" s="507"/>
      <c r="BN130" s="507"/>
      <c r="BO130" s="507"/>
      <c r="BP130" s="507"/>
      <c r="BQ130" s="507"/>
      <c r="BR130" s="507"/>
      <c r="BS130" s="507"/>
      <c r="BT130" s="507"/>
      <c r="BU130" s="507"/>
      <c r="BV130" s="507"/>
      <c r="BW130" s="507"/>
      <c r="BX130" s="507"/>
      <c r="BY130" s="507"/>
      <c r="BZ130" s="507"/>
      <c r="CA130" s="507"/>
      <c r="CB130" s="507"/>
      <c r="CC130" s="507"/>
      <c r="CD130" s="507"/>
      <c r="CE130" s="507"/>
      <c r="CF130" s="507"/>
      <c r="CG130" s="507"/>
      <c r="CH130" s="507"/>
      <c r="CI130" s="507"/>
      <c r="CJ130" s="507"/>
      <c r="CK130" s="507"/>
      <c r="CL130" s="507"/>
      <c r="CM130" s="507"/>
      <c r="CN130" s="507"/>
      <c r="CO130" s="507"/>
      <c r="CP130" s="507"/>
      <c r="CQ130" s="507"/>
      <c r="CR130" s="507"/>
      <c r="CS130" s="507"/>
      <c r="CT130" s="507"/>
      <c r="CU130" s="507"/>
      <c r="CV130" s="507"/>
      <c r="CW130" s="507"/>
      <c r="CX130" s="507"/>
      <c r="CY130" s="507"/>
      <c r="CZ130" s="507"/>
      <c r="DA130" s="507"/>
      <c r="DB130" s="507"/>
      <c r="DC130" s="507"/>
      <c r="DD130" s="507"/>
      <c r="DE130" s="507"/>
      <c r="DF130" s="507"/>
      <c r="DG130" s="507"/>
      <c r="DH130" s="507"/>
      <c r="DI130" s="507"/>
      <c r="DJ130" s="507"/>
      <c r="DK130" s="507"/>
      <c r="DL130" s="507"/>
      <c r="DM130" s="507"/>
      <c r="DN130" s="507"/>
      <c r="DO130" s="507"/>
      <c r="DP130" s="507"/>
      <c r="DQ130" s="507"/>
      <c r="DR130" s="507"/>
      <c r="DS130" s="507"/>
      <c r="DT130" s="507"/>
      <c r="DU130" s="507"/>
      <c r="DV130" s="507"/>
      <c r="DW130" s="507"/>
      <c r="DX130" s="507"/>
      <c r="DY130" s="507"/>
      <c r="DZ130" s="507"/>
      <c r="EA130" s="507"/>
      <c r="EB130" s="507"/>
      <c r="EC130" s="507"/>
      <c r="ED130" s="507"/>
      <c r="EE130" s="507"/>
      <c r="EF130" s="507"/>
      <c r="EG130" s="507"/>
      <c r="EH130" s="507"/>
      <c r="EI130" s="507"/>
      <c r="EJ130" s="507"/>
      <c r="EK130" s="507"/>
      <c r="EL130" s="507"/>
      <c r="EM130" s="507"/>
      <c r="EN130" s="507"/>
      <c r="EO130" s="507"/>
      <c r="EP130" s="507"/>
      <c r="EQ130" s="507"/>
      <c r="ER130" s="507"/>
      <c r="ES130" s="507"/>
      <c r="ET130" s="507"/>
      <c r="EU130" s="507"/>
      <c r="EV130" s="507"/>
      <c r="EW130" s="507"/>
      <c r="EX130" s="507"/>
      <c r="EY130" s="507"/>
      <c r="EZ130" s="507"/>
      <c r="FA130" s="507"/>
      <c r="FB130" s="88"/>
      <c r="FC130" s="88"/>
      <c r="FD130" s="88"/>
      <c r="FE130" s="88"/>
      <c r="FF130" s="88"/>
      <c r="FG130" s="88"/>
      <c r="FH130" s="88"/>
      <c r="FI130" s="88"/>
      <c r="FJ130" s="88"/>
      <c r="FL130" s="111"/>
      <c r="FM130" s="111"/>
    </row>
    <row r="131" spans="1:170" s="105" customFormat="1" ht="12.75" customHeight="1">
      <c r="A131" s="106" t="s">
        <v>431</v>
      </c>
      <c r="B131" s="511"/>
      <c r="C131" s="511"/>
      <c r="D131" s="511"/>
      <c r="E131" s="511"/>
      <c r="F131" s="511"/>
      <c r="G131" s="511"/>
      <c r="H131" s="511"/>
      <c r="I131" s="511"/>
      <c r="J131" s="511"/>
      <c r="K131" s="512"/>
      <c r="L131" s="513">
        <f t="shared" ref="L131:V131" si="157">SUM(L115:L128)</f>
      </c>
      <c r="M131" s="513">
        <f t="shared" si="157"/>
      </c>
      <c r="N131" s="513">
        <f t="shared" si="157"/>
      </c>
      <c r="O131" s="513">
        <f t="shared" si="157"/>
      </c>
      <c r="P131" s="513">
        <f>SUM(L131:O131)</f>
      </c>
      <c r="Q131" s="513">
        <f t="shared" si="157"/>
      </c>
      <c r="R131" s="513">
        <f t="shared" si="157"/>
      </c>
      <c r="S131" s="513">
        <f t="shared" si="157"/>
      </c>
      <c r="T131" s="513">
        <f t="shared" si="157"/>
      </c>
      <c r="U131" s="513">
        <f>SUM(Q131:T131)</f>
      </c>
      <c r="V131" s="513">
        <f t="shared" si="157"/>
      </c>
      <c r="W131" s="513">
        <f t="shared" ref="W131:AC131" si="158">SUM(W115:W129)</f>
      </c>
      <c r="X131" s="513">
        <f t="shared" si="158"/>
      </c>
      <c r="Y131" s="513">
        <f t="shared" si="158"/>
      </c>
      <c r="Z131" s="513">
        <f>SUM(V131:Y131)</f>
      </c>
      <c r="AA131" s="513">
        <f t="shared" si="158"/>
      </c>
      <c r="AB131" s="513">
        <f t="shared" si="158"/>
      </c>
      <c r="AC131" s="513">
        <f t="shared" si="158"/>
      </c>
      <c r="AD131" s="513">
        <v>124.325</v>
      </c>
      <c r="AE131" s="513">
        <f>SUM(AA131:AD131)</f>
      </c>
      <c r="AF131" s="513">
        <f t="shared" ref="AF131:BR131" si="159">SUM(AF115:AF129)</f>
      </c>
      <c r="AG131" s="513">
        <f t="shared" si="159"/>
      </c>
      <c r="AH131" s="513">
        <f t="shared" si="159"/>
      </c>
      <c r="AI131" s="513">
        <f t="shared" si="159"/>
      </c>
      <c r="AJ131" s="513">
        <f>SUM(AF131:AI131)</f>
      </c>
      <c r="AK131" s="513">
        <f t="shared" si="159"/>
      </c>
      <c r="AL131" s="513">
        <f t="shared" si="159"/>
      </c>
      <c r="AM131" s="513">
        <f t="shared" si="159"/>
      </c>
      <c r="AN131" s="513">
        <f t="shared" si="159"/>
      </c>
      <c r="AO131" s="513">
        <f>SUM(AK131:AN131)</f>
      </c>
      <c r="AP131" s="513">
        <f t="shared" si="159"/>
      </c>
      <c r="AQ131" s="514">
        <f t="shared" si="159"/>
      </c>
      <c r="AR131" s="513">
        <f t="shared" si="159"/>
      </c>
      <c r="AS131" s="513">
        <f t="shared" si="159"/>
      </c>
      <c r="AT131" s="513">
        <f>SUM(AP131:AS131)</f>
      </c>
      <c r="AU131" s="513">
        <f t="shared" si="159"/>
      </c>
      <c r="AV131" s="513">
        <f t="shared" si="159"/>
      </c>
      <c r="AW131" s="513">
        <f t="shared" si="159"/>
      </c>
      <c r="AX131" s="513">
        <f t="shared" si="159"/>
      </c>
      <c r="AY131" s="513">
        <f>SUM(AU131:AX131)</f>
      </c>
      <c r="AZ131" s="513">
        <f t="shared" si="159"/>
      </c>
      <c r="BA131" s="513">
        <f t="shared" si="159"/>
      </c>
      <c r="BB131" s="513">
        <f t="shared" si="159"/>
      </c>
      <c r="BC131" s="513">
        <f t="shared" si="159"/>
      </c>
      <c r="BD131" s="513">
        <f>SUM(AZ131:BC131)</f>
      </c>
      <c r="BE131" s="513">
        <f t="shared" si="159"/>
      </c>
      <c r="BF131" s="513">
        <f t="shared" si="159"/>
      </c>
      <c r="BG131" s="513">
        <f t="shared" si="159"/>
      </c>
      <c r="BH131" s="513">
        <f t="shared" si="159"/>
      </c>
      <c r="BI131" s="513">
        <f>SUM(BE131:BH131)</f>
      </c>
      <c r="BJ131" s="513">
        <f t="shared" si="159"/>
      </c>
      <c r="BK131" s="513">
        <f t="shared" si="159"/>
      </c>
      <c r="BL131" s="513">
        <f t="shared" si="159"/>
      </c>
      <c r="BM131" s="513">
        <f t="shared" si="159"/>
      </c>
      <c r="BN131" s="513">
        <f>SUM(BJ131:BM131)</f>
      </c>
      <c r="BO131" s="513">
        <f t="shared" si="159"/>
      </c>
      <c r="BP131" s="513">
        <f t="shared" si="159"/>
      </c>
      <c r="BQ131" s="513">
        <f t="shared" si="159"/>
      </c>
      <c r="BR131" s="513">
        <f t="shared" si="159"/>
      </c>
      <c r="BS131" s="513">
        <f>SUM(BO131:BR131)</f>
      </c>
      <c r="BT131" s="513">
        <f t="shared" ref="BT131:CV131" si="160">SUM(BT115:BT129)</f>
      </c>
      <c r="BU131" s="513">
        <f t="shared" si="160"/>
      </c>
      <c r="BV131" s="513">
        <f t="shared" si="160"/>
      </c>
      <c r="BW131" s="513">
        <f t="shared" si="160"/>
      </c>
      <c r="BX131" s="513">
        <f>SUM(BT131:BW131)</f>
      </c>
      <c r="BY131" s="513">
        <f t="shared" si="160"/>
      </c>
      <c r="BZ131" s="513">
        <f t="shared" si="160"/>
      </c>
      <c r="CA131" s="513">
        <f t="shared" si="160"/>
      </c>
      <c r="CB131" s="513">
        <f t="shared" si="160"/>
      </c>
      <c r="CC131" s="513">
        <f>SUM(BY131:CB131)</f>
      </c>
      <c r="CD131" s="513">
        <f t="shared" si="160"/>
      </c>
      <c r="CE131" s="513">
        <f t="shared" si="160"/>
      </c>
      <c r="CF131" s="513">
        <f t="shared" si="160"/>
      </c>
      <c r="CG131" s="513">
        <f t="shared" si="160"/>
      </c>
      <c r="CH131" s="513">
        <f>SUM(CD131:CG131)</f>
      </c>
      <c r="CI131" s="513">
        <f t="shared" si="160"/>
      </c>
      <c r="CJ131" s="513">
        <f t="shared" si="160"/>
      </c>
      <c r="CK131" s="513">
        <f t="shared" si="160"/>
      </c>
      <c r="CL131" s="513">
        <f t="shared" si="160"/>
      </c>
      <c r="CM131" s="513">
        <f>SUM(CI131:CL131)</f>
      </c>
      <c r="CN131" s="513">
        <f t="shared" si="160"/>
      </c>
      <c r="CO131" s="513">
        <f t="shared" si="160"/>
      </c>
      <c r="CP131" s="513">
        <f>SUM(CP115:CP129)</f>
      </c>
      <c r="CQ131" s="513">
        <f t="shared" si="160"/>
      </c>
      <c r="CR131" s="513">
        <f>SUM(CN131:CQ131)</f>
      </c>
      <c r="CS131" s="513">
        <f>SUM(CS115:CS129)</f>
      </c>
      <c r="CT131" s="513">
        <f>SUM(CT115:CT129)</f>
      </c>
      <c r="CU131" s="513">
        <f t="shared" si="160"/>
      </c>
      <c r="CV131" s="513">
        <f t="shared" si="160"/>
      </c>
      <c r="CW131" s="513">
        <f>SUM(CS131:CV131)</f>
      </c>
      <c r="CX131" s="513">
        <f>SUM(CX115:CX129)</f>
      </c>
      <c r="CY131" s="513">
        <f>SUM(CY115:CY129)</f>
      </c>
      <c r="CZ131" s="513">
        <f>SUM(CZ115:CZ129)</f>
      </c>
      <c r="DA131" s="513">
        <f>SUM(DA115:DA129)</f>
      </c>
      <c r="DB131" s="513">
        <f>SUM(CX131:DA131)</f>
      </c>
      <c r="DC131" s="513">
        <f>SUM(DC115:DC129)</f>
      </c>
      <c r="DD131" s="513">
        <f>SUM(DD115:DD129)</f>
      </c>
      <c r="DE131" s="513">
        <f>SUM(DE115:DE129)</f>
      </c>
      <c r="DF131" s="513">
        <f>SUM(DF115:DF129)</f>
      </c>
      <c r="DG131" s="513">
        <f>SUM(DC131:DF131)</f>
      </c>
      <c r="DH131" s="513">
        <f>SUM(DH115:DH129)</f>
      </c>
      <c r="DI131" s="513">
        <f>SUM(DI115:DI129)</f>
      </c>
      <c r="DJ131" s="513">
        <f>SUM(DJ115:DJ129)</f>
      </c>
      <c r="DK131" s="513">
        <f>SUM(DK115:DK129)</f>
      </c>
      <c r="DL131" s="513">
        <f>SUM(DH131:DK131)</f>
      </c>
      <c r="DM131" s="513">
        <f>SUM(DM115:DM129)</f>
      </c>
      <c r="DN131" s="513">
        <f>SUM(DN115:DN129)</f>
      </c>
      <c r="DO131" s="513">
        <f>SUM(DO115:DO129)</f>
      </c>
      <c r="DP131" s="513">
        <f>SUM(DP115:DP129)</f>
      </c>
      <c r="DQ131" s="513">
        <f>SUM(DM131:DP131)</f>
      </c>
      <c r="DR131" s="513">
        <f>SUM(DR115:DR129)</f>
      </c>
      <c r="DS131" s="513">
        <f>SUM(DS115:DS129)</f>
      </c>
      <c r="DT131" s="513">
        <f>SUM(DT115:DT129)</f>
      </c>
      <c r="DU131" s="513">
        <f>SUM(DU115:DU129)</f>
      </c>
      <c r="DV131" s="513">
        <f>SUM(DR131:DU131)</f>
      </c>
      <c r="DW131" s="513">
        <f>SUM(DW115:DW129)</f>
      </c>
      <c r="DX131" s="513">
        <f>SUM(DX115:DX129)</f>
      </c>
      <c r="DY131" s="513">
        <f>SUM(DY115:DY129)</f>
      </c>
      <c r="DZ131" s="513">
        <f>SUM(DZ115:DZ129)</f>
      </c>
      <c r="EA131" s="513">
        <f>SUM(DW131:DZ131)</f>
      </c>
      <c r="EB131" s="513">
        <f>SUM(EB115:EB129)</f>
      </c>
      <c r="EC131" s="513">
        <f>SUM(EC115:EC129)</f>
      </c>
      <c r="ED131" s="513">
        <f>SUM(ED115:ED129)</f>
      </c>
      <c r="EE131" s="513">
        <f>SUM(EE115:EE129)</f>
      </c>
      <c r="EF131" s="513">
        <f>SUM(EB131:EE131)</f>
      </c>
      <c r="EG131" s="513">
        <f>SUM(EG115:EG129)</f>
      </c>
      <c r="EH131" s="513">
        <f>SUM(EH115:EH129)</f>
      </c>
      <c r="EI131" s="513">
        <f>SUM(EI115:EI129)</f>
      </c>
      <c r="EJ131" s="513">
        <f>SUM(EJ115:EJ129)</f>
      </c>
      <c r="EK131" s="513">
        <f>SUM(EG131:EJ131)</f>
      </c>
      <c r="EL131" s="513">
        <f>SUM(EL115:EL129)</f>
      </c>
      <c r="EM131" s="513">
        <f>SUM(EM115:EM129)</f>
      </c>
      <c r="EN131" s="513">
        <f>SUM(EN115:EN129)</f>
      </c>
      <c r="EO131" s="513">
        <f>SUM(EO115:EO129)</f>
      </c>
      <c r="EP131" s="513">
        <f>SUM(EL131:EO131)</f>
      </c>
      <c r="EQ131" s="513">
        <f>SUM(EQ115:EQ129)</f>
      </c>
      <c r="ER131" s="513">
        <f>SUM(ER115:ER129)</f>
      </c>
      <c r="ES131" s="513">
        <f>SUM(ES115:ES129)</f>
      </c>
      <c r="ET131" s="513">
        <f>SUM(ET115:ET129)</f>
      </c>
      <c r="EU131" s="513">
        <f>SUM(EQ131:ET131)</f>
      </c>
      <c r="EV131" s="513">
        <f>SUM(EV115:EV129)</f>
      </c>
      <c r="EW131" s="513">
        <f>SUM(EW115:EW129)</f>
      </c>
      <c r="EX131" s="513">
        <f>SUM(EX115:EX129)</f>
      </c>
      <c r="EY131" s="513">
        <f>SUM(EY115:EY129)</f>
      </c>
      <c r="EZ131" s="513">
        <f>SUM(EV131:EY131)</f>
      </c>
      <c r="FA131" s="513"/>
      <c r="FB131" s="88"/>
      <c r="FC131" s="88"/>
      <c r="FD131" s="88"/>
      <c r="FE131" s="88"/>
      <c r="FF131" s="88"/>
      <c r="FG131" s="88"/>
      <c r="FH131" s="88"/>
      <c r="FI131" s="88"/>
      <c r="FJ131" s="88"/>
      <c r="FL131" s="111"/>
      <c r="FM131" s="111"/>
    </row>
    <row r="132" spans="1:170">
      <c r="B132" s="506"/>
      <c r="C132" s="506"/>
      <c r="D132" s="506"/>
      <c r="E132" s="506"/>
      <c r="F132" s="506"/>
      <c r="G132" s="506"/>
      <c r="H132" s="506"/>
      <c r="I132" s="506"/>
      <c r="J132" s="506"/>
      <c r="K132" s="88"/>
      <c r="L132" s="508"/>
      <c r="M132" s="508"/>
      <c r="N132" s="508"/>
      <c r="O132" s="508"/>
      <c r="P132" s="507"/>
      <c r="Q132" s="508"/>
      <c r="R132" s="508"/>
      <c r="S132" s="508"/>
      <c r="T132" s="508"/>
      <c r="U132" s="507"/>
      <c r="V132" s="508"/>
      <c r="W132" s="508"/>
      <c r="X132" s="508"/>
      <c r="Y132" s="508"/>
      <c r="Z132" s="507"/>
      <c r="AA132" s="508"/>
      <c r="AB132" s="508"/>
      <c r="AC132" s="508"/>
      <c r="AD132" s="508"/>
      <c r="AE132" s="507"/>
      <c r="AF132" s="508"/>
      <c r="AG132" s="508"/>
      <c r="AH132" s="508"/>
      <c r="AI132" s="508"/>
      <c r="AJ132" s="507"/>
      <c r="AK132" s="508"/>
      <c r="AL132" s="508"/>
      <c r="AM132" s="508"/>
      <c r="AN132" s="508"/>
      <c r="AO132" s="507"/>
      <c r="AP132" s="508"/>
      <c r="AQ132" s="507"/>
      <c r="AR132" s="507"/>
      <c r="AS132" s="507"/>
      <c r="AT132" s="507"/>
      <c r="AU132" s="507"/>
      <c r="AV132" s="507"/>
      <c r="AW132" s="507"/>
      <c r="AX132" s="507"/>
      <c r="AY132" s="507"/>
      <c r="AZ132" s="507"/>
      <c r="BA132" s="507"/>
      <c r="BB132" s="507"/>
      <c r="BC132" s="507"/>
      <c r="BD132" s="507"/>
      <c r="BE132" s="507"/>
      <c r="BF132" s="507"/>
      <c r="BG132" s="507"/>
      <c r="BH132" s="507"/>
      <c r="BI132" s="507"/>
      <c r="BJ132" s="507"/>
      <c r="BK132" s="507"/>
      <c r="BL132" s="507"/>
      <c r="BM132" s="507"/>
      <c r="BN132" s="507"/>
      <c r="BO132" s="507"/>
      <c r="BP132" s="507"/>
      <c r="BQ132" s="507"/>
      <c r="BR132" s="507"/>
      <c r="BS132" s="507"/>
      <c r="BT132" s="507"/>
      <c r="BU132" s="507"/>
      <c r="BV132" s="507"/>
      <c r="BW132" s="507"/>
      <c r="BX132" s="507"/>
      <c r="BY132" s="507"/>
      <c r="BZ132" s="507"/>
      <c r="CA132" s="507"/>
      <c r="CB132" s="507"/>
      <c r="CC132" s="507"/>
      <c r="CD132" s="507"/>
      <c r="CE132" s="507"/>
      <c r="CF132" s="507"/>
      <c r="CG132" s="507"/>
      <c r="CH132" s="507"/>
      <c r="CI132" s="507"/>
      <c r="CJ132" s="507"/>
      <c r="CK132" s="507"/>
      <c r="CL132" s="507"/>
      <c r="CM132" s="507"/>
      <c r="CN132" s="507"/>
      <c r="CO132" s="507"/>
      <c r="CP132" s="507"/>
      <c r="CQ132" s="507"/>
      <c r="CR132" s="507"/>
      <c r="CS132" s="507"/>
      <c r="CT132" s="507"/>
      <c r="CU132" s="507"/>
      <c r="CV132" s="507"/>
      <c r="CW132" s="507"/>
      <c r="CX132" s="507"/>
      <c r="CY132" s="507"/>
      <c r="CZ132" s="507"/>
      <c r="DA132" s="507"/>
      <c r="DB132" s="507"/>
      <c r="DC132" s="507"/>
      <c r="DD132" s="507"/>
      <c r="DE132" s="507"/>
      <c r="DF132" s="507"/>
      <c r="DG132" s="507"/>
      <c r="DH132" s="507"/>
      <c r="DI132" s="507"/>
      <c r="DJ132" s="507"/>
      <c r="DK132" s="507">
        <f>+DK131-1465</f>
      </c>
      <c r="DL132" s="507"/>
      <c r="DM132" s="507"/>
      <c r="DN132" s="507"/>
      <c r="DO132" s="507"/>
      <c r="DP132" s="507"/>
      <c r="DQ132" s="507"/>
      <c r="DR132" s="507"/>
      <c r="DS132" s="507"/>
      <c r="DT132" s="507"/>
      <c r="DU132" s="507"/>
      <c r="DV132" s="507"/>
      <c r="DW132" s="507"/>
      <c r="DX132" s="507"/>
      <c r="DY132" s="507"/>
      <c r="DZ132" s="507"/>
      <c r="EA132" s="507"/>
      <c r="EB132" s="507"/>
      <c r="EC132" s="507"/>
      <c r="ED132" s="507"/>
      <c r="EE132" s="507"/>
      <c r="EF132" s="507"/>
      <c r="EG132" s="507"/>
      <c r="EH132" s="507"/>
      <c r="EI132" s="507"/>
      <c r="EJ132" s="507"/>
      <c r="EK132" s="507"/>
      <c r="EL132" s="507"/>
      <c r="EM132" s="507"/>
      <c r="EN132" s="507"/>
      <c r="EO132" s="507"/>
      <c r="EP132" s="507"/>
      <c r="EQ132" s="507"/>
      <c r="ER132" s="507"/>
      <c r="ES132" s="507"/>
      <c r="ET132" s="507"/>
      <c r="EU132" s="507"/>
      <c r="EV132" s="507"/>
      <c r="EW132" s="507"/>
      <c r="EX132" s="507"/>
      <c r="EY132" s="507"/>
      <c r="EZ132" s="507"/>
      <c r="FA132" s="507"/>
      <c r="FB132" s="88"/>
      <c r="FC132" s="88"/>
      <c r="FD132" s="88"/>
      <c r="FE132" s="88"/>
      <c r="FF132" s="88"/>
      <c r="FG132" s="88"/>
      <c r="FH132" s="88"/>
      <c r="FI132" s="88"/>
      <c r="FJ132" s="88"/>
      <c r="FL132" s="111"/>
      <c r="FM132" s="111"/>
    </row>
    <row r="133" spans="1:170">
      <c r="A133" s="83" t="s">
        <v>432</v>
      </c>
      <c r="B133" s="506"/>
      <c r="C133" s="506"/>
      <c r="D133" s="506"/>
      <c r="E133" s="506"/>
      <c r="F133" s="506"/>
      <c r="G133" s="506"/>
      <c r="H133" s="506"/>
      <c r="I133" s="506"/>
      <c r="J133" s="506"/>
      <c r="K133" s="88"/>
      <c r="L133" s="508"/>
      <c r="M133" s="508"/>
      <c r="N133" s="508"/>
      <c r="O133" s="508"/>
      <c r="P133" s="507"/>
      <c r="Q133" s="508"/>
      <c r="R133" s="508"/>
      <c r="S133" s="508"/>
      <c r="T133" s="508"/>
      <c r="U133" s="507"/>
      <c r="V133" s="508"/>
      <c r="W133" s="508"/>
      <c r="X133" s="508"/>
      <c r="Y133" s="508"/>
      <c r="Z133" s="507"/>
      <c r="AA133" s="508"/>
      <c r="AB133" s="508"/>
      <c r="AC133" s="508"/>
      <c r="AD133" s="508"/>
      <c r="AE133" s="507"/>
      <c r="AF133" s="508"/>
      <c r="AG133" s="507"/>
      <c r="AH133" s="507"/>
      <c r="AI133" s="507"/>
      <c r="AJ133" s="507"/>
      <c r="AK133" s="507"/>
      <c r="AL133" s="507"/>
      <c r="AM133" s="507"/>
      <c r="AN133" s="507"/>
      <c r="AO133" s="507"/>
      <c r="AP133" s="507"/>
      <c r="AQ133" s="507"/>
      <c r="AR133" s="507"/>
      <c r="AS133" s="507"/>
      <c r="AT133" s="507"/>
      <c r="AU133" s="507"/>
      <c r="AV133" s="507"/>
      <c r="AW133" s="507"/>
      <c r="AX133" s="507"/>
      <c r="AY133" s="507"/>
      <c r="AZ133" s="507"/>
      <c r="BA133" s="507"/>
      <c r="BB133" s="507"/>
      <c r="BC133" s="507"/>
      <c r="BD133" s="507"/>
      <c r="BE133" s="507"/>
      <c r="BF133" s="507"/>
      <c r="BG133" s="507"/>
      <c r="BH133" s="507"/>
      <c r="BI133" s="507"/>
      <c r="BJ133" s="507"/>
      <c r="BK133" s="507"/>
      <c r="BL133" s="507"/>
      <c r="BM133" s="507"/>
      <c r="BN133" s="507"/>
      <c r="BO133" s="507"/>
      <c r="BP133" s="507"/>
      <c r="BQ133" s="507"/>
      <c r="BR133" s="507"/>
      <c r="BS133" s="507"/>
      <c r="BT133" s="507"/>
      <c r="BU133" s="507"/>
      <c r="BV133" s="507"/>
      <c r="BW133" s="507"/>
      <c r="BX133" s="507"/>
      <c r="BY133" s="507"/>
      <c r="BZ133" s="507"/>
      <c r="CA133" s="507"/>
      <c r="CB133" s="507"/>
      <c r="CC133" s="507"/>
      <c r="CD133" s="507"/>
      <c r="CE133" s="507"/>
      <c r="CF133" s="507"/>
      <c r="CG133" s="507"/>
      <c r="CH133" s="507"/>
      <c r="CI133" s="507"/>
      <c r="CJ133" s="507"/>
      <c r="CK133" s="507"/>
      <c r="CL133" s="507"/>
      <c r="CM133" s="507"/>
      <c r="CN133" s="507"/>
      <c r="CO133" s="507"/>
      <c r="CP133" s="507"/>
      <c r="CQ133" s="507"/>
      <c r="CR133" s="507"/>
      <c r="CS133" s="507"/>
      <c r="CT133" s="507"/>
      <c r="CU133" s="507"/>
      <c r="CV133" s="507"/>
      <c r="CW133" s="507"/>
      <c r="CX133" s="507"/>
      <c r="CY133" s="507"/>
      <c r="CZ133" s="507"/>
      <c r="DA133" s="507"/>
      <c r="DB133" s="507"/>
      <c r="DC133" s="507"/>
      <c r="DD133" s="507"/>
      <c r="DE133" s="507"/>
      <c r="DF133" s="507"/>
      <c r="DG133" s="507"/>
      <c r="DH133" s="507"/>
      <c r="DI133" s="507"/>
      <c r="DJ133" s="507"/>
      <c r="DK133" s="507"/>
      <c r="DL133" s="507"/>
      <c r="DM133" s="507"/>
      <c r="DN133" s="507"/>
      <c r="DO133" s="507"/>
      <c r="DP133" s="507"/>
      <c r="DQ133" s="507"/>
      <c r="DR133" s="507"/>
      <c r="DS133" s="507"/>
      <c r="DT133" s="507"/>
      <c r="DU133" s="507"/>
      <c r="DV133" s="507"/>
      <c r="DW133" s="507"/>
      <c r="DX133" s="507"/>
      <c r="DY133" s="507"/>
      <c r="DZ133" s="507"/>
      <c r="EA133" s="507"/>
      <c r="EB133" s="507"/>
      <c r="EC133" s="507"/>
      <c r="ED133" s="507"/>
      <c r="EE133" s="507"/>
      <c r="EF133" s="507"/>
      <c r="EG133" s="507"/>
      <c r="EH133" s="507"/>
      <c r="EI133" s="507"/>
      <c r="EJ133" s="507"/>
      <c r="EK133" s="507"/>
      <c r="EL133" s="507"/>
      <c r="EM133" s="507"/>
      <c r="EN133" s="507"/>
      <c r="EO133" s="507"/>
      <c r="EP133" s="507"/>
      <c r="EQ133" s="507"/>
      <c r="ER133" s="507"/>
      <c r="ES133" s="507"/>
      <c r="ET133" s="507"/>
      <c r="EU133" s="507"/>
      <c r="EV133" s="507"/>
      <c r="EW133" s="507"/>
      <c r="EX133" s="507"/>
      <c r="EY133" s="507"/>
      <c r="EZ133" s="507"/>
      <c r="FA133" s="507"/>
      <c r="FB133" s="88"/>
      <c r="FC133" s="88"/>
      <c r="FD133" s="88"/>
      <c r="FE133" s="88"/>
      <c r="FF133" s="88"/>
      <c r="FG133" s="88"/>
      <c r="FH133" s="88"/>
      <c r="FI133" s="88"/>
      <c r="FJ133" s="88"/>
      <c r="FL133" s="111"/>
      <c r="FM133" s="111"/>
    </row>
    <row r="134" spans="1:170">
      <c r="A134" s="106" t="s">
        <v>433</v>
      </c>
      <c r="B134" s="506"/>
      <c r="C134" s="506"/>
      <c r="D134" s="506"/>
      <c r="E134" s="506"/>
      <c r="F134" s="506"/>
      <c r="G134" s="506"/>
      <c r="H134" s="506"/>
      <c r="I134" s="506"/>
      <c r="J134" s="506"/>
      <c r="K134" s="474"/>
      <c r="L134" s="508">
        <v>-2.4830000000000001</v>
      </c>
      <c r="M134" s="508">
        <v>-2.2330000000000001</v>
      </c>
      <c r="N134" s="508">
        <v>-5.2329999999999988</v>
      </c>
      <c r="O134" s="508">
        <v>-1.6490000000000009</v>
      </c>
      <c r="P134" s="509">
        <f>SUM(L134:O134)</f>
      </c>
      <c r="Q134" s="508">
        <v>-7.4509999999999996</v>
      </c>
      <c r="R134" s="508">
        <v>-7.6090000000000009</v>
      </c>
      <c r="S134" s="508">
        <v>-6.5339999999999998</v>
      </c>
      <c r="T134" s="508">
        <v>-14.734999999999999</v>
      </c>
      <c r="U134" s="509">
        <f>SUM(Q134:T134)</f>
      </c>
      <c r="V134" s="508">
        <v>-31.741</v>
      </c>
      <c r="W134" s="508">
        <f>-55.57-V134</f>
      </c>
      <c r="X134" s="508">
        <v>-21.245000000000001</v>
      </c>
      <c r="Y134" s="508">
        <f>-96.966-X134-W134-V134</f>
      </c>
      <c r="Z134" s="509">
        <f>SUM(V134:Y134)</f>
      </c>
      <c r="AA134" s="508">
        <v>-21.192</v>
      </c>
      <c r="AB134" s="508">
        <f>-45.123-AA134</f>
      </c>
      <c r="AC134" s="508">
        <f>-53.183-SUM(AA134:AB134)</f>
      </c>
      <c r="AD134" s="508">
        <f>-63.123-AC134-AB134-AA134</f>
      </c>
      <c r="AE134" s="509">
        <f>SUM(AA134:AD134)</f>
      </c>
      <c r="AF134" s="508">
        <v>-25.591999999999999</v>
      </c>
      <c r="AG134" s="507">
        <f>-91.863-AF134</f>
      </c>
      <c r="AH134" s="507">
        <f>-115.248-AG134-AF134</f>
      </c>
      <c r="AI134" s="507">
        <f>-127.604-SUM(AF134:AH134)</f>
      </c>
      <c r="AJ134" s="509">
        <f>SUM(AF134:AI134)</f>
      </c>
      <c r="AK134" s="507">
        <v>-18.599</v>
      </c>
      <c r="AL134" s="507">
        <f>-35.227-AK134</f>
      </c>
      <c r="AM134" s="507">
        <f>-49.284-SUM(AK134:AL134)</f>
      </c>
      <c r="AN134" s="507">
        <f>-67.261-SUM(AK134:AM134)</f>
      </c>
      <c r="AO134" s="509">
        <f>SUM(AK134:AN134)</f>
      </c>
      <c r="AP134" s="507">
        <v>-13.504</v>
      </c>
      <c r="AQ134" s="507">
        <f>-42.689-AP134</f>
      </c>
      <c r="AR134" s="507">
        <f>-56.155-SUM(AP134:AQ134)</f>
      </c>
      <c r="AS134" s="507">
        <f>-79.6-SUM(AP134:AR134)</f>
      </c>
      <c r="AT134" s="509">
        <f>SUM(AP134:AS134)</f>
      </c>
      <c r="AU134" s="507">
        <v>-20.667000000000002</v>
      </c>
      <c r="AV134" s="507">
        <f>-40.778-AU134</f>
      </c>
      <c r="AW134" s="507">
        <f>-69.564-SUM(AU134:AV134)</f>
      </c>
      <c r="AX134" s="507">
        <f>-145.256-SUM(AU134:AW134)</f>
      </c>
      <c r="AY134" s="509">
        <f>SUM(AU134:AX134)</f>
      </c>
      <c r="AZ134" s="507">
        <v>-37.627000000000002</v>
      </c>
      <c r="BA134" s="507">
        <f>-67.703-AZ134</f>
      </c>
      <c r="BB134" s="507">
        <f>-117.406-SUM(AZ134:BA134)</f>
      </c>
      <c r="BC134" s="507">
        <f>-187.745-SUM(AZ134:BB134)</f>
      </c>
      <c r="BD134" s="509">
        <f>SUM(AZ134:BC134)</f>
      </c>
      <c r="BE134" s="507">
        <v>-202.173</v>
      </c>
      <c r="BF134" s="507">
        <f>-255.687-SUM(BE134)</f>
      </c>
      <c r="BG134" s="507">
        <f>-364.695-BF134-BE134</f>
      </c>
      <c r="BH134" s="507">
        <f>-407.67-BG134-BF134-BE134</f>
      </c>
      <c r="BI134" s="509">
        <f>SUM(BE134:BH134)</f>
      </c>
      <c r="BJ134" s="507">
        <v>-20.777000000000001</v>
      </c>
      <c r="BK134" s="507">
        <f>-38.433-BJ134</f>
      </c>
      <c r="BL134" s="507">
        <v>-30</v>
      </c>
      <c r="BM134" s="507">
        <f>-77.601-BL134-BK134-BJ134</f>
      </c>
      <c r="BN134" s="509">
        <f>SUM(BJ134:BM134)</f>
      </c>
      <c r="BO134" s="507">
        <v>-17.079999999999998</v>
      </c>
      <c r="BP134" s="507">
        <f>-54.724-BO134</f>
      </c>
      <c r="BQ134" s="507">
        <f>-76.547-BP134-BO134</f>
      </c>
      <c r="BR134" s="507">
        <f>-97.89-BQ134-BP134-BO134</f>
      </c>
      <c r="BS134" s="509">
        <f>SUM(BO134:BR134)</f>
      </c>
      <c r="BT134" s="507">
        <v>-31.195</v>
      </c>
      <c r="BU134" s="507">
        <f>-54.518-BT134</f>
      </c>
      <c r="BV134" s="507">
        <f>-93.553-BU134-BT134</f>
      </c>
      <c r="BW134" s="507">
        <f>-138.735-BV134-BU134-BT134</f>
      </c>
      <c r="BX134" s="509">
        <f>SUM(BT134:BW134)</f>
      </c>
      <c r="BY134" s="507">
        <v>-28.922999999999998</v>
      </c>
      <c r="BZ134" s="507">
        <f>-90.867-BY134</f>
      </c>
      <c r="CA134" s="507">
        <f>-135.551-BZ134-BY134</f>
      </c>
      <c r="CB134" s="507">
        <f>-183.309-CA134-BZ134-BY134</f>
      </c>
      <c r="CC134" s="509">
        <f>SUM(BY134:CB134)</f>
      </c>
      <c r="CD134" s="507">
        <v>-65.667000000000002</v>
      </c>
      <c r="CE134" s="507">
        <f>-150.653-CD134</f>
      </c>
      <c r="CF134" s="507">
        <f>-188.812-CE134-CD134</f>
      </c>
      <c r="CG134" s="507">
        <f>-255.186-CF134-CE134-CD134</f>
      </c>
      <c r="CH134" s="509">
        <f>SUM(CD134:CG134)</f>
      </c>
      <c r="CI134" s="507">
        <v>-29.068000000000001</v>
      </c>
      <c r="CJ134" s="507">
        <f>-51.595-CI134</f>
      </c>
      <c r="CK134" s="507">
        <f>-91.336-CJ134-CI134</f>
      </c>
      <c r="CL134" s="507">
        <f>-122.381-CK134-CJ134-CI134</f>
      </c>
      <c r="CM134" s="509">
        <f>SUM(CI134:CL134)</f>
      </c>
      <c r="CN134" s="507">
        <v>-30</v>
      </c>
      <c r="CO134" s="507">
        <f>-54-CN134</f>
      </c>
      <c r="CP134" s="507">
        <f>-71-CO134-CN134</f>
      </c>
      <c r="CQ134" s="507">
        <f>-86-CP134-CO134-CN134</f>
      </c>
      <c r="CR134" s="509">
        <f>SUM(CN134:CQ134)</f>
      </c>
      <c r="CS134" s="507">
        <v>-55</v>
      </c>
      <c r="CT134" s="507">
        <f>-87-CS134</f>
      </c>
      <c r="CU134" s="507">
        <f>-125-CT134-CS134</f>
      </c>
      <c r="CV134" s="507">
        <f>-176-CU134-CT134-CS134</f>
      </c>
      <c r="CW134" s="509">
        <f>SUM(CS134:CV134)</f>
      </c>
      <c r="CX134" s="507">
        <v>-54</v>
      </c>
      <c r="CY134" s="507">
        <f>-108-CX134</f>
      </c>
      <c r="CZ134" s="507">
        <f>-177-CY134-CX134</f>
      </c>
      <c r="DA134" s="507">
        <v>-416</v>
      </c>
      <c r="DB134" s="509">
        <f>SUM(CX134:DA134)</f>
      </c>
      <c r="DC134" s="507">
        <v>-118</v>
      </c>
      <c r="DD134" s="507">
        <f>-247-DC134</f>
      </c>
      <c r="DE134" s="507">
        <f>-397-DD134-DC134</f>
      </c>
      <c r="DF134" s="507">
        <f>-600-DE134-DD134-DC134</f>
      </c>
      <c r="DG134" s="509">
        <f>SUM(DC134:DF134)</f>
      </c>
      <c r="DH134" s="507">
        <v>-128</v>
      </c>
      <c r="DI134" s="507">
        <f>-241-DH134</f>
      </c>
      <c r="DJ134" s="507">
        <f>+-344-DI134-DH134</f>
      </c>
      <c r="DK134" s="507">
        <v>-144</v>
      </c>
      <c r="DL134" s="509">
        <f>SUM(DH134:DK134)</f>
      </c>
      <c r="DM134" s="507">
        <v>-34</v>
      </c>
      <c r="DN134" s="507">
        <v>-217</v>
      </c>
      <c r="DO134" s="507">
        <v>-473</v>
      </c>
      <c r="DP134" s="507">
        <f>-283</f>
      </c>
      <c r="DQ134" s="509">
        <f>SUM(DM134:DP134)</f>
      </c>
      <c r="DR134" s="507">
        <v>-298</v>
      </c>
      <c r="DS134" s="507">
        <v>-183</v>
      </c>
      <c r="DT134" s="507">
        <v>-221</v>
      </c>
      <c r="DU134" s="507">
        <v>-273</v>
      </c>
      <c r="DV134" s="509">
        <f>SUM(DR134:DU134)</f>
      </c>
      <c r="DW134" s="507">
        <v>-361</v>
      </c>
      <c r="DX134" s="507">
        <v>-433</v>
      </c>
      <c r="DY134" s="507">
        <v>-530</v>
      </c>
      <c r="DZ134" s="507">
        <v>-509</v>
      </c>
      <c r="EA134" s="509">
        <f>SUM(DW134:DZ134)</f>
      </c>
      <c r="EB134" s="507">
        <v>-248</v>
      </c>
      <c r="EC134" s="507">
        <v>-289</v>
      </c>
      <c r="ED134" s="507">
        <v>-278</v>
      </c>
      <c r="EE134" s="507">
        <v>-253</v>
      </c>
      <c r="EF134" s="509">
        <f>SUM(EB134:EE134)</f>
      </c>
      <c r="EG134" s="507">
        <v>-369</v>
      </c>
      <c r="EH134" s="507">
        <v>-977</v>
      </c>
      <c r="EI134" s="507">
        <v>-813</v>
      </c>
      <c r="EJ134" s="507">
        <v>-1077</v>
      </c>
      <c r="EK134" s="509">
        <f>SUM(EG134:EJ134)</f>
      </c>
      <c r="EL134" s="507">
        <v>-1227</v>
      </c>
      <c r="EM134" s="507">
        <v>-1894</v>
      </c>
      <c r="EN134" s="510">
        <v>-2000</v>
      </c>
      <c r="EO134" s="510">
        <f>EN134</f>
      </c>
      <c r="EP134" s="509">
        <f>SUM(EL134:EO134)</f>
      </c>
      <c r="EQ134" s="510">
        <v>-2500</v>
      </c>
      <c r="ER134" s="510">
        <f>EQ134</f>
      </c>
      <c r="ES134" s="510">
        <f>ER134</f>
      </c>
      <c r="ET134" s="510">
        <f>ES134</f>
      </c>
      <c r="EU134" s="509">
        <f>SUM(EQ134:ET134)</f>
      </c>
      <c r="EV134" s="510">
        <v>-3000</v>
      </c>
      <c r="EW134" s="510">
        <f>EV134</f>
      </c>
      <c r="EX134" s="510">
        <f>EW134</f>
      </c>
      <c r="EY134" s="510">
        <f>EX134</f>
      </c>
      <c r="EZ134" s="509">
        <f>SUM(EV134:EY134)</f>
      </c>
      <c r="FA134" s="509"/>
      <c r="FB134" s="88"/>
      <c r="FC134" s="88"/>
      <c r="FD134" s="88"/>
      <c r="FE134" s="88"/>
      <c r="FF134" s="88"/>
      <c r="FG134" s="88"/>
      <c r="FH134" s="88"/>
      <c r="FI134" s="88"/>
      <c r="FJ134" s="88"/>
      <c r="FL134" s="111"/>
      <c r="FM134" s="111"/>
    </row>
    <row r="135" spans="1:170">
      <c r="A135" s="106" t="s">
        <v>434</v>
      </c>
      <c r="B135" s="506"/>
      <c r="C135" s="506"/>
      <c r="D135" s="506"/>
      <c r="E135" s="506"/>
      <c r="F135" s="506"/>
      <c r="G135" s="506"/>
      <c r="H135" s="506"/>
      <c r="I135" s="506"/>
      <c r="J135" s="506"/>
      <c r="K135" s="474"/>
      <c r="L135" s="508"/>
      <c r="M135" s="508"/>
      <c r="N135" s="508"/>
      <c r="O135" s="508"/>
      <c r="P135" s="509">
        <f>SUM(L135:O135)</f>
      </c>
      <c r="Q135" s="508"/>
      <c r="R135" s="508"/>
      <c r="S135" s="508"/>
      <c r="T135" s="508">
        <v>-24.5</v>
      </c>
      <c r="U135" s="509">
        <f>SUM(Q135:T135)</f>
      </c>
      <c r="V135" s="508">
        <f>-63.61-3.55</f>
      </c>
      <c r="W135" s="508">
        <f>-64.109-3.55-V135</f>
      </c>
      <c r="X135" s="508">
        <f>-316.812-64.109+17.45-W135-V135</f>
      </c>
      <c r="Y135" s="508">
        <f>-472.917+15.32-64.109+17.5-X135-W135-V135</f>
      </c>
      <c r="Z135" s="509">
        <f>SUM(V135:Y135)</f>
      </c>
      <c r="AA135" s="508">
        <f>-113.638+50.075-3.98</f>
      </c>
      <c r="AB135" s="508">
        <f>-267.546+149.986-3.901+7-AA135</f>
      </c>
      <c r="AC135" s="508">
        <f>-399.509+271.751-3.901+7-AB135-AA135</f>
      </c>
      <c r="AD135" s="508">
        <f>-639.5+422.2-3.901+7-AC135-AB135-AA135</f>
      </c>
      <c r="AE135" s="509">
        <f>SUM(AA135:AD135)</f>
      </c>
      <c r="AF135" s="508">
        <f>185.786-275.252</f>
      </c>
      <c r="AG135" s="507">
        <f>-456.921+399.765-AF135</f>
      </c>
      <c r="AH135" s="507">
        <f>-640.209+935.697-71.303-AG135-AF135</f>
      </c>
      <c r="AI135" s="507">
        <f>-734.642+1021.59-71.303-SUM(AF135:AH135)</f>
      </c>
      <c r="AJ135" s="509">
        <f>SUM(AF135:AI135)</f>
      </c>
      <c r="AK135" s="507">
        <f>-149.68+75.348</f>
      </c>
      <c r="AL135" s="507">
        <f>-170.132+121.967-AK135</f>
      </c>
      <c r="AM135" s="507">
        <f>-222.783+178.635-SUM(AK135:AL135)</f>
      </c>
      <c r="AN135" s="507">
        <f>-313.76+229.068-SUM(AK135:AM135)</f>
      </c>
      <c r="AO135" s="509">
        <f>SUM(AK135:AN135)</f>
      </c>
      <c r="AP135" s="507">
        <f>65.304-56.411</f>
      </c>
      <c r="AQ135" s="507">
        <f>-133.214+115.614-AP135</f>
      </c>
      <c r="AR135" s="507">
        <f>-182.531+217.286-9.684-SUM(AP135:AQ135)</f>
      </c>
      <c r="AS135" s="507">
        <f>-338.058+397.686-12.131-9.684-SUM(AP135:AR135)</f>
      </c>
      <c r="AT135" s="509">
        <f>SUM(AP135:AS135)</f>
      </c>
      <c r="AU135" s="507">
        <f>-92.344+22.523-67.026</f>
      </c>
      <c r="AV135" s="507">
        <f>-159.034+94.293-67.026-AU135</f>
      </c>
      <c r="AW135" s="507">
        <f>-179.05+146.745-67.037-0.008-SUM(AU135:AV135)</f>
      </c>
      <c r="AX135" s="507">
        <f>-220.834+227.067-401.8-SUM(AU135:AW135)</f>
      </c>
      <c r="AY135" s="509">
        <f>SUM(AU135:AX135)</f>
      </c>
      <c r="AZ135" s="507">
        <f>-268.211+214.775</f>
      </c>
      <c r="BA135" s="507">
        <f>-455.909+374.661-AZ135</f>
      </c>
      <c r="BB135" s="507">
        <f>-739.706+521.712-SUM(AZ135:BA135)</f>
      </c>
      <c r="BC135" s="507">
        <f>-1250.248+753.839-75.542-1.622-SUM(AZ135:BB135)</f>
      </c>
      <c r="BD135" s="509">
        <f>SUM(AZ135:BC135)</f>
      </c>
      <c r="BE135" s="507">
        <f>-289.649+545.803-27.948-1.5</f>
      </c>
      <c r="BF135" s="507">
        <f>810.508-678.704-27.948+3.218-1.5-SUM(BE135)</f>
      </c>
      <c r="BG135" s="507">
        <f>1131.147-917.987-27.948+1.468-BF135-BE135</f>
      </c>
      <c r="BH135" s="507">
        <f>1226.646-999.953-27.948-0.442-BG135-BF135-BE135</f>
      </c>
      <c r="BI135" s="509">
        <f>SUM(BE135:BH135)</f>
      </c>
      <c r="BJ135" s="507">
        <f>226.96-215.088</f>
      </c>
      <c r="BK135" s="507">
        <f>-530.11+427.699+0.782-BJ135</f>
      </c>
      <c r="BL135" s="507">
        <v>0</v>
      </c>
      <c r="BM135" s="507">
        <f>-1193.948+752.434-0.218-BL135-BK135-BJ135</f>
      </c>
      <c r="BN135" s="509">
        <f>SUM(BJ135:BM135)</f>
      </c>
      <c r="BO135" s="507">
        <f>-226.963+186.701</f>
      </c>
      <c r="BP135" s="507">
        <f>-755.626+635.432-1.525-BO135</f>
      </c>
      <c r="BQ135" s="507">
        <f>-1193.323+931.099-76.547-BP135-BO135</f>
      </c>
      <c r="BR135" s="507">
        <f>-1719.7+1170.075-2.163-BQ135-BP135-BO135</f>
      </c>
      <c r="BS135" s="509">
        <f>SUM(BO135:BR135)</f>
      </c>
      <c r="BT135" s="507">
        <f>-0.383+206.946-427.874</f>
      </c>
      <c r="BU135" s="507">
        <f>-711.674+591.242-348.884-1.89-BT135</f>
      </c>
      <c r="BV135" s="507">
        <f>-1324.35+953.808-348.884-1.89-BU135-BT135</f>
      </c>
      <c r="BW135" s="507">
        <f>1310.743-1964.898-348.884-1.59-BV135-BU135-BT135</f>
      </c>
      <c r="BX135" s="509">
        <f>SUM(BT135:BW135)</f>
      </c>
      <c r="BY135" s="507">
        <f>-814.222+507.875+0.216</f>
      </c>
      <c r="BZ135" s="507">
        <f>-1247.664+918.856-BY135-0.082</f>
      </c>
      <c r="CA135" s="507">
        <f>-1729.307+1262.167+0.135-BZ135-BY135</f>
      </c>
      <c r="CB135" s="507">
        <f>-2378.445+1817.41+0.352-CA135-BZ135-BY135</f>
      </c>
      <c r="CC135" s="509">
        <f>SUM(BY135:CB135)</f>
      </c>
      <c r="CD135" s="507">
        <f>-541.95+378.281-1.45</f>
      </c>
      <c r="CE135" s="507">
        <f>481.032+315.772</f>
      </c>
      <c r="CF135" s="507">
        <f>293.659-442.873</f>
      </c>
      <c r="CG135" s="507">
        <f>-3065.404+1926.817+24.781-17.145-4.95-CF135-CE135-CD135+585.15</f>
      </c>
      <c r="CH135" s="509">
        <f>SUM(CD135:CG135)</f>
      </c>
      <c r="CI135" s="507">
        <f>-1001.073+544.878+134.079+20.862</f>
      </c>
      <c r="CJ135" s="507">
        <f>-1682.854+869.087+451.474+20.862-0.25-CI135</f>
      </c>
      <c r="CK135" s="507">
        <f>-2126.079+1100.014+688.168+20.862-0.5-CJ135-CI135</f>
      </c>
      <c r="CL135" s="507">
        <f>1371.982-2861.809+864.798+20.862-0.5-CK135-CJ135-CI135</f>
      </c>
      <c r="CM135" s="509">
        <f>SUM(CI135:CL135)</f>
      </c>
      <c r="CN135" s="507">
        <f>-1267+825+238-1</f>
      </c>
      <c r="CO135" s="507">
        <f>-1861+1415+487+2+24-1-CN135</f>
      </c>
      <c r="CP135" s="507">
        <f>-2669+1651+872+7+24-1-CO135-CN135</f>
      </c>
      <c r="CQ135" s="507">
        <f>-3477+2102+1036+7+24-6-CP135-CO135-CN135</f>
      </c>
      <c r="CR135" s="509">
        <f>SUM(CN135:CQ135)</f>
      </c>
      <c r="CS135" s="507">
        <f>529+175-469-4</f>
      </c>
      <c r="CT135" s="507">
        <f>901+506+6-1415-4-CS135</f>
      </c>
      <c r="CU135" s="507">
        <f>1239+712+6-2249-3-CT135-CS135</f>
      </c>
      <c r="CV135" s="507">
        <f>1546+969+7-3134-5-CU135-CT135-CS135</f>
      </c>
      <c r="CW135" s="509">
        <f>SUM(CS135:CV135)</f>
      </c>
      <c r="CX135" s="507">
        <f>649+200-36-5</f>
      </c>
      <c r="CY135" s="507">
        <f>726+450+-36-16-CX135</f>
      </c>
      <c r="CZ135" s="507">
        <f>802+739-36-26-CY135-CX135</f>
      </c>
      <c r="DA135" s="507">
        <f>863+1078+2-36-36-CZ135-CY135-CX135</f>
      </c>
      <c r="DB135" s="509">
        <f>SUM(CX135:DA135)</f>
      </c>
      <c r="DC135" s="507">
        <f>239+33-3705</f>
      </c>
      <c r="DD135" s="507">
        <f>2957+77-7136-7-DC135</f>
      </c>
      <c r="DE135" s="507">
        <f>6267+114-10112-9-DD135-DC135</f>
      </c>
      <c r="DF135" s="507">
        <f>7232+428-11148-9-DE135-DD135-DC135</f>
      </c>
      <c r="DG135" s="509">
        <f>SUM(DC135:DF135)</f>
      </c>
      <c r="DH135" s="507">
        <f>2219+26-622</f>
      </c>
      <c r="DI135" s="507">
        <f>3592+3152-1461-2-DH135</f>
      </c>
      <c r="DJ135" s="507">
        <f>4744+3363-1461-6-DI135-DH135</f>
      </c>
      <c r="DK135" s="507">
        <f>2-9-2.654</f>
      </c>
      <c r="DL135" s="509">
        <f>SUM(DH135:DK135)</f>
      </c>
      <c r="DM135" s="507">
        <f>1-861-155-6</f>
      </c>
      <c r="DN135" s="507">
        <f>1032+258-7425-7137</f>
      </c>
      <c r="DO135" s="507">
        <f>4133+243-4554-1353+3</f>
      </c>
      <c r="DP135" s="507">
        <f>3627+25-6468-30</f>
      </c>
      <c r="DQ135" s="509">
        <f>SUM(DM135:DP135)</f>
      </c>
      <c r="DR135" s="507">
        <f>3140+358-4470-2</f>
      </c>
      <c r="DS135" s="507">
        <f>2096+347-4798+5</f>
      </c>
      <c r="DT135" s="507">
        <f>2545+211-6752-203-18</f>
      </c>
      <c r="DU135" s="507">
        <f>7417+107-8767-60-11</f>
      </c>
      <c r="DV135" s="509">
        <f>SUM(DR135:DU135)</f>
      </c>
      <c r="DW135" s="507">
        <f>5947+1029-3932-36-35</f>
      </c>
      <c r="DX135" s="507">
        <f>5036+702-3644-13-30</f>
      </c>
      <c r="DY135" s="507">
        <f>5809+75-2188-18</f>
      </c>
      <c r="DZ135" s="507">
        <f>2633-2133+5</f>
      </c>
      <c r="EA135" s="509">
        <f>SUM(DW135:DZ135)</f>
      </c>
      <c r="EB135" s="507">
        <f>2512-2801-83-221</f>
      </c>
      <c r="EC135" s="507">
        <f>2598-2542-214</f>
      </c>
      <c r="ED135" s="507">
        <f>2891-5345-437</f>
      </c>
      <c r="EE135" s="507">
        <f>1731+50-7524-113</f>
      </c>
      <c r="EF135" s="509">
        <f>SUM(EB135:EE135)</f>
      </c>
      <c r="EG135" s="507">
        <f>4004+149-9303-39-135</f>
      </c>
      <c r="EH135" s="507">
        <f>4094+15-5744-279-344+50</f>
      </c>
      <c r="EI135" s="507">
        <f>1386+154-4518-147-473+66</f>
      </c>
      <c r="EJ135" s="507">
        <f>1710+177-7010-478-542+22</f>
      </c>
      <c r="EK135" s="509">
        <f>SUM(EG135:EJ135)</f>
      </c>
      <c r="EL135" s="507">
        <f>3122+467-6546-649-383</f>
      </c>
      <c r="EM135" s="507">
        <f>3130+20+70-7812-346-294</f>
      </c>
      <c r="EN135" s="510">
        <v>0</v>
      </c>
      <c r="EO135" s="510">
        <v>0</v>
      </c>
      <c r="EP135" s="509">
        <f>SUM(EL135:EO135)</f>
      </c>
      <c r="EQ135" s="510">
        <v>0</v>
      </c>
      <c r="ER135" s="510">
        <v>0</v>
      </c>
      <c r="ES135" s="510">
        <v>0</v>
      </c>
      <c r="ET135" s="510">
        <v>0</v>
      </c>
      <c r="EU135" s="509">
        <f>SUM(EQ135:ET135)</f>
      </c>
      <c r="EV135" s="510">
        <v>0</v>
      </c>
      <c r="EW135" s="510">
        <v>0</v>
      </c>
      <c r="EX135" s="510">
        <v>0</v>
      </c>
      <c r="EY135" s="510">
        <v>0</v>
      </c>
      <c r="EZ135" s="509">
        <f>SUM(EV135:EY135)</f>
      </c>
      <c r="FA135" s="509"/>
      <c r="FB135" s="88"/>
      <c r="FC135" s="88"/>
      <c r="FD135" s="88"/>
      <c r="FE135" s="88"/>
      <c r="FF135" s="88"/>
      <c r="FG135" s="88"/>
      <c r="FH135" s="88"/>
      <c r="FI135" s="88"/>
      <c r="FJ135" s="88"/>
      <c r="FL135" s="111"/>
      <c r="FM135" s="111"/>
    </row>
    <row r="136" spans="1:170" s="105" customFormat="1">
      <c r="A136" s="106" t="s">
        <v>435</v>
      </c>
      <c r="B136" s="511"/>
      <c r="C136" s="515"/>
      <c r="D136" s="515"/>
      <c r="E136" s="515"/>
      <c r="F136" s="515"/>
      <c r="G136" s="511"/>
      <c r="H136" s="511"/>
      <c r="I136" s="511"/>
      <c r="J136" s="511"/>
      <c r="K136" s="512"/>
      <c r="L136" s="513">
        <f>SUM(L134:L135)</f>
      </c>
      <c r="M136" s="513">
        <f>SUM(M134:M135)</f>
      </c>
      <c r="N136" s="513">
        <f>SUM(N134:N135)</f>
      </c>
      <c r="O136" s="513">
        <f>SUM(O134:O135)</f>
      </c>
      <c r="P136" s="513">
        <f>SUM(L136:O136)</f>
      </c>
      <c r="Q136" s="513">
        <f>SUM(Q134:Q135)</f>
      </c>
      <c r="R136" s="513">
        <f>SUM(R134:R135)</f>
      </c>
      <c r="S136" s="513">
        <f>SUM(S134:S135)</f>
      </c>
      <c r="T136" s="513">
        <f>SUM(T134:T135)</f>
      </c>
      <c r="U136" s="513">
        <f>SUM(Q136:T136)</f>
      </c>
      <c r="V136" s="513">
        <f>SUM(V134:V135)</f>
      </c>
      <c r="W136" s="513">
        <f>SUM(W134:W135)</f>
      </c>
      <c r="X136" s="513">
        <f>SUM(X134:X135)</f>
      </c>
      <c r="Y136" s="513">
        <f>SUM(Y134:Y135)</f>
      </c>
      <c r="Z136" s="513">
        <f>SUM(V136:Y136)</f>
      </c>
      <c r="AA136" s="513">
        <f>SUM(AA134:AA135)</f>
      </c>
      <c r="AB136" s="513">
        <f>SUM(AB134:AB135)</f>
      </c>
      <c r="AC136" s="513">
        <f>SUM(AC134:AC135)</f>
      </c>
      <c r="AD136" s="513">
        <f>SUM(AD134:AD135)</f>
      </c>
      <c r="AE136" s="513">
        <f>SUM(AA136:AD136)</f>
      </c>
      <c r="AF136" s="513">
        <f>SUM(AF134:AF135)</f>
      </c>
      <c r="AG136" s="513">
        <f>SUM(AG134:AG135)</f>
      </c>
      <c r="AH136" s="513">
        <f>SUM(AH134:AH135)</f>
      </c>
      <c r="AI136" s="513">
        <f>SUM(AI134:AI135)</f>
      </c>
      <c r="AJ136" s="513">
        <f>SUM(AF136:AI136)</f>
      </c>
      <c r="AK136" s="513">
        <f>SUM(AK134:AK135)</f>
      </c>
      <c r="AL136" s="513">
        <f>SUM(AL134:AL135)</f>
      </c>
      <c r="AM136" s="513">
        <f>SUM(AM134:AM135)</f>
      </c>
      <c r="AN136" s="513">
        <f>SUM(AN134:AN135)</f>
      </c>
      <c r="AO136" s="513">
        <f>SUM(AK136:AN136)</f>
      </c>
      <c r="AP136" s="513">
        <f>SUM(AP134:AP135)</f>
      </c>
      <c r="AQ136" s="513">
        <f>SUM(AQ134:AQ135)</f>
      </c>
      <c r="AR136" s="513">
        <f>SUM(AR134:AR135)</f>
      </c>
      <c r="AS136" s="513">
        <f>SUM(AS134:AS135)</f>
      </c>
      <c r="AT136" s="513">
        <f>SUM(AP136:AS136)</f>
      </c>
      <c r="AU136" s="513">
        <f>SUM(AU134:AU135)</f>
      </c>
      <c r="AV136" s="513">
        <f>SUM(AV134:AV135)</f>
      </c>
      <c r="AW136" s="513">
        <f>SUM(AW134:AW135)</f>
      </c>
      <c r="AX136" s="513">
        <f>SUM(AX134:AX135)</f>
      </c>
      <c r="AY136" s="513">
        <f>SUM(AU136:AX136)</f>
      </c>
      <c r="AZ136" s="513">
        <f>SUM(AZ134:AZ135)</f>
      </c>
      <c r="BA136" s="513">
        <f>SUM(BA134:BA135)</f>
      </c>
      <c r="BB136" s="513">
        <f>SUM(BB134:BB135)</f>
      </c>
      <c r="BC136" s="513">
        <f>SUM(BC134:BC135)</f>
      </c>
      <c r="BD136" s="513">
        <f>SUM(AZ136:BC136)</f>
      </c>
      <c r="BE136" s="513">
        <f>SUM(BE134:BE135)</f>
      </c>
      <c r="BF136" s="513">
        <f>SUM(BF134:BF135)</f>
      </c>
      <c r="BG136" s="513">
        <f>SUM(BG134:BG135)</f>
      </c>
      <c r="BH136" s="513">
        <f>SUM(BH134:BH135)</f>
      </c>
      <c r="BI136" s="513">
        <f>SUM(BE136:BH136)</f>
      </c>
      <c r="BJ136" s="513">
        <f>SUM(BJ134:BJ135)</f>
      </c>
      <c r="BK136" s="513">
        <f>SUM(BK134:BK135)</f>
      </c>
      <c r="BL136" s="513">
        <f>SUM(BL134:BL135)</f>
      </c>
      <c r="BM136" s="513">
        <f>SUM(BM134:BM135)</f>
      </c>
      <c r="BN136" s="513">
        <f>SUM(BJ136:BM136)</f>
      </c>
      <c r="BO136" s="513">
        <f>SUM(BO134:BO135)</f>
      </c>
      <c r="BP136" s="513">
        <f>SUM(BP134:BP135)</f>
      </c>
      <c r="BQ136" s="513">
        <f>SUM(BQ134:BQ135)</f>
      </c>
      <c r="BR136" s="513">
        <f>SUM(BR134:BR135)</f>
      </c>
      <c r="BS136" s="513">
        <f>SUM(BO136:BR136)</f>
      </c>
      <c r="BT136" s="513">
        <f>SUM(BT134:BT135)</f>
      </c>
      <c r="BU136" s="513">
        <f>SUM(BU134:BU135)</f>
      </c>
      <c r="BV136" s="513">
        <f>SUM(BV134:BV135)</f>
      </c>
      <c r="BW136" s="513">
        <f>SUM(BW134:BW135)</f>
      </c>
      <c r="BX136" s="513">
        <f>SUM(BT136:BW136)</f>
      </c>
      <c r="BY136" s="513">
        <f>SUM(BY134:BY135)</f>
      </c>
      <c r="BZ136" s="513">
        <f>SUM(BZ134:BZ135)</f>
      </c>
      <c r="CA136" s="513">
        <f>SUM(CA134:CA135)</f>
      </c>
      <c r="CB136" s="513">
        <f>SUM(CB134:CB135)</f>
      </c>
      <c r="CC136" s="513">
        <f>SUM(BY136:CB136)</f>
      </c>
      <c r="CD136" s="513">
        <f>SUM(CD134:CD135)</f>
      </c>
      <c r="CE136" s="513">
        <f>SUM(CE134:CE135)</f>
      </c>
      <c r="CF136" s="513">
        <f>SUM(CF134:CF135)</f>
      </c>
      <c r="CG136" s="513">
        <f>SUM(CG134:CG135)</f>
      </c>
      <c r="CH136" s="513">
        <f>SUM(CD136:CG136)</f>
      </c>
      <c r="CI136" s="513">
        <f>SUM(CI134:CI135)</f>
      </c>
      <c r="CJ136" s="513">
        <f>SUM(CJ134:CJ135)</f>
      </c>
      <c r="CK136" s="513">
        <f>SUM(CK134:CK135)</f>
      </c>
      <c r="CL136" s="513">
        <f>SUM(CL134:CL135)</f>
      </c>
      <c r="CM136" s="513">
        <f>SUM(CI136:CL136)</f>
      </c>
      <c r="CN136" s="513">
        <f>SUM(CN134:CN135)</f>
      </c>
      <c r="CO136" s="513">
        <f>SUM(CO134:CO135)</f>
      </c>
      <c r="CP136" s="513">
        <f>SUM(CP134:CP135)</f>
      </c>
      <c r="CQ136" s="513">
        <f>SUM(CQ134:CQ135)</f>
      </c>
      <c r="CR136" s="513">
        <f>SUM(CN136:CQ136)</f>
      </c>
      <c r="CS136" s="513">
        <f>SUM(CS134:CS135)</f>
      </c>
      <c r="CT136" s="513">
        <f>SUM(CT134:CT135)</f>
      </c>
      <c r="CU136" s="513">
        <f>SUM(CU134:CU135)</f>
      </c>
      <c r="CV136" s="513">
        <f>SUM(CV134:CV135)</f>
      </c>
      <c r="CW136" s="513">
        <f>SUM(CS136:CV136)</f>
      </c>
      <c r="CX136" s="513">
        <f>SUM(CX134:CX135)</f>
      </c>
      <c r="CY136" s="513">
        <f>SUM(CY134:CY135)</f>
      </c>
      <c r="CZ136" s="513">
        <f>SUM(CZ134:CZ135)</f>
      </c>
      <c r="DA136" s="513">
        <f>SUM(DA134:DA135)</f>
      </c>
      <c r="DB136" s="513">
        <f>SUM(CX136:DA136)</f>
      </c>
      <c r="DC136" s="513">
        <f>SUM(DC134:DC135)</f>
      </c>
      <c r="DD136" s="513">
        <f>SUM(DD134:DD135)</f>
      </c>
      <c r="DE136" s="513">
        <f>SUM(DE134:DE135)</f>
      </c>
      <c r="DF136" s="513">
        <f>SUM(DF134:DF135)</f>
      </c>
      <c r="DG136" s="513">
        <f>SUM(DC136:DF136)</f>
      </c>
      <c r="DH136" s="513">
        <f>SUM(DH134:DH135)</f>
      </c>
      <c r="DI136" s="513">
        <f>SUM(DI134:DI135)</f>
      </c>
      <c r="DJ136" s="513">
        <f>SUM(DJ134:DJ135)</f>
      </c>
      <c r="DK136" s="513">
        <f>SUM(DK134:DK135)</f>
      </c>
      <c r="DL136" s="513">
        <f>SUM(DH136:DK136)</f>
      </c>
      <c r="DM136" s="513">
        <f>SUM(DM134:DM135)</f>
      </c>
      <c r="DN136" s="513">
        <f>SUM(DN134:DN135)</f>
      </c>
      <c r="DO136" s="513">
        <f>SUM(DO134:DO135)</f>
      </c>
      <c r="DP136" s="513">
        <f>SUM(DP134:DP135)</f>
      </c>
      <c r="DQ136" s="513">
        <f>SUM(DM136:DP136)</f>
      </c>
      <c r="DR136" s="513">
        <f>SUM(DR134:DR135)</f>
      </c>
      <c r="DS136" s="513">
        <f>SUM(DS134:DS135)</f>
      </c>
      <c r="DT136" s="513">
        <f>SUM(DT134:DT135)</f>
      </c>
      <c r="DU136" s="513">
        <f>SUM(DU134:DU135)</f>
      </c>
      <c r="DV136" s="513">
        <f>SUM(DR136:DU136)</f>
      </c>
      <c r="DW136" s="513">
        <f>SUM(DW134:DW135)</f>
      </c>
      <c r="DX136" s="513">
        <f>SUM(DX134:DX135)</f>
      </c>
      <c r="DY136" s="513">
        <f>SUM(DY134:DY135)</f>
      </c>
      <c r="DZ136" s="513">
        <f>SUM(DZ134:DZ135)</f>
      </c>
      <c r="EA136" s="513">
        <f>SUM(DW136:DZ136)</f>
      </c>
      <c r="EB136" s="513">
        <f>SUM(EB134:EB135)</f>
      </c>
      <c r="EC136" s="513">
        <f>SUM(EC134:EC135)</f>
      </c>
      <c r="ED136" s="513">
        <f>SUM(ED134:ED135)</f>
      </c>
      <c r="EE136" s="513">
        <f>SUM(EE134:EE135)</f>
      </c>
      <c r="EF136" s="513">
        <f>SUM(EB136:EE136)</f>
      </c>
      <c r="EG136" s="513">
        <f>SUM(EG134:EG135)</f>
      </c>
      <c r="EH136" s="513">
        <f>SUM(EH134:EH135)</f>
      </c>
      <c r="EI136" s="513">
        <f>SUM(EI134:EI135)</f>
      </c>
      <c r="EJ136" s="513">
        <f>SUM(EJ134:EJ135)</f>
      </c>
      <c r="EK136" s="513">
        <f>SUM(EG136:EJ136)</f>
      </c>
      <c r="EL136" s="513">
        <f>SUM(EL134:EL135)</f>
      </c>
      <c r="EM136" s="513">
        <f>SUM(EM134:EM135)</f>
      </c>
      <c r="EN136" s="513">
        <f>SUM(EN134:EN135)</f>
      </c>
      <c r="EO136" s="513">
        <f>SUM(EO134:EO135)</f>
      </c>
      <c r="EP136" s="513">
        <f>SUM(EL136:EO136)</f>
      </c>
      <c r="EQ136" s="513">
        <f>SUM(EQ134:EQ135)</f>
      </c>
      <c r="ER136" s="513">
        <f>SUM(ER134:ER135)</f>
      </c>
      <c r="ES136" s="513">
        <f>SUM(ES134:ES135)</f>
      </c>
      <c r="ET136" s="513">
        <f>SUM(ET134:ET135)</f>
      </c>
      <c r="EU136" s="513">
        <f>SUM(EQ136:ET136)</f>
      </c>
      <c r="EV136" s="513">
        <f>SUM(EV134:EV135)</f>
      </c>
      <c r="EW136" s="513">
        <f>SUM(EW134:EW135)</f>
      </c>
      <c r="EX136" s="513">
        <f>SUM(EX134:EX135)</f>
      </c>
      <c r="EY136" s="513">
        <f>SUM(EY134:EY135)</f>
      </c>
      <c r="EZ136" s="513">
        <f>SUM(EV136:EY136)</f>
      </c>
      <c r="FA136" s="513"/>
      <c r="FB136" s="88"/>
      <c r="FC136" s="88"/>
      <c r="FD136" s="88"/>
      <c r="FE136" s="88"/>
      <c r="FF136" s="88"/>
      <c r="FG136" s="88"/>
      <c r="FH136" s="88"/>
      <c r="FI136" s="88"/>
      <c r="FJ136" s="88"/>
      <c r="FL136" s="111"/>
      <c r="FM136" s="111"/>
    </row>
    <row r="137" spans="1:170">
      <c r="B137" s="506"/>
      <c r="C137" s="506"/>
      <c r="D137" s="506"/>
      <c r="E137" s="506"/>
      <c r="F137" s="506"/>
      <c r="G137" s="506"/>
      <c r="H137" s="506"/>
      <c r="I137" s="506"/>
      <c r="J137" s="506"/>
      <c r="K137" s="88"/>
      <c r="L137" s="508"/>
      <c r="M137" s="508"/>
      <c r="N137" s="508"/>
      <c r="O137" s="508"/>
      <c r="P137" s="507"/>
      <c r="Q137" s="508"/>
      <c r="R137" s="508"/>
      <c r="S137" s="508"/>
      <c r="T137" s="508"/>
      <c r="U137" s="507"/>
      <c r="V137" s="508"/>
      <c r="W137" s="508"/>
      <c r="X137" s="508"/>
      <c r="Y137" s="508"/>
      <c r="Z137" s="507"/>
      <c r="AA137" s="508"/>
      <c r="AB137" s="508"/>
      <c r="AC137" s="508"/>
      <c r="AD137" s="508"/>
      <c r="AE137" s="507"/>
      <c r="AF137" s="508"/>
      <c r="AG137" s="508"/>
      <c r="AH137" s="508"/>
      <c r="AI137" s="508"/>
      <c r="AJ137" s="507"/>
      <c r="AK137" s="508"/>
      <c r="AL137" s="508"/>
      <c r="AM137" s="507"/>
      <c r="AN137" s="508"/>
      <c r="AO137" s="507"/>
      <c r="AP137" s="508"/>
      <c r="AQ137" s="507"/>
      <c r="AR137" s="507"/>
      <c r="AS137" s="507"/>
      <c r="AT137" s="507"/>
      <c r="AU137" s="507"/>
      <c r="AV137" s="507"/>
      <c r="AW137" s="507"/>
      <c r="AX137" s="507"/>
      <c r="AY137" s="507"/>
      <c r="AZ137" s="507"/>
      <c r="BA137" s="507"/>
      <c r="BB137" s="507"/>
      <c r="BC137" s="507"/>
      <c r="BD137" s="507"/>
      <c r="BE137" s="507"/>
      <c r="BF137" s="507"/>
      <c r="BG137" s="507"/>
      <c r="BH137" s="507"/>
      <c r="BI137" s="507"/>
      <c r="BJ137" s="507"/>
      <c r="BK137" s="507"/>
      <c r="BL137" s="507"/>
      <c r="BM137" s="507"/>
      <c r="BN137" s="507"/>
      <c r="BO137" s="507"/>
      <c r="BP137" s="507"/>
      <c r="BQ137" s="507"/>
      <c r="BR137" s="507"/>
      <c r="BS137" s="507"/>
      <c r="BT137" s="507"/>
      <c r="BU137" s="507"/>
      <c r="BV137" s="507"/>
      <c r="BW137" s="507"/>
      <c r="BX137" s="507"/>
      <c r="BY137" s="507"/>
      <c r="BZ137" s="507"/>
      <c r="CA137" s="507"/>
      <c r="CB137" s="507"/>
      <c r="CC137" s="507"/>
      <c r="CD137" s="507"/>
      <c r="CE137" s="507"/>
      <c r="CF137" s="507"/>
      <c r="CG137" s="507"/>
      <c r="CH137" s="507"/>
      <c r="CI137" s="507"/>
      <c r="CJ137" s="507"/>
      <c r="CK137" s="507"/>
      <c r="CL137" s="507"/>
      <c r="CM137" s="507"/>
      <c r="CN137" s="507"/>
      <c r="CO137" s="507"/>
      <c r="CP137" s="507"/>
      <c r="CQ137" s="507"/>
      <c r="CR137" s="507"/>
      <c r="CS137" s="507"/>
      <c r="CT137" s="507"/>
      <c r="CU137" s="507"/>
      <c r="CV137" s="507"/>
      <c r="CW137" s="507"/>
      <c r="CX137" s="507"/>
      <c r="CY137" s="507"/>
      <c r="CZ137" s="507"/>
      <c r="DA137" s="507"/>
      <c r="DB137" s="507"/>
      <c r="DC137" s="507"/>
      <c r="DD137" s="507"/>
      <c r="DE137" s="507"/>
      <c r="DF137" s="507"/>
      <c r="DG137" s="507"/>
      <c r="DH137" s="507"/>
      <c r="DI137" s="507"/>
      <c r="DJ137" s="507"/>
      <c r="DK137" s="507"/>
      <c r="DL137" s="507"/>
      <c r="DM137" s="507"/>
      <c r="DN137" s="507"/>
      <c r="DO137" s="507"/>
      <c r="DP137" s="507"/>
      <c r="DQ137" s="507"/>
      <c r="DR137" s="507"/>
      <c r="DS137" s="507"/>
      <c r="DT137" s="507"/>
      <c r="DU137" s="507"/>
      <c r="DV137" s="507"/>
      <c r="DW137" s="507"/>
      <c r="DX137" s="507"/>
      <c r="DY137" s="507"/>
      <c r="DZ137" s="507"/>
      <c r="EA137" s="507"/>
      <c r="EB137" s="507"/>
      <c r="EC137" s="507"/>
      <c r="ED137" s="507"/>
      <c r="EE137" s="507"/>
      <c r="EF137" s="507"/>
      <c r="EG137" s="507"/>
      <c r="EH137" s="507"/>
      <c r="EI137" s="507"/>
      <c r="EJ137" s="507"/>
      <c r="EK137" s="507"/>
      <c r="EL137" s="507"/>
      <c r="EM137" s="507"/>
      <c r="EN137" s="507"/>
      <c r="EO137" s="507"/>
      <c r="EP137" s="507"/>
      <c r="EQ137" s="507"/>
      <c r="ER137" s="507"/>
      <c r="ES137" s="507"/>
      <c r="ET137" s="507"/>
      <c r="EU137" s="507"/>
      <c r="EV137" s="507"/>
      <c r="EW137" s="507"/>
      <c r="EX137" s="507"/>
      <c r="EY137" s="507"/>
      <c r="EZ137" s="507"/>
      <c r="FA137" s="507"/>
      <c r="FB137" s="88"/>
      <c r="FC137" s="88"/>
      <c r="FD137" s="88"/>
      <c r="FE137" s="88"/>
      <c r="FF137" s="88"/>
      <c r="FG137" s="88"/>
      <c r="FH137" s="88"/>
      <c r="FI137" s="88"/>
      <c r="FJ137" s="88"/>
      <c r="FL137" s="111"/>
      <c r="FM137" s="111"/>
    </row>
    <row r="138" spans="1:170">
      <c r="A138" s="106" t="s">
        <v>436</v>
      </c>
      <c r="B138" s="506"/>
      <c r="C138" s="506"/>
      <c r="D138" s="506"/>
      <c r="E138" s="506"/>
      <c r="F138" s="506"/>
      <c r="G138" s="506"/>
      <c r="H138" s="506"/>
      <c r="I138" s="506"/>
      <c r="J138" s="506"/>
      <c r="K138" s="88"/>
      <c r="L138" s="508"/>
      <c r="M138" s="508"/>
      <c r="N138" s="508"/>
      <c r="O138" s="508"/>
      <c r="P138" s="507"/>
      <c r="Q138" s="508"/>
      <c r="R138" s="508"/>
      <c r="S138" s="508"/>
      <c r="T138" s="508"/>
      <c r="U138" s="507"/>
      <c r="V138" s="508"/>
      <c r="W138" s="508"/>
      <c r="X138" s="508"/>
      <c r="Y138" s="508"/>
      <c r="Z138" s="507"/>
      <c r="AA138" s="508"/>
      <c r="AB138" s="508"/>
      <c r="AC138" s="508"/>
      <c r="AD138" s="508"/>
      <c r="AE138" s="507"/>
      <c r="AF138" s="508"/>
      <c r="AG138" s="508"/>
      <c r="AH138" s="508"/>
      <c r="AI138" s="508"/>
      <c r="AJ138" s="507"/>
      <c r="AK138" s="508"/>
      <c r="AL138" s="508"/>
      <c r="AM138" s="507"/>
      <c r="AN138" s="508"/>
      <c r="AO138" s="507"/>
      <c r="AP138" s="508"/>
      <c r="AQ138" s="507"/>
      <c r="AR138" s="507"/>
      <c r="AS138" s="507"/>
      <c r="AT138" s="507"/>
      <c r="AU138" s="507"/>
      <c r="AV138" s="507"/>
      <c r="AW138" s="507"/>
      <c r="AX138" s="507"/>
      <c r="AY138" s="507"/>
      <c r="AZ138" s="507"/>
      <c r="BA138" s="507"/>
      <c r="BB138" s="507"/>
      <c r="BC138" s="507"/>
      <c r="BD138" s="507"/>
      <c r="BE138" s="507"/>
      <c r="BF138" s="507"/>
      <c r="BG138" s="507"/>
      <c r="BH138" s="507"/>
      <c r="BI138" s="507"/>
      <c r="BJ138" s="507"/>
      <c r="BK138" s="507"/>
      <c r="BL138" s="507"/>
      <c r="BM138" s="507"/>
      <c r="BN138" s="507"/>
      <c r="BO138" s="507"/>
      <c r="BP138" s="507"/>
      <c r="BQ138" s="507"/>
      <c r="BR138" s="507"/>
      <c r="BS138" s="507"/>
      <c r="BT138" s="507"/>
      <c r="BU138" s="507"/>
      <c r="BV138" s="507"/>
      <c r="BW138" s="507"/>
      <c r="BX138" s="507"/>
      <c r="BY138" s="507"/>
      <c r="BZ138" s="507"/>
      <c r="CA138" s="507"/>
      <c r="CB138" s="507"/>
      <c r="CC138" s="507"/>
      <c r="CD138" s="507"/>
      <c r="CE138" s="507"/>
      <c r="CF138" s="507"/>
      <c r="CG138" s="507"/>
      <c r="CH138" s="507"/>
      <c r="CI138" s="507"/>
      <c r="CJ138" s="507"/>
      <c r="CK138" s="507"/>
      <c r="CL138" s="507"/>
      <c r="CM138" s="507"/>
      <c r="CN138" s="507"/>
      <c r="CO138" s="507"/>
      <c r="CP138" s="507"/>
      <c r="CQ138" s="507"/>
      <c r="CR138" s="507"/>
      <c r="CS138" s="507"/>
      <c r="CT138" s="507"/>
      <c r="CU138" s="507"/>
      <c r="CV138" s="507"/>
      <c r="CW138" s="507"/>
      <c r="CX138" s="507"/>
      <c r="CY138" s="507"/>
      <c r="CZ138" s="507"/>
      <c r="DA138" s="507"/>
      <c r="DB138" s="507"/>
      <c r="DC138" s="507"/>
      <c r="DD138" s="507"/>
      <c r="DE138" s="507"/>
      <c r="DF138" s="507"/>
      <c r="DG138" s="507"/>
      <c r="DH138" s="507"/>
      <c r="DI138" s="507"/>
      <c r="DJ138" s="507"/>
      <c r="DK138" s="507"/>
      <c r="DL138" s="507"/>
      <c r="DM138" s="507"/>
      <c r="DN138" s="507"/>
      <c r="DO138" s="507"/>
      <c r="DP138" s="507"/>
      <c r="DQ138" s="507"/>
      <c r="DR138" s="507"/>
      <c r="DS138" s="507"/>
      <c r="DT138" s="507"/>
      <c r="DU138" s="507"/>
      <c r="DV138" s="507"/>
      <c r="DW138" s="507"/>
      <c r="DX138" s="507"/>
      <c r="DY138" s="507"/>
      <c r="DZ138" s="507"/>
      <c r="EA138" s="507"/>
      <c r="EB138" s="507"/>
      <c r="EC138" s="507"/>
      <c r="ED138" s="507"/>
      <c r="EE138" s="507"/>
      <c r="EF138" s="507"/>
      <c r="EG138" s="507"/>
      <c r="EH138" s="507"/>
      <c r="EI138" s="507"/>
      <c r="EJ138" s="507"/>
      <c r="EK138" s="507"/>
      <c r="EL138" s="507"/>
      <c r="EM138" s="507"/>
      <c r="EN138" s="507"/>
      <c r="EO138" s="507"/>
      <c r="EP138" s="507"/>
      <c r="EQ138" s="507"/>
      <c r="ER138" s="507"/>
      <c r="ES138" s="507"/>
      <c r="ET138" s="507"/>
      <c r="EU138" s="507"/>
      <c r="EV138" s="507"/>
      <c r="EW138" s="507"/>
      <c r="EX138" s="507"/>
      <c r="EY138" s="507"/>
      <c r="EZ138" s="507"/>
      <c r="FA138" s="507"/>
      <c r="FB138" s="88"/>
      <c r="FC138" s="88"/>
      <c r="FD138" s="88"/>
      <c r="FE138" s="88"/>
      <c r="FF138" s="88"/>
      <c r="FG138" s="88"/>
      <c r="FH138" s="88"/>
      <c r="FI138" s="88"/>
      <c r="FJ138" s="88"/>
      <c r="FL138" s="111"/>
      <c r="FM138" s="111"/>
    </row>
    <row r="139" spans="1:170">
      <c r="B139" s="506"/>
      <c r="C139" s="506"/>
      <c r="D139" s="506"/>
      <c r="E139" s="506"/>
      <c r="F139" s="506"/>
      <c r="G139" s="506"/>
      <c r="H139" s="506"/>
      <c r="I139" s="506"/>
      <c r="J139" s="506"/>
      <c r="K139" s="88"/>
      <c r="L139" s="508"/>
      <c r="M139" s="508"/>
      <c r="N139" s="508"/>
      <c r="O139" s="508"/>
      <c r="P139" s="507"/>
      <c r="Q139" s="508"/>
      <c r="R139" s="508"/>
      <c r="S139" s="508"/>
      <c r="T139" s="508"/>
      <c r="U139" s="507"/>
      <c r="V139" s="508"/>
      <c r="W139" s="508"/>
      <c r="X139" s="508"/>
      <c r="Y139" s="508"/>
      <c r="Z139" s="507"/>
      <c r="AA139" s="508"/>
      <c r="AB139" s="508"/>
      <c r="AC139" s="508"/>
      <c r="AD139" s="508"/>
      <c r="AE139" s="507"/>
      <c r="AF139" s="508"/>
      <c r="AG139" s="508"/>
      <c r="AH139" s="508"/>
      <c r="AI139" s="508"/>
      <c r="AJ139" s="507"/>
      <c r="AK139" s="508"/>
      <c r="AL139" s="508"/>
      <c r="AM139" s="507"/>
      <c r="AN139" s="508"/>
      <c r="AO139" s="507"/>
      <c r="AP139" s="508"/>
      <c r="AQ139" s="507"/>
      <c r="AR139" s="507"/>
      <c r="AS139" s="507"/>
      <c r="AT139" s="507"/>
      <c r="AU139" s="507"/>
      <c r="AV139" s="507"/>
      <c r="AW139" s="507"/>
      <c r="AX139" s="507"/>
      <c r="AY139" s="507"/>
      <c r="AZ139" s="507"/>
      <c r="BA139" s="507"/>
      <c r="BB139" s="507"/>
      <c r="BC139" s="507"/>
      <c r="BD139" s="507"/>
      <c r="BE139" s="507"/>
      <c r="BF139" s="507"/>
      <c r="BG139" s="507"/>
      <c r="BH139" s="507"/>
      <c r="BI139" s="507"/>
      <c r="BJ139" s="507"/>
      <c r="BK139" s="507"/>
      <c r="BL139" s="507"/>
      <c r="BM139" s="507"/>
      <c r="BN139" s="507"/>
      <c r="BO139" s="507"/>
      <c r="BP139" s="507"/>
      <c r="BQ139" s="507"/>
      <c r="BR139" s="507"/>
      <c r="BS139" s="507"/>
      <c r="BT139" s="507"/>
      <c r="BU139" s="507"/>
      <c r="BV139" s="507"/>
      <c r="BW139" s="507"/>
      <c r="BX139" s="507"/>
      <c r="BY139" s="507"/>
      <c r="BZ139" s="507"/>
      <c r="CA139" s="507"/>
      <c r="CB139" s="507"/>
      <c r="CC139" s="507"/>
      <c r="CD139" s="507"/>
      <c r="CE139" s="507"/>
      <c r="CF139" s="507"/>
      <c r="CG139" s="507"/>
      <c r="CH139" s="507"/>
      <c r="CI139" s="507"/>
      <c r="CJ139" s="507"/>
      <c r="CK139" s="507"/>
      <c r="CL139" s="507"/>
      <c r="CM139" s="507"/>
      <c r="CN139" s="507"/>
      <c r="CO139" s="507"/>
      <c r="CP139" s="507"/>
      <c r="CQ139" s="507"/>
      <c r="CR139" s="507"/>
      <c r="CS139" s="507"/>
      <c r="CT139" s="507"/>
      <c r="CU139" s="507"/>
      <c r="CV139" s="507"/>
      <c r="CW139" s="507"/>
      <c r="CX139" s="507"/>
      <c r="CY139" s="507"/>
      <c r="CZ139" s="507"/>
      <c r="DA139" s="507"/>
      <c r="DB139" s="507"/>
      <c r="DC139" s="507"/>
      <c r="DD139" s="507"/>
      <c r="DE139" s="507"/>
      <c r="DF139" s="507"/>
      <c r="DG139" s="507"/>
      <c r="DH139" s="507"/>
      <c r="DI139" s="507"/>
      <c r="DJ139" s="507"/>
      <c r="DK139" s="118"/>
      <c r="DL139" s="507"/>
      <c r="DM139" s="118"/>
      <c r="DN139" s="507"/>
      <c r="DO139" s="507"/>
      <c r="DP139" s="507"/>
      <c r="DQ139" s="507"/>
      <c r="DR139" s="118"/>
      <c r="DS139" s="507"/>
      <c r="DT139" s="507"/>
      <c r="DU139" s="507"/>
      <c r="DV139" s="507"/>
      <c r="DW139" s="118"/>
      <c r="DX139" s="507"/>
      <c r="DY139" s="507"/>
      <c r="DZ139" s="507"/>
      <c r="EA139" s="507"/>
      <c r="EB139" s="507"/>
      <c r="EC139" s="507"/>
      <c r="ED139" s="507"/>
      <c r="EE139" s="507"/>
      <c r="EF139" s="507"/>
      <c r="EG139" s="507"/>
      <c r="EH139" s="507"/>
      <c r="EI139" s="507"/>
      <c r="EJ139" s="507"/>
      <c r="EK139" s="507"/>
      <c r="EL139" s="507"/>
      <c r="EM139" s="507"/>
      <c r="EN139" s="507"/>
      <c r="EO139" s="507"/>
      <c r="EP139" s="507"/>
      <c r="EQ139" s="507"/>
      <c r="ER139" s="507"/>
      <c r="ES139" s="507"/>
      <c r="ET139" s="507"/>
      <c r="EU139" s="507"/>
      <c r="EV139" s="507"/>
      <c r="EW139" s="507"/>
      <c r="EX139" s="507"/>
      <c r="EY139" s="507"/>
      <c r="EZ139" s="507"/>
      <c r="FA139" s="507"/>
      <c r="FB139" s="88"/>
      <c r="FC139" s="88"/>
      <c r="FD139" s="88"/>
      <c r="FE139" s="88"/>
      <c r="FF139" s="88"/>
      <c r="FG139" s="88"/>
      <c r="FH139" s="88"/>
      <c r="FI139" s="88"/>
      <c r="FJ139" s="88"/>
      <c r="FL139" s="111"/>
      <c r="FM139" s="111"/>
    </row>
    <row r="140" spans="1:170">
      <c r="A140" s="83" t="s">
        <v>437</v>
      </c>
      <c r="B140" s="506"/>
      <c r="C140" s="506"/>
      <c r="D140" s="506"/>
      <c r="E140" s="506"/>
      <c r="F140" s="506"/>
      <c r="G140" s="506"/>
      <c r="H140" s="506"/>
      <c r="I140" s="506"/>
      <c r="J140" s="506"/>
      <c r="K140" s="88"/>
      <c r="L140" s="508"/>
      <c r="M140" s="508"/>
      <c r="N140" s="508"/>
      <c r="O140" s="508"/>
      <c r="P140" s="507"/>
      <c r="Q140" s="508"/>
      <c r="R140" s="508"/>
      <c r="S140" s="508"/>
      <c r="T140" s="508"/>
      <c r="U140" s="507"/>
      <c r="V140" s="508"/>
      <c r="W140" s="508"/>
      <c r="X140" s="508"/>
      <c r="Y140" s="508"/>
      <c r="Z140" s="507"/>
      <c r="AA140" s="508"/>
      <c r="AB140" s="508"/>
      <c r="AC140" s="508"/>
      <c r="AD140" s="508"/>
      <c r="AE140" s="507"/>
      <c r="AF140" s="508"/>
      <c r="AG140" s="508"/>
      <c r="AH140" s="508"/>
      <c r="AI140" s="508"/>
      <c r="AJ140" s="507"/>
      <c r="AK140" s="508"/>
      <c r="AL140" s="508"/>
      <c r="AM140" s="507"/>
      <c r="AN140" s="507"/>
      <c r="AO140" s="507"/>
      <c r="AP140" s="507"/>
      <c r="AQ140" s="507"/>
      <c r="AR140" s="507"/>
      <c r="AS140" s="507"/>
      <c r="AT140" s="507"/>
      <c r="AU140" s="507"/>
      <c r="AV140" s="507"/>
      <c r="AW140" s="507"/>
      <c r="AX140" s="507"/>
      <c r="AY140" s="507"/>
      <c r="AZ140" s="507"/>
      <c r="BA140" s="507"/>
      <c r="BB140" s="507"/>
      <c r="BC140" s="507"/>
      <c r="BD140" s="507"/>
      <c r="BE140" s="507"/>
      <c r="BF140" s="507"/>
      <c r="BG140" s="507"/>
      <c r="BH140" s="507"/>
      <c r="BI140" s="507"/>
      <c r="BJ140" s="507"/>
      <c r="BK140" s="507"/>
      <c r="BL140" s="507"/>
      <c r="BM140" s="507"/>
      <c r="BN140" s="507"/>
      <c r="BO140" s="507"/>
      <c r="BP140" s="507"/>
      <c r="BQ140" s="507"/>
      <c r="BR140" s="507"/>
      <c r="BS140" s="507"/>
      <c r="BT140" s="507"/>
      <c r="BU140" s="507"/>
      <c r="BV140" s="507"/>
      <c r="BW140" s="507"/>
      <c r="BX140" s="507"/>
      <c r="BY140" s="507"/>
      <c r="BZ140" s="507"/>
      <c r="CA140" s="507"/>
      <c r="CB140" s="507"/>
      <c r="CC140" s="507"/>
      <c r="CD140" s="507"/>
      <c r="CE140" s="507"/>
      <c r="CF140" s="507"/>
      <c r="CG140" s="507"/>
      <c r="CH140" s="507"/>
      <c r="CI140" s="507"/>
      <c r="CJ140" s="507"/>
      <c r="CK140" s="507"/>
      <c r="CL140" s="507"/>
      <c r="CM140" s="507"/>
      <c r="CN140" s="507"/>
      <c r="CO140" s="507"/>
      <c r="CP140" s="507"/>
      <c r="CQ140" s="507"/>
      <c r="CR140" s="507"/>
      <c r="CS140" s="507"/>
      <c r="CT140" s="507"/>
      <c r="CU140" s="507"/>
      <c r="CV140" s="507"/>
      <c r="CW140" s="507"/>
      <c r="CX140" s="507"/>
      <c r="CY140" s="507"/>
      <c r="CZ140" s="507"/>
      <c r="DA140" s="507"/>
      <c r="DB140" s="507"/>
      <c r="DC140" s="507"/>
      <c r="DD140" s="507"/>
      <c r="DE140" s="507"/>
      <c r="DF140" s="507"/>
      <c r="DG140" s="507"/>
      <c r="DH140" s="507"/>
      <c r="DI140" s="507"/>
      <c r="DJ140" s="109"/>
      <c r="DK140" s="109"/>
      <c r="DL140" s="109"/>
      <c r="DM140" s="109"/>
      <c r="DN140" s="109"/>
      <c r="DO140" s="109"/>
      <c r="DP140" s="109"/>
      <c r="DQ140" s="109"/>
      <c r="DR140" s="109"/>
      <c r="DS140" s="109"/>
      <c r="DT140" s="109"/>
      <c r="DU140" s="109"/>
      <c r="DV140" s="109"/>
      <c r="DW140" s="109"/>
      <c r="DX140" s="109"/>
      <c r="DY140" s="109"/>
      <c r="DZ140" s="109"/>
      <c r="EA140" s="109"/>
      <c r="EB140" s="109"/>
      <c r="EC140" s="109"/>
      <c r="ED140" s="109"/>
      <c r="EE140" s="109"/>
      <c r="EF140" s="109"/>
      <c r="EG140" s="109"/>
      <c r="EH140" s="109"/>
      <c r="EI140" s="109"/>
      <c r="EJ140" s="109"/>
      <c r="EK140" s="109"/>
      <c r="EL140" s="109"/>
      <c r="EM140" s="109"/>
      <c r="EN140" s="109"/>
      <c r="EO140" s="109"/>
      <c r="EP140" s="109"/>
      <c r="EQ140" s="109"/>
      <c r="ER140" s="109"/>
      <c r="ES140" s="109"/>
      <c r="ET140" s="109"/>
      <c r="EU140" s="109"/>
      <c r="EV140" s="109"/>
      <c r="EW140" s="109"/>
      <c r="EX140" s="109"/>
      <c r="EY140" s="109"/>
      <c r="EZ140" s="109"/>
      <c r="FA140" s="109"/>
      <c r="FB140" s="88"/>
      <c r="FC140" s="88"/>
      <c r="FD140" s="88"/>
      <c r="FE140" s="88"/>
      <c r="FF140" s="88"/>
      <c r="FG140" s="88"/>
      <c r="FH140" s="88"/>
      <c r="FI140" s="88"/>
      <c r="FJ140" s="88"/>
      <c r="FL140" s="111"/>
      <c r="FM140" s="111"/>
    </row>
    <row r="141" spans="1:170">
      <c r="A141" s="106" t="s">
        <v>438</v>
      </c>
      <c r="B141" s="506"/>
      <c r="C141" s="506"/>
      <c r="D141" s="506"/>
      <c r="E141" s="506"/>
      <c r="F141" s="506"/>
      <c r="G141" s="506"/>
      <c r="H141" s="506"/>
      <c r="I141" s="506"/>
      <c r="J141" s="506"/>
      <c r="K141" s="474"/>
      <c r="L141" s="508"/>
      <c r="M141" s="508"/>
      <c r="N141" s="508"/>
      <c r="O141" s="508"/>
      <c r="P141" s="509">
        <f>SUM(L141:O141)</f>
      </c>
      <c r="Q141" s="508"/>
      <c r="R141" s="508"/>
      <c r="S141" s="508">
        <v>290.83800000000002</v>
      </c>
      <c r="T141" s="508">
        <f>290.838-S141-R141-Q141</f>
      </c>
      <c r="U141" s="509">
        <f>SUM(Q141:T141)</f>
      </c>
      <c r="V141" s="508">
        <v>0</v>
      </c>
      <c r="W141" s="508">
        <v>5.2489999999999997</v>
      </c>
      <c r="X141" s="508">
        <f>11.246-W141-V141</f>
      </c>
      <c r="Y141" s="508">
        <f>11.246-X141-W141-V141</f>
      </c>
      <c r="Z141" s="509">
        <f>SUM(V141:Y141)</f>
      </c>
      <c r="AA141" s="508">
        <v>0</v>
      </c>
      <c r="AB141" s="508">
        <f>5.734-AA141</f>
      </c>
      <c r="AC141" s="508">
        <f>5.734-AB141-AA141</f>
      </c>
      <c r="AD141" s="508">
        <f>5.734-AC141-AB141-AA141</f>
      </c>
      <c r="AE141" s="509">
        <f>SUM(AA141:AD141)</f>
      </c>
      <c r="AF141" s="508">
        <v>0</v>
      </c>
      <c r="AG141" s="508">
        <v>0</v>
      </c>
      <c r="AH141" s="508">
        <v>0</v>
      </c>
      <c r="AI141" s="508">
        <v>0</v>
      </c>
      <c r="AJ141" s="509">
        <f>SUM(AF141:AI141)</f>
      </c>
      <c r="AK141" s="508">
        <v>0</v>
      </c>
      <c r="AL141" s="508">
        <v>0</v>
      </c>
      <c r="AM141" s="508">
        <v>0</v>
      </c>
      <c r="AN141" s="508">
        <f>0-SUM(AK141:AM141)</f>
      </c>
      <c r="AO141" s="509">
        <f>SUM(AK141:AN141)</f>
      </c>
      <c r="AP141" s="508">
        <v>0</v>
      </c>
      <c r="AQ141" s="508">
        <v>0</v>
      </c>
      <c r="AR141" s="507">
        <v>0</v>
      </c>
      <c r="AS141" s="507">
        <v>0</v>
      </c>
      <c r="AT141" s="509">
        <f>SUM(AP141:AS141)</f>
      </c>
      <c r="AU141" s="507">
        <v>0</v>
      </c>
      <c r="AV141" s="507">
        <v>0</v>
      </c>
      <c r="AW141" s="507">
        <v>0</v>
      </c>
      <c r="AX141" s="507">
        <v>0</v>
      </c>
      <c r="AY141" s="509">
        <f>SUM(AU141:AX141)</f>
      </c>
      <c r="AZ141" s="507">
        <v>0</v>
      </c>
      <c r="BA141" s="507">
        <v>0</v>
      </c>
      <c r="BB141" s="507">
        <v>0</v>
      </c>
      <c r="BC141" s="507">
        <v>0</v>
      </c>
      <c r="BD141" s="509">
        <f>SUM(AZ141:BC141)</f>
      </c>
      <c r="BE141" s="507">
        <v>0</v>
      </c>
      <c r="BF141" s="507">
        <v>0</v>
      </c>
      <c r="BG141" s="507">
        <v>0</v>
      </c>
      <c r="BH141" s="507">
        <v>0</v>
      </c>
      <c r="BI141" s="509">
        <f>SUM(BE141:BH141)</f>
      </c>
      <c r="BJ141" s="507">
        <v>0</v>
      </c>
      <c r="BK141" s="507">
        <v>0</v>
      </c>
      <c r="BL141" s="507">
        <v>0</v>
      </c>
      <c r="BM141" s="507">
        <v>0</v>
      </c>
      <c r="BN141" s="509">
        <f>SUM(BJ141:BM141)</f>
      </c>
      <c r="BO141" s="507">
        <v>0</v>
      </c>
      <c r="BP141" s="507">
        <v>0</v>
      </c>
      <c r="BQ141" s="507">
        <v>0</v>
      </c>
      <c r="BR141" s="507">
        <v>0</v>
      </c>
      <c r="BS141" s="509">
        <f>SUM(BO141:BR141)</f>
      </c>
      <c r="BT141" s="507">
        <v>0</v>
      </c>
      <c r="BU141" s="507">
        <v>0</v>
      </c>
      <c r="BV141" s="507">
        <v>0</v>
      </c>
      <c r="BW141" s="507">
        <v>0</v>
      </c>
      <c r="BX141" s="509">
        <f>SUM(BT141:BW141)</f>
      </c>
      <c r="BY141" s="507">
        <v>0</v>
      </c>
      <c r="BZ141" s="507">
        <v>0</v>
      </c>
      <c r="CA141" s="507">
        <v>0</v>
      </c>
      <c r="CB141" s="507">
        <v>0</v>
      </c>
      <c r="CC141" s="509">
        <f>SUM(BY141:CB141)</f>
      </c>
      <c r="CD141" s="507">
        <v>0</v>
      </c>
      <c r="CE141" s="507">
        <v>0</v>
      </c>
      <c r="CF141" s="507">
        <v>0</v>
      </c>
      <c r="CG141" s="507">
        <v>1477.5</v>
      </c>
      <c r="CH141" s="509">
        <f>SUM(CD141:CG141)</f>
      </c>
      <c r="CI141" s="507">
        <v>0</v>
      </c>
      <c r="CJ141" s="507">
        <f>0-CI141</f>
      </c>
      <c r="CK141" s="507">
        <v>0</v>
      </c>
      <c r="CL141" s="507">
        <v>0</v>
      </c>
      <c r="CM141" s="509">
        <f>SUM(CI141:CL141)</f>
      </c>
      <c r="CN141" s="507">
        <v>0</v>
      </c>
      <c r="CO141" s="507">
        <v>0</v>
      </c>
      <c r="CP141" s="507">
        <v>0</v>
      </c>
      <c r="CQ141" s="507">
        <v>0</v>
      </c>
      <c r="CR141" s="509">
        <f>SUM(CN141:CQ141)</f>
      </c>
      <c r="CS141" s="507">
        <v>0</v>
      </c>
      <c r="CT141" s="507">
        <v>0</v>
      </c>
      <c r="CU141" s="507">
        <f>1988-CT141-CS141</f>
      </c>
      <c r="CV141" s="507">
        <f>1988-CU141-CT141-CS141</f>
      </c>
      <c r="CW141" s="509">
        <f>SUM(CS141:CV141)</f>
      </c>
      <c r="CX141" s="507">
        <v>0</v>
      </c>
      <c r="CY141" s="507">
        <v>0</v>
      </c>
      <c r="CZ141" s="507">
        <v>0</v>
      </c>
      <c r="DA141" s="507">
        <v>0</v>
      </c>
      <c r="DB141" s="509">
        <f t="shared" ref="DB141:DB146" si="161">SUM(CX141:DA141)</f>
      </c>
      <c r="DC141" s="507">
        <v>0</v>
      </c>
      <c r="DD141" s="507">
        <v>0</v>
      </c>
      <c r="DE141" s="507">
        <v>0</v>
      </c>
      <c r="DF141" s="507">
        <v>0</v>
      </c>
      <c r="DG141" s="509">
        <f t="shared" ref="DG141:DG146" si="162">SUM(DC141:DF141)</f>
      </c>
      <c r="DH141" s="507">
        <v>0</v>
      </c>
      <c r="DI141" s="507">
        <v>0</v>
      </c>
      <c r="DJ141" s="507">
        <v>0</v>
      </c>
      <c r="DK141" s="507">
        <v>0</v>
      </c>
      <c r="DL141" s="509">
        <f t="shared" ref="DL141:DL146" si="163">SUM(DH141:DK141)</f>
      </c>
      <c r="DM141" s="507">
        <v>4979</v>
      </c>
      <c r="DN141" s="507">
        <v>0</v>
      </c>
      <c r="DO141" s="507">
        <v>0</v>
      </c>
      <c r="DP141" s="507">
        <v>-3</v>
      </c>
      <c r="DQ141" s="509">
        <f t="shared" ref="DQ141:DQ146" si="164">SUM(DM141:DP141)</f>
      </c>
      <c r="DR141" s="507">
        <v>0</v>
      </c>
      <c r="DS141" s="507">
        <v>4985</v>
      </c>
      <c r="DT141" s="507">
        <v>-8</v>
      </c>
      <c r="DU141" s="507">
        <v>0</v>
      </c>
      <c r="DV141" s="509">
        <f t="shared" ref="DV141:DV146" si="165">SUM(DR141:DU141)</f>
      </c>
      <c r="DW141" s="507">
        <v>0</v>
      </c>
      <c r="DX141" s="507">
        <v>0</v>
      </c>
      <c r="DY141" s="507">
        <v>0</v>
      </c>
      <c r="DZ141" s="507">
        <v>0</v>
      </c>
      <c r="EA141" s="509">
        <f t="shared" ref="EA141:EA146" si="166">SUM(DW141:DZ141)</f>
      </c>
      <c r="EB141" s="507">
        <v>0</v>
      </c>
      <c r="EC141" s="507">
        <v>0</v>
      </c>
      <c r="ED141" s="507">
        <v>0</v>
      </c>
      <c r="EE141" s="507">
        <v>0</v>
      </c>
      <c r="EF141" s="509">
        <f t="shared" ref="EF141:EF146" si="167">SUM(EB141:EE141)</f>
      </c>
      <c r="EG141" s="507">
        <v>0</v>
      </c>
      <c r="EH141" s="507">
        <v>0</v>
      </c>
      <c r="EI141" s="507">
        <v>0</v>
      </c>
      <c r="EJ141" s="507">
        <v>0</v>
      </c>
      <c r="EK141" s="509">
        <f t="shared" ref="EK141:EK146" si="168">SUM(EG141:EJ141)</f>
      </c>
      <c r="EL141" s="507">
        <v>0</v>
      </c>
      <c r="EM141" s="507">
        <v>0</v>
      </c>
      <c r="EN141" s="510">
        <v>0</v>
      </c>
      <c r="EO141" s="510">
        <v>0</v>
      </c>
      <c r="EP141" s="509">
        <f t="shared" ref="EP141:EP146" si="169">SUM(EL141:EO141)</f>
      </c>
      <c r="EQ141" s="510">
        <v>0</v>
      </c>
      <c r="ER141" s="510">
        <v>0</v>
      </c>
      <c r="ES141" s="510">
        <v>0</v>
      </c>
      <c r="ET141" s="510">
        <v>0</v>
      </c>
      <c r="EU141" s="509">
        <f t="shared" ref="EU141:EU146" si="170">SUM(EQ141:ET141)</f>
      </c>
      <c r="EV141" s="510">
        <v>0</v>
      </c>
      <c r="EW141" s="510">
        <v>0</v>
      </c>
      <c r="EX141" s="510">
        <v>0</v>
      </c>
      <c r="EY141" s="510">
        <v>0</v>
      </c>
      <c r="EZ141" s="509">
        <f t="shared" ref="EZ141:EZ146" si="171">SUM(EV141:EY141)</f>
      </c>
      <c r="FA141" s="509"/>
      <c r="FB141" s="88"/>
      <c r="FC141" s="88"/>
      <c r="FD141" s="88"/>
      <c r="FE141" s="88"/>
      <c r="FF141" s="88"/>
      <c r="FG141" s="88"/>
      <c r="FH141" s="88"/>
      <c r="FI141" s="88"/>
      <c r="FJ141" s="88"/>
      <c r="FL141" s="111"/>
      <c r="FM141" s="111"/>
    </row>
    <row r="142" spans="1:170">
      <c r="A142" s="106" t="s">
        <v>439</v>
      </c>
      <c r="B142" s="506"/>
      <c r="C142" s="506"/>
      <c r="D142" s="506"/>
      <c r="E142" s="506"/>
      <c r="F142" s="506"/>
      <c r="G142" s="506"/>
      <c r="H142" s="506"/>
      <c r="I142" s="506"/>
      <c r="J142" s="506"/>
      <c r="K142" s="474"/>
      <c r="L142" s="508">
        <f>-5-0.241</f>
      </c>
      <c r="M142" s="508">
        <f>-5-0.689-L142</f>
      </c>
      <c r="N142" s="508">
        <f>-5-1.365-M142-L142</f>
      </c>
      <c r="O142" s="508">
        <f>-5-1.897-N142-M142-L142</f>
      </c>
      <c r="P142" s="509">
        <f>SUM(L142:O142)</f>
      </c>
      <c r="Q142" s="508">
        <v>-0.501</v>
      </c>
      <c r="R142" s="508">
        <f>-0.972-Q142</f>
      </c>
      <c r="S142" s="508">
        <f>-1.419-R142-Q142</f>
      </c>
      <c r="T142" s="508">
        <f>-1.782-S142-R142-Q142</f>
      </c>
      <c r="U142" s="509">
        <f>SUM(Q142:T142)</f>
      </c>
      <c r="V142" s="508">
        <f>-0.018-0.23</f>
      </c>
      <c r="W142" s="508">
        <f>-0.075-0.524-V142</f>
      </c>
      <c r="X142" s="508">
        <f>-0.15-1.257-W142-V142</f>
      </c>
      <c r="Y142" s="508">
        <f>-0.075-2.455-X142-W142-V142</f>
      </c>
      <c r="Z142" s="509">
        <f>SUM(V142:Y142)</f>
      </c>
      <c r="AA142" s="508">
        <v>-0.87</v>
      </c>
      <c r="AB142" s="508">
        <f>-1.958-AA142</f>
      </c>
      <c r="AC142" s="508">
        <f>-3.571-AB142-AA142</f>
      </c>
      <c r="AD142" s="508">
        <f>-4.935-AC142-AB142-AA142</f>
      </c>
      <c r="AE142" s="509">
        <f>SUM(AA142:AD142)</f>
      </c>
      <c r="AF142" s="508">
        <v>-1.4139999999999999</v>
      </c>
      <c r="AG142" s="508">
        <f>-2.804-AF142</f>
      </c>
      <c r="AH142" s="508">
        <f>-300-4.497-AG142-AF142</f>
      </c>
      <c r="AI142" s="508">
        <f>-308.048-SUM(AF142:AH142)</f>
      </c>
      <c r="AJ142" s="509">
        <f>SUM(AF142:AI142)</f>
      </c>
      <c r="AK142" s="508">
        <v>-1.4830000000000001</v>
      </c>
      <c r="AL142" s="508">
        <f>-2.833-AK142</f>
      </c>
      <c r="AM142" s="508">
        <f>-3.511-SUM(AK142:AL142)</f>
      </c>
      <c r="AN142" s="508">
        <f>-4.015-SUM(AK142:AM142)</f>
      </c>
      <c r="AO142" s="509">
        <f>SUM(AK142:AN142)</f>
      </c>
      <c r="AP142" s="508">
        <v>-0.51100000000000001</v>
      </c>
      <c r="AQ142" s="508">
        <f>-0.856-AP142</f>
      </c>
      <c r="AR142" s="507">
        <f>-0.856-SUM(AP142:AQ142)</f>
      </c>
      <c r="AS142" s="507">
        <f>-0.856-SUM(AP142:AR142)</f>
      </c>
      <c r="AT142" s="509">
        <f>SUM(AP142:AS142)</f>
      </c>
      <c r="AU142" s="507">
        <v>0</v>
      </c>
      <c r="AV142" s="507">
        <v>0</v>
      </c>
      <c r="AW142" s="507">
        <v>0</v>
      </c>
      <c r="AX142" s="507">
        <v>0</v>
      </c>
      <c r="AY142" s="509">
        <f>SUM(AU142:AX142)</f>
      </c>
      <c r="AZ142" s="507">
        <v>0</v>
      </c>
      <c r="BA142" s="507">
        <v>0</v>
      </c>
      <c r="BB142" s="507">
        <v>0</v>
      </c>
      <c r="BC142" s="507">
        <v>0</v>
      </c>
      <c r="BD142" s="509">
        <f>SUM(AZ142:BC142)</f>
      </c>
      <c r="BE142" s="507">
        <v>0</v>
      </c>
      <c r="BF142" s="507">
        <v>0</v>
      </c>
      <c r="BG142" s="507">
        <v>0</v>
      </c>
      <c r="BH142" s="507">
        <v>0</v>
      </c>
      <c r="BI142" s="509">
        <f>SUM(BE142:BH142)</f>
      </c>
      <c r="BJ142" s="507">
        <v>0</v>
      </c>
      <c r="BK142" s="507">
        <v>0</v>
      </c>
      <c r="BL142" s="507">
        <v>0</v>
      </c>
      <c r="BM142" s="507">
        <v>0</v>
      </c>
      <c r="BN142" s="509">
        <f>SUM(BJ142:BM142)</f>
      </c>
      <c r="BO142" s="507">
        <v>0</v>
      </c>
      <c r="BP142" s="507">
        <v>0</v>
      </c>
      <c r="BQ142" s="507">
        <v>0</v>
      </c>
      <c r="BR142" s="507">
        <v>0</v>
      </c>
      <c r="BS142" s="509">
        <f>SUM(BO142:BR142)</f>
      </c>
      <c r="BT142" s="507">
        <v>0</v>
      </c>
      <c r="BU142" s="507">
        <v>-10.319000000000001</v>
      </c>
      <c r="BV142" s="507">
        <f>-10.319-BU142-BT142</f>
      </c>
      <c r="BW142" s="507">
        <v>0</v>
      </c>
      <c r="BX142" s="509">
        <f>SUM(BT142:BW142)</f>
      </c>
      <c r="BY142" s="507">
        <v>0</v>
      </c>
      <c r="BZ142" s="507">
        <v>0</v>
      </c>
      <c r="CA142" s="507">
        <v>0</v>
      </c>
      <c r="CB142" s="507">
        <v>0</v>
      </c>
      <c r="CC142" s="509">
        <f>SUM(BY142:CB142)</f>
      </c>
      <c r="CD142" s="507">
        <v>0</v>
      </c>
      <c r="CE142" s="507">
        <v>0</v>
      </c>
      <c r="CF142" s="507">
        <v>0</v>
      </c>
      <c r="CG142" s="507">
        <v>-167.1</v>
      </c>
      <c r="CH142" s="509">
        <f>SUM(CD142:CG142)</f>
      </c>
      <c r="CI142" s="507">
        <v>0</v>
      </c>
      <c r="CJ142" s="507">
        <f>0-CI142</f>
      </c>
      <c r="CK142" s="507">
        <v>0</v>
      </c>
      <c r="CL142" s="507">
        <v>0</v>
      </c>
      <c r="CM142" s="509">
        <f>SUM(CI142:CL142)</f>
      </c>
      <c r="CN142" s="507">
        <v>-1</v>
      </c>
      <c r="CO142" s="507">
        <f>0-CN142</f>
      </c>
      <c r="CP142" s="507">
        <f>0-CO142-CN142</f>
      </c>
      <c r="CQ142" s="507">
        <f>0-CP142-CO142-CN142</f>
      </c>
      <c r="CR142" s="509">
        <f>SUM(CN142:CQ142)</f>
      </c>
      <c r="CS142" s="507">
        <v>-1</v>
      </c>
      <c r="CT142" s="507">
        <f>0-CS142</f>
      </c>
      <c r="CU142" s="507">
        <f>-444-CT142-CS142</f>
      </c>
      <c r="CV142" s="507">
        <f>-673-CU142-CT142-CS142</f>
      </c>
      <c r="CW142" s="509">
        <f>SUM(CS142:CV142)</f>
      </c>
      <c r="CX142" s="507">
        <v>-605</v>
      </c>
      <c r="CY142" s="507">
        <f>-741-CX142</f>
      </c>
      <c r="CZ142" s="507">
        <f>-803-CY142-CX142</f>
      </c>
      <c r="DA142" s="507">
        <f>-812-CZ142-CY142-CX142</f>
      </c>
      <c r="DB142" s="509">
        <f t="shared" si="161"/>
      </c>
      <c r="DC142" s="507">
        <v>-2</v>
      </c>
      <c r="DD142" s="507">
        <v>0</v>
      </c>
      <c r="DE142" s="507">
        <f>-12-DD142-DC142</f>
      </c>
      <c r="DF142" s="507">
        <f>-16-DE142-DD142-DC142</f>
      </c>
      <c r="DG142" s="509">
        <f t="shared" si="162"/>
      </c>
      <c r="DH142" s="507">
        <v>0</v>
      </c>
      <c r="DI142" s="507">
        <v>0</v>
      </c>
      <c r="DJ142" s="507">
        <v>0</v>
      </c>
      <c r="DK142" s="507">
        <v>0</v>
      </c>
      <c r="DL142" s="509">
        <f t="shared" si="163"/>
      </c>
      <c r="DM142" s="507">
        <v>0</v>
      </c>
      <c r="DN142" s="507">
        <v>0</v>
      </c>
      <c r="DO142" s="507">
        <v>0</v>
      </c>
      <c r="DP142" s="507">
        <v>0</v>
      </c>
      <c r="DQ142" s="509">
        <f t="shared" si="164"/>
      </c>
      <c r="DR142" s="507">
        <v>0</v>
      </c>
      <c r="DS142" s="507">
        <v>0</v>
      </c>
      <c r="DT142" s="507">
        <v>-1000</v>
      </c>
      <c r="DU142" s="507">
        <v>0</v>
      </c>
      <c r="DV142" s="509">
        <f t="shared" si="165"/>
      </c>
      <c r="DW142" s="507">
        <v>0</v>
      </c>
      <c r="DX142" s="507">
        <v>0</v>
      </c>
      <c r="DY142" s="507">
        <v>0</v>
      </c>
      <c r="DZ142" s="507">
        <v>0</v>
      </c>
      <c r="EA142" s="509">
        <f t="shared" si="166"/>
      </c>
      <c r="EB142" s="507">
        <v>0</v>
      </c>
      <c r="EC142" s="507">
        <v>-1250</v>
      </c>
      <c r="ED142" s="507">
        <v>0</v>
      </c>
      <c r="EE142" s="507">
        <v>0</v>
      </c>
      <c r="EF142" s="509">
        <f t="shared" si="167"/>
      </c>
      <c r="EG142" s="507">
        <v>0</v>
      </c>
      <c r="EH142" s="507">
        <v>-1250</v>
      </c>
      <c r="EI142" s="507">
        <v>0</v>
      </c>
      <c r="EJ142" s="507">
        <v>0</v>
      </c>
      <c r="EK142" s="509">
        <f t="shared" si="168"/>
      </c>
      <c r="EL142" s="507">
        <v>0</v>
      </c>
      <c r="EM142" s="507">
        <v>0</v>
      </c>
      <c r="EN142" s="510">
        <v>0</v>
      </c>
      <c r="EO142" s="510">
        <v>0</v>
      </c>
      <c r="EP142" s="509">
        <f t="shared" si="169"/>
      </c>
      <c r="EQ142" s="510">
        <v>0</v>
      </c>
      <c r="ER142" s="510">
        <v>0</v>
      </c>
      <c r="ES142" s="510">
        <v>0</v>
      </c>
      <c r="ET142" s="510">
        <v>0</v>
      </c>
      <c r="EU142" s="509">
        <f t="shared" si="170"/>
      </c>
      <c r="EV142" s="510">
        <v>0</v>
      </c>
      <c r="EW142" s="510">
        <v>0</v>
      </c>
      <c r="EX142" s="510">
        <v>0</v>
      </c>
      <c r="EY142" s="510">
        <v>0</v>
      </c>
      <c r="EZ142" s="509">
        <f t="shared" si="171"/>
      </c>
      <c r="FA142" s="509"/>
      <c r="FB142" s="88"/>
      <c r="FC142" s="88"/>
      <c r="FD142" s="88"/>
      <c r="FE142" s="88"/>
      <c r="FF142" s="88"/>
      <c r="FG142" s="88"/>
      <c r="FH142" s="88"/>
      <c r="FI142" s="88"/>
      <c r="FJ142" s="88"/>
      <c r="FL142" s="111"/>
      <c r="FM142" s="111"/>
    </row>
    <row r="143" spans="1:170">
      <c r="A143" s="106" t="s">
        <v>440</v>
      </c>
      <c r="B143" s="506"/>
      <c r="C143" s="506"/>
      <c r="D143" s="506"/>
      <c r="E143" s="506"/>
      <c r="F143" s="506"/>
      <c r="G143" s="506"/>
      <c r="H143" s="506"/>
      <c r="I143" s="506"/>
      <c r="J143" s="506"/>
      <c r="K143" s="474"/>
      <c r="L143" s="508">
        <f>0.12+5.81</f>
      </c>
      <c r="M143" s="508">
        <f>0.99+5.81-L143</f>
      </c>
      <c r="N143" s="508">
        <f>4.949+5.74-M143-L143</f>
      </c>
      <c r="O143" s="508">
        <f>5.741+7.677-N143-M143-L143</f>
      </c>
      <c r="P143" s="509">
        <f>SUM(L143:O143)</f>
      </c>
      <c r="Q143" s="508">
        <v>5.5659999999999998</v>
      </c>
      <c r="R143" s="508">
        <f>8.984-Q143</f>
      </c>
      <c r="S143" s="508">
        <f>16.513+96.611-R143-Q143</f>
      </c>
      <c r="T143" s="508">
        <f>19.91+96.669-S143-R143-Q143</f>
      </c>
      <c r="U143" s="509">
        <f>SUM(Q143:T143)</f>
      </c>
      <c r="V143" s="508">
        <f>16.514-0.018</f>
      </c>
      <c r="W143" s="508">
        <f>31.663-0.075-V143</f>
      </c>
      <c r="X143" s="508">
        <f>41.406-W143-V143</f>
      </c>
      <c r="Y143" s="508">
        <f>90.476-0.101-X143-W143-V143</f>
      </c>
      <c r="Z143" s="509">
        <f>SUM(V143:Y143)</f>
      </c>
      <c r="AA143" s="508">
        <v>14.981</v>
      </c>
      <c r="AB143" s="508">
        <f>20.181-AA143</f>
      </c>
      <c r="AC143" s="508">
        <f>24.507-AB143-AA143</f>
      </c>
      <c r="AD143" s="508">
        <f>25.487-AC143-AB143-AA143</f>
      </c>
      <c r="AE143" s="509">
        <f>SUM(AA143:AD143)</f>
      </c>
      <c r="AF143" s="508">
        <v>7.8460000000000001</v>
      </c>
      <c r="AG143" s="508">
        <f>19.884-AF143</f>
      </c>
      <c r="AH143" s="508">
        <f>29.752-AG143-AF143</f>
      </c>
      <c r="AI143" s="508">
        <f>37.757-SUM(AF143:AH143)</f>
      </c>
      <c r="AJ143" s="509">
        <f>SUM(AF143:AI143)</f>
      </c>
      <c r="AK143" s="508">
        <v>15.180999999999999</v>
      </c>
      <c r="AL143" s="508">
        <f>19.787-AK143</f>
      </c>
      <c r="AM143" s="508">
        <f>30.823-24.644-SUM(AK143:AL143)</f>
      </c>
      <c r="AN143" s="508">
        <f>42.502-SUM(AK143:AM143)</f>
      </c>
      <c r="AO143" s="509">
        <f>SUM(AK143:AN143)</f>
      </c>
      <c r="AP143" s="508">
        <v>36.011000000000003</v>
      </c>
      <c r="AQ143" s="508">
        <f>55.895-AP143</f>
      </c>
      <c r="AR143" s="507">
        <f>104.729-SUM(AP143:AQ143)</f>
      </c>
      <c r="AS143" s="507">
        <f>127.497-SUM(AP143:AR143)</f>
      </c>
      <c r="AT143" s="509">
        <f>SUM(AP143:AS143)</f>
      </c>
      <c r="AU143" s="507">
        <v>86.655000000000001</v>
      </c>
      <c r="AV143" s="507">
        <f>102.43-AU143</f>
      </c>
      <c r="AW143" s="507">
        <f>154.607-SUM(AU143:AV143)</f>
      </c>
      <c r="AX143" s="507">
        <f>221.16-SUM(AU143:AW143)</f>
      </c>
      <c r="AY143" s="509">
        <f>SUM(AU143:AX143)</f>
      </c>
      <c r="AZ143" s="507">
        <v>44.110999999999997</v>
      </c>
      <c r="BA143" s="507">
        <f>131.068-AZ143</f>
      </c>
      <c r="BB143" s="507">
        <f>204.39-SUM(AZ143:BA143)</f>
      </c>
      <c r="BC143" s="507">
        <f>225.969-SUM(AZ143:BB143)</f>
      </c>
      <c r="BD143" s="509">
        <f>SUM(AZ143:BC143)</f>
      </c>
      <c r="BE143" s="507">
        <v>30.457000000000001</v>
      </c>
      <c r="BF143" s="507">
        <f>39.981-SUM(BE143)</f>
      </c>
      <c r="BG143" s="507">
        <f>66.73-BF143-BE143</f>
      </c>
      <c r="BH143" s="507">
        <f>73.547-BG143-BF143-BE143</f>
      </c>
      <c r="BI143" s="509">
        <f>SUM(BE143:BH143)</f>
      </c>
      <c r="BJ143" s="507">
        <v>0</v>
      </c>
      <c r="BK143" s="507">
        <f t="shared" ref="BK143:BM144" si="172">BJ143</f>
      </c>
      <c r="BL143" s="507">
        <f t="shared" si="172"/>
      </c>
      <c r="BM143" s="507">
        <f t="shared" si="172"/>
      </c>
      <c r="BN143" s="509">
        <f>SUM(BJ143:BM143)</f>
      </c>
      <c r="BO143" s="507">
        <v>63.061999999999998</v>
      </c>
      <c r="BP143" s="507">
        <f>77.852-BO143</f>
      </c>
      <c r="BQ143" s="507">
        <f>104.131-BP143-BO143</f>
      </c>
      <c r="BR143" s="507">
        <f>177.276-BQ143-BP143-BO143</f>
      </c>
      <c r="BS143" s="509">
        <f>SUM(BO143:BR143)</f>
      </c>
      <c r="BT143" s="507">
        <v>85.286000000000001</v>
      </c>
      <c r="BU143" s="507">
        <f>124.785-BT143</f>
      </c>
      <c r="BV143" s="507">
        <f>176.49-BU143-BT143</f>
      </c>
      <c r="BW143" s="507">
        <f>195.857-BV143-BU143-BT143</f>
      </c>
      <c r="BX143" s="509">
        <f>SUM(BT143:BW143)</f>
      </c>
      <c r="BY143" s="507">
        <v>37.360999999999997</v>
      </c>
      <c r="BZ143" s="507">
        <f>42.678-BY143</f>
      </c>
      <c r="CA143" s="507">
        <f>62.781-BZ143-BY143</f>
      </c>
      <c r="CB143" s="507">
        <f>64.935-CA143-BZ143-BY143</f>
      </c>
      <c r="CC143" s="509">
        <f>SUM(BY143:CB143)</f>
      </c>
      <c r="CD143" s="507">
        <v>22.995999999999999</v>
      </c>
      <c r="CE143" s="507">
        <f>31.303-CD143</f>
      </c>
      <c r="CF143" s="507">
        <f>64.749-CE143-CD143</f>
      </c>
      <c r="CG143" s="507">
        <f>70.17-CF143-CE143-CD143</f>
      </c>
      <c r="CH143" s="509">
        <f>SUM(CD143:CG143)</f>
      </c>
      <c r="CI143" s="507">
        <v>80.231999999999999</v>
      </c>
      <c r="CJ143" s="507">
        <f>98.22-CI143</f>
      </c>
      <c r="CK143" s="507">
        <f>129.691-CJ143-CI143</f>
      </c>
      <c r="CL143" s="507">
        <f>153.472-CK143-CJ143-CI143</f>
      </c>
      <c r="CM143" s="509">
        <f>SUM(CI143:CL143)</f>
      </c>
      <c r="CN143" s="507">
        <v>50</v>
      </c>
      <c r="CO143" s="507">
        <f>64-CN143</f>
      </c>
      <c r="CP143" s="507">
        <f>99-CO143-CN143</f>
      </c>
      <c r="CQ143" s="507">
        <f>120-CP143-CO143-CN143</f>
      </c>
      <c r="CR143" s="509">
        <f>SUM(CN143:CQ143)</f>
      </c>
      <c r="CS143" s="507">
        <v>20</v>
      </c>
      <c r="CT143" s="507">
        <f>40-CS143</f>
      </c>
      <c r="CU143" s="507">
        <f>-29-CT143-CS143</f>
      </c>
      <c r="CV143" s="507">
        <f>-9-CU143-CT143-CS143</f>
      </c>
      <c r="CW143" s="509">
        <f>SUM(CS143:CV143)</f>
      </c>
      <c r="CX143" s="507">
        <v>65</v>
      </c>
      <c r="CY143" s="507">
        <f>76-CX143</f>
      </c>
      <c r="CZ143" s="507">
        <f>132-CY143-CX143</f>
      </c>
      <c r="DA143" s="507">
        <f>139-CZ143-CY143-CX143</f>
      </c>
      <c r="DB143" s="509">
        <f t="shared" si="161"/>
      </c>
      <c r="DC143" s="507">
        <v>0</v>
      </c>
      <c r="DD143" s="507">
        <v>0</v>
      </c>
      <c r="DE143" s="507">
        <v>0</v>
      </c>
      <c r="DF143" s="507">
        <v>0</v>
      </c>
      <c r="DG143" s="509">
        <f t="shared" si="162"/>
      </c>
      <c r="DH143" s="507">
        <v>83</v>
      </c>
      <c r="DI143" s="507">
        <v>83</v>
      </c>
      <c r="DJ143" s="507">
        <v>0</v>
      </c>
      <c r="DK143" s="507">
        <f>DJ143</f>
      </c>
      <c r="DL143" s="509">
        <f t="shared" si="163"/>
      </c>
      <c r="DM143" s="507">
        <v>88</v>
      </c>
      <c r="DN143" s="507">
        <v>6</v>
      </c>
      <c r="DO143" s="507">
        <v>96</v>
      </c>
      <c r="DP143" s="507">
        <v>0</v>
      </c>
      <c r="DQ143" s="509">
        <f t="shared" si="164"/>
      </c>
      <c r="DR143" s="507">
        <v>126</v>
      </c>
      <c r="DS143" s="507">
        <v>2</v>
      </c>
      <c r="DT143" s="507">
        <v>149</v>
      </c>
      <c r="DU143" s="507">
        <v>0</v>
      </c>
      <c r="DV143" s="509">
        <f t="shared" si="165"/>
      </c>
      <c r="DW143" s="507">
        <v>204</v>
      </c>
      <c r="DX143" s="507">
        <v>1</v>
      </c>
      <c r="DY143" s="507">
        <v>143</v>
      </c>
      <c r="DZ143" s="507">
        <v>5</v>
      </c>
      <c r="EA143" s="509">
        <f t="shared" si="166"/>
      </c>
      <c r="EB143" s="507">
        <v>0</v>
      </c>
      <c r="EC143" s="507">
        <v>0</v>
      </c>
      <c r="ED143" s="507">
        <v>0</v>
      </c>
      <c r="EE143" s="507">
        <v>0</v>
      </c>
      <c r="EF143" s="509">
        <f t="shared" si="167"/>
      </c>
      <c r="EG143" s="507">
        <v>0</v>
      </c>
      <c r="EH143" s="507">
        <v>0</v>
      </c>
      <c r="EI143" s="507">
        <v>0</v>
      </c>
      <c r="EJ143" s="507">
        <v>0</v>
      </c>
      <c r="EK143" s="509">
        <f t="shared" si="168"/>
      </c>
      <c r="EL143" s="507">
        <f>EJ143</f>
      </c>
      <c r="EM143" s="507">
        <f>EK143</f>
      </c>
      <c r="EN143" s="507">
        <f>EM143</f>
      </c>
      <c r="EO143" s="507">
        <f>EN143</f>
      </c>
      <c r="EP143" s="509">
        <f t="shared" si="169"/>
      </c>
      <c r="EQ143" s="507">
        <f>EO143</f>
      </c>
      <c r="ER143" s="507">
        <f t="shared" ref="ER143:ET144" si="173">EQ143</f>
      </c>
      <c r="ES143" s="507">
        <f t="shared" si="173"/>
      </c>
      <c r="ET143" s="507">
        <f t="shared" si="173"/>
      </c>
      <c r="EU143" s="509">
        <f t="shared" si="170"/>
      </c>
      <c r="EV143" s="507">
        <f>ET143</f>
      </c>
      <c r="EW143" s="507">
        <f t="shared" ref="EW143:EY144" si="174">EV143</f>
      </c>
      <c r="EX143" s="507">
        <f t="shared" si="174"/>
      </c>
      <c r="EY143" s="507">
        <f t="shared" si="174"/>
      </c>
      <c r="EZ143" s="509">
        <f t="shared" si="171"/>
      </c>
      <c r="FA143" s="509"/>
      <c r="FB143" s="88"/>
      <c r="FC143" s="88"/>
      <c r="FD143" s="88"/>
      <c r="FE143" s="88"/>
    </row>
    <row r="144" spans="1:170">
      <c r="A144" s="106" t="s">
        <v>444</v>
      </c>
      <c r="B144" s="506"/>
      <c r="C144" s="506"/>
      <c r="D144" s="506"/>
      <c r="E144" s="506"/>
      <c r="F144" s="506"/>
      <c r="G144" s="506"/>
      <c r="H144" s="506"/>
      <c r="I144" s="506"/>
      <c r="J144" s="506"/>
      <c r="K144" s="474"/>
      <c r="L144" s="508"/>
      <c r="M144" s="508"/>
      <c r="N144" s="508"/>
      <c r="O144" s="508"/>
      <c r="P144" s="509">
        <f>SUM(L144:O144)</f>
      </c>
      <c r="Q144" s="508"/>
      <c r="R144" s="508"/>
      <c r="S144" s="508"/>
      <c r="T144" s="508"/>
      <c r="U144" s="509">
        <f>SUM(Q144:T144)</f>
      </c>
      <c r="V144" s="508"/>
      <c r="W144" s="508"/>
      <c r="X144" s="508"/>
      <c r="Y144" s="508"/>
      <c r="Z144" s="509">
        <f>SUM(V144:Y144)</f>
      </c>
      <c r="AA144" s="508"/>
      <c r="AB144" s="508"/>
      <c r="AC144" s="508"/>
      <c r="AD144" s="508"/>
      <c r="AE144" s="509">
        <f>SUM(AA144:AD144)</f>
      </c>
      <c r="AF144" s="508"/>
      <c r="AG144" s="508"/>
      <c r="AH144" s="508"/>
      <c r="AI144" s="508"/>
      <c r="AJ144" s="509">
        <f>SUM(AF144:AI144)</f>
      </c>
      <c r="AK144" s="508"/>
      <c r="AL144" s="508"/>
      <c r="AM144" s="508"/>
      <c r="AN144" s="508">
        <f>-24.644-SUM(AK144:AM144)</f>
      </c>
      <c r="AO144" s="509">
        <f>SUM(AK144:AN144)</f>
      </c>
      <c r="AP144" s="508">
        <v>-48.466999999999999</v>
      </c>
      <c r="AQ144" s="508">
        <f>-98.509-AP144</f>
      </c>
      <c r="AR144" s="507">
        <f>-138.509-SUM(AP144:AQ144)</f>
      </c>
      <c r="AS144" s="507">
        <f>-188.509-SUM(AP144:AR144)</f>
      </c>
      <c r="AT144" s="509">
        <f>SUM(AP144:AS144)</f>
      </c>
      <c r="AU144" s="507">
        <v>-50</v>
      </c>
      <c r="AV144" s="507">
        <f>-174.978-AU144</f>
      </c>
      <c r="AW144" s="507">
        <f>-174.978-SUM(AU144:AV144)</f>
      </c>
      <c r="AX144" s="507">
        <f>-274.978-SUM(AU144:AW144)</f>
      </c>
      <c r="AY144" s="509">
        <f>SUM(AU144:AX144)</f>
      </c>
      <c r="AZ144" s="507">
        <v>-125</v>
      </c>
      <c r="BA144" s="507">
        <f>-249.386-AZ144</f>
      </c>
      <c r="BB144" s="507">
        <f>-374.427-SUM(AZ144:BA144)</f>
      </c>
      <c r="BC144" s="507">
        <f>-552.512-SUM(AZ144:BB144)</f>
      </c>
      <c r="BD144" s="509">
        <f>SUM(AZ144:BC144)</f>
      </c>
      <c r="BE144" s="507">
        <v>-123.896</v>
      </c>
      <c r="BF144" s="507">
        <f>-123.896-SUM(BE144)</f>
      </c>
      <c r="BG144" s="507">
        <f>-423.636-BF144-BE144</f>
      </c>
      <c r="BH144" s="507">
        <f>-423.636-BG144-BF144-BE144</f>
      </c>
      <c r="BI144" s="509">
        <f>SUM(BE144:BH144)</f>
      </c>
      <c r="BJ144" s="507">
        <f>BH144</f>
      </c>
      <c r="BK144" s="507">
        <f t="shared" si="172"/>
      </c>
      <c r="BL144" s="507">
        <f t="shared" si="172"/>
      </c>
      <c r="BM144" s="507">
        <f t="shared" si="172"/>
      </c>
      <c r="BN144" s="509">
        <f>SUM(BJ144:BM144)</f>
      </c>
      <c r="BO144" s="507">
        <f>BM144</f>
      </c>
      <c r="BP144" s="507">
        <f t="shared" ref="BP144:BW144" si="175">BO144</f>
      </c>
      <c r="BQ144" s="507">
        <f t="shared" si="175"/>
      </c>
      <c r="BR144" s="507">
        <f t="shared" si="175"/>
      </c>
      <c r="BS144" s="509">
        <f>SUM(BO144:BR144)</f>
      </c>
      <c r="BT144" s="507">
        <f>BR144</f>
      </c>
      <c r="BU144" s="507">
        <f t="shared" si="175"/>
      </c>
      <c r="BV144" s="507">
        <f t="shared" si="175"/>
      </c>
      <c r="BW144" s="507">
        <f t="shared" si="175"/>
      </c>
      <c r="BX144" s="509">
        <f>SUM(BT144:BW144)</f>
      </c>
      <c r="BY144" s="507">
        <f>BW144</f>
      </c>
      <c r="BZ144" s="507">
        <f>BY144</f>
      </c>
      <c r="CA144" s="507">
        <f>BZ144</f>
      </c>
      <c r="CB144" s="507">
        <v>-100</v>
      </c>
      <c r="CC144" s="509">
        <f>SUM(BY144:CB144)</f>
      </c>
      <c r="CD144" s="507">
        <f>CB144</f>
      </c>
      <c r="CE144" s="507">
        <f>-850-CD144</f>
      </c>
      <c r="CF144" s="507">
        <f>-850-CE144-CD144</f>
      </c>
      <c r="CG144" s="507">
        <f>-887.304-CF144-CE144-CD144</f>
      </c>
      <c r="CH144" s="509">
        <f>SUM(CD144:CG144)</f>
      </c>
      <c r="CI144" s="507">
        <v>-500</v>
      </c>
      <c r="CJ144" s="507">
        <f>-500-CI144</f>
      </c>
      <c r="CK144" s="507">
        <f>-810-CJ144-CI144</f>
      </c>
      <c r="CL144" s="507">
        <f>-813.6-CK144-CJ144-CI144</f>
      </c>
      <c r="CM144" s="509">
        <f>SUM(CI144:CL144)</f>
      </c>
      <c r="CN144" s="507">
        <v>-53</v>
      </c>
      <c r="CO144" s="507">
        <f>-452-CN144</f>
      </c>
      <c r="CP144" s="507">
        <f>-452-CO144-CN144</f>
      </c>
      <c r="CQ144" s="507">
        <f>-587-CP144-CO144-CN144</f>
      </c>
      <c r="CR144" s="509">
        <f>SUM(CN144:CQ144)</f>
      </c>
      <c r="CS144" s="507">
        <v>-500</v>
      </c>
      <c r="CT144" s="507">
        <f>-509-CS144</f>
      </c>
      <c r="CU144" s="507">
        <f>-509-CT144-CS144</f>
      </c>
      <c r="CV144" s="507">
        <f>-739-CU144-CT144-CS144</f>
      </c>
      <c r="CW144" s="509">
        <f>SUM(CS144:CV144)</f>
      </c>
      <c r="CX144" s="507">
        <v>0</v>
      </c>
      <c r="CY144" s="507">
        <f>-758-CX144</f>
      </c>
      <c r="CZ144" s="507">
        <f>-909-CY144-CX144</f>
      </c>
      <c r="DA144" s="507">
        <f>-909-CZ144-CY144-CX144</f>
      </c>
      <c r="DB144" s="509">
        <f t="shared" si="161"/>
      </c>
      <c r="DC144" s="507">
        <v>-655</v>
      </c>
      <c r="DD144" s="507">
        <f>-655-DC144</f>
      </c>
      <c r="DE144" s="507">
        <f>-855-DD144-DC144</f>
      </c>
      <c r="DF144" s="507">
        <f>-1579-DE144-DD144-DC144</f>
      </c>
      <c r="DG144" s="509">
        <f t="shared" si="162"/>
      </c>
      <c r="DH144" s="507">
        <v>0</v>
      </c>
      <c r="DI144" s="507">
        <v>0</v>
      </c>
      <c r="DJ144" s="507">
        <v>0</v>
      </c>
      <c r="DK144" s="507">
        <f>DJ144</f>
      </c>
      <c r="DL144" s="509">
        <f t="shared" si="163"/>
      </c>
      <c r="DM144" s="507">
        <v>0</v>
      </c>
      <c r="DN144" s="507">
        <v>0</v>
      </c>
      <c r="DO144" s="507">
        <f>DN144</f>
      </c>
      <c r="DP144" s="507">
        <f>DO144</f>
      </c>
      <c r="DQ144" s="509">
        <f t="shared" si="164"/>
      </c>
      <c r="DR144" s="507">
        <v>0</v>
      </c>
      <c r="DS144" s="507">
        <v>0</v>
      </c>
      <c r="DT144" s="507">
        <f>DS144</f>
      </c>
      <c r="DU144" s="507">
        <f>DT144</f>
      </c>
      <c r="DV144" s="509">
        <f t="shared" si="165"/>
      </c>
      <c r="DW144" s="507">
        <v>-1996</v>
      </c>
      <c r="DX144" s="507">
        <v>-3345</v>
      </c>
      <c r="DY144" s="507">
        <v>-3485</v>
      </c>
      <c r="DZ144" s="507">
        <v>-1212</v>
      </c>
      <c r="EA144" s="509">
        <f t="shared" si="166"/>
      </c>
      <c r="EB144" s="507">
        <v>0</v>
      </c>
      <c r="EC144" s="507">
        <v>-3067</v>
      </c>
      <c r="ED144" s="507">
        <v>-3806</v>
      </c>
      <c r="EE144" s="507">
        <v>-2660</v>
      </c>
      <c r="EF144" s="509">
        <f t="shared" si="167"/>
      </c>
      <c r="EG144" s="507">
        <v>-7740</v>
      </c>
      <c r="EH144" s="507">
        <v>-7158</v>
      </c>
      <c r="EI144" s="507">
        <v>-10998</v>
      </c>
      <c r="EJ144" s="507">
        <v>-7810</v>
      </c>
      <c r="EK144" s="509">
        <f t="shared" si="168"/>
      </c>
      <c r="EL144" s="507">
        <v>-14095</v>
      </c>
      <c r="EM144" s="507">
        <v>-9721</v>
      </c>
      <c r="EN144" s="510">
        <v>-15000</v>
      </c>
      <c r="EO144" s="510">
        <f>EN144</f>
      </c>
      <c r="EP144" s="509">
        <f t="shared" si="169"/>
      </c>
      <c r="EQ144" s="510">
        <v>-17500</v>
      </c>
      <c r="ER144" s="510">
        <f t="shared" si="173"/>
      </c>
      <c r="ES144" s="510">
        <v>-20000</v>
      </c>
      <c r="ET144" s="510">
        <f t="shared" si="173"/>
      </c>
      <c r="EU144" s="509">
        <f t="shared" si="170"/>
      </c>
      <c r="EV144" s="510">
        <v>-22500</v>
      </c>
      <c r="EW144" s="510">
        <f t="shared" si="174"/>
      </c>
      <c r="EX144" s="510">
        <v>-25000</v>
      </c>
      <c r="EY144" s="510">
        <f t="shared" si="174"/>
      </c>
      <c r="EZ144" s="509">
        <f t="shared" si="171"/>
      </c>
      <c r="FA144" s="509"/>
      <c r="FC144" s="88"/>
      <c r="FD144" s="88"/>
      <c r="FE144" s="88"/>
      <c r="FF144" s="481"/>
      <c r="FG144" s="481"/>
      <c r="FH144" s="481"/>
      <c r="FI144" s="481"/>
      <c r="FJ144" s="481"/>
      <c r="FK144" s="481"/>
      <c r="FL144" s="481"/>
      <c r="FM144" s="481"/>
      <c r="FN144" s="481"/>
    </row>
    <row r="145" spans="1:169">
      <c r="A145" s="106" t="s">
        <v>445</v>
      </c>
      <c r="B145" s="506"/>
      <c r="C145" s="506"/>
      <c r="D145" s="506"/>
      <c r="E145" s="506"/>
      <c r="F145" s="506"/>
      <c r="G145" s="506"/>
      <c r="H145" s="506"/>
      <c r="I145" s="506"/>
      <c r="J145" s="506"/>
      <c r="K145" s="88"/>
      <c r="L145" s="508"/>
      <c r="M145" s="508"/>
      <c r="N145" s="508"/>
      <c r="O145" s="508"/>
      <c r="P145" s="507"/>
      <c r="Q145" s="508"/>
      <c r="R145" s="508"/>
      <c r="S145" s="508"/>
      <c r="T145" s="508"/>
      <c r="U145" s="507"/>
      <c r="V145" s="508"/>
      <c r="W145" s="508"/>
      <c r="X145" s="508"/>
      <c r="Y145" s="508"/>
      <c r="Z145" s="507"/>
      <c r="AA145" s="508"/>
      <c r="AB145" s="508"/>
      <c r="AC145" s="508"/>
      <c r="AD145" s="508"/>
      <c r="AE145" s="507"/>
      <c r="AF145" s="508"/>
      <c r="AG145" s="508"/>
      <c r="AH145" s="508"/>
      <c r="AI145" s="508"/>
      <c r="AJ145" s="507"/>
      <c r="AK145" s="508"/>
      <c r="AL145" s="508"/>
      <c r="AM145" s="508"/>
      <c r="AN145" s="508"/>
      <c r="AO145" s="507"/>
      <c r="AP145" s="508"/>
      <c r="AQ145" s="508"/>
      <c r="AR145" s="507"/>
      <c r="AS145" s="507"/>
      <c r="AT145" s="507"/>
      <c r="AU145" s="507"/>
      <c r="AV145" s="507"/>
      <c r="AW145" s="507"/>
      <c r="AX145" s="507"/>
      <c r="AY145" s="507"/>
      <c r="AZ145" s="507"/>
      <c r="BA145" s="507"/>
      <c r="BB145" s="507"/>
      <c r="BC145" s="507"/>
      <c r="BD145" s="507"/>
      <c r="BE145" s="507"/>
      <c r="BF145" s="507"/>
      <c r="BG145" s="507"/>
      <c r="BH145" s="507"/>
      <c r="BI145" s="507"/>
      <c r="BJ145" s="507"/>
      <c r="BK145" s="507"/>
      <c r="BL145" s="507"/>
      <c r="BM145" s="507"/>
      <c r="BN145" s="507"/>
      <c r="BO145" s="507"/>
      <c r="BP145" s="507"/>
      <c r="BQ145" s="507"/>
      <c r="BR145" s="507"/>
      <c r="BS145" s="507"/>
      <c r="BT145" s="507"/>
      <c r="BU145" s="507"/>
      <c r="BV145" s="507"/>
      <c r="BW145" s="507"/>
      <c r="BX145" s="507"/>
      <c r="BY145" s="507"/>
      <c r="BZ145" s="507"/>
      <c r="CA145" s="507"/>
      <c r="CB145" s="507"/>
      <c r="CC145" s="507"/>
      <c r="CD145" s="507"/>
      <c r="CE145" s="507"/>
      <c r="CF145" s="507"/>
      <c r="CG145" s="507"/>
      <c r="CH145" s="507"/>
      <c r="CI145" s="507"/>
      <c r="CJ145" s="507"/>
      <c r="CK145" s="507"/>
      <c r="CL145" s="507"/>
      <c r="CM145" s="507"/>
      <c r="CN145" s="507"/>
      <c r="CO145" s="507"/>
      <c r="CP145" s="507"/>
      <c r="CQ145" s="507"/>
      <c r="CR145" s="507"/>
      <c r="CS145" s="507"/>
      <c r="CT145" s="507"/>
      <c r="CU145" s="507"/>
      <c r="CV145" s="507"/>
      <c r="CW145" s="507"/>
      <c r="CX145" s="507">
        <v>-82</v>
      </c>
      <c r="CY145" s="507">
        <f>-166-CX145</f>
      </c>
      <c r="CZ145" s="507">
        <f>-250-CY145-CX145</f>
      </c>
      <c r="DA145" s="507">
        <f>-341-CZ145-CY145-CX145</f>
      </c>
      <c r="DB145" s="509">
        <f t="shared" si="161"/>
      </c>
      <c r="DC145" s="507">
        <v>-91</v>
      </c>
      <c r="DD145" s="507">
        <f>-182-DC145</f>
      </c>
      <c r="DE145" s="507">
        <f>-273-DD145-DC145</f>
      </c>
      <c r="DF145" s="507">
        <f>-371-DE145-DD145-DC145</f>
      </c>
      <c r="DG145" s="509">
        <f t="shared" si="162"/>
      </c>
      <c r="DH145" s="507">
        <v>-97</v>
      </c>
      <c r="DI145" s="507">
        <f>-195-DH145</f>
      </c>
      <c r="DJ145" s="507">
        <f>-292-DI145-DH145</f>
      </c>
      <c r="DK145" s="507">
        <v>-98</v>
      </c>
      <c r="DL145" s="509">
        <f t="shared" si="163"/>
      </c>
      <c r="DM145" s="507">
        <v>-98</v>
      </c>
      <c r="DN145" s="507">
        <v>-99</v>
      </c>
      <c r="DO145" s="507">
        <v>-99</v>
      </c>
      <c r="DP145" s="507">
        <v>-99</v>
      </c>
      <c r="DQ145" s="509">
        <f t="shared" si="164"/>
      </c>
      <c r="DR145" s="507">
        <v>-99</v>
      </c>
      <c r="DS145" s="507">
        <v>-100</v>
      </c>
      <c r="DT145" s="507">
        <v>-100</v>
      </c>
      <c r="DU145" s="507">
        <v>-100</v>
      </c>
      <c r="DV145" s="509">
        <f t="shared" si="165"/>
      </c>
      <c r="DW145" s="507">
        <v>-100</v>
      </c>
      <c r="DX145" s="507">
        <v>-100</v>
      </c>
      <c r="DY145" s="507">
        <v>-100</v>
      </c>
      <c r="DZ145" s="507">
        <v>-98</v>
      </c>
      <c r="EA145" s="509">
        <f t="shared" si="166"/>
      </c>
      <c r="EB145" s="507">
        <v>-99</v>
      </c>
      <c r="EC145" s="507">
        <v>-99</v>
      </c>
      <c r="ED145" s="507">
        <v>-99</v>
      </c>
      <c r="EE145" s="507">
        <v>-99</v>
      </c>
      <c r="EF145" s="509">
        <f t="shared" si="167"/>
      </c>
      <c r="EG145" s="507">
        <v>-98</v>
      </c>
      <c r="EH145" s="507">
        <v>-246</v>
      </c>
      <c r="EI145" s="507">
        <v>-245</v>
      </c>
      <c r="EJ145" s="507">
        <v>-245</v>
      </c>
      <c r="EK145" s="509">
        <f t="shared" si="168"/>
      </c>
      <c r="EL145" s="507">
        <v>-244</v>
      </c>
      <c r="EM145" s="507">
        <v>-244</v>
      </c>
      <c r="EN145" s="507"/>
      <c r="EO145" s="507"/>
      <c r="EP145" s="509">
        <f t="shared" si="169"/>
      </c>
      <c r="EQ145" s="507"/>
      <c r="ER145" s="507"/>
      <c r="ES145" s="507"/>
      <c r="ET145" s="507"/>
      <c r="EU145" s="509">
        <f t="shared" si="170"/>
      </c>
      <c r="EV145" s="507"/>
      <c r="EW145" s="507"/>
      <c r="EX145" s="507"/>
      <c r="EY145" s="507"/>
      <c r="EZ145" s="509">
        <f t="shared" si="171"/>
      </c>
      <c r="FA145" s="509"/>
      <c r="FB145" s="88"/>
      <c r="FC145" s="88"/>
      <c r="FD145" s="88"/>
      <c r="FE145" s="88"/>
      <c r="FF145" s="88"/>
      <c r="FG145" s="88"/>
      <c r="FH145" s="88"/>
      <c r="FI145" s="88"/>
      <c r="FJ145" s="88"/>
      <c r="FL145" s="111"/>
      <c r="FM145" s="111"/>
    </row>
    <row r="146" spans="1:169">
      <c r="A146" s="106" t="s">
        <v>446</v>
      </c>
      <c r="B146" s="506"/>
      <c r="C146" s="506"/>
      <c r="D146" s="506"/>
      <c r="E146" s="506"/>
      <c r="F146" s="506"/>
      <c r="G146" s="506"/>
      <c r="H146" s="506"/>
      <c r="I146" s="506"/>
      <c r="J146" s="506"/>
      <c r="K146" s="474"/>
      <c r="L146" s="508"/>
      <c r="M146" s="508"/>
      <c r="N146" s="508"/>
      <c r="O146" s="508">
        <v>0.5</v>
      </c>
      <c r="P146" s="509">
        <f>SUM(L146:O146)</f>
      </c>
      <c r="Q146" s="508">
        <v>200</v>
      </c>
      <c r="R146" s="508">
        <v>0</v>
      </c>
      <c r="S146" s="508">
        <v>0</v>
      </c>
      <c r="T146" s="508">
        <v>0</v>
      </c>
      <c r="U146" s="509">
        <f>SUM(Q146:T146)</f>
      </c>
      <c r="V146" s="508">
        <v>0</v>
      </c>
      <c r="W146" s="508">
        <v>0</v>
      </c>
      <c r="X146" s="508">
        <v>0</v>
      </c>
      <c r="Y146" s="508">
        <v>0</v>
      </c>
      <c r="Z146" s="509">
        <f>SUM(V146:Y146)</f>
      </c>
      <c r="AA146" s="508">
        <v>0</v>
      </c>
      <c r="AB146" s="508">
        <v>0</v>
      </c>
      <c r="AC146" s="508">
        <v>0</v>
      </c>
      <c r="AD146" s="508">
        <v>0</v>
      </c>
      <c r="AE146" s="509">
        <f>SUM(AA146:AD146)</f>
      </c>
      <c r="AF146" s="508">
        <v>0</v>
      </c>
      <c r="AG146" s="508">
        <v>0</v>
      </c>
      <c r="AH146" s="508">
        <v>0</v>
      </c>
      <c r="AI146" s="508">
        <v>0</v>
      </c>
      <c r="AJ146" s="509">
        <f>SUM(AF146:AI146)</f>
      </c>
      <c r="AK146" s="508">
        <v>0</v>
      </c>
      <c r="AL146" s="508">
        <v>0</v>
      </c>
      <c r="AM146" s="508">
        <v>0</v>
      </c>
      <c r="AN146" s="508">
        <v>0</v>
      </c>
      <c r="AO146" s="509">
        <f>SUM(AK146:AN146)</f>
      </c>
      <c r="AP146" s="508">
        <v>0.49099999999999999</v>
      </c>
      <c r="AQ146" s="508">
        <f>0.491-AP146</f>
      </c>
      <c r="AR146" s="507">
        <f>0.491-SUM(AP146:AQ146)</f>
      </c>
      <c r="AS146" s="507">
        <f>0.491-SUM(AP146:AR146)</f>
      </c>
      <c r="AT146" s="509">
        <f>SUM(AP146:AS146)</f>
      </c>
      <c r="AU146" s="507">
        <v>7.33</v>
      </c>
      <c r="AV146" s="507">
        <f>14.362-AU146</f>
      </c>
      <c r="AW146" s="507">
        <f>22.559-SUM(AU146:AV146)</f>
      </c>
      <c r="AX146" s="507">
        <f>0.188-SUM(AU146:AW146)</f>
      </c>
      <c r="AY146" s="509">
        <f>SUM(AU146:AX146)</f>
      </c>
      <c r="AZ146" s="507">
        <v>0</v>
      </c>
      <c r="BA146" s="507">
        <v>0</v>
      </c>
      <c r="BB146" s="507">
        <v>0</v>
      </c>
      <c r="BC146" s="507">
        <v>0.22</v>
      </c>
      <c r="BD146" s="509">
        <f>SUM(AZ146:BC146)</f>
      </c>
      <c r="BE146" s="507">
        <v>0</v>
      </c>
      <c r="BF146" s="507">
        <v>0</v>
      </c>
      <c r="BG146" s="507">
        <v>0</v>
      </c>
      <c r="BH146" s="507">
        <f>0.815-BG146-BF146-BE146</f>
      </c>
      <c r="BI146" s="509">
        <f>SUM(BE146:BH146)</f>
      </c>
      <c r="BJ146" s="507">
        <f>39.66-78.075-0.222</f>
      </c>
      <c r="BK146" s="507">
        <f>-78.075+47.092-0.103-BJ146</f>
      </c>
      <c r="BL146" s="507">
        <v>0</v>
      </c>
      <c r="BM146" s="507">
        <f>-78.075+138.029+1.105-BL146-BK146-BJ146</f>
      </c>
      <c r="BN146" s="509">
        <f>SUM(BJ146:BM146)</f>
      </c>
      <c r="BO146" s="507">
        <v>-0.28199999999999997</v>
      </c>
      <c r="BP146" s="507">
        <f>-0.574-BO146</f>
      </c>
      <c r="BQ146" s="507">
        <f>+-0.875-BP146-BO146</f>
      </c>
      <c r="BR146" s="507">
        <f>15.316-0.571-BQ146-BP146-BO146</f>
      </c>
      <c r="BS146" s="509">
        <f>SUM(BO146:BR146)</f>
      </c>
      <c r="BT146" s="507">
        <f>13.644-0.352</f>
      </c>
      <c r="BU146" s="507">
        <f>-0.731+25.021-BT146</f>
      </c>
      <c r="BV146" s="507">
        <f>-1.188+52.703-BU146-BT146</f>
      </c>
      <c r="BW146" s="507">
        <f>52.793-1.608-BV146-BU146-BT146</f>
      </c>
      <c r="BX146" s="509">
        <f>SUM(BT146:BW146)</f>
      </c>
      <c r="BY146" s="507">
        <f>-0.515+8.675</f>
      </c>
      <c r="BZ146" s="507">
        <f>-1.011+18.154-BY146</f>
      </c>
      <c r="CA146" s="507">
        <f>-1.522+25.646-BZ146-BY146</f>
      </c>
      <c r="CB146" s="507">
        <f>-46.866+68.71-2.049-CA146-BZ146-BY146</f>
      </c>
      <c r="CC146" s="509">
        <f>SUM(BY146:CB146)</f>
      </c>
      <c r="CD146" s="507">
        <f>-0.576+10.12-46.267-2.5</f>
      </c>
      <c r="CE146" s="507">
        <f>-1.169+17.36-2.5-89.61-CD146</f>
      </c>
      <c r="CF146" s="507">
        <f>-133.007-CE146-CD146-4.28+23.743</f>
      </c>
      <c r="CG146" s="507">
        <f>-5-2.239+25.801-181.336+59.1-CF146-CE146-CD146</f>
      </c>
      <c r="CH146" s="509">
        <f>SUM(CD146:CG146)</f>
      </c>
      <c r="CI146" s="507">
        <f>-0.709+4.086-46.731</f>
      </c>
      <c r="CJ146" s="507">
        <f>-94.163-CI146+6.843-1.423</f>
      </c>
      <c r="CK146" s="507">
        <f>-2.16+11.744-140.235-CJ146-CI146</f>
      </c>
      <c r="CL146" s="507">
        <f>-186.452+18.456-2.917-2.5-CK146-CJ146-CI146</f>
      </c>
      <c r="CM146" s="509">
        <f>SUM(CI146:CL146)</f>
      </c>
      <c r="CN146" s="507">
        <f>-46+6</f>
      </c>
      <c r="CO146" s="507">
        <f>-99-CN146-2+6</f>
      </c>
      <c r="CP146" s="507">
        <f>-152+-3+5-CO146-CN146</f>
      </c>
      <c r="CQ146" s="507">
        <f>-213+10-3-3-CP146-CO146-CN146</f>
      </c>
      <c r="CR146" s="509">
        <f>SUM(CN146:CQ146)</f>
      </c>
      <c r="CS146" s="507">
        <f>-62+9</f>
      </c>
      <c r="CT146" s="507">
        <f>26-124-2-1-CS146</f>
      </c>
      <c r="CU146" s="507">
        <f>-185-4-3-1-CT146-CS146</f>
      </c>
      <c r="CV146" s="507">
        <f>-261-8-7-CU146-CT146-CS146</f>
      </c>
      <c r="CW146" s="509">
        <f>SUM(CS146:CV146)</f>
      </c>
      <c r="CX146" s="507">
        <f>-190-1</f>
      </c>
      <c r="CY146" s="507">
        <f>+-190-2-CX146</f>
      </c>
      <c r="CZ146" s="507">
        <f>-577-3-CY146-CX146</f>
      </c>
      <c r="DA146" s="507">
        <f>-612-9-CZ146-CY146-CX146</f>
      </c>
      <c r="DB146" s="509">
        <f t="shared" si="161"/>
      </c>
      <c r="DC146" s="507">
        <f>-449+66</f>
      </c>
      <c r="DD146" s="507">
        <f>69-515-1-DC146</f>
      </c>
      <c r="DE146" s="507">
        <f>135-982-2-DD146-DC146</f>
      </c>
      <c r="DF146" s="507">
        <f>137-1032-5-DE146-DD146-DC146</f>
      </c>
      <c r="DG146" s="509">
        <f t="shared" si="162"/>
      </c>
      <c r="DH146" s="507">
        <v>-211</v>
      </c>
      <c r="DI146" s="507">
        <f>-261-DH146</f>
      </c>
      <c r="DJ146" s="507">
        <f>-463-DI146-DH146-17</f>
      </c>
      <c r="DK146" s="507">
        <f>2-87</f>
      </c>
      <c r="DL146" s="509">
        <f t="shared" si="163"/>
      </c>
      <c r="DM146" s="507">
        <f>-3-222</f>
      </c>
      <c r="DN146" s="507">
        <f>-196-8</f>
      </c>
      <c r="DO146" s="507">
        <v>-298</v>
      </c>
      <c r="DP146" s="507">
        <f>4-225-17-2</f>
      </c>
      <c r="DQ146" s="509">
        <f t="shared" si="164"/>
      </c>
      <c r="DR146" s="507">
        <f>-2-477-19</f>
      </c>
      <c r="DS146" s="507">
        <f>-365-21</f>
      </c>
      <c r="DT146" s="507">
        <f>-440-22</f>
      </c>
      <c r="DU146" s="507">
        <f>4-622-21-5</f>
      </c>
      <c r="DV146" s="509">
        <f t="shared" si="165"/>
      </c>
      <c r="DW146" s="507">
        <f>-532-22</f>
      </c>
      <c r="DX146" s="507">
        <f>-305-14+1</f>
      </c>
      <c r="DY146" s="507">
        <f>-294-18+1</f>
      </c>
      <c r="DZ146" s="507">
        <f>-344-3-4</f>
      </c>
      <c r="EA146" s="509">
        <f t="shared" si="166"/>
      </c>
      <c r="EB146" s="507">
        <f>246-507-20</f>
      </c>
      <c r="EC146" s="507">
        <f>1-672-11</f>
      </c>
      <c r="ED146" s="507">
        <f>156-764-13-1</f>
      </c>
      <c r="EE146" s="507">
        <f>-841-29</f>
      </c>
      <c r="EF146" s="509">
        <f t="shared" si="167"/>
      </c>
      <c r="EG146" s="507">
        <f>285-1752-40</f>
      </c>
      <c r="EH146" s="507">
        <f>-1637-29</f>
      </c>
      <c r="EI146" s="507">
        <f>204-29-1680</f>
      </c>
      <c r="EJ146" s="507">
        <f>-1861-33</f>
      </c>
      <c r="EK146" s="509">
        <f t="shared" si="168"/>
      </c>
      <c r="EL146" s="507">
        <f>370-52-1532</f>
      </c>
      <c r="EM146" s="507">
        <f>-1848-21</f>
      </c>
      <c r="EN146" s="507">
        <f>+-EN57*EN46</f>
      </c>
      <c r="EO146" s="507">
        <f>+-EO57*EO46</f>
      </c>
      <c r="EP146" s="509">
        <f t="shared" si="169"/>
      </c>
      <c r="EQ146" s="507">
        <f>+-EQ57*EQ46</f>
      </c>
      <c r="ER146" s="507">
        <f>+-ER57*ER46</f>
      </c>
      <c r="ES146" s="507">
        <f>+-ES57*ES46</f>
      </c>
      <c r="ET146" s="507">
        <f>+-ET57*ET46</f>
      </c>
      <c r="EU146" s="509">
        <f t="shared" si="170"/>
      </c>
      <c r="EV146" s="507">
        <f>+-EV57*EV46</f>
      </c>
      <c r="EW146" s="507">
        <f>+-EW57*EW46</f>
      </c>
      <c r="EX146" s="507">
        <f>+-EX57*EX46</f>
      </c>
      <c r="EY146" s="507">
        <f>+-EY57*EY46</f>
      </c>
      <c r="EZ146" s="509">
        <f t="shared" si="171"/>
      </c>
      <c r="FA146" s="509"/>
      <c r="FB146" s="88"/>
      <c r="FC146" s="88"/>
      <c r="FD146" s="88"/>
      <c r="FE146" s="88"/>
      <c r="FF146" s="88"/>
      <c r="FG146" s="88"/>
      <c r="FH146" s="88"/>
      <c r="FI146" s="88"/>
      <c r="FJ146" s="88"/>
      <c r="FL146" s="111"/>
      <c r="FM146" s="111"/>
    </row>
    <row r="147" spans="1:169">
      <c r="B147" s="506"/>
      <c r="C147" s="506"/>
      <c r="D147" s="506"/>
      <c r="E147" s="506"/>
      <c r="F147" s="506"/>
      <c r="G147" s="506"/>
      <c r="H147" s="506"/>
      <c r="I147" s="506"/>
      <c r="J147" s="506"/>
      <c r="K147" s="88"/>
      <c r="L147" s="508"/>
      <c r="M147" s="508"/>
      <c r="N147" s="508"/>
      <c r="O147" s="508"/>
      <c r="P147" s="507"/>
      <c r="Q147" s="508"/>
      <c r="R147" s="508"/>
      <c r="S147" s="508"/>
      <c r="T147" s="508"/>
      <c r="U147" s="507"/>
      <c r="V147" s="508"/>
      <c r="W147" s="508"/>
      <c r="X147" s="508"/>
      <c r="Y147" s="508"/>
      <c r="Z147" s="507"/>
      <c r="AA147" s="508"/>
      <c r="AB147" s="508"/>
      <c r="AC147" s="508"/>
      <c r="AD147" s="508"/>
      <c r="AE147" s="507"/>
      <c r="AF147" s="508"/>
      <c r="AG147" s="508"/>
      <c r="AH147" s="508"/>
      <c r="AI147" s="508"/>
      <c r="AJ147" s="507"/>
      <c r="AK147" s="508"/>
      <c r="AL147" s="508"/>
      <c r="AM147" s="507"/>
      <c r="AN147" s="507"/>
      <c r="AO147" s="507"/>
      <c r="AP147" s="507"/>
      <c r="AQ147" s="507"/>
      <c r="AR147" s="507"/>
      <c r="AS147" s="507"/>
      <c r="AT147" s="507"/>
      <c r="AU147" s="507"/>
      <c r="AV147" s="507"/>
      <c r="AW147" s="507"/>
      <c r="AX147" s="507"/>
      <c r="AY147" s="507"/>
      <c r="AZ147" s="507"/>
      <c r="BA147" s="507"/>
      <c r="BB147" s="507"/>
      <c r="BC147" s="507"/>
      <c r="BD147" s="507"/>
      <c r="BE147" s="507"/>
      <c r="BF147" s="507"/>
      <c r="BG147" s="507"/>
      <c r="BH147" s="507"/>
      <c r="BI147" s="507"/>
      <c r="BJ147" s="507"/>
      <c r="BK147" s="507"/>
      <c r="BL147" s="507"/>
      <c r="BM147" s="507"/>
      <c r="BN147" s="507"/>
      <c r="BO147" s="507"/>
      <c r="BP147" s="507"/>
      <c r="BQ147" s="507"/>
      <c r="BR147" s="507"/>
      <c r="BS147" s="507"/>
      <c r="BT147" s="507"/>
      <c r="BU147" s="507"/>
      <c r="BV147" s="507"/>
      <c r="BW147" s="507"/>
      <c r="BX147" s="507"/>
      <c r="BY147" s="507"/>
      <c r="BZ147" s="507"/>
      <c r="CA147" s="507"/>
      <c r="CB147" s="507"/>
      <c r="CC147" s="507"/>
      <c r="CD147" s="507"/>
      <c r="CE147" s="507"/>
      <c r="CF147" s="507"/>
      <c r="CG147" s="507"/>
      <c r="CH147" s="507"/>
      <c r="CI147" s="507"/>
      <c r="CJ147" s="507"/>
      <c r="CK147" s="507"/>
      <c r="CL147" s="507"/>
      <c r="CM147" s="507"/>
      <c r="CN147" s="507"/>
      <c r="CO147" s="507"/>
      <c r="CP147" s="507"/>
      <c r="CQ147" s="507"/>
      <c r="CR147" s="507"/>
      <c r="CS147" s="507"/>
      <c r="CT147" s="507"/>
      <c r="CU147" s="507"/>
      <c r="CV147" s="507"/>
      <c r="CW147" s="507"/>
      <c r="CX147" s="507"/>
      <c r="CY147" s="507"/>
      <c r="CZ147" s="507"/>
      <c r="DA147" s="507"/>
      <c r="DB147" s="507"/>
      <c r="DC147" s="507"/>
      <c r="DD147" s="507"/>
      <c r="DE147" s="507"/>
      <c r="DF147" s="507"/>
      <c r="DG147" s="507"/>
      <c r="DH147" s="507"/>
      <c r="DI147" s="507"/>
      <c r="DJ147" s="507"/>
      <c r="DK147" s="507"/>
      <c r="DL147" s="507"/>
      <c r="DM147" s="507"/>
      <c r="DN147" s="507"/>
      <c r="DO147" s="507"/>
      <c r="DP147" s="507"/>
      <c r="DQ147" s="507"/>
      <c r="DR147" s="507"/>
      <c r="DS147" s="507"/>
      <c r="DT147" s="507"/>
      <c r="DU147" s="507"/>
      <c r="DV147" s="507"/>
      <c r="DW147" s="507"/>
      <c r="DX147" s="507"/>
      <c r="DY147" s="507"/>
      <c r="DZ147" s="507"/>
      <c r="EA147" s="507"/>
      <c r="EB147" s="507"/>
      <c r="EC147" s="507"/>
      <c r="ED147" s="507"/>
      <c r="EE147" s="507"/>
      <c r="EF147" s="507"/>
      <c r="EG147" s="507"/>
      <c r="EH147" s="507"/>
      <c r="EI147" s="507"/>
      <c r="EJ147" s="507"/>
      <c r="EK147" s="507"/>
      <c r="EL147" s="507"/>
      <c r="EM147" s="507"/>
      <c r="EN147" s="507"/>
      <c r="EO147" s="507"/>
      <c r="EP147" s="507"/>
      <c r="EQ147" s="507"/>
      <c r="ER147" s="507"/>
      <c r="ES147" s="507"/>
      <c r="ET147" s="507"/>
      <c r="EU147" s="507"/>
      <c r="EV147" s="507"/>
      <c r="EW147" s="507"/>
      <c r="EX147" s="507"/>
      <c r="EY147" s="507"/>
      <c r="EZ147" s="507"/>
      <c r="FA147" s="507"/>
      <c r="FL147" s="111"/>
      <c r="FM147" s="111"/>
    </row>
    <row r="148" spans="1:169">
      <c r="A148" s="106" t="s">
        <v>447</v>
      </c>
      <c r="B148" s="511"/>
      <c r="C148" s="511"/>
      <c r="D148" s="511"/>
      <c r="E148" s="511"/>
      <c r="F148" s="511"/>
      <c r="G148" s="511"/>
      <c r="H148" s="511"/>
      <c r="I148" s="511"/>
      <c r="J148" s="511"/>
      <c r="K148" s="512"/>
      <c r="L148" s="513">
        <f>SUM(L141:L147)</f>
      </c>
      <c r="M148" s="513">
        <f>SUM(M141:M147)</f>
      </c>
      <c r="N148" s="513">
        <f>SUM(N141:N147)</f>
      </c>
      <c r="O148" s="513">
        <f>SUM(O141:O147)</f>
      </c>
      <c r="P148" s="513">
        <f>SUM(L148:O148)</f>
      </c>
      <c r="Q148" s="513">
        <f>SUM(Q141:Q147)</f>
      </c>
      <c r="R148" s="513">
        <f>SUM(R141:R147)</f>
      </c>
      <c r="S148" s="513">
        <f>SUM(S141:S147)</f>
      </c>
      <c r="T148" s="513">
        <f>SUM(T141:T147)</f>
      </c>
      <c r="U148" s="513">
        <f>SUM(Q148:T148)</f>
      </c>
      <c r="V148" s="513">
        <f>SUM(V141:V147)</f>
      </c>
      <c r="W148" s="513">
        <f>SUM(W141:W147)</f>
      </c>
      <c r="X148" s="513">
        <f>SUM(X141:X147)</f>
      </c>
      <c r="Y148" s="513">
        <f>SUM(Y141:Y147)</f>
      </c>
      <c r="Z148" s="513">
        <f>SUM(V148:Y148)</f>
      </c>
      <c r="AA148" s="513">
        <f>SUM(AA141:AA147)</f>
      </c>
      <c r="AB148" s="513">
        <f>SUM(AB141:AB147)</f>
      </c>
      <c r="AC148" s="513">
        <f>SUM(AC141:AC147)</f>
      </c>
      <c r="AD148" s="513">
        <f>SUM(AD141:AD147)</f>
      </c>
      <c r="AE148" s="513">
        <f>SUM(AA148:AD148)</f>
      </c>
      <c r="AF148" s="513">
        <f>SUM(AF141:AF147)</f>
      </c>
      <c r="AG148" s="513">
        <f>SUM(AG141:AG147)</f>
      </c>
      <c r="AH148" s="513">
        <f>SUM(AH141:AH147)</f>
      </c>
      <c r="AI148" s="513">
        <f>SUM(AI141:AI147)</f>
      </c>
      <c r="AJ148" s="513">
        <f>SUM(AF148:AI148)</f>
      </c>
      <c r="AK148" s="513">
        <f>SUM(AK141:AK147)</f>
      </c>
      <c r="AL148" s="513">
        <f>SUM(AL141:AL147)</f>
      </c>
      <c r="AM148" s="513">
        <f>SUM(AM141:AM147)</f>
      </c>
      <c r="AN148" s="513">
        <f>SUM(AN141:AN147)</f>
      </c>
      <c r="AO148" s="513">
        <f>SUM(AK148:AN148)</f>
      </c>
      <c r="AP148" s="513">
        <f>SUM(AP141:AP147)</f>
      </c>
      <c r="AQ148" s="513">
        <f>SUM(AQ141:AQ147)</f>
      </c>
      <c r="AR148" s="513">
        <f>SUM(AR141:AR147)</f>
      </c>
      <c r="AS148" s="513">
        <f>SUM(AS141:AS147)</f>
      </c>
      <c r="AT148" s="513">
        <f>SUM(AP148:AS148)</f>
      </c>
      <c r="AU148" s="513">
        <f>SUM(AU141:AU147)</f>
      </c>
      <c r="AV148" s="513">
        <f>SUM(AV141:AV147)</f>
      </c>
      <c r="AW148" s="513">
        <f>SUM(AW141:AW147)</f>
      </c>
      <c r="AX148" s="513">
        <f>SUM(AX141:AX147)</f>
      </c>
      <c r="AY148" s="513">
        <f>SUM(AU148:AX148)</f>
      </c>
      <c r="AZ148" s="513">
        <f>SUM(AZ141:AZ147)</f>
      </c>
      <c r="BA148" s="513">
        <f>SUM(BA141:BA147)</f>
      </c>
      <c r="BB148" s="513">
        <f>SUM(BB141:BB147)</f>
      </c>
      <c r="BC148" s="513">
        <f>SUM(BC141:BC147)</f>
      </c>
      <c r="BD148" s="513">
        <f>SUM(AZ148:BC148)</f>
      </c>
      <c r="BE148" s="513">
        <f>SUM(BE141:BE147)</f>
      </c>
      <c r="BF148" s="513">
        <f>SUM(BF141:BF147)</f>
      </c>
      <c r="BG148" s="513">
        <f>SUM(BG141:BG147)</f>
      </c>
      <c r="BH148" s="513">
        <f>SUM(BH141:BH147)</f>
      </c>
      <c r="BI148" s="513">
        <f>SUM(BE148:BH148)</f>
      </c>
      <c r="BJ148" s="513">
        <f>SUM(BJ141:BJ147)</f>
      </c>
      <c r="BK148" s="513">
        <f>SUM(BK141:BK147)</f>
      </c>
      <c r="BL148" s="513">
        <f>SUM(BL141:BL147)</f>
      </c>
      <c r="BM148" s="513">
        <f>SUM(BM141:BM147)</f>
      </c>
      <c r="BN148" s="513">
        <f>SUM(BJ148:BM148)</f>
      </c>
      <c r="BO148" s="513">
        <f>SUM(BO141:BO147)</f>
      </c>
      <c r="BP148" s="513">
        <f>SUM(BP141:BP147)</f>
      </c>
      <c r="BQ148" s="513">
        <f>SUM(BQ141:BQ147)</f>
      </c>
      <c r="BR148" s="513">
        <f>SUM(BR141:BR147)</f>
      </c>
      <c r="BS148" s="513">
        <f>SUM(BO148:BR148)</f>
      </c>
      <c r="BT148" s="513">
        <f>SUM(BT141:BT147)</f>
      </c>
      <c r="BU148" s="513">
        <f>SUM(BU141:BU147)</f>
      </c>
      <c r="BV148" s="513">
        <f>SUM(BV141:BV147)</f>
      </c>
      <c r="BW148" s="513">
        <f>SUM(BW141:BW147)</f>
      </c>
      <c r="BX148" s="513">
        <f>SUM(BT148:BW148)</f>
      </c>
      <c r="BY148" s="513">
        <f>SUM(BY141:BY147)</f>
      </c>
      <c r="BZ148" s="513">
        <f>SUM(BZ141:BZ147)</f>
      </c>
      <c r="CA148" s="513">
        <f>SUM(CA141:CA147)</f>
      </c>
      <c r="CB148" s="513">
        <f>SUM(CB141:CB147)</f>
      </c>
      <c r="CC148" s="513">
        <f>SUM(BY148:CB148)</f>
      </c>
      <c r="CD148" s="513">
        <f>SUM(CD141:CD147)</f>
      </c>
      <c r="CE148" s="513">
        <f>SUM(CE141:CE147)</f>
      </c>
      <c r="CF148" s="513">
        <f>SUM(CF141:CF147)</f>
      </c>
      <c r="CG148" s="513">
        <f>SUM(CG141:CG147)</f>
      </c>
      <c r="CH148" s="513">
        <f>SUM(CD148:CG148)</f>
      </c>
      <c r="CI148" s="513">
        <f>SUM(CI141:CI147)</f>
      </c>
      <c r="CJ148" s="513">
        <f>SUM(CJ141:CJ147)</f>
      </c>
      <c r="CK148" s="513">
        <f>SUM(CK141:CK147)</f>
      </c>
      <c r="CL148" s="513">
        <f>SUM(CL141:CL147)</f>
      </c>
      <c r="CM148" s="513">
        <f>SUM(CI148:CL148)</f>
      </c>
      <c r="CN148" s="513">
        <f>SUM(CN141:CN147)</f>
      </c>
      <c r="CO148" s="513">
        <f>SUM(CO141:CO147)</f>
      </c>
      <c r="CP148" s="513">
        <f>SUM(CP141:CP147)</f>
      </c>
      <c r="CQ148" s="513">
        <f>SUM(CQ141:CQ147)</f>
      </c>
      <c r="CR148" s="513">
        <f>SUM(CN148:CQ148)</f>
      </c>
      <c r="CS148" s="513">
        <f>SUM(CS141:CS147)</f>
      </c>
      <c r="CT148" s="513">
        <f>SUM(CT141:CT147)</f>
      </c>
      <c r="CU148" s="513">
        <f>SUM(CU141:CU147)</f>
      </c>
      <c r="CV148" s="513">
        <f>SUM(CV141:CV147)</f>
      </c>
      <c r="CW148" s="513">
        <f>SUM(CS148:CV148)</f>
      </c>
      <c r="CX148" s="513">
        <f>SUM(CX141:CX147)</f>
      </c>
      <c r="CY148" s="513">
        <f>SUM(CY141:CY147)</f>
      </c>
      <c r="CZ148" s="513">
        <f>SUM(CZ141:CZ147)</f>
      </c>
      <c r="DA148" s="513">
        <f>SUM(DA141:DA147)</f>
      </c>
      <c r="DB148" s="513">
        <f>SUM(CX148:DA148)</f>
      </c>
      <c r="DC148" s="513">
        <f>SUM(DC141:DC147)</f>
      </c>
      <c r="DD148" s="513">
        <f>SUM(DD141:DD147)</f>
      </c>
      <c r="DE148" s="513">
        <f>SUM(DE141:DE147)</f>
      </c>
      <c r="DF148" s="513">
        <f>SUM(DF141:DF147)</f>
      </c>
      <c r="DG148" s="513">
        <f>SUM(DC148:DF148)</f>
      </c>
      <c r="DH148" s="513">
        <f>SUM(DH141:DH147)</f>
      </c>
      <c r="DI148" s="513">
        <f>SUM(DI141:DI147)</f>
      </c>
      <c r="DJ148" s="513">
        <f>SUM(DJ141:DJ147)</f>
      </c>
      <c r="DK148" s="513">
        <f>SUM(DK141:DK147)</f>
      </c>
      <c r="DL148" s="513">
        <f>SUM(DH148:DK148)</f>
      </c>
      <c r="DM148" s="513">
        <f>SUM(DM141:DM147)</f>
      </c>
      <c r="DN148" s="513">
        <f>SUM(DN141:DN147)</f>
      </c>
      <c r="DO148" s="513">
        <f>SUM(DO141:DO147)</f>
      </c>
      <c r="DP148" s="513">
        <f>SUM(DP141:DP147)</f>
      </c>
      <c r="DQ148" s="513">
        <f>SUM(DM148:DP148)</f>
      </c>
      <c r="DR148" s="513">
        <f>SUM(DR141:DR147)</f>
      </c>
      <c r="DS148" s="513">
        <f>SUM(DS141:DS147)</f>
      </c>
      <c r="DT148" s="513">
        <f>SUM(DT141:DT147)</f>
      </c>
      <c r="DU148" s="513">
        <f>SUM(DU141:DU147)</f>
      </c>
      <c r="DV148" s="513">
        <f>SUM(DR148:DU148)</f>
      </c>
      <c r="DW148" s="513">
        <f>SUM(DW141:DW147)</f>
      </c>
      <c r="DX148" s="513">
        <f>SUM(DX141:DX147)</f>
      </c>
      <c r="DY148" s="513">
        <f>SUM(DY141:DY147)</f>
      </c>
      <c r="DZ148" s="513">
        <f>SUM(DZ141:DZ147)</f>
      </c>
      <c r="EA148" s="513">
        <f>SUM(DW148:DZ148)</f>
      </c>
      <c r="EB148" s="513">
        <f>SUM(EB141:EB147)</f>
      </c>
      <c r="EC148" s="513">
        <f>SUM(EC141:EC147)</f>
      </c>
      <c r="ED148" s="513">
        <f>SUM(ED141:ED147)</f>
      </c>
      <c r="EE148" s="513">
        <f>SUM(EE141:EE147)</f>
      </c>
      <c r="EF148" s="513">
        <f>SUM(EB148:EE148)</f>
      </c>
      <c r="EG148" s="513">
        <f>SUM(EG141:EG147)</f>
      </c>
      <c r="EH148" s="513">
        <f>SUM(EH141:EH147)</f>
      </c>
      <c r="EI148" s="513">
        <f>SUM(EI141:EI147)</f>
      </c>
      <c r="EJ148" s="513">
        <f>SUM(EJ141:EJ147)</f>
      </c>
      <c r="EK148" s="513">
        <f>SUM(EG148:EJ148)</f>
      </c>
      <c r="EL148" s="513">
        <f>SUM(EL141:EL147)</f>
      </c>
      <c r="EM148" s="513">
        <f>SUM(EM141:EM147)</f>
      </c>
      <c r="EN148" s="513">
        <f>SUM(EN141:EN147)</f>
      </c>
      <c r="EO148" s="513">
        <f>SUM(EO141:EO147)</f>
      </c>
      <c r="EP148" s="513">
        <f>SUM(EL148:EO148)</f>
      </c>
      <c r="EQ148" s="513">
        <f>SUM(EQ141:EQ147)</f>
      </c>
      <c r="ER148" s="513">
        <f>SUM(ER141:ER147)</f>
      </c>
      <c r="ES148" s="513">
        <f>SUM(ES141:ES147)</f>
      </c>
      <c r="ET148" s="513">
        <f>SUM(ET141:ET147)</f>
      </c>
      <c r="EU148" s="513">
        <f>SUM(EQ148:ET148)</f>
      </c>
      <c r="EV148" s="513">
        <f>SUM(EV141:EV147)</f>
      </c>
      <c r="EW148" s="513">
        <f>SUM(EW141:EW147)</f>
      </c>
      <c r="EX148" s="513">
        <f>SUM(EX141:EX147)</f>
      </c>
      <c r="EY148" s="513">
        <f>SUM(EY141:EY147)</f>
      </c>
      <c r="EZ148" s="513">
        <f>SUM(EV148:EY148)</f>
      </c>
      <c r="FA148" s="513"/>
      <c r="FB148" s="88"/>
      <c r="FC148" s="88"/>
      <c r="FD148" s="88"/>
      <c r="FE148" s="88"/>
      <c r="FF148" s="88"/>
      <c r="FG148" s="88"/>
      <c r="FH148" s="88"/>
      <c r="FI148" s="88"/>
      <c r="FJ148" s="88"/>
      <c r="FL148" s="111"/>
      <c r="FM148" s="111"/>
    </row>
    <row r="149" spans="1:169">
      <c r="B149" s="506"/>
      <c r="C149" s="506"/>
      <c r="D149" s="506"/>
      <c r="E149" s="506"/>
      <c r="F149" s="506"/>
      <c r="G149" s="506"/>
      <c r="H149" s="506"/>
      <c r="I149" s="506"/>
      <c r="J149" s="506"/>
      <c r="K149" s="503"/>
      <c r="L149" s="508"/>
      <c r="M149" s="508"/>
      <c r="N149" s="508"/>
      <c r="O149" s="508"/>
      <c r="P149" s="508"/>
      <c r="Q149" s="508"/>
      <c r="R149" s="508"/>
      <c r="S149" s="508"/>
      <c r="T149" s="508"/>
      <c r="U149" s="508"/>
      <c r="V149" s="508"/>
      <c r="W149" s="508"/>
      <c r="X149" s="508"/>
      <c r="Y149" s="508"/>
      <c r="Z149" s="508"/>
      <c r="AA149" s="508"/>
      <c r="AB149" s="508"/>
      <c r="AC149" s="508"/>
      <c r="AD149" s="508"/>
      <c r="AE149" s="508"/>
      <c r="AF149" s="508"/>
      <c r="AG149" s="508"/>
      <c r="AH149" s="508"/>
      <c r="AI149" s="508"/>
      <c r="AJ149" s="508"/>
      <c r="AK149" s="508"/>
      <c r="AL149" s="508"/>
      <c r="AM149" s="508"/>
      <c r="AN149" s="508"/>
      <c r="AO149" s="508"/>
      <c r="AP149" s="508"/>
      <c r="AQ149" s="508"/>
      <c r="AR149" s="507"/>
      <c r="AS149" s="508"/>
      <c r="AT149" s="508"/>
      <c r="AU149" s="508"/>
      <c r="AV149" s="508"/>
      <c r="AW149" s="508"/>
      <c r="AX149" s="508"/>
      <c r="AY149" s="508"/>
      <c r="AZ149" s="508"/>
      <c r="BA149" s="508"/>
      <c r="BB149" s="508"/>
      <c r="BC149" s="508"/>
      <c r="BD149" s="508"/>
      <c r="BE149" s="508"/>
      <c r="BF149" s="508"/>
      <c r="BG149" s="508"/>
      <c r="BH149" s="508"/>
      <c r="BI149" s="508"/>
      <c r="BJ149" s="508"/>
      <c r="BK149" s="508"/>
      <c r="BL149" s="508"/>
      <c r="BM149" s="508"/>
      <c r="BN149" s="508"/>
      <c r="BO149" s="508"/>
      <c r="BP149" s="508"/>
      <c r="BQ149" s="508"/>
      <c r="BR149" s="508"/>
      <c r="BS149" s="508"/>
      <c r="BT149" s="508"/>
      <c r="BU149" s="508"/>
      <c r="BV149" s="508"/>
      <c r="BW149" s="508"/>
      <c r="BX149" s="508"/>
      <c r="BY149" s="508"/>
      <c r="BZ149" s="508"/>
      <c r="CA149" s="508"/>
      <c r="CB149" s="508"/>
      <c r="CC149" s="508"/>
      <c r="CD149" s="508"/>
      <c r="CE149" s="508"/>
      <c r="CF149" s="508"/>
      <c r="CG149" s="508"/>
      <c r="CH149" s="508"/>
      <c r="CI149" s="508"/>
      <c r="CJ149" s="508"/>
      <c r="CK149" s="508"/>
      <c r="CL149" s="508"/>
      <c r="CM149" s="508"/>
      <c r="CN149" s="508"/>
      <c r="CO149" s="508"/>
      <c r="CP149" s="508"/>
      <c r="CQ149" s="508"/>
      <c r="CR149" s="508"/>
      <c r="CS149" s="508"/>
      <c r="CT149" s="508"/>
      <c r="CU149" s="508"/>
      <c r="CV149" s="508"/>
      <c r="CW149" s="508"/>
      <c r="CX149" s="508"/>
      <c r="CY149" s="507"/>
      <c r="CZ149" s="508"/>
      <c r="DA149" s="508"/>
      <c r="DB149" s="508"/>
      <c r="DC149" s="508"/>
      <c r="DD149" s="507"/>
      <c r="DE149" s="508"/>
      <c r="DF149" s="507"/>
      <c r="DG149" s="508"/>
      <c r="DH149" s="508"/>
      <c r="DI149" s="508"/>
      <c r="DJ149" s="508"/>
      <c r="DK149" s="508"/>
      <c r="DL149" s="508"/>
      <c r="DM149" s="508"/>
      <c r="DN149" s="508"/>
      <c r="DO149" s="508"/>
      <c r="DP149" s="508"/>
      <c r="DQ149" s="508"/>
      <c r="DR149" s="508"/>
      <c r="DS149" s="508"/>
      <c r="DT149" s="508"/>
      <c r="DU149" s="508"/>
      <c r="DV149" s="508"/>
      <c r="DW149" s="508"/>
      <c r="DX149" s="508"/>
      <c r="DY149" s="508"/>
      <c r="DZ149" s="508"/>
      <c r="EA149" s="508"/>
      <c r="EB149" s="508"/>
      <c r="EC149" s="508"/>
      <c r="ED149" s="508"/>
      <c r="EE149" s="508"/>
      <c r="EF149" s="508"/>
      <c r="EG149" s="508"/>
      <c r="EH149" s="508"/>
      <c r="EI149" s="508"/>
      <c r="EJ149" s="508"/>
      <c r="EK149" s="508"/>
      <c r="EL149" s="508"/>
      <c r="EM149" s="508"/>
      <c r="EN149" s="508"/>
      <c r="EO149" s="508"/>
      <c r="EP149" s="508"/>
      <c r="EQ149" s="508"/>
      <c r="ER149" s="508"/>
      <c r="ES149" s="508"/>
      <c r="ET149" s="508"/>
      <c r="EU149" s="508"/>
      <c r="EV149" s="508"/>
      <c r="EW149" s="508"/>
      <c r="EX149" s="508"/>
      <c r="EY149" s="508"/>
      <c r="EZ149" s="508"/>
      <c r="FA149" s="508"/>
      <c r="FB149" s="118"/>
      <c r="FL149" s="111"/>
      <c r="FM149" s="111"/>
    </row>
    <row r="150" spans="1:169" hidden="1">
      <c r="B150" s="506"/>
      <c r="C150" s="506"/>
      <c r="D150" s="506"/>
      <c r="E150" s="506"/>
      <c r="F150" s="506"/>
      <c r="G150" s="506"/>
      <c r="H150" s="506"/>
      <c r="I150" s="506"/>
      <c r="J150" s="506"/>
      <c r="K150" s="503"/>
      <c r="L150" s="508"/>
      <c r="M150" s="508"/>
      <c r="N150" s="508"/>
      <c r="O150" s="508"/>
      <c r="P150" s="508"/>
      <c r="Q150" s="508"/>
      <c r="R150" s="508"/>
      <c r="S150" s="508"/>
      <c r="T150" s="508"/>
      <c r="U150" s="508"/>
      <c r="V150" s="508"/>
      <c r="W150" s="508"/>
      <c r="X150" s="508"/>
      <c r="Y150" s="508"/>
      <c r="Z150" s="508"/>
      <c r="AA150" s="508"/>
      <c r="AB150" s="508"/>
      <c r="AC150" s="508"/>
      <c r="AD150" s="508"/>
      <c r="AE150" s="508"/>
      <c r="AF150" s="508"/>
      <c r="AG150" s="508"/>
      <c r="AH150" s="508"/>
      <c r="AI150" s="508"/>
      <c r="AJ150" s="508"/>
      <c r="AK150" s="508"/>
      <c r="AL150" s="508"/>
      <c r="AM150" s="508"/>
      <c r="AN150" s="508"/>
      <c r="AO150" s="508"/>
      <c r="AP150" s="508"/>
      <c r="AQ150" s="508"/>
      <c r="AR150" s="508"/>
      <c r="AS150" s="508"/>
      <c r="AT150" s="508"/>
      <c r="AU150" s="508"/>
      <c r="AV150" s="508"/>
      <c r="AW150" s="508"/>
      <c r="AX150" s="508"/>
      <c r="AY150" s="508"/>
      <c r="AZ150" s="508"/>
      <c r="BA150" s="508"/>
      <c r="BB150" s="508"/>
      <c r="BC150" s="508"/>
      <c r="BD150" s="508"/>
      <c r="BE150" s="508"/>
      <c r="BF150" s="508"/>
      <c r="BG150" s="508"/>
      <c r="BH150" s="508"/>
      <c r="BI150" s="508"/>
      <c r="BJ150" s="508"/>
      <c r="BK150" s="508"/>
      <c r="BL150" s="508"/>
      <c r="BM150" s="508"/>
      <c r="BN150" s="508"/>
      <c r="BO150" s="508"/>
      <c r="BP150" s="508"/>
      <c r="BQ150" s="508"/>
      <c r="BR150" s="508"/>
      <c r="BS150" s="508"/>
      <c r="BT150" s="508"/>
      <c r="BU150" s="508"/>
      <c r="BV150" s="508"/>
      <c r="BW150" s="508"/>
      <c r="BX150" s="508"/>
      <c r="BY150" s="508"/>
      <c r="BZ150" s="508"/>
      <c r="CA150" s="508"/>
      <c r="CB150" s="508"/>
      <c r="CC150" s="508"/>
      <c r="CD150" s="508"/>
      <c r="CE150" s="508"/>
      <c r="CF150" s="508"/>
      <c r="CG150" s="508"/>
      <c r="CH150" s="508"/>
      <c r="CI150" s="508"/>
      <c r="CJ150" s="508"/>
      <c r="CK150" s="508"/>
      <c r="CL150" s="508"/>
      <c r="CM150" s="508"/>
      <c r="CN150" s="508"/>
      <c r="CO150" s="508"/>
      <c r="CP150" s="508"/>
      <c r="CQ150" s="508"/>
      <c r="CR150" s="508"/>
      <c r="CS150" s="508"/>
      <c r="CT150" s="508"/>
      <c r="CU150" s="508"/>
      <c r="CV150" s="508"/>
      <c r="CW150" s="508"/>
      <c r="CX150" s="508"/>
      <c r="CY150" s="508"/>
      <c r="CZ150" s="508"/>
      <c r="DA150" s="508"/>
      <c r="DB150" s="508"/>
      <c r="DC150" s="508"/>
      <c r="DD150" s="508"/>
      <c r="DE150" s="508"/>
      <c r="DF150" s="508"/>
      <c r="DG150" s="508"/>
      <c r="DH150" s="508"/>
      <c r="DI150" s="508"/>
      <c r="DJ150" s="508"/>
      <c r="DK150" s="508"/>
      <c r="DL150" s="508"/>
      <c r="DM150" s="508"/>
      <c r="DN150" s="508"/>
      <c r="DO150" s="508"/>
      <c r="DP150" s="508"/>
      <c r="DQ150" s="508"/>
      <c r="DR150" s="508"/>
      <c r="DS150" s="508"/>
      <c r="DT150" s="508"/>
      <c r="DU150" s="508"/>
      <c r="DV150" s="508"/>
      <c r="DW150" s="508"/>
      <c r="DX150" s="508"/>
      <c r="DY150" s="508"/>
      <c r="DZ150" s="508"/>
      <c r="EA150" s="508"/>
      <c r="EB150" s="508"/>
      <c r="EC150" s="508"/>
      <c r="ED150" s="508"/>
      <c r="EE150" s="508"/>
      <c r="EF150" s="508"/>
      <c r="EG150" s="508"/>
      <c r="EH150" s="508"/>
      <c r="EI150" s="508"/>
      <c r="EJ150" s="508"/>
      <c r="EK150" s="508"/>
      <c r="EL150" s="508"/>
      <c r="EM150" s="508"/>
      <c r="EN150" s="508"/>
      <c r="EO150" s="508"/>
      <c r="EP150" s="508"/>
      <c r="EQ150" s="508"/>
      <c r="ER150" s="508"/>
      <c r="ES150" s="508"/>
      <c r="ET150" s="508"/>
      <c r="EU150" s="508"/>
      <c r="EV150" s="508"/>
      <c r="EW150" s="508"/>
      <c r="EX150" s="508"/>
      <c r="EY150" s="508"/>
      <c r="EZ150" s="508"/>
      <c r="FA150" s="508"/>
      <c r="FL150" s="111"/>
      <c r="FM150" s="111"/>
    </row>
    <row r="151" spans="1:169" hidden="1">
      <c r="B151" s="506"/>
      <c r="C151" s="506"/>
      <c r="D151" s="506"/>
      <c r="E151" s="506"/>
      <c r="F151" s="506"/>
      <c r="G151" s="506"/>
      <c r="H151" s="506"/>
      <c r="I151" s="506"/>
      <c r="J151" s="506"/>
      <c r="K151" s="503"/>
      <c r="L151" s="508"/>
      <c r="M151" s="508"/>
      <c r="N151" s="508"/>
      <c r="O151" s="508"/>
      <c r="P151" s="508"/>
      <c r="Q151" s="508"/>
      <c r="R151" s="508"/>
      <c r="S151" s="508"/>
      <c r="T151" s="508"/>
      <c r="U151" s="508"/>
      <c r="V151" s="508"/>
      <c r="W151" s="508"/>
      <c r="X151" s="508"/>
      <c r="Y151" s="508"/>
      <c r="Z151" s="508"/>
      <c r="AA151" s="508"/>
      <c r="AB151" s="508"/>
      <c r="AC151" s="508"/>
      <c r="AD151" s="508"/>
      <c r="AE151" s="508"/>
      <c r="AF151" s="508"/>
      <c r="AG151" s="508"/>
      <c r="AH151" s="508"/>
      <c r="AI151" s="508"/>
      <c r="AJ151" s="508"/>
      <c r="AK151" s="508"/>
      <c r="AL151" s="508"/>
      <c r="AM151" s="508"/>
      <c r="AN151" s="508"/>
      <c r="AO151" s="508"/>
      <c r="AP151" s="508"/>
      <c r="AQ151" s="508"/>
      <c r="AR151" s="508"/>
      <c r="AS151" s="508"/>
      <c r="AT151" s="508"/>
      <c r="AU151" s="508"/>
      <c r="AV151" s="508"/>
      <c r="AW151" s="508"/>
      <c r="AX151" s="508"/>
      <c r="AY151" s="508"/>
      <c r="AZ151" s="508"/>
      <c r="BA151" s="508"/>
      <c r="BB151" s="508"/>
      <c r="BC151" s="508"/>
      <c r="BD151" s="508"/>
      <c r="BE151" s="508"/>
      <c r="BF151" s="508"/>
      <c r="BG151" s="508"/>
      <c r="BH151" s="508"/>
      <c r="BI151" s="508"/>
      <c r="BJ151" s="508"/>
      <c r="BK151" s="508"/>
      <c r="BL151" s="508"/>
      <c r="BM151" s="508"/>
      <c r="BN151" s="508"/>
      <c r="BO151" s="508"/>
      <c r="BP151" s="508"/>
      <c r="BQ151" s="508"/>
      <c r="BR151" s="508"/>
      <c r="BS151" s="508"/>
      <c r="BT151" s="508"/>
      <c r="BU151" s="508"/>
      <c r="BV151" s="508"/>
      <c r="BW151" s="508"/>
      <c r="BX151" s="508"/>
      <c r="BY151" s="508"/>
      <c r="BZ151" s="508"/>
      <c r="CA151" s="508"/>
      <c r="CB151" s="508"/>
      <c r="CC151" s="508"/>
      <c r="CD151" s="508"/>
      <c r="CE151" s="508"/>
      <c r="CF151" s="508"/>
      <c r="CG151" s="508"/>
      <c r="CH151" s="508"/>
      <c r="CI151" s="508"/>
      <c r="CJ151" s="508"/>
      <c r="CK151" s="508"/>
      <c r="CL151" s="508"/>
      <c r="CM151" s="508"/>
      <c r="CN151" s="508"/>
      <c r="CO151" s="508"/>
      <c r="CP151" s="508"/>
      <c r="CQ151" s="508"/>
      <c r="CR151" s="508"/>
      <c r="CS151" s="508"/>
      <c r="CT151" s="508"/>
      <c r="CU151" s="508"/>
      <c r="CV151" s="508"/>
      <c r="CW151" s="508"/>
      <c r="CX151" s="508"/>
      <c r="CY151" s="508"/>
      <c r="CZ151" s="508"/>
      <c r="DA151" s="508"/>
      <c r="DB151" s="508"/>
      <c r="DC151" s="508"/>
      <c r="DD151" s="508"/>
      <c r="DE151" s="508"/>
      <c r="DF151" s="508"/>
      <c r="DG151" s="508"/>
      <c r="DH151" s="508"/>
      <c r="DI151" s="508"/>
      <c r="DJ151" s="508"/>
      <c r="DK151" s="508"/>
      <c r="DL151" s="508"/>
      <c r="DM151" s="508"/>
      <c r="DN151" s="508"/>
      <c r="DO151" s="508"/>
      <c r="DP151" s="508"/>
      <c r="DQ151" s="508"/>
      <c r="DR151" s="508"/>
      <c r="DS151" s="508"/>
      <c r="DT151" s="508"/>
      <c r="DU151" s="508"/>
      <c r="DV151" s="508"/>
      <c r="DW151" s="508"/>
      <c r="DX151" s="508"/>
      <c r="DY151" s="508"/>
      <c r="DZ151" s="508"/>
      <c r="EA151" s="508"/>
      <c r="EB151" s="508"/>
      <c r="EC151" s="508"/>
      <c r="ED151" s="508"/>
      <c r="EE151" s="508"/>
      <c r="EF151" s="508"/>
      <c r="EG151" s="508"/>
      <c r="EH151" s="508"/>
      <c r="EI151" s="508"/>
      <c r="EJ151" s="508"/>
      <c r="EK151" s="508"/>
      <c r="EL151" s="508"/>
      <c r="EM151" s="508"/>
      <c r="EN151" s="508"/>
      <c r="EO151" s="508"/>
      <c r="EP151" s="508"/>
      <c r="EQ151" s="508"/>
      <c r="ER151" s="508"/>
      <c r="ES151" s="508"/>
      <c r="ET151" s="508"/>
      <c r="EU151" s="508"/>
      <c r="EV151" s="508"/>
      <c r="EW151" s="508"/>
      <c r="EX151" s="508"/>
      <c r="EY151" s="508"/>
      <c r="EZ151" s="508"/>
      <c r="FA151" s="508"/>
      <c r="FL151" s="111"/>
      <c r="FM151" s="111"/>
    </row>
    <row r="152" spans="1:169">
      <c r="A152" s="106" t="s">
        <v>448</v>
      </c>
      <c r="B152" s="511"/>
      <c r="C152" s="511"/>
      <c r="D152" s="511"/>
      <c r="E152" s="511"/>
      <c r="F152" s="511"/>
      <c r="G152" s="511"/>
      <c r="H152" s="511"/>
      <c r="I152" s="511"/>
      <c r="J152" s="511"/>
      <c r="K152" s="512"/>
      <c r="L152" s="513">
        <f>L148+L136+L131</f>
      </c>
      <c r="M152" s="513">
        <f>M148+M136+M131</f>
      </c>
      <c r="N152" s="513">
        <f>N148+N136+N131</f>
      </c>
      <c r="O152" s="513">
        <f>O148+O136+O131</f>
      </c>
      <c r="P152" s="513">
        <f>SUM(L152:O152)</f>
      </c>
      <c r="Q152" s="513">
        <f>Q148+Q136+Q131</f>
      </c>
      <c r="R152" s="513">
        <f>R148+R136+R131</f>
      </c>
      <c r="S152" s="513">
        <f>S148+S136+S131</f>
      </c>
      <c r="T152" s="513">
        <f>T148+T136+T131</f>
      </c>
      <c r="U152" s="513">
        <f>SUM(Q152:T152)</f>
      </c>
      <c r="V152" s="513">
        <f>V148+V136+V131</f>
      </c>
      <c r="W152" s="513">
        <f>W148+W136+W131</f>
      </c>
      <c r="X152" s="513">
        <f>X148+X136+X131</f>
      </c>
      <c r="Y152" s="513">
        <f>Y148+Y136+Y131</f>
      </c>
      <c r="Z152" s="513">
        <f>SUM(V152:Y152)</f>
      </c>
      <c r="AA152" s="513">
        <f>AA148+AA136+AA131</f>
      </c>
      <c r="AB152" s="513">
        <f>AB148+AB136+AB131</f>
      </c>
      <c r="AC152" s="513">
        <f>AC148+AC136+AC131</f>
      </c>
      <c r="AD152" s="513">
        <f>AD148+AD136+AD131</f>
      </c>
      <c r="AE152" s="513">
        <f>SUM(AA152:AD152)</f>
      </c>
      <c r="AF152" s="513">
        <f>AF148+AF136+AF131</f>
      </c>
      <c r="AG152" s="513">
        <f>AG148+AG136+AG131</f>
      </c>
      <c r="AH152" s="513">
        <f>AH148+AH136+AH131</f>
      </c>
      <c r="AI152" s="513">
        <f>AI148+AI136+AI131</f>
      </c>
      <c r="AJ152" s="513">
        <f>SUM(AF152:AI152)</f>
      </c>
      <c r="AK152" s="513">
        <f>AK148+AK136+AK131</f>
      </c>
      <c r="AL152" s="513">
        <f>AL148+AL136+AL131</f>
      </c>
      <c r="AM152" s="513">
        <f>AM148+AM136+AM131</f>
      </c>
      <c r="AN152" s="513">
        <f>AN148+AN136+AN131</f>
      </c>
      <c r="AO152" s="513">
        <f>SUM(AK152:AN152)</f>
      </c>
      <c r="AP152" s="513">
        <f>AP148+AP136+AP131</f>
      </c>
      <c r="AQ152" s="513">
        <f>AQ148+AQ136+AQ131</f>
      </c>
      <c r="AR152" s="513">
        <f>AR148+AR136+AR131</f>
      </c>
      <c r="AS152" s="513">
        <f>AS148+AS136+AS131</f>
      </c>
      <c r="AT152" s="513">
        <f>SUM(AP152:AS152)</f>
      </c>
      <c r="AU152" s="513">
        <f>AU148+AU136+AU131</f>
      </c>
      <c r="AV152" s="513">
        <f>AV148+AV136+AV131</f>
      </c>
      <c r="AW152" s="513">
        <f>AW148+AW136+AW131</f>
      </c>
      <c r="AX152" s="513">
        <f>AX148+AX136+AX131</f>
      </c>
      <c r="AY152" s="513">
        <f>SUM(AU152:AX152)</f>
      </c>
      <c r="AZ152" s="513">
        <f>AZ148+AZ136+AZ131</f>
      </c>
      <c r="BA152" s="513">
        <f>BA148+BA136+BA131</f>
      </c>
      <c r="BB152" s="513">
        <f>BB148+BB136+BB131</f>
      </c>
      <c r="BC152" s="513">
        <f>BC148+BC136+BC131</f>
      </c>
      <c r="BD152" s="513">
        <f>SUM(AZ152:BC152)</f>
      </c>
      <c r="BE152" s="513">
        <f>BE148+BE136+BE131</f>
      </c>
      <c r="BF152" s="513">
        <f>BF148+BF136+BF131</f>
      </c>
      <c r="BG152" s="513">
        <f>BG148+BG136+BG131</f>
      </c>
      <c r="BH152" s="513">
        <f>BH148+BH136+BH131</f>
      </c>
      <c r="BI152" s="513">
        <f>SUM(BE152:BH152)</f>
      </c>
      <c r="BJ152" s="513">
        <f>BJ148+BJ136+BJ131</f>
      </c>
      <c r="BK152" s="513">
        <f>BK148+BK136+BK131</f>
      </c>
      <c r="BL152" s="513">
        <f>BL148+BL136+BL131</f>
      </c>
      <c r="BM152" s="513">
        <f>BM148+BM136+BM131</f>
      </c>
      <c r="BN152" s="513">
        <f>SUM(BJ152:BM152)</f>
      </c>
      <c r="BO152" s="513">
        <f>BO148+BO136+BO131</f>
      </c>
      <c r="BP152" s="513">
        <f>BP148+BP136+BP131</f>
      </c>
      <c r="BQ152" s="513">
        <f>BQ148+BQ136+BQ131</f>
      </c>
      <c r="BR152" s="513">
        <f>BR148+BR136+BR131</f>
      </c>
      <c r="BS152" s="513">
        <f>SUM(BO152:BR152)</f>
      </c>
      <c r="BT152" s="513">
        <f>BT148+BT136+BT131</f>
      </c>
      <c r="BU152" s="513">
        <f>BU148+BU136+BU131</f>
      </c>
      <c r="BV152" s="513">
        <f>BV148+BV136+BV131</f>
      </c>
      <c r="BW152" s="513">
        <f>BW148+BW136+BW131</f>
      </c>
      <c r="BX152" s="513">
        <f>SUM(BT152:BW152)</f>
      </c>
      <c r="BY152" s="513">
        <f>BY148+BY136+BY131</f>
      </c>
      <c r="BZ152" s="513">
        <f>BZ148+BZ136+BZ131</f>
      </c>
      <c r="CA152" s="513">
        <f>CA148+CA136+CA131</f>
      </c>
      <c r="CB152" s="513">
        <f>CB148+CB136+CB131</f>
      </c>
      <c r="CC152" s="513">
        <f>SUM(BY152:CB152)</f>
      </c>
      <c r="CD152" s="513">
        <f>CD148+CD136+CD131</f>
      </c>
      <c r="CE152" s="513">
        <f>CE148+CE136+CE131</f>
      </c>
      <c r="CF152" s="513">
        <f>CF148+CF136+CF131</f>
      </c>
      <c r="CG152" s="513">
        <f>CG148+CG136+CG131</f>
      </c>
      <c r="CH152" s="513">
        <f>SUM(CD152:CG152)</f>
      </c>
      <c r="CI152" s="513">
        <f>CI148+CI136+CI131</f>
      </c>
      <c r="CJ152" s="513">
        <f>CJ148+CJ136+CJ131</f>
      </c>
      <c r="CK152" s="513">
        <f>CK148+CK136+CK131</f>
      </c>
      <c r="CL152" s="513">
        <f>CL148+CL136+CL131</f>
      </c>
      <c r="CM152" s="513">
        <f>SUM(CI152:CL152)</f>
      </c>
      <c r="CN152" s="513">
        <f>CN148+CN136+CN131</f>
      </c>
      <c r="CO152" s="513">
        <f>CO148+CO136+CO131</f>
      </c>
      <c r="CP152" s="513">
        <f>CP148+CP136+CP131</f>
      </c>
      <c r="CQ152" s="513">
        <f>CQ148+CQ136+CQ131</f>
      </c>
      <c r="CR152" s="513">
        <f>SUM(CN152:CQ152)</f>
      </c>
      <c r="CS152" s="513">
        <f>CS148+CS136+CS131</f>
      </c>
      <c r="CT152" s="513">
        <f>CT148+CT136+CT131</f>
      </c>
      <c r="CU152" s="513">
        <f>CU148+CU136+CU131</f>
      </c>
      <c r="CV152" s="513">
        <f>CV148+CV136+CV131</f>
      </c>
      <c r="CW152" s="513">
        <f>SUM(CS152:CV152)</f>
      </c>
      <c r="CX152" s="513">
        <f t="shared" ref="CX152:DF152" si="176">CX148+CX136+CX131</f>
      </c>
      <c r="CY152" s="513">
        <f t="shared" si="176"/>
      </c>
      <c r="CZ152" s="513">
        <f t="shared" si="176"/>
      </c>
      <c r="DA152" s="513">
        <f t="shared" si="176"/>
      </c>
      <c r="DB152" s="513">
        <f t="shared" si="176"/>
      </c>
      <c r="DC152" s="513">
        <f t="shared" si="176"/>
      </c>
      <c r="DD152" s="513">
        <f t="shared" si="176"/>
      </c>
      <c r="DE152" s="513">
        <f t="shared" si="176"/>
      </c>
      <c r="DF152" s="513">
        <f t="shared" si="176"/>
      </c>
      <c r="DG152" s="513">
        <f>SUM(DC152:DF152)</f>
      </c>
      <c r="DH152" s="513">
        <f>DH148+DH136+DH131</f>
      </c>
      <c r="DI152" s="513">
        <f>DI148+DI136+DI131</f>
      </c>
      <c r="DJ152" s="513">
        <f>DJ148+DJ136+DJ131</f>
      </c>
      <c r="DK152" s="513">
        <f>DK148+DK136+DK131</f>
      </c>
      <c r="DL152" s="513">
        <f>SUM(DH152:DK152)</f>
      </c>
      <c r="DM152" s="513">
        <f>DM148+DM136+DM131</f>
      </c>
      <c r="DN152" s="513">
        <f>DN148+DN136+DN131</f>
      </c>
      <c r="DO152" s="513">
        <f>DO148+DO136+DO131</f>
      </c>
      <c r="DP152" s="513">
        <f>DP148+DP136+DP131</f>
      </c>
      <c r="DQ152" s="513">
        <f>SUM(DM152:DP152)</f>
      </c>
      <c r="DR152" s="513">
        <f>DR148+DR136+DR131</f>
      </c>
      <c r="DS152" s="513">
        <f>DS148+DS136+DS131</f>
      </c>
      <c r="DT152" s="513">
        <f>DT148+DT136+DT131</f>
      </c>
      <c r="DU152" s="513">
        <f>DU148+DU136+DU131</f>
      </c>
      <c r="DV152" s="513">
        <f>SUM(DR152:DU152)</f>
      </c>
      <c r="DW152" s="513">
        <f>DW148+DW136+DW131</f>
      </c>
      <c r="DX152" s="513">
        <f>DX148+DX136+DX131</f>
      </c>
      <c r="DY152" s="513">
        <f>DY148+DY136+DY131</f>
      </c>
      <c r="DZ152" s="513">
        <f>DZ148+DZ136+DZ131</f>
      </c>
      <c r="EA152" s="513">
        <f>SUM(DW152:DZ152)</f>
      </c>
      <c r="EB152" s="513">
        <f>EB148+EB136+EB131</f>
      </c>
      <c r="EC152" s="513">
        <f>EC148+EC136+EC131</f>
      </c>
      <c r="ED152" s="513">
        <f>ED148+ED136+ED131</f>
      </c>
      <c r="EE152" s="513">
        <f>EE148+EE136+EE131</f>
      </c>
      <c r="EF152" s="513">
        <f>SUM(EB152:EE152)</f>
      </c>
      <c r="EG152" s="513">
        <f>EG148+EG136+EG131</f>
      </c>
      <c r="EH152" s="513">
        <f>EH148+EH136+EH131</f>
      </c>
      <c r="EI152" s="513">
        <f>EI148+EI136+EI131</f>
      </c>
      <c r="EJ152" s="513">
        <f>EJ148+EJ136+EJ131</f>
      </c>
      <c r="EK152" s="513">
        <f>SUM(EG152:EJ152)</f>
      </c>
      <c r="EL152" s="513">
        <f>EL148+EL136+EL131</f>
      </c>
      <c r="EM152" s="513">
        <f>EM148+EM136+EM131</f>
      </c>
      <c r="EN152" s="513">
        <f>EN148+EN136+EN131</f>
      </c>
      <c r="EO152" s="513">
        <f>EO148+EO136+EO131</f>
      </c>
      <c r="EP152" s="513">
        <f>SUM(EL152:EO152)</f>
      </c>
      <c r="EQ152" s="513">
        <f>EQ148+EQ136+EQ131</f>
      </c>
      <c r="ER152" s="513">
        <f>ER148+ER136+ER131</f>
      </c>
      <c r="ES152" s="513">
        <f>ES148+ES136+ES131</f>
      </c>
      <c r="ET152" s="513">
        <f>ET148+ET136+ET131</f>
      </c>
      <c r="EU152" s="513">
        <f>SUM(EQ152:ET152)</f>
      </c>
      <c r="EV152" s="513">
        <f>EV148+EV136+EV131</f>
      </c>
      <c r="EW152" s="513">
        <f>EW148+EW136+EW131</f>
      </c>
      <c r="EX152" s="513">
        <f>EX148+EX136+EX131</f>
      </c>
      <c r="EY152" s="513">
        <f>EY148+EY136+EY131</f>
      </c>
      <c r="EZ152" s="513">
        <f>SUM(EV152:EY152)</f>
      </c>
      <c r="FA152" s="513"/>
      <c r="FL152" s="111"/>
      <c r="FM152" s="111"/>
    </row>
    <row r="153" spans="1:169">
      <c r="B153" s="506"/>
      <c r="C153" s="506"/>
      <c r="D153" s="506"/>
      <c r="E153" s="506"/>
      <c r="F153" s="506"/>
      <c r="G153" s="506"/>
      <c r="H153" s="506"/>
      <c r="I153" s="506"/>
      <c r="J153" s="506"/>
      <c r="K153" s="503"/>
      <c r="L153" s="508"/>
      <c r="M153" s="508"/>
      <c r="N153" s="508"/>
      <c r="O153" s="508"/>
      <c r="P153" s="508"/>
      <c r="Q153" s="508"/>
      <c r="R153" s="508"/>
      <c r="S153" s="508"/>
      <c r="T153" s="508"/>
      <c r="U153" s="508"/>
      <c r="V153" s="508"/>
      <c r="W153" s="508"/>
      <c r="X153" s="508"/>
      <c r="Y153" s="508"/>
      <c r="Z153" s="508"/>
      <c r="AA153" s="508"/>
      <c r="AB153" s="508"/>
      <c r="AC153" s="508"/>
      <c r="AD153" s="508"/>
      <c r="AE153" s="508"/>
      <c r="AF153" s="508"/>
      <c r="AG153" s="508"/>
      <c r="AH153" s="508"/>
      <c r="AI153" s="508"/>
      <c r="AJ153" s="508"/>
      <c r="AK153" s="508"/>
      <c r="AL153" s="508"/>
      <c r="AM153" s="508"/>
      <c r="AN153" s="508"/>
      <c r="AO153" s="508"/>
      <c r="AP153" s="508"/>
      <c r="AQ153" s="508"/>
      <c r="AR153" s="508"/>
      <c r="AS153" s="508"/>
      <c r="AT153" s="508"/>
      <c r="AU153" s="508"/>
      <c r="AV153" s="508"/>
      <c r="AW153" s="508"/>
      <c r="AX153" s="508"/>
      <c r="AY153" s="508"/>
      <c r="AZ153" s="508"/>
      <c r="BA153" s="508"/>
      <c r="BB153" s="508"/>
      <c r="BC153" s="508"/>
      <c r="BD153" s="508"/>
      <c r="BE153" s="508"/>
      <c r="BF153" s="508"/>
      <c r="BG153" s="508"/>
      <c r="BH153" s="508"/>
      <c r="BI153" s="508"/>
      <c r="BJ153" s="508"/>
      <c r="BK153" s="508"/>
      <c r="BL153" s="508"/>
      <c r="BM153" s="508"/>
      <c r="BN153" s="508"/>
      <c r="BO153" s="508"/>
      <c r="BP153" s="508"/>
      <c r="BQ153" s="508"/>
      <c r="BR153" s="508"/>
      <c r="BS153" s="508"/>
      <c r="BT153" s="508"/>
      <c r="BU153" s="508"/>
      <c r="BV153" s="508"/>
      <c r="BW153" s="508"/>
      <c r="BX153" s="508"/>
      <c r="BY153" s="508"/>
      <c r="BZ153" s="508"/>
      <c r="CA153" s="508"/>
      <c r="CB153" s="508"/>
      <c r="CC153" s="508"/>
      <c r="CD153" s="508"/>
      <c r="CE153" s="508"/>
      <c r="CF153" s="508"/>
      <c r="CG153" s="508"/>
      <c r="CH153" s="508"/>
      <c r="CI153" s="508"/>
      <c r="CJ153" s="508"/>
      <c r="CK153" s="508"/>
      <c r="CL153" s="508"/>
      <c r="CM153" s="508"/>
      <c r="CN153" s="508"/>
      <c r="CO153" s="508"/>
      <c r="CP153" s="508"/>
      <c r="CQ153" s="508"/>
      <c r="CR153" s="508"/>
      <c r="CS153" s="508"/>
      <c r="CT153" s="508"/>
      <c r="CU153" s="508"/>
      <c r="CV153" s="508"/>
      <c r="CW153" s="508"/>
      <c r="CX153" s="508"/>
      <c r="CY153" s="507"/>
      <c r="CZ153" s="508"/>
      <c r="DA153" s="508"/>
      <c r="DB153" s="508"/>
      <c r="DC153" s="508"/>
      <c r="DD153" s="507"/>
      <c r="DE153" s="508"/>
      <c r="DF153" s="508"/>
      <c r="DG153" s="508"/>
      <c r="DH153" s="508"/>
      <c r="DI153" s="508"/>
      <c r="DJ153" s="508"/>
      <c r="DK153" s="508"/>
      <c r="DL153" s="508"/>
      <c r="DM153" s="508"/>
      <c r="DN153" s="508"/>
      <c r="DO153" s="508"/>
      <c r="DP153" s="508"/>
      <c r="DQ153" s="508"/>
      <c r="DR153" s="508"/>
      <c r="DS153" s="508"/>
      <c r="DT153" s="508"/>
      <c r="DU153" s="508"/>
      <c r="DV153" s="508"/>
      <c r="DW153" s="508"/>
      <c r="DX153" s="508"/>
      <c r="DY153" s="508"/>
      <c r="DZ153" s="508"/>
      <c r="EA153" s="508"/>
      <c r="EB153" s="508"/>
      <c r="EC153" s="508"/>
      <c r="ED153" s="508"/>
      <c r="EE153" s="508"/>
      <c r="EF153" s="508"/>
      <c r="EG153" s="508"/>
      <c r="EH153" s="508"/>
      <c r="EI153" s="508"/>
      <c r="EJ153" s="508"/>
      <c r="EK153" s="508"/>
      <c r="EL153" s="508"/>
      <c r="EM153" s="508"/>
      <c r="EN153" s="508"/>
      <c r="EO153" s="508"/>
      <c r="EP153" s="508"/>
      <c r="EQ153" s="508"/>
      <c r="ER153" s="508"/>
      <c r="ES153" s="508"/>
      <c r="ET153" s="508"/>
      <c r="EU153" s="508"/>
      <c r="EV153" s="508"/>
      <c r="EW153" s="508"/>
      <c r="EX153" s="508"/>
      <c r="EY153" s="508"/>
      <c r="EZ153" s="508"/>
      <c r="FA153" s="508"/>
      <c r="FL153" s="111"/>
      <c r="FM153" s="111"/>
    </row>
    <row r="154" spans="1:169">
      <c r="A154" s="106" t="s">
        <v>449</v>
      </c>
      <c r="B154" s="506"/>
      <c r="C154" s="506"/>
      <c r="D154" s="506"/>
      <c r="E154" s="506"/>
      <c r="F154" s="506"/>
      <c r="G154" s="506"/>
      <c r="H154" s="506"/>
      <c r="I154" s="506"/>
      <c r="J154" s="506"/>
      <c r="K154" s="474"/>
      <c r="L154" s="508">
        <v>50.256999999999998</v>
      </c>
      <c r="M154" s="508">
        <f>L62</f>
      </c>
      <c r="N154" s="508">
        <f>M62</f>
      </c>
      <c r="O154" s="508">
        <f>N62</f>
      </c>
      <c r="P154" s="509">
        <f>K154</f>
      </c>
      <c r="Q154" s="508">
        <f>O62</f>
      </c>
      <c r="R154" s="508">
        <f>Q62</f>
      </c>
      <c r="S154" s="508">
        <f>R62</f>
      </c>
      <c r="T154" s="508">
        <f>S62</f>
      </c>
      <c r="U154" s="509">
        <f>P154</f>
      </c>
      <c r="V154" s="508">
        <f>T62</f>
      </c>
      <c r="W154" s="508">
        <f>V62</f>
      </c>
      <c r="X154" s="508">
        <f>W62</f>
      </c>
      <c r="Y154" s="508">
        <f>X62</f>
      </c>
      <c r="Z154" s="509">
        <f>U154</f>
      </c>
      <c r="AA154" s="508">
        <f>Y62</f>
      </c>
      <c r="AB154" s="508">
        <f>AA62</f>
      </c>
      <c r="AC154" s="508">
        <f>AB62</f>
      </c>
      <c r="AD154" s="508">
        <f>AC62</f>
      </c>
      <c r="AE154" s="509">
        <f>Z154</f>
      </c>
      <c r="AF154" s="508">
        <f>AD62</f>
      </c>
      <c r="AG154" s="508">
        <f>AF62</f>
      </c>
      <c r="AH154" s="508">
        <f>AG62</f>
      </c>
      <c r="AI154" s="508">
        <f>AH62</f>
      </c>
      <c r="AJ154" s="509">
        <f>AE154</f>
      </c>
      <c r="AK154" s="508">
        <f>AI62</f>
      </c>
      <c r="AL154" s="508">
        <f>AK62</f>
      </c>
      <c r="AM154" s="508">
        <f>AL62</f>
      </c>
      <c r="AN154" s="508">
        <f>AM62</f>
      </c>
      <c r="AO154" s="509">
        <f>AJ154</f>
      </c>
      <c r="AP154" s="508">
        <f>AN62</f>
      </c>
      <c r="AQ154" s="508">
        <f>AP62</f>
      </c>
      <c r="AR154" s="508">
        <f>AQ62</f>
      </c>
      <c r="AS154" s="508">
        <f>AR62</f>
      </c>
      <c r="AT154" s="509">
        <f>AO154</f>
      </c>
      <c r="AU154" s="508">
        <f>AS62</f>
      </c>
      <c r="AV154" s="508">
        <f>AU62</f>
      </c>
      <c r="AW154" s="508">
        <f>AV62</f>
      </c>
      <c r="AX154" s="508">
        <f>AW62</f>
      </c>
      <c r="AY154" s="509">
        <f>AT154</f>
      </c>
      <c r="AZ154" s="508">
        <f>AX62</f>
      </c>
      <c r="BA154" s="508">
        <f>AZ62</f>
      </c>
      <c r="BB154" s="508">
        <f>BA62</f>
      </c>
      <c r="BC154" s="508">
        <f>BB62</f>
      </c>
      <c r="BD154" s="509">
        <f>AY154</f>
      </c>
      <c r="BE154" s="508">
        <f>BC62</f>
      </c>
      <c r="BF154" s="508">
        <f>BE62</f>
      </c>
      <c r="BG154" s="508">
        <f>BF62</f>
      </c>
      <c r="BH154" s="508">
        <f>BG62</f>
      </c>
      <c r="BI154" s="509">
        <f>BD154</f>
      </c>
      <c r="BJ154" s="508">
        <f>BH62</f>
      </c>
      <c r="BK154" s="508">
        <f>BJ62</f>
      </c>
      <c r="BL154" s="508">
        <f>BK62</f>
      </c>
      <c r="BM154" s="508">
        <f>BL62</f>
      </c>
      <c r="BN154" s="509">
        <f>BI154</f>
      </c>
      <c r="BO154" s="508">
        <f>BM62</f>
      </c>
      <c r="BP154" s="508">
        <f>BO62</f>
      </c>
      <c r="BQ154" s="508">
        <f>BP62</f>
      </c>
      <c r="BR154" s="508">
        <f>BQ62</f>
      </c>
      <c r="BS154" s="509">
        <f>BN154</f>
      </c>
      <c r="BT154" s="508">
        <f>BR62</f>
      </c>
      <c r="BU154" s="508">
        <f>BT62</f>
      </c>
      <c r="BV154" s="508">
        <f>BU62</f>
      </c>
      <c r="BW154" s="508">
        <f>BV62</f>
      </c>
      <c r="BX154" s="509">
        <f>BS154</f>
      </c>
      <c r="BY154" s="508">
        <f>BW62</f>
      </c>
      <c r="BZ154" s="508">
        <f>BY62</f>
      </c>
      <c r="CA154" s="508">
        <f>BZ62</f>
      </c>
      <c r="CB154" s="508">
        <f>CA62</f>
      </c>
      <c r="CC154" s="509">
        <f>SUM(BY154:CB154)</f>
      </c>
      <c r="CD154" s="508">
        <f>CB62</f>
      </c>
      <c r="CE154" s="508">
        <f>CD62</f>
      </c>
      <c r="CF154" s="508">
        <f>CE62</f>
      </c>
      <c r="CG154" s="508">
        <f>CF62</f>
      </c>
      <c r="CH154" s="509">
        <f>CD154</f>
      </c>
      <c r="CI154" s="508">
        <f>CG62</f>
      </c>
      <c r="CJ154" s="508">
        <f>CI62</f>
      </c>
      <c r="CK154" s="508">
        <f>CJ62</f>
      </c>
      <c r="CL154" s="508">
        <f>CK62</f>
      </c>
      <c r="CM154" s="509">
        <f>CI154</f>
      </c>
      <c r="CN154" s="508">
        <f>CL62</f>
      </c>
      <c r="CO154" s="508">
        <f>CN62</f>
      </c>
      <c r="CP154" s="508">
        <f>CO62</f>
      </c>
      <c r="CQ154" s="508">
        <f>CP62</f>
      </c>
      <c r="CR154" s="509">
        <f>CN154</f>
      </c>
      <c r="CS154" s="508">
        <f>CQ62</f>
      </c>
      <c r="CT154" s="508">
        <f>CS62</f>
      </c>
      <c r="CU154" s="508">
        <f>CT62</f>
      </c>
      <c r="CV154" s="508">
        <f>CU62</f>
      </c>
      <c r="CW154" s="509">
        <f>CS154</f>
      </c>
      <c r="CX154" s="508">
        <f>CV62</f>
      </c>
      <c r="CY154" s="508">
        <f>CX62</f>
      </c>
      <c r="CZ154" s="508">
        <f>CY62</f>
      </c>
      <c r="DA154" s="508">
        <f>CZ62</f>
      </c>
      <c r="DB154" s="509">
        <f>CX154</f>
      </c>
      <c r="DC154" s="508">
        <f>DA62</f>
      </c>
      <c r="DD154" s="508">
        <f>DC62</f>
      </c>
      <c r="DE154" s="508">
        <f>DD62</f>
      </c>
      <c r="DF154" s="508">
        <f>DE62</f>
      </c>
      <c r="DG154" s="509">
        <f>DC154</f>
      </c>
      <c r="DH154" s="508">
        <f>DF62</f>
      </c>
      <c r="DI154" s="508">
        <f>DH62</f>
      </c>
      <c r="DJ154" s="508">
        <f>DI62</f>
      </c>
      <c r="DK154" s="508">
        <f>DJ62</f>
      </c>
      <c r="DL154" s="509">
        <f>DH154</f>
      </c>
      <c r="DM154" s="508">
        <f>DK62</f>
      </c>
      <c r="DN154" s="508">
        <f>DM62</f>
      </c>
      <c r="DO154" s="508">
        <f>DN62</f>
      </c>
      <c r="DP154" s="508">
        <f>DO62</f>
      </c>
      <c r="DQ154" s="509">
        <f>DM154</f>
      </c>
      <c r="DR154" s="508">
        <f>DP62</f>
      </c>
      <c r="DS154" s="508">
        <f>DR62</f>
      </c>
      <c r="DT154" s="508">
        <f>DS62</f>
      </c>
      <c r="DU154" s="508">
        <f>DT62</f>
      </c>
      <c r="DV154" s="509">
        <f>DR154</f>
      </c>
      <c r="DW154" s="508">
        <f>DU62</f>
      </c>
      <c r="DX154" s="508">
        <f>DW62</f>
      </c>
      <c r="DY154" s="508">
        <f>DX62</f>
      </c>
      <c r="DZ154" s="508">
        <f>DY62</f>
      </c>
      <c r="EA154" s="509">
        <f>DW154</f>
      </c>
      <c r="EB154" s="508">
        <f>DZ62</f>
      </c>
      <c r="EC154" s="508">
        <f>EB62</f>
      </c>
      <c r="ED154" s="508">
        <f>EC62</f>
      </c>
      <c r="EE154" s="508">
        <f>ED62</f>
      </c>
      <c r="EF154" s="509">
        <f>EB154</f>
      </c>
      <c r="EG154" s="508">
        <f>EF62</f>
      </c>
      <c r="EH154" s="508">
        <f>EG62</f>
      </c>
      <c r="EI154" s="508">
        <f>EH62</f>
      </c>
      <c r="EJ154" s="508">
        <f>EI62</f>
      </c>
      <c r="EK154" s="509">
        <f>EG154</f>
      </c>
      <c r="EL154" s="508">
        <f>EJ62</f>
      </c>
      <c r="EM154" s="508">
        <f>EL62</f>
      </c>
      <c r="EN154" s="508">
        <f>EM62</f>
      </c>
      <c r="EO154" s="508">
        <f>EN62</f>
      </c>
      <c r="EP154" s="509">
        <f>EL154</f>
      </c>
      <c r="EQ154" s="508">
        <f>EO62</f>
      </c>
      <c r="ER154" s="508">
        <f>EQ62</f>
      </c>
      <c r="ES154" s="508">
        <f>ER62</f>
      </c>
      <c r="ET154" s="508">
        <f>ES62</f>
      </c>
      <c r="EU154" s="509">
        <f>EQ154</f>
      </c>
      <c r="EV154" s="508">
        <f>ET62</f>
      </c>
      <c r="EW154" s="508">
        <f>EV62</f>
      </c>
      <c r="EX154" s="508">
        <f>EW62</f>
      </c>
      <c r="EY154" s="508">
        <f>EX62</f>
      </c>
      <c r="EZ154" s="509">
        <f>EV154</f>
      </c>
      <c r="FA154" s="509"/>
      <c r="FL154" s="111"/>
      <c r="FM154" s="111"/>
    </row>
    <row r="155" spans="1:169">
      <c r="A155" s="106" t="s">
        <v>450</v>
      </c>
      <c r="B155" s="506"/>
      <c r="C155" s="506"/>
      <c r="D155" s="506"/>
      <c r="E155" s="506"/>
      <c r="F155" s="506"/>
      <c r="G155" s="506"/>
      <c r="H155" s="506"/>
      <c r="I155" s="506"/>
      <c r="J155" s="506"/>
      <c r="K155" s="474"/>
      <c r="L155" s="508">
        <f t="shared" ref="L155:AA155" si="177">M154</f>
      </c>
      <c r="M155" s="508">
        <f t="shared" si="177"/>
      </c>
      <c r="N155" s="508">
        <f t="shared" si="177"/>
      </c>
      <c r="O155" s="508">
        <f>Q154</f>
      </c>
      <c r="P155" s="509">
        <f>P154+P152</f>
      </c>
      <c r="Q155" s="508">
        <f t="shared" si="177"/>
      </c>
      <c r="R155" s="508">
        <f t="shared" si="177"/>
      </c>
      <c r="S155" s="508">
        <f>T154</f>
      </c>
      <c r="T155" s="508">
        <f>V154</f>
      </c>
      <c r="U155" s="509">
        <f>U154+U152</f>
      </c>
      <c r="V155" s="508">
        <f t="shared" si="177"/>
      </c>
      <c r="W155" s="508">
        <f t="shared" si="177"/>
      </c>
      <c r="X155" s="508">
        <f t="shared" si="177"/>
      </c>
      <c r="Y155" s="508">
        <f>AA154</f>
      </c>
      <c r="Z155" s="509">
        <f>Z154+Z152</f>
      </c>
      <c r="AA155" s="508">
        <f t="shared" si="177"/>
      </c>
      <c r="AB155" s="508">
        <f>AB62</f>
      </c>
      <c r="AC155" s="508">
        <f>AC62</f>
      </c>
      <c r="AD155" s="508">
        <f>AD62</f>
      </c>
      <c r="AE155" s="509">
        <f>AE154+AE152</f>
      </c>
      <c r="AF155" s="508">
        <f>AF62</f>
      </c>
      <c r="AG155" s="508">
        <f>AG62</f>
      </c>
      <c r="AH155" s="508">
        <f>AH62</f>
      </c>
      <c r="AI155" s="508">
        <f>AI62</f>
      </c>
      <c r="AJ155" s="509">
        <f>AJ154+AJ152</f>
      </c>
      <c r="AK155" s="508">
        <f>AK62</f>
      </c>
      <c r="AL155" s="508">
        <f>AL62</f>
      </c>
      <c r="AM155" s="508">
        <f>AM62</f>
      </c>
      <c r="AN155" s="508">
        <f>AN62</f>
      </c>
      <c r="AO155" s="509">
        <f>AO154+AO152</f>
      </c>
      <c r="AP155" s="508">
        <f>AP62</f>
      </c>
      <c r="AQ155" s="508">
        <f>AQ62</f>
      </c>
      <c r="AR155" s="508">
        <f>AR62</f>
      </c>
      <c r="AS155" s="508">
        <f>AS62</f>
      </c>
      <c r="AT155" s="509">
        <f>AT154+AT152</f>
      </c>
      <c r="AU155" s="508">
        <f>AU62</f>
      </c>
      <c r="AV155" s="508">
        <f>AV62</f>
      </c>
      <c r="AW155" s="508">
        <f>AW62</f>
      </c>
      <c r="AX155" s="508">
        <f>AX62</f>
      </c>
      <c r="AY155" s="509">
        <f>AY154+AY152</f>
      </c>
      <c r="AZ155" s="508">
        <f>AZ62</f>
      </c>
      <c r="BA155" s="508">
        <f>BA62</f>
      </c>
      <c r="BB155" s="508">
        <f>BB62</f>
      </c>
      <c r="BC155" s="508">
        <f>BC62</f>
      </c>
      <c r="BD155" s="509">
        <f>BD154+BD152</f>
      </c>
      <c r="BE155" s="508">
        <f>BE62</f>
      </c>
      <c r="BF155" s="508">
        <f>BF62</f>
      </c>
      <c r="BG155" s="508">
        <f>BG62</f>
      </c>
      <c r="BH155" s="508">
        <f>BH62</f>
      </c>
      <c r="BI155" s="509">
        <f>BI154+BI152</f>
      </c>
      <c r="BJ155" s="508">
        <f>BJ62</f>
      </c>
      <c r="BK155" s="508">
        <f>BK62</f>
      </c>
      <c r="BL155" s="508">
        <f>BL62</f>
      </c>
      <c r="BM155" s="508">
        <f>BM62</f>
      </c>
      <c r="BN155" s="509">
        <f>BN154+BN152</f>
      </c>
      <c r="BO155" s="508">
        <f>BO62</f>
      </c>
      <c r="BP155" s="508">
        <f>BP62</f>
      </c>
      <c r="BQ155" s="508">
        <f>BQ62</f>
      </c>
      <c r="BR155" s="508">
        <f>BR62</f>
      </c>
      <c r="BS155" s="509">
        <f>BS154+BS152</f>
      </c>
      <c r="BT155" s="508">
        <f>BT62</f>
      </c>
      <c r="BU155" s="508">
        <f>BU62</f>
      </c>
      <c r="BV155" s="508">
        <f>BV62</f>
      </c>
      <c r="BW155" s="508">
        <f>BW62</f>
      </c>
      <c r="BX155" s="509">
        <f>BX154+BX152</f>
      </c>
      <c r="BY155" s="508">
        <f>BY62</f>
      </c>
      <c r="BZ155" s="508">
        <f>BZ62</f>
      </c>
      <c r="CA155" s="508">
        <f>CA62</f>
      </c>
      <c r="CB155" s="508">
        <f>CB62</f>
      </c>
      <c r="CC155" s="509">
        <f>SUM(BY155:CB155)</f>
      </c>
      <c r="CD155" s="508">
        <f>CD62</f>
      </c>
      <c r="CE155" s="508">
        <f>CE62</f>
      </c>
      <c r="CF155" s="508">
        <f>CF62</f>
      </c>
      <c r="CG155" s="508">
        <f>CG62</f>
      </c>
      <c r="CH155" s="509">
        <f>CH154+CH152</f>
      </c>
      <c r="CI155" s="508">
        <f>CI62</f>
      </c>
      <c r="CJ155" s="508">
        <f>CJ62</f>
      </c>
      <c r="CK155" s="508">
        <f>CK62</f>
      </c>
      <c r="CL155" s="508">
        <f>CL62</f>
      </c>
      <c r="CM155" s="509">
        <f>CM154+CM152</f>
      </c>
      <c r="CN155" s="508">
        <f>CN62</f>
      </c>
      <c r="CO155" s="508">
        <f>CO62</f>
      </c>
      <c r="CP155" s="508">
        <f>CP62</f>
      </c>
      <c r="CQ155" s="508">
        <f>CQ62</f>
      </c>
      <c r="CR155" s="509">
        <f>CR154+CR152</f>
      </c>
      <c r="CS155" s="508">
        <f>CS62</f>
      </c>
      <c r="CT155" s="508">
        <f>CT62</f>
      </c>
      <c r="CU155" s="508">
        <f>CU62</f>
      </c>
      <c r="CV155" s="508">
        <f>CV62</f>
      </c>
      <c r="CW155" s="509">
        <f>CW154+CW152</f>
      </c>
      <c r="CX155" s="508">
        <f>CX62</f>
      </c>
      <c r="CY155" s="508">
        <f>CY62</f>
      </c>
      <c r="CZ155" s="508">
        <f>CZ62</f>
      </c>
      <c r="DA155" s="508">
        <f>DA62</f>
      </c>
      <c r="DB155" s="509">
        <f>DB154+DB152</f>
      </c>
      <c r="DC155" s="508">
        <f>DC62</f>
      </c>
      <c r="DD155" s="508">
        <f>DD62</f>
      </c>
      <c r="DE155" s="508">
        <f>DE62</f>
      </c>
      <c r="DF155" s="508">
        <f>DF62</f>
      </c>
      <c r="DG155" s="509">
        <f>DG154+DG152</f>
      </c>
      <c r="DH155" s="508">
        <f>DH62</f>
      </c>
      <c r="DI155" s="508">
        <f>DI62</f>
      </c>
      <c r="DJ155" s="508">
        <f>DJ62</f>
      </c>
      <c r="DK155" s="508">
        <f>DK62</f>
      </c>
      <c r="DL155" s="509">
        <f>DL154+DL152</f>
      </c>
      <c r="DM155" s="508">
        <f>DM62</f>
      </c>
      <c r="DN155" s="508">
        <f>DN62</f>
      </c>
      <c r="DO155" s="508">
        <f>DO62</f>
      </c>
      <c r="DP155" s="508">
        <f>DP62</f>
      </c>
      <c r="DQ155" s="509">
        <f>DQ154+DQ152</f>
      </c>
      <c r="DR155" s="508">
        <f>DR62</f>
      </c>
      <c r="DS155" s="508">
        <f>DS62</f>
      </c>
      <c r="DT155" s="508">
        <f>DT62</f>
      </c>
      <c r="DU155" s="508">
        <f>DU62</f>
      </c>
      <c r="DV155" s="509">
        <f>DV154+DV152</f>
      </c>
      <c r="DW155" s="508">
        <f>DW62</f>
      </c>
      <c r="DX155" s="508">
        <f>DX62</f>
      </c>
      <c r="DY155" s="508">
        <f>DY62</f>
      </c>
      <c r="DZ155" s="508">
        <f>DZ62</f>
      </c>
      <c r="EA155" s="509">
        <f>EA154+EA152</f>
      </c>
      <c r="EB155" s="508">
        <f>EB62</f>
      </c>
      <c r="EC155" s="508">
        <f>EC62</f>
      </c>
      <c r="ED155" s="508">
        <f>ED62</f>
      </c>
      <c r="EE155" s="508">
        <f>EE62</f>
      </c>
      <c r="EF155" s="509">
        <f>EF154+EF152</f>
      </c>
      <c r="EG155" s="508">
        <f>EG62</f>
      </c>
      <c r="EH155" s="508">
        <f>EH62</f>
      </c>
      <c r="EI155" s="508">
        <f>EI62</f>
      </c>
      <c r="EJ155" s="508">
        <f>+EJ152+EJ154</f>
      </c>
      <c r="EK155" s="509">
        <f>EK154+EK152</f>
      </c>
      <c r="EL155" s="508">
        <f>EL62</f>
      </c>
      <c r="EM155" s="508">
        <f>EM62</f>
      </c>
      <c r="EN155" s="508">
        <f>EN62</f>
      </c>
      <c r="EO155" s="508">
        <f>EO62</f>
      </c>
      <c r="EP155" s="509">
        <f>EP154+EP152</f>
      </c>
      <c r="EQ155" s="508">
        <f>EQ62</f>
      </c>
      <c r="ER155" s="508">
        <f>ER62</f>
      </c>
      <c r="ES155" s="508">
        <f>ES62</f>
      </c>
      <c r="ET155" s="508">
        <f>ET62</f>
      </c>
      <c r="EU155" s="509">
        <f>EU154+EU152</f>
      </c>
      <c r="EV155" s="508">
        <f>EV62</f>
      </c>
      <c r="EW155" s="508">
        <f>EW62</f>
      </c>
      <c r="EX155" s="508">
        <f>EX62</f>
      </c>
      <c r="EY155" s="508">
        <f>EY62</f>
      </c>
      <c r="EZ155" s="509">
        <f>EZ154+EZ152</f>
      </c>
      <c r="FA155" s="509"/>
      <c r="FL155" s="111"/>
      <c r="FM155" s="111"/>
    </row>
    <row r="156" spans="1:169">
      <c r="K156" s="86"/>
      <c r="P156" s="86"/>
      <c r="U156" s="86"/>
      <c r="V156" s="504"/>
      <c r="Z156" s="86"/>
      <c r="AD156" s="84"/>
      <c r="AE156" s="86"/>
      <c r="AF156" s="84"/>
      <c r="AG156" s="84"/>
      <c r="AH156" s="84"/>
      <c r="AI156" s="84"/>
      <c r="AJ156" s="86"/>
      <c r="AK156" s="84"/>
      <c r="AL156" s="84"/>
      <c r="AO156" s="86"/>
      <c r="AT156" s="86"/>
      <c r="AY156" s="86"/>
      <c r="BC156" s="516"/>
      <c r="BD156" s="86"/>
      <c r="BI156" s="86"/>
      <c r="BJ156" s="455"/>
      <c r="BK156" s="455"/>
      <c r="BN156" s="86"/>
      <c r="BO156" s="134"/>
      <c r="BP156" s="134"/>
      <c r="BQ156" s="134"/>
      <c r="BR156" s="134"/>
      <c r="BS156" s="86"/>
      <c r="BT156" s="86"/>
      <c r="BU156" s="86"/>
      <c r="BV156" s="86"/>
      <c r="BX156" s="86"/>
      <c r="BY156" s="88"/>
      <c r="BZ156" s="88"/>
      <c r="CD156" s="86"/>
      <c r="CE156" s="86"/>
      <c r="CF156" s="86"/>
      <c r="CG156" s="86"/>
      <c r="CH156" s="86"/>
      <c r="CM156" s="86"/>
      <c r="CR156" s="86"/>
      <c r="CW156" s="86"/>
      <c r="DB156" s="121"/>
      <c r="DG156" s="86"/>
      <c r="DL156" s="86"/>
      <c r="DQ156" s="86"/>
      <c r="DV156" s="86"/>
      <c r="DX156" s="507"/>
      <c r="DY156" s="507"/>
      <c r="DZ156" s="507"/>
      <c r="EA156" s="86"/>
      <c r="EF156" s="86"/>
      <c r="EK156" s="86"/>
      <c r="EP156" s="86"/>
      <c r="EU156" s="86"/>
      <c r="EZ156" s="86"/>
      <c r="FA156" s="86"/>
      <c r="FL156" s="111"/>
      <c r="FM156" s="111"/>
    </row>
    <row r="157" spans="1:169">
      <c r="K157" s="86"/>
      <c r="P157" s="86"/>
      <c r="U157" s="86"/>
      <c r="Z157" s="86"/>
      <c r="AD157" s="84"/>
      <c r="AE157" s="86"/>
      <c r="AF157" s="84"/>
      <c r="AG157" s="84"/>
      <c r="AH157" s="84"/>
      <c r="AJ157" s="86"/>
      <c r="AO157" s="86"/>
      <c r="AT157" s="86"/>
      <c r="AY157" s="86"/>
      <c r="BC157" s="517"/>
      <c r="BD157" s="86"/>
      <c r="BI157" s="86"/>
      <c r="BN157" s="86"/>
      <c r="BP157" s="134"/>
      <c r="BQ157" s="134"/>
      <c r="BS157" s="86"/>
      <c r="BT157" s="86"/>
      <c r="BU157" s="86"/>
      <c r="BV157" s="86"/>
      <c r="BX157" s="86"/>
      <c r="CD157" s="86"/>
      <c r="CE157" s="86"/>
      <c r="CF157" s="86"/>
      <c r="CG157" s="86"/>
      <c r="CH157" s="86"/>
      <c r="CM157" s="86"/>
      <c r="CR157" s="86"/>
      <c r="CW157" s="86"/>
      <c r="DB157" s="86"/>
      <c r="DG157" s="86"/>
      <c r="DL157" s="86"/>
      <c r="DQ157" s="86"/>
      <c r="DV157" s="86"/>
      <c r="EA157" s="86"/>
      <c r="EF157" s="86"/>
      <c r="EK157" s="86"/>
      <c r="EP157" s="86"/>
      <c r="EU157" s="86"/>
      <c r="EZ157" s="86"/>
      <c r="FA157" s="86"/>
      <c r="FL157" s="111"/>
      <c r="FM157" s="111"/>
    </row>
    <row r="158" spans="1:169">
      <c r="A158" s="83" t="s">
        <v>217</v>
      </c>
      <c r="B158" s="95"/>
      <c r="C158" s="95"/>
      <c r="D158" s="95"/>
      <c r="E158" s="95"/>
      <c r="F158" s="95"/>
      <c r="G158" s="95"/>
      <c r="H158" s="95"/>
      <c r="I158" s="95"/>
      <c r="J158" s="95"/>
      <c r="K158" s="518"/>
      <c r="L158" s="519">
        <f>+SUM(L131:L134)</f>
      </c>
      <c r="M158" s="519">
        <f>+SUM(M131:M134)</f>
      </c>
      <c r="N158" s="519">
        <f>+SUM(N131:N134)</f>
      </c>
      <c r="O158" s="519">
        <f>+SUM(O131:O134)</f>
      </c>
      <c r="P158" s="519">
        <f>SUM(L158:O158)</f>
      </c>
      <c r="Q158" s="519">
        <f>+SUM(Q131:Q134)</f>
      </c>
      <c r="R158" s="519">
        <f>+SUM(R131:R134)</f>
      </c>
      <c r="S158" s="519">
        <f>+SUM(S131:S134)</f>
      </c>
      <c r="T158" s="519">
        <f>+SUM(T131:T134)</f>
      </c>
      <c r="U158" s="519">
        <f>SUM(Q158:T158)</f>
      </c>
      <c r="V158" s="519">
        <f>+SUM(V131:V134)</f>
      </c>
      <c r="W158" s="519">
        <f>+SUM(W131:W134)</f>
      </c>
      <c r="X158" s="519">
        <f>+SUM(X131:X134)</f>
      </c>
      <c r="Y158" s="519">
        <f>+SUM(Y131:Y134)</f>
      </c>
      <c r="Z158" s="519">
        <f>SUM(V158:Y158)</f>
      </c>
      <c r="AA158" s="519">
        <f>+SUM(AA131:AA134)</f>
      </c>
      <c r="AB158" s="519">
        <f>+SUM(AB131:AB134)</f>
      </c>
      <c r="AC158" s="519">
        <f>+SUM(AC131:AC134)</f>
      </c>
      <c r="AD158" s="519">
        <f>+SUM(AD131:AD134)</f>
      </c>
      <c r="AE158" s="519">
        <f>SUM(AA158:AD158)</f>
      </c>
      <c r="AF158" s="519">
        <f>+SUM(AF131:AF134)</f>
      </c>
      <c r="AG158" s="519">
        <f>+SUM(AG131:AG134)</f>
      </c>
      <c r="AH158" s="519">
        <f>+SUM(AH131:AH134)</f>
      </c>
      <c r="AI158" s="519">
        <f>+SUM(AI131:AI134)</f>
      </c>
      <c r="AJ158" s="519">
        <f>SUM(AF158:AI158)</f>
      </c>
      <c r="AK158" s="519">
        <f>+SUM(AK131:AK134)</f>
      </c>
      <c r="AL158" s="519">
        <f>+SUM(AL131:AL134)</f>
      </c>
      <c r="AM158" s="519">
        <f>+SUM(AM131:AM134)</f>
      </c>
      <c r="AN158" s="519">
        <f>+SUM(AN131:AN134)</f>
      </c>
      <c r="AO158" s="519">
        <f>SUM(AK158:AN158)</f>
      </c>
      <c r="AP158" s="519">
        <f>+SUM(AP131:AP134)</f>
      </c>
      <c r="AQ158" s="519">
        <f>+SUM(AQ131:AQ134)</f>
      </c>
      <c r="AR158" s="519">
        <f>+SUM(AR131:AR134)</f>
      </c>
      <c r="AS158" s="519">
        <f>+SUM(AS131:AS134)</f>
      </c>
      <c r="AT158" s="519">
        <f>SUM(AP158:AS158)</f>
      </c>
      <c r="AU158" s="519">
        <f>+SUM(AU131:AU134)</f>
      </c>
      <c r="AV158" s="519">
        <f>+SUM(AV131:AV134)</f>
      </c>
      <c r="AW158" s="519">
        <f>+SUM(AW131:AW134)</f>
      </c>
      <c r="AX158" s="519">
        <f>+SUM(AX131:AX134)</f>
      </c>
      <c r="AY158" s="519">
        <f>SUM(AU158:AX158)</f>
      </c>
      <c r="AZ158" s="519">
        <f>+SUM(AZ131:AZ134)</f>
      </c>
      <c r="BA158" s="519">
        <f>+SUM(BA131:BA134)</f>
      </c>
      <c r="BB158" s="519">
        <f>+SUM(BB131:BB134)</f>
      </c>
      <c r="BC158" s="519">
        <f>+SUM(BC131:BC134)</f>
      </c>
      <c r="BD158" s="519">
        <f>SUM(AZ158:BC158)</f>
      </c>
      <c r="BE158" s="519">
        <f>+SUM(BE131:BE134)</f>
      </c>
      <c r="BF158" s="519">
        <f>+SUM(BF131:BF134)</f>
      </c>
      <c r="BG158" s="519">
        <f>+SUM(BG131:BG134)</f>
      </c>
      <c r="BH158" s="519">
        <f>+SUM(BH131:BH134)</f>
      </c>
      <c r="BI158" s="519">
        <f>SUM(BE158:BH158)</f>
      </c>
      <c r="BJ158" s="519">
        <f>+SUM(BJ131:BJ134)</f>
      </c>
      <c r="BK158" s="519">
        <f>+SUM(BK131:BK134)</f>
      </c>
      <c r="BL158" s="519">
        <f>+SUM(BL131:BL134)</f>
      </c>
      <c r="BM158" s="519">
        <f>+SUM(BM131:BM134)</f>
      </c>
      <c r="BN158" s="519">
        <f>SUM(BJ158:BM158)</f>
      </c>
      <c r="BO158" s="519">
        <f>+SUM(BO131:BO134)</f>
      </c>
      <c r="BP158" s="519">
        <f>+SUM(BP131:BP134)</f>
      </c>
      <c r="BQ158" s="519">
        <f>+SUM(BQ131:BQ134)</f>
      </c>
      <c r="BR158" s="519">
        <f>+SUM(BR131:BR134)</f>
      </c>
      <c r="BS158" s="519">
        <f>SUM(BO158:BR158)</f>
      </c>
      <c r="BT158" s="519">
        <f>+SUM(BT131:BT134)</f>
      </c>
      <c r="BU158" s="519">
        <f>+SUM(BU131:BU134)</f>
      </c>
      <c r="BV158" s="519">
        <f>+SUM(BV131:BV134)</f>
      </c>
      <c r="BW158" s="519">
        <f>+SUM(BW131:BW134)</f>
      </c>
      <c r="BX158" s="519">
        <f>SUM(BT158:BW158)</f>
      </c>
      <c r="BY158" s="519">
        <f>+SUM(BY131:BY134)</f>
      </c>
      <c r="BZ158" s="519">
        <f>+SUM(BZ131:BZ134)</f>
      </c>
      <c r="CA158" s="519">
        <f>+SUM(CA131:CA134)</f>
      </c>
      <c r="CB158" s="519">
        <f>+SUM(CB131:CB134)</f>
      </c>
      <c r="CC158" s="509">
        <f>SUM(BY158:CB158)</f>
      </c>
      <c r="CD158" s="519">
        <f>+SUM(CD131:CD134)</f>
      </c>
      <c r="CE158" s="519">
        <f>+SUM(CE131:CE134)</f>
      </c>
      <c r="CF158" s="519">
        <f>+SUM(CF131:CF134)</f>
      </c>
      <c r="CG158" s="519">
        <f>+SUM(CG131:CG134)</f>
      </c>
      <c r="CH158" s="519">
        <f>SUM(CD158:CG158)</f>
      </c>
      <c r="CI158" s="519">
        <f>+SUM(CI131:CI134)</f>
      </c>
      <c r="CJ158" s="519">
        <f>+SUM(CJ131:CJ134)</f>
      </c>
      <c r="CK158" s="519">
        <f>+SUM(CK131:CK134)</f>
      </c>
      <c r="CL158" s="519">
        <f>+SUM(CL131:CL134)</f>
      </c>
      <c r="CM158" s="519">
        <f>SUM(CI158:CL158)</f>
      </c>
      <c r="CN158" s="507">
        <f>+SUM(CN131:CN134)</f>
      </c>
      <c r="CO158" s="507">
        <f>+SUM(CO131:CO134)</f>
      </c>
      <c r="CP158" s="507">
        <f>+SUM(CP131:CP134)</f>
      </c>
      <c r="CQ158" s="507">
        <f>+SUM(CQ131:CQ134)</f>
      </c>
      <c r="CR158" s="519">
        <f>SUM(CN158:CQ158)</f>
      </c>
      <c r="CS158" s="507">
        <f>+SUM(CS131:CS134)</f>
      </c>
      <c r="CT158" s="507">
        <f>+SUM(CT131:CT134)</f>
      </c>
      <c r="CU158" s="507">
        <f>+SUM(CU131:CU134)</f>
      </c>
      <c r="CV158" s="507">
        <f>+SUM(CV131:CV134)</f>
      </c>
      <c r="CW158" s="519">
        <f>SUM(CS158:CV158)</f>
      </c>
      <c r="CX158" s="507">
        <f>+SUM(CX131:CX134)</f>
      </c>
      <c r="CY158" s="507">
        <f>+SUM(CY131:CY134)</f>
      </c>
      <c r="CZ158" s="507">
        <f>+SUM(CZ131:CZ134)</f>
      </c>
      <c r="DA158" s="507">
        <f>+SUM(DA131:DA134)</f>
      </c>
      <c r="DB158" s="519">
        <f>SUM(CX158:DA158)</f>
      </c>
      <c r="DC158" s="507">
        <f>+SUM(DC131:DC134)</f>
      </c>
      <c r="DD158" s="507">
        <f>+SUM(DD131:DD134)</f>
      </c>
      <c r="DE158" s="507">
        <f>+SUM(DE131:DE134)</f>
      </c>
      <c r="DF158" s="507">
        <f>+DF131+DF134</f>
      </c>
      <c r="DG158" s="519">
        <f>SUM(DC158:DF158)</f>
      </c>
      <c r="DH158" s="507">
        <f>+DH131+DH134</f>
      </c>
      <c r="DI158" s="507">
        <f>+DI131+DI134</f>
      </c>
      <c r="DJ158" s="507">
        <f>+DJ131+DJ134</f>
      </c>
      <c r="DK158" s="507">
        <f>+DK131+DK134</f>
      </c>
      <c r="DL158" s="519">
        <f>SUM(DH158:DK158)</f>
      </c>
      <c r="DM158" s="507">
        <f>+DM131+DM134</f>
      </c>
      <c r="DN158" s="507">
        <f>+DN131+DN134</f>
      </c>
      <c r="DO158" s="507">
        <f>+DO131+DO134</f>
      </c>
      <c r="DP158" s="507">
        <f>+DP131+DP134</f>
      </c>
      <c r="DQ158" s="519">
        <f>SUM(DM158:DP158)</f>
      </c>
      <c r="DR158" s="507">
        <f>+DR131+DR134</f>
      </c>
      <c r="DS158" s="507">
        <f>+DS131+DS134</f>
      </c>
      <c r="DT158" s="507">
        <f>+DT131+DT134</f>
      </c>
      <c r="DU158" s="507">
        <f>+DU131+DU134</f>
      </c>
      <c r="DV158" s="519">
        <f>SUM(DR158:DU158)</f>
      </c>
      <c r="DW158" s="507">
        <f>+DW131+DW134</f>
      </c>
      <c r="DX158" s="507">
        <f>+DX131+DX134</f>
      </c>
      <c r="DY158" s="507">
        <f>+DY131+DY134</f>
      </c>
      <c r="DZ158" s="507">
        <f>+DZ131+DZ134</f>
      </c>
      <c r="EA158" s="519">
        <f>SUM(DW158:DZ158)</f>
      </c>
      <c r="EB158" s="507">
        <f>+EB131+EB134</f>
      </c>
      <c r="EC158" s="507">
        <f>+EC131+EC134</f>
      </c>
      <c r="ED158" s="507">
        <f>+ED131+ED134</f>
      </c>
      <c r="EE158" s="507">
        <f>+EE131+EE134</f>
      </c>
      <c r="EF158" s="519">
        <f>SUM(EB158:EE158)</f>
      </c>
      <c r="EG158" s="507">
        <f>+EG131+EG134</f>
      </c>
      <c r="EH158" s="507">
        <f>+EH131+EH134</f>
      </c>
      <c r="EI158" s="507">
        <f>+EI131+EI134</f>
      </c>
      <c r="EJ158" s="507">
        <f>+EJ131+EJ134</f>
      </c>
      <c r="EK158" s="519">
        <f>SUM(EG158:EJ158)</f>
      </c>
      <c r="EL158" s="507">
        <f>+EL131+EL134</f>
      </c>
      <c r="EM158" s="507">
        <f>+EM131+EM134</f>
      </c>
      <c r="EN158" s="507">
        <f>+EN131+EN134</f>
      </c>
      <c r="EO158" s="507">
        <f>+EO131+EO134</f>
      </c>
      <c r="EP158" s="519">
        <f>SUM(EL158:EO158)</f>
      </c>
      <c r="EQ158" s="507">
        <f>+EQ131+EQ134</f>
      </c>
      <c r="ER158" s="507">
        <f>+ER131+ER134</f>
      </c>
      <c r="ES158" s="507">
        <f>+ES131+ES134</f>
      </c>
      <c r="ET158" s="507">
        <f>+ET131+ET134</f>
      </c>
      <c r="EU158" s="519">
        <f>SUM(EQ158:ET158)</f>
      </c>
      <c r="EV158" s="507">
        <f>+EV131+EV134</f>
      </c>
      <c r="EW158" s="507">
        <f>+EW131+EW134</f>
      </c>
      <c r="EX158" s="507">
        <f>+EX131+EX134</f>
      </c>
      <c r="EY158" s="507">
        <f>+EY131+EY134</f>
      </c>
      <c r="EZ158" s="519">
        <f>SUM(EV158:EY158)</f>
      </c>
      <c r="FA158" s="519"/>
      <c r="FB158" s="105"/>
      <c r="FC158" s="105"/>
      <c r="FD158" s="105"/>
      <c r="FE158" s="105"/>
      <c r="FF158" s="105"/>
      <c r="FG158" s="105"/>
      <c r="FH158" s="105"/>
      <c r="FI158" s="105"/>
      <c r="FJ158" s="105"/>
      <c r="FL158" s="111"/>
      <c r="FM158" s="111"/>
    </row>
    <row r="159" spans="1:169">
      <c r="A159" s="106" t="s">
        <v>198</v>
      </c>
      <c r="AD159" s="84"/>
      <c r="AE159" s="84"/>
      <c r="AF159" s="84"/>
      <c r="AG159" s="84"/>
      <c r="AH159" s="84"/>
      <c r="BC159" s="517"/>
      <c r="BD159" s="517"/>
      <c r="BP159" s="134"/>
      <c r="BQ159" s="134"/>
      <c r="BT159" s="86"/>
      <c r="BU159" s="86"/>
      <c r="BV159" s="86"/>
      <c r="BX159" s="446">
        <f>BX158/BS158-1</f>
      </c>
      <c r="CC159" s="446">
        <f>CC158/BX158-1</f>
      </c>
      <c r="CD159" s="86"/>
      <c r="CE159" s="86"/>
      <c r="CF159" s="86"/>
      <c r="CG159" s="86"/>
      <c r="CH159" s="446">
        <f>CH158/CC158-1</f>
      </c>
      <c r="CJ159" s="133"/>
      <c r="CK159" s="133"/>
      <c r="CL159" s="133"/>
      <c r="CM159" s="446">
        <f>CM158/CH158-1</f>
      </c>
      <c r="CN159" s="133"/>
      <c r="CO159" s="133"/>
      <c r="CP159" s="133"/>
      <c r="CQ159" s="133"/>
      <c r="CR159" s="446">
        <f>CR158/CM158-1</f>
      </c>
      <c r="CS159" s="133"/>
      <c r="CT159" s="133"/>
      <c r="CU159" s="133"/>
      <c r="CV159" s="133"/>
      <c r="CW159" s="446">
        <f>CW158/CR158-1</f>
      </c>
      <c r="CX159" s="133"/>
      <c r="CY159" s="133"/>
      <c r="CZ159" s="133"/>
      <c r="DA159" s="133"/>
      <c r="DB159" s="446">
        <f>DB158/CW158-1</f>
      </c>
      <c r="DC159" s="133"/>
      <c r="DD159" s="133"/>
      <c r="DE159" s="133"/>
      <c r="DF159" s="133"/>
      <c r="DG159" s="446">
        <f>DG158/DB158-1</f>
      </c>
      <c r="DH159" s="133"/>
      <c r="DI159" s="133"/>
      <c r="DJ159" s="133"/>
      <c r="DK159" s="133"/>
      <c r="DL159" s="446">
        <f>DL158/DG158-1</f>
      </c>
      <c r="DM159" s="133"/>
      <c r="DN159" s="133"/>
      <c r="DO159" s="133"/>
      <c r="DP159" s="133"/>
      <c r="DQ159" s="446">
        <f>DQ158/DL158-1</f>
      </c>
      <c r="DR159" s="133"/>
      <c r="DS159" s="133"/>
      <c r="DT159" s="133"/>
      <c r="DU159" s="133"/>
      <c r="DV159" s="446">
        <f>DV158/DQ158-1</f>
      </c>
      <c r="DW159" s="133"/>
      <c r="DX159" s="133"/>
      <c r="DY159" s="133"/>
      <c r="DZ159" s="133"/>
      <c r="EA159" s="446">
        <f>EA158/DV158-1</f>
      </c>
      <c r="EB159" s="133"/>
      <c r="EC159" s="133"/>
      <c r="ED159" s="133"/>
      <c r="EE159" s="133"/>
      <c r="EF159" s="446">
        <f>EF158/EA158-1</f>
      </c>
      <c r="EG159" s="133"/>
      <c r="EH159" s="133"/>
      <c r="EI159" s="133"/>
      <c r="EJ159" s="133"/>
      <c r="EK159" s="446">
        <f>EK158/EF158-1</f>
      </c>
      <c r="EL159" s="133"/>
      <c r="EM159" s="133"/>
      <c r="EN159" s="133"/>
      <c r="EO159" s="133"/>
      <c r="EP159" s="446">
        <f>EP158/EK158-1</f>
      </c>
      <c r="EQ159" s="133"/>
      <c r="ER159" s="133"/>
      <c r="ES159" s="133"/>
      <c r="ET159" s="133"/>
      <c r="EU159" s="446">
        <f>EU158/EP158-1</f>
      </c>
      <c r="EV159" s="133"/>
      <c r="EW159" s="133"/>
      <c r="EX159" s="133"/>
      <c r="EY159" s="133"/>
      <c r="EZ159" s="446">
        <f>EZ158/EU158-1</f>
      </c>
      <c r="FA159" s="446"/>
      <c r="FL159" s="111"/>
      <c r="FM159" s="111"/>
    </row>
    <row r="160" spans="1:169">
      <c r="A160" s="106" t="s">
        <v>451</v>
      </c>
      <c r="AD160" s="84"/>
      <c r="AE160" s="84"/>
      <c r="AF160" s="84"/>
      <c r="AG160" s="84"/>
      <c r="AH160" s="84"/>
      <c r="BP160" s="134"/>
      <c r="BQ160" s="134"/>
      <c r="BX160" s="446">
        <f>-(BX144+BX146)/BX158</f>
      </c>
      <c r="CC160" s="446">
        <f>-(CC144+CC146)/CC158</f>
      </c>
      <c r="CD160" s="86"/>
      <c r="CE160" s="86"/>
      <c r="CF160" s="86"/>
      <c r="CG160" s="86"/>
      <c r="CH160" s="446">
        <f>-(CH144+CH146)/CH158</f>
      </c>
      <c r="CM160" s="446">
        <f>-(CM144+CM146)/CM158</f>
      </c>
      <c r="CR160" s="446">
        <f>-(CR144+CR146)/CR158</f>
      </c>
      <c r="CW160" s="446">
        <f>-(CW144+CW146)/CW158</f>
      </c>
      <c r="DB160" s="446">
        <f>-(DB144+DB146)/DB158</f>
      </c>
      <c r="DG160" s="446">
        <f>-(DG144+DG146)/DG158</f>
      </c>
      <c r="DL160" s="446">
        <f>-(DL144+DL146)/DL158</f>
      </c>
      <c r="DQ160" s="446">
        <f>-(DQ144+DQ146)/DQ158</f>
      </c>
      <c r="DV160" s="446">
        <f>-(DV144+DV146)/DV158</f>
      </c>
      <c r="EA160" s="446">
        <f>-(EA144+EA146)/EA158</f>
      </c>
      <c r="EF160" s="446">
        <f>-(EF144+EF146)/EF158</f>
      </c>
      <c r="EK160" s="446">
        <f>-(EK144+EK146)/EK158</f>
      </c>
      <c r="EP160" s="446">
        <f>-(EP144+EP146)/EP158</f>
      </c>
      <c r="EU160" s="446">
        <f>-(EU144+EU146)/EU158</f>
      </c>
      <c r="EZ160" s="446">
        <f>-(EZ144+EZ146)/EZ158</f>
      </c>
      <c r="FA160" s="446"/>
      <c r="FL160" s="111"/>
      <c r="FM160" s="111"/>
    </row>
    <row r="161" spans="1:169">
      <c r="AD161" s="84"/>
      <c r="AE161" s="84"/>
      <c r="AF161" s="84"/>
      <c r="AG161" s="84"/>
      <c r="AH161" s="84"/>
      <c r="BP161" s="134"/>
      <c r="BQ161" s="134"/>
      <c r="CD161" s="86"/>
      <c r="CE161" s="86"/>
      <c r="CF161" s="86"/>
      <c r="CG161" s="86"/>
      <c r="CH161" s="86"/>
      <c r="CR161" s="503"/>
      <c r="CW161" s="503"/>
      <c r="FL161" s="111"/>
      <c r="FM161" s="111"/>
    </row>
    <row r="162" spans="1:169"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137"/>
      <c r="W162" s="137"/>
      <c r="X162" s="137"/>
      <c r="Y162" s="137"/>
      <c r="Z162" s="137"/>
      <c r="AA162" s="137"/>
      <c r="AB162" s="137"/>
      <c r="AC162" s="137"/>
      <c r="AD162" s="137"/>
      <c r="AE162" s="137"/>
      <c r="AF162" s="137"/>
      <c r="AG162" s="137"/>
      <c r="AH162" s="137"/>
      <c r="AI162" s="137"/>
      <c r="AJ162" s="137"/>
      <c r="AK162" s="137"/>
      <c r="AL162" s="137"/>
      <c r="AM162" s="137"/>
      <c r="AN162" s="137"/>
      <c r="AO162" s="137"/>
      <c r="AP162" s="137"/>
      <c r="AQ162" s="137"/>
      <c r="AR162" s="137"/>
      <c r="AS162" s="137"/>
      <c r="AT162" s="137"/>
      <c r="AU162" s="137"/>
      <c r="AV162" s="137"/>
      <c r="AW162" s="137"/>
      <c r="AX162" s="137"/>
      <c r="AY162" s="137"/>
      <c r="AZ162" s="137"/>
      <c r="BA162" s="137"/>
      <c r="BB162" s="137"/>
      <c r="BC162" s="137"/>
      <c r="BD162" s="137"/>
      <c r="BE162" s="137"/>
      <c r="BF162" s="137"/>
      <c r="BG162" s="137"/>
      <c r="BH162" s="137"/>
      <c r="BI162" s="137"/>
      <c r="BJ162" s="137"/>
      <c r="BK162" s="137"/>
      <c r="BL162" s="137"/>
      <c r="BM162" s="137"/>
      <c r="BN162" s="137"/>
      <c r="BO162" s="137"/>
      <c r="BP162" s="137"/>
      <c r="BQ162" s="137"/>
      <c r="BR162" s="137"/>
      <c r="BS162" s="137"/>
      <c r="BT162" s="137"/>
      <c r="BU162" s="137"/>
      <c r="BV162" s="137"/>
      <c r="BW162" s="137"/>
      <c r="BX162" s="137"/>
      <c r="BY162" s="137"/>
      <c r="BZ162" s="137"/>
      <c r="CA162" s="137"/>
      <c r="CB162" s="137"/>
      <c r="CC162" s="137"/>
      <c r="CD162" s="137"/>
      <c r="CE162" s="137"/>
      <c r="CF162" s="137"/>
      <c r="CG162" s="137"/>
      <c r="CH162" s="137"/>
      <c r="CI162" s="137"/>
      <c r="CJ162" s="137"/>
      <c r="CK162" s="137"/>
      <c r="CL162" s="137"/>
      <c r="CM162" s="137"/>
      <c r="CN162" s="137"/>
      <c r="CO162" s="137"/>
      <c r="CP162" s="137"/>
      <c r="CQ162" s="137"/>
      <c r="CR162" s="503"/>
      <c r="CS162" s="137"/>
      <c r="CT162" s="137"/>
      <c r="CU162" s="137"/>
      <c r="CV162" s="137"/>
      <c r="CW162" s="503"/>
      <c r="CX162" s="137"/>
      <c r="CY162" s="137"/>
      <c r="CZ162" s="137"/>
      <c r="DA162" s="137"/>
      <c r="DC162" s="137"/>
      <c r="DD162" s="137"/>
      <c r="DE162" s="137"/>
      <c r="DF162" s="137"/>
      <c r="DH162" s="137"/>
      <c r="DI162" s="137"/>
      <c r="DJ162" s="137"/>
      <c r="DK162" s="137"/>
      <c r="DM162" s="137"/>
      <c r="DN162" s="137"/>
      <c r="DO162" s="137"/>
      <c r="DP162" s="137"/>
      <c r="DR162" s="137"/>
      <c r="DS162" s="137"/>
      <c r="DT162" s="137"/>
      <c r="DU162" s="137"/>
      <c r="DW162" s="137"/>
      <c r="DX162" s="137"/>
      <c r="DY162" s="137"/>
      <c r="DZ162" s="137"/>
      <c r="EB162" s="137"/>
      <c r="EC162" s="137"/>
      <c r="ED162" s="137"/>
      <c r="EE162" s="137"/>
      <c r="EG162" s="137"/>
      <c r="EH162" s="137"/>
      <c r="EI162" s="137"/>
      <c r="EJ162" s="137"/>
      <c r="FL162" s="111"/>
      <c r="FM162" s="111"/>
    </row>
    <row r="163" spans="1:169">
      <c r="A163" s="138"/>
      <c r="B163" s="139"/>
      <c r="C163" s="139"/>
      <c r="D163" s="139"/>
      <c r="E163" s="139"/>
      <c r="F163" s="139"/>
      <c r="G163" s="139"/>
      <c r="H163" s="139"/>
      <c r="I163" s="139"/>
      <c r="J163" s="139"/>
      <c r="K163" s="139"/>
      <c r="L163" s="139"/>
      <c r="M163" s="139"/>
      <c r="N163" s="139"/>
      <c r="O163" s="139"/>
      <c r="P163" s="139"/>
      <c r="Q163" s="139"/>
      <c r="R163" s="139"/>
      <c r="S163" s="139"/>
      <c r="T163" s="139"/>
      <c r="U163" s="139"/>
      <c r="V163" s="140"/>
      <c r="W163" s="140"/>
      <c r="X163" s="140"/>
      <c r="Y163" s="140"/>
      <c r="Z163" s="140"/>
      <c r="AA163" s="140"/>
      <c r="AB163" s="140"/>
      <c r="AC163" s="140"/>
      <c r="AD163" s="140"/>
      <c r="AE163" s="140"/>
      <c r="AF163" s="140"/>
      <c r="AG163" s="140"/>
      <c r="AH163" s="140"/>
      <c r="AI163" s="140"/>
      <c r="AJ163" s="140"/>
      <c r="AK163" s="140"/>
      <c r="AL163" s="140"/>
      <c r="AM163" s="140"/>
      <c r="AN163" s="140"/>
      <c r="AO163" s="140"/>
      <c r="AP163" s="140"/>
      <c r="AQ163" s="140"/>
      <c r="AR163" s="140"/>
      <c r="AS163" s="140"/>
      <c r="AT163" s="140"/>
      <c r="AU163" s="140"/>
      <c r="AV163" s="140"/>
      <c r="AW163" s="140"/>
      <c r="AX163" s="140"/>
      <c r="AY163" s="140"/>
      <c r="AZ163" s="140"/>
      <c r="BA163" s="140"/>
      <c r="BB163" s="140"/>
      <c r="BC163" s="140"/>
      <c r="BD163" s="140"/>
      <c r="BE163" s="140"/>
      <c r="BF163" s="140"/>
      <c r="BG163" s="140"/>
      <c r="BH163" s="140"/>
      <c r="BI163" s="140"/>
      <c r="BJ163" s="140"/>
      <c r="BK163" s="140"/>
      <c r="BL163" s="140"/>
      <c r="BM163" s="140"/>
      <c r="BN163" s="140"/>
      <c r="BO163" s="140"/>
      <c r="BP163" s="140"/>
      <c r="BQ163" s="140"/>
      <c r="BR163" s="140"/>
      <c r="BS163" s="140"/>
      <c r="BT163" s="140"/>
      <c r="BU163" s="140"/>
      <c r="BV163" s="140"/>
      <c r="BW163" s="140"/>
      <c r="BX163" s="140"/>
      <c r="BY163" s="140"/>
      <c r="BZ163" s="140"/>
      <c r="CA163" s="140"/>
      <c r="CB163" s="140"/>
      <c r="CC163" s="140"/>
      <c r="CD163" s="140"/>
      <c r="CE163" s="140"/>
      <c r="CF163" s="140"/>
      <c r="CG163" s="140"/>
      <c r="CH163" s="140"/>
      <c r="CI163" s="140"/>
      <c r="CJ163" s="140"/>
      <c r="CK163" s="140"/>
      <c r="CL163" s="140"/>
      <c r="CM163" s="140"/>
      <c r="CN163" s="140"/>
      <c r="CO163" s="140"/>
      <c r="CP163" s="140"/>
      <c r="CQ163" s="140"/>
      <c r="CR163" s="141"/>
      <c r="CS163" s="140"/>
      <c r="CT163" s="140"/>
      <c r="CU163" s="140"/>
      <c r="CV163" s="140"/>
      <c r="CW163" s="141"/>
      <c r="CX163" s="140"/>
      <c r="CY163" s="140"/>
      <c r="CZ163" s="140"/>
      <c r="DA163" s="140"/>
      <c r="DB163" s="142"/>
      <c r="DC163" s="140"/>
      <c r="DD163" s="140"/>
      <c r="DE163" s="140"/>
      <c r="DF163" s="140"/>
      <c r="DG163" s="139"/>
      <c r="DH163" s="140"/>
      <c r="DI163" s="140"/>
      <c r="DJ163" s="140"/>
      <c r="DK163" s="140"/>
      <c r="DL163" s="139"/>
      <c r="DM163" s="140"/>
      <c r="DN163" s="140"/>
      <c r="DO163" s="140"/>
      <c r="DP163" s="140"/>
      <c r="DQ163" s="139"/>
      <c r="DR163" s="140"/>
      <c r="DS163" s="140"/>
      <c r="DT163" s="140"/>
      <c r="DU163" s="140"/>
      <c r="DV163" s="139"/>
      <c r="DW163" s="140"/>
      <c r="DX163" s="140"/>
      <c r="DY163" s="140"/>
      <c r="DZ163" s="140"/>
      <c r="EA163" s="139"/>
      <c r="EB163" s="140"/>
      <c r="EC163" s="140"/>
      <c r="ED163" s="140"/>
      <c r="EE163" s="140"/>
      <c r="EF163" s="139"/>
      <c r="EG163" s="140"/>
      <c r="EH163" s="140"/>
      <c r="EI163" s="140"/>
      <c r="EJ163" s="140"/>
      <c r="EK163" s="139"/>
      <c r="EL163" s="139"/>
      <c r="EM163" s="139"/>
      <c r="EN163" s="139"/>
      <c r="EO163" s="139"/>
      <c r="EP163" s="139"/>
      <c r="EQ163" s="139"/>
      <c r="ER163" s="139"/>
      <c r="ES163" s="139"/>
      <c r="ET163" s="139"/>
      <c r="EU163" s="139"/>
      <c r="EV163" s="139"/>
      <c r="EW163" s="139"/>
      <c r="EX163" s="139"/>
      <c r="EY163" s="139"/>
      <c r="EZ163" s="139"/>
      <c r="FL163" s="111"/>
      <c r="FM163" s="111"/>
    </row>
    <row r="164" spans="1:169" outlineLevel="1">
      <c r="A164" s="98" t="s">
        <v>452</v>
      </c>
      <c r="B164" s="91"/>
      <c r="C164" s="91"/>
      <c r="D164" s="91"/>
      <c r="E164" s="91"/>
      <c r="F164" s="91"/>
      <c r="G164" s="91"/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  <c r="AA164" s="91"/>
      <c r="AB164" s="91"/>
      <c r="AC164" s="91"/>
      <c r="AD164" s="91"/>
      <c r="AE164" s="91"/>
      <c r="AF164" s="91"/>
      <c r="AG164" s="91"/>
      <c r="AH164" s="91"/>
      <c r="AI164" s="91"/>
      <c r="AJ164" s="91"/>
      <c r="AK164" s="91"/>
      <c r="AL164" s="91"/>
      <c r="AM164" s="91"/>
      <c r="AN164" s="91"/>
      <c r="AO164" s="91"/>
      <c r="AP164" s="91"/>
      <c r="AQ164" s="143"/>
      <c r="AR164" s="144"/>
      <c r="AS164" s="145"/>
      <c r="AT164" s="145"/>
      <c r="AU164" s="146"/>
      <c r="AV164" s="146"/>
      <c r="AW164" s="146"/>
      <c r="AX164" s="147"/>
      <c r="AY164" s="146"/>
      <c r="AZ164" s="146"/>
      <c r="BA164" s="146"/>
      <c r="BB164" s="146"/>
      <c r="BC164" s="146"/>
      <c r="BD164" s="146"/>
      <c r="BE164" s="146"/>
      <c r="BF164" s="146"/>
      <c r="BG164" s="146"/>
      <c r="BH164" s="101"/>
      <c r="BI164" s="101"/>
      <c r="BJ164" s="146"/>
      <c r="BK164" s="146"/>
      <c r="BL164" s="146"/>
      <c r="BM164" s="146"/>
      <c r="BN164" s="146"/>
      <c r="BO164" s="146"/>
      <c r="BP164" s="146"/>
      <c r="BQ164" s="148"/>
      <c r="BR164" s="149"/>
      <c r="BS164" s="149"/>
      <c r="BT164" s="149"/>
      <c r="BU164" s="149"/>
      <c r="BV164" s="149"/>
      <c r="BW164" s="149"/>
      <c r="BX164" s="149"/>
      <c r="BY164" s="149"/>
      <c r="BZ164" s="149"/>
      <c r="CA164" s="149"/>
      <c r="CB164" s="149"/>
      <c r="CC164" s="149"/>
      <c r="CD164" s="150"/>
      <c r="CE164" s="150"/>
      <c r="CF164" s="151"/>
      <c r="CG164" s="146"/>
      <c r="CH164" s="146"/>
      <c r="CI164" s="152"/>
      <c r="CJ164" s="151"/>
      <c r="CK164" s="151"/>
      <c r="CL164" s="151"/>
      <c r="CM164" s="151"/>
      <c r="CN164" s="146"/>
      <c r="CO164" s="146"/>
      <c r="CP164" s="146"/>
      <c r="CQ164" s="146"/>
      <c r="CR164" s="146"/>
      <c r="CS164" s="146"/>
      <c r="CT164" s="146"/>
      <c r="CU164" s="146"/>
      <c r="CV164" s="146"/>
      <c r="CW164" s="146"/>
      <c r="CX164" s="146"/>
      <c r="CY164" s="146"/>
      <c r="CZ164" s="146"/>
      <c r="DA164" s="146"/>
      <c r="DB164" s="91"/>
      <c r="DC164" s="101"/>
      <c r="DD164" s="101"/>
      <c r="DE164" s="101"/>
      <c r="DF164" s="101"/>
      <c r="DG164" s="101"/>
      <c r="DH164" s="101"/>
      <c r="DI164" s="101"/>
      <c r="DJ164" s="101"/>
      <c r="DK164" s="101"/>
      <c r="DL164" s="101"/>
      <c r="DM164" s="101"/>
      <c r="DN164" s="101"/>
      <c r="DO164" s="101"/>
      <c r="DP164" s="101"/>
      <c r="DQ164" s="101"/>
      <c r="DR164" s="101"/>
      <c r="DS164" s="101"/>
      <c r="DT164" s="101"/>
      <c r="DU164" s="101"/>
      <c r="DV164" s="101"/>
      <c r="DW164" s="101"/>
      <c r="DX164" s="101"/>
      <c r="DY164" s="101"/>
      <c r="DZ164" s="101"/>
      <c r="EA164" s="101"/>
      <c r="EB164" s="101"/>
      <c r="EC164" s="101"/>
      <c r="ED164" s="101"/>
      <c r="EE164" s="101"/>
      <c r="EF164" s="101"/>
      <c r="EG164" s="101"/>
      <c r="EH164" s="101"/>
      <c r="EI164" s="101"/>
      <c r="EJ164" s="101"/>
      <c r="EK164" s="101"/>
      <c r="EL164" s="101"/>
      <c r="EM164" s="101"/>
      <c r="EN164" s="101"/>
      <c r="EO164" s="101"/>
      <c r="EP164" s="101"/>
      <c r="EQ164" s="101"/>
      <c r="ER164" s="101"/>
      <c r="ES164" s="101"/>
      <c r="ET164" s="101"/>
      <c r="EU164" s="101"/>
      <c r="EV164" s="101"/>
      <c r="EW164" s="101"/>
      <c r="EX164" s="101"/>
      <c r="EY164" s="101"/>
      <c r="EZ164" s="101"/>
      <c r="FA164" s="102"/>
      <c r="FB164" s="102"/>
      <c r="FC164" s="102"/>
      <c r="FD164" s="102"/>
      <c r="FE164" s="102"/>
      <c r="FF164" s="102"/>
      <c r="FG164" s="102"/>
      <c r="FH164" s="102"/>
      <c r="FI164" s="102"/>
      <c r="FJ164" s="102"/>
      <c r="FL164" s="111"/>
      <c r="FM164" s="111"/>
    </row>
    <row r="165" spans="1:169" outlineLevel="1">
      <c r="A165" s="83" t="s">
        <v>453</v>
      </c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133"/>
      <c r="W165" s="133"/>
      <c r="X165" s="133"/>
      <c r="Y165" s="133"/>
      <c r="Z165" s="133"/>
      <c r="AA165" s="133"/>
      <c r="AB165" s="133"/>
      <c r="AC165" s="133"/>
      <c r="AD165" s="133"/>
      <c r="AE165" s="133"/>
      <c r="AF165" s="133"/>
      <c r="AG165" s="133"/>
      <c r="AH165" s="133"/>
      <c r="AI165" s="133"/>
      <c r="AJ165" s="133"/>
      <c r="AK165" s="133"/>
      <c r="AL165" s="133"/>
      <c r="AM165" s="133"/>
      <c r="AN165" s="133"/>
      <c r="AO165" s="133"/>
      <c r="AP165" s="133"/>
      <c r="AQ165" s="133"/>
      <c r="AR165" s="133"/>
      <c r="AS165" s="133"/>
      <c r="AT165" s="133"/>
      <c r="AU165" s="133"/>
      <c r="AV165" s="133"/>
      <c r="AW165" s="133"/>
      <c r="AX165" s="133"/>
      <c r="AY165" s="133"/>
      <c r="AZ165" s="133"/>
      <c r="BA165" s="133"/>
      <c r="BB165" s="133"/>
      <c r="BC165" s="133"/>
      <c r="BD165" s="133"/>
      <c r="BE165" s="181"/>
      <c r="BF165" s="153"/>
      <c r="BG165" s="133"/>
      <c r="BH165" s="133"/>
      <c r="BI165" s="133"/>
      <c r="BJ165" s="109"/>
      <c r="BK165" s="507"/>
      <c r="BL165" s="133"/>
      <c r="BM165" s="109"/>
      <c r="BN165" s="109"/>
      <c r="BO165" s="109"/>
      <c r="BP165" s="88"/>
      <c r="BQ165" s="133"/>
      <c r="BR165" s="109"/>
      <c r="BS165" s="109"/>
      <c r="BT165" s="601"/>
      <c r="BU165" s="602"/>
      <c r="BV165" s="133"/>
      <c r="BW165" s="109"/>
      <c r="BX165" s="109"/>
      <c r="BY165" s="507"/>
      <c r="BZ165" s="507"/>
      <c r="CA165" s="133"/>
      <c r="CB165" s="559"/>
      <c r="CC165" s="133"/>
      <c r="CD165" s="507"/>
      <c r="CE165" s="507"/>
      <c r="CF165" s="507"/>
      <c r="CG165" s="507"/>
      <c r="CH165" s="507"/>
      <c r="CI165" s="603"/>
      <c r="CJ165" s="507"/>
      <c r="CK165" s="507"/>
      <c r="CL165" s="133"/>
      <c r="CM165" s="133"/>
      <c r="CN165" s="507"/>
      <c r="CO165" s="507"/>
      <c r="CP165" s="218"/>
      <c r="CQ165" s="218"/>
      <c r="CR165" s="218"/>
      <c r="CS165" s="88"/>
      <c r="CT165" s="88"/>
      <c r="CU165" s="88"/>
      <c r="CV165" s="133"/>
      <c r="CW165" s="133"/>
      <c r="CX165" s="88"/>
      <c r="CY165" s="88"/>
      <c r="CZ165" s="88"/>
      <c r="DA165" s="133"/>
      <c r="FL165" s="111"/>
      <c r="FM165" s="111"/>
    </row>
    <row r="166" spans="1:169" outlineLevel="1">
      <c r="A166" s="106" t="s">
        <v>454</v>
      </c>
      <c r="B166" s="461"/>
      <c r="C166" s="461"/>
      <c r="D166" s="461"/>
      <c r="E166" s="461"/>
      <c r="F166" s="461"/>
      <c r="G166" s="461"/>
      <c r="H166" s="461"/>
      <c r="I166" s="461"/>
      <c r="J166" s="461"/>
      <c r="K166" s="461"/>
      <c r="L166" s="461"/>
      <c r="M166" s="461"/>
      <c r="N166" s="461"/>
      <c r="O166" s="461"/>
      <c r="P166" s="461"/>
      <c r="Q166" s="461"/>
      <c r="R166" s="461"/>
      <c r="S166" s="461"/>
      <c r="T166" s="461"/>
      <c r="U166" s="461"/>
      <c r="V166" s="461">
        <v>19.545169974357933</v>
      </c>
      <c r="W166" s="461">
        <v>14.417044185246436</v>
      </c>
      <c r="X166" s="461">
        <v>19.701083717787473</v>
      </c>
      <c r="Y166" s="461">
        <v>25.492000000000001</v>
      </c>
      <c r="Z166" s="461"/>
      <c r="AA166" s="461">
        <v>25.842029794692575</v>
      </c>
      <c r="AB166" s="461">
        <v>21.532090609245017</v>
      </c>
      <c r="AC166" s="461">
        <v>20.473145385357828</v>
      </c>
      <c r="AD166" s="461">
        <v>22.608176292517776</v>
      </c>
      <c r="AE166" s="461"/>
      <c r="AF166" s="461">
        <v>20.088114417710177</v>
      </c>
      <c r="AG166" s="461">
        <v>18.033094660884867</v>
      </c>
      <c r="AH166" s="461">
        <v>19.52</v>
      </c>
      <c r="AI166" s="461">
        <v>23.274999999999999</v>
      </c>
      <c r="AJ166" s="461"/>
      <c r="AK166" s="461">
        <v>22.895</v>
      </c>
      <c r="AL166" s="461">
        <v>18.920000000000002</v>
      </c>
      <c r="AM166" s="461">
        <v>19.240153023813605</v>
      </c>
      <c r="AN166" s="461">
        <v>21.785</v>
      </c>
      <c r="AO166" s="461"/>
      <c r="AP166" s="461">
        <v>19.915041142610917</v>
      </c>
      <c r="AQ166" s="461">
        <v>18.591999999999999</v>
      </c>
      <c r="AR166" s="461">
        <v>20.49</v>
      </c>
      <c r="AS166" s="461">
        <v>22.454999999999998</v>
      </c>
      <c r="AT166" s="461"/>
      <c r="AU166" s="461">
        <v>21.13</v>
      </c>
      <c r="AV166" s="461">
        <v>19.95</v>
      </c>
      <c r="AW166" s="461">
        <v>21.96</v>
      </c>
      <c r="AX166" s="549">
        <v>21.029</v>
      </c>
      <c r="AY166" s="461"/>
      <c r="AZ166" s="461">
        <v>20.605</v>
      </c>
      <c r="BA166" s="461">
        <v>21.504999999999999</v>
      </c>
      <c r="BB166" s="461">
        <v>24.85</v>
      </c>
      <c r="BC166" s="461">
        <v>26.1</v>
      </c>
      <c r="BD166" s="133"/>
      <c r="BE166" s="604"/>
      <c r="BF166" s="604"/>
      <c r="BG166" s="604"/>
      <c r="BH166" s="604"/>
      <c r="BI166" s="483"/>
      <c r="BJ166" s="604"/>
      <c r="BK166" s="604"/>
      <c r="BL166" s="604"/>
      <c r="BM166" s="604"/>
      <c r="BN166" s="483"/>
      <c r="BO166" s="604"/>
      <c r="BP166" s="604"/>
      <c r="BQ166" s="604"/>
      <c r="BR166" s="604"/>
      <c r="BS166" s="483"/>
      <c r="BT166" s="604"/>
      <c r="BU166" s="604"/>
      <c r="BV166" s="604"/>
      <c r="BW166" s="604"/>
      <c r="BX166" s="483"/>
      <c r="BY166" s="604"/>
      <c r="BZ166" s="604"/>
      <c r="CA166" s="604"/>
      <c r="CB166" s="604"/>
      <c r="CC166" s="483"/>
      <c r="CD166" s="604"/>
      <c r="CE166" s="604"/>
      <c r="CF166" s="604"/>
      <c r="CG166" s="604"/>
      <c r="CH166" s="483"/>
      <c r="CI166" s="604"/>
      <c r="CJ166" s="604"/>
      <c r="CK166" s="604"/>
      <c r="CL166" s="604"/>
      <c r="CM166" s="483"/>
      <c r="CN166" s="604"/>
      <c r="CO166" s="604"/>
      <c r="CP166" s="604"/>
      <c r="CQ166" s="604"/>
      <c r="CR166" s="483"/>
      <c r="CS166" s="604"/>
      <c r="CT166" s="604"/>
      <c r="CU166" s="604"/>
      <c r="CV166" s="604"/>
      <c r="CW166" s="483"/>
      <c r="CX166" s="604"/>
      <c r="CY166" s="604"/>
      <c r="CZ166" s="604"/>
      <c r="DA166" s="604"/>
      <c r="DB166" s="95"/>
      <c r="DC166" s="604"/>
      <c r="DD166" s="604"/>
      <c r="DE166" s="604"/>
      <c r="DF166" s="604"/>
      <c r="DH166" s="604"/>
      <c r="DI166" s="604"/>
      <c r="DJ166" s="604"/>
      <c r="DK166" s="604"/>
      <c r="DM166" s="604"/>
      <c r="DN166" s="604"/>
      <c r="DO166" s="604"/>
      <c r="DP166" s="604"/>
      <c r="DR166" s="604"/>
      <c r="DS166" s="604"/>
      <c r="DT166" s="604"/>
      <c r="DU166" s="604"/>
      <c r="DW166" s="604"/>
      <c r="DX166" s="604"/>
      <c r="DY166" s="604"/>
      <c r="DZ166" s="604"/>
      <c r="EB166" s="604"/>
      <c r="EC166" s="604"/>
      <c r="ED166" s="604"/>
      <c r="EE166" s="604"/>
      <c r="EG166" s="604"/>
      <c r="EH166" s="604"/>
      <c r="EI166" s="604"/>
      <c r="EJ166" s="604"/>
      <c r="FL166" s="111"/>
      <c r="FM166" s="111"/>
    </row>
    <row r="167" spans="1:169" outlineLevel="1">
      <c r="A167" s="106" t="s">
        <v>455</v>
      </c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133">
        <f>V168/V166</f>
      </c>
      <c r="W167" s="133">
        <f t="shared" ref="W167:AX167" si="178">W168/W166</f>
      </c>
      <c r="X167" s="133">
        <f t="shared" si="178"/>
      </c>
      <c r="Y167" s="133">
        <f t="shared" si="178"/>
      </c>
      <c r="Z167" s="133"/>
      <c r="AA167" s="133">
        <f t="shared" si="178"/>
      </c>
      <c r="AB167" s="133">
        <f t="shared" si="178"/>
      </c>
      <c r="AC167" s="133">
        <f t="shared" si="178"/>
      </c>
      <c r="AD167" s="133">
        <f t="shared" si="178"/>
      </c>
      <c r="AE167" s="133"/>
      <c r="AF167" s="133">
        <f t="shared" si="178"/>
      </c>
      <c r="AG167" s="133">
        <f t="shared" si="178"/>
      </c>
      <c r="AH167" s="133">
        <f t="shared" si="178"/>
      </c>
      <c r="AI167" s="153">
        <f t="shared" si="178"/>
      </c>
      <c r="AJ167" s="153"/>
      <c r="AK167" s="153">
        <f t="shared" si="178"/>
      </c>
      <c r="AL167" s="153">
        <f t="shared" si="178"/>
      </c>
      <c r="AM167" s="153">
        <f t="shared" si="178"/>
      </c>
      <c r="AN167" s="153">
        <f t="shared" si="178"/>
      </c>
      <c r="AO167" s="153"/>
      <c r="AP167" s="153">
        <f t="shared" si="178"/>
      </c>
      <c r="AQ167" s="153">
        <f t="shared" si="178"/>
      </c>
      <c r="AR167" s="153">
        <f t="shared" si="178"/>
      </c>
      <c r="AS167" s="153">
        <f t="shared" si="178"/>
      </c>
      <c r="AT167" s="153"/>
      <c r="AU167" s="153">
        <f t="shared" si="178"/>
      </c>
      <c r="AV167" s="153">
        <f t="shared" si="178"/>
      </c>
      <c r="AW167" s="153">
        <f t="shared" si="178"/>
      </c>
      <c r="AX167" s="547">
        <f t="shared" si="178"/>
      </c>
      <c r="AY167" s="153"/>
      <c r="AZ167" s="153">
        <f>(AZ168+AZ192)/AZ166</f>
      </c>
      <c r="BA167" s="153">
        <f>(BA168+BA192)/BA166</f>
      </c>
      <c r="BB167" s="153">
        <v>0.60499999999999998</v>
      </c>
      <c r="BC167" s="153">
        <f>(BC168+BC192)/BC166</f>
      </c>
      <c r="BD167" s="153"/>
      <c r="BE167" s="153"/>
      <c r="BF167" s="153"/>
      <c r="BG167" s="153"/>
      <c r="BH167" s="153"/>
      <c r="BI167" s="153"/>
      <c r="BJ167" s="153"/>
      <c r="BK167" s="153"/>
      <c r="BL167" s="153"/>
      <c r="BM167" s="153"/>
      <c r="BN167" s="153"/>
      <c r="BO167" s="153"/>
      <c r="BP167" s="153"/>
      <c r="BQ167" s="153"/>
      <c r="BR167" s="153"/>
      <c r="BS167" s="153"/>
      <c r="BT167" s="153"/>
      <c r="BU167" s="153"/>
      <c r="BV167" s="153"/>
      <c r="BW167" s="153"/>
      <c r="BX167" s="153"/>
      <c r="BY167" s="153"/>
      <c r="BZ167" s="153"/>
      <c r="CA167" s="153"/>
      <c r="CB167" s="153"/>
      <c r="CC167" s="153"/>
      <c r="CD167" s="153"/>
      <c r="CE167" s="153"/>
      <c r="CF167" s="153"/>
      <c r="CG167" s="153"/>
      <c r="CH167" s="153"/>
      <c r="CI167" s="153"/>
      <c r="CJ167" s="153"/>
      <c r="CK167" s="153"/>
      <c r="CL167" s="153"/>
      <c r="CM167" s="153"/>
      <c r="CN167" s="153"/>
      <c r="CO167" s="153"/>
      <c r="CP167" s="153"/>
      <c r="CQ167" s="153"/>
      <c r="CR167" s="483"/>
      <c r="CS167" s="153"/>
      <c r="CT167" s="153"/>
      <c r="CU167" s="153"/>
      <c r="CV167" s="153"/>
      <c r="CW167" s="483"/>
      <c r="CX167" s="153"/>
      <c r="CY167" s="153"/>
      <c r="CZ167" s="153"/>
      <c r="DA167" s="153"/>
      <c r="DC167" s="153"/>
      <c r="DD167" s="153"/>
      <c r="DE167" s="153"/>
      <c r="DF167" s="153"/>
      <c r="DH167" s="153"/>
      <c r="DI167" s="153"/>
      <c r="DJ167" s="153"/>
      <c r="DK167" s="153"/>
      <c r="DM167" s="153"/>
      <c r="DN167" s="153"/>
      <c r="DO167" s="153"/>
      <c r="DP167" s="153"/>
      <c r="DR167" s="153"/>
      <c r="DS167" s="153"/>
      <c r="DT167" s="153"/>
      <c r="DU167" s="153"/>
      <c r="DW167" s="153"/>
      <c r="DX167" s="153"/>
      <c r="DY167" s="153"/>
      <c r="DZ167" s="153"/>
      <c r="EB167" s="153"/>
      <c r="EC167" s="153"/>
      <c r="ED167" s="153"/>
      <c r="EE167" s="153"/>
      <c r="EG167" s="153"/>
      <c r="EH167" s="153"/>
      <c r="EI167" s="153"/>
      <c r="EJ167" s="153"/>
      <c r="FL167" s="111"/>
      <c r="FM167" s="111"/>
    </row>
    <row r="168" spans="1:169" outlineLevel="1">
      <c r="A168" s="106" t="s">
        <v>456</v>
      </c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8">
        <v>10.945295185640401</v>
      </c>
      <c r="W168" s="88">
        <v>9.0827378367052543</v>
      </c>
      <c r="X168" s="88">
        <v>13.002715253739733</v>
      </c>
      <c r="Y168" s="88">
        <v>16.824720000000003</v>
      </c>
      <c r="Z168" s="88"/>
      <c r="AA168" s="88">
        <v>16.899999999999999</v>
      </c>
      <c r="AB168" s="88">
        <v>14</v>
      </c>
      <c r="AC168" s="88">
        <v>13.4</v>
      </c>
      <c r="AD168" s="88">
        <v>14.7</v>
      </c>
      <c r="AE168" s="88"/>
      <c r="AF168" s="88">
        <v>12.95</v>
      </c>
      <c r="AG168" s="88">
        <v>11.525</v>
      </c>
      <c r="AH168" s="88">
        <v>12.08</v>
      </c>
      <c r="AI168" s="88">
        <v>13.56</v>
      </c>
      <c r="AJ168" s="88"/>
      <c r="AK168" s="88">
        <v>13.824999999999999</v>
      </c>
      <c r="AL168" s="88">
        <v>11</v>
      </c>
      <c r="AM168" s="88">
        <v>8</v>
      </c>
      <c r="AN168" s="88">
        <v>10</v>
      </c>
      <c r="AO168" s="88"/>
      <c r="AP168" s="88">
        <v>9.1999999999999993</v>
      </c>
      <c r="AQ168" s="88">
        <v>8.5</v>
      </c>
      <c r="AR168" s="88">
        <v>10.199999999999999</v>
      </c>
      <c r="AS168" s="88">
        <v>11.5</v>
      </c>
      <c r="AT168" s="88"/>
      <c r="AU168" s="88">
        <v>11.15</v>
      </c>
      <c r="AV168" s="88">
        <v>10.1</v>
      </c>
      <c r="AW168" s="532">
        <v>11</v>
      </c>
      <c r="AX168" s="552">
        <v>10.8</v>
      </c>
      <c r="AY168" s="532"/>
      <c r="AZ168" s="532">
        <v>11.8</v>
      </c>
      <c r="BA168" s="532">
        <v>13.7</v>
      </c>
      <c r="BB168" s="532">
        <f>BB167*BB166-BB192</f>
      </c>
      <c r="BC168" s="532">
        <f>16.201-BC192</f>
      </c>
      <c r="BD168" s="153"/>
      <c r="BE168" s="604"/>
      <c r="BF168" s="604"/>
      <c r="BG168" s="604"/>
      <c r="BH168" s="604"/>
      <c r="BI168" s="483"/>
      <c r="BJ168" s="604"/>
      <c r="BK168" s="604"/>
      <c r="BL168" s="604"/>
      <c r="BM168" s="604"/>
      <c r="BN168" s="483"/>
      <c r="BO168" s="604"/>
      <c r="BP168" s="604"/>
      <c r="BQ168" s="604"/>
      <c r="BR168" s="604"/>
      <c r="BS168" s="483"/>
      <c r="BT168" s="604"/>
      <c r="BU168" s="604"/>
      <c r="BV168" s="604"/>
      <c r="BW168" s="604"/>
      <c r="BX168" s="483"/>
      <c r="BY168" s="604"/>
      <c r="BZ168" s="604"/>
      <c r="CA168" s="604"/>
      <c r="CB168" s="604"/>
      <c r="CC168" s="483"/>
      <c r="CD168" s="604"/>
      <c r="CE168" s="604"/>
      <c r="CF168" s="604"/>
      <c r="CG168" s="604"/>
      <c r="CH168" s="483"/>
      <c r="CI168" s="604"/>
      <c r="CJ168" s="604"/>
      <c r="CK168" s="604"/>
      <c r="CL168" s="604"/>
      <c r="CM168" s="483"/>
      <c r="CN168" s="604"/>
      <c r="CO168" s="604"/>
      <c r="CP168" s="604"/>
      <c r="CQ168" s="604"/>
      <c r="CR168" s="483"/>
      <c r="CS168" s="604"/>
      <c r="CT168" s="604"/>
      <c r="CU168" s="604"/>
      <c r="CV168" s="604"/>
      <c r="CW168" s="483"/>
      <c r="CX168" s="604"/>
      <c r="CY168" s="604"/>
      <c r="CZ168" s="604"/>
      <c r="DA168" s="604"/>
      <c r="DB168" s="95"/>
      <c r="DC168" s="604"/>
      <c r="DD168" s="604"/>
      <c r="DE168" s="604"/>
      <c r="DF168" s="604"/>
      <c r="DH168" s="604"/>
      <c r="DI168" s="604"/>
      <c r="DJ168" s="604"/>
      <c r="DK168" s="604"/>
      <c r="DM168" s="604"/>
      <c r="DN168" s="604"/>
      <c r="DO168" s="604"/>
      <c r="DP168" s="604"/>
      <c r="DR168" s="604"/>
      <c r="DS168" s="604"/>
      <c r="DT168" s="604"/>
      <c r="DU168" s="604"/>
      <c r="DW168" s="604"/>
      <c r="DX168" s="604"/>
      <c r="DY168" s="604"/>
      <c r="DZ168" s="604"/>
      <c r="EB168" s="604"/>
      <c r="EC168" s="604"/>
      <c r="ED168" s="604"/>
      <c r="EE168" s="604"/>
      <c r="EG168" s="604"/>
      <c r="EH168" s="604"/>
      <c r="EI168" s="604"/>
      <c r="EJ168" s="604"/>
      <c r="FL168" s="111"/>
      <c r="FM168" s="111"/>
    </row>
    <row r="169" spans="1:169" outlineLevel="1">
      <c r="A169" s="106" t="s">
        <v>457</v>
      </c>
      <c r="B169" s="120"/>
      <c r="C169" s="120"/>
      <c r="D169" s="120"/>
      <c r="E169" s="120"/>
      <c r="F169" s="120"/>
      <c r="G169" s="120"/>
      <c r="H169" s="120"/>
      <c r="I169" s="12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0"/>
      <c r="V169" s="120">
        <f>V170/V168</f>
      </c>
      <c r="W169" s="120">
        <f t="shared" ref="W169:AX169" si="179">W170/W168</f>
      </c>
      <c r="X169" s="120">
        <f t="shared" si="179"/>
      </c>
      <c r="Y169" s="120">
        <f t="shared" si="179"/>
      </c>
      <c r="Z169" s="120"/>
      <c r="AA169" s="120">
        <f t="shared" si="179"/>
      </c>
      <c r="AB169" s="120">
        <f t="shared" si="179"/>
      </c>
      <c r="AC169" s="120">
        <f t="shared" si="179"/>
      </c>
      <c r="AD169" s="120">
        <f t="shared" si="179"/>
      </c>
      <c r="AE169" s="120"/>
      <c r="AF169" s="120">
        <f t="shared" si="179"/>
      </c>
      <c r="AG169" s="120">
        <f t="shared" si="179"/>
      </c>
      <c r="AH169" s="120">
        <f t="shared" si="179"/>
      </c>
      <c r="AI169" s="120">
        <f t="shared" si="179"/>
      </c>
      <c r="AJ169" s="120"/>
      <c r="AK169" s="120">
        <f t="shared" si="179"/>
      </c>
      <c r="AL169" s="120">
        <f t="shared" si="179"/>
      </c>
      <c r="AM169" s="120">
        <f t="shared" si="179"/>
      </c>
      <c r="AN169" s="120">
        <f t="shared" si="179"/>
      </c>
      <c r="AO169" s="120"/>
      <c r="AP169" s="120">
        <f t="shared" si="179"/>
      </c>
      <c r="AQ169" s="120">
        <f t="shared" si="179"/>
      </c>
      <c r="AR169" s="120">
        <f t="shared" si="179"/>
      </c>
      <c r="AS169" s="120">
        <f t="shared" si="179"/>
      </c>
      <c r="AT169" s="120"/>
      <c r="AU169" s="120">
        <f t="shared" si="179"/>
      </c>
      <c r="AV169" s="120">
        <f t="shared" si="179"/>
      </c>
      <c r="AW169" s="120">
        <f t="shared" si="179"/>
      </c>
      <c r="AX169" s="554">
        <f t="shared" si="179"/>
      </c>
      <c r="AY169" s="120"/>
      <c r="AZ169" s="120">
        <f>AZ170/AZ168</f>
      </c>
      <c r="BA169" s="120">
        <f>BA170/BA168</f>
      </c>
      <c r="BB169" s="120">
        <f>BB170/BB168</f>
      </c>
      <c r="BC169" s="120">
        <f>BC170/BC168</f>
      </c>
      <c r="BD169" s="120"/>
      <c r="BE169" s="120"/>
      <c r="BF169" s="120"/>
      <c r="BG169" s="120"/>
      <c r="BH169" s="120"/>
      <c r="BI169" s="120"/>
      <c r="BJ169" s="120"/>
      <c r="BK169" s="120"/>
      <c r="BL169" s="120"/>
      <c r="BM169" s="120"/>
      <c r="BN169" s="120"/>
      <c r="BO169" s="120"/>
      <c r="BP169" s="120"/>
      <c r="BQ169" s="120"/>
      <c r="BR169" s="120"/>
      <c r="BS169" s="120"/>
      <c r="BT169" s="120"/>
      <c r="BU169" s="120"/>
      <c r="BV169" s="120"/>
      <c r="BW169" s="120"/>
      <c r="BX169" s="120"/>
      <c r="BY169" s="120"/>
      <c r="BZ169" s="120"/>
      <c r="CA169" s="120"/>
      <c r="CB169" s="521"/>
      <c r="CC169" s="120"/>
      <c r="CD169" s="120"/>
      <c r="CE169" s="120"/>
      <c r="CF169" s="120"/>
      <c r="CG169" s="120"/>
      <c r="CH169" s="120"/>
      <c r="CI169" s="120"/>
      <c r="CJ169" s="120"/>
      <c r="CK169" s="120"/>
      <c r="CL169" s="120"/>
      <c r="CM169" s="120"/>
      <c r="CN169" s="120"/>
      <c r="CO169" s="120"/>
      <c r="CP169" s="120"/>
      <c r="CQ169" s="605"/>
      <c r="CR169" s="483"/>
      <c r="CS169" s="605"/>
      <c r="CT169" s="605"/>
      <c r="CU169" s="605"/>
      <c r="CV169" s="605"/>
      <c r="CW169" s="483"/>
      <c r="CX169" s="605"/>
      <c r="CY169" s="605"/>
      <c r="CZ169" s="605"/>
      <c r="DA169" s="605"/>
      <c r="DB169" s="95"/>
      <c r="DC169" s="604"/>
      <c r="DD169" s="604"/>
      <c r="DE169" s="604"/>
      <c r="DF169" s="604"/>
      <c r="DH169" s="604"/>
      <c r="DI169" s="604"/>
      <c r="DJ169" s="604"/>
      <c r="DK169" s="604"/>
      <c r="DM169" s="604"/>
      <c r="DN169" s="604"/>
      <c r="DO169" s="604"/>
      <c r="DP169" s="604"/>
      <c r="DR169" s="604"/>
      <c r="DS169" s="604"/>
      <c r="DT169" s="604"/>
      <c r="DU169" s="604"/>
      <c r="DW169" s="604"/>
      <c r="DX169" s="604"/>
      <c r="DY169" s="604"/>
      <c r="DZ169" s="604"/>
      <c r="EB169" s="604"/>
      <c r="EC169" s="604"/>
      <c r="ED169" s="604"/>
      <c r="EE169" s="604"/>
      <c r="EG169" s="604"/>
      <c r="EH169" s="604"/>
      <c r="EI169" s="604"/>
      <c r="EJ169" s="604"/>
      <c r="FL169" s="111"/>
      <c r="FM169" s="111"/>
    </row>
    <row r="170" spans="1:169" s="583" customFormat="1" outlineLevel="1">
      <c r="A170" s="575" t="s">
        <v>458</v>
      </c>
      <c r="B170" s="526"/>
      <c r="C170" s="526"/>
      <c r="D170" s="526"/>
      <c r="E170" s="526"/>
      <c r="F170" s="526"/>
      <c r="G170" s="526"/>
      <c r="H170" s="526"/>
      <c r="I170" s="526"/>
      <c r="J170" s="526"/>
      <c r="K170" s="526"/>
      <c r="L170" s="526"/>
      <c r="M170" s="526"/>
      <c r="N170" s="526"/>
      <c r="O170" s="526"/>
      <c r="P170" s="526"/>
      <c r="Q170" s="526"/>
      <c r="R170" s="526"/>
      <c r="S170" s="526"/>
      <c r="T170" s="526"/>
      <c r="U170" s="526"/>
      <c r="V170" s="526">
        <f>V243-V218-V183-V208</f>
      </c>
      <c r="W170" s="526">
        <f t="shared" ref="W170:AG170" si="180">W243-W218-W183-W208</f>
      </c>
      <c r="X170" s="526">
        <f t="shared" si="180"/>
      </c>
      <c r="Y170" s="526">
        <f t="shared" si="180"/>
      </c>
      <c r="Z170" s="526"/>
      <c r="AA170" s="526">
        <f t="shared" si="180"/>
      </c>
      <c r="AB170" s="526">
        <f t="shared" si="180"/>
      </c>
      <c r="AC170" s="526">
        <f t="shared" si="180"/>
      </c>
      <c r="AD170" s="526">
        <f t="shared" si="180"/>
      </c>
      <c r="AE170" s="526"/>
      <c r="AF170" s="526">
        <f t="shared" si="180"/>
      </c>
      <c r="AG170" s="526">
        <f t="shared" si="180"/>
      </c>
      <c r="AH170" s="526">
        <f>AH243-AH218-AH183-AH208-AH227</f>
      </c>
      <c r="AI170" s="526">
        <f>AI7-AI218-AI183-AI208-AI227</f>
      </c>
      <c r="AJ170" s="526"/>
      <c r="AK170" s="526">
        <f>668.449-AK183-AL183-AL170</f>
      </c>
      <c r="AL170" s="526">
        <f>291.291-AL183</f>
      </c>
      <c r="AM170" s="526">
        <f>301.373-AM183</f>
      </c>
      <c r="AN170" s="526">
        <f>1360.351-SUM(AK183:AN183,AK170:AM170)</f>
      </c>
      <c r="AO170" s="526"/>
      <c r="AP170" s="526">
        <f>409.926-AP183</f>
      </c>
      <c r="AQ170" s="526">
        <f>385.826-AQ183</f>
      </c>
      <c r="AR170" s="526">
        <f>427.564-AR183</f>
      </c>
      <c r="AS170" s="526">
        <f>1654.397-SUM(AP170:AR170)-SUM(AP183:AS183)</f>
      </c>
      <c r="AT170" s="526"/>
      <c r="AU170" s="578">
        <f>452.431-AU183</f>
      </c>
      <c r="AV170" s="578">
        <f>459.077-AV183</f>
      </c>
      <c r="AW170" s="526">
        <f>529.743-AW183</f>
      </c>
      <c r="AX170" s="528">
        <f>1994.334-SUM(AU170:AW170)-SUM(AU183:AX183)</f>
      </c>
      <c r="AY170" s="526"/>
      <c r="AZ170" s="526">
        <f>483.495-AZ183</f>
      </c>
      <c r="BA170" s="526">
        <f>579.034-BA183</f>
      </c>
      <c r="BB170" s="526">
        <f>689.909-BB183</f>
      </c>
      <c r="BC170" s="526">
        <f>2518.281-SUM(AZ170:BB170)-SUM(AZ183:BC183)</f>
      </c>
      <c r="BD170" s="526"/>
      <c r="BE170" s="526"/>
      <c r="BF170" s="526"/>
      <c r="BG170" s="526"/>
      <c r="BH170" s="526"/>
      <c r="BI170" s="526"/>
      <c r="BJ170" s="580"/>
      <c r="BK170" s="580"/>
      <c r="BL170" s="580"/>
      <c r="BM170" s="580"/>
      <c r="BN170" s="580"/>
      <c r="BO170" s="526"/>
      <c r="BP170" s="526"/>
      <c r="BQ170" s="526"/>
      <c r="BR170" s="526"/>
      <c r="BS170" s="526"/>
      <c r="BT170" s="526"/>
      <c r="BU170" s="526"/>
      <c r="BV170" s="526"/>
      <c r="BW170" s="526"/>
      <c r="BX170" s="526"/>
      <c r="BY170" s="526"/>
      <c r="BZ170" s="526"/>
      <c r="CA170" s="526"/>
      <c r="CB170" s="529"/>
      <c r="CC170" s="526"/>
      <c r="CD170" s="526"/>
      <c r="CE170" s="526"/>
      <c r="CF170" s="526"/>
      <c r="CG170" s="526"/>
      <c r="CH170" s="526"/>
      <c r="CI170" s="526"/>
      <c r="CJ170" s="526"/>
      <c r="CK170" s="526"/>
      <c r="CL170" s="526"/>
      <c r="CM170" s="606"/>
      <c r="CN170" s="530"/>
      <c r="CO170" s="530"/>
      <c r="CP170" s="530"/>
      <c r="CQ170" s="530"/>
      <c r="CR170" s="526"/>
      <c r="CS170" s="530"/>
      <c r="CT170" s="530"/>
      <c r="CU170" s="530"/>
      <c r="CV170" s="530"/>
      <c r="CW170" s="530"/>
      <c r="CX170" s="530"/>
      <c r="CY170" s="530"/>
      <c r="CZ170" s="530"/>
      <c r="DA170" s="530"/>
      <c r="DB170" s="607"/>
      <c r="DC170" s="530"/>
      <c r="DD170" s="530"/>
      <c r="DE170" s="530"/>
      <c r="DF170" s="530"/>
      <c r="DH170" s="530"/>
      <c r="DI170" s="530"/>
      <c r="DJ170" s="530"/>
      <c r="DK170" s="530"/>
      <c r="DM170" s="530"/>
      <c r="DN170" s="530"/>
      <c r="DO170" s="530"/>
      <c r="DP170" s="530"/>
      <c r="DR170" s="530"/>
      <c r="DS170" s="530"/>
      <c r="DT170" s="530"/>
      <c r="DU170" s="530"/>
      <c r="DW170" s="530"/>
      <c r="DX170" s="530"/>
      <c r="DY170" s="530"/>
      <c r="DZ170" s="530"/>
      <c r="EB170" s="530"/>
      <c r="EC170" s="530"/>
      <c r="ED170" s="530"/>
      <c r="EE170" s="530"/>
      <c r="EG170" s="530"/>
      <c r="EH170" s="530"/>
      <c r="EI170" s="530"/>
      <c r="EJ170" s="530"/>
      <c r="FL170" s="111"/>
      <c r="FM170" s="111"/>
    </row>
    <row r="171" spans="1:169" s="536" customFormat="1" outlineLevel="2">
      <c r="A171" s="445" t="s">
        <v>459</v>
      </c>
      <c r="B171" s="531"/>
      <c r="C171" s="531"/>
      <c r="D171" s="531"/>
      <c r="E171" s="531"/>
      <c r="F171" s="531"/>
      <c r="G171" s="531"/>
      <c r="H171" s="531"/>
      <c r="I171" s="531"/>
      <c r="J171" s="531"/>
      <c r="K171" s="531"/>
      <c r="L171" s="531"/>
      <c r="M171" s="531"/>
      <c r="N171" s="531"/>
      <c r="O171" s="531"/>
      <c r="P171" s="531"/>
      <c r="Q171" s="531"/>
      <c r="R171" s="531"/>
      <c r="S171" s="531"/>
      <c r="T171" s="531"/>
      <c r="U171" s="531"/>
      <c r="V171" s="531"/>
      <c r="W171" s="531"/>
      <c r="X171" s="531"/>
      <c r="Y171" s="531"/>
      <c r="Z171" s="531"/>
      <c r="AA171" s="531"/>
      <c r="AB171" s="531"/>
      <c r="AC171" s="531"/>
      <c r="AD171" s="531"/>
      <c r="AE171" s="531"/>
      <c r="AF171" s="531"/>
      <c r="AG171" s="531"/>
      <c r="AH171" s="531"/>
      <c r="AI171" s="531"/>
      <c r="AJ171" s="531"/>
      <c r="AK171" s="531"/>
      <c r="AL171" s="531"/>
      <c r="AM171" s="531"/>
      <c r="AN171" s="531"/>
      <c r="AO171" s="531"/>
      <c r="AP171" s="531"/>
      <c r="AQ171" s="531"/>
      <c r="AR171" s="531"/>
      <c r="AS171" s="531"/>
      <c r="AT171" s="531"/>
      <c r="AU171" s="532"/>
      <c r="AV171" s="532"/>
      <c r="AW171" s="531"/>
      <c r="AX171" s="533"/>
      <c r="AY171" s="531"/>
      <c r="AZ171" s="531"/>
      <c r="BA171" s="531"/>
      <c r="BB171" s="531"/>
      <c r="BC171" s="531"/>
      <c r="BD171" s="531"/>
      <c r="BE171" s="531"/>
      <c r="BF171" s="531"/>
      <c r="BG171" s="531"/>
      <c r="BH171" s="531"/>
      <c r="BI171" s="531"/>
      <c r="BJ171" s="534"/>
      <c r="BK171" s="534"/>
      <c r="BL171" s="534"/>
      <c r="BM171" s="534"/>
      <c r="BN171" s="534"/>
      <c r="BO171" s="522"/>
      <c r="BP171" s="522"/>
      <c r="BQ171" s="522"/>
      <c r="BR171" s="522"/>
      <c r="BS171" s="522"/>
      <c r="BT171" s="522"/>
      <c r="BU171" s="522"/>
      <c r="BV171" s="522"/>
      <c r="BW171" s="522"/>
      <c r="BX171" s="522"/>
      <c r="BY171" s="522"/>
      <c r="BZ171" s="522"/>
      <c r="CA171" s="522"/>
      <c r="CB171" s="535"/>
      <c r="CC171" s="522"/>
      <c r="CD171" s="522"/>
      <c r="CE171" s="522"/>
      <c r="CF171" s="522"/>
      <c r="CG171" s="522"/>
      <c r="CH171" s="522"/>
      <c r="CI171" s="522"/>
      <c r="CJ171" s="522"/>
      <c r="CK171" s="522"/>
      <c r="CL171" s="522"/>
      <c r="CM171" s="522"/>
      <c r="CN171" s="522"/>
      <c r="CO171" s="522"/>
      <c r="CP171" s="522"/>
      <c r="CQ171" s="522"/>
      <c r="CR171" s="522"/>
      <c r="CS171" s="522"/>
      <c r="CT171" s="522"/>
      <c r="CU171" s="522"/>
      <c r="CV171" s="522"/>
      <c r="CW171" s="522"/>
      <c r="CX171" s="522"/>
      <c r="CY171" s="522"/>
      <c r="CZ171" s="522"/>
      <c r="DA171" s="522"/>
      <c r="DB171" s="469"/>
      <c r="DC171" s="522"/>
      <c r="DD171" s="522"/>
      <c r="DE171" s="522"/>
      <c r="DF171" s="522"/>
      <c r="DH171" s="522"/>
      <c r="DI171" s="522"/>
      <c r="DJ171" s="522"/>
      <c r="DK171" s="522"/>
      <c r="DM171" s="522"/>
      <c r="DN171" s="522"/>
      <c r="DO171" s="522"/>
      <c r="DP171" s="522"/>
      <c r="DR171" s="522"/>
      <c r="DS171" s="522"/>
      <c r="DT171" s="522"/>
      <c r="DU171" s="522"/>
      <c r="DW171" s="522"/>
      <c r="DX171" s="522"/>
      <c r="DY171" s="522"/>
      <c r="DZ171" s="522"/>
      <c r="EB171" s="522"/>
      <c r="EC171" s="522"/>
      <c r="ED171" s="522"/>
      <c r="EE171" s="522"/>
      <c r="EG171" s="522"/>
      <c r="EH171" s="522"/>
      <c r="EI171" s="522"/>
      <c r="EJ171" s="522"/>
      <c r="FL171" s="111"/>
      <c r="FM171" s="111"/>
    </row>
    <row r="172" spans="1:169" s="536" customFormat="1" outlineLevel="2">
      <c r="A172" s="445" t="s">
        <v>460</v>
      </c>
      <c r="B172" s="531"/>
      <c r="C172" s="531"/>
      <c r="D172" s="531"/>
      <c r="E172" s="531"/>
      <c r="F172" s="531"/>
      <c r="G172" s="531"/>
      <c r="H172" s="531"/>
      <c r="I172" s="531"/>
      <c r="J172" s="531"/>
      <c r="K172" s="531"/>
      <c r="L172" s="531"/>
      <c r="M172" s="531"/>
      <c r="N172" s="531"/>
      <c r="O172" s="531"/>
      <c r="P172" s="531"/>
      <c r="Q172" s="531"/>
      <c r="R172" s="531"/>
      <c r="S172" s="531"/>
      <c r="T172" s="531"/>
      <c r="U172" s="531"/>
      <c r="V172" s="531"/>
      <c r="W172" s="531"/>
      <c r="X172" s="531"/>
      <c r="Y172" s="531"/>
      <c r="Z172" s="531"/>
      <c r="AA172" s="531"/>
      <c r="AB172" s="531"/>
      <c r="AC172" s="531"/>
      <c r="AD172" s="531"/>
      <c r="AE172" s="531"/>
      <c r="AF172" s="531"/>
      <c r="AG172" s="531"/>
      <c r="AH172" s="531"/>
      <c r="AI172" s="531"/>
      <c r="AJ172" s="531"/>
      <c r="AK172" s="531"/>
      <c r="AL172" s="531"/>
      <c r="AM172" s="531"/>
      <c r="AN172" s="531"/>
      <c r="AO172" s="531"/>
      <c r="AP172" s="531"/>
      <c r="AQ172" s="531"/>
      <c r="AR172" s="531"/>
      <c r="AS172" s="531"/>
      <c r="AT172" s="531"/>
      <c r="AU172" s="532"/>
      <c r="AV172" s="532"/>
      <c r="AW172" s="531"/>
      <c r="AX172" s="533"/>
      <c r="AY172" s="531"/>
      <c r="AZ172" s="531"/>
      <c r="BA172" s="531"/>
      <c r="BB172" s="531"/>
      <c r="BC172" s="531"/>
      <c r="BD172" s="531"/>
      <c r="BE172" s="531"/>
      <c r="BF172" s="531"/>
      <c r="BG172" s="531"/>
      <c r="BH172" s="531"/>
      <c r="BI172" s="531"/>
      <c r="BJ172" s="534"/>
      <c r="BK172" s="534"/>
      <c r="BL172" s="534"/>
      <c r="BM172" s="534"/>
      <c r="BN172" s="534"/>
      <c r="BO172" s="522"/>
      <c r="BP172" s="522"/>
      <c r="BQ172" s="522"/>
      <c r="BR172" s="522"/>
      <c r="BS172" s="522"/>
      <c r="BT172" s="522"/>
      <c r="BU172" s="522"/>
      <c r="BV172" s="522"/>
      <c r="BW172" s="522"/>
      <c r="BX172" s="522"/>
      <c r="BY172" s="522"/>
      <c r="BZ172" s="522"/>
      <c r="CA172" s="522"/>
      <c r="CB172" s="535"/>
      <c r="CC172" s="522"/>
      <c r="CD172" s="522"/>
      <c r="CE172" s="522"/>
      <c r="CF172" s="522"/>
      <c r="CG172" s="522"/>
      <c r="CH172" s="522"/>
      <c r="CI172" s="522"/>
      <c r="CJ172" s="522"/>
      <c r="CK172" s="522"/>
      <c r="CL172" s="522"/>
      <c r="CM172" s="522"/>
      <c r="CN172" s="522"/>
      <c r="CO172" s="522"/>
      <c r="CP172" s="522"/>
      <c r="CQ172" s="522"/>
      <c r="CR172" s="522"/>
      <c r="CS172" s="522"/>
      <c r="CT172" s="522"/>
      <c r="CU172" s="522"/>
      <c r="CV172" s="522"/>
      <c r="CW172" s="522"/>
      <c r="CX172" s="522"/>
      <c r="CY172" s="522"/>
      <c r="CZ172" s="522"/>
      <c r="DA172" s="522"/>
      <c r="DB172" s="469"/>
      <c r="DC172" s="522"/>
      <c r="DD172" s="522"/>
      <c r="DE172" s="522"/>
      <c r="DF172" s="522"/>
      <c r="DH172" s="522"/>
      <c r="DI172" s="522"/>
      <c r="DJ172" s="522"/>
      <c r="DK172" s="522"/>
      <c r="DM172" s="522"/>
      <c r="DN172" s="522"/>
      <c r="DO172" s="522"/>
      <c r="DP172" s="522"/>
      <c r="DR172" s="522"/>
      <c r="DS172" s="522"/>
      <c r="DT172" s="522"/>
      <c r="DU172" s="522"/>
      <c r="DW172" s="522"/>
      <c r="DX172" s="522"/>
      <c r="DY172" s="522"/>
      <c r="DZ172" s="522"/>
      <c r="EB172" s="522"/>
      <c r="EC172" s="522"/>
      <c r="ED172" s="522"/>
      <c r="EE172" s="522"/>
      <c r="EG172" s="522"/>
      <c r="EH172" s="522"/>
      <c r="EI172" s="522"/>
      <c r="EJ172" s="522"/>
      <c r="FL172" s="111"/>
      <c r="FM172" s="111"/>
    </row>
    <row r="173" spans="1:169" ht="18.75" customHeight="1" outlineLevel="1">
      <c r="A173" s="106" t="s">
        <v>461</v>
      </c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153">
        <f t="shared" ref="V173:AZ173" si="181">V174/V170</f>
      </c>
      <c r="W173" s="153">
        <f t="shared" si="181"/>
      </c>
      <c r="X173" s="153">
        <f t="shared" si="181"/>
      </c>
      <c r="Y173" s="153">
        <f t="shared" si="181"/>
      </c>
      <c r="Z173" s="153"/>
      <c r="AA173" s="153">
        <f t="shared" si="181"/>
      </c>
      <c r="AB173" s="153">
        <f t="shared" si="181"/>
      </c>
      <c r="AC173" s="153">
        <f t="shared" si="181"/>
      </c>
      <c r="AD173" s="153">
        <f t="shared" si="181"/>
      </c>
      <c r="AE173" s="153"/>
      <c r="AF173" s="153">
        <f t="shared" si="181"/>
      </c>
      <c r="AG173" s="153">
        <f t="shared" si="181"/>
      </c>
      <c r="AH173" s="153">
        <f t="shared" si="181"/>
      </c>
      <c r="AI173" s="153">
        <f t="shared" si="181"/>
      </c>
      <c r="AJ173" s="153"/>
      <c r="AK173" s="153">
        <f t="shared" si="181"/>
      </c>
      <c r="AL173" s="153">
        <f t="shared" si="181"/>
      </c>
      <c r="AM173" s="153">
        <f t="shared" si="181"/>
      </c>
      <c r="AN173" s="153">
        <f t="shared" si="181"/>
      </c>
      <c r="AO173" s="153"/>
      <c r="AP173" s="153">
        <f t="shared" si="181"/>
      </c>
      <c r="AQ173" s="153">
        <f t="shared" si="181"/>
      </c>
      <c r="AR173" s="153">
        <f t="shared" si="181"/>
      </c>
      <c r="AS173" s="153">
        <f t="shared" si="181"/>
      </c>
      <c r="AT173" s="153"/>
      <c r="AU173" s="153">
        <f t="shared" si="181"/>
      </c>
      <c r="AV173" s="153">
        <f t="shared" si="181"/>
      </c>
      <c r="AW173" s="153">
        <f t="shared" si="181"/>
      </c>
      <c r="AX173" s="547">
        <f t="shared" si="181"/>
      </c>
      <c r="AY173" s="153"/>
      <c r="AZ173" s="153">
        <f t="shared" si="181"/>
      </c>
      <c r="BA173" s="153">
        <f>BA174/BA170</f>
      </c>
      <c r="BB173" s="153">
        <f>BB174/BB170</f>
      </c>
      <c r="BC173" s="153">
        <f>BC174/BC170</f>
      </c>
      <c r="BD173" s="153"/>
      <c r="BE173" s="153"/>
      <c r="BF173" s="153"/>
      <c r="BG173" s="153"/>
      <c r="BH173" s="153"/>
      <c r="BI173" s="153"/>
      <c r="BJ173" s="153"/>
      <c r="BK173" s="153"/>
      <c r="BL173" s="153"/>
      <c r="BM173" s="153"/>
      <c r="BN173" s="153"/>
      <c r="BO173" s="153"/>
      <c r="BP173" s="153"/>
      <c r="BQ173" s="153"/>
      <c r="BR173" s="153"/>
      <c r="BS173" s="153"/>
      <c r="BT173" s="153"/>
      <c r="BU173" s="153"/>
      <c r="BV173" s="153"/>
      <c r="BW173" s="153"/>
      <c r="BX173" s="153"/>
      <c r="BY173" s="153"/>
      <c r="BZ173" s="153"/>
      <c r="CA173" s="153"/>
      <c r="CB173" s="550"/>
      <c r="CC173" s="153"/>
      <c r="CD173" s="153"/>
      <c r="CE173" s="153"/>
      <c r="CF173" s="153"/>
      <c r="CG173" s="153"/>
      <c r="CH173" s="153"/>
      <c r="CI173" s="153"/>
      <c r="CJ173" s="153"/>
      <c r="CK173" s="153"/>
      <c r="CL173" s="153"/>
      <c r="CM173" s="153"/>
      <c r="CN173" s="153"/>
      <c r="CO173" s="153"/>
      <c r="CP173" s="153"/>
      <c r="CQ173" s="153"/>
      <c r="CR173" s="522"/>
      <c r="CS173" s="537"/>
      <c r="CT173" s="537"/>
      <c r="CU173" s="537"/>
      <c r="CV173" s="537"/>
      <c r="CW173" s="522"/>
      <c r="CX173" s="522"/>
      <c r="CY173" s="522"/>
      <c r="CZ173" s="522"/>
      <c r="DA173" s="522"/>
      <c r="DC173" s="522"/>
      <c r="DD173" s="522"/>
      <c r="DE173" s="522"/>
      <c r="DF173" s="522"/>
      <c r="DH173" s="522"/>
      <c r="DI173" s="522"/>
      <c r="DJ173" s="522"/>
      <c r="DK173" s="522"/>
      <c r="DM173" s="522"/>
      <c r="DN173" s="522"/>
      <c r="DO173" s="522"/>
      <c r="DP173" s="522"/>
      <c r="DR173" s="522"/>
      <c r="DS173" s="522"/>
      <c r="DT173" s="522"/>
      <c r="DU173" s="522"/>
      <c r="DW173" s="522"/>
      <c r="DX173" s="522"/>
      <c r="DY173" s="522"/>
      <c r="DZ173" s="522"/>
      <c r="EB173" s="522"/>
      <c r="EC173" s="522"/>
      <c r="ED173" s="522"/>
      <c r="EE173" s="522"/>
      <c r="EG173" s="522"/>
      <c r="EH173" s="522"/>
      <c r="EI173" s="522"/>
      <c r="EJ173" s="522"/>
      <c r="FL173" s="111"/>
      <c r="FM173" s="111"/>
    </row>
    <row r="174" spans="1:169" outlineLevel="1">
      <c r="A174" s="106" t="s">
        <v>353</v>
      </c>
      <c r="B174" s="461"/>
      <c r="C174" s="461"/>
      <c r="D174" s="461"/>
      <c r="E174" s="461"/>
      <c r="F174" s="461"/>
      <c r="G174" s="461"/>
      <c r="H174" s="461"/>
      <c r="I174" s="461"/>
      <c r="J174" s="461"/>
      <c r="K174" s="461"/>
      <c r="L174" s="461"/>
      <c r="M174" s="461"/>
      <c r="N174" s="461"/>
      <c r="O174" s="461"/>
      <c r="P174" s="461"/>
      <c r="Q174" s="461"/>
      <c r="R174" s="461"/>
      <c r="S174" s="461"/>
      <c r="T174" s="461"/>
      <c r="U174" s="461"/>
      <c r="V174" s="461">
        <f>V13-V210-V187-V220</f>
      </c>
      <c r="W174" s="461">
        <f>W13-W210-W187-W220</f>
      </c>
      <c r="X174" s="461">
        <f>X13-X210-X187-X220</f>
      </c>
      <c r="Y174" s="461">
        <f>Y13-Y210-Y187-Y220</f>
      </c>
      <c r="Z174" s="461"/>
      <c r="AA174" s="461">
        <f>AA13-AA210-AA187-AA220</f>
      </c>
      <c r="AB174" s="461">
        <f>AB13-AB210-AB187-AB220</f>
      </c>
      <c r="AC174" s="461">
        <f>AC13-AC210-AC187-AC220</f>
      </c>
      <c r="AD174" s="461">
        <f>AD13-AD210-AD187-AD220</f>
      </c>
      <c r="AE174" s="461"/>
      <c r="AF174" s="461">
        <f>AF13-AF210-AF187-AF220</f>
      </c>
      <c r="AG174" s="461">
        <f>AG13-AG210-AG187-AG220</f>
      </c>
      <c r="AH174" s="461">
        <f>AH13-AH210-AH187-AH220-AH229</f>
      </c>
      <c r="AI174" s="461">
        <f>AI13-AI210-AI187-AI220-AI229</f>
      </c>
      <c r="AJ174" s="461"/>
      <c r="AK174" s="461">
        <f>AK13-AK210-AK187-AK220-AK229-AK236</f>
      </c>
      <c r="AL174" s="461">
        <f>AL13-AL210-AL187-AL220-AL229-AL236</f>
      </c>
      <c r="AM174" s="461">
        <f>AM13-AM210-AM187-AM220-AM229-AM236</f>
      </c>
      <c r="AN174" s="461">
        <f>AN13-AN210-AN187-AN220-AN229-AN236</f>
      </c>
      <c r="AO174" s="461"/>
      <c r="AP174" s="461">
        <f>AP13-AP210-AP187-AP220-AP229-AP236</f>
      </c>
      <c r="AQ174" s="461">
        <f>AQ13-AQ210-AQ187-AQ220-AQ229-AQ236</f>
      </c>
      <c r="AR174" s="461">
        <f>AR13-AR210-AR187-AR220-AR229-AR236</f>
      </c>
      <c r="AS174" s="461">
        <f>AS13-AS210-AS187-AS220-AS229-AS236</f>
      </c>
      <c r="AT174" s="461"/>
      <c r="AU174" s="461">
        <f>AU13-AU210-AU187-AU220-AU229-AU236</f>
      </c>
      <c r="AV174" s="461">
        <f>AV13-AV210-AV187-AV220-AV229-AV236</f>
      </c>
      <c r="AW174" s="461">
        <f>AW13-AW210-AW187-AW220-AW229-AW236</f>
      </c>
      <c r="AX174" s="549">
        <f>AX13-AX210-AX187-AX220-AX229-AX236</f>
      </c>
      <c r="AY174" s="461"/>
      <c r="AZ174" s="461">
        <f>AZ13-AZ210-AZ199-AZ187-AZ220-AZ229-AZ236</f>
      </c>
      <c r="BA174" s="461">
        <f>BA13-BA210-BA199-BA187-BA220-BA229-BA236</f>
      </c>
      <c r="BB174" s="461">
        <f>BB13-BB210-BB199-BB187-BB220-BB229-BB236</f>
      </c>
      <c r="BC174" s="461">
        <f>BC13-BC210-BC199-BC187-BC220-BC229-BC236</f>
      </c>
      <c r="BD174" s="461"/>
      <c r="BE174" s="461"/>
      <c r="BF174" s="461"/>
      <c r="BG174" s="461"/>
      <c r="BH174" s="461"/>
      <c r="BI174" s="461"/>
      <c r="BJ174" s="461"/>
      <c r="BK174" s="461"/>
      <c r="BL174" s="461"/>
      <c r="BM174" s="461"/>
      <c r="BN174" s="461"/>
      <c r="BO174" s="461"/>
      <c r="BP174" s="461"/>
      <c r="BQ174" s="461"/>
      <c r="BR174" s="461"/>
      <c r="BS174" s="461"/>
      <c r="BT174" s="461"/>
      <c r="BU174" s="461"/>
      <c r="BV174" s="461"/>
      <c r="BW174" s="461"/>
      <c r="BX174" s="461"/>
      <c r="BY174" s="461"/>
      <c r="BZ174" s="461"/>
      <c r="CA174" s="461"/>
      <c r="CB174" s="548"/>
      <c r="CC174" s="461"/>
      <c r="CD174" s="461"/>
      <c r="CE174" s="461"/>
      <c r="CF174" s="461"/>
      <c r="CG174" s="461"/>
      <c r="CH174" s="461"/>
      <c r="CI174" s="461"/>
      <c r="CJ174" s="461"/>
      <c r="CK174" s="461"/>
      <c r="CL174" s="461"/>
      <c r="CM174" s="461"/>
      <c r="CN174" s="461"/>
      <c r="CO174" s="461"/>
      <c r="CP174" s="461"/>
      <c r="CQ174" s="461"/>
      <c r="CR174" s="461"/>
      <c r="CS174" s="461"/>
      <c r="CT174" s="461"/>
      <c r="CU174" s="461"/>
      <c r="CV174" s="461"/>
      <c r="CW174" s="461"/>
      <c r="CX174" s="522"/>
      <c r="CY174" s="522"/>
      <c r="CZ174" s="522"/>
      <c r="DA174" s="522"/>
      <c r="DC174" s="522"/>
      <c r="DD174" s="522"/>
      <c r="DE174" s="522"/>
      <c r="DF174" s="522"/>
      <c r="DH174" s="522"/>
      <c r="DI174" s="522"/>
      <c r="DJ174" s="522"/>
      <c r="DK174" s="522"/>
      <c r="DM174" s="522"/>
      <c r="DN174" s="522"/>
      <c r="DO174" s="522"/>
      <c r="DP174" s="522"/>
      <c r="DR174" s="522"/>
      <c r="DS174" s="522"/>
      <c r="DT174" s="522"/>
      <c r="DU174" s="522"/>
      <c r="DW174" s="522"/>
      <c r="DX174" s="522"/>
      <c r="DY174" s="522"/>
      <c r="DZ174" s="522"/>
      <c r="EB174" s="522"/>
      <c r="EC174" s="522"/>
      <c r="ED174" s="522"/>
      <c r="EE174" s="522"/>
      <c r="EG174" s="522"/>
      <c r="EH174" s="522"/>
      <c r="EI174" s="522"/>
      <c r="EJ174" s="522"/>
      <c r="FL174" s="111"/>
      <c r="FM174" s="111"/>
    </row>
    <row r="175" spans="1:169" outlineLevel="1">
      <c r="A175" s="106" t="s">
        <v>462</v>
      </c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608"/>
      <c r="W175" s="608"/>
      <c r="X175" s="608"/>
      <c r="Y175" s="133"/>
      <c r="Z175" s="133"/>
      <c r="AA175" s="133"/>
      <c r="AB175" s="133"/>
      <c r="AC175" s="133"/>
      <c r="AD175" s="507"/>
      <c r="AE175" s="507"/>
      <c r="AF175" s="507"/>
      <c r="AG175" s="133"/>
      <c r="AH175" s="133"/>
      <c r="AI175" s="608"/>
      <c r="AJ175" s="608"/>
      <c r="AK175" s="153">
        <f t="shared" ref="AK175:AX175" si="182">AK176/AK170</f>
      </c>
      <c r="AL175" s="153">
        <f t="shared" si="182"/>
      </c>
      <c r="AM175" s="153">
        <f t="shared" si="182"/>
      </c>
      <c r="AN175" s="153">
        <f t="shared" si="182"/>
      </c>
      <c r="AO175" s="153"/>
      <c r="AP175" s="153">
        <f t="shared" si="182"/>
      </c>
      <c r="AQ175" s="153">
        <f t="shared" si="182"/>
      </c>
      <c r="AR175" s="153">
        <f t="shared" si="182"/>
      </c>
      <c r="AS175" s="153">
        <f t="shared" si="182"/>
      </c>
      <c r="AT175" s="153"/>
      <c r="AU175" s="153">
        <f t="shared" si="182"/>
      </c>
      <c r="AV175" s="153">
        <f t="shared" si="182"/>
      </c>
      <c r="AW175" s="153">
        <f t="shared" si="182"/>
      </c>
      <c r="AX175" s="547">
        <f t="shared" si="182"/>
      </c>
      <c r="AY175" s="153"/>
      <c r="AZ175" s="153">
        <f>AZ176/AZ170</f>
      </c>
      <c r="BA175" s="153">
        <f>BA176/BA170</f>
      </c>
      <c r="BB175" s="153">
        <f>BB176/BB170</f>
      </c>
      <c r="BC175" s="153">
        <f>BC176/BC170</f>
      </c>
      <c r="BD175" s="153"/>
      <c r="BE175" s="153"/>
      <c r="BF175" s="153"/>
      <c r="BG175" s="153"/>
      <c r="BH175" s="153"/>
      <c r="BI175" s="153"/>
      <c r="BJ175" s="153"/>
      <c r="BK175" s="153"/>
      <c r="BL175" s="153"/>
      <c r="BM175" s="153"/>
      <c r="BN175" s="153"/>
      <c r="BO175" s="153"/>
      <c r="BP175" s="153"/>
      <c r="BQ175" s="153"/>
      <c r="BR175" s="153"/>
      <c r="BS175" s="153"/>
      <c r="BT175" s="153"/>
      <c r="BU175" s="153"/>
      <c r="BV175" s="153"/>
      <c r="BW175" s="153"/>
      <c r="BX175" s="153"/>
      <c r="BY175" s="153"/>
      <c r="BZ175" s="153"/>
      <c r="CA175" s="153"/>
      <c r="CB175" s="550"/>
      <c r="CC175" s="153"/>
      <c r="CD175" s="153"/>
      <c r="CE175" s="153"/>
      <c r="CF175" s="153"/>
      <c r="CG175" s="153"/>
      <c r="CH175" s="153"/>
      <c r="CI175" s="153"/>
      <c r="CJ175" s="153"/>
      <c r="CK175" s="153"/>
      <c r="CL175" s="153"/>
      <c r="CM175" s="153"/>
      <c r="CN175" s="153"/>
      <c r="CO175" s="153"/>
      <c r="CP175" s="608"/>
      <c r="CQ175" s="608"/>
      <c r="CR175" s="608"/>
      <c r="CS175" s="608"/>
      <c r="CT175" s="608"/>
      <c r="CU175" s="608"/>
      <c r="CV175" s="608"/>
      <c r="CW175" s="608"/>
      <c r="CX175" s="522"/>
      <c r="CY175" s="522"/>
      <c r="CZ175" s="522"/>
      <c r="DA175" s="522"/>
      <c r="DC175" s="522"/>
      <c r="DD175" s="522"/>
      <c r="DE175" s="522"/>
      <c r="DF175" s="522"/>
      <c r="DH175" s="522"/>
      <c r="DI175" s="522"/>
      <c r="DJ175" s="522"/>
      <c r="DK175" s="522"/>
      <c r="DM175" s="522"/>
      <c r="DN175" s="522"/>
      <c r="DO175" s="522"/>
      <c r="DP175" s="522"/>
      <c r="DR175" s="522"/>
      <c r="DS175" s="522"/>
      <c r="DT175" s="522"/>
      <c r="DU175" s="522"/>
      <c r="DW175" s="522"/>
      <c r="DX175" s="522"/>
      <c r="DY175" s="522"/>
      <c r="DZ175" s="522"/>
      <c r="EB175" s="522"/>
      <c r="EC175" s="522"/>
      <c r="ED175" s="522"/>
      <c r="EE175" s="522"/>
      <c r="EG175" s="522"/>
      <c r="EH175" s="522"/>
      <c r="EI175" s="522"/>
      <c r="EJ175" s="522"/>
      <c r="FL175" s="111"/>
      <c r="FM175" s="111"/>
    </row>
    <row r="176" spans="1:169" outlineLevel="1">
      <c r="A176" s="106" t="s">
        <v>463</v>
      </c>
      <c r="AD176" s="84"/>
      <c r="AE176" s="84"/>
      <c r="AF176" s="84"/>
      <c r="AK176" s="88">
        <f>80.856-AL176-AK189-AL189</f>
      </c>
      <c r="AL176" s="88">
        <f>18.247-AL189</f>
      </c>
      <c r="AM176" s="88">
        <f>32.238-AM189</f>
      </c>
      <c r="AN176" s="88">
        <f>178.597-SUM(AK189:AN189,AK176:AM176)</f>
      </c>
      <c r="AO176" s="88"/>
      <c r="AP176" s="88">
        <f>77.865-AP189</f>
      </c>
      <c r="AQ176" s="88">
        <f>72.737-AQ189</f>
      </c>
      <c r="AR176" s="88">
        <f>110.873-AR189</f>
      </c>
      <c r="AS176" s="88">
        <f>370.636-SUM(AP176:AR176)-SUM(AP189:AS189)</f>
      </c>
      <c r="AT176" s="88"/>
      <c r="AU176" s="88">
        <f>128.858-AU189</f>
      </c>
      <c r="AV176" s="88">
        <f>128.166-AV189</f>
      </c>
      <c r="AW176" s="88">
        <f>162.217-AW189</f>
      </c>
      <c r="AX176" s="555">
        <f>583.873-SUM(AU176:AW176)-SUM(AU189:AX189)</f>
      </c>
      <c r="AY176" s="88"/>
      <c r="AZ176" s="88">
        <f>124.417-AZ189</f>
      </c>
      <c r="BA176" s="88">
        <f>167.828-BA189</f>
      </c>
      <c r="BB176" s="88">
        <f>207.938-BB189</f>
      </c>
      <c r="BC176" s="88">
        <f>717.985-SUM(AZ176:BB176)-SUM(AZ189:BC189)</f>
      </c>
      <c r="BD176" s="88"/>
      <c r="BE176" s="88"/>
      <c r="BF176" s="88"/>
      <c r="BG176" s="88"/>
      <c r="BH176" s="88"/>
      <c r="BI176" s="88"/>
      <c r="BJ176" s="88"/>
      <c r="BK176" s="88"/>
      <c r="BL176" s="86"/>
      <c r="BM176" s="86"/>
      <c r="BN176" s="86"/>
      <c r="BO176" s="86"/>
      <c r="BP176" s="86"/>
      <c r="BQ176" s="86"/>
      <c r="BR176" s="86"/>
      <c r="BS176" s="86"/>
      <c r="BT176" s="86"/>
      <c r="BU176" s="86"/>
      <c r="BV176" s="86"/>
      <c r="BW176" s="86"/>
      <c r="BX176" s="86"/>
      <c r="BY176" s="86"/>
      <c r="BZ176" s="86"/>
      <c r="CA176" s="86"/>
      <c r="CB176" s="609"/>
      <c r="CC176" s="109"/>
      <c r="CD176" s="109"/>
      <c r="CE176" s="109"/>
      <c r="CF176" s="109"/>
      <c r="CG176" s="109"/>
      <c r="CH176" s="109"/>
      <c r="CI176" s="109"/>
      <c r="CJ176" s="86"/>
      <c r="CK176" s="86"/>
      <c r="CL176" s="86"/>
      <c r="CM176" s="86"/>
      <c r="CN176" s="86"/>
      <c r="CO176" s="86"/>
      <c r="FL176" s="111"/>
      <c r="FM176" s="111"/>
    </row>
    <row r="177" spans="1:169" outlineLevel="1">
      <c r="AD177" s="84"/>
      <c r="AE177" s="84"/>
      <c r="AF177" s="84"/>
      <c r="AH177" s="165"/>
      <c r="AI177" s="133"/>
      <c r="AJ177" s="133"/>
      <c r="AK177" s="133"/>
      <c r="AL177" s="133"/>
      <c r="AM177" s="133"/>
      <c r="AN177" s="87"/>
      <c r="AO177" s="87"/>
      <c r="AS177" s="133"/>
      <c r="AT177" s="133"/>
      <c r="AU177" s="133"/>
      <c r="AV177" s="133"/>
      <c r="AW177" s="133"/>
      <c r="AX177" s="547"/>
      <c r="AY177" s="153"/>
      <c r="AZ177" s="133"/>
      <c r="BA177" s="153"/>
      <c r="BB177" s="133"/>
      <c r="BC177" s="133"/>
      <c r="BD177" s="133"/>
      <c r="BE177" s="133"/>
      <c r="BF177" s="133"/>
      <c r="BG177" s="133"/>
      <c r="BH177" s="610"/>
      <c r="BI177" s="610"/>
      <c r="BJ177" s="133"/>
      <c r="BK177" s="133"/>
      <c r="BL177" s="133"/>
      <c r="BM177" s="86"/>
      <c r="BN177" s="86"/>
      <c r="BO177" s="133"/>
      <c r="BP177" s="133"/>
      <c r="BQ177" s="133"/>
      <c r="BR177" s="611"/>
      <c r="BS177" s="611"/>
      <c r="BT177" s="133"/>
      <c r="BU177" s="133"/>
      <c r="BV177" s="133"/>
      <c r="BW177" s="133"/>
      <c r="BX177" s="133"/>
      <c r="BY177" s="133"/>
      <c r="BZ177" s="133"/>
      <c r="CA177" s="133"/>
      <c r="CB177" s="559"/>
      <c r="CC177" s="133"/>
      <c r="CD177" s="133"/>
      <c r="CE177" s="133"/>
      <c r="CF177" s="461"/>
      <c r="CG177" s="461"/>
      <c r="CH177" s="461"/>
      <c r="CI177" s="461"/>
      <c r="CJ177" s="461"/>
      <c r="CK177" s="461"/>
      <c r="CL177" s="461"/>
      <c r="CM177" s="461"/>
      <c r="CN177" s="461"/>
      <c r="CO177" s="461"/>
      <c r="CP177" s="461"/>
      <c r="CQ177" s="461"/>
      <c r="CR177" s="461"/>
      <c r="CS177" s="461"/>
      <c r="CT177" s="461"/>
      <c r="CU177" s="461"/>
      <c r="CV177" s="461"/>
      <c r="CW177" s="461"/>
      <c r="CX177" s="461"/>
      <c r="CY177" s="461"/>
      <c r="CZ177" s="461"/>
      <c r="DA177" s="461"/>
      <c r="FL177" s="111"/>
      <c r="FM177" s="111"/>
    </row>
    <row r="178" spans="1:169" outlineLevel="1">
      <c r="A178" s="83" t="s">
        <v>464</v>
      </c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133"/>
      <c r="W178" s="133"/>
      <c r="X178" s="133"/>
      <c r="Y178" s="133"/>
      <c r="Z178" s="133"/>
      <c r="AA178" s="133"/>
      <c r="AB178" s="133"/>
      <c r="AC178" s="133"/>
      <c r="AD178" s="133"/>
      <c r="AE178" s="133"/>
      <c r="AF178" s="133"/>
      <c r="AG178" s="133"/>
      <c r="AH178" s="133"/>
      <c r="AI178" s="133"/>
      <c r="AJ178" s="133"/>
      <c r="AK178" s="133"/>
      <c r="AL178" s="133"/>
      <c r="AM178" s="133"/>
      <c r="AN178" s="133"/>
      <c r="AO178" s="133"/>
      <c r="AP178" s="133"/>
      <c r="AQ178" s="133"/>
      <c r="AR178" s="133"/>
      <c r="AS178" s="133"/>
      <c r="AT178" s="133"/>
      <c r="AU178" s="133"/>
      <c r="AV178" s="133"/>
      <c r="AW178" s="133"/>
      <c r="AX178" s="547"/>
      <c r="AY178" s="153"/>
      <c r="AZ178" s="133"/>
      <c r="BA178" s="133"/>
      <c r="BB178" s="133"/>
      <c r="BC178" s="133"/>
      <c r="BD178" s="133"/>
      <c r="BE178" s="133"/>
      <c r="BF178" s="88"/>
      <c r="BG178" s="133"/>
      <c r="BH178" s="133"/>
      <c r="BI178" s="133"/>
      <c r="BJ178" s="507"/>
      <c r="BK178" s="507"/>
      <c r="BL178" s="133"/>
      <c r="BM178" s="86"/>
      <c r="BN178" s="86"/>
      <c r="BO178" s="507"/>
      <c r="BP178" s="507"/>
      <c r="BQ178" s="133"/>
      <c r="BR178" s="507"/>
      <c r="BS178" s="507"/>
      <c r="BT178" s="507"/>
      <c r="BU178" s="109"/>
      <c r="BV178" s="133"/>
      <c r="BW178" s="109"/>
      <c r="BX178" s="109"/>
      <c r="BY178" s="109"/>
      <c r="BZ178" s="109"/>
      <c r="CA178" s="133"/>
      <c r="CB178" s="559"/>
      <c r="CC178" s="133"/>
      <c r="CD178" s="478"/>
      <c r="CE178" s="478"/>
      <c r="CF178" s="507"/>
      <c r="CG178" s="507"/>
      <c r="CH178" s="507"/>
      <c r="CI178" s="507"/>
      <c r="CJ178" s="507"/>
      <c r="CK178" s="507"/>
      <c r="CL178" s="133"/>
      <c r="CM178" s="133"/>
      <c r="CN178" s="507"/>
      <c r="CO178" s="507"/>
      <c r="CP178" s="218"/>
      <c r="CQ178" s="218"/>
      <c r="CR178" s="218"/>
      <c r="CS178" s="88"/>
      <c r="CT178" s="88"/>
      <c r="CU178" s="88"/>
      <c r="CV178" s="133"/>
      <c r="CW178" s="133"/>
      <c r="CX178" s="88"/>
      <c r="CY178" s="88"/>
      <c r="CZ178" s="88"/>
      <c r="DA178" s="133"/>
      <c r="FL178" s="111"/>
      <c r="FM178" s="111"/>
    </row>
    <row r="179" spans="1:169" outlineLevel="1">
      <c r="A179" s="106" t="s">
        <v>454</v>
      </c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8">
        <v>4.6349999999999998</v>
      </c>
      <c r="W179" s="88">
        <v>5.1749999999999998</v>
      </c>
      <c r="X179" s="88">
        <v>5.1059999999999999</v>
      </c>
      <c r="Y179" s="88">
        <v>4.8129999999999997</v>
      </c>
      <c r="Z179" s="88"/>
      <c r="AA179" s="88">
        <v>4.4349999999999996</v>
      </c>
      <c r="AB179" s="88">
        <v>5.173</v>
      </c>
      <c r="AC179" s="88">
        <v>4.8949999999999996</v>
      </c>
      <c r="AD179" s="88">
        <v>6.0350000000000001</v>
      </c>
      <c r="AE179" s="88"/>
      <c r="AF179" s="88">
        <v>5.45</v>
      </c>
      <c r="AG179" s="88">
        <v>5.2750000000000004</v>
      </c>
      <c r="AH179" s="88">
        <v>5.5149999999999997</v>
      </c>
      <c r="AI179" s="88">
        <v>6.25</v>
      </c>
      <c r="AJ179" s="88"/>
      <c r="AK179" s="88">
        <v>5.08</v>
      </c>
      <c r="AL179" s="88">
        <v>5.4649999999999999</v>
      </c>
      <c r="AM179" s="88">
        <v>6.2649999999999997</v>
      </c>
      <c r="AN179" s="88">
        <v>6.86</v>
      </c>
      <c r="AO179" s="88"/>
      <c r="AP179" s="88">
        <v>5.8650000000000002</v>
      </c>
      <c r="AQ179" s="88">
        <v>5.24</v>
      </c>
      <c r="AR179" s="88">
        <v>5.01</v>
      </c>
      <c r="AS179" s="88">
        <v>5.0599999999999996</v>
      </c>
      <c r="AT179" s="88"/>
      <c r="AU179" s="88">
        <v>5.2149999999999999</v>
      </c>
      <c r="AV179" s="88">
        <v>4.88</v>
      </c>
      <c r="AW179" s="461">
        <v>5.34</v>
      </c>
      <c r="AX179" s="549">
        <v>6.25</v>
      </c>
      <c r="AY179" s="461"/>
      <c r="AZ179" s="461">
        <v>5.33</v>
      </c>
      <c r="BA179" s="461">
        <v>6.5049999999999999</v>
      </c>
      <c r="BB179" s="461">
        <v>8.1999999999999993</v>
      </c>
      <c r="BC179" s="461">
        <v>9.7750000000000004</v>
      </c>
      <c r="BD179" s="461"/>
      <c r="BE179" s="604"/>
      <c r="BF179" s="604"/>
      <c r="BG179" s="604"/>
      <c r="BH179" s="604"/>
      <c r="BI179" s="483"/>
      <c r="BJ179" s="604"/>
      <c r="BK179" s="604"/>
      <c r="BL179" s="604"/>
      <c r="BM179" s="604"/>
      <c r="BN179" s="483"/>
      <c r="BO179" s="604"/>
      <c r="BP179" s="604"/>
      <c r="BQ179" s="604"/>
      <c r="BR179" s="604"/>
      <c r="BS179" s="483"/>
      <c r="BT179" s="604"/>
      <c r="BU179" s="604"/>
      <c r="BV179" s="604"/>
      <c r="BW179" s="604"/>
      <c r="BX179" s="483"/>
      <c r="BY179" s="604"/>
      <c r="BZ179" s="604"/>
      <c r="CA179" s="604"/>
      <c r="CB179" s="604"/>
      <c r="CC179" s="483"/>
      <c r="CD179" s="604"/>
      <c r="CE179" s="604"/>
      <c r="CF179" s="604"/>
      <c r="CG179" s="604"/>
      <c r="CH179" s="483"/>
      <c r="CI179" s="604"/>
      <c r="CJ179" s="604"/>
      <c r="CK179" s="604"/>
      <c r="CL179" s="604"/>
      <c r="CM179" s="483"/>
      <c r="CN179" s="604"/>
      <c r="CO179" s="604"/>
      <c r="CP179" s="604"/>
      <c r="CQ179" s="604"/>
      <c r="CR179" s="483"/>
      <c r="CS179" s="604"/>
      <c r="CT179" s="604"/>
      <c r="CU179" s="604"/>
      <c r="CV179" s="604"/>
      <c r="CW179" s="483"/>
      <c r="CX179" s="604"/>
      <c r="CY179" s="604"/>
      <c r="CZ179" s="604"/>
      <c r="DA179" s="604"/>
      <c r="DB179" s="95"/>
      <c r="DC179" s="604"/>
      <c r="DD179" s="604"/>
      <c r="DE179" s="604"/>
      <c r="DF179" s="604"/>
      <c r="DH179" s="604"/>
      <c r="DI179" s="604"/>
      <c r="DJ179" s="604"/>
      <c r="DK179" s="604"/>
      <c r="DM179" s="604"/>
      <c r="DN179" s="604"/>
      <c r="DO179" s="604"/>
      <c r="DP179" s="604"/>
      <c r="DR179" s="604"/>
      <c r="DS179" s="604"/>
      <c r="DT179" s="604"/>
      <c r="DU179" s="604"/>
      <c r="DW179" s="604"/>
      <c r="DX179" s="604"/>
      <c r="DY179" s="604"/>
      <c r="DZ179" s="604"/>
      <c r="EB179" s="604"/>
      <c r="EC179" s="604"/>
      <c r="ED179" s="604"/>
      <c r="EE179" s="604"/>
      <c r="EG179" s="604"/>
      <c r="EH179" s="604"/>
      <c r="EI179" s="604"/>
      <c r="EJ179" s="604"/>
      <c r="FL179" s="111"/>
      <c r="FM179" s="111"/>
    </row>
    <row r="180" spans="1:169" outlineLevel="1">
      <c r="A180" s="106" t="s">
        <v>455</v>
      </c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153">
        <f t="shared" ref="V180:AX180" si="183">V181/V179</f>
      </c>
      <c r="W180" s="153">
        <f t="shared" si="183"/>
      </c>
      <c r="X180" s="153">
        <f t="shared" si="183"/>
      </c>
      <c r="Y180" s="153">
        <f t="shared" si="183"/>
      </c>
      <c r="Z180" s="153"/>
      <c r="AA180" s="153">
        <f t="shared" si="183"/>
      </c>
      <c r="AB180" s="153">
        <f t="shared" si="183"/>
      </c>
      <c r="AC180" s="153">
        <f t="shared" si="183"/>
      </c>
      <c r="AD180" s="153">
        <f t="shared" si="183"/>
      </c>
      <c r="AE180" s="153"/>
      <c r="AF180" s="153">
        <f t="shared" si="183"/>
      </c>
      <c r="AG180" s="153">
        <f t="shared" si="183"/>
      </c>
      <c r="AH180" s="153">
        <f t="shared" si="183"/>
      </c>
      <c r="AI180" s="153">
        <f t="shared" si="183"/>
      </c>
      <c r="AJ180" s="153"/>
      <c r="AK180" s="153">
        <f t="shared" si="183"/>
      </c>
      <c r="AL180" s="153">
        <f t="shared" si="183"/>
      </c>
      <c r="AM180" s="153">
        <f t="shared" si="183"/>
      </c>
      <c r="AN180" s="153">
        <f t="shared" si="183"/>
      </c>
      <c r="AO180" s="153"/>
      <c r="AP180" s="153">
        <f t="shared" si="183"/>
      </c>
      <c r="AQ180" s="153">
        <f t="shared" si="183"/>
      </c>
      <c r="AR180" s="153">
        <f t="shared" si="183"/>
      </c>
      <c r="AS180" s="153">
        <f t="shared" si="183"/>
      </c>
      <c r="AT180" s="153"/>
      <c r="AU180" s="153">
        <f t="shared" si="183"/>
      </c>
      <c r="AV180" s="153">
        <f t="shared" si="183"/>
      </c>
      <c r="AW180" s="153">
        <f t="shared" si="183"/>
      </c>
      <c r="AX180" s="547">
        <f t="shared" si="183"/>
      </c>
      <c r="AY180" s="153"/>
      <c r="AZ180" s="153">
        <f>AZ181/AZ179</f>
      </c>
      <c r="BA180" s="153">
        <f>BA181/BA179</f>
      </c>
      <c r="BB180" s="153">
        <v>0.72</v>
      </c>
      <c r="BC180" s="153">
        <f>BC181/BC179</f>
      </c>
      <c r="BD180" s="153"/>
      <c r="BE180" s="153"/>
      <c r="BF180" s="153"/>
      <c r="BG180" s="153"/>
      <c r="BH180" s="153"/>
      <c r="BI180" s="153"/>
      <c r="BJ180" s="153"/>
      <c r="BK180" s="153"/>
      <c r="BL180" s="153"/>
      <c r="BM180" s="153"/>
      <c r="BN180" s="153"/>
      <c r="BO180" s="153"/>
      <c r="BP180" s="153"/>
      <c r="BQ180" s="153"/>
      <c r="BR180" s="153"/>
      <c r="BS180" s="153"/>
      <c r="BT180" s="153"/>
      <c r="BU180" s="153"/>
      <c r="BV180" s="153"/>
      <c r="BW180" s="153"/>
      <c r="BX180" s="153"/>
      <c r="BY180" s="153"/>
      <c r="BZ180" s="153"/>
      <c r="CA180" s="153"/>
      <c r="CB180" s="550"/>
      <c r="CC180" s="153"/>
      <c r="CD180" s="153"/>
      <c r="CE180" s="153"/>
      <c r="CF180" s="153"/>
      <c r="CG180" s="153"/>
      <c r="CH180" s="153"/>
      <c r="CI180" s="153"/>
      <c r="CJ180" s="153"/>
      <c r="CK180" s="153"/>
      <c r="CL180" s="153"/>
      <c r="CM180" s="153"/>
      <c r="CN180" s="153"/>
      <c r="CO180" s="153"/>
      <c r="CP180" s="153"/>
      <c r="CQ180" s="153"/>
      <c r="CR180" s="483"/>
      <c r="CS180" s="153"/>
      <c r="CT180" s="153"/>
      <c r="CU180" s="153"/>
      <c r="CV180" s="153"/>
      <c r="CW180" s="483"/>
      <c r="CX180" s="153"/>
      <c r="CY180" s="153"/>
      <c r="CZ180" s="153"/>
      <c r="DA180" s="153"/>
      <c r="DC180" s="153"/>
      <c r="DD180" s="153"/>
      <c r="DE180" s="153"/>
      <c r="DF180" s="153"/>
      <c r="DH180" s="153"/>
      <c r="DI180" s="153"/>
      <c r="DJ180" s="153"/>
      <c r="DK180" s="153"/>
      <c r="DM180" s="153"/>
      <c r="DN180" s="153"/>
      <c r="DO180" s="153"/>
      <c r="DP180" s="153"/>
      <c r="DR180" s="153"/>
      <c r="DS180" s="153"/>
      <c r="DT180" s="153"/>
      <c r="DU180" s="153"/>
      <c r="DW180" s="153"/>
      <c r="DX180" s="153"/>
      <c r="DY180" s="153"/>
      <c r="DZ180" s="153"/>
      <c r="EB180" s="153"/>
      <c r="EC180" s="153"/>
      <c r="ED180" s="153"/>
      <c r="EE180" s="153"/>
      <c r="EG180" s="153"/>
      <c r="EH180" s="153"/>
      <c r="EI180" s="153"/>
      <c r="EJ180" s="153"/>
      <c r="FL180" s="111"/>
      <c r="FM180" s="111"/>
    </row>
    <row r="181" spans="1:169" outlineLevel="1">
      <c r="A181" s="106" t="s">
        <v>465</v>
      </c>
      <c r="B181" s="88"/>
      <c r="C181" s="88"/>
      <c r="D181" s="88"/>
      <c r="E181" s="88"/>
      <c r="F181" s="88"/>
      <c r="G181" s="88"/>
      <c r="H181" s="88"/>
      <c r="I181" s="88"/>
      <c r="J181" s="88"/>
      <c r="K181" s="88"/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>
        <v>7.6999999999999999E-2</v>
      </c>
      <c r="W181" s="88">
        <v>0.20200000000000001</v>
      </c>
      <c r="X181" s="88">
        <v>0.42599999999999999</v>
      </c>
      <c r="Y181" s="88">
        <v>0.5</v>
      </c>
      <c r="Z181" s="88"/>
      <c r="AA181" s="88">
        <v>0.65</v>
      </c>
      <c r="AB181" s="88">
        <v>0.8</v>
      </c>
      <c r="AC181" s="88">
        <v>1.2</v>
      </c>
      <c r="AD181" s="88">
        <v>1.5</v>
      </c>
      <c r="AE181" s="88"/>
      <c r="AF181" s="88">
        <v>1.77</v>
      </c>
      <c r="AG181" s="88">
        <v>1</v>
      </c>
      <c r="AH181" s="88">
        <v>1.175</v>
      </c>
      <c r="AI181" s="88">
        <v>1.3</v>
      </c>
      <c r="AJ181" s="88"/>
      <c r="AK181" s="88">
        <v>1.1000000000000001</v>
      </c>
      <c r="AL181" s="88">
        <v>1.18</v>
      </c>
      <c r="AM181" s="88">
        <v>1.35</v>
      </c>
      <c r="AN181" s="532">
        <v>1.4</v>
      </c>
      <c r="AO181" s="532"/>
      <c r="AP181" s="532">
        <v>1.425</v>
      </c>
      <c r="AQ181" s="532">
        <v>1.35</v>
      </c>
      <c r="AR181" s="88">
        <v>1</v>
      </c>
      <c r="AS181" s="88">
        <v>1</v>
      </c>
      <c r="AT181" s="88"/>
      <c r="AU181" s="88">
        <v>1.2749999999999999</v>
      </c>
      <c r="AV181" s="88">
        <v>1.8</v>
      </c>
      <c r="AW181" s="88">
        <v>2.77</v>
      </c>
      <c r="AX181" s="555">
        <v>3.6</v>
      </c>
      <c r="AY181" s="88"/>
      <c r="AZ181" s="88">
        <v>3.2</v>
      </c>
      <c r="BA181" s="88">
        <v>4.4000000000000004</v>
      </c>
      <c r="BB181" s="88">
        <f>BB180*BB179</f>
      </c>
      <c r="BC181" s="88">
        <v>7.3250000000000002</v>
      </c>
      <c r="BD181" s="88"/>
      <c r="BE181" s="604"/>
      <c r="BF181" s="604"/>
      <c r="BG181" s="604"/>
      <c r="BH181" s="604"/>
      <c r="BI181" s="483"/>
      <c r="BJ181" s="604"/>
      <c r="BK181" s="604"/>
      <c r="BL181" s="604"/>
      <c r="BM181" s="604"/>
      <c r="BN181" s="483"/>
      <c r="BO181" s="604"/>
      <c r="BP181" s="604"/>
      <c r="BQ181" s="604"/>
      <c r="BR181" s="604"/>
      <c r="BS181" s="483"/>
      <c r="BT181" s="604"/>
      <c r="BU181" s="604"/>
      <c r="BV181" s="604"/>
      <c r="BW181" s="604"/>
      <c r="BX181" s="483"/>
      <c r="BY181" s="604"/>
      <c r="BZ181" s="604"/>
      <c r="CA181" s="604"/>
      <c r="CB181" s="604"/>
      <c r="CC181" s="483"/>
      <c r="CD181" s="604"/>
      <c r="CE181" s="604"/>
      <c r="CF181" s="604"/>
      <c r="CG181" s="604"/>
      <c r="CH181" s="483"/>
      <c r="CI181" s="604"/>
      <c r="CJ181" s="604"/>
      <c r="CK181" s="604"/>
      <c r="CL181" s="604"/>
      <c r="CM181" s="483"/>
      <c r="CN181" s="604"/>
      <c r="CO181" s="604"/>
      <c r="CP181" s="604"/>
      <c r="CQ181" s="604"/>
      <c r="CR181" s="483"/>
      <c r="CS181" s="604"/>
      <c r="CT181" s="604"/>
      <c r="CU181" s="604"/>
      <c r="CV181" s="604"/>
      <c r="CW181" s="483"/>
      <c r="CX181" s="604"/>
      <c r="CY181" s="604"/>
      <c r="CZ181" s="604"/>
      <c r="DA181" s="604"/>
      <c r="DB181" s="95"/>
      <c r="DC181" s="604"/>
      <c r="DD181" s="604"/>
      <c r="DE181" s="604"/>
      <c r="DF181" s="604"/>
      <c r="DH181" s="604"/>
      <c r="DI181" s="604"/>
      <c r="DJ181" s="604"/>
      <c r="DK181" s="604"/>
      <c r="DM181" s="604"/>
      <c r="DN181" s="604"/>
      <c r="DO181" s="604"/>
      <c r="DP181" s="604"/>
      <c r="DR181" s="604"/>
      <c r="DS181" s="604"/>
      <c r="DT181" s="604"/>
      <c r="DU181" s="604"/>
      <c r="DW181" s="604"/>
      <c r="DX181" s="604"/>
      <c r="DY181" s="604"/>
      <c r="DZ181" s="604"/>
      <c r="EB181" s="604"/>
      <c r="EC181" s="604"/>
      <c r="ED181" s="604"/>
      <c r="EE181" s="604"/>
      <c r="EG181" s="604"/>
      <c r="EH181" s="604"/>
      <c r="EI181" s="604"/>
      <c r="EJ181" s="604"/>
      <c r="FL181" s="111"/>
      <c r="FM181" s="111"/>
    </row>
    <row r="182" spans="1:169" outlineLevel="1">
      <c r="A182" s="106" t="s">
        <v>457</v>
      </c>
      <c r="B182" s="120"/>
      <c r="C182" s="120"/>
      <c r="D182" s="120"/>
      <c r="E182" s="120"/>
      <c r="F182" s="120"/>
      <c r="G182" s="120"/>
      <c r="H182" s="120"/>
      <c r="I182" s="12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0"/>
      <c r="V182" s="120">
        <f>V183/V181</f>
      </c>
      <c r="W182" s="120">
        <f>W183/W181</f>
      </c>
      <c r="X182" s="120">
        <f>X183/X181</f>
      </c>
      <c r="Y182" s="120">
        <f>Y183/Y181</f>
      </c>
      <c r="Z182" s="120"/>
      <c r="AA182" s="120">
        <v>29.5</v>
      </c>
      <c r="AB182" s="120">
        <v>27.7</v>
      </c>
      <c r="AC182" s="120">
        <v>27.5</v>
      </c>
      <c r="AD182" s="120">
        <v>27.5</v>
      </c>
      <c r="AE182" s="120"/>
      <c r="AF182" s="120">
        <v>29</v>
      </c>
      <c r="AG182" s="120">
        <v>29.4</v>
      </c>
      <c r="AH182" s="120">
        <f>AH183/AH181</f>
      </c>
      <c r="AI182" s="120">
        <v>30.6</v>
      </c>
      <c r="AJ182" s="120"/>
      <c r="AK182" s="120">
        <v>32</v>
      </c>
      <c r="AL182" s="120">
        <v>33</v>
      </c>
      <c r="AM182" s="120">
        <v>33</v>
      </c>
      <c r="AN182" s="120">
        <v>33</v>
      </c>
      <c r="AO182" s="120"/>
      <c r="AP182" s="120">
        <v>33</v>
      </c>
      <c r="AQ182" s="120">
        <v>34</v>
      </c>
      <c r="AR182" s="120">
        <v>35</v>
      </c>
      <c r="AS182" s="120">
        <f>AR182-1</f>
      </c>
      <c r="AT182" s="120"/>
      <c r="AU182" s="120">
        <f t="shared" ref="AU182:BA182" si="184">AU183/AU181</f>
      </c>
      <c r="AV182" s="120">
        <f t="shared" si="184"/>
      </c>
      <c r="AW182" s="120">
        <f t="shared" si="184"/>
      </c>
      <c r="AX182" s="554">
        <f t="shared" si="184"/>
      </c>
      <c r="AY182" s="120"/>
      <c r="AZ182" s="120">
        <f t="shared" si="184"/>
      </c>
      <c r="BA182" s="120">
        <f t="shared" si="184"/>
      </c>
      <c r="BB182" s="120">
        <f>BB183/BB181</f>
      </c>
      <c r="BC182" s="120">
        <f>BC183/BC181</f>
      </c>
      <c r="BD182" s="120"/>
      <c r="BE182" s="120"/>
      <c r="BF182" s="120"/>
      <c r="BG182" s="120"/>
      <c r="BH182" s="120"/>
      <c r="BI182" s="120"/>
      <c r="BJ182" s="120"/>
      <c r="BK182" s="120"/>
      <c r="BL182" s="120"/>
      <c r="BM182" s="120"/>
      <c r="BN182" s="120"/>
      <c r="BO182" s="120"/>
      <c r="BP182" s="120"/>
      <c r="BQ182" s="120"/>
      <c r="BR182" s="120"/>
      <c r="BS182" s="120"/>
      <c r="BT182" s="120"/>
      <c r="BU182" s="120"/>
      <c r="BV182" s="120"/>
      <c r="BW182" s="120"/>
      <c r="BX182" s="120"/>
      <c r="BY182" s="120"/>
      <c r="BZ182" s="120"/>
      <c r="CA182" s="120"/>
      <c r="CB182" s="521"/>
      <c r="CC182" s="120"/>
      <c r="CD182" s="120"/>
      <c r="CE182" s="120"/>
      <c r="CF182" s="120"/>
      <c r="CG182" s="120"/>
      <c r="CH182" s="120"/>
      <c r="CI182" s="120"/>
      <c r="CJ182" s="120"/>
      <c r="CK182" s="120"/>
      <c r="CL182" s="120"/>
      <c r="CM182" s="120"/>
      <c r="CN182" s="120"/>
      <c r="CO182" s="120"/>
      <c r="CP182" s="120"/>
      <c r="CQ182" s="523"/>
      <c r="CR182" s="475"/>
      <c r="CS182" s="523"/>
      <c r="CT182" s="523"/>
      <c r="CU182" s="523"/>
      <c r="CV182" s="523"/>
      <c r="CW182" s="475"/>
      <c r="CX182" s="523"/>
      <c r="CY182" s="523"/>
      <c r="CZ182" s="523"/>
      <c r="DA182" s="523"/>
      <c r="DB182" s="612"/>
      <c r="DC182" s="523"/>
      <c r="DD182" s="523"/>
      <c r="DE182" s="523"/>
      <c r="DF182" s="523"/>
      <c r="DH182" s="523"/>
      <c r="DI182" s="523"/>
      <c r="DJ182" s="523"/>
      <c r="DK182" s="523"/>
      <c r="DM182" s="523"/>
      <c r="DN182" s="523"/>
      <c r="DO182" s="523"/>
      <c r="DP182" s="523"/>
      <c r="DR182" s="523"/>
      <c r="DS182" s="523"/>
      <c r="DT182" s="523"/>
      <c r="DU182" s="523"/>
      <c r="DW182" s="523"/>
      <c r="DX182" s="523"/>
      <c r="DY182" s="523"/>
      <c r="DZ182" s="523"/>
      <c r="EB182" s="523"/>
      <c r="EC182" s="523"/>
      <c r="ED182" s="523"/>
      <c r="EE182" s="523"/>
      <c r="EG182" s="523"/>
      <c r="EH182" s="523"/>
      <c r="EI182" s="523"/>
      <c r="EJ182" s="523"/>
      <c r="FL182" s="111"/>
      <c r="FM182" s="111"/>
    </row>
    <row r="183" spans="1:169" s="583" customFormat="1" outlineLevel="1">
      <c r="A183" s="575" t="s">
        <v>458</v>
      </c>
      <c r="B183" s="578"/>
      <c r="C183" s="578"/>
      <c r="D183" s="578"/>
      <c r="E183" s="578"/>
      <c r="F183" s="578"/>
      <c r="G183" s="578"/>
      <c r="H183" s="578"/>
      <c r="I183" s="578"/>
      <c r="J183" s="578"/>
      <c r="K183" s="578"/>
      <c r="L183" s="578"/>
      <c r="M183" s="578"/>
      <c r="N183" s="578"/>
      <c r="O183" s="578"/>
      <c r="P183" s="578"/>
      <c r="Q183" s="578"/>
      <c r="R183" s="578"/>
      <c r="S183" s="578"/>
      <c r="T183" s="578"/>
      <c r="U183" s="578"/>
      <c r="V183" s="578">
        <f>V243*V254</f>
      </c>
      <c r="W183" s="578">
        <f>W243*W254</f>
      </c>
      <c r="X183" s="578">
        <f>X243*X254</f>
      </c>
      <c r="Y183" s="578">
        <f>Y243*Y254</f>
      </c>
      <c r="Z183" s="578"/>
      <c r="AA183" s="578">
        <f t="shared" ref="AA183:AG183" si="185">AA182*AA181</f>
      </c>
      <c r="AB183" s="578">
        <f t="shared" si="185"/>
      </c>
      <c r="AC183" s="578">
        <f t="shared" si="185"/>
      </c>
      <c r="AD183" s="578">
        <f t="shared" si="185"/>
      </c>
      <c r="AE183" s="578"/>
      <c r="AF183" s="578">
        <f t="shared" si="185"/>
      </c>
      <c r="AG183" s="578">
        <f t="shared" si="185"/>
      </c>
      <c r="AH183" s="578">
        <f>AG183*1.22</f>
      </c>
      <c r="AI183" s="578">
        <f t="shared" ref="AI183:AS183" si="186">AI182*AI181</f>
      </c>
      <c r="AJ183" s="578"/>
      <c r="AK183" s="578">
        <f t="shared" si="186"/>
      </c>
      <c r="AL183" s="578">
        <f t="shared" si="186"/>
      </c>
      <c r="AM183" s="578">
        <f t="shared" si="186"/>
      </c>
      <c r="AN183" s="578">
        <f t="shared" si="186"/>
      </c>
      <c r="AO183" s="578"/>
      <c r="AP183" s="578">
        <f t="shared" si="186"/>
      </c>
      <c r="AQ183" s="578">
        <f t="shared" si="186"/>
      </c>
      <c r="AR183" s="578">
        <f t="shared" si="186"/>
      </c>
      <c r="AS183" s="578">
        <f t="shared" si="186"/>
      </c>
      <c r="AT183" s="578"/>
      <c r="AU183" s="578">
        <f>AV183/1.12</f>
      </c>
      <c r="AV183" s="578">
        <f>AW183/1.46</f>
      </c>
      <c r="AW183" s="578">
        <v>81</v>
      </c>
      <c r="AX183" s="579">
        <f>AS183*2.22</f>
      </c>
      <c r="AY183" s="578"/>
      <c r="AZ183" s="578">
        <f>AU183*1.71</f>
      </c>
      <c r="BA183" s="578">
        <f>AZ183*1.5</f>
      </c>
      <c r="BB183" s="578">
        <f>1.41*BA183</f>
      </c>
      <c r="BC183" s="578">
        <f>BB183*1.01</f>
      </c>
      <c r="BD183" s="578"/>
      <c r="BE183" s="526"/>
      <c r="BF183" s="526"/>
      <c r="BG183" s="578"/>
      <c r="BH183" s="578"/>
      <c r="BI183" s="578"/>
      <c r="BJ183" s="580"/>
      <c r="BK183" s="580"/>
      <c r="BL183" s="580"/>
      <c r="BM183" s="580"/>
      <c r="BN183" s="580"/>
      <c r="BO183" s="578"/>
      <c r="BP183" s="578"/>
      <c r="BQ183" s="578"/>
      <c r="BR183" s="578"/>
      <c r="BS183" s="578"/>
      <c r="BT183" s="578"/>
      <c r="BU183" s="578"/>
      <c r="BV183" s="578"/>
      <c r="BW183" s="578"/>
      <c r="BX183" s="578"/>
      <c r="BY183" s="578"/>
      <c r="BZ183" s="578"/>
      <c r="CA183" s="578"/>
      <c r="CB183" s="613"/>
      <c r="CC183" s="578"/>
      <c r="CD183" s="578"/>
      <c r="CE183" s="578"/>
      <c r="CF183" s="578"/>
      <c r="CG183" s="578"/>
      <c r="CH183" s="578"/>
      <c r="CI183" s="578"/>
      <c r="CJ183" s="580"/>
      <c r="CK183" s="580"/>
      <c r="CL183" s="580"/>
      <c r="CM183" s="580"/>
      <c r="CN183" s="530"/>
      <c r="CO183" s="530"/>
      <c r="CP183" s="530"/>
      <c r="CQ183" s="530"/>
      <c r="CR183" s="530"/>
      <c r="CS183" s="530"/>
      <c r="CT183" s="530"/>
      <c r="CU183" s="530"/>
      <c r="CV183" s="530"/>
      <c r="CW183" s="530"/>
      <c r="CX183" s="530"/>
      <c r="CY183" s="530"/>
      <c r="CZ183" s="530"/>
      <c r="DA183" s="530"/>
      <c r="DB183" s="607"/>
      <c r="DC183" s="530"/>
      <c r="DD183" s="530"/>
      <c r="DE183" s="530"/>
      <c r="DF183" s="530"/>
      <c r="DH183" s="530"/>
      <c r="DI183" s="530"/>
      <c r="DJ183" s="530"/>
      <c r="DK183" s="530"/>
      <c r="DM183" s="530"/>
      <c r="DN183" s="530"/>
      <c r="DO183" s="530"/>
      <c r="DP183" s="530"/>
      <c r="DR183" s="530"/>
      <c r="DS183" s="530"/>
      <c r="DT183" s="530"/>
      <c r="DU183" s="530"/>
      <c r="DW183" s="530"/>
      <c r="DX183" s="530"/>
      <c r="DY183" s="530"/>
      <c r="DZ183" s="530"/>
      <c r="EB183" s="530"/>
      <c r="EC183" s="530"/>
      <c r="ED183" s="530"/>
      <c r="EE183" s="530"/>
      <c r="EG183" s="530"/>
      <c r="EH183" s="530"/>
      <c r="EI183" s="530"/>
      <c r="EJ183" s="530"/>
      <c r="FL183" s="111"/>
      <c r="FM183" s="111"/>
    </row>
    <row r="184" spans="1:169" s="536" customFormat="1" outlineLevel="2">
      <c r="A184" s="445" t="s">
        <v>459</v>
      </c>
      <c r="B184" s="531"/>
      <c r="C184" s="531"/>
      <c r="D184" s="531"/>
      <c r="E184" s="531"/>
      <c r="F184" s="531"/>
      <c r="G184" s="531"/>
      <c r="H184" s="531"/>
      <c r="I184" s="531"/>
      <c r="J184" s="531"/>
      <c r="K184" s="531"/>
      <c r="L184" s="531"/>
      <c r="M184" s="531"/>
      <c r="N184" s="531"/>
      <c r="O184" s="531"/>
      <c r="P184" s="531"/>
      <c r="Q184" s="531"/>
      <c r="R184" s="531"/>
      <c r="S184" s="531"/>
      <c r="T184" s="531"/>
      <c r="U184" s="531"/>
      <c r="V184" s="531"/>
      <c r="W184" s="531"/>
      <c r="X184" s="531"/>
      <c r="Y184" s="531"/>
      <c r="Z184" s="531"/>
      <c r="AA184" s="531"/>
      <c r="AB184" s="531"/>
      <c r="AC184" s="531"/>
      <c r="AD184" s="531"/>
      <c r="AE184" s="531"/>
      <c r="AF184" s="531"/>
      <c r="AG184" s="531"/>
      <c r="AH184" s="531"/>
      <c r="AI184" s="531"/>
      <c r="AJ184" s="531"/>
      <c r="AK184" s="531"/>
      <c r="AL184" s="531"/>
      <c r="AM184" s="531"/>
      <c r="AN184" s="531"/>
      <c r="AO184" s="531"/>
      <c r="AP184" s="531"/>
      <c r="AQ184" s="531"/>
      <c r="AR184" s="531"/>
      <c r="AS184" s="531"/>
      <c r="AT184" s="531"/>
      <c r="AU184" s="532"/>
      <c r="AV184" s="532"/>
      <c r="AW184" s="531"/>
      <c r="AX184" s="533"/>
      <c r="AY184" s="531"/>
      <c r="AZ184" s="531"/>
      <c r="BA184" s="531"/>
      <c r="BB184" s="531"/>
      <c r="BC184" s="531"/>
      <c r="BD184" s="531"/>
      <c r="BE184" s="531"/>
      <c r="BF184" s="531"/>
      <c r="BG184" s="531"/>
      <c r="BH184" s="531"/>
      <c r="BI184" s="531"/>
      <c r="BJ184" s="534"/>
      <c r="BK184" s="534"/>
      <c r="BL184" s="534"/>
      <c r="BM184" s="534"/>
      <c r="BN184" s="534"/>
      <c r="BO184" s="522"/>
      <c r="BP184" s="522"/>
      <c r="BQ184" s="522"/>
      <c r="BR184" s="522"/>
      <c r="BS184" s="522"/>
      <c r="BT184" s="522"/>
      <c r="BU184" s="522"/>
      <c r="BV184" s="522"/>
      <c r="BW184" s="522"/>
      <c r="BX184" s="522"/>
      <c r="BY184" s="522"/>
      <c r="BZ184" s="522"/>
      <c r="CA184" s="522"/>
      <c r="CB184" s="535"/>
      <c r="CC184" s="522"/>
      <c r="CD184" s="522"/>
      <c r="CE184" s="522"/>
      <c r="CF184" s="522"/>
      <c r="CG184" s="522"/>
      <c r="CH184" s="522"/>
      <c r="CI184" s="522"/>
      <c r="CJ184" s="522"/>
      <c r="CK184" s="522"/>
      <c r="CL184" s="522"/>
      <c r="CM184" s="522"/>
      <c r="CN184" s="522"/>
      <c r="CO184" s="522"/>
      <c r="CP184" s="522"/>
      <c r="CQ184" s="522"/>
      <c r="CR184" s="522"/>
      <c r="CS184" s="522"/>
      <c r="CT184" s="522"/>
      <c r="CU184" s="522"/>
      <c r="CV184" s="522"/>
      <c r="CW184" s="522"/>
      <c r="CX184" s="522"/>
      <c r="CY184" s="522"/>
      <c r="CZ184" s="522"/>
      <c r="DA184" s="522"/>
      <c r="DB184" s="469"/>
      <c r="DC184" s="522"/>
      <c r="DD184" s="522"/>
      <c r="DE184" s="522"/>
      <c r="DF184" s="522"/>
      <c r="DH184" s="522"/>
      <c r="DI184" s="522"/>
      <c r="DJ184" s="522"/>
      <c r="DK184" s="522"/>
      <c r="DM184" s="522"/>
      <c r="DN184" s="522"/>
      <c r="DO184" s="522"/>
      <c r="DP184" s="522"/>
      <c r="DR184" s="522"/>
      <c r="DS184" s="522"/>
      <c r="DT184" s="522"/>
      <c r="DU184" s="522"/>
      <c r="DW184" s="522"/>
      <c r="DX184" s="522"/>
      <c r="DY184" s="522"/>
      <c r="DZ184" s="522"/>
      <c r="EB184" s="522"/>
      <c r="EC184" s="522"/>
      <c r="ED184" s="522"/>
      <c r="EE184" s="522"/>
      <c r="EG184" s="522"/>
      <c r="EH184" s="522"/>
      <c r="EI184" s="522"/>
      <c r="EJ184" s="522"/>
      <c r="FL184" s="111"/>
      <c r="FM184" s="111"/>
    </row>
    <row r="185" spans="1:169" s="536" customFormat="1" outlineLevel="2">
      <c r="A185" s="445" t="s">
        <v>460</v>
      </c>
      <c r="B185" s="531"/>
      <c r="C185" s="531"/>
      <c r="D185" s="531"/>
      <c r="E185" s="531"/>
      <c r="F185" s="531"/>
      <c r="G185" s="531"/>
      <c r="H185" s="531"/>
      <c r="I185" s="531"/>
      <c r="J185" s="531"/>
      <c r="K185" s="531"/>
      <c r="L185" s="531"/>
      <c r="M185" s="531"/>
      <c r="N185" s="531"/>
      <c r="O185" s="531"/>
      <c r="P185" s="531"/>
      <c r="Q185" s="531"/>
      <c r="R185" s="531"/>
      <c r="S185" s="531"/>
      <c r="T185" s="531"/>
      <c r="U185" s="531"/>
      <c r="V185" s="531"/>
      <c r="W185" s="531"/>
      <c r="X185" s="531"/>
      <c r="Y185" s="531"/>
      <c r="Z185" s="531"/>
      <c r="AA185" s="531"/>
      <c r="AB185" s="531"/>
      <c r="AC185" s="531"/>
      <c r="AD185" s="531"/>
      <c r="AE185" s="531"/>
      <c r="AF185" s="531"/>
      <c r="AG185" s="531"/>
      <c r="AH185" s="531"/>
      <c r="AI185" s="531"/>
      <c r="AJ185" s="531"/>
      <c r="AK185" s="531"/>
      <c r="AL185" s="531"/>
      <c r="AM185" s="531"/>
      <c r="AN185" s="531"/>
      <c r="AO185" s="531"/>
      <c r="AP185" s="531"/>
      <c r="AQ185" s="531"/>
      <c r="AR185" s="531"/>
      <c r="AS185" s="531"/>
      <c r="AT185" s="531"/>
      <c r="AU185" s="532"/>
      <c r="AV185" s="532"/>
      <c r="AW185" s="531"/>
      <c r="AX185" s="533"/>
      <c r="AY185" s="531"/>
      <c r="AZ185" s="531"/>
      <c r="BA185" s="531"/>
      <c r="BB185" s="531"/>
      <c r="BC185" s="531"/>
      <c r="BD185" s="531"/>
      <c r="BE185" s="531"/>
      <c r="BF185" s="531"/>
      <c r="BG185" s="531"/>
      <c r="BH185" s="531"/>
      <c r="BI185" s="531"/>
      <c r="BJ185" s="534"/>
      <c r="BK185" s="534"/>
      <c r="BL185" s="534"/>
      <c r="BM185" s="534"/>
      <c r="BN185" s="534"/>
      <c r="BO185" s="522"/>
      <c r="BP185" s="522"/>
      <c r="BQ185" s="522"/>
      <c r="BR185" s="522"/>
      <c r="BS185" s="522"/>
      <c r="BT185" s="522"/>
      <c r="BU185" s="522"/>
      <c r="BV185" s="522"/>
      <c r="BW185" s="522"/>
      <c r="BX185" s="522"/>
      <c r="BY185" s="522"/>
      <c r="BZ185" s="522"/>
      <c r="CA185" s="522"/>
      <c r="CB185" s="535"/>
      <c r="CC185" s="522"/>
      <c r="CD185" s="522"/>
      <c r="CE185" s="522"/>
      <c r="CF185" s="522"/>
      <c r="CG185" s="522"/>
      <c r="CH185" s="522"/>
      <c r="CI185" s="522"/>
      <c r="CJ185" s="522"/>
      <c r="CK185" s="522"/>
      <c r="CL185" s="522"/>
      <c r="CM185" s="522"/>
      <c r="CN185" s="522"/>
      <c r="CO185" s="522"/>
      <c r="CP185" s="522"/>
      <c r="CQ185" s="522"/>
      <c r="CR185" s="522"/>
      <c r="CS185" s="522"/>
      <c r="CT185" s="522"/>
      <c r="CU185" s="522"/>
      <c r="CV185" s="522"/>
      <c r="CW185" s="522"/>
      <c r="CX185" s="522"/>
      <c r="CY185" s="522"/>
      <c r="CZ185" s="522"/>
      <c r="DA185" s="522"/>
      <c r="DB185" s="469"/>
      <c r="DC185" s="522"/>
      <c r="DD185" s="522"/>
      <c r="DE185" s="522"/>
      <c r="DF185" s="522"/>
      <c r="DH185" s="522"/>
      <c r="DI185" s="522"/>
      <c r="DJ185" s="522"/>
      <c r="DK185" s="522"/>
      <c r="DM185" s="522"/>
      <c r="DN185" s="522"/>
      <c r="DO185" s="522"/>
      <c r="DP185" s="522"/>
      <c r="DR185" s="522"/>
      <c r="DS185" s="522"/>
      <c r="DT185" s="522"/>
      <c r="DU185" s="522"/>
      <c r="DW185" s="522"/>
      <c r="DX185" s="522"/>
      <c r="DY185" s="522"/>
      <c r="DZ185" s="522"/>
      <c r="EB185" s="522"/>
      <c r="EC185" s="522"/>
      <c r="ED185" s="522"/>
      <c r="EE185" s="522"/>
      <c r="EG185" s="522"/>
      <c r="EH185" s="522"/>
      <c r="EI185" s="522"/>
      <c r="EJ185" s="522"/>
      <c r="FL185" s="111"/>
      <c r="FM185" s="111"/>
    </row>
    <row r="186" spans="1:169" ht="18.75" customHeight="1" outlineLevel="1">
      <c r="A186" s="106" t="s">
        <v>461</v>
      </c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153">
        <v>0.4</v>
      </c>
      <c r="W186" s="153">
        <v>0.4</v>
      </c>
      <c r="X186" s="153">
        <v>0.4</v>
      </c>
      <c r="Y186" s="153">
        <v>0.4</v>
      </c>
      <c r="Z186" s="153"/>
      <c r="AA186" s="153">
        <v>0.4</v>
      </c>
      <c r="AB186" s="153">
        <v>0.4</v>
      </c>
      <c r="AC186" s="153">
        <v>0.38</v>
      </c>
      <c r="AD186" s="153">
        <v>0.375</v>
      </c>
      <c r="AE186" s="153"/>
      <c r="AF186" s="153">
        <v>0.37</v>
      </c>
      <c r="AG186" s="153">
        <v>0.35</v>
      </c>
      <c r="AH186" s="153">
        <v>0.34</v>
      </c>
      <c r="AI186" s="153">
        <v>0.33</v>
      </c>
      <c r="AJ186" s="153"/>
      <c r="AK186" s="153">
        <v>0.32</v>
      </c>
      <c r="AL186" s="153">
        <v>0.32</v>
      </c>
      <c r="AM186" s="153">
        <v>0.32</v>
      </c>
      <c r="AN186" s="153">
        <v>0.32</v>
      </c>
      <c r="AO186" s="153"/>
      <c r="AP186" s="153">
        <v>0.33</v>
      </c>
      <c r="AQ186" s="153">
        <v>0.34</v>
      </c>
      <c r="AR186" s="153">
        <v>0.35</v>
      </c>
      <c r="AS186" s="153">
        <v>0.36</v>
      </c>
      <c r="AT186" s="153"/>
      <c r="AU186" s="153">
        <v>0.35</v>
      </c>
      <c r="AV186" s="153">
        <v>0.38</v>
      </c>
      <c r="AW186" s="153">
        <v>0.38</v>
      </c>
      <c r="AX186" s="547">
        <v>0.38</v>
      </c>
      <c r="AY186" s="153"/>
      <c r="AZ186" s="153">
        <v>0.4</v>
      </c>
      <c r="BA186" s="153">
        <v>0.42</v>
      </c>
      <c r="BB186" s="153">
        <v>0.44</v>
      </c>
      <c r="BC186" s="153">
        <v>0.44</v>
      </c>
      <c r="BD186" s="153"/>
      <c r="BE186" s="153"/>
      <c r="BF186" s="153"/>
      <c r="BG186" s="153"/>
      <c r="BH186" s="153"/>
      <c r="BI186" s="153"/>
      <c r="BJ186" s="153"/>
      <c r="BK186" s="153"/>
      <c r="BL186" s="153"/>
      <c r="BM186" s="153"/>
      <c r="BN186" s="153"/>
      <c r="BO186" s="153"/>
      <c r="BP186" s="153"/>
      <c r="BQ186" s="153"/>
      <c r="BR186" s="153"/>
      <c r="BS186" s="153"/>
      <c r="BT186" s="153"/>
      <c r="BU186" s="153"/>
      <c r="BV186" s="153"/>
      <c r="BW186" s="153"/>
      <c r="BX186" s="153"/>
      <c r="BY186" s="153"/>
      <c r="BZ186" s="153"/>
      <c r="CA186" s="153"/>
      <c r="CB186" s="550"/>
      <c r="CC186" s="153"/>
      <c r="CD186" s="153"/>
      <c r="CE186" s="153"/>
      <c r="CF186" s="153"/>
      <c r="CG186" s="153"/>
      <c r="CH186" s="153"/>
      <c r="CI186" s="153"/>
      <c r="CJ186" s="153"/>
      <c r="CK186" s="153"/>
      <c r="CL186" s="153"/>
      <c r="CM186" s="153"/>
      <c r="CN186" s="153"/>
      <c r="CO186" s="153"/>
      <c r="CP186" s="537"/>
      <c r="CQ186" s="537"/>
      <c r="CR186" s="522"/>
      <c r="CS186" s="537"/>
      <c r="CT186" s="537"/>
      <c r="CU186" s="537"/>
      <c r="CV186" s="537"/>
      <c r="CW186" s="522"/>
      <c r="CX186" s="522"/>
      <c r="CY186" s="522"/>
      <c r="CZ186" s="522"/>
      <c r="DA186" s="522"/>
      <c r="DB186" s="614"/>
      <c r="DC186" s="522"/>
      <c r="DD186" s="522"/>
      <c r="DE186" s="522"/>
      <c r="DF186" s="522"/>
      <c r="DH186" s="522"/>
      <c r="DI186" s="522"/>
      <c r="DJ186" s="522"/>
      <c r="DK186" s="522"/>
      <c r="DM186" s="522"/>
      <c r="DN186" s="522"/>
      <c r="DO186" s="522"/>
      <c r="DP186" s="522"/>
      <c r="DR186" s="522"/>
      <c r="DS186" s="522"/>
      <c r="DT186" s="522"/>
      <c r="DU186" s="522"/>
      <c r="DW186" s="522"/>
      <c r="DX186" s="522"/>
      <c r="DY186" s="522"/>
      <c r="DZ186" s="522"/>
      <c r="EB186" s="522"/>
      <c r="EC186" s="522"/>
      <c r="ED186" s="522"/>
      <c r="EE186" s="522"/>
      <c r="EG186" s="522"/>
      <c r="EH186" s="522"/>
      <c r="EI186" s="522"/>
      <c r="EJ186" s="522"/>
      <c r="FL186" s="111"/>
      <c r="FM186" s="111"/>
    </row>
    <row r="187" spans="1:169" outlineLevel="1">
      <c r="A187" s="106" t="s">
        <v>353</v>
      </c>
      <c r="B187" s="88"/>
      <c r="C187" s="88"/>
      <c r="D187" s="88"/>
      <c r="E187" s="88"/>
      <c r="F187" s="88"/>
      <c r="G187" s="88"/>
      <c r="H187" s="88"/>
      <c r="I187" s="88"/>
      <c r="J187" s="88"/>
      <c r="K187" s="88"/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>
        <f t="shared" ref="V187:BC187" si="187">V186*V183</f>
      </c>
      <c r="W187" s="88">
        <f t="shared" si="187"/>
      </c>
      <c r="X187" s="88">
        <f t="shared" si="187"/>
      </c>
      <c r="Y187" s="88">
        <f t="shared" si="187"/>
      </c>
      <c r="Z187" s="88"/>
      <c r="AA187" s="88">
        <f t="shared" si="187"/>
      </c>
      <c r="AB187" s="88">
        <f t="shared" si="187"/>
      </c>
      <c r="AC187" s="88">
        <f t="shared" si="187"/>
      </c>
      <c r="AD187" s="88">
        <f t="shared" si="187"/>
      </c>
      <c r="AE187" s="88"/>
      <c r="AF187" s="88">
        <f t="shared" si="187"/>
      </c>
      <c r="AG187" s="88">
        <f t="shared" si="187"/>
      </c>
      <c r="AH187" s="88">
        <f t="shared" si="187"/>
      </c>
      <c r="AI187" s="88">
        <f t="shared" si="187"/>
      </c>
      <c r="AJ187" s="88"/>
      <c r="AK187" s="88">
        <f t="shared" si="187"/>
      </c>
      <c r="AL187" s="88">
        <f t="shared" si="187"/>
      </c>
      <c r="AM187" s="88">
        <f t="shared" si="187"/>
      </c>
      <c r="AN187" s="88">
        <f t="shared" si="187"/>
      </c>
      <c r="AO187" s="88"/>
      <c r="AP187" s="88">
        <f t="shared" si="187"/>
      </c>
      <c r="AQ187" s="88">
        <f t="shared" si="187"/>
      </c>
      <c r="AR187" s="88">
        <f t="shared" si="187"/>
      </c>
      <c r="AS187" s="88">
        <f t="shared" si="187"/>
      </c>
      <c r="AT187" s="88"/>
      <c r="AU187" s="88">
        <f t="shared" si="187"/>
      </c>
      <c r="AV187" s="88">
        <f t="shared" si="187"/>
      </c>
      <c r="AW187" s="88">
        <f t="shared" si="187"/>
      </c>
      <c r="AX187" s="555">
        <f t="shared" si="187"/>
      </c>
      <c r="AY187" s="88"/>
      <c r="AZ187" s="88">
        <f t="shared" si="187"/>
      </c>
      <c r="BA187" s="88">
        <f t="shared" si="187"/>
      </c>
      <c r="BB187" s="88">
        <f t="shared" si="187"/>
      </c>
      <c r="BC187" s="88">
        <f t="shared" si="187"/>
      </c>
      <c r="BD187" s="88"/>
      <c r="BE187" s="88"/>
      <c r="BF187" s="88"/>
      <c r="BG187" s="88"/>
      <c r="BH187" s="88"/>
      <c r="BI187" s="88"/>
      <c r="BJ187" s="88"/>
      <c r="BK187" s="88"/>
      <c r="BL187" s="88"/>
      <c r="BM187" s="88"/>
      <c r="BN187" s="88"/>
      <c r="BO187" s="88"/>
      <c r="BP187" s="88"/>
      <c r="BQ187" s="88"/>
      <c r="BR187" s="88"/>
      <c r="BS187" s="88"/>
      <c r="BT187" s="88"/>
      <c r="BU187" s="88"/>
      <c r="BV187" s="88"/>
      <c r="BW187" s="88"/>
      <c r="BX187" s="88"/>
      <c r="BY187" s="88"/>
      <c r="BZ187" s="88"/>
      <c r="CA187" s="88"/>
      <c r="CB187" s="539"/>
      <c r="CC187" s="88"/>
      <c r="CD187" s="88"/>
      <c r="CE187" s="88"/>
      <c r="CF187" s="88"/>
      <c r="CG187" s="88"/>
      <c r="CH187" s="88"/>
      <c r="CI187" s="88"/>
      <c r="CJ187" s="88"/>
      <c r="CK187" s="88"/>
      <c r="CL187" s="88"/>
      <c r="CM187" s="88"/>
      <c r="CN187" s="88"/>
      <c r="CO187" s="88"/>
      <c r="CP187" s="88"/>
      <c r="CQ187" s="88"/>
      <c r="CR187" s="88"/>
      <c r="CS187" s="88"/>
      <c r="CT187" s="88"/>
      <c r="CU187" s="88"/>
      <c r="CV187" s="88"/>
      <c r="CW187" s="88"/>
      <c r="CX187" s="522"/>
      <c r="CY187" s="522"/>
      <c r="CZ187" s="522"/>
      <c r="DA187" s="522"/>
      <c r="DC187" s="522"/>
      <c r="DD187" s="522"/>
      <c r="DE187" s="522"/>
      <c r="DF187" s="522"/>
      <c r="DH187" s="522"/>
      <c r="DI187" s="522"/>
      <c r="DJ187" s="522"/>
      <c r="DK187" s="522"/>
      <c r="DM187" s="522"/>
      <c r="DN187" s="522"/>
      <c r="DO187" s="522"/>
      <c r="DP187" s="522"/>
      <c r="DR187" s="522"/>
      <c r="DS187" s="522"/>
      <c r="DT187" s="522"/>
      <c r="DU187" s="522"/>
      <c r="DW187" s="522"/>
      <c r="DX187" s="522"/>
      <c r="DY187" s="522"/>
      <c r="DZ187" s="522"/>
      <c r="EB187" s="522"/>
      <c r="EC187" s="522"/>
      <c r="ED187" s="522"/>
      <c r="EE187" s="522"/>
      <c r="EG187" s="522"/>
      <c r="EH187" s="522"/>
      <c r="EI187" s="522"/>
      <c r="EJ187" s="522"/>
      <c r="FL187" s="111"/>
      <c r="FM187" s="111"/>
    </row>
    <row r="188" spans="1:169" outlineLevel="1">
      <c r="A188" s="106" t="s">
        <v>462</v>
      </c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133"/>
      <c r="Z188" s="133"/>
      <c r="AA188" s="133"/>
      <c r="AB188" s="133"/>
      <c r="AC188" s="133"/>
      <c r="AD188" s="133"/>
      <c r="AE188" s="133"/>
      <c r="AF188" s="133"/>
      <c r="AG188" s="133"/>
      <c r="AK188" s="540">
        <v>0.16</v>
      </c>
      <c r="AL188" s="540">
        <v>0.06</v>
      </c>
      <c r="AM188" s="540">
        <v>0.09</v>
      </c>
      <c r="AN188" s="540">
        <v>0.12</v>
      </c>
      <c r="AO188" s="540"/>
      <c r="AP188" s="540">
        <v>0.15</v>
      </c>
      <c r="AQ188" s="540">
        <v>0.16</v>
      </c>
      <c r="AR188" s="540">
        <v>0.18</v>
      </c>
      <c r="AS188" s="540">
        <v>0.2</v>
      </c>
      <c r="AT188" s="540"/>
      <c r="AU188" s="540">
        <v>0.21</v>
      </c>
      <c r="AV188" s="540">
        <v>0.23</v>
      </c>
      <c r="AW188" s="540">
        <v>0.27</v>
      </c>
      <c r="AX188" s="615">
        <v>0.27</v>
      </c>
      <c r="AY188" s="540"/>
      <c r="AZ188" s="540">
        <v>0.27</v>
      </c>
      <c r="BA188" s="540">
        <v>0.28000000000000003</v>
      </c>
      <c r="BB188" s="540">
        <v>0.28000000000000003</v>
      </c>
      <c r="BC188" s="540">
        <v>0.28000000000000003</v>
      </c>
      <c r="BD188" s="540"/>
      <c r="BE188" s="540"/>
      <c r="BF188" s="540"/>
      <c r="BG188" s="540"/>
      <c r="BH188" s="540"/>
      <c r="BI188" s="540"/>
      <c r="BJ188" s="540"/>
      <c r="BK188" s="540"/>
      <c r="BL188" s="540"/>
      <c r="BM188" s="540"/>
      <c r="BN188" s="540"/>
      <c r="BO188" s="540"/>
      <c r="BP188" s="540"/>
      <c r="BQ188" s="540"/>
      <c r="BR188" s="540"/>
      <c r="BS188" s="540"/>
      <c r="BT188" s="540"/>
      <c r="BU188" s="540"/>
      <c r="BV188" s="540"/>
      <c r="BW188" s="540"/>
      <c r="BX188" s="540"/>
      <c r="BY188" s="540"/>
      <c r="BZ188" s="540"/>
      <c r="CA188" s="540"/>
      <c r="CB188" s="541"/>
      <c r="CC188" s="540"/>
      <c r="CD188" s="540"/>
      <c r="CE188" s="540"/>
      <c r="CF188" s="540"/>
      <c r="CG188" s="540"/>
      <c r="CH188" s="540"/>
      <c r="CI188" s="540"/>
      <c r="CJ188" s="540"/>
      <c r="CK188" s="540"/>
      <c r="CL188" s="540"/>
      <c r="CM188" s="540"/>
      <c r="CN188" s="540"/>
      <c r="CO188" s="540"/>
      <c r="CX188" s="522"/>
      <c r="CY188" s="522"/>
      <c r="CZ188" s="522"/>
      <c r="DA188" s="522"/>
      <c r="DC188" s="522"/>
      <c r="DD188" s="522"/>
      <c r="DE188" s="522"/>
      <c r="DF188" s="522"/>
      <c r="DH188" s="522"/>
      <c r="DI188" s="522"/>
      <c r="DJ188" s="522"/>
      <c r="DK188" s="522"/>
      <c r="DM188" s="522"/>
      <c r="DN188" s="522"/>
      <c r="DO188" s="522"/>
      <c r="DP188" s="522"/>
      <c r="DR188" s="522"/>
      <c r="DS188" s="522"/>
      <c r="DT188" s="522"/>
      <c r="DU188" s="522"/>
      <c r="DW188" s="522"/>
      <c r="DX188" s="522"/>
      <c r="DY188" s="522"/>
      <c r="DZ188" s="522"/>
      <c r="EB188" s="522"/>
      <c r="EC188" s="522"/>
      <c r="ED188" s="522"/>
      <c r="EE188" s="522"/>
      <c r="EG188" s="522"/>
      <c r="EH188" s="522"/>
      <c r="EI188" s="522"/>
      <c r="EJ188" s="522"/>
      <c r="FL188" s="111"/>
      <c r="FM188" s="111"/>
    </row>
    <row r="189" spans="1:169" outlineLevel="1">
      <c r="A189" s="106" t="s">
        <v>463</v>
      </c>
      <c r="B189" s="503"/>
      <c r="C189" s="503"/>
      <c r="D189" s="503"/>
      <c r="E189" s="503"/>
      <c r="F189" s="503"/>
      <c r="G189" s="503"/>
      <c r="H189" s="503"/>
      <c r="I189" s="503"/>
      <c r="J189" s="503"/>
      <c r="K189" s="503"/>
      <c r="L189" s="503"/>
      <c r="M189" s="503"/>
      <c r="N189" s="503"/>
      <c r="O189" s="503"/>
      <c r="P189" s="503"/>
      <c r="Q189" s="503"/>
      <c r="R189" s="503"/>
      <c r="S189" s="503"/>
      <c r="T189" s="503"/>
      <c r="U189" s="503"/>
      <c r="V189" s="503"/>
      <c r="W189" s="503"/>
      <c r="X189" s="503"/>
      <c r="Y189" s="503"/>
      <c r="Z189" s="503"/>
      <c r="AA189" s="503"/>
      <c r="AB189" s="503"/>
      <c r="AC189" s="503"/>
      <c r="AD189" s="503"/>
      <c r="AE189" s="503"/>
      <c r="AF189" s="503"/>
      <c r="AG189" s="88"/>
      <c r="AH189" s="88"/>
      <c r="AI189" s="88"/>
      <c r="AJ189" s="88"/>
      <c r="AK189" s="88">
        <f t="shared" ref="AK189:BC189" si="188">AK188*AK183</f>
      </c>
      <c r="AL189" s="88">
        <f t="shared" si="188"/>
      </c>
      <c r="AM189" s="88">
        <f t="shared" si="188"/>
      </c>
      <c r="AN189" s="88">
        <f t="shared" si="188"/>
      </c>
      <c r="AO189" s="88"/>
      <c r="AP189" s="88">
        <f t="shared" si="188"/>
      </c>
      <c r="AQ189" s="88">
        <f t="shared" si="188"/>
      </c>
      <c r="AR189" s="88">
        <f t="shared" si="188"/>
      </c>
      <c r="AS189" s="88">
        <f t="shared" si="188"/>
      </c>
      <c r="AT189" s="88"/>
      <c r="AU189" s="88">
        <f t="shared" si="188"/>
      </c>
      <c r="AV189" s="88">
        <f t="shared" si="188"/>
      </c>
      <c r="AW189" s="88">
        <f t="shared" si="188"/>
      </c>
      <c r="AX189" s="555">
        <f t="shared" si="188"/>
      </c>
      <c r="AY189" s="88"/>
      <c r="AZ189" s="88">
        <f t="shared" si="188"/>
      </c>
      <c r="BA189" s="88">
        <f t="shared" si="188"/>
      </c>
      <c r="BB189" s="88">
        <f t="shared" si="188"/>
      </c>
      <c r="BC189" s="88">
        <f t="shared" si="188"/>
      </c>
      <c r="BD189" s="88"/>
      <c r="BE189" s="88"/>
      <c r="BF189" s="88"/>
      <c r="BG189" s="88"/>
      <c r="BH189" s="88"/>
      <c r="BI189" s="88"/>
      <c r="BJ189" s="88"/>
      <c r="BK189" s="88"/>
      <c r="BL189" s="88"/>
      <c r="BM189" s="88"/>
      <c r="BN189" s="88"/>
      <c r="BO189" s="88"/>
      <c r="BP189" s="88"/>
      <c r="BQ189" s="88"/>
      <c r="BR189" s="88"/>
      <c r="BS189" s="88"/>
      <c r="BT189" s="88"/>
      <c r="BU189" s="88"/>
      <c r="BV189" s="88"/>
      <c r="BW189" s="88"/>
      <c r="BX189" s="88"/>
      <c r="BY189" s="88"/>
      <c r="BZ189" s="88"/>
      <c r="CA189" s="88"/>
      <c r="CB189" s="539"/>
      <c r="CC189" s="88"/>
      <c r="CD189" s="88"/>
      <c r="CE189" s="88"/>
      <c r="CF189" s="88"/>
      <c r="CG189" s="88"/>
      <c r="CH189" s="88"/>
      <c r="CI189" s="88"/>
      <c r="CJ189" s="86"/>
      <c r="CK189" s="86"/>
      <c r="CL189" s="86"/>
      <c r="CM189" s="86"/>
      <c r="CN189" s="86"/>
      <c r="CO189" s="86"/>
      <c r="CP189" s="86"/>
      <c r="CQ189" s="86"/>
      <c r="CR189" s="88"/>
      <c r="CS189" s="86"/>
      <c r="CT189" s="86"/>
      <c r="CU189" s="86"/>
      <c r="CV189" s="86"/>
      <c r="CW189" s="88"/>
      <c r="CX189" s="522"/>
      <c r="CY189" s="522"/>
      <c r="CZ189" s="522"/>
      <c r="DA189" s="522"/>
      <c r="DC189" s="522"/>
      <c r="DD189" s="522"/>
      <c r="DE189" s="522"/>
      <c r="DF189" s="522"/>
      <c r="DH189" s="522"/>
      <c r="DI189" s="522"/>
      <c r="DJ189" s="522"/>
      <c r="DK189" s="522"/>
      <c r="DM189" s="522"/>
      <c r="DN189" s="522"/>
      <c r="DO189" s="522"/>
      <c r="DP189" s="522"/>
      <c r="DR189" s="522"/>
      <c r="DS189" s="522"/>
      <c r="DT189" s="522"/>
      <c r="DU189" s="522"/>
      <c r="DW189" s="522"/>
      <c r="DX189" s="522"/>
      <c r="DY189" s="522"/>
      <c r="DZ189" s="522"/>
      <c r="EB189" s="522"/>
      <c r="EC189" s="522"/>
      <c r="ED189" s="522"/>
      <c r="EE189" s="522"/>
      <c r="EG189" s="522"/>
      <c r="EH189" s="522"/>
      <c r="EI189" s="522"/>
      <c r="EJ189" s="522"/>
      <c r="FL189" s="111"/>
      <c r="FM189" s="111"/>
    </row>
    <row r="190" spans="1:169" outlineLevel="1">
      <c r="AD190" s="84"/>
      <c r="AE190" s="84"/>
      <c r="AF190" s="84"/>
      <c r="AM190" s="170"/>
      <c r="AQ190" s="120"/>
      <c r="AU190" s="133"/>
      <c r="AV190" s="120"/>
      <c r="AX190" s="171"/>
      <c r="AY190" s="133"/>
      <c r="AZ190" s="133"/>
      <c r="BB190" s="133"/>
      <c r="BC190" s="133"/>
      <c r="BD190" s="133"/>
      <c r="BE190" s="160"/>
      <c r="BF190" s="159"/>
      <c r="BG190" s="159"/>
      <c r="BH190" s="159"/>
      <c r="BI190" s="159"/>
      <c r="BJ190" s="159"/>
      <c r="BK190" s="159"/>
      <c r="BL190" s="172"/>
      <c r="BM190" s="172"/>
      <c r="BN190" s="172"/>
      <c r="BO190" s="172"/>
      <c r="BP190" s="172"/>
      <c r="BQ190" s="172"/>
      <c r="BR190" s="164"/>
      <c r="BS190" s="164"/>
      <c r="BT190" s="164"/>
      <c r="BU190" s="164"/>
      <c r="BV190" s="164"/>
      <c r="BW190" s="166"/>
      <c r="BX190" s="166"/>
      <c r="BY190" s="166"/>
      <c r="BZ190" s="166"/>
      <c r="CA190" s="164"/>
      <c r="CB190" s="173"/>
      <c r="CC190" s="164"/>
      <c r="CD190" s="164"/>
      <c r="CE190" s="163"/>
      <c r="CF190" s="164"/>
      <c r="CG190" s="164"/>
      <c r="CH190" s="164"/>
      <c r="CI190" s="164"/>
      <c r="CJ190" s="164"/>
      <c r="CK190" s="164"/>
      <c r="CL190" s="164"/>
      <c r="CM190" s="164"/>
      <c r="CN190" s="164"/>
      <c r="CO190" s="164"/>
      <c r="CP190" s="164"/>
      <c r="CQ190" s="164"/>
      <c r="CR190" s="164"/>
      <c r="CS190" s="164"/>
      <c r="CT190" s="164"/>
      <c r="CU190" s="164"/>
      <c r="CV190" s="164"/>
      <c r="CW190" s="164"/>
      <c r="CX190" s="164"/>
      <c r="CY190" s="164"/>
      <c r="CZ190" s="164"/>
      <c r="DA190" s="164"/>
      <c r="DB190" s="158"/>
      <c r="DC190" s="164"/>
      <c r="DH190" s="164"/>
      <c r="DR190" s="164"/>
      <c r="DW190" s="164"/>
      <c r="EB190" s="164"/>
      <c r="EG190" s="164"/>
      <c r="FL190" s="111"/>
      <c r="FM190" s="111"/>
    </row>
    <row r="191" spans="1:169" outlineLevel="1">
      <c r="A191" s="83" t="s">
        <v>466</v>
      </c>
      <c r="AD191" s="84"/>
      <c r="AE191" s="84"/>
      <c r="AF191" s="84"/>
      <c r="AM191" s="170"/>
      <c r="AQ191" s="120"/>
      <c r="AU191" s="133"/>
      <c r="AV191" s="120"/>
      <c r="AX191" s="171"/>
      <c r="AY191" s="133"/>
      <c r="AZ191" s="133"/>
      <c r="BB191" s="133"/>
      <c r="BC191" s="133"/>
      <c r="BD191" s="133"/>
      <c r="BE191" s="164"/>
      <c r="BF191" s="164"/>
      <c r="BG191" s="166"/>
      <c r="BH191" s="166"/>
      <c r="BI191" s="166"/>
      <c r="BJ191" s="135"/>
      <c r="BK191" s="135"/>
      <c r="BL191" s="166"/>
      <c r="BM191" s="161"/>
      <c r="BN191" s="161"/>
      <c r="BO191" s="135"/>
      <c r="BP191" s="135"/>
      <c r="BQ191" s="166"/>
      <c r="BR191" s="135"/>
      <c r="BS191" s="135"/>
      <c r="BT191" s="135"/>
      <c r="BU191" s="163"/>
      <c r="BV191" s="166"/>
      <c r="BW191" s="163"/>
      <c r="BX191" s="163"/>
      <c r="BY191" s="163"/>
      <c r="BZ191" s="163"/>
      <c r="CA191" s="166"/>
      <c r="CB191" s="167"/>
      <c r="CC191" s="166"/>
      <c r="CD191" s="168"/>
      <c r="CE191" s="164"/>
      <c r="CF191" s="164"/>
      <c r="CG191" s="164"/>
      <c r="CH191" s="164"/>
      <c r="CI191" s="164"/>
      <c r="CJ191" s="164"/>
      <c r="CK191" s="164"/>
      <c r="CL191" s="166"/>
      <c r="CM191" s="166"/>
      <c r="CN191" s="160"/>
      <c r="CO191" s="160"/>
      <c r="CP191" s="160"/>
      <c r="CQ191" s="166"/>
      <c r="CR191" s="166"/>
      <c r="CS191" s="160"/>
      <c r="CT191" s="160"/>
      <c r="CU191" s="160"/>
      <c r="CV191" s="166"/>
      <c r="CW191" s="166"/>
      <c r="CX191" s="160"/>
      <c r="CY191" s="160"/>
      <c r="CZ191" s="160"/>
      <c r="DA191" s="166"/>
      <c r="DB191" s="158"/>
      <c r="DC191" s="164"/>
      <c r="DH191" s="164"/>
      <c r="DR191" s="164"/>
      <c r="DW191" s="164"/>
      <c r="EB191" s="164"/>
      <c r="EG191" s="164"/>
      <c r="FL191" s="111"/>
      <c r="FM191" s="111"/>
    </row>
    <row r="192" spans="1:169" outlineLevel="1">
      <c r="A192" s="106" t="s">
        <v>465</v>
      </c>
      <c r="AD192" s="84"/>
      <c r="AE192" s="84"/>
      <c r="AF192" s="84"/>
      <c r="AM192" s="170"/>
      <c r="AQ192" s="120"/>
      <c r="AU192" s="133"/>
      <c r="AV192" s="120"/>
      <c r="AX192" s="171"/>
      <c r="AY192" s="133"/>
      <c r="AZ192" s="109">
        <f>AZ194/AZ193</f>
      </c>
      <c r="BA192" s="109">
        <f>BA194/BA193</f>
      </c>
      <c r="BB192" s="109">
        <f>BB194/BB193</f>
      </c>
      <c r="BC192" s="109">
        <f>BC194/BC193</f>
      </c>
      <c r="BD192" s="109"/>
      <c r="BE192" s="163"/>
      <c r="BF192" s="163"/>
      <c r="BG192" s="163"/>
      <c r="BH192" s="163"/>
      <c r="BI192" s="163"/>
      <c r="BJ192" s="163"/>
      <c r="BK192" s="163"/>
      <c r="BL192" s="163"/>
      <c r="BM192" s="163"/>
      <c r="BN192" s="163"/>
      <c r="BO192" s="163"/>
      <c r="BP192" s="163"/>
      <c r="BQ192" s="163"/>
      <c r="BR192" s="163"/>
      <c r="BS192" s="163"/>
      <c r="BT192" s="163"/>
      <c r="BU192" s="163"/>
      <c r="BV192" s="163"/>
      <c r="BW192" s="163"/>
      <c r="BX192" s="163"/>
      <c r="BY192" s="163"/>
      <c r="BZ192" s="163"/>
      <c r="CA192" s="163"/>
      <c r="CB192" s="162"/>
      <c r="CC192" s="163"/>
      <c r="CD192" s="163"/>
      <c r="CE192" s="163"/>
      <c r="CF192" s="163"/>
      <c r="CG192" s="163"/>
      <c r="CH192" s="163"/>
      <c r="CI192" s="163"/>
      <c r="CJ192" s="163"/>
      <c r="CK192" s="163"/>
      <c r="CL192" s="163"/>
      <c r="CM192" s="163"/>
      <c r="CN192" s="163"/>
      <c r="CO192" s="163"/>
      <c r="CP192" s="163"/>
      <c r="CQ192" s="163"/>
      <c r="CR192" s="157"/>
      <c r="CS192" s="174"/>
      <c r="CT192" s="174"/>
      <c r="CU192" s="174"/>
      <c r="CV192" s="174"/>
      <c r="CW192" s="157"/>
      <c r="CX192" s="174"/>
      <c r="CY192" s="174"/>
      <c r="CZ192" s="174"/>
      <c r="DA192" s="174"/>
      <c r="DB192" s="158"/>
      <c r="DC192" s="174"/>
      <c r="DD192" s="174"/>
      <c r="DE192" s="174"/>
      <c r="DF192" s="174"/>
      <c r="DH192" s="174"/>
      <c r="DI192" s="174"/>
      <c r="DJ192" s="174"/>
      <c r="DK192" s="174"/>
      <c r="DM192" s="174"/>
      <c r="DN192" s="174"/>
      <c r="DO192" s="174"/>
      <c r="DP192" s="174"/>
      <c r="DR192" s="174"/>
      <c r="DS192" s="174"/>
      <c r="DT192" s="174"/>
      <c r="DU192" s="174"/>
      <c r="DW192" s="174"/>
      <c r="DX192" s="174"/>
      <c r="DY192" s="174"/>
      <c r="DZ192" s="174"/>
      <c r="EB192" s="174"/>
      <c r="EC192" s="174"/>
      <c r="ED192" s="174"/>
      <c r="EE192" s="174"/>
      <c r="EG192" s="174"/>
      <c r="EH192" s="174"/>
      <c r="EI192" s="174"/>
      <c r="EJ192" s="174"/>
      <c r="FL192" s="111"/>
      <c r="FM192" s="111"/>
    </row>
    <row r="193" spans="1:169" outlineLevel="1">
      <c r="A193" s="106" t="s">
        <v>457</v>
      </c>
      <c r="AD193" s="84"/>
      <c r="AE193" s="84"/>
      <c r="AF193" s="84"/>
      <c r="AM193" s="520"/>
      <c r="AQ193" s="120"/>
      <c r="AU193" s="133"/>
      <c r="AV193" s="120"/>
      <c r="AX193" s="171"/>
      <c r="AY193" s="133"/>
      <c r="AZ193" s="120">
        <v>190</v>
      </c>
      <c r="BA193" s="120">
        <f>AZ193-2.5</f>
      </c>
      <c r="BB193" s="120">
        <f>BA193-2.5</f>
      </c>
      <c r="BC193" s="120">
        <f>BB193-2.5</f>
      </c>
      <c r="BD193" s="120"/>
      <c r="BE193" s="120"/>
      <c r="BF193" s="120"/>
      <c r="BG193" s="120"/>
      <c r="BH193" s="120"/>
      <c r="BI193" s="120"/>
      <c r="BJ193" s="120"/>
      <c r="BK193" s="120"/>
      <c r="BL193" s="120"/>
      <c r="BM193" s="120"/>
      <c r="BN193" s="120"/>
      <c r="BO193" s="120"/>
      <c r="BP193" s="120"/>
      <c r="BQ193" s="120"/>
      <c r="BR193" s="120"/>
      <c r="BS193" s="120"/>
      <c r="BT193" s="120"/>
      <c r="BU193" s="120"/>
      <c r="BV193" s="120"/>
      <c r="BW193" s="120"/>
      <c r="BX193" s="120"/>
      <c r="BY193" s="120"/>
      <c r="BZ193" s="120"/>
      <c r="CA193" s="120"/>
      <c r="CB193" s="521"/>
      <c r="CC193" s="120"/>
      <c r="CD193" s="120"/>
      <c r="CE193" s="120"/>
      <c r="CF193" s="120"/>
      <c r="CG193" s="120"/>
      <c r="CH193" s="120"/>
      <c r="CI193" s="120"/>
      <c r="CJ193" s="120"/>
      <c r="CK193" s="120"/>
      <c r="CL193" s="120"/>
      <c r="CM193" s="120"/>
      <c r="CN193" s="120"/>
      <c r="CO193" s="120"/>
      <c r="CP193" s="120"/>
      <c r="CQ193" s="120"/>
      <c r="CR193" s="522"/>
      <c r="CS193" s="523"/>
      <c r="CT193" s="523"/>
      <c r="CU193" s="523"/>
      <c r="CV193" s="523"/>
      <c r="CW193" s="522"/>
      <c r="CX193" s="523"/>
      <c r="CY193" s="523"/>
      <c r="CZ193" s="523"/>
      <c r="DA193" s="523"/>
      <c r="DC193" s="523"/>
      <c r="DD193" s="523"/>
      <c r="DE193" s="523"/>
      <c r="DF193" s="523"/>
      <c r="DH193" s="523"/>
      <c r="DI193" s="523"/>
      <c r="DJ193" s="523"/>
      <c r="DK193" s="523"/>
      <c r="DM193" s="523"/>
      <c r="DN193" s="523"/>
      <c r="DO193" s="523"/>
      <c r="DP193" s="523"/>
      <c r="DR193" s="523"/>
      <c r="DS193" s="523"/>
      <c r="DT193" s="523"/>
      <c r="DU193" s="523"/>
      <c r="DW193" s="523"/>
      <c r="DX193" s="523"/>
      <c r="DY193" s="523"/>
      <c r="DZ193" s="523"/>
      <c r="EB193" s="523"/>
      <c r="EC193" s="523"/>
      <c r="ED193" s="523"/>
      <c r="EE193" s="523"/>
      <c r="EG193" s="523"/>
      <c r="EH193" s="523"/>
      <c r="EI193" s="523"/>
      <c r="EJ193" s="523"/>
      <c r="FL193" s="111"/>
      <c r="FM193" s="111"/>
    </row>
    <row r="194" spans="1:169" s="526" customFormat="1" outlineLevel="1">
      <c r="A194" s="524" t="s">
        <v>467</v>
      </c>
      <c r="B194" s="525"/>
      <c r="C194" s="525"/>
      <c r="D194" s="525"/>
      <c r="E194" s="525"/>
      <c r="F194" s="525"/>
      <c r="G194" s="525"/>
      <c r="H194" s="525"/>
      <c r="I194" s="525"/>
      <c r="J194" s="525"/>
      <c r="K194" s="525"/>
      <c r="L194" s="525"/>
      <c r="M194" s="525"/>
      <c r="N194" s="525"/>
      <c r="O194" s="525"/>
      <c r="P194" s="525"/>
      <c r="Q194" s="525"/>
      <c r="R194" s="525"/>
      <c r="S194" s="525"/>
      <c r="T194" s="525"/>
      <c r="U194" s="525"/>
      <c r="V194" s="525"/>
      <c r="W194" s="525"/>
      <c r="X194" s="525"/>
      <c r="Y194" s="525"/>
      <c r="Z194" s="525"/>
      <c r="AA194" s="525"/>
      <c r="AB194" s="525"/>
      <c r="AC194" s="525"/>
      <c r="AD194" s="525"/>
      <c r="AE194" s="525"/>
      <c r="AF194" s="525"/>
      <c r="AM194" s="527"/>
      <c r="AX194" s="528"/>
      <c r="AZ194" s="526">
        <v>140.87299999999999</v>
      </c>
      <c r="BA194" s="526">
        <v>127.321</v>
      </c>
      <c r="BB194" s="526">
        <v>152.15799999999999</v>
      </c>
      <c r="BC194" s="526">
        <f>588.358-SUM(AZ194:BB194)</f>
      </c>
      <c r="CB194" s="529"/>
      <c r="CS194" s="530"/>
      <c r="CT194" s="530"/>
      <c r="CU194" s="530"/>
      <c r="CV194" s="530"/>
      <c r="CX194" s="530"/>
      <c r="CY194" s="530"/>
      <c r="CZ194" s="530"/>
      <c r="DA194" s="530"/>
      <c r="DB194" s="525"/>
      <c r="DC194" s="530"/>
      <c r="DD194" s="530"/>
      <c r="DE194" s="530"/>
      <c r="DF194" s="530"/>
      <c r="DH194" s="530"/>
      <c r="DI194" s="530"/>
      <c r="DJ194" s="530"/>
      <c r="DK194" s="530"/>
      <c r="DM194" s="530"/>
      <c r="DN194" s="530"/>
      <c r="DO194" s="530"/>
      <c r="DP194" s="530"/>
      <c r="DR194" s="530"/>
      <c r="DS194" s="530"/>
      <c r="DT194" s="530"/>
      <c r="DU194" s="530"/>
      <c r="DW194" s="530"/>
      <c r="DX194" s="530"/>
      <c r="DY194" s="530"/>
      <c r="DZ194" s="530"/>
      <c r="EB194" s="530"/>
      <c r="EC194" s="530"/>
      <c r="ED194" s="530"/>
      <c r="EE194" s="530"/>
      <c r="EG194" s="530"/>
      <c r="EH194" s="530"/>
      <c r="EI194" s="530"/>
      <c r="EJ194" s="530"/>
      <c r="FL194" s="111"/>
      <c r="FM194" s="111"/>
    </row>
    <row r="195" spans="1:169" s="536" customFormat="1" outlineLevel="2">
      <c r="A195" s="445" t="s">
        <v>459</v>
      </c>
      <c r="B195" s="531"/>
      <c r="C195" s="531"/>
      <c r="D195" s="531"/>
      <c r="E195" s="531"/>
      <c r="F195" s="531"/>
      <c r="G195" s="531"/>
      <c r="H195" s="531"/>
      <c r="I195" s="531"/>
      <c r="J195" s="531"/>
      <c r="K195" s="531"/>
      <c r="L195" s="531"/>
      <c r="M195" s="531"/>
      <c r="N195" s="531"/>
      <c r="O195" s="531"/>
      <c r="P195" s="531"/>
      <c r="Q195" s="531"/>
      <c r="R195" s="531"/>
      <c r="S195" s="531"/>
      <c r="T195" s="531"/>
      <c r="U195" s="531"/>
      <c r="V195" s="531"/>
      <c r="W195" s="531"/>
      <c r="X195" s="531"/>
      <c r="Y195" s="531"/>
      <c r="Z195" s="531"/>
      <c r="AA195" s="531"/>
      <c r="AB195" s="531"/>
      <c r="AC195" s="531"/>
      <c r="AD195" s="531"/>
      <c r="AE195" s="531"/>
      <c r="AF195" s="531"/>
      <c r="AG195" s="531"/>
      <c r="AH195" s="531"/>
      <c r="AI195" s="531"/>
      <c r="AJ195" s="531"/>
      <c r="AK195" s="531"/>
      <c r="AL195" s="531"/>
      <c r="AM195" s="531"/>
      <c r="AN195" s="531"/>
      <c r="AO195" s="531"/>
      <c r="AP195" s="531"/>
      <c r="AQ195" s="531"/>
      <c r="AR195" s="531"/>
      <c r="AS195" s="531"/>
      <c r="AT195" s="531"/>
      <c r="AU195" s="532"/>
      <c r="AV195" s="532"/>
      <c r="AW195" s="531"/>
      <c r="AX195" s="533"/>
      <c r="AY195" s="531"/>
      <c r="AZ195" s="531"/>
      <c r="BA195" s="531"/>
      <c r="BB195" s="531"/>
      <c r="BC195" s="531"/>
      <c r="BD195" s="531"/>
      <c r="BE195" s="531"/>
      <c r="BF195" s="531"/>
      <c r="BG195" s="531"/>
      <c r="BH195" s="534"/>
      <c r="BI195" s="534"/>
      <c r="BJ195" s="534"/>
      <c r="BK195" s="534"/>
      <c r="BL195" s="534"/>
      <c r="BM195" s="534"/>
      <c r="BN195" s="534"/>
      <c r="BO195" s="522"/>
      <c r="BP195" s="522"/>
      <c r="BQ195" s="522"/>
      <c r="BR195" s="522"/>
      <c r="BS195" s="522"/>
      <c r="BT195" s="522"/>
      <c r="BU195" s="522"/>
      <c r="BV195" s="522"/>
      <c r="BW195" s="522"/>
      <c r="BX195" s="522"/>
      <c r="BY195" s="522"/>
      <c r="BZ195" s="522"/>
      <c r="CA195" s="522"/>
      <c r="CB195" s="535"/>
      <c r="CC195" s="522"/>
      <c r="CD195" s="522"/>
      <c r="CE195" s="522"/>
      <c r="CF195" s="522"/>
      <c r="CG195" s="522"/>
      <c r="CH195" s="522"/>
      <c r="CI195" s="522"/>
      <c r="CJ195" s="522"/>
      <c r="CK195" s="522"/>
      <c r="CL195" s="522"/>
      <c r="CM195" s="522"/>
      <c r="CN195" s="522"/>
      <c r="CO195" s="522"/>
      <c r="CP195" s="522"/>
      <c r="CQ195" s="522"/>
      <c r="CR195" s="522"/>
      <c r="CS195" s="522"/>
      <c r="CT195" s="522"/>
      <c r="CU195" s="522"/>
      <c r="CV195" s="522"/>
      <c r="CW195" s="522"/>
      <c r="CX195" s="522"/>
      <c r="CY195" s="522"/>
      <c r="CZ195" s="522"/>
      <c r="DA195" s="522"/>
      <c r="DB195" s="469"/>
      <c r="DC195" s="522"/>
      <c r="DD195" s="522"/>
      <c r="DE195" s="522"/>
      <c r="DF195" s="522"/>
      <c r="DH195" s="522"/>
      <c r="DI195" s="522"/>
      <c r="DJ195" s="522"/>
      <c r="DK195" s="522"/>
      <c r="DM195" s="522"/>
      <c r="DN195" s="522"/>
      <c r="DO195" s="522"/>
      <c r="DP195" s="522"/>
      <c r="DR195" s="522"/>
      <c r="DS195" s="522"/>
      <c r="DT195" s="522"/>
      <c r="DU195" s="522"/>
      <c r="DW195" s="522"/>
      <c r="DX195" s="522"/>
      <c r="DY195" s="522"/>
      <c r="DZ195" s="522"/>
      <c r="EB195" s="522"/>
      <c r="EC195" s="522"/>
      <c r="ED195" s="522"/>
      <c r="EE195" s="522"/>
      <c r="EG195" s="522"/>
      <c r="EH195" s="522"/>
      <c r="EI195" s="522"/>
      <c r="EJ195" s="522"/>
      <c r="FL195" s="111"/>
      <c r="FM195" s="111"/>
    </row>
    <row r="196" spans="1:169" s="536" customFormat="1" outlineLevel="2">
      <c r="A196" s="445" t="s">
        <v>460</v>
      </c>
      <c r="B196" s="531"/>
      <c r="C196" s="531"/>
      <c r="D196" s="531"/>
      <c r="E196" s="531"/>
      <c r="F196" s="531"/>
      <c r="G196" s="531"/>
      <c r="H196" s="531"/>
      <c r="I196" s="531"/>
      <c r="J196" s="531"/>
      <c r="K196" s="531"/>
      <c r="L196" s="531"/>
      <c r="M196" s="531"/>
      <c r="N196" s="531"/>
      <c r="O196" s="531"/>
      <c r="P196" s="531"/>
      <c r="Q196" s="531"/>
      <c r="R196" s="531"/>
      <c r="S196" s="531"/>
      <c r="T196" s="531"/>
      <c r="U196" s="531"/>
      <c r="V196" s="531"/>
      <c r="W196" s="531"/>
      <c r="X196" s="531"/>
      <c r="Y196" s="531"/>
      <c r="Z196" s="531"/>
      <c r="AA196" s="531"/>
      <c r="AB196" s="531"/>
      <c r="AC196" s="531"/>
      <c r="AD196" s="531"/>
      <c r="AE196" s="531"/>
      <c r="AF196" s="531"/>
      <c r="AG196" s="531"/>
      <c r="AH196" s="531"/>
      <c r="AI196" s="531"/>
      <c r="AJ196" s="531"/>
      <c r="AK196" s="531"/>
      <c r="AL196" s="531"/>
      <c r="AM196" s="531"/>
      <c r="AN196" s="531"/>
      <c r="AO196" s="531"/>
      <c r="AP196" s="531"/>
      <c r="AQ196" s="531"/>
      <c r="AR196" s="531"/>
      <c r="AS196" s="531"/>
      <c r="AT196" s="531"/>
      <c r="AU196" s="532"/>
      <c r="AV196" s="532"/>
      <c r="AW196" s="531"/>
      <c r="AX196" s="533"/>
      <c r="AY196" s="531"/>
      <c r="AZ196" s="531"/>
      <c r="BA196" s="531"/>
      <c r="BB196" s="531"/>
      <c r="BC196" s="531"/>
      <c r="BD196" s="531"/>
      <c r="BE196" s="531"/>
      <c r="BF196" s="531"/>
      <c r="BG196" s="531"/>
      <c r="BH196" s="531"/>
      <c r="BI196" s="531"/>
      <c r="BJ196" s="534"/>
      <c r="BK196" s="534"/>
      <c r="BL196" s="534"/>
      <c r="BM196" s="534"/>
      <c r="BN196" s="534"/>
      <c r="BO196" s="522"/>
      <c r="BP196" s="522"/>
      <c r="BQ196" s="522"/>
      <c r="BR196" s="522"/>
      <c r="BS196" s="522"/>
      <c r="BT196" s="522"/>
      <c r="BU196" s="522"/>
      <c r="BV196" s="522"/>
      <c r="BW196" s="522"/>
      <c r="BX196" s="522"/>
      <c r="BY196" s="522"/>
      <c r="BZ196" s="522"/>
      <c r="CA196" s="522"/>
      <c r="CB196" s="535"/>
      <c r="CC196" s="522"/>
      <c r="CD196" s="522"/>
      <c r="CE196" s="522"/>
      <c r="CF196" s="522"/>
      <c r="CG196" s="522"/>
      <c r="CH196" s="522"/>
      <c r="CI196" s="522"/>
      <c r="CJ196" s="522"/>
      <c r="CK196" s="522"/>
      <c r="CL196" s="522"/>
      <c r="CM196" s="522"/>
      <c r="CN196" s="522"/>
      <c r="CO196" s="522"/>
      <c r="CP196" s="522"/>
      <c r="CQ196" s="522"/>
      <c r="CR196" s="522"/>
      <c r="CS196" s="522"/>
      <c r="CT196" s="522"/>
      <c r="CU196" s="522"/>
      <c r="CV196" s="522"/>
      <c r="CW196" s="522"/>
      <c r="CX196" s="522"/>
      <c r="CY196" s="522"/>
      <c r="CZ196" s="522"/>
      <c r="DA196" s="522"/>
      <c r="DB196" s="469"/>
      <c r="DC196" s="522"/>
      <c r="DD196" s="522"/>
      <c r="DE196" s="522"/>
      <c r="DF196" s="522"/>
      <c r="DH196" s="522"/>
      <c r="DI196" s="522"/>
      <c r="DJ196" s="522"/>
      <c r="DK196" s="522"/>
      <c r="DM196" s="522"/>
      <c r="DN196" s="522"/>
      <c r="DO196" s="522"/>
      <c r="DP196" s="522"/>
      <c r="DR196" s="522"/>
      <c r="DS196" s="522"/>
      <c r="DT196" s="522"/>
      <c r="DU196" s="522"/>
      <c r="DW196" s="522"/>
      <c r="DX196" s="522"/>
      <c r="DY196" s="522"/>
      <c r="DZ196" s="522"/>
      <c r="EB196" s="522"/>
      <c r="EC196" s="522"/>
      <c r="ED196" s="522"/>
      <c r="EE196" s="522"/>
      <c r="EG196" s="522"/>
      <c r="EH196" s="522"/>
      <c r="EI196" s="522"/>
      <c r="EJ196" s="522"/>
      <c r="FL196" s="111"/>
      <c r="FM196" s="111"/>
    </row>
    <row r="197" spans="1:169" s="536" customFormat="1" outlineLevel="2">
      <c r="A197" s="445"/>
      <c r="B197" s="531"/>
      <c r="C197" s="531"/>
      <c r="D197" s="531"/>
      <c r="E197" s="531"/>
      <c r="F197" s="531"/>
      <c r="G197" s="531"/>
      <c r="H197" s="531"/>
      <c r="I197" s="531"/>
      <c r="J197" s="531"/>
      <c r="K197" s="531"/>
      <c r="L197" s="531"/>
      <c r="M197" s="531"/>
      <c r="N197" s="531"/>
      <c r="O197" s="531"/>
      <c r="P197" s="531"/>
      <c r="Q197" s="531"/>
      <c r="R197" s="531"/>
      <c r="S197" s="531"/>
      <c r="T197" s="531"/>
      <c r="U197" s="531"/>
      <c r="V197" s="531"/>
      <c r="W197" s="531"/>
      <c r="X197" s="531"/>
      <c r="Y197" s="531"/>
      <c r="Z197" s="531"/>
      <c r="AA197" s="531"/>
      <c r="AB197" s="531"/>
      <c r="AC197" s="531"/>
      <c r="AD197" s="531"/>
      <c r="AE197" s="531"/>
      <c r="AF197" s="531"/>
      <c r="AG197" s="531"/>
      <c r="AH197" s="531"/>
      <c r="AI197" s="531"/>
      <c r="AJ197" s="531"/>
      <c r="AK197" s="531"/>
      <c r="AL197" s="531"/>
      <c r="AM197" s="531"/>
      <c r="AN197" s="531"/>
      <c r="AO197" s="531"/>
      <c r="AP197" s="531"/>
      <c r="AQ197" s="531"/>
      <c r="AR197" s="531"/>
      <c r="AS197" s="531"/>
      <c r="AT197" s="531"/>
      <c r="AU197" s="532"/>
      <c r="AV197" s="532"/>
      <c r="AW197" s="531"/>
      <c r="AX197" s="533"/>
      <c r="AY197" s="531"/>
      <c r="AZ197" s="531"/>
      <c r="BA197" s="531"/>
      <c r="BB197" s="531"/>
      <c r="BC197" s="531"/>
      <c r="BD197" s="531"/>
      <c r="BE197" s="531"/>
      <c r="BF197" s="531"/>
      <c r="BG197" s="531"/>
      <c r="BH197" s="531"/>
      <c r="BI197" s="531"/>
      <c r="BJ197" s="534"/>
      <c r="BK197" s="534"/>
      <c r="BL197" s="534"/>
      <c r="BM197" s="534"/>
      <c r="BN197" s="534"/>
      <c r="BO197" s="522"/>
      <c r="BP197" s="522"/>
      <c r="BQ197" s="522"/>
      <c r="BR197" s="522"/>
      <c r="BS197" s="522"/>
      <c r="BT197" s="522"/>
      <c r="BU197" s="522"/>
      <c r="BV197" s="522"/>
      <c r="BW197" s="522"/>
      <c r="BX197" s="522"/>
      <c r="BY197" s="522"/>
      <c r="BZ197" s="522"/>
      <c r="CA197" s="522"/>
      <c r="CB197" s="535"/>
      <c r="CC197" s="522"/>
      <c r="CD197" s="522"/>
      <c r="CE197" s="522"/>
      <c r="CF197" s="522"/>
      <c r="CG197" s="522"/>
      <c r="CH197" s="522"/>
      <c r="CI197" s="522"/>
      <c r="CJ197" s="522"/>
      <c r="CK197" s="522"/>
      <c r="CL197" s="522"/>
      <c r="CM197" s="522"/>
      <c r="CN197" s="522"/>
      <c r="CO197" s="522"/>
      <c r="CP197" s="522"/>
      <c r="CQ197" s="522"/>
      <c r="CR197" s="522"/>
      <c r="CS197" s="522"/>
      <c r="CT197" s="522"/>
      <c r="CU197" s="522"/>
      <c r="CV197" s="522"/>
      <c r="CW197" s="522"/>
      <c r="CX197" s="522"/>
      <c r="CY197" s="522"/>
      <c r="CZ197" s="522"/>
      <c r="DA197" s="522"/>
      <c r="DB197" s="469"/>
      <c r="DC197" s="522"/>
      <c r="DD197" s="522"/>
      <c r="DE197" s="522"/>
      <c r="DF197" s="522"/>
      <c r="DH197" s="522"/>
      <c r="DI197" s="522"/>
      <c r="DJ197" s="522"/>
      <c r="DK197" s="522"/>
      <c r="DM197" s="522"/>
      <c r="DN197" s="522"/>
      <c r="DO197" s="522"/>
      <c r="DP197" s="522"/>
      <c r="DR197" s="522"/>
      <c r="DS197" s="522"/>
      <c r="DT197" s="522"/>
      <c r="DU197" s="522"/>
      <c r="DW197" s="522"/>
      <c r="DX197" s="522"/>
      <c r="DY197" s="522"/>
      <c r="DZ197" s="522"/>
      <c r="EB197" s="522"/>
      <c r="EC197" s="522"/>
      <c r="ED197" s="522"/>
      <c r="EE197" s="522"/>
      <c r="EG197" s="522"/>
      <c r="EH197" s="522"/>
      <c r="EI197" s="522"/>
      <c r="EJ197" s="522"/>
      <c r="FL197" s="111"/>
      <c r="FM197" s="111"/>
    </row>
    <row r="198" spans="1:169" ht="18.75" customHeight="1" outlineLevel="1">
      <c r="A198" s="106" t="s">
        <v>461</v>
      </c>
      <c r="AD198" s="84"/>
      <c r="AE198" s="84"/>
      <c r="AF198" s="84"/>
      <c r="AM198" s="520"/>
      <c r="AQ198" s="120"/>
      <c r="AU198" s="133"/>
      <c r="AV198" s="120"/>
      <c r="AX198" s="171"/>
      <c r="AY198" s="133"/>
      <c r="AZ198" s="537">
        <v>0.6</v>
      </c>
      <c r="BA198" s="537">
        <v>0.6</v>
      </c>
      <c r="BB198" s="537">
        <v>0.6</v>
      </c>
      <c r="BC198" s="537">
        <v>0.6</v>
      </c>
      <c r="BD198" s="537"/>
      <c r="BE198" s="537"/>
      <c r="BF198" s="537"/>
      <c r="BG198" s="537"/>
      <c r="BH198" s="537"/>
      <c r="BI198" s="537"/>
      <c r="BJ198" s="537"/>
      <c r="BK198" s="537"/>
      <c r="BL198" s="537"/>
      <c r="BM198" s="537"/>
      <c r="BN198" s="537"/>
      <c r="BO198" s="537"/>
      <c r="BP198" s="537"/>
      <c r="BQ198" s="537"/>
      <c r="BR198" s="537"/>
      <c r="BS198" s="537"/>
      <c r="BT198" s="537"/>
      <c r="BU198" s="537"/>
      <c r="BV198" s="537"/>
      <c r="BW198" s="537"/>
      <c r="BX198" s="537"/>
      <c r="BY198" s="537"/>
      <c r="BZ198" s="537"/>
      <c r="CA198" s="537"/>
      <c r="CB198" s="538"/>
      <c r="CC198" s="537"/>
      <c r="CD198" s="537"/>
      <c r="CE198" s="537"/>
      <c r="CF198" s="537"/>
      <c r="CG198" s="537"/>
      <c r="CH198" s="537"/>
      <c r="CI198" s="537"/>
      <c r="CJ198" s="537"/>
      <c r="CK198" s="537"/>
      <c r="CL198" s="537"/>
      <c r="CM198" s="537"/>
      <c r="CN198" s="537"/>
      <c r="CO198" s="537"/>
      <c r="CP198" s="537"/>
      <c r="CQ198" s="537"/>
      <c r="CR198" s="522"/>
      <c r="CS198" s="537"/>
      <c r="CT198" s="537"/>
      <c r="CU198" s="537"/>
      <c r="CV198" s="537"/>
      <c r="CW198" s="522"/>
      <c r="CX198" s="522"/>
      <c r="CY198" s="522"/>
      <c r="CZ198" s="522"/>
      <c r="DA198" s="522"/>
      <c r="DB198" s="469"/>
      <c r="DC198" s="522"/>
      <c r="DD198" s="522"/>
      <c r="DE198" s="522"/>
      <c r="DF198" s="522"/>
      <c r="DH198" s="522"/>
      <c r="DI198" s="522"/>
      <c r="DJ198" s="522"/>
      <c r="DK198" s="522"/>
      <c r="DM198" s="522"/>
      <c r="DN198" s="522"/>
      <c r="DO198" s="522"/>
      <c r="DP198" s="522"/>
      <c r="DR198" s="522"/>
      <c r="DS198" s="522"/>
      <c r="DT198" s="522"/>
      <c r="DU198" s="522"/>
      <c r="DW198" s="522"/>
      <c r="DX198" s="522"/>
      <c r="DY198" s="522"/>
      <c r="DZ198" s="522"/>
      <c r="EB198" s="522"/>
      <c r="EC198" s="522"/>
      <c r="ED198" s="522"/>
      <c r="EE198" s="522"/>
      <c r="EG198" s="522"/>
      <c r="EH198" s="522"/>
      <c r="EI198" s="522"/>
      <c r="EJ198" s="522"/>
      <c r="FL198" s="111"/>
      <c r="FM198" s="111"/>
    </row>
    <row r="199" spans="1:169" outlineLevel="1">
      <c r="A199" s="106" t="s">
        <v>353</v>
      </c>
      <c r="AD199" s="84"/>
      <c r="AE199" s="84"/>
      <c r="AF199" s="84"/>
      <c r="AM199" s="520"/>
      <c r="AQ199" s="120"/>
      <c r="AU199" s="133"/>
      <c r="AV199" s="120"/>
      <c r="AX199" s="171"/>
      <c r="AY199" s="133"/>
      <c r="AZ199" s="88">
        <f>AZ198*AZ194</f>
      </c>
      <c r="BA199" s="88">
        <f>BA198*BA194</f>
      </c>
      <c r="BB199" s="88">
        <f>BB198*BB194</f>
      </c>
      <c r="BC199" s="88">
        <f>BC198*BC194</f>
      </c>
      <c r="BD199" s="88"/>
      <c r="BE199" s="88"/>
      <c r="BF199" s="88"/>
      <c r="BG199" s="88"/>
      <c r="BH199" s="88"/>
      <c r="BI199" s="88"/>
      <c r="BJ199" s="88"/>
      <c r="BK199" s="88"/>
      <c r="BL199" s="88"/>
      <c r="BM199" s="88"/>
      <c r="BN199" s="88"/>
      <c r="BO199" s="88"/>
      <c r="BP199" s="88"/>
      <c r="BQ199" s="88"/>
      <c r="BR199" s="88"/>
      <c r="BS199" s="88"/>
      <c r="BT199" s="88"/>
      <c r="BU199" s="88"/>
      <c r="BV199" s="88"/>
      <c r="BW199" s="88"/>
      <c r="BX199" s="88"/>
      <c r="BY199" s="88"/>
      <c r="BZ199" s="88"/>
      <c r="CA199" s="88"/>
      <c r="CB199" s="539"/>
      <c r="CC199" s="88"/>
      <c r="CD199" s="88"/>
      <c r="CE199" s="88"/>
      <c r="CF199" s="88"/>
      <c r="CG199" s="88"/>
      <c r="CH199" s="88"/>
      <c r="CI199" s="88"/>
      <c r="CJ199" s="88"/>
      <c r="CK199" s="88"/>
      <c r="CL199" s="88"/>
      <c r="CM199" s="88"/>
      <c r="CN199" s="88"/>
      <c r="CO199" s="88"/>
      <c r="CP199" s="88"/>
      <c r="CQ199" s="88"/>
      <c r="CR199" s="88"/>
      <c r="CS199" s="88"/>
      <c r="CT199" s="88"/>
      <c r="CU199" s="88"/>
      <c r="CV199" s="88"/>
      <c r="CW199" s="88"/>
      <c r="CX199" s="522"/>
      <c r="CY199" s="522"/>
      <c r="CZ199" s="522"/>
      <c r="DA199" s="522"/>
      <c r="DB199" s="469"/>
      <c r="DC199" s="522"/>
      <c r="DD199" s="522"/>
      <c r="DE199" s="522"/>
      <c r="DF199" s="522"/>
      <c r="DH199" s="522"/>
      <c r="DI199" s="522"/>
      <c r="DJ199" s="522"/>
      <c r="DK199" s="522"/>
      <c r="DM199" s="522"/>
      <c r="DN199" s="522"/>
      <c r="DO199" s="522"/>
      <c r="DP199" s="522"/>
      <c r="DR199" s="522"/>
      <c r="DS199" s="522"/>
      <c r="DT199" s="522"/>
      <c r="DU199" s="522"/>
      <c r="DW199" s="522"/>
      <c r="DX199" s="522"/>
      <c r="DY199" s="522"/>
      <c r="DZ199" s="522"/>
      <c r="EB199" s="522"/>
      <c r="EC199" s="522"/>
      <c r="ED199" s="522"/>
      <c r="EE199" s="522"/>
      <c r="EG199" s="522"/>
      <c r="EH199" s="522"/>
      <c r="EI199" s="522"/>
      <c r="EJ199" s="522"/>
      <c r="FL199" s="111"/>
      <c r="FM199" s="111"/>
    </row>
    <row r="200" spans="1:169" outlineLevel="1">
      <c r="A200" s="106" t="s">
        <v>462</v>
      </c>
      <c r="AD200" s="84"/>
      <c r="AE200" s="84"/>
      <c r="AF200" s="84"/>
      <c r="AM200" s="520"/>
      <c r="AQ200" s="120"/>
      <c r="AU200" s="133"/>
      <c r="AV200" s="120"/>
      <c r="AX200" s="171"/>
      <c r="AY200" s="133"/>
      <c r="AZ200" s="133">
        <f>AZ201/AZ194</f>
      </c>
      <c r="BA200" s="133">
        <f>BA201/BA194</f>
      </c>
      <c r="BB200" s="133">
        <f>BB201/BB194</f>
      </c>
      <c r="BC200" s="133">
        <f>BC201/BC194</f>
      </c>
      <c r="BD200" s="133"/>
      <c r="BE200" s="133"/>
      <c r="BF200" s="540"/>
      <c r="BG200" s="133"/>
      <c r="BH200" s="133"/>
      <c r="BI200" s="133"/>
      <c r="BJ200" s="133"/>
      <c r="BK200" s="133"/>
      <c r="BL200" s="133"/>
      <c r="BM200" s="133"/>
      <c r="BN200" s="133"/>
      <c r="BO200" s="133"/>
      <c r="BP200" s="133"/>
      <c r="BQ200" s="133"/>
      <c r="BR200" s="133"/>
      <c r="BS200" s="133"/>
      <c r="BT200" s="133"/>
      <c r="BU200" s="133"/>
      <c r="BV200" s="133"/>
      <c r="BW200" s="133"/>
      <c r="BX200" s="133"/>
      <c r="BY200" s="133"/>
      <c r="BZ200" s="133"/>
      <c r="CA200" s="133"/>
      <c r="CB200" s="541"/>
      <c r="CC200" s="540"/>
      <c r="CD200" s="540"/>
      <c r="CE200" s="540"/>
      <c r="CF200" s="540"/>
      <c r="CG200" s="540"/>
      <c r="CH200" s="540"/>
      <c r="CI200" s="540"/>
      <c r="CJ200" s="540"/>
      <c r="CK200" s="540"/>
      <c r="CL200" s="540"/>
      <c r="CM200" s="540"/>
      <c r="CN200" s="540"/>
      <c r="CO200" s="540"/>
      <c r="CP200" s="540"/>
      <c r="CQ200" s="540"/>
      <c r="CX200" s="522"/>
      <c r="CY200" s="522"/>
      <c r="CZ200" s="522"/>
      <c r="DA200" s="522"/>
      <c r="DB200" s="469"/>
      <c r="DC200" s="522"/>
      <c r="DD200" s="522"/>
      <c r="DE200" s="522"/>
      <c r="DF200" s="522"/>
      <c r="DH200" s="522"/>
      <c r="DI200" s="522"/>
      <c r="DJ200" s="522"/>
      <c r="DK200" s="522"/>
      <c r="DM200" s="522"/>
      <c r="DN200" s="522"/>
      <c r="DO200" s="522"/>
      <c r="DP200" s="522"/>
      <c r="DR200" s="522"/>
      <c r="DS200" s="522"/>
      <c r="DT200" s="522"/>
      <c r="DU200" s="522"/>
      <c r="DW200" s="522"/>
      <c r="DX200" s="522"/>
      <c r="DY200" s="522"/>
      <c r="DZ200" s="522"/>
      <c r="EB200" s="522"/>
      <c r="EC200" s="522"/>
      <c r="ED200" s="522"/>
      <c r="EE200" s="522"/>
      <c r="EG200" s="522"/>
      <c r="EH200" s="522"/>
      <c r="EI200" s="522"/>
      <c r="EJ200" s="522"/>
      <c r="FL200" s="111"/>
      <c r="FM200" s="111"/>
    </row>
    <row r="201" spans="1:169" outlineLevel="1">
      <c r="A201" s="106" t="s">
        <v>463</v>
      </c>
      <c r="AD201" s="84"/>
      <c r="AE201" s="84"/>
      <c r="AF201" s="84"/>
      <c r="AM201" s="520"/>
      <c r="AQ201" s="120"/>
      <c r="AU201" s="133"/>
      <c r="AV201" s="120"/>
      <c r="AX201" s="171"/>
      <c r="AY201" s="133"/>
      <c r="AZ201" s="542">
        <v>69.307000000000002</v>
      </c>
      <c r="BA201" s="542">
        <v>66.363</v>
      </c>
      <c r="BB201" s="543">
        <v>82.182000000000002</v>
      </c>
      <c r="BC201" s="543">
        <f>305.395-SUM(AZ201:BB201)</f>
      </c>
      <c r="BD201" s="543"/>
      <c r="BE201" s="543"/>
      <c r="BF201" s="543"/>
      <c r="BG201" s="542"/>
      <c r="BH201" s="542"/>
      <c r="BI201" s="542"/>
      <c r="BJ201" s="542"/>
      <c r="BK201" s="542"/>
      <c r="BL201" s="544"/>
      <c r="BM201" s="545"/>
      <c r="BN201" s="545"/>
      <c r="BO201" s="545"/>
      <c r="BP201" s="545"/>
      <c r="BQ201" s="545"/>
      <c r="BR201" s="545"/>
      <c r="BS201" s="545"/>
      <c r="BT201" s="545"/>
      <c r="BU201" s="545"/>
      <c r="BV201" s="545"/>
      <c r="BW201" s="545"/>
      <c r="BX201" s="545"/>
      <c r="BY201" s="545"/>
      <c r="BZ201" s="545"/>
      <c r="CA201" s="545"/>
      <c r="CB201" s="546"/>
      <c r="CC201" s="86"/>
      <c r="CD201" s="86"/>
      <c r="CE201" s="86"/>
      <c r="CF201" s="86"/>
      <c r="CG201" s="86"/>
      <c r="CH201" s="86"/>
      <c r="CI201" s="86"/>
      <c r="CJ201" s="86"/>
      <c r="CK201" s="86"/>
      <c r="CL201" s="86"/>
      <c r="CM201" s="86"/>
      <c r="CN201" s="86"/>
      <c r="CO201" s="86"/>
      <c r="CP201" s="86"/>
      <c r="CQ201" s="86"/>
      <c r="FL201" s="111"/>
      <c r="FM201" s="111"/>
    </row>
    <row r="202" spans="1:169" outlineLevel="1">
      <c r="AD202" s="84"/>
      <c r="AE202" s="84"/>
      <c r="AF202" s="84"/>
      <c r="AH202" s="165"/>
      <c r="AI202" s="133"/>
      <c r="AJ202" s="133"/>
      <c r="AK202" s="133"/>
      <c r="AL202" s="133"/>
      <c r="AM202" s="133"/>
      <c r="AN202" s="87"/>
      <c r="AO202" s="87"/>
      <c r="AS202" s="133"/>
      <c r="AT202" s="133"/>
      <c r="AU202" s="133"/>
      <c r="AV202" s="133"/>
      <c r="AW202" s="133"/>
      <c r="AX202" s="547"/>
      <c r="AY202" s="153"/>
      <c r="AZ202" s="153"/>
      <c r="BA202" s="153"/>
      <c r="BB202" s="133"/>
      <c r="BC202" s="133"/>
      <c r="BD202" s="133"/>
      <c r="BE202" s="133"/>
      <c r="BF202" s="133"/>
      <c r="BG202" s="133"/>
      <c r="BH202" s="133"/>
      <c r="BI202" s="133"/>
      <c r="BJ202" s="133"/>
      <c r="BK202" s="507"/>
      <c r="BL202" s="507"/>
      <c r="BM202" s="507"/>
      <c r="BN202" s="507"/>
      <c r="BO202" s="507"/>
      <c r="BP202" s="507"/>
      <c r="BQ202" s="507"/>
      <c r="BR202" s="507"/>
      <c r="BS202" s="507"/>
      <c r="BT202" s="507"/>
      <c r="BU202" s="507"/>
      <c r="BV202" s="507"/>
      <c r="BW202" s="507"/>
      <c r="BX202" s="507"/>
      <c r="BY202" s="507"/>
      <c r="BZ202" s="507"/>
      <c r="CA202" s="507"/>
      <c r="CB202" s="548"/>
      <c r="CC202" s="461"/>
      <c r="CD202" s="461"/>
      <c r="CE202" s="461"/>
      <c r="CF202" s="507"/>
      <c r="CG202" s="507"/>
      <c r="CH202" s="507"/>
      <c r="CI202" s="507"/>
      <c r="CJ202" s="507"/>
      <c r="CK202" s="507"/>
      <c r="CL202" s="507"/>
      <c r="CM202" s="507"/>
      <c r="CN202" s="507"/>
      <c r="CO202" s="507"/>
      <c r="CP202" s="507"/>
      <c r="CQ202" s="507"/>
      <c r="CR202" s="507"/>
      <c r="CS202" s="507"/>
      <c r="CT202" s="507"/>
      <c r="CU202" s="507"/>
      <c r="CV202" s="507"/>
      <c r="CW202" s="507"/>
      <c r="CX202" s="507"/>
      <c r="CY202" s="507"/>
      <c r="CZ202" s="507"/>
      <c r="DA202" s="507"/>
      <c r="FL202" s="111"/>
      <c r="FM202" s="111"/>
    </row>
    <row r="203" spans="1:169" outlineLevel="2">
      <c r="A203" s="83" t="s">
        <v>468</v>
      </c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133"/>
      <c r="W203" s="133"/>
      <c r="X203" s="133"/>
      <c r="Y203" s="133"/>
      <c r="Z203" s="133"/>
      <c r="AA203" s="133"/>
      <c r="AB203" s="133"/>
      <c r="AC203" s="133"/>
      <c r="AD203" s="133"/>
      <c r="AE203" s="133"/>
      <c r="AF203" s="133"/>
      <c r="AG203" s="133"/>
      <c r="AH203" s="133"/>
      <c r="AI203" s="133"/>
      <c r="AJ203" s="133"/>
      <c r="AK203" s="133"/>
      <c r="AL203" s="133"/>
      <c r="AM203" s="133"/>
      <c r="AN203" s="133"/>
      <c r="AO203" s="133"/>
      <c r="AP203" s="133"/>
      <c r="AQ203" s="133"/>
      <c r="AR203" s="133"/>
      <c r="AS203" s="133"/>
      <c r="AT203" s="133"/>
      <c r="AU203" s="133"/>
      <c r="AV203" s="133"/>
      <c r="AW203" s="133"/>
      <c r="AX203" s="547"/>
      <c r="AY203" s="153"/>
      <c r="AZ203" s="153"/>
      <c r="BA203" s="153"/>
      <c r="BB203" s="133"/>
      <c r="BC203" s="133"/>
      <c r="BD203" s="133"/>
      <c r="BE203" s="133"/>
      <c r="BF203" s="133"/>
      <c r="BG203" s="133"/>
      <c r="BH203" s="88"/>
      <c r="BI203" s="88"/>
      <c r="BJ203" s="88"/>
      <c r="BK203" s="88"/>
      <c r="BL203" s="88"/>
      <c r="BM203" s="88"/>
      <c r="BN203" s="88"/>
      <c r="BO203" s="88"/>
      <c r="BP203" s="88"/>
      <c r="BQ203" s="88"/>
      <c r="BR203" s="88"/>
      <c r="BS203" s="88"/>
      <c r="BT203" s="88"/>
      <c r="BU203" s="88"/>
      <c r="BV203" s="88"/>
      <c r="BW203" s="88"/>
      <c r="BX203" s="88"/>
      <c r="BY203" s="88"/>
      <c r="BZ203" s="88"/>
      <c r="CA203" s="478"/>
      <c r="CB203" s="539"/>
      <c r="CC203" s="88"/>
      <c r="CD203" s="86"/>
      <c r="CE203" s="86"/>
      <c r="CF203" s="86"/>
      <c r="CG203" s="86"/>
      <c r="CH203" s="86"/>
      <c r="CI203" s="86"/>
      <c r="CJ203" s="86"/>
      <c r="CK203" s="86"/>
      <c r="CL203" s="86"/>
      <c r="CM203" s="86"/>
      <c r="CN203" s="86"/>
      <c r="CO203" s="86"/>
      <c r="CP203" s="86"/>
      <c r="CQ203" s="86"/>
      <c r="CR203" s="86"/>
      <c r="CS203" s="86"/>
      <c r="CT203" s="86"/>
      <c r="CU203" s="86"/>
      <c r="CV203" s="86"/>
      <c r="CW203" s="86"/>
      <c r="CX203" s="86"/>
      <c r="CY203" s="86"/>
      <c r="CZ203" s="86"/>
      <c r="DA203" s="86"/>
      <c r="FL203" s="111"/>
      <c r="FM203" s="111"/>
    </row>
    <row r="204" spans="1:169" outlineLevel="2">
      <c r="A204" s="106" t="s">
        <v>454</v>
      </c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  <c r="AA204" s="85"/>
      <c r="AB204" s="85"/>
      <c r="AC204" s="85"/>
      <c r="AD204" s="85"/>
      <c r="AE204" s="85"/>
      <c r="AF204" s="85"/>
      <c r="AK204" s="88">
        <v>45.537500000000001</v>
      </c>
      <c r="AL204" s="88">
        <v>44.372500000000002</v>
      </c>
      <c r="AM204" s="88">
        <v>55.424999999999997</v>
      </c>
      <c r="AN204" s="88">
        <v>58.542499999999997</v>
      </c>
      <c r="AO204" s="88"/>
      <c r="AP204" s="88">
        <v>53.481999999999999</v>
      </c>
      <c r="AQ204" s="88">
        <v>56.213999999999999</v>
      </c>
      <c r="AR204" s="88">
        <v>66.295000000000002</v>
      </c>
      <c r="AS204" s="88">
        <v>76.3</v>
      </c>
      <c r="AT204" s="88"/>
      <c r="AU204" s="88">
        <v>67.3</v>
      </c>
      <c r="AV204" s="88">
        <v>61.4</v>
      </c>
      <c r="AW204" s="461">
        <v>70.400000000000006</v>
      </c>
      <c r="AX204" s="549">
        <v>68.6875</v>
      </c>
      <c r="AY204" s="461"/>
      <c r="AZ204" s="461">
        <v>63.2</v>
      </c>
      <c r="BA204" s="461">
        <v>70.599999999999994</v>
      </c>
      <c r="BB204" s="461">
        <v>86.2</v>
      </c>
      <c r="BC204" s="88">
        <v>84.8</v>
      </c>
      <c r="BD204" s="88"/>
      <c r="BE204" s="88"/>
      <c r="BF204" s="88"/>
      <c r="BG204" s="88"/>
      <c r="BH204" s="88"/>
      <c r="BI204" s="88"/>
      <c r="BJ204" s="88"/>
      <c r="BK204" s="88"/>
      <c r="BL204" s="88"/>
      <c r="BM204" s="88"/>
      <c r="BN204" s="88"/>
      <c r="BO204" s="88"/>
      <c r="BP204" s="88"/>
      <c r="BQ204" s="88"/>
      <c r="BR204" s="88"/>
      <c r="BS204" s="88"/>
      <c r="BT204" s="88"/>
      <c r="BU204" s="88"/>
      <c r="BV204" s="88"/>
      <c r="BW204" s="88"/>
      <c r="BX204" s="88"/>
      <c r="BY204" s="88"/>
      <c r="BZ204" s="88"/>
      <c r="CA204" s="88"/>
      <c r="CB204" s="539"/>
      <c r="CC204" s="88"/>
      <c r="CD204" s="88"/>
      <c r="CE204" s="88"/>
      <c r="CF204" s="88"/>
      <c r="CG204" s="88"/>
      <c r="CH204" s="88"/>
      <c r="CI204" s="88"/>
      <c r="CJ204" s="87"/>
      <c r="CK204" s="88"/>
      <c r="CL204" s="88"/>
      <c r="CM204" s="88"/>
      <c r="CN204" s="88"/>
      <c r="CO204" s="88"/>
      <c r="CP204" s="88"/>
      <c r="CQ204" s="88"/>
      <c r="CR204" s="88"/>
      <c r="CS204" s="88"/>
      <c r="CT204" s="88"/>
      <c r="CU204" s="88"/>
      <c r="CV204" s="88"/>
      <c r="CW204" s="88"/>
      <c r="CX204" s="88"/>
      <c r="CY204" s="88"/>
      <c r="CZ204" s="88"/>
      <c r="DA204" s="88"/>
      <c r="FL204" s="111"/>
      <c r="FM204" s="111"/>
    </row>
    <row r="205" spans="1:169" outlineLevel="2">
      <c r="A205" s="106" t="s">
        <v>455</v>
      </c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  <c r="AA205" s="85"/>
      <c r="AB205" s="85"/>
      <c r="AC205" s="85"/>
      <c r="AD205" s="85"/>
      <c r="AE205" s="85"/>
      <c r="AF205" s="85"/>
      <c r="AK205" s="153">
        <f t="shared" ref="AK205:AX205" si="189">AK206/AK204</f>
      </c>
      <c r="AL205" s="153">
        <f t="shared" si="189"/>
      </c>
      <c r="AM205" s="153">
        <f t="shared" si="189"/>
      </c>
      <c r="AN205" s="153">
        <f t="shared" si="189"/>
      </c>
      <c r="AO205" s="153"/>
      <c r="AP205" s="153">
        <f t="shared" si="189"/>
      </c>
      <c r="AQ205" s="153">
        <f t="shared" si="189"/>
      </c>
      <c r="AR205" s="153">
        <f t="shared" si="189"/>
      </c>
      <c r="AS205" s="153">
        <f t="shared" si="189"/>
      </c>
      <c r="AT205" s="153"/>
      <c r="AU205" s="153">
        <f t="shared" si="189"/>
      </c>
      <c r="AV205" s="153">
        <f t="shared" si="189"/>
      </c>
      <c r="AW205" s="153">
        <f t="shared" si="189"/>
      </c>
      <c r="AX205" s="547">
        <f t="shared" si="189"/>
      </c>
      <c r="AY205" s="153"/>
      <c r="AZ205" s="153">
        <f>AZ206/AZ204</f>
      </c>
      <c r="BA205" s="153">
        <f>BA206/BA204</f>
      </c>
      <c r="BB205" s="153">
        <v>0.153</v>
      </c>
      <c r="BC205" s="153">
        <f>BC206/BC204</f>
      </c>
      <c r="BD205" s="153"/>
      <c r="BE205" s="153"/>
      <c r="BF205" s="153"/>
      <c r="BG205" s="153"/>
      <c r="BH205" s="153"/>
      <c r="BI205" s="153"/>
      <c r="BJ205" s="153"/>
      <c r="BK205" s="153"/>
      <c r="BL205" s="153"/>
      <c r="BM205" s="153"/>
      <c r="BN205" s="153"/>
      <c r="BO205" s="153"/>
      <c r="BP205" s="153"/>
      <c r="BQ205" s="153"/>
      <c r="BR205" s="153"/>
      <c r="BS205" s="153"/>
      <c r="BT205" s="153"/>
      <c r="BU205" s="153"/>
      <c r="BV205" s="153"/>
      <c r="BW205" s="153"/>
      <c r="BX205" s="153"/>
      <c r="BY205" s="153"/>
      <c r="BZ205" s="153"/>
      <c r="CA205" s="153"/>
      <c r="CB205" s="550"/>
      <c r="CC205" s="153"/>
      <c r="CD205" s="153"/>
      <c r="CE205" s="153"/>
      <c r="CF205" s="153"/>
      <c r="CG205" s="153"/>
      <c r="CH205" s="153"/>
      <c r="CI205" s="153"/>
      <c r="CJ205" s="551"/>
      <c r="CK205" s="153"/>
      <c r="CL205" s="153"/>
      <c r="CM205" s="153"/>
      <c r="CN205" s="153"/>
      <c r="CO205" s="153"/>
      <c r="CP205" s="153"/>
      <c r="CQ205" s="153"/>
      <c r="CR205" s="153"/>
      <c r="CS205" s="153"/>
      <c r="CT205" s="153"/>
      <c r="CU205" s="153"/>
      <c r="CV205" s="153"/>
      <c r="CW205" s="153"/>
      <c r="CX205" s="153"/>
      <c r="CY205" s="153"/>
      <c r="CZ205" s="153"/>
      <c r="DA205" s="153"/>
      <c r="FL205" s="111"/>
      <c r="FM205" s="111"/>
    </row>
    <row r="206" spans="1:169" outlineLevel="2">
      <c r="A206" s="106" t="s">
        <v>465</v>
      </c>
      <c r="B206" s="461"/>
      <c r="C206" s="461"/>
      <c r="D206" s="461"/>
      <c r="E206" s="461"/>
      <c r="F206" s="461"/>
      <c r="G206" s="461"/>
      <c r="H206" s="461"/>
      <c r="I206" s="461"/>
      <c r="J206" s="461"/>
      <c r="K206" s="461"/>
      <c r="L206" s="461"/>
      <c r="M206" s="461"/>
      <c r="N206" s="461"/>
      <c r="O206" s="461"/>
      <c r="P206" s="461"/>
      <c r="Q206" s="461"/>
      <c r="R206" s="461"/>
      <c r="S206" s="461"/>
      <c r="T206" s="461"/>
      <c r="U206" s="461"/>
      <c r="V206" s="88">
        <v>0</v>
      </c>
      <c r="W206" s="88">
        <v>0</v>
      </c>
      <c r="X206" s="88">
        <v>0.06</v>
      </c>
      <c r="Y206" s="88">
        <v>0.18</v>
      </c>
      <c r="Z206" s="88"/>
      <c r="AA206" s="88">
        <v>0.4</v>
      </c>
      <c r="AB206" s="88">
        <v>0.33</v>
      </c>
      <c r="AC206" s="88">
        <v>0.55000000000000004</v>
      </c>
      <c r="AD206" s="88">
        <v>0.77500000000000002</v>
      </c>
      <c r="AE206" s="88"/>
      <c r="AF206" s="88">
        <v>1.6</v>
      </c>
      <c r="AG206" s="88">
        <v>1.7</v>
      </c>
      <c r="AH206" s="88">
        <v>2.2000000000000002</v>
      </c>
      <c r="AI206" s="88">
        <v>2.5</v>
      </c>
      <c r="AJ206" s="88"/>
      <c r="AK206" s="88">
        <f>1.8</f>
      </c>
      <c r="AL206" s="88">
        <f>1.5</f>
      </c>
      <c r="AM206" s="88">
        <v>2.5</v>
      </c>
      <c r="AN206" s="88">
        <v>3</v>
      </c>
      <c r="AO206" s="88"/>
      <c r="AP206" s="88">
        <v>3.2</v>
      </c>
      <c r="AQ206" s="88">
        <v>3.8</v>
      </c>
      <c r="AR206" s="88">
        <v>4.5999999999999996</v>
      </c>
      <c r="AS206" s="88">
        <v>6</v>
      </c>
      <c r="AT206" s="88"/>
      <c r="AU206" s="88">
        <v>6.4</v>
      </c>
      <c r="AV206" s="461">
        <v>7.4</v>
      </c>
      <c r="AW206" s="532">
        <v>10.1</v>
      </c>
      <c r="AX206" s="552">
        <v>11.7</v>
      </c>
      <c r="AY206" s="532"/>
      <c r="AZ206" s="532">
        <v>9</v>
      </c>
      <c r="BA206" s="532">
        <v>11</v>
      </c>
      <c r="BB206" s="532">
        <f>BB205*BB204</f>
      </c>
      <c r="BC206" s="461">
        <v>13</v>
      </c>
      <c r="BD206" s="461"/>
      <c r="BE206" s="461"/>
      <c r="BF206" s="461"/>
      <c r="BG206" s="461"/>
      <c r="BH206" s="461"/>
      <c r="BI206" s="461"/>
      <c r="BJ206" s="461"/>
      <c r="BK206" s="461"/>
      <c r="BL206" s="461"/>
      <c r="BM206" s="461"/>
      <c r="BN206" s="461"/>
      <c r="BO206" s="461"/>
      <c r="BP206" s="461"/>
      <c r="BQ206" s="461"/>
      <c r="BR206" s="461"/>
      <c r="BS206" s="461"/>
      <c r="BT206" s="461"/>
      <c r="BU206" s="461"/>
      <c r="BV206" s="461"/>
      <c r="BW206" s="461"/>
      <c r="BX206" s="461"/>
      <c r="BY206" s="461"/>
      <c r="BZ206" s="461"/>
      <c r="CA206" s="461"/>
      <c r="CB206" s="548"/>
      <c r="CC206" s="461"/>
      <c r="CD206" s="461"/>
      <c r="CE206" s="461"/>
      <c r="CF206" s="461"/>
      <c r="CG206" s="461"/>
      <c r="CH206" s="461"/>
      <c r="CI206" s="461"/>
      <c r="CJ206" s="461"/>
      <c r="CK206" s="461"/>
      <c r="CL206" s="461"/>
      <c r="CM206" s="461"/>
      <c r="CN206" s="461"/>
      <c r="CO206" s="461"/>
      <c r="CP206" s="461"/>
      <c r="CQ206" s="461"/>
      <c r="CR206" s="461"/>
      <c r="CS206" s="461"/>
      <c r="CT206" s="461"/>
      <c r="CU206" s="461"/>
      <c r="CV206" s="461"/>
      <c r="CW206" s="461"/>
      <c r="CX206" s="461"/>
      <c r="CY206" s="461"/>
      <c r="CZ206" s="461"/>
      <c r="DA206" s="461"/>
      <c r="FL206" s="111"/>
      <c r="FM206" s="111"/>
    </row>
    <row r="207" spans="1:169" outlineLevel="2">
      <c r="A207" s="106" t="s">
        <v>457</v>
      </c>
      <c r="B207" s="553"/>
      <c r="C207" s="553"/>
      <c r="D207" s="553"/>
      <c r="E207" s="553"/>
      <c r="F207" s="553"/>
      <c r="G207" s="553"/>
      <c r="H207" s="553"/>
      <c r="I207" s="553"/>
      <c r="J207" s="553"/>
      <c r="K207" s="553"/>
      <c r="L207" s="553"/>
      <c r="M207" s="553"/>
      <c r="N207" s="553"/>
      <c r="O207" s="553"/>
      <c r="P207" s="553"/>
      <c r="Q207" s="553"/>
      <c r="R207" s="553"/>
      <c r="S207" s="553"/>
      <c r="T207" s="553"/>
      <c r="U207" s="553"/>
      <c r="V207" s="120"/>
      <c r="W207" s="120"/>
      <c r="X207" s="120">
        <v>16</v>
      </c>
      <c r="Y207" s="120">
        <v>16</v>
      </c>
      <c r="Z207" s="120"/>
      <c r="AA207" s="120">
        <v>16</v>
      </c>
      <c r="AB207" s="120">
        <v>16</v>
      </c>
      <c r="AC207" s="120">
        <v>16</v>
      </c>
      <c r="AD207" s="120">
        <v>16</v>
      </c>
      <c r="AE207" s="120"/>
      <c r="AF207" s="120">
        <v>20</v>
      </c>
      <c r="AG207" s="120">
        <v>20</v>
      </c>
      <c r="AH207" s="120">
        <v>20</v>
      </c>
      <c r="AI207" s="120">
        <v>20</v>
      </c>
      <c r="AJ207" s="120"/>
      <c r="AK207" s="120">
        <f t="shared" ref="AK207:AV207" si="190">AK208/AK206</f>
      </c>
      <c r="AL207" s="120">
        <f t="shared" si="190"/>
      </c>
      <c r="AM207" s="120">
        <f t="shared" si="190"/>
      </c>
      <c r="AN207" s="120">
        <f t="shared" si="190"/>
      </c>
      <c r="AO207" s="120"/>
      <c r="AP207" s="120">
        <f t="shared" si="190"/>
      </c>
      <c r="AQ207" s="120">
        <f t="shared" si="190"/>
      </c>
      <c r="AR207" s="120">
        <f t="shared" si="190"/>
      </c>
      <c r="AS207" s="120">
        <f t="shared" si="190"/>
      </c>
      <c r="AT207" s="120"/>
      <c r="AU207" s="120">
        <f t="shared" si="190"/>
      </c>
      <c r="AV207" s="120">
        <f t="shared" si="190"/>
      </c>
      <c r="AW207" s="120">
        <v>18.5</v>
      </c>
      <c r="AX207" s="554">
        <f t="shared" ref="AX207:BC207" si="191">AX208/AX206</f>
      </c>
      <c r="AY207" s="120"/>
      <c r="AZ207" s="120">
        <f t="shared" si="191"/>
      </c>
      <c r="BA207" s="120">
        <f t="shared" si="191"/>
      </c>
      <c r="BB207" s="120">
        <f t="shared" si="191"/>
      </c>
      <c r="BC207" s="120">
        <f t="shared" si="191"/>
      </c>
      <c r="BD207" s="120"/>
      <c r="BE207" s="120"/>
      <c r="BF207" s="120"/>
      <c r="BG207" s="120"/>
      <c r="BH207" s="120"/>
      <c r="BI207" s="120"/>
      <c r="BJ207" s="120"/>
      <c r="BK207" s="120"/>
      <c r="BL207" s="120"/>
      <c r="BM207" s="120"/>
      <c r="BN207" s="120"/>
      <c r="BO207" s="120"/>
      <c r="BP207" s="120"/>
      <c r="BQ207" s="120"/>
      <c r="BR207" s="120"/>
      <c r="BS207" s="120"/>
      <c r="BT207" s="120"/>
      <c r="BU207" s="120"/>
      <c r="BV207" s="120"/>
      <c r="BW207" s="120"/>
      <c r="BX207" s="120"/>
      <c r="BY207" s="120"/>
      <c r="BZ207" s="120"/>
      <c r="CA207" s="120"/>
      <c r="CB207" s="521"/>
      <c r="CC207" s="120"/>
      <c r="CD207" s="120"/>
      <c r="CE207" s="120"/>
      <c r="CF207" s="120"/>
      <c r="CG207" s="120"/>
      <c r="CH207" s="120"/>
      <c r="CI207" s="120"/>
      <c r="CJ207" s="120"/>
      <c r="CK207" s="120"/>
      <c r="CL207" s="120"/>
      <c r="CM207" s="120"/>
      <c r="CN207" s="120"/>
      <c r="CO207" s="120"/>
      <c r="CP207" s="120"/>
      <c r="CQ207" s="120"/>
      <c r="CR207" s="120"/>
      <c r="CS207" s="120"/>
      <c r="CT207" s="120"/>
      <c r="CU207" s="120"/>
      <c r="CV207" s="120"/>
      <c r="CW207" s="120"/>
      <c r="CX207" s="120"/>
      <c r="CY207" s="120"/>
      <c r="CZ207" s="120"/>
      <c r="DA207" s="120"/>
      <c r="FL207" s="111"/>
      <c r="FM207" s="111"/>
    </row>
    <row r="208" spans="1:169" outlineLevel="2">
      <c r="A208" s="106" t="s">
        <v>458</v>
      </c>
      <c r="B208" s="461"/>
      <c r="C208" s="461"/>
      <c r="D208" s="461"/>
      <c r="E208" s="461"/>
      <c r="F208" s="461"/>
      <c r="G208" s="461"/>
      <c r="H208" s="461"/>
      <c r="I208" s="461"/>
      <c r="J208" s="461"/>
      <c r="K208" s="461"/>
      <c r="L208" s="461"/>
      <c r="M208" s="461"/>
      <c r="N208" s="461"/>
      <c r="O208" s="461"/>
      <c r="P208" s="461"/>
      <c r="Q208" s="461"/>
      <c r="R208" s="461"/>
      <c r="S208" s="461"/>
      <c r="T208" s="461"/>
      <c r="U208" s="461"/>
      <c r="V208" s="461">
        <f t="shared" ref="V208:AC208" si="192">V207*V206</f>
      </c>
      <c r="W208" s="461">
        <f t="shared" si="192"/>
      </c>
      <c r="X208" s="461">
        <f t="shared" si="192"/>
      </c>
      <c r="Y208" s="461">
        <f t="shared" si="192"/>
      </c>
      <c r="Z208" s="461"/>
      <c r="AA208" s="461">
        <f t="shared" si="192"/>
      </c>
      <c r="AB208" s="461">
        <f t="shared" si="192"/>
      </c>
      <c r="AC208" s="461">
        <f t="shared" si="192"/>
      </c>
      <c r="AD208" s="461">
        <f>AC208*1.25</f>
      </c>
      <c r="AE208" s="461"/>
      <c r="AF208" s="461">
        <f>AD208*1.8</f>
      </c>
      <c r="AG208" s="461">
        <f>AG207*AG206</f>
      </c>
      <c r="AH208" s="461">
        <f>AG208*1.6</f>
      </c>
      <c r="AI208" s="461">
        <f>AI207*AI206</f>
      </c>
      <c r="AJ208" s="461"/>
      <c r="AK208" s="461">
        <f>173.859-AL208-AK218-AL218</f>
      </c>
      <c r="AL208" s="461">
        <f>117.086-AL218</f>
      </c>
      <c r="AM208" s="461">
        <f>151.391-AM218</f>
      </c>
      <c r="AN208" s="461">
        <f>424.052-SUM(AK218:AN218,AK208:AM208)</f>
      </c>
      <c r="AO208" s="461"/>
      <c r="AP208" s="461">
        <v>71.805000000000007</v>
      </c>
      <c r="AQ208" s="461">
        <v>75.872</v>
      </c>
      <c r="AR208" s="88">
        <v>90.328999999999994</v>
      </c>
      <c r="AS208" s="461">
        <f>352.319-SUM(AP208:AR208)</f>
      </c>
      <c r="AT208" s="461"/>
      <c r="AU208" s="88">
        <v>118.384</v>
      </c>
      <c r="AV208" s="88">
        <v>139.14099999999999</v>
      </c>
      <c r="AW208" s="88">
        <v>187.416</v>
      </c>
      <c r="AX208" s="555">
        <f>661.483-SUM(AU208:AW208)</f>
      </c>
      <c r="AY208" s="88"/>
      <c r="AZ208" s="88">
        <v>148.75</v>
      </c>
      <c r="BA208" s="461">
        <v>161.05799999999999</v>
      </c>
      <c r="BB208" s="461">
        <v>198.15100000000001</v>
      </c>
      <c r="BC208" s="461">
        <f>710.353-SUM(AZ208:BB208)</f>
      </c>
      <c r="BD208" s="461"/>
      <c r="BE208" s="461"/>
      <c r="BF208" s="461"/>
      <c r="BG208" s="461"/>
      <c r="BH208" s="461"/>
      <c r="BI208" s="461"/>
      <c r="BJ208" s="461"/>
      <c r="BK208" s="461"/>
      <c r="BL208" s="461"/>
      <c r="BM208" s="461"/>
      <c r="BN208" s="461"/>
      <c r="BO208" s="461"/>
      <c r="BP208" s="461"/>
      <c r="BQ208" s="461"/>
      <c r="BR208" s="461"/>
      <c r="BS208" s="461"/>
      <c r="BT208" s="461"/>
      <c r="BU208" s="461"/>
      <c r="BV208" s="461"/>
      <c r="BW208" s="461"/>
      <c r="BX208" s="461"/>
      <c r="BY208" s="461"/>
      <c r="BZ208" s="461"/>
      <c r="CA208" s="461"/>
      <c r="CB208" s="548"/>
      <c r="CC208" s="461"/>
      <c r="CD208" s="461"/>
      <c r="CE208" s="461"/>
      <c r="CF208" s="461"/>
      <c r="CG208" s="461"/>
      <c r="CH208" s="461"/>
      <c r="CI208" s="461"/>
      <c r="CJ208" s="461"/>
      <c r="CK208" s="461"/>
      <c r="CL208" s="461"/>
      <c r="CM208" s="461"/>
      <c r="CN208" s="461"/>
      <c r="CO208" s="461"/>
      <c r="CP208" s="461"/>
      <c r="CQ208" s="461"/>
      <c r="CR208" s="461"/>
      <c r="CS208" s="461"/>
      <c r="CT208" s="461"/>
      <c r="CU208" s="461"/>
      <c r="CV208" s="461"/>
      <c r="CW208" s="461"/>
      <c r="CX208" s="461"/>
      <c r="CY208" s="461"/>
      <c r="CZ208" s="461"/>
      <c r="DA208" s="461"/>
      <c r="FL208" s="111"/>
      <c r="FM208" s="111"/>
    </row>
    <row r="209" spans="1:169" outlineLevel="2">
      <c r="A209" s="106" t="s">
        <v>461</v>
      </c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153"/>
      <c r="W209" s="153"/>
      <c r="X209" s="153">
        <v>0.28000000000000003</v>
      </c>
      <c r="Y209" s="153">
        <v>0.28000000000000003</v>
      </c>
      <c r="Z209" s="153"/>
      <c r="AA209" s="153">
        <v>0.28000000000000003</v>
      </c>
      <c r="AB209" s="153">
        <v>0.28000000000000003</v>
      </c>
      <c r="AC209" s="153">
        <v>0.28000000000000003</v>
      </c>
      <c r="AD209" s="153">
        <v>0.28000000000000003</v>
      </c>
      <c r="AE209" s="153"/>
      <c r="AF209" s="153">
        <v>0.28000000000000003</v>
      </c>
      <c r="AG209" s="153">
        <v>0.28000000000000003</v>
      </c>
      <c r="AH209" s="153">
        <v>0.3</v>
      </c>
      <c r="AI209" s="153">
        <v>0.32</v>
      </c>
      <c r="AJ209" s="153"/>
      <c r="AK209" s="153">
        <v>0.34</v>
      </c>
      <c r="AL209" s="153">
        <v>0.34</v>
      </c>
      <c r="AM209" s="153">
        <v>0.34</v>
      </c>
      <c r="AN209" s="153">
        <v>0.34</v>
      </c>
      <c r="AO209" s="153"/>
      <c r="AP209" s="153">
        <v>0.37</v>
      </c>
      <c r="AQ209" s="153">
        <v>0.38</v>
      </c>
      <c r="AR209" s="153">
        <v>0.37</v>
      </c>
      <c r="AS209" s="153">
        <v>0.39</v>
      </c>
      <c r="AT209" s="153"/>
      <c r="AU209" s="153">
        <v>0.4</v>
      </c>
      <c r="AV209" s="153">
        <v>0.39</v>
      </c>
      <c r="AW209" s="153">
        <v>0.39</v>
      </c>
      <c r="AX209" s="547">
        <v>0.39</v>
      </c>
      <c r="AY209" s="153"/>
      <c r="AZ209" s="153">
        <v>0.39</v>
      </c>
      <c r="BA209" s="153">
        <v>0.39</v>
      </c>
      <c r="BB209" s="153">
        <v>0.38500000000000001</v>
      </c>
      <c r="BC209" s="153">
        <v>0.38</v>
      </c>
      <c r="BD209" s="153"/>
      <c r="BE209" s="153"/>
      <c r="BF209" s="153"/>
      <c r="BG209" s="153"/>
      <c r="BH209" s="153"/>
      <c r="BI209" s="153"/>
      <c r="BJ209" s="153"/>
      <c r="BK209" s="153"/>
      <c r="BL209" s="153"/>
      <c r="BM209" s="153"/>
      <c r="BN209" s="153"/>
      <c r="BO209" s="153"/>
      <c r="BP209" s="153"/>
      <c r="BQ209" s="153"/>
      <c r="BR209" s="153"/>
      <c r="BS209" s="153"/>
      <c r="BT209" s="153"/>
      <c r="BU209" s="153"/>
      <c r="BV209" s="153"/>
      <c r="BW209" s="153"/>
      <c r="BX209" s="153"/>
      <c r="BY209" s="153"/>
      <c r="BZ209" s="153"/>
      <c r="CA209" s="153"/>
      <c r="CB209" s="550"/>
      <c r="CC209" s="153"/>
      <c r="CD209" s="153"/>
      <c r="CE209" s="153"/>
      <c r="CF209" s="153"/>
      <c r="CG209" s="153"/>
      <c r="CH209" s="153"/>
      <c r="CI209" s="153"/>
      <c r="CJ209" s="153"/>
      <c r="CK209" s="153"/>
      <c r="CL209" s="153"/>
      <c r="CM209" s="153"/>
      <c r="CN209" s="153"/>
      <c r="CO209" s="153"/>
      <c r="CP209" s="153"/>
      <c r="CQ209" s="153"/>
      <c r="CR209" s="153"/>
      <c r="CS209" s="153"/>
      <c r="CT209" s="153"/>
      <c r="CU209" s="153"/>
      <c r="CV209" s="153"/>
      <c r="CW209" s="153"/>
      <c r="CX209" s="153"/>
      <c r="CY209" s="153"/>
      <c r="CZ209" s="153"/>
      <c r="DA209" s="153"/>
      <c r="FL209" s="111"/>
      <c r="FM209" s="111"/>
    </row>
    <row r="210" spans="1:169" outlineLevel="2">
      <c r="A210" s="106" t="s">
        <v>353</v>
      </c>
      <c r="B210" s="461"/>
      <c r="C210" s="461"/>
      <c r="D210" s="461"/>
      <c r="E210" s="461"/>
      <c r="F210" s="461"/>
      <c r="G210" s="461"/>
      <c r="H210" s="461"/>
      <c r="I210" s="461"/>
      <c r="J210" s="461"/>
      <c r="K210" s="461"/>
      <c r="L210" s="461"/>
      <c r="M210" s="461"/>
      <c r="N210" s="461"/>
      <c r="O210" s="461"/>
      <c r="P210" s="461"/>
      <c r="Q210" s="461"/>
      <c r="R210" s="461"/>
      <c r="S210" s="461"/>
      <c r="T210" s="461"/>
      <c r="U210" s="461"/>
      <c r="V210" s="461">
        <f t="shared" ref="V210:BC210" si="193">V209*V208</f>
      </c>
      <c r="W210" s="461">
        <f t="shared" si="193"/>
      </c>
      <c r="X210" s="461">
        <f t="shared" si="193"/>
      </c>
      <c r="Y210" s="461">
        <f t="shared" si="193"/>
      </c>
      <c r="Z210" s="461"/>
      <c r="AA210" s="461">
        <f t="shared" si="193"/>
      </c>
      <c r="AB210" s="461">
        <f t="shared" si="193"/>
      </c>
      <c r="AC210" s="461">
        <f t="shared" si="193"/>
      </c>
      <c r="AD210" s="461">
        <f t="shared" si="193"/>
      </c>
      <c r="AE210" s="461"/>
      <c r="AF210" s="461">
        <f t="shared" si="193"/>
      </c>
      <c r="AG210" s="461">
        <f t="shared" si="193"/>
      </c>
      <c r="AH210" s="461">
        <f t="shared" si="193"/>
      </c>
      <c r="AI210" s="461">
        <f t="shared" si="193"/>
      </c>
      <c r="AJ210" s="461"/>
      <c r="AK210" s="461">
        <f t="shared" si="193"/>
      </c>
      <c r="AL210" s="461">
        <f t="shared" si="193"/>
      </c>
      <c r="AM210" s="461">
        <f t="shared" si="193"/>
      </c>
      <c r="AN210" s="461">
        <f t="shared" si="193"/>
      </c>
      <c r="AO210" s="461"/>
      <c r="AP210" s="461">
        <f t="shared" si="193"/>
      </c>
      <c r="AQ210" s="461">
        <f t="shared" si="193"/>
      </c>
      <c r="AR210" s="461">
        <f t="shared" si="193"/>
      </c>
      <c r="AS210" s="461">
        <f t="shared" si="193"/>
      </c>
      <c r="AT210" s="461"/>
      <c r="AU210" s="461">
        <f t="shared" si="193"/>
      </c>
      <c r="AV210" s="461">
        <f t="shared" si="193"/>
      </c>
      <c r="AW210" s="461">
        <f t="shared" si="193"/>
      </c>
      <c r="AX210" s="549">
        <f t="shared" si="193"/>
      </c>
      <c r="AY210" s="461"/>
      <c r="AZ210" s="461">
        <f t="shared" si="193"/>
      </c>
      <c r="BA210" s="461">
        <f t="shared" si="193"/>
      </c>
      <c r="BB210" s="461">
        <f t="shared" si="193"/>
      </c>
      <c r="BC210" s="461">
        <f t="shared" si="193"/>
      </c>
      <c r="BD210" s="461"/>
      <c r="BE210" s="461"/>
      <c r="BF210" s="461"/>
      <c r="BG210" s="461"/>
      <c r="BH210" s="461"/>
      <c r="BI210" s="461"/>
      <c r="BJ210" s="461"/>
      <c r="BK210" s="461"/>
      <c r="BL210" s="461"/>
      <c r="BM210" s="461"/>
      <c r="BN210" s="461"/>
      <c r="BO210" s="461"/>
      <c r="BP210" s="461"/>
      <c r="BQ210" s="461"/>
      <c r="BR210" s="461"/>
      <c r="BS210" s="461"/>
      <c r="BT210" s="461"/>
      <c r="BU210" s="461"/>
      <c r="BV210" s="461"/>
      <c r="BW210" s="461"/>
      <c r="BX210" s="461"/>
      <c r="BY210" s="461"/>
      <c r="BZ210" s="461"/>
      <c r="CA210" s="461"/>
      <c r="CB210" s="548"/>
      <c r="CC210" s="461"/>
      <c r="CD210" s="461"/>
      <c r="CE210" s="461"/>
      <c r="CF210" s="461"/>
      <c r="CG210" s="461"/>
      <c r="CH210" s="461"/>
      <c r="CI210" s="461"/>
      <c r="CJ210" s="461"/>
      <c r="CK210" s="461"/>
      <c r="CL210" s="461"/>
      <c r="CM210" s="461"/>
      <c r="CN210" s="461"/>
      <c r="CO210" s="461"/>
      <c r="CP210" s="461"/>
      <c r="CQ210" s="461"/>
      <c r="CR210" s="461"/>
      <c r="CS210" s="461"/>
      <c r="CT210" s="461"/>
      <c r="CU210" s="461"/>
      <c r="CV210" s="461"/>
      <c r="CW210" s="461"/>
      <c r="CX210" s="461"/>
      <c r="CY210" s="461"/>
      <c r="CZ210" s="461"/>
      <c r="DA210" s="461"/>
      <c r="FL210" s="111"/>
      <c r="FM210" s="111"/>
    </row>
    <row r="211" spans="1:169" outlineLevel="2">
      <c r="A211" s="106" t="s">
        <v>462</v>
      </c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480"/>
      <c r="Y211" s="480"/>
      <c r="Z211" s="480"/>
      <c r="AA211" s="480"/>
      <c r="AB211" s="480"/>
      <c r="AC211" s="480"/>
      <c r="AD211" s="109"/>
      <c r="AE211" s="109"/>
      <c r="AF211" s="109"/>
      <c r="AG211" s="109"/>
      <c r="AK211" s="133">
        <f t="shared" ref="AK211:BA211" si="194">AK212/AK208</f>
      </c>
      <c r="AL211" s="133">
        <f t="shared" si="194"/>
      </c>
      <c r="AM211" s="133">
        <f t="shared" si="194"/>
      </c>
      <c r="AN211" s="133">
        <f t="shared" si="194"/>
      </c>
      <c r="AO211" s="133"/>
      <c r="AP211" s="133">
        <f t="shared" si="194"/>
      </c>
      <c r="AQ211" s="133">
        <f t="shared" si="194"/>
      </c>
      <c r="AR211" s="133">
        <f t="shared" si="194"/>
      </c>
      <c r="AS211" s="133">
        <f t="shared" si="194"/>
      </c>
      <c r="AT211" s="133"/>
      <c r="AU211" s="133">
        <f t="shared" si="194"/>
      </c>
      <c r="AV211" s="133">
        <f t="shared" si="194"/>
      </c>
      <c r="AW211" s="133">
        <f t="shared" si="194"/>
      </c>
      <c r="AX211" s="171">
        <f t="shared" si="194"/>
      </c>
      <c r="AY211" s="133"/>
      <c r="AZ211" s="133">
        <f t="shared" si="194"/>
      </c>
      <c r="BA211" s="133">
        <f t="shared" si="194"/>
      </c>
      <c r="BB211" s="133">
        <f>BB212/BB208</f>
      </c>
      <c r="BC211" s="133">
        <f>BC212/BC208</f>
      </c>
      <c r="BD211" s="133"/>
      <c r="BE211" s="133"/>
      <c r="BF211" s="133"/>
      <c r="BG211" s="133"/>
      <c r="BH211" s="133"/>
      <c r="BI211" s="133"/>
      <c r="BJ211" s="133"/>
      <c r="BK211" s="133"/>
      <c r="BL211" s="133"/>
      <c r="BM211" s="133"/>
      <c r="BN211" s="133"/>
      <c r="BO211" s="133"/>
      <c r="BP211" s="133"/>
      <c r="BQ211" s="133"/>
      <c r="BR211" s="133"/>
      <c r="BS211" s="133"/>
      <c r="BT211" s="133"/>
      <c r="BU211" s="133"/>
      <c r="BV211" s="133"/>
      <c r="BW211" s="133"/>
      <c r="BX211" s="133"/>
      <c r="BY211" s="133"/>
      <c r="BZ211" s="133"/>
      <c r="CA211" s="133"/>
      <c r="CB211" s="556"/>
      <c r="FL211" s="111"/>
      <c r="FM211" s="111"/>
    </row>
    <row r="212" spans="1:169" outlineLevel="2">
      <c r="A212" s="106" t="s">
        <v>463</v>
      </c>
      <c r="V212" s="503"/>
      <c r="W212" s="503"/>
      <c r="X212" s="503"/>
      <c r="Y212" s="503"/>
      <c r="Z212" s="503"/>
      <c r="AA212" s="503"/>
      <c r="AB212" s="503"/>
      <c r="AC212" s="503"/>
      <c r="AD212" s="503"/>
      <c r="AE212" s="503"/>
      <c r="AF212" s="503"/>
      <c r="AG212" s="88"/>
      <c r="AH212" s="88"/>
      <c r="AI212" s="88"/>
      <c r="AJ212" s="88"/>
      <c r="AK212" s="88">
        <f>10.266-AL212-AL222-AK222</f>
      </c>
      <c r="AL212" s="88">
        <f>16.469-AL222</f>
      </c>
      <c r="AM212" s="88">
        <f>36.009-AM222</f>
      </c>
      <c r="AN212" s="88">
        <f>66.454-SUM(AK222:AN222,AK212:AM212)</f>
      </c>
      <c r="AO212" s="88"/>
      <c r="AP212" s="88">
        <v>6.923</v>
      </c>
      <c r="AQ212" s="88">
        <v>5.34</v>
      </c>
      <c r="AR212" s="88">
        <v>4.6109999999999998</v>
      </c>
      <c r="AS212" s="88">
        <f>32.865-SUM(AP212:AR212)</f>
      </c>
      <c r="AT212" s="88"/>
      <c r="AU212" s="88">
        <v>2.9830000000000001</v>
      </c>
      <c r="AV212" s="88">
        <v>7.8630000000000004</v>
      </c>
      <c r="AW212" s="88">
        <v>27.896999999999998</v>
      </c>
      <c r="AX212" s="555">
        <f>77.952-SUM(AU212:AW212)</f>
      </c>
      <c r="AY212" s="88"/>
      <c r="AZ212" s="88">
        <v>7.8390000000000004</v>
      </c>
      <c r="BA212" s="88">
        <v>12.401</v>
      </c>
      <c r="BB212" s="88">
        <v>17.004999999999999</v>
      </c>
      <c r="BC212" s="88">
        <f>57.214-SUM(AZ212:BB212)</f>
      </c>
      <c r="BD212" s="88"/>
      <c r="BE212" s="88"/>
      <c r="BF212" s="88"/>
      <c r="BG212" s="88"/>
      <c r="BH212" s="88"/>
      <c r="BI212" s="88"/>
      <c r="BJ212" s="88"/>
      <c r="BK212" s="88"/>
      <c r="BM212" s="88"/>
      <c r="BN212" s="88"/>
      <c r="BO212" s="88"/>
      <c r="BP212" s="88"/>
      <c r="BQ212" s="88"/>
      <c r="BR212" s="88"/>
      <c r="BS212" s="88"/>
      <c r="BT212" s="88"/>
      <c r="BU212" s="88"/>
      <c r="BV212" s="88"/>
      <c r="BW212" s="88"/>
      <c r="BX212" s="88"/>
      <c r="BY212" s="88"/>
      <c r="BZ212" s="88"/>
      <c r="CA212" s="88"/>
      <c r="CB212" s="556"/>
      <c r="FL212" s="111"/>
      <c r="FM212" s="111"/>
    </row>
    <row r="213" spans="1:169" outlineLevel="2">
      <c r="AD213" s="84"/>
      <c r="AE213" s="84"/>
      <c r="AF213" s="84"/>
      <c r="AM213" s="553"/>
      <c r="AN213" s="553"/>
      <c r="AO213" s="553"/>
      <c r="AS213" s="133"/>
      <c r="AT213" s="133"/>
      <c r="AU213" s="557"/>
      <c r="AV213" s="557"/>
      <c r="AW213" s="557"/>
      <c r="AX213" s="558"/>
      <c r="AY213" s="557"/>
      <c r="AZ213" s="133"/>
      <c r="BA213" s="133"/>
      <c r="BB213" s="133"/>
      <c r="BC213" s="133"/>
      <c r="BD213" s="133"/>
      <c r="BE213" s="133"/>
      <c r="BF213" s="133"/>
      <c r="BG213" s="133"/>
      <c r="BH213" s="133"/>
      <c r="BI213" s="133"/>
      <c r="BJ213" s="133"/>
      <c r="BK213" s="133"/>
      <c r="BL213" s="133"/>
      <c r="BM213" s="133"/>
      <c r="BN213" s="133"/>
      <c r="BO213" s="133"/>
      <c r="BP213" s="133"/>
      <c r="BQ213" s="133"/>
      <c r="BR213" s="133"/>
      <c r="BS213" s="133"/>
      <c r="BT213" s="133"/>
      <c r="BU213" s="133"/>
      <c r="BV213" s="133"/>
      <c r="BW213" s="133"/>
      <c r="BX213" s="133"/>
      <c r="BY213" s="133"/>
      <c r="BZ213" s="133"/>
      <c r="CA213" s="478"/>
      <c r="CB213" s="559"/>
      <c r="CC213" s="133"/>
      <c r="CD213" s="133"/>
      <c r="CE213" s="133"/>
      <c r="CF213" s="133"/>
      <c r="CG213" s="133"/>
      <c r="CH213" s="133"/>
      <c r="CI213" s="133"/>
      <c r="CJ213" s="133"/>
      <c r="CK213" s="133"/>
      <c r="CL213" s="133"/>
      <c r="CM213" s="133"/>
      <c r="CN213" s="133"/>
      <c r="CO213" s="133"/>
      <c r="CP213" s="133"/>
      <c r="CQ213" s="133"/>
      <c r="CR213" s="133"/>
      <c r="CS213" s="133"/>
      <c r="CT213" s="133"/>
      <c r="CU213" s="133"/>
      <c r="CV213" s="133"/>
      <c r="CW213" s="133"/>
      <c r="CX213" s="133"/>
      <c r="CY213" s="133"/>
      <c r="CZ213" s="133"/>
      <c r="DA213" s="133"/>
      <c r="FL213" s="111"/>
      <c r="FM213" s="111"/>
    </row>
    <row r="214" spans="1:169" outlineLevel="2">
      <c r="A214" s="83" t="s">
        <v>469</v>
      </c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6"/>
      <c r="Y214" s="85"/>
      <c r="Z214" s="85"/>
      <c r="AA214" s="85"/>
      <c r="AB214" s="85"/>
      <c r="AC214" s="109"/>
      <c r="AD214" s="84"/>
      <c r="AE214" s="84"/>
      <c r="AF214" s="84"/>
      <c r="AH214" s="109"/>
      <c r="AI214" s="109"/>
      <c r="AJ214" s="109"/>
      <c r="AK214" s="109"/>
      <c r="AN214" s="553"/>
      <c r="AO214" s="553"/>
      <c r="AU214" s="120"/>
      <c r="AV214" s="120"/>
      <c r="AW214" s="120"/>
      <c r="AX214" s="558"/>
      <c r="AY214" s="557"/>
      <c r="BJ214" s="88"/>
      <c r="BO214" s="88"/>
      <c r="BT214" s="88"/>
      <c r="BU214" s="88"/>
      <c r="BV214" s="88"/>
      <c r="CA214" s="478"/>
      <c r="CB214" s="539"/>
      <c r="CC214" s="88"/>
      <c r="CI214" s="88"/>
      <c r="CN214" s="88"/>
      <c r="CO214" s="88"/>
      <c r="CS214" s="88"/>
      <c r="CX214" s="88"/>
      <c r="FL214" s="111"/>
      <c r="FM214" s="111"/>
    </row>
    <row r="215" spans="1:169" outlineLevel="2">
      <c r="A215" s="106" t="s">
        <v>470</v>
      </c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109"/>
      <c r="W215" s="109">
        <v>0.09</v>
      </c>
      <c r="X215" s="109">
        <v>0.96</v>
      </c>
      <c r="Y215" s="109">
        <v>1.5</v>
      </c>
      <c r="Z215" s="109"/>
      <c r="AA215" s="109">
        <v>2.2599999999999998</v>
      </c>
      <c r="AB215" s="109">
        <v>2.4</v>
      </c>
      <c r="AC215" s="109">
        <v>1.75</v>
      </c>
      <c r="AD215" s="109">
        <v>1.1000000000000001</v>
      </c>
      <c r="AE215" s="109"/>
      <c r="AF215" s="109">
        <v>0.9</v>
      </c>
      <c r="AG215" s="109">
        <v>1.65</v>
      </c>
      <c r="AH215" s="109">
        <f t="shared" ref="AH215:AN215" si="195">AH218/AH216</f>
      </c>
      <c r="AI215" s="109">
        <f t="shared" si="195"/>
      </c>
      <c r="AJ215" s="109"/>
      <c r="AK215" s="109">
        <f t="shared" si="195"/>
      </c>
      <c r="AL215" s="109">
        <f t="shared" si="195"/>
      </c>
      <c r="AM215" s="109">
        <f t="shared" si="195"/>
      </c>
      <c r="AN215" s="109">
        <f t="shared" si="195"/>
      </c>
      <c r="AO215" s="109"/>
      <c r="AP215" s="109">
        <f>(AP218-AP217)/AP216</f>
      </c>
      <c r="AQ215" s="109">
        <v>1.9</v>
      </c>
      <c r="AR215" s="109"/>
      <c r="AW215" s="88">
        <f>(AW218-AW217)/AW216</f>
      </c>
      <c r="AX215" s="555">
        <f>(AX218-AX217)/AX216</f>
      </c>
      <c r="AY215" s="88"/>
      <c r="AZ215" s="88">
        <f>(AZ218-AZ217)/AZ216</f>
      </c>
      <c r="BA215" s="88">
        <f>(BA218-BA217)/BA216</f>
      </c>
      <c r="BB215" s="88">
        <v>3</v>
      </c>
      <c r="BC215" s="88">
        <v>4</v>
      </c>
      <c r="BD215" s="88"/>
      <c r="BE215" s="88"/>
      <c r="BF215" s="88"/>
      <c r="BG215" s="88"/>
      <c r="BH215" s="88"/>
      <c r="BI215" s="88"/>
      <c r="BJ215" s="88"/>
      <c r="BK215" s="88"/>
      <c r="BL215" s="88"/>
      <c r="BM215" s="88"/>
      <c r="BN215" s="88"/>
      <c r="BO215" s="88"/>
      <c r="BP215" s="88"/>
      <c r="BQ215" s="88"/>
      <c r="BR215" s="88"/>
      <c r="BS215" s="88"/>
      <c r="BT215" s="88"/>
      <c r="BU215" s="88"/>
      <c r="BV215" s="88"/>
      <c r="BW215" s="88"/>
      <c r="BX215" s="88"/>
      <c r="BY215" s="88"/>
      <c r="BZ215" s="88"/>
      <c r="CA215" s="88"/>
      <c r="CB215" s="539"/>
      <c r="CC215" s="88"/>
      <c r="CD215" s="88"/>
      <c r="CE215" s="88"/>
      <c r="CF215" s="88"/>
      <c r="CG215" s="88"/>
      <c r="CH215" s="88"/>
      <c r="CI215" s="88"/>
      <c r="CJ215" s="88"/>
      <c r="CK215" s="88"/>
      <c r="CL215" s="88"/>
      <c r="CM215" s="88"/>
      <c r="CN215" s="88"/>
      <c r="CO215" s="88"/>
      <c r="CP215" s="88"/>
      <c r="CQ215" s="88"/>
      <c r="CR215" s="88"/>
      <c r="CS215" s="88"/>
      <c r="CT215" s="88"/>
      <c r="CU215" s="88"/>
      <c r="CV215" s="88"/>
      <c r="CW215" s="88"/>
      <c r="CX215" s="88"/>
      <c r="CY215" s="88"/>
      <c r="CZ215" s="88"/>
      <c r="DA215" s="88"/>
      <c r="FL215" s="111"/>
      <c r="FM215" s="111"/>
    </row>
    <row r="216" spans="1:169" outlineLevel="2">
      <c r="A216" s="106" t="s">
        <v>457</v>
      </c>
      <c r="B216" s="553"/>
      <c r="C216" s="553"/>
      <c r="D216" s="553"/>
      <c r="E216" s="553"/>
      <c r="F216" s="553"/>
      <c r="G216" s="553"/>
      <c r="H216" s="553"/>
      <c r="I216" s="553"/>
      <c r="J216" s="553"/>
      <c r="K216" s="553"/>
      <c r="L216" s="553"/>
      <c r="M216" s="553"/>
      <c r="N216" s="553"/>
      <c r="O216" s="553"/>
      <c r="P216" s="553"/>
      <c r="Q216" s="553"/>
      <c r="R216" s="553"/>
      <c r="S216" s="553"/>
      <c r="T216" s="553"/>
      <c r="U216" s="553"/>
      <c r="V216" s="120"/>
      <c r="W216" s="120">
        <f>W218/W215</f>
      </c>
      <c r="X216" s="120">
        <f>X218/X215</f>
      </c>
      <c r="Y216" s="120">
        <f>Y218/Y215</f>
      </c>
      <c r="Z216" s="120"/>
      <c r="AA216" s="120">
        <v>55</v>
      </c>
      <c r="AB216" s="120">
        <v>55</v>
      </c>
      <c r="AC216" s="120">
        <v>50</v>
      </c>
      <c r="AD216" s="120">
        <v>50</v>
      </c>
      <c r="AE216" s="120"/>
      <c r="AF216" s="120">
        <v>53</v>
      </c>
      <c r="AG216" s="120">
        <v>52.5</v>
      </c>
      <c r="AH216" s="120">
        <v>49</v>
      </c>
      <c r="AI216" s="120">
        <v>47</v>
      </c>
      <c r="AJ216" s="120"/>
      <c r="AK216" s="120">
        <v>45</v>
      </c>
      <c r="AL216" s="120">
        <v>43</v>
      </c>
      <c r="AM216" s="120">
        <v>40</v>
      </c>
      <c r="AN216" s="120">
        <v>38</v>
      </c>
      <c r="AO216" s="120"/>
      <c r="AP216" s="120">
        <v>38</v>
      </c>
      <c r="AQ216" s="120">
        <v>38</v>
      </c>
      <c r="AW216" s="120">
        <v>4</v>
      </c>
      <c r="AX216" s="554">
        <v>4</v>
      </c>
      <c r="AY216" s="120"/>
      <c r="AZ216" s="120">
        <v>4</v>
      </c>
      <c r="BA216" s="120">
        <v>4</v>
      </c>
      <c r="BB216" s="120">
        <v>4</v>
      </c>
      <c r="BC216" s="120">
        <v>4</v>
      </c>
      <c r="BD216" s="120"/>
      <c r="BE216" s="120"/>
      <c r="BF216" s="120"/>
      <c r="BG216" s="120"/>
      <c r="BH216" s="120"/>
      <c r="BI216" s="120"/>
      <c r="BJ216" s="120"/>
      <c r="BK216" s="120"/>
      <c r="BL216" s="120"/>
      <c r="BM216" s="120"/>
      <c r="BN216" s="120"/>
      <c r="BO216" s="120"/>
      <c r="BP216" s="120"/>
      <c r="BQ216" s="120"/>
      <c r="BR216" s="120"/>
      <c r="BS216" s="120"/>
      <c r="BT216" s="120"/>
      <c r="BU216" s="120"/>
      <c r="BV216" s="120"/>
      <c r="BW216" s="120"/>
      <c r="BX216" s="120"/>
      <c r="BY216" s="120"/>
      <c r="BZ216" s="120"/>
      <c r="CA216" s="120"/>
      <c r="CB216" s="550"/>
      <c r="CC216" s="153"/>
      <c r="CD216" s="120"/>
      <c r="CE216" s="120"/>
      <c r="CF216" s="120"/>
      <c r="CG216" s="120"/>
      <c r="CH216" s="120"/>
      <c r="CI216" s="120"/>
      <c r="CJ216" s="120"/>
      <c r="CK216" s="120"/>
      <c r="CL216" s="120"/>
      <c r="CM216" s="120"/>
      <c r="CN216" s="120"/>
      <c r="CO216" s="120"/>
      <c r="CP216" s="120"/>
      <c r="CQ216" s="120"/>
      <c r="CR216" s="120"/>
      <c r="CS216" s="120"/>
      <c r="CT216" s="120"/>
      <c r="CU216" s="120"/>
      <c r="CV216" s="120"/>
      <c r="CW216" s="120"/>
      <c r="CX216" s="120"/>
      <c r="CY216" s="120"/>
      <c r="CZ216" s="120"/>
      <c r="DA216" s="120"/>
      <c r="FL216" s="111"/>
      <c r="FM216" s="111"/>
    </row>
    <row r="217" spans="1:169" outlineLevel="2">
      <c r="A217" s="106" t="s">
        <v>471</v>
      </c>
      <c r="B217" s="503"/>
      <c r="C217" s="503"/>
      <c r="D217" s="503"/>
      <c r="E217" s="503"/>
      <c r="F217" s="503"/>
      <c r="G217" s="503"/>
      <c r="H217" s="503"/>
      <c r="I217" s="503"/>
      <c r="J217" s="503"/>
      <c r="K217" s="503"/>
      <c r="L217" s="503"/>
      <c r="M217" s="503"/>
      <c r="N217" s="503"/>
      <c r="O217" s="503"/>
      <c r="P217" s="503"/>
      <c r="Q217" s="503"/>
      <c r="R217" s="503"/>
      <c r="S217" s="503"/>
      <c r="T217" s="503"/>
      <c r="U217" s="503"/>
      <c r="V217" s="503"/>
      <c r="W217" s="503"/>
      <c r="X217" s="503"/>
      <c r="Y217" s="503"/>
      <c r="Z217" s="503"/>
      <c r="AA217" s="503"/>
      <c r="AB217" s="503"/>
      <c r="AC217" s="503"/>
      <c r="AD217" s="503"/>
      <c r="AE217" s="503"/>
      <c r="AF217" s="503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>
        <v>13</v>
      </c>
      <c r="AQ217" s="88">
        <v>7.5</v>
      </c>
      <c r="AR217" s="88">
        <f>AR218</f>
      </c>
      <c r="AS217" s="88">
        <v>20</v>
      </c>
      <c r="AT217" s="88"/>
      <c r="AU217" s="88">
        <f>AU218</f>
      </c>
      <c r="AV217" s="88">
        <f>AV218</f>
      </c>
      <c r="AW217" s="88">
        <f>AW218</f>
      </c>
      <c r="AX217" s="555">
        <v>11</v>
      </c>
      <c r="AY217" s="88"/>
      <c r="AZ217" s="88">
        <v>10</v>
      </c>
      <c r="BA217" s="88">
        <v>10</v>
      </c>
      <c r="BB217" s="88">
        <v>10</v>
      </c>
      <c r="BC217" s="88">
        <v>10</v>
      </c>
      <c r="BD217" s="88"/>
      <c r="BE217" s="88"/>
      <c r="BF217" s="88"/>
      <c r="BG217" s="88"/>
      <c r="BH217" s="88"/>
      <c r="BI217" s="88"/>
      <c r="BJ217" s="88"/>
      <c r="BK217" s="88"/>
      <c r="BL217" s="88"/>
      <c r="BM217" s="88"/>
      <c r="BN217" s="88"/>
      <c r="BO217" s="88"/>
      <c r="BP217" s="88"/>
      <c r="BQ217" s="88"/>
      <c r="BR217" s="88"/>
      <c r="BS217" s="88"/>
      <c r="BT217" s="88"/>
      <c r="BU217" s="88"/>
      <c r="BV217" s="88"/>
      <c r="BW217" s="88"/>
      <c r="BX217" s="88"/>
      <c r="BY217" s="88"/>
      <c r="BZ217" s="88"/>
      <c r="CA217" s="88"/>
      <c r="CB217" s="548"/>
      <c r="CC217" s="461"/>
      <c r="CD217" s="88"/>
      <c r="CE217" s="88"/>
      <c r="CF217" s="88"/>
      <c r="CG217" s="88"/>
      <c r="CH217" s="88"/>
      <c r="CI217" s="88"/>
      <c r="CJ217" s="88"/>
      <c r="CK217" s="88"/>
      <c r="CL217" s="88"/>
      <c r="CM217" s="88"/>
      <c r="CN217" s="88"/>
      <c r="CO217" s="88"/>
      <c r="CP217" s="88"/>
      <c r="CQ217" s="88"/>
      <c r="CR217" s="88"/>
      <c r="CS217" s="88"/>
      <c r="CT217" s="88"/>
      <c r="CU217" s="88"/>
      <c r="CV217" s="88"/>
      <c r="CW217" s="88"/>
      <c r="CX217" s="88"/>
      <c r="CY217" s="88"/>
      <c r="CZ217" s="88"/>
      <c r="DA217" s="88"/>
      <c r="FL217" s="111"/>
      <c r="FM217" s="111"/>
    </row>
    <row r="218" spans="1:169" outlineLevel="2">
      <c r="A218" s="106" t="s">
        <v>458</v>
      </c>
      <c r="B218" s="88"/>
      <c r="C218" s="88"/>
      <c r="D218" s="88"/>
      <c r="E218" s="88"/>
      <c r="F218" s="88"/>
      <c r="G218" s="88"/>
      <c r="H218" s="88"/>
      <c r="I218" s="88"/>
      <c r="J218" s="88"/>
      <c r="K218" s="88"/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>
        <f>V243*V257</f>
      </c>
      <c r="W218" s="88">
        <f>W243*W257</f>
      </c>
      <c r="X218" s="88">
        <f>X243*X257</f>
      </c>
      <c r="Y218" s="88">
        <f>Y243*Y257</f>
      </c>
      <c r="Z218" s="88"/>
      <c r="AA218" s="88">
        <f t="shared" ref="AA218:AG218" si="196">AA216*AA215</f>
      </c>
      <c r="AB218" s="88">
        <f t="shared" si="196"/>
      </c>
      <c r="AC218" s="88">
        <f t="shared" si="196"/>
      </c>
      <c r="AD218" s="88">
        <f t="shared" si="196"/>
      </c>
      <c r="AE218" s="88"/>
      <c r="AF218" s="88">
        <f t="shared" si="196"/>
      </c>
      <c r="AG218" s="88">
        <f t="shared" si="196"/>
      </c>
      <c r="AH218" s="88">
        <f>0.25*AH7</f>
      </c>
      <c r="AI218" s="88">
        <f>AH218-90</f>
      </c>
      <c r="AJ218" s="88"/>
      <c r="AK218" s="88">
        <v>23.789000000000001</v>
      </c>
      <c r="AL218" s="88">
        <v>86.721999999999994</v>
      </c>
      <c r="AM218" s="88">
        <v>109</v>
      </c>
      <c r="AN218" s="88">
        <f>AM218-70</f>
      </c>
      <c r="AO218" s="88"/>
      <c r="AP218" s="88">
        <v>58.078000000000003</v>
      </c>
      <c r="AQ218" s="88">
        <v>81.543000000000006</v>
      </c>
      <c r="AR218" s="88">
        <v>9.9290000000000003</v>
      </c>
      <c r="AS218" s="88">
        <f>170.222-SUM(AP218:AR218)</f>
      </c>
      <c r="AT218" s="88"/>
      <c r="AU218" s="88">
        <v>26.161999999999999</v>
      </c>
      <c r="AV218" s="88">
        <v>27.821000000000002</v>
      </c>
      <c r="AW218" s="88">
        <v>22.257000000000001</v>
      </c>
      <c r="AX218" s="555">
        <f>96.314-SUM(AU218:AW218)</f>
      </c>
      <c r="AY218" s="88"/>
      <c r="AZ218" s="88">
        <f>67.226-AZ227</f>
      </c>
      <c r="BA218" s="88">
        <f>62.182-BA227</f>
      </c>
      <c r="BB218" s="88">
        <f>65.873-BB227</f>
      </c>
      <c r="BC218" s="88">
        <f>251.137-SUM(AZ218:BB218)-SUM(AZ227:BC227)</f>
      </c>
      <c r="BD218" s="88"/>
      <c r="BE218" s="88"/>
      <c r="BF218" s="88"/>
      <c r="BG218" s="88"/>
      <c r="BH218" s="88"/>
      <c r="BI218" s="88"/>
      <c r="BJ218" s="88"/>
      <c r="BK218" s="88"/>
      <c r="BL218" s="88"/>
      <c r="BM218" s="88"/>
      <c r="BN218" s="88"/>
      <c r="BO218" s="88"/>
      <c r="BP218" s="88"/>
      <c r="BQ218" s="88"/>
      <c r="BR218" s="88"/>
      <c r="BS218" s="88"/>
      <c r="BT218" s="88"/>
      <c r="BU218" s="88"/>
      <c r="BV218" s="88"/>
      <c r="BW218" s="88"/>
      <c r="BX218" s="88"/>
      <c r="BY218" s="88"/>
      <c r="BZ218" s="88"/>
      <c r="CA218" s="88"/>
      <c r="CB218" s="521"/>
      <c r="CC218" s="120"/>
      <c r="CD218" s="88"/>
      <c r="CE218" s="88"/>
      <c r="CF218" s="88"/>
      <c r="CG218" s="88"/>
      <c r="CH218" s="88"/>
      <c r="CI218" s="88"/>
      <c r="CJ218" s="88"/>
      <c r="CK218" s="88"/>
      <c r="CL218" s="88"/>
      <c r="CM218" s="88"/>
      <c r="CN218" s="88"/>
      <c r="CO218" s="88"/>
      <c r="CP218" s="88"/>
      <c r="CQ218" s="88"/>
      <c r="CR218" s="88"/>
      <c r="CS218" s="88"/>
      <c r="CT218" s="88"/>
      <c r="CU218" s="88"/>
      <c r="CV218" s="88"/>
      <c r="CW218" s="88"/>
      <c r="CX218" s="88"/>
      <c r="CY218" s="88"/>
      <c r="CZ218" s="88"/>
      <c r="DA218" s="88"/>
      <c r="FL218" s="111"/>
      <c r="FM218" s="111"/>
    </row>
    <row r="219" spans="1:169" outlineLevel="2">
      <c r="A219" s="106" t="s">
        <v>461</v>
      </c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153"/>
      <c r="W219" s="153">
        <v>0.25</v>
      </c>
      <c r="X219" s="153">
        <v>0.25</v>
      </c>
      <c r="Y219" s="153">
        <v>0.25</v>
      </c>
      <c r="Z219" s="153"/>
      <c r="AA219" s="153">
        <v>0.217</v>
      </c>
      <c r="AB219" s="153">
        <v>0.2</v>
      </c>
      <c r="AC219" s="153">
        <v>0.2</v>
      </c>
      <c r="AD219" s="153">
        <v>0.2</v>
      </c>
      <c r="AE219" s="153"/>
      <c r="AF219" s="153">
        <v>0.3</v>
      </c>
      <c r="AG219" s="153">
        <v>0.32</v>
      </c>
      <c r="AH219" s="153">
        <v>0.34</v>
      </c>
      <c r="AI219" s="153">
        <v>0.36</v>
      </c>
      <c r="AJ219" s="153"/>
      <c r="AK219" s="153">
        <v>0.38</v>
      </c>
      <c r="AL219" s="153">
        <v>0.38</v>
      </c>
      <c r="AM219" s="153">
        <v>0.38</v>
      </c>
      <c r="AN219" s="153">
        <v>0.38</v>
      </c>
      <c r="AO219" s="153"/>
      <c r="AP219" s="153">
        <f>AP220/AP218</f>
      </c>
      <c r="AQ219" s="153">
        <f>AQ220/AQ218</f>
      </c>
      <c r="AR219" s="153">
        <v>0.5</v>
      </c>
      <c r="AS219" s="153">
        <v>0.75</v>
      </c>
      <c r="AT219" s="153"/>
      <c r="AU219" s="153">
        <v>0.75</v>
      </c>
      <c r="AV219" s="153">
        <v>0.75</v>
      </c>
      <c r="AW219" s="153">
        <v>0.83299999999999996</v>
      </c>
      <c r="AX219" s="547">
        <v>0.99</v>
      </c>
      <c r="AY219" s="153"/>
      <c r="AZ219" s="153">
        <v>1</v>
      </c>
      <c r="BA219" s="153">
        <f>AZ219</f>
      </c>
      <c r="BB219" s="153">
        <f>BA219</f>
      </c>
      <c r="BC219" s="153">
        <f>BB219</f>
      </c>
      <c r="BD219" s="153"/>
      <c r="BE219" s="153"/>
      <c r="BF219" s="153"/>
      <c r="BG219" s="153"/>
      <c r="BH219" s="153"/>
      <c r="BI219" s="153"/>
      <c r="BJ219" s="153"/>
      <c r="BK219" s="153"/>
      <c r="BL219" s="153"/>
      <c r="BM219" s="153"/>
      <c r="BN219" s="153"/>
      <c r="BO219" s="153"/>
      <c r="BP219" s="153"/>
      <c r="BQ219" s="153"/>
      <c r="BR219" s="153"/>
      <c r="BS219" s="153"/>
      <c r="BT219" s="153"/>
      <c r="BU219" s="153"/>
      <c r="BV219" s="153"/>
      <c r="BW219" s="153"/>
      <c r="BX219" s="153"/>
      <c r="BY219" s="153"/>
      <c r="BZ219" s="153"/>
      <c r="CA219" s="153"/>
      <c r="CB219" s="548"/>
      <c r="CC219" s="461"/>
      <c r="CD219" s="153"/>
      <c r="CE219" s="153"/>
      <c r="CF219" s="153"/>
      <c r="CG219" s="153"/>
      <c r="CH219" s="153"/>
      <c r="CI219" s="153"/>
      <c r="CJ219" s="153"/>
      <c r="CK219" s="153"/>
      <c r="CL219" s="153"/>
      <c r="CM219" s="153"/>
      <c r="CN219" s="153"/>
      <c r="CO219" s="153"/>
      <c r="CP219" s="153"/>
      <c r="CQ219" s="153"/>
      <c r="CR219" s="153"/>
      <c r="CS219" s="153"/>
      <c r="CT219" s="153"/>
      <c r="CU219" s="153"/>
      <c r="CV219" s="153"/>
      <c r="CW219" s="153"/>
      <c r="CX219" s="153"/>
      <c r="CY219" s="153"/>
      <c r="CZ219" s="153"/>
      <c r="DA219" s="153"/>
      <c r="FL219" s="111"/>
      <c r="FM219" s="111"/>
    </row>
    <row r="220" spans="1:169" outlineLevel="2">
      <c r="A220" s="106" t="s">
        <v>353</v>
      </c>
      <c r="B220" s="88"/>
      <c r="C220" s="88"/>
      <c r="D220" s="88"/>
      <c r="E220" s="88"/>
      <c r="F220" s="88"/>
      <c r="G220" s="88"/>
      <c r="H220" s="88"/>
      <c r="I220" s="88"/>
      <c r="J220" s="88"/>
      <c r="K220" s="88"/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>
        <f t="shared" ref="V220:AN220" si="197">V219*V218</f>
      </c>
      <c r="W220" s="88">
        <f t="shared" si="197"/>
      </c>
      <c r="X220" s="88">
        <f t="shared" si="197"/>
      </c>
      <c r="Y220" s="88">
        <f t="shared" si="197"/>
      </c>
      <c r="Z220" s="88"/>
      <c r="AA220" s="88">
        <f t="shared" si="197"/>
      </c>
      <c r="AB220" s="88">
        <f t="shared" si="197"/>
      </c>
      <c r="AC220" s="88">
        <f t="shared" si="197"/>
      </c>
      <c r="AD220" s="88">
        <f t="shared" si="197"/>
      </c>
      <c r="AE220" s="88"/>
      <c r="AF220" s="88">
        <f t="shared" si="197"/>
      </c>
      <c r="AG220" s="88">
        <f t="shared" si="197"/>
      </c>
      <c r="AH220" s="88">
        <f t="shared" si="197"/>
      </c>
      <c r="AI220" s="88">
        <f t="shared" si="197"/>
      </c>
      <c r="AJ220" s="88"/>
      <c r="AK220" s="88">
        <f t="shared" si="197"/>
      </c>
      <c r="AL220" s="88">
        <f t="shared" si="197"/>
      </c>
      <c r="AM220" s="88">
        <f t="shared" si="197"/>
      </c>
      <c r="AN220" s="88">
        <f t="shared" si="197"/>
      </c>
      <c r="AO220" s="88"/>
      <c r="AP220" s="88">
        <f>0.38*AP215*AP216+0.5*AP217</f>
      </c>
      <c r="AQ220" s="88">
        <f>0.38*AQ215*AQ216+0.5*AQ217</f>
      </c>
      <c r="AR220" s="88">
        <f t="shared" ref="AR220:BC220" si="198">AR219*AR218</f>
      </c>
      <c r="AS220" s="88">
        <f t="shared" si="198"/>
      </c>
      <c r="AT220" s="88"/>
      <c r="AU220" s="88">
        <f t="shared" si="198"/>
      </c>
      <c r="AV220" s="88">
        <f t="shared" si="198"/>
      </c>
      <c r="AW220" s="88">
        <f t="shared" si="198"/>
      </c>
      <c r="AX220" s="555">
        <f t="shared" si="198"/>
      </c>
      <c r="AY220" s="88"/>
      <c r="AZ220" s="88">
        <f t="shared" si="198"/>
      </c>
      <c r="BA220" s="88">
        <f t="shared" si="198"/>
      </c>
      <c r="BB220" s="88">
        <f t="shared" si="198"/>
      </c>
      <c r="BC220" s="88">
        <f t="shared" si="198"/>
      </c>
      <c r="BD220" s="88"/>
      <c r="BE220" s="88"/>
      <c r="BF220" s="88"/>
      <c r="BG220" s="88"/>
      <c r="BH220" s="88"/>
      <c r="BI220" s="88"/>
      <c r="BJ220" s="88"/>
      <c r="BK220" s="88"/>
      <c r="BL220" s="88"/>
      <c r="BM220" s="88"/>
      <c r="BN220" s="88"/>
      <c r="BO220" s="88"/>
      <c r="BP220" s="88"/>
      <c r="BQ220" s="88"/>
      <c r="BR220" s="88"/>
      <c r="BS220" s="88"/>
      <c r="BT220" s="88"/>
      <c r="BU220" s="88"/>
      <c r="BV220" s="88"/>
      <c r="BW220" s="88"/>
      <c r="BX220" s="88"/>
      <c r="BY220" s="88"/>
      <c r="BZ220" s="88"/>
      <c r="CA220" s="88"/>
      <c r="CB220" s="550"/>
      <c r="CC220" s="153"/>
      <c r="CD220" s="88"/>
      <c r="CE220" s="88"/>
      <c r="CF220" s="88"/>
      <c r="CG220" s="88"/>
      <c r="CH220" s="88"/>
      <c r="CI220" s="88"/>
      <c r="CJ220" s="88"/>
      <c r="CK220" s="88"/>
      <c r="CL220" s="88"/>
      <c r="CM220" s="88"/>
      <c r="CN220" s="88"/>
      <c r="CO220" s="88"/>
      <c r="CP220" s="88"/>
      <c r="CQ220" s="88"/>
      <c r="CR220" s="88"/>
      <c r="CS220" s="88"/>
      <c r="CT220" s="88"/>
      <c r="CU220" s="88"/>
      <c r="CV220" s="88"/>
      <c r="CW220" s="88"/>
      <c r="CX220" s="88"/>
      <c r="CY220" s="88"/>
      <c r="CZ220" s="88"/>
      <c r="DA220" s="88"/>
      <c r="FL220" s="111"/>
      <c r="FM220" s="111"/>
    </row>
    <row r="221" spans="1:169" outlineLevel="2">
      <c r="A221" s="106" t="s">
        <v>462</v>
      </c>
      <c r="AD221" s="84"/>
      <c r="AE221" s="84"/>
      <c r="AF221" s="84"/>
      <c r="AH221" s="133"/>
      <c r="AI221" s="133"/>
      <c r="AJ221" s="133"/>
      <c r="AK221" s="133">
        <f>AK222/AK218</f>
      </c>
      <c r="AL221" s="133">
        <f>AL222/AL218</f>
      </c>
      <c r="AM221" s="133">
        <v>0.35</v>
      </c>
      <c r="AN221" s="133">
        <v>0.35</v>
      </c>
      <c r="AO221" s="133"/>
      <c r="AP221" s="133">
        <f t="shared" ref="AP221:AX221" si="199">AP222/AP218</f>
      </c>
      <c r="AQ221" s="133">
        <f t="shared" si="199"/>
      </c>
      <c r="AR221" s="133">
        <f t="shared" si="199"/>
      </c>
      <c r="AS221" s="133">
        <f t="shared" si="199"/>
      </c>
      <c r="AT221" s="133"/>
      <c r="AU221" s="133">
        <f t="shared" si="199"/>
      </c>
      <c r="AV221" s="133">
        <f t="shared" si="199"/>
      </c>
      <c r="AW221" s="133">
        <f t="shared" si="199"/>
      </c>
      <c r="AX221" s="171">
        <f t="shared" si="199"/>
      </c>
      <c r="AY221" s="133"/>
      <c r="AZ221" s="133">
        <v>0.9</v>
      </c>
      <c r="BA221" s="133">
        <v>0.9</v>
      </c>
      <c r="BB221" s="133">
        <v>0.9</v>
      </c>
      <c r="BC221" s="133">
        <v>0.9</v>
      </c>
      <c r="BD221" s="133"/>
      <c r="BE221" s="133"/>
      <c r="BF221" s="133"/>
      <c r="BG221" s="133"/>
      <c r="BH221" s="133"/>
      <c r="BI221" s="133"/>
      <c r="BJ221" s="133"/>
      <c r="BK221" s="133"/>
      <c r="BL221" s="133"/>
      <c r="BM221" s="133"/>
      <c r="BN221" s="133"/>
      <c r="BO221" s="133"/>
      <c r="BP221" s="133"/>
      <c r="BQ221" s="133"/>
      <c r="BR221" s="133"/>
      <c r="BS221" s="133"/>
      <c r="BT221" s="133"/>
      <c r="BU221" s="133"/>
      <c r="BV221" s="133"/>
      <c r="BW221" s="133"/>
      <c r="BX221" s="133"/>
      <c r="BY221" s="133"/>
      <c r="BZ221" s="133"/>
      <c r="CA221" s="133"/>
      <c r="CB221" s="548"/>
      <c r="CC221" s="461"/>
      <c r="FL221" s="111"/>
      <c r="FM221" s="111"/>
    </row>
    <row r="222" spans="1:169" outlineLevel="2">
      <c r="A222" s="106" t="s">
        <v>463</v>
      </c>
      <c r="AD222" s="84"/>
      <c r="AE222" s="84"/>
      <c r="AF222" s="84"/>
      <c r="AH222" s="88"/>
      <c r="AI222" s="88"/>
      <c r="AJ222" s="88"/>
      <c r="AK222" s="88">
        <v>8.0239999999999991</v>
      </c>
      <c r="AL222" s="88">
        <v>32.872</v>
      </c>
      <c r="AM222" s="88">
        <f>AM221*AM218</f>
      </c>
      <c r="AN222" s="88">
        <f>AN221*AN218</f>
      </c>
      <c r="AO222" s="88"/>
      <c r="AP222" s="88">
        <v>28.940999999999999</v>
      </c>
      <c r="AQ222" s="88">
        <v>40.786999999999999</v>
      </c>
      <c r="AR222" s="88">
        <v>1.8819999999999999</v>
      </c>
      <c r="AS222" s="88">
        <f>83.881-SUM(AP222:AR222)</f>
      </c>
      <c r="AT222" s="88"/>
      <c r="AU222" s="88">
        <v>19.372</v>
      </c>
      <c r="AV222" s="88">
        <v>21.129000000000001</v>
      </c>
      <c r="AW222" s="88">
        <v>16.248000000000001</v>
      </c>
      <c r="AX222" s="555">
        <f>84.327-SUM(AU222:AW222)</f>
      </c>
      <c r="AY222" s="88"/>
      <c r="AZ222" s="88">
        <f>AZ221*AZ218</f>
      </c>
      <c r="BA222" s="88">
        <f>BA221*BA218</f>
      </c>
      <c r="BB222" s="88">
        <f>BB221*BB218</f>
      </c>
      <c r="BC222" s="88">
        <f>BC221*BC218</f>
      </c>
      <c r="BD222" s="88"/>
      <c r="BE222" s="88"/>
      <c r="BF222" s="88"/>
      <c r="BG222" s="88"/>
      <c r="BH222" s="88"/>
      <c r="BI222" s="88"/>
      <c r="BJ222" s="88"/>
      <c r="BK222" s="88"/>
      <c r="BL222" s="88"/>
      <c r="BM222" s="88"/>
      <c r="BN222" s="88"/>
      <c r="BO222" s="88"/>
      <c r="BP222" s="88"/>
      <c r="BQ222" s="88"/>
      <c r="BR222" s="88"/>
      <c r="BS222" s="88"/>
      <c r="BT222" s="88"/>
      <c r="BU222" s="88"/>
      <c r="BV222" s="88"/>
      <c r="BW222" s="88"/>
      <c r="BX222" s="88"/>
      <c r="BY222" s="88"/>
      <c r="BZ222" s="88"/>
      <c r="CA222" s="88"/>
      <c r="CB222" s="556"/>
      <c r="FL222" s="111"/>
      <c r="FM222" s="111"/>
    </row>
    <row r="223" spans="1:169" s="562" customFormat="1" outlineLevel="2">
      <c r="A223" s="560"/>
      <c r="B223" s="561"/>
      <c r="C223" s="561"/>
      <c r="D223" s="561"/>
      <c r="E223" s="561"/>
      <c r="F223" s="561"/>
      <c r="G223" s="561"/>
      <c r="H223" s="561"/>
      <c r="I223" s="561"/>
      <c r="J223" s="561"/>
      <c r="K223" s="561"/>
      <c r="L223" s="561"/>
      <c r="M223" s="561"/>
      <c r="N223" s="561"/>
      <c r="O223" s="561"/>
      <c r="P223" s="561"/>
      <c r="Q223" s="561"/>
      <c r="R223" s="561"/>
      <c r="S223" s="561"/>
      <c r="T223" s="561"/>
      <c r="U223" s="561"/>
      <c r="V223" s="561"/>
      <c r="W223" s="561"/>
      <c r="X223" s="561"/>
      <c r="Y223" s="561"/>
      <c r="Z223" s="561"/>
      <c r="AA223" s="561"/>
      <c r="AB223" s="561"/>
      <c r="AC223" s="561"/>
      <c r="AD223" s="561"/>
      <c r="AE223" s="561"/>
      <c r="AF223" s="561"/>
      <c r="AK223" s="563"/>
      <c r="AL223" s="563"/>
      <c r="AM223" s="563"/>
      <c r="AN223" s="564"/>
      <c r="AO223" s="564"/>
      <c r="AP223" s="564"/>
      <c r="AQ223" s="564"/>
      <c r="AR223" s="564"/>
      <c r="AS223" s="564"/>
      <c r="AT223" s="564"/>
      <c r="AU223" s="564"/>
      <c r="AV223" s="564"/>
      <c r="AW223" s="564"/>
      <c r="AX223" s="565"/>
      <c r="AY223" s="563"/>
      <c r="CB223" s="566"/>
      <c r="CD223" s="567"/>
      <c r="CI223" s="568"/>
      <c r="CJ223" s="569"/>
      <c r="CK223" s="570"/>
      <c r="CL223" s="568"/>
      <c r="CM223" s="568"/>
      <c r="CN223" s="568"/>
      <c r="CO223" s="568"/>
      <c r="CS223" s="568"/>
      <c r="CX223" s="568"/>
      <c r="DB223" s="561"/>
      <c r="FL223" s="111"/>
      <c r="FM223" s="111"/>
    </row>
    <row r="224" spans="1:169" outlineLevel="1">
      <c r="A224" s="83" t="s">
        <v>472</v>
      </c>
      <c r="AD224" s="84"/>
      <c r="AE224" s="84"/>
      <c r="AF224" s="84"/>
      <c r="AM224" s="455"/>
      <c r="AN224" s="133"/>
      <c r="AO224" s="133"/>
      <c r="AS224" s="88"/>
      <c r="AT224" s="88"/>
      <c r="AV224" s="88"/>
      <c r="AW224" s="88"/>
      <c r="AX224" s="555"/>
      <c r="AY224" s="88"/>
      <c r="AZ224" s="88"/>
      <c r="BA224" s="88"/>
      <c r="BB224" s="88"/>
      <c r="BC224" s="88"/>
      <c r="BD224" s="88"/>
      <c r="BE224" s="88"/>
      <c r="BF224" s="88"/>
      <c r="BG224" s="88"/>
      <c r="BH224" s="88"/>
      <c r="BI224" s="88"/>
      <c r="BJ224" s="88"/>
      <c r="BK224" s="88"/>
      <c r="BL224" s="88"/>
      <c r="BM224" s="88"/>
      <c r="BN224" s="88"/>
      <c r="BO224" s="88"/>
      <c r="BP224" s="88"/>
      <c r="BQ224" s="88"/>
      <c r="BR224" s="88"/>
      <c r="BS224" s="88"/>
      <c r="BT224" s="88"/>
      <c r="BU224" s="88"/>
      <c r="BV224" s="88"/>
      <c r="BW224" s="88"/>
      <c r="BX224" s="88"/>
      <c r="BY224" s="88"/>
      <c r="BZ224" s="88"/>
      <c r="CA224" s="88"/>
      <c r="CB224" s="539"/>
      <c r="CC224" s="88"/>
      <c r="CD224" s="88"/>
      <c r="CE224" s="88"/>
      <c r="CF224" s="119"/>
      <c r="CG224" s="133"/>
      <c r="CH224" s="133"/>
      <c r="CI224" s="119"/>
      <c r="CJ224" s="119"/>
      <c r="CK224" s="119"/>
      <c r="CL224" s="133"/>
      <c r="CM224" s="133"/>
      <c r="CN224" s="88"/>
      <c r="CO224" s="88"/>
      <c r="CP224" s="88"/>
      <c r="CQ224" s="133"/>
      <c r="CR224" s="133"/>
      <c r="CS224" s="88"/>
      <c r="CT224" s="88"/>
      <c r="CU224" s="88"/>
      <c r="CV224" s="133"/>
      <c r="CW224" s="133"/>
      <c r="CX224" s="88"/>
      <c r="CY224" s="88"/>
      <c r="CZ224" s="88"/>
      <c r="DA224" s="133"/>
      <c r="FL224" s="111"/>
      <c r="FM224" s="111"/>
    </row>
    <row r="225" spans="1:169" outlineLevel="1">
      <c r="A225" s="106" t="s">
        <v>465</v>
      </c>
      <c r="B225" s="503"/>
      <c r="C225" s="503"/>
      <c r="D225" s="503"/>
      <c r="E225" s="503"/>
      <c r="F225" s="503"/>
      <c r="G225" s="503"/>
      <c r="H225" s="503"/>
      <c r="I225" s="503"/>
      <c r="J225" s="503"/>
      <c r="K225" s="503"/>
      <c r="L225" s="503"/>
      <c r="M225" s="503"/>
      <c r="N225" s="503"/>
      <c r="O225" s="503"/>
      <c r="P225" s="503"/>
      <c r="Q225" s="503"/>
      <c r="R225" s="503"/>
      <c r="S225" s="503"/>
      <c r="T225" s="503"/>
      <c r="U225" s="503"/>
      <c r="V225" s="503"/>
      <c r="W225" s="503"/>
      <c r="X225" s="503"/>
      <c r="Y225" s="503"/>
      <c r="Z225" s="503"/>
      <c r="AA225" s="503"/>
      <c r="AB225" s="503"/>
      <c r="AC225" s="503"/>
      <c r="AD225" s="503"/>
      <c r="AE225" s="503"/>
      <c r="AF225" s="503"/>
      <c r="AG225" s="88"/>
      <c r="AH225" s="88">
        <v>0.6</v>
      </c>
      <c r="AI225" s="88">
        <v>0.9</v>
      </c>
      <c r="AJ225" s="88"/>
      <c r="AK225" s="88">
        <f t="shared" ref="AK225:BC225" si="200">AK227/AK226</f>
      </c>
      <c r="AL225" s="88">
        <f t="shared" si="200"/>
      </c>
      <c r="AM225" s="88">
        <f t="shared" si="200"/>
      </c>
      <c r="AN225" s="88">
        <f t="shared" si="200"/>
      </c>
      <c r="AO225" s="88"/>
      <c r="AP225" s="88">
        <f t="shared" si="200"/>
      </c>
      <c r="AQ225" s="88">
        <f t="shared" si="200"/>
      </c>
      <c r="AR225" s="88">
        <f t="shared" si="200"/>
      </c>
      <c r="AS225" s="88">
        <f t="shared" si="200"/>
      </c>
      <c r="AT225" s="88"/>
      <c r="AU225" s="88">
        <f t="shared" si="200"/>
      </c>
      <c r="AV225" s="88">
        <f t="shared" si="200"/>
      </c>
      <c r="AW225" s="88">
        <f t="shared" si="200"/>
      </c>
      <c r="AX225" s="555">
        <f t="shared" si="200"/>
      </c>
      <c r="AY225" s="88"/>
      <c r="AZ225" s="88">
        <f t="shared" si="200"/>
      </c>
      <c r="BA225" s="88">
        <f t="shared" si="200"/>
      </c>
      <c r="BB225" s="88">
        <f t="shared" si="200"/>
      </c>
      <c r="BC225" s="88">
        <f t="shared" si="200"/>
      </c>
      <c r="BD225" s="88"/>
      <c r="BE225" s="88"/>
      <c r="BF225" s="88"/>
      <c r="BG225" s="88"/>
      <c r="BH225" s="88"/>
      <c r="BI225" s="88"/>
      <c r="BJ225" s="88"/>
      <c r="BK225" s="88"/>
      <c r="BL225" s="88"/>
      <c r="BM225" s="88"/>
      <c r="BN225" s="88"/>
      <c r="BO225" s="88"/>
      <c r="BP225" s="88"/>
      <c r="BQ225" s="88"/>
      <c r="BR225" s="88"/>
      <c r="BS225" s="88"/>
      <c r="BT225" s="88"/>
      <c r="BU225" s="88"/>
      <c r="BV225" s="88"/>
      <c r="BW225" s="542"/>
      <c r="BX225" s="542"/>
      <c r="BY225" s="542"/>
      <c r="BZ225" s="542"/>
      <c r="CA225" s="542"/>
      <c r="CB225" s="571"/>
      <c r="CC225" s="542"/>
      <c r="CD225" s="542"/>
      <c r="CE225" s="542"/>
      <c r="CF225" s="542"/>
      <c r="CG225" s="542"/>
      <c r="CH225" s="542"/>
      <c r="CI225" s="542"/>
      <c r="CJ225" s="542"/>
      <c r="CK225" s="542"/>
      <c r="CL225" s="542"/>
      <c r="CM225" s="542"/>
      <c r="CN225" s="572"/>
      <c r="CO225" s="572"/>
      <c r="CP225" s="572"/>
      <c r="CQ225" s="572"/>
      <c r="CR225" s="133"/>
      <c r="CS225" s="573"/>
      <c r="CT225" s="573"/>
      <c r="CU225" s="573"/>
      <c r="CV225" s="573"/>
      <c r="CW225" s="133"/>
      <c r="CX225" s="573"/>
      <c r="CY225" s="573"/>
      <c r="CZ225" s="573"/>
      <c r="DA225" s="573"/>
      <c r="DC225" s="573"/>
      <c r="DD225" s="573"/>
      <c r="DE225" s="573"/>
      <c r="DF225" s="573"/>
      <c r="DH225" s="573"/>
      <c r="DI225" s="573"/>
      <c r="DJ225" s="573"/>
      <c r="DK225" s="573"/>
      <c r="DM225" s="573"/>
      <c r="DN225" s="573"/>
      <c r="DO225" s="573"/>
      <c r="DP225" s="573"/>
      <c r="DR225" s="573"/>
      <c r="DS225" s="573"/>
      <c r="DT225" s="573"/>
      <c r="DU225" s="573"/>
      <c r="DW225" s="573"/>
      <c r="DX225" s="573"/>
      <c r="DY225" s="573"/>
      <c r="DZ225" s="573"/>
      <c r="EB225" s="573"/>
      <c r="EC225" s="573"/>
      <c r="ED225" s="573"/>
      <c r="EE225" s="573"/>
      <c r="EG225" s="573"/>
      <c r="EH225" s="573"/>
      <c r="EI225" s="573"/>
      <c r="EJ225" s="573"/>
      <c r="FL225" s="111"/>
      <c r="FM225" s="111"/>
    </row>
    <row r="226" spans="1:169" outlineLevel="1">
      <c r="A226" s="106" t="s">
        <v>457</v>
      </c>
      <c r="AD226" s="84"/>
      <c r="AE226" s="84"/>
      <c r="AF226" s="574"/>
      <c r="AG226" s="133"/>
      <c r="AH226" s="120">
        <v>8</v>
      </c>
      <c r="AI226" s="120">
        <v>8</v>
      </c>
      <c r="AJ226" s="120"/>
      <c r="AK226" s="120">
        <v>8</v>
      </c>
      <c r="AL226" s="120">
        <v>8</v>
      </c>
      <c r="AM226" s="120">
        <v>8</v>
      </c>
      <c r="AN226" s="120">
        <v>8</v>
      </c>
      <c r="AO226" s="120"/>
      <c r="AP226" s="120">
        <v>8</v>
      </c>
      <c r="AQ226" s="120">
        <v>8</v>
      </c>
      <c r="AR226" s="120">
        <v>8</v>
      </c>
      <c r="AS226" s="120">
        <v>8</v>
      </c>
      <c r="AT226" s="120"/>
      <c r="AU226" s="120">
        <v>8</v>
      </c>
      <c r="AV226" s="120">
        <v>8</v>
      </c>
      <c r="AW226" s="120">
        <f>AV226*0.95</f>
      </c>
      <c r="AX226" s="554">
        <v>7</v>
      </c>
      <c r="AY226" s="120"/>
      <c r="AZ226" s="120">
        <v>7</v>
      </c>
      <c r="BA226" s="120">
        <v>7</v>
      </c>
      <c r="BB226" s="120">
        <v>7</v>
      </c>
      <c r="BC226" s="120">
        <v>6.8</v>
      </c>
      <c r="BD226" s="120"/>
      <c r="BE226" s="120"/>
      <c r="BF226" s="120"/>
      <c r="BG226" s="120"/>
      <c r="BH226" s="120"/>
      <c r="BI226" s="120"/>
      <c r="BJ226" s="120"/>
      <c r="BK226" s="120"/>
      <c r="BL226" s="120"/>
      <c r="BM226" s="120"/>
      <c r="BN226" s="120"/>
      <c r="BO226" s="120"/>
      <c r="BP226" s="120"/>
      <c r="BQ226" s="120"/>
      <c r="BR226" s="120"/>
      <c r="BS226" s="120"/>
      <c r="BT226" s="120"/>
      <c r="BU226" s="120"/>
      <c r="BV226" s="120"/>
      <c r="BW226" s="120"/>
      <c r="BX226" s="120"/>
      <c r="BY226" s="120"/>
      <c r="BZ226" s="120"/>
      <c r="CA226" s="120"/>
      <c r="CB226" s="521"/>
      <c r="CC226" s="120"/>
      <c r="CD226" s="120"/>
      <c r="CE226" s="120"/>
      <c r="CF226" s="120"/>
      <c r="CG226" s="120"/>
      <c r="CH226" s="120"/>
      <c r="CI226" s="120"/>
      <c r="CJ226" s="120"/>
      <c r="CK226" s="120"/>
      <c r="CL226" s="120"/>
      <c r="CM226" s="120"/>
      <c r="CN226" s="120"/>
      <c r="CO226" s="120"/>
      <c r="CP226" s="120"/>
      <c r="CQ226" s="120"/>
      <c r="CR226" s="133"/>
      <c r="CS226" s="523"/>
      <c r="CT226" s="523"/>
      <c r="CU226" s="523"/>
      <c r="CV226" s="523"/>
      <c r="CW226" s="133"/>
      <c r="CX226" s="523"/>
      <c r="CY226" s="523"/>
      <c r="CZ226" s="523"/>
      <c r="DA226" s="523"/>
      <c r="DC226" s="523"/>
      <c r="DD226" s="523"/>
      <c r="DE226" s="523"/>
      <c r="DF226" s="523"/>
      <c r="DH226" s="523"/>
      <c r="DI226" s="523"/>
      <c r="DJ226" s="523"/>
      <c r="DK226" s="523"/>
      <c r="DM226" s="523"/>
      <c r="DN226" s="523"/>
      <c r="DO226" s="523"/>
      <c r="DP226" s="523"/>
      <c r="DR226" s="523"/>
      <c r="DS226" s="523"/>
      <c r="DT226" s="523"/>
      <c r="DU226" s="523"/>
      <c r="DW226" s="523"/>
      <c r="DX226" s="523"/>
      <c r="DY226" s="523"/>
      <c r="DZ226" s="523"/>
      <c r="EB226" s="523"/>
      <c r="EC226" s="523"/>
      <c r="ED226" s="523"/>
      <c r="EE226" s="523"/>
      <c r="EG226" s="523"/>
      <c r="EH226" s="523"/>
      <c r="EI226" s="523"/>
      <c r="EJ226" s="523"/>
      <c r="FL226" s="111"/>
      <c r="FM226" s="111"/>
    </row>
    <row r="227" spans="1:169" s="583" customFormat="1" outlineLevel="1">
      <c r="A227" s="575" t="s">
        <v>458</v>
      </c>
      <c r="B227" s="576"/>
      <c r="C227" s="576"/>
      <c r="D227" s="576"/>
      <c r="E227" s="576"/>
      <c r="F227" s="576"/>
      <c r="G227" s="576"/>
      <c r="H227" s="576"/>
      <c r="I227" s="576"/>
      <c r="J227" s="576"/>
      <c r="K227" s="576"/>
      <c r="L227" s="576"/>
      <c r="M227" s="576"/>
      <c r="N227" s="576"/>
      <c r="O227" s="576"/>
      <c r="P227" s="576"/>
      <c r="Q227" s="576"/>
      <c r="R227" s="576"/>
      <c r="S227" s="576"/>
      <c r="T227" s="576"/>
      <c r="U227" s="576"/>
      <c r="V227" s="576"/>
      <c r="W227" s="576"/>
      <c r="X227" s="576"/>
      <c r="Y227" s="576"/>
      <c r="Z227" s="576"/>
      <c r="AA227" s="576"/>
      <c r="AB227" s="576"/>
      <c r="AC227" s="576"/>
      <c r="AD227" s="576"/>
      <c r="AE227" s="576"/>
      <c r="AF227" s="577"/>
      <c r="AG227" s="577"/>
      <c r="AH227" s="526">
        <f>AH225*AH226</f>
      </c>
      <c r="AI227" s="526">
        <f>AI225*AI226</f>
      </c>
      <c r="AJ227" s="526"/>
      <c r="AK227" s="578">
        <f>10.859-AL227</f>
      </c>
      <c r="AL227" s="578">
        <v>5.2009999999999996</v>
      </c>
      <c r="AM227" s="578">
        <v>11.090999999999999</v>
      </c>
      <c r="AN227" s="578">
        <f>45.921-SUM(AK227:AM227)</f>
      </c>
      <c r="AO227" s="578"/>
      <c r="AP227" s="578">
        <v>7.7619999999999996</v>
      </c>
      <c r="AQ227" s="578">
        <v>2.1349999999999998</v>
      </c>
      <c r="AR227" s="578">
        <v>23.193999999999999</v>
      </c>
      <c r="AS227" s="526">
        <f>58.745-SUM(AP227:AR227)</f>
      </c>
      <c r="AT227" s="526"/>
      <c r="AU227" s="578">
        <v>30.721</v>
      </c>
      <c r="AV227" s="578">
        <v>27.344000000000001</v>
      </c>
      <c r="AW227" s="578">
        <v>25.960999999999999</v>
      </c>
      <c r="AX227" s="579">
        <f>108.496-SUM(AU227:AW227)</f>
      </c>
      <c r="AY227" s="578"/>
      <c r="AZ227" s="526">
        <f>AU227*1.49</f>
      </c>
      <c r="BA227" s="526">
        <f>AV227*1.69</f>
      </c>
      <c r="BB227" s="526">
        <v>44</v>
      </c>
      <c r="BC227" s="526">
        <v>40</v>
      </c>
      <c r="BD227" s="526"/>
      <c r="BE227" s="526"/>
      <c r="BF227" s="526"/>
      <c r="BG227" s="526"/>
      <c r="BH227" s="526"/>
      <c r="BI227" s="526"/>
      <c r="BJ227" s="526"/>
      <c r="BK227" s="526"/>
      <c r="BL227" s="526"/>
      <c r="BM227" s="578"/>
      <c r="BN227" s="578"/>
      <c r="BO227" s="578"/>
      <c r="BP227" s="578"/>
      <c r="BQ227" s="578"/>
      <c r="BR227" s="578"/>
      <c r="BS227" s="578"/>
      <c r="BT227" s="578"/>
      <c r="BU227" s="578"/>
      <c r="BV227" s="578"/>
      <c r="BW227" s="580"/>
      <c r="BX227" s="580"/>
      <c r="BY227" s="580"/>
      <c r="BZ227" s="580"/>
      <c r="CA227" s="580"/>
      <c r="CB227" s="581"/>
      <c r="CC227" s="580"/>
      <c r="CD227" s="580"/>
      <c r="CE227" s="580"/>
      <c r="CF227" s="580"/>
      <c r="CG227" s="580"/>
      <c r="CH227" s="580"/>
      <c r="CI227" s="580"/>
      <c r="CJ227" s="580"/>
      <c r="CK227" s="580"/>
      <c r="CL227" s="580"/>
      <c r="CM227" s="580"/>
      <c r="CN227" s="582"/>
      <c r="CO227" s="582"/>
      <c r="CP227" s="582"/>
      <c r="CQ227" s="582"/>
      <c r="CR227" s="526"/>
      <c r="CS227" s="530"/>
      <c r="CT227" s="530"/>
      <c r="CU227" s="530"/>
      <c r="CV227" s="530"/>
      <c r="CW227" s="526"/>
      <c r="CX227" s="530"/>
      <c r="CY227" s="530"/>
      <c r="CZ227" s="530"/>
      <c r="DA227" s="530"/>
      <c r="DB227" s="576"/>
      <c r="DC227" s="530"/>
      <c r="DD227" s="530"/>
      <c r="DE227" s="530"/>
      <c r="DF227" s="530"/>
      <c r="DH227" s="530"/>
      <c r="DI227" s="530"/>
      <c r="DJ227" s="530"/>
      <c r="DK227" s="530"/>
      <c r="DM227" s="530"/>
      <c r="DN227" s="530"/>
      <c r="DO227" s="530"/>
      <c r="DP227" s="530"/>
      <c r="DR227" s="530"/>
      <c r="DS227" s="530"/>
      <c r="DT227" s="530"/>
      <c r="DU227" s="530"/>
      <c r="DW227" s="530"/>
      <c r="DX227" s="530"/>
      <c r="DY227" s="530"/>
      <c r="DZ227" s="530"/>
      <c r="EB227" s="530"/>
      <c r="EC227" s="530"/>
      <c r="ED227" s="530"/>
      <c r="EE227" s="530"/>
      <c r="EG227" s="530"/>
      <c r="EH227" s="530"/>
      <c r="EI227" s="530"/>
      <c r="EJ227" s="530"/>
      <c r="FL227" s="111"/>
      <c r="FM227" s="111"/>
    </row>
    <row r="228" spans="1:169" outlineLevel="1">
      <c r="A228" s="106" t="s">
        <v>461</v>
      </c>
      <c r="J228" s="584"/>
      <c r="K228" s="584"/>
      <c r="L228" s="584"/>
      <c r="M228" s="584"/>
      <c r="N228" s="584"/>
      <c r="O228" s="584"/>
      <c r="P228" s="584"/>
      <c r="Q228" s="584"/>
      <c r="R228" s="584"/>
      <c r="S228" s="584"/>
      <c r="T228" s="584"/>
      <c r="U228" s="584"/>
      <c r="V228" s="584"/>
      <c r="W228" s="584"/>
      <c r="X228" s="584"/>
      <c r="Y228" s="584"/>
      <c r="Z228" s="584"/>
      <c r="AA228" s="584"/>
      <c r="AB228" s="584"/>
      <c r="AC228" s="584"/>
      <c r="AD228" s="584"/>
      <c r="AE228" s="584"/>
      <c r="AF228" s="584"/>
      <c r="AG228" s="153"/>
      <c r="AH228" s="153">
        <v>0.25</v>
      </c>
      <c r="AI228" s="153">
        <v>0.25</v>
      </c>
      <c r="AJ228" s="153"/>
      <c r="AK228" s="153">
        <f>AI228+0.005</f>
      </c>
      <c r="AL228" s="153">
        <f>AK228+0.005</f>
      </c>
      <c r="AM228" s="153">
        <f>AL228+0.005</f>
      </c>
      <c r="AN228" s="153">
        <f>AM228+0.005</f>
      </c>
      <c r="AO228" s="153"/>
      <c r="AP228" s="153">
        <v>0.25</v>
      </c>
      <c r="AQ228" s="153">
        <v>0.25</v>
      </c>
      <c r="AR228" s="153">
        <v>0.25</v>
      </c>
      <c r="AS228" s="153">
        <v>0.32</v>
      </c>
      <c r="AT228" s="153"/>
      <c r="AU228" s="153">
        <v>0.4</v>
      </c>
      <c r="AV228" s="153">
        <v>0.4</v>
      </c>
      <c r="AW228" s="153">
        <v>0.38</v>
      </c>
      <c r="AX228" s="547">
        <v>0.38</v>
      </c>
      <c r="AY228" s="153"/>
      <c r="AZ228" s="153">
        <v>0.4</v>
      </c>
      <c r="BA228" s="153">
        <v>0.4</v>
      </c>
      <c r="BB228" s="153">
        <v>0.4</v>
      </c>
      <c r="BC228" s="153">
        <v>0.4</v>
      </c>
      <c r="BD228" s="153"/>
      <c r="BE228" s="153"/>
      <c r="BF228" s="153"/>
      <c r="BG228" s="153"/>
      <c r="BH228" s="153"/>
      <c r="BI228" s="153"/>
      <c r="BJ228" s="153"/>
      <c r="BK228" s="153"/>
      <c r="BL228" s="153"/>
      <c r="BM228" s="153"/>
      <c r="BN228" s="153"/>
      <c r="BO228" s="153"/>
      <c r="BP228" s="153"/>
      <c r="BQ228" s="153"/>
      <c r="BR228" s="153"/>
      <c r="BS228" s="153"/>
      <c r="BT228" s="153"/>
      <c r="BU228" s="153"/>
      <c r="BV228" s="153"/>
      <c r="BW228" s="153"/>
      <c r="BX228" s="153"/>
      <c r="BY228" s="153"/>
      <c r="BZ228" s="153"/>
      <c r="CA228" s="153"/>
      <c r="CB228" s="550"/>
      <c r="CC228" s="153"/>
      <c r="CD228" s="153"/>
      <c r="CE228" s="153"/>
      <c r="CF228" s="153"/>
      <c r="CG228" s="153"/>
      <c r="CH228" s="153"/>
      <c r="CI228" s="153"/>
      <c r="CJ228" s="153"/>
      <c r="CK228" s="153"/>
      <c r="CL228" s="153"/>
      <c r="CM228" s="153"/>
      <c r="CN228" s="133"/>
      <c r="CO228" s="133"/>
      <c r="CP228" s="133"/>
      <c r="CQ228" s="133"/>
      <c r="CR228" s="133"/>
      <c r="CS228" s="540"/>
      <c r="CT228" s="540"/>
      <c r="CU228" s="540"/>
      <c r="CV228" s="540"/>
      <c r="CW228" s="133"/>
      <c r="CX228" s="540"/>
      <c r="CY228" s="540"/>
      <c r="CZ228" s="540"/>
      <c r="DA228" s="540"/>
      <c r="DC228" s="540"/>
      <c r="DD228" s="540"/>
      <c r="DE228" s="540"/>
      <c r="DF228" s="540"/>
      <c r="DH228" s="540"/>
      <c r="DI228" s="540"/>
      <c r="DJ228" s="540"/>
      <c r="DK228" s="540"/>
      <c r="DM228" s="540"/>
      <c r="DN228" s="540"/>
      <c r="DO228" s="540"/>
      <c r="DP228" s="540"/>
      <c r="DR228" s="540"/>
      <c r="DS228" s="540"/>
      <c r="DT228" s="540"/>
      <c r="DU228" s="540"/>
      <c r="DW228" s="540"/>
      <c r="DX228" s="540"/>
      <c r="DY228" s="540"/>
      <c r="DZ228" s="540"/>
      <c r="EB228" s="540"/>
      <c r="EC228" s="540"/>
      <c r="ED228" s="540"/>
      <c r="EE228" s="540"/>
      <c r="EG228" s="540"/>
      <c r="EH228" s="540"/>
      <c r="EI228" s="540"/>
      <c r="EJ228" s="540"/>
      <c r="FL228" s="111"/>
      <c r="FM228" s="111"/>
    </row>
    <row r="229" spans="1:169" outlineLevel="1">
      <c r="A229" s="106" t="s">
        <v>353</v>
      </c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  <c r="AA229" s="85"/>
      <c r="AB229" s="85"/>
      <c r="AC229" s="85"/>
      <c r="AD229" s="133"/>
      <c r="AE229" s="133"/>
      <c r="AF229" s="134"/>
      <c r="AG229" s="86"/>
      <c r="AH229" s="88">
        <f t="shared" ref="AH229:BC229" si="201">AH228*AH227</f>
      </c>
      <c r="AI229" s="88">
        <f t="shared" si="201"/>
      </c>
      <c r="AJ229" s="88"/>
      <c r="AK229" s="88">
        <f t="shared" si="201"/>
      </c>
      <c r="AL229" s="88">
        <f t="shared" si="201"/>
      </c>
      <c r="AM229" s="88">
        <f t="shared" si="201"/>
      </c>
      <c r="AN229" s="88">
        <f t="shared" si="201"/>
      </c>
      <c r="AO229" s="88"/>
      <c r="AP229" s="88">
        <f t="shared" si="201"/>
      </c>
      <c r="AQ229" s="88">
        <f t="shared" si="201"/>
      </c>
      <c r="AR229" s="88">
        <f t="shared" si="201"/>
      </c>
      <c r="AS229" s="88">
        <f t="shared" si="201"/>
      </c>
      <c r="AT229" s="88"/>
      <c r="AU229" s="88">
        <f t="shared" si="201"/>
      </c>
      <c r="AV229" s="88">
        <f t="shared" si="201"/>
      </c>
      <c r="AW229" s="88">
        <f t="shared" si="201"/>
      </c>
      <c r="AX229" s="555">
        <f t="shared" si="201"/>
      </c>
      <c r="AY229" s="88"/>
      <c r="AZ229" s="88">
        <f t="shared" si="201"/>
      </c>
      <c r="BA229" s="88">
        <f t="shared" si="201"/>
      </c>
      <c r="BB229" s="88">
        <f t="shared" si="201"/>
      </c>
      <c r="BC229" s="88">
        <f t="shared" si="201"/>
      </c>
      <c r="BD229" s="88"/>
      <c r="BE229" s="88"/>
      <c r="BF229" s="88"/>
      <c r="BG229" s="88"/>
      <c r="BH229" s="88"/>
      <c r="BI229" s="88"/>
      <c r="BJ229" s="88"/>
      <c r="BK229" s="88"/>
      <c r="BL229" s="88"/>
      <c r="BM229" s="88"/>
      <c r="BN229" s="88"/>
      <c r="BO229" s="88"/>
      <c r="BP229" s="88"/>
      <c r="BQ229" s="88"/>
      <c r="BR229" s="88"/>
      <c r="BS229" s="88"/>
      <c r="BT229" s="88"/>
      <c r="BU229" s="88"/>
      <c r="BV229" s="88"/>
      <c r="BW229" s="88"/>
      <c r="BX229" s="88"/>
      <c r="BY229" s="88"/>
      <c r="BZ229" s="88"/>
      <c r="CA229" s="88"/>
      <c r="CB229" s="539"/>
      <c r="CC229" s="88"/>
      <c r="CD229" s="88"/>
      <c r="CE229" s="88"/>
      <c r="CF229" s="88"/>
      <c r="CG229" s="88"/>
      <c r="CH229" s="88"/>
      <c r="CI229" s="88"/>
      <c r="CJ229" s="88"/>
      <c r="CK229" s="88"/>
      <c r="CL229" s="88"/>
      <c r="CM229" s="88"/>
      <c r="CN229" s="88"/>
      <c r="CO229" s="88"/>
      <c r="CP229" s="88"/>
      <c r="CQ229" s="88"/>
      <c r="CR229" s="88"/>
      <c r="CS229" s="88"/>
      <c r="CT229" s="88"/>
      <c r="CU229" s="88"/>
      <c r="CV229" s="88"/>
      <c r="CW229" s="88"/>
      <c r="CX229" s="88"/>
      <c r="CY229" s="88"/>
      <c r="CZ229" s="88"/>
      <c r="DA229" s="88"/>
      <c r="DC229" s="88"/>
      <c r="DD229" s="88"/>
      <c r="DE229" s="88"/>
      <c r="DF229" s="88"/>
      <c r="DH229" s="88"/>
      <c r="DI229" s="88"/>
      <c r="DJ229" s="88"/>
      <c r="DK229" s="88"/>
      <c r="DM229" s="88"/>
      <c r="DN229" s="88"/>
      <c r="DO229" s="88"/>
      <c r="DP229" s="88"/>
      <c r="DR229" s="88"/>
      <c r="DS229" s="88"/>
      <c r="DT229" s="88"/>
      <c r="DU229" s="88"/>
      <c r="DW229" s="88"/>
      <c r="DX229" s="88"/>
      <c r="DY229" s="88"/>
      <c r="DZ229" s="88"/>
      <c r="EB229" s="88"/>
      <c r="EC229" s="88"/>
      <c r="ED229" s="88"/>
      <c r="EE229" s="88"/>
      <c r="EG229" s="88"/>
      <c r="EH229" s="88"/>
      <c r="EI229" s="88"/>
      <c r="EJ229" s="88"/>
      <c r="FL229" s="111"/>
      <c r="FM229" s="111"/>
    </row>
    <row r="230" spans="1:169" outlineLevel="1">
      <c r="A230" s="106" t="s">
        <v>462</v>
      </c>
      <c r="AD230" s="84"/>
      <c r="AE230" s="84"/>
      <c r="AF230" s="84"/>
      <c r="AK230" s="133">
        <f t="shared" ref="AK230:AX230" si="202">AK231/AK227</f>
      </c>
      <c r="AL230" s="133">
        <f t="shared" si="202"/>
      </c>
      <c r="AM230" s="133">
        <f t="shared" si="202"/>
      </c>
      <c r="AN230" s="133">
        <f t="shared" si="202"/>
      </c>
      <c r="AO230" s="133"/>
      <c r="AP230" s="133">
        <f t="shared" si="202"/>
      </c>
      <c r="AQ230" s="133">
        <f t="shared" si="202"/>
      </c>
      <c r="AR230" s="133">
        <f t="shared" si="202"/>
      </c>
      <c r="AS230" s="133">
        <f t="shared" si="202"/>
      </c>
      <c r="AT230" s="133"/>
      <c r="AU230" s="133">
        <f t="shared" si="202"/>
      </c>
      <c r="AV230" s="133">
        <f t="shared" si="202"/>
      </c>
      <c r="AW230" s="133">
        <f t="shared" si="202"/>
      </c>
      <c r="AX230" s="171">
        <f t="shared" si="202"/>
      </c>
      <c r="AY230" s="133"/>
      <c r="AZ230" s="133">
        <f>AZ231/AZ227</f>
      </c>
      <c r="BA230" s="133">
        <f>BA231/BA227</f>
      </c>
      <c r="BB230" s="133">
        <f>BB231/BB227</f>
      </c>
      <c r="BC230" s="133">
        <f>BC231/BC227</f>
      </c>
      <c r="BD230" s="133"/>
      <c r="BE230" s="133"/>
      <c r="BF230" s="133"/>
      <c r="BG230" s="133"/>
      <c r="BH230" s="133"/>
      <c r="BI230" s="133"/>
      <c r="BJ230" s="133"/>
      <c r="BK230" s="133"/>
      <c r="BL230" s="133"/>
      <c r="BM230" s="133"/>
      <c r="BN230" s="133"/>
      <c r="BO230" s="133"/>
      <c r="BP230" s="133"/>
      <c r="BQ230" s="133"/>
      <c r="BR230" s="133"/>
      <c r="BS230" s="133"/>
      <c r="BT230" s="133"/>
      <c r="BU230" s="133"/>
      <c r="BV230" s="133"/>
      <c r="BW230" s="133"/>
      <c r="BX230" s="133"/>
      <c r="BY230" s="133"/>
      <c r="BZ230" s="133"/>
      <c r="CA230" s="133"/>
      <c r="CB230" s="559"/>
      <c r="CC230" s="133"/>
      <c r="CD230" s="133"/>
      <c r="CE230" s="133"/>
      <c r="CF230" s="133"/>
      <c r="CG230" s="133"/>
      <c r="CH230" s="133"/>
      <c r="CI230" s="133"/>
      <c r="CJ230" s="133"/>
      <c r="CK230" s="133"/>
      <c r="CL230" s="133"/>
      <c r="CM230" s="133"/>
      <c r="CN230" s="133"/>
      <c r="CO230" s="133"/>
      <c r="CP230" s="133"/>
      <c r="FL230" s="111"/>
      <c r="FM230" s="111"/>
    </row>
    <row r="231" spans="1:169" outlineLevel="1">
      <c r="A231" s="106" t="s">
        <v>463</v>
      </c>
      <c r="AD231" s="84"/>
      <c r="AE231" s="84"/>
      <c r="AF231" s="84"/>
      <c r="AK231" s="88">
        <f>-16.05-AL231</f>
      </c>
      <c r="AL231" s="88">
        <v>-9.2579999999999991</v>
      </c>
      <c r="AM231" s="88">
        <v>-13.763999999999999</v>
      </c>
      <c r="AN231" s="88">
        <f>-37.532-SUM(AK231:AM231)</f>
      </c>
      <c r="AO231" s="88"/>
      <c r="AP231" s="88">
        <v>-15.593</v>
      </c>
      <c r="AQ231" s="88">
        <v>-10.115</v>
      </c>
      <c r="AR231" s="88">
        <v>-3.992</v>
      </c>
      <c r="AS231" s="88">
        <f>-34.922-SUM(AP231:AR231)</f>
      </c>
      <c r="AT231" s="88"/>
      <c r="AU231" s="88">
        <v>-1.4239999999999999</v>
      </c>
      <c r="AV231" s="88">
        <v>-4.3109999999999999</v>
      </c>
      <c r="AW231" s="88">
        <v>-11.009</v>
      </c>
      <c r="AX231" s="555">
        <f>-41.399-SUM(AU231:AW231)</f>
      </c>
      <c r="AY231" s="88"/>
      <c r="AZ231" s="461">
        <f>10.168-AZ222</f>
      </c>
      <c r="BA231" s="461">
        <f>2.767-BA222</f>
      </c>
      <c r="BB231" s="461">
        <f>2.767-BB222</f>
      </c>
      <c r="BC231" s="461">
        <f>2.767-BC222</f>
      </c>
      <c r="BD231" s="461"/>
      <c r="BE231" s="461"/>
      <c r="BF231" s="461"/>
      <c r="BG231" s="461"/>
      <c r="BH231" s="461"/>
      <c r="BI231" s="461"/>
      <c r="BJ231" s="88"/>
      <c r="BK231" s="88"/>
      <c r="BL231" s="88"/>
      <c r="BM231" s="88"/>
      <c r="BN231" s="88"/>
      <c r="BO231" s="88"/>
      <c r="BP231" s="88"/>
      <c r="BQ231" s="88"/>
      <c r="BR231" s="88"/>
      <c r="BS231" s="88"/>
      <c r="BT231" s="88"/>
      <c r="BU231" s="88"/>
      <c r="BV231" s="88"/>
      <c r="BW231" s="88"/>
      <c r="BX231" s="88"/>
      <c r="BY231" s="88"/>
      <c r="BZ231" s="88"/>
      <c r="CA231" s="88"/>
      <c r="CB231" s="539"/>
      <c r="CC231" s="88"/>
      <c r="CD231" s="88"/>
      <c r="CE231" s="88"/>
      <c r="CF231" s="88"/>
      <c r="CG231" s="88"/>
      <c r="CH231" s="88"/>
      <c r="CI231" s="88"/>
      <c r="CJ231" s="88"/>
      <c r="CK231" s="88"/>
      <c r="CL231" s="88"/>
      <c r="CM231" s="88"/>
      <c r="CN231" s="88"/>
      <c r="CO231" s="88"/>
      <c r="CP231" s="88"/>
      <c r="FL231" s="111"/>
      <c r="FM231" s="111"/>
    </row>
    <row r="232" spans="1:169" outlineLevel="1">
      <c r="AD232" s="84"/>
      <c r="AE232" s="84"/>
      <c r="AF232" s="84"/>
      <c r="AV232" s="88"/>
      <c r="AX232" s="171"/>
      <c r="AY232" s="133"/>
      <c r="AZ232" s="461"/>
      <c r="BA232" s="461"/>
      <c r="BB232" s="88"/>
      <c r="BC232" s="133"/>
      <c r="BD232" s="133"/>
      <c r="BE232" s="133"/>
      <c r="BF232" s="88"/>
      <c r="BG232" s="88"/>
      <c r="BH232" s="88"/>
      <c r="BI232" s="88"/>
      <c r="BJ232" s="88"/>
      <c r="BK232" s="88"/>
      <c r="BL232" s="88"/>
      <c r="BM232" s="88"/>
      <c r="BN232" s="88"/>
      <c r="BO232" s="88"/>
      <c r="BP232" s="88"/>
      <c r="BQ232" s="88"/>
      <c r="BR232" s="88"/>
      <c r="BS232" s="88"/>
      <c r="BT232" s="88"/>
      <c r="BU232" s="478"/>
      <c r="BV232" s="478"/>
      <c r="BW232" s="86"/>
      <c r="BX232" s="86"/>
      <c r="BY232" s="86"/>
      <c r="BZ232" s="86"/>
      <c r="CA232" s="88"/>
      <c r="CB232" s="539"/>
      <c r="CC232" s="88"/>
      <c r="CD232" s="88"/>
      <c r="CE232" s="88"/>
      <c r="CF232" s="88"/>
      <c r="CG232" s="88"/>
      <c r="CH232" s="88"/>
      <c r="CI232" s="88"/>
      <c r="CJ232" s="88"/>
      <c r="CK232" s="88"/>
      <c r="CL232" s="88"/>
      <c r="CM232" s="88"/>
      <c r="CN232" s="88"/>
      <c r="CO232" s="88"/>
      <c r="CP232" s="88"/>
      <c r="CQ232" s="88"/>
      <c r="CR232" s="88"/>
      <c r="CS232" s="88"/>
      <c r="CT232" s="88"/>
      <c r="CU232" s="88"/>
      <c r="CV232" s="88"/>
      <c r="CW232" s="88"/>
      <c r="CX232" s="88"/>
      <c r="CY232" s="88"/>
      <c r="CZ232" s="88"/>
      <c r="DA232" s="88"/>
      <c r="FL232" s="111"/>
      <c r="FM232" s="111"/>
    </row>
    <row r="233" spans="1:169" outlineLevel="1">
      <c r="A233" s="83" t="s">
        <v>473</v>
      </c>
      <c r="AD233" s="84"/>
      <c r="AE233" s="84"/>
      <c r="AF233" s="84"/>
      <c r="AK233" s="133"/>
      <c r="AL233" s="133"/>
      <c r="AM233" s="133"/>
      <c r="AP233" s="133"/>
      <c r="AS233" s="153"/>
      <c r="AT233" s="153"/>
      <c r="AU233" s="153"/>
      <c r="AX233" s="585"/>
      <c r="AZ233" s="586"/>
      <c r="CB233" s="556"/>
      <c r="FL233" s="111"/>
      <c r="FM233" s="111"/>
    </row>
    <row r="234" spans="1:169" s="583" customFormat="1" outlineLevel="1">
      <c r="A234" s="575" t="s">
        <v>474</v>
      </c>
      <c r="B234" s="576"/>
      <c r="C234" s="576"/>
      <c r="D234" s="576"/>
      <c r="E234" s="576"/>
      <c r="F234" s="576"/>
      <c r="G234" s="576"/>
      <c r="H234" s="576"/>
      <c r="I234" s="576"/>
      <c r="J234" s="576"/>
      <c r="K234" s="576"/>
      <c r="L234" s="576"/>
      <c r="M234" s="576"/>
      <c r="N234" s="576"/>
      <c r="O234" s="576"/>
      <c r="P234" s="576"/>
      <c r="Q234" s="576"/>
      <c r="R234" s="576"/>
      <c r="S234" s="576"/>
      <c r="T234" s="576"/>
      <c r="U234" s="576"/>
      <c r="V234" s="576"/>
      <c r="W234" s="576"/>
      <c r="X234" s="576"/>
      <c r="Y234" s="576"/>
      <c r="Z234" s="576"/>
      <c r="AA234" s="576"/>
      <c r="AB234" s="576"/>
      <c r="AC234" s="576"/>
      <c r="AD234" s="576"/>
      <c r="AE234" s="576"/>
      <c r="AF234" s="576"/>
      <c r="AK234" s="578">
        <f>74.799-AL234</f>
      </c>
      <c r="AL234" s="578">
        <v>42.482999999999997</v>
      </c>
      <c r="AM234" s="578">
        <v>51.735999999999997</v>
      </c>
      <c r="AN234" s="578">
        <f>179.709-SUM(AK234:AM234)</f>
      </c>
      <c r="AO234" s="578"/>
      <c r="AP234" s="578">
        <v>36.274999999999999</v>
      </c>
      <c r="AQ234" s="578">
        <v>29.436</v>
      </c>
      <c r="AR234" s="578">
        <v>32.399000000000001</v>
      </c>
      <c r="AS234" s="578">
        <f>140.004-SUM(AP234:AR234)</f>
      </c>
      <c r="AT234" s="578"/>
      <c r="AU234" s="578">
        <v>54.109000000000002</v>
      </c>
      <c r="AV234" s="578">
        <v>34.136000000000003</v>
      </c>
      <c r="AW234" s="578">
        <v>55.195</v>
      </c>
      <c r="AX234" s="579">
        <f>208.144-SUM(AU234:AW234)</f>
      </c>
      <c r="AY234" s="578"/>
      <c r="AZ234" s="578">
        <v>3.9359999999999999</v>
      </c>
      <c r="BA234" s="578">
        <v>5.6580000000000004</v>
      </c>
      <c r="BB234" s="578">
        <v>9.5060000000000002</v>
      </c>
      <c r="BC234" s="578">
        <f>29.731-SUM(AZ234:BB234)</f>
      </c>
      <c r="BD234" s="578"/>
      <c r="BE234" s="578"/>
      <c r="BF234" s="578"/>
      <c r="BG234" s="578"/>
      <c r="BH234" s="578"/>
      <c r="BI234" s="578"/>
      <c r="BJ234" s="578"/>
      <c r="BK234" s="578"/>
      <c r="BL234" s="578"/>
      <c r="BM234" s="580"/>
      <c r="BN234" s="580"/>
      <c r="BO234" s="580"/>
      <c r="BP234" s="580"/>
      <c r="BQ234" s="580"/>
      <c r="BR234" s="580"/>
      <c r="BS234" s="580"/>
      <c r="BT234" s="580"/>
      <c r="BU234" s="580"/>
      <c r="BV234" s="580"/>
      <c r="BW234" s="580"/>
      <c r="BX234" s="580"/>
      <c r="BY234" s="580"/>
      <c r="BZ234" s="580"/>
      <c r="CA234" s="580"/>
      <c r="CB234" s="581"/>
      <c r="CC234" s="580"/>
      <c r="CD234" s="580"/>
      <c r="CE234" s="580"/>
      <c r="CF234" s="580"/>
      <c r="CG234" s="580"/>
      <c r="CH234" s="580"/>
      <c r="CI234" s="580"/>
      <c r="CJ234" s="580"/>
      <c r="CK234" s="580"/>
      <c r="CL234" s="580"/>
      <c r="CM234" s="580"/>
      <c r="CN234" s="578"/>
      <c r="CO234" s="578"/>
      <c r="CP234" s="578"/>
      <c r="CQ234" s="578"/>
      <c r="CR234" s="526"/>
      <c r="CS234" s="578"/>
      <c r="CT234" s="578"/>
      <c r="CU234" s="578"/>
      <c r="CV234" s="578"/>
      <c r="CW234" s="526"/>
      <c r="CX234" s="578"/>
      <c r="CY234" s="578"/>
      <c r="CZ234" s="578"/>
      <c r="DA234" s="578"/>
      <c r="DB234" s="576"/>
      <c r="FL234" s="111"/>
      <c r="FM234" s="111"/>
    </row>
    <row r="235" spans="1:169" outlineLevel="1">
      <c r="A235" s="106" t="s">
        <v>461</v>
      </c>
      <c r="AD235" s="84"/>
      <c r="AE235" s="84"/>
      <c r="AF235" s="84"/>
      <c r="AK235" s="133">
        <v>0.1</v>
      </c>
      <c r="AL235" s="133">
        <v>0.1</v>
      </c>
      <c r="AM235" s="133">
        <v>0.1</v>
      </c>
      <c r="AN235" s="133">
        <v>0.1</v>
      </c>
      <c r="AO235" s="133"/>
      <c r="AP235" s="133">
        <v>0.1</v>
      </c>
      <c r="AQ235" s="133">
        <v>0.1</v>
      </c>
      <c r="AR235" s="133">
        <v>0.1</v>
      </c>
      <c r="AS235" s="133">
        <v>0.1</v>
      </c>
      <c r="AT235" s="133"/>
      <c r="AU235" s="133">
        <v>0.14284686607043226</v>
      </c>
      <c r="AV235" s="133">
        <v>0.1</v>
      </c>
      <c r="AW235" s="133">
        <v>0.1</v>
      </c>
      <c r="AX235" s="171">
        <v>0.1</v>
      </c>
      <c r="AY235" s="133"/>
      <c r="AZ235" s="133">
        <v>0.1</v>
      </c>
      <c r="BA235" s="133">
        <v>0.1</v>
      </c>
      <c r="BB235" s="133">
        <v>0.1</v>
      </c>
      <c r="BC235" s="133">
        <v>0.1</v>
      </c>
      <c r="BD235" s="133"/>
      <c r="BE235" s="133"/>
      <c r="BF235" s="133"/>
      <c r="BG235" s="133"/>
      <c r="BH235" s="133"/>
      <c r="BI235" s="133"/>
      <c r="BJ235" s="133"/>
      <c r="BK235" s="133"/>
      <c r="BL235" s="133"/>
      <c r="BM235" s="133"/>
      <c r="BN235" s="133"/>
      <c r="BO235" s="133"/>
      <c r="BP235" s="133"/>
      <c r="BQ235" s="133"/>
      <c r="BR235" s="133"/>
      <c r="BS235" s="133"/>
      <c r="BT235" s="133"/>
      <c r="BU235" s="133"/>
      <c r="BV235" s="133"/>
      <c r="BW235" s="133"/>
      <c r="BX235" s="133"/>
      <c r="BY235" s="133"/>
      <c r="BZ235" s="133"/>
      <c r="CA235" s="133"/>
      <c r="CB235" s="559"/>
      <c r="CC235" s="133"/>
      <c r="CD235" s="133"/>
      <c r="CE235" s="133"/>
      <c r="CF235" s="133"/>
      <c r="CG235" s="133"/>
      <c r="CH235" s="133"/>
      <c r="CI235" s="133"/>
      <c r="CJ235" s="133"/>
      <c r="CK235" s="133"/>
      <c r="CL235" s="133"/>
      <c r="CM235" s="133"/>
      <c r="CN235" s="133"/>
      <c r="CO235" s="133"/>
      <c r="CP235" s="133"/>
      <c r="CQ235" s="540"/>
      <c r="CR235" s="133"/>
      <c r="CS235" s="540"/>
      <c r="CT235" s="540"/>
      <c r="CU235" s="540"/>
      <c r="CV235" s="540"/>
      <c r="CW235" s="133"/>
      <c r="CX235" s="540"/>
      <c r="CY235" s="133"/>
      <c r="CZ235" s="133"/>
      <c r="DA235" s="133"/>
      <c r="FL235" s="111"/>
      <c r="FM235" s="111"/>
    </row>
    <row r="236" spans="1:169" outlineLevel="1">
      <c r="A236" s="106" t="s">
        <v>353</v>
      </c>
      <c r="AD236" s="84"/>
      <c r="AE236" s="84"/>
      <c r="AF236" s="84"/>
      <c r="AK236" s="86">
        <f t="shared" ref="AK236:BC236" si="203">AK235*AK234</f>
      </c>
      <c r="AL236" s="86">
        <f t="shared" si="203"/>
      </c>
      <c r="AM236" s="86">
        <f t="shared" si="203"/>
      </c>
      <c r="AN236" s="86">
        <f t="shared" si="203"/>
      </c>
      <c r="AO236" s="86"/>
      <c r="AP236" s="86">
        <f t="shared" si="203"/>
      </c>
      <c r="AQ236" s="86">
        <f t="shared" si="203"/>
      </c>
      <c r="AR236" s="86">
        <f t="shared" si="203"/>
      </c>
      <c r="AS236" s="86">
        <f t="shared" si="203"/>
      </c>
      <c r="AT236" s="86"/>
      <c r="AU236" s="86">
        <f t="shared" si="203"/>
      </c>
      <c r="AV236" s="86">
        <f t="shared" si="203"/>
      </c>
      <c r="AW236" s="86">
        <f t="shared" si="203"/>
      </c>
      <c r="AX236" s="587">
        <f t="shared" si="203"/>
      </c>
      <c r="AY236" s="86"/>
      <c r="AZ236" s="86">
        <f t="shared" si="203"/>
      </c>
      <c r="BA236" s="86">
        <f t="shared" si="203"/>
      </c>
      <c r="BB236" s="86">
        <f t="shared" si="203"/>
      </c>
      <c r="BC236" s="86">
        <f t="shared" si="203"/>
      </c>
      <c r="BD236" s="86"/>
      <c r="BE236" s="86"/>
      <c r="BF236" s="86"/>
      <c r="BG236" s="86"/>
      <c r="BH236" s="86"/>
      <c r="BI236" s="86"/>
      <c r="BJ236" s="86"/>
      <c r="BK236" s="86"/>
      <c r="BL236" s="86"/>
      <c r="BM236" s="86"/>
      <c r="BN236" s="86"/>
      <c r="BO236" s="86"/>
      <c r="BP236" s="86"/>
      <c r="BQ236" s="86"/>
      <c r="BR236" s="86"/>
      <c r="BS236" s="86"/>
      <c r="BT236" s="86"/>
      <c r="BU236" s="86"/>
      <c r="BV236" s="86"/>
      <c r="BW236" s="86"/>
      <c r="BX236" s="86"/>
      <c r="BY236" s="86"/>
      <c r="BZ236" s="86"/>
      <c r="CA236" s="86"/>
      <c r="CB236" s="546"/>
      <c r="CC236" s="86"/>
      <c r="CD236" s="86"/>
      <c r="CE236" s="86"/>
      <c r="CF236" s="86"/>
      <c r="CG236" s="86"/>
      <c r="CH236" s="86"/>
      <c r="CI236" s="86"/>
      <c r="CJ236" s="86"/>
      <c r="CK236" s="86"/>
      <c r="CL236" s="86"/>
      <c r="CM236" s="86"/>
      <c r="CN236" s="88"/>
      <c r="CO236" s="88"/>
      <c r="CP236" s="88"/>
      <c r="CQ236" s="88"/>
      <c r="CR236" s="86"/>
      <c r="CS236" s="86"/>
      <c r="CT236" s="86"/>
      <c r="CU236" s="86"/>
      <c r="CV236" s="86"/>
      <c r="CW236" s="86"/>
      <c r="CX236" s="86"/>
      <c r="CY236" s="86"/>
      <c r="CZ236" s="86"/>
      <c r="DA236" s="86"/>
      <c r="FL236" s="111"/>
      <c r="FM236" s="111"/>
    </row>
    <row r="237" spans="1:169" outlineLevel="1">
      <c r="A237" s="106" t="s">
        <v>462</v>
      </c>
      <c r="AD237" s="84"/>
      <c r="AE237" s="84"/>
      <c r="AF237" s="84"/>
      <c r="AK237" s="133">
        <f t="shared" ref="AK237:BB237" si="204">AK238/AK234</f>
      </c>
      <c r="AL237" s="133">
        <f t="shared" si="204"/>
      </c>
      <c r="AM237" s="133">
        <f t="shared" si="204"/>
      </c>
      <c r="AN237" s="133">
        <f t="shared" si="204"/>
      </c>
      <c r="AO237" s="133"/>
      <c r="AP237" s="133">
        <f t="shared" si="204"/>
      </c>
      <c r="AQ237" s="133">
        <f t="shared" si="204"/>
      </c>
      <c r="AR237" s="133">
        <f t="shared" si="204"/>
      </c>
      <c r="AS237" s="133">
        <f t="shared" si="204"/>
      </c>
      <c r="AT237" s="133"/>
      <c r="AU237" s="133">
        <f t="shared" si="204"/>
      </c>
      <c r="AV237" s="133">
        <f t="shared" si="204"/>
      </c>
      <c r="AW237" s="133">
        <f t="shared" si="204"/>
      </c>
      <c r="AX237" s="171">
        <f t="shared" si="204"/>
      </c>
      <c r="AY237" s="133"/>
      <c r="AZ237" s="133">
        <f t="shared" si="204"/>
      </c>
      <c r="BA237" s="133">
        <f t="shared" si="204"/>
      </c>
      <c r="BB237" s="133">
        <f t="shared" si="204"/>
      </c>
      <c r="BC237" s="133">
        <f>BC238/BC234</f>
      </c>
      <c r="BD237" s="133"/>
      <c r="BE237" s="133"/>
      <c r="BF237" s="133"/>
      <c r="BG237" s="133"/>
      <c r="BH237" s="133"/>
      <c r="BI237" s="133"/>
      <c r="BJ237" s="133"/>
      <c r="BK237" s="133"/>
      <c r="BL237" s="133"/>
      <c r="BM237" s="133"/>
      <c r="BN237" s="133"/>
      <c r="BO237" s="588"/>
      <c r="BP237" s="588"/>
      <c r="BQ237" s="588"/>
      <c r="BR237" s="588"/>
      <c r="BS237" s="588"/>
      <c r="BT237" s="588"/>
      <c r="BU237" s="588"/>
      <c r="BV237" s="588"/>
      <c r="BW237" s="588"/>
      <c r="BX237" s="588"/>
      <c r="BY237" s="588"/>
      <c r="BZ237" s="588"/>
      <c r="CA237" s="588"/>
      <c r="CB237" s="589"/>
      <c r="CC237" s="588"/>
      <c r="CD237" s="588"/>
      <c r="CE237" s="588"/>
      <c r="CF237" s="588"/>
      <c r="CG237" s="588"/>
      <c r="CH237" s="588"/>
      <c r="CI237" s="588"/>
      <c r="CJ237" s="588"/>
      <c r="CK237" s="588"/>
      <c r="CL237" s="588"/>
      <c r="CM237" s="588"/>
      <c r="CN237" s="588"/>
      <c r="CO237" s="588"/>
      <c r="CP237" s="588"/>
      <c r="FL237" s="111"/>
      <c r="FM237" s="111"/>
    </row>
    <row r="238" spans="1:169" outlineLevel="1">
      <c r="A238" s="106" t="s">
        <v>463</v>
      </c>
      <c r="AD238" s="84"/>
      <c r="AE238" s="84"/>
      <c r="AF238" s="84"/>
      <c r="AK238" s="88">
        <f>-47.393-AL238</f>
      </c>
      <c r="AL238" s="88">
        <v>-21.658999999999999</v>
      </c>
      <c r="AM238" s="88">
        <v>-25.725000000000001</v>
      </c>
      <c r="AN238" s="88">
        <f>-97.374-SUM(AK238:AM238)</f>
      </c>
      <c r="AO238" s="88"/>
      <c r="AP238" s="88">
        <v>-21.954000000000001</v>
      </c>
      <c r="AQ238" s="88">
        <v>-28.712</v>
      </c>
      <c r="AR238" s="88">
        <v>-41.838000000000001</v>
      </c>
      <c r="AS238" s="88">
        <f>+-112.363-SUM(AP238:AR238)</f>
      </c>
      <c r="AT238" s="88"/>
      <c r="AU238" s="88">
        <v>-48.28</v>
      </c>
      <c r="AV238" s="88">
        <v>-57.030999999999999</v>
      </c>
      <c r="AW238" s="88">
        <v>-77.739999999999995</v>
      </c>
      <c r="AX238" s="555">
        <f>-251.301-SUM(AU238:AW238)</f>
      </c>
      <c r="AY238" s="88"/>
      <c r="AZ238" s="88">
        <v>-70.484999999999999</v>
      </c>
      <c r="BA238" s="88">
        <v>-64.599000000000004</v>
      </c>
      <c r="BB238" s="88">
        <v>-67.072000000000003</v>
      </c>
      <c r="BC238" s="88">
        <f>-272.352-SUM(AZ238:BB238)</f>
      </c>
      <c r="BD238" s="88"/>
      <c r="BE238" s="88"/>
      <c r="BF238" s="88"/>
      <c r="BG238" s="88"/>
      <c r="BH238" s="88"/>
      <c r="BI238" s="88"/>
      <c r="BJ238" s="88"/>
      <c r="BK238" s="88"/>
      <c r="BM238" s="86"/>
      <c r="BN238" s="86"/>
      <c r="BO238" s="86"/>
      <c r="BP238" s="86"/>
      <c r="BQ238" s="86"/>
      <c r="BR238" s="86"/>
      <c r="BS238" s="86"/>
      <c r="BT238" s="86"/>
      <c r="BU238" s="86"/>
      <c r="BV238" s="86"/>
      <c r="BW238" s="86"/>
      <c r="BX238" s="86"/>
      <c r="BY238" s="86"/>
      <c r="BZ238" s="86"/>
      <c r="CA238" s="86"/>
      <c r="CB238" s="546"/>
      <c r="CC238" s="86"/>
      <c r="CD238" s="86"/>
      <c r="CE238" s="86"/>
      <c r="CF238" s="86"/>
      <c r="CG238" s="86"/>
      <c r="CH238" s="86"/>
      <c r="CI238" s="86"/>
      <c r="CJ238" s="86"/>
      <c r="CK238" s="86"/>
      <c r="CL238" s="86"/>
      <c r="CM238" s="86"/>
      <c r="CN238" s="88"/>
      <c r="CO238" s="88"/>
      <c r="CP238" s="88"/>
      <c r="FL238" s="111"/>
      <c r="FM238" s="111"/>
    </row>
    <row r="239" spans="1:169" outlineLevel="1">
      <c r="AD239" s="84"/>
      <c r="AE239" s="84"/>
      <c r="AF239" s="84"/>
      <c r="AK239" s="88"/>
      <c r="AL239" s="88"/>
      <c r="AM239" s="88"/>
      <c r="AN239" s="88"/>
      <c r="AO239" s="88"/>
      <c r="AP239" s="88"/>
      <c r="AQ239" s="88"/>
      <c r="AR239" s="88"/>
      <c r="AS239" s="88"/>
      <c r="AT239" s="88"/>
      <c r="AU239" s="88"/>
      <c r="AV239" s="88"/>
      <c r="AW239" s="88"/>
      <c r="AX239" s="555"/>
      <c r="AY239" s="88"/>
      <c r="AZ239" s="88"/>
      <c r="BA239" s="88"/>
      <c r="BB239" s="88"/>
      <c r="BC239" s="88"/>
      <c r="BD239" s="88"/>
      <c r="BE239" s="88"/>
      <c r="BF239" s="88"/>
      <c r="BG239" s="88"/>
      <c r="BH239" s="88"/>
      <c r="BI239" s="88"/>
      <c r="BJ239" s="88"/>
      <c r="BK239" s="88"/>
      <c r="BM239" s="86"/>
      <c r="BN239" s="86"/>
      <c r="BO239" s="86"/>
      <c r="BP239" s="86"/>
      <c r="BQ239" s="86"/>
      <c r="BR239" s="86"/>
      <c r="BS239" s="86"/>
      <c r="BT239" s="86"/>
      <c r="BU239" s="86"/>
      <c r="BV239" s="86"/>
      <c r="BW239" s="86"/>
      <c r="BX239" s="86"/>
      <c r="BY239" s="86"/>
      <c r="BZ239" s="86"/>
      <c r="CA239" s="86"/>
      <c r="CB239" s="546"/>
      <c r="CC239" s="86"/>
      <c r="CD239" s="86"/>
      <c r="CE239" s="86"/>
      <c r="FL239" s="111"/>
      <c r="FM239" s="111"/>
    </row>
    <row r="240" spans="1:169" outlineLevel="1">
      <c r="A240" s="106" t="s">
        <v>475</v>
      </c>
      <c r="AD240" s="84"/>
      <c r="AE240" s="84"/>
      <c r="AF240" s="84"/>
      <c r="AK240" s="88"/>
      <c r="AL240" s="88"/>
      <c r="AM240" s="88"/>
      <c r="AN240" s="88"/>
      <c r="AO240" s="88"/>
      <c r="AP240" s="88"/>
      <c r="AQ240" s="88"/>
      <c r="AR240" s="88"/>
      <c r="AS240" s="88"/>
      <c r="AT240" s="88"/>
      <c r="AU240" s="88"/>
      <c r="AV240" s="88"/>
      <c r="AW240" s="88"/>
      <c r="AX240" s="555"/>
      <c r="AY240" s="88"/>
      <c r="AZ240" s="88"/>
      <c r="BA240" s="88"/>
      <c r="BB240" s="88"/>
      <c r="BC240" s="88"/>
      <c r="BD240" s="88"/>
      <c r="BE240" s="88"/>
      <c r="BF240" s="88"/>
      <c r="BG240" s="88"/>
      <c r="BH240" s="88"/>
      <c r="BI240" s="88"/>
      <c r="BJ240" s="88"/>
      <c r="BK240" s="88"/>
      <c r="BM240" s="86"/>
      <c r="BN240" s="86"/>
      <c r="BO240" s="86"/>
      <c r="BP240" s="86"/>
      <c r="BQ240" s="86"/>
      <c r="BR240" s="86"/>
      <c r="BS240" s="86"/>
      <c r="BT240" s="86"/>
      <c r="BU240" s="86"/>
      <c r="BV240" s="86"/>
      <c r="BW240" s="86"/>
      <c r="BX240" s="86"/>
      <c r="BY240" s="86"/>
      <c r="BZ240" s="86"/>
      <c r="CA240" s="86"/>
      <c r="CB240" s="546"/>
      <c r="CC240" s="86"/>
      <c r="CD240" s="86"/>
      <c r="CE240" s="86"/>
      <c r="CF240" s="86"/>
      <c r="CG240" s="86"/>
      <c r="CH240" s="86"/>
      <c r="CI240" s="86"/>
      <c r="CJ240" s="86"/>
      <c r="CK240" s="86"/>
      <c r="CL240" s="86"/>
      <c r="CM240" s="86"/>
      <c r="CN240" s="86"/>
      <c r="CO240" s="86"/>
      <c r="CP240" s="86"/>
      <c r="FL240" s="111"/>
      <c r="FM240" s="111"/>
    </row>
    <row r="241" spans="1:169" outlineLevel="1">
      <c r="A241" s="106" t="s">
        <v>476</v>
      </c>
      <c r="AD241" s="84"/>
      <c r="AE241" s="84"/>
      <c r="AF241" s="84"/>
      <c r="AK241" s="88"/>
      <c r="AL241" s="88"/>
      <c r="AM241" s="88"/>
      <c r="AN241" s="88"/>
      <c r="AO241" s="88"/>
      <c r="AP241" s="88"/>
      <c r="AQ241" s="88"/>
      <c r="AR241" s="88"/>
      <c r="AS241" s="88"/>
      <c r="AT241" s="88"/>
      <c r="AU241" s="88"/>
      <c r="AV241" s="88"/>
      <c r="AW241" s="88"/>
      <c r="AX241" s="555"/>
      <c r="AY241" s="88"/>
      <c r="AZ241" s="88"/>
      <c r="BA241" s="88"/>
      <c r="BB241" s="88"/>
      <c r="BC241" s="88"/>
      <c r="BD241" s="88"/>
      <c r="BE241" s="88"/>
      <c r="BF241" s="88"/>
      <c r="BG241" s="88"/>
      <c r="BH241" s="88"/>
      <c r="BI241" s="88"/>
      <c r="BJ241" s="88"/>
      <c r="BK241" s="88"/>
      <c r="BM241" s="86"/>
      <c r="BN241" s="86"/>
      <c r="BO241" s="86"/>
      <c r="BP241" s="86"/>
      <c r="BQ241" s="86"/>
      <c r="BR241" s="86"/>
      <c r="BS241" s="86"/>
      <c r="BT241" s="86"/>
      <c r="BU241" s="86"/>
      <c r="BV241" s="86"/>
      <c r="BW241" s="86"/>
      <c r="BX241" s="86"/>
      <c r="BY241" s="86"/>
      <c r="BZ241" s="86"/>
      <c r="CA241" s="86"/>
      <c r="CB241" s="546"/>
      <c r="CC241" s="86"/>
      <c r="CD241" s="86"/>
      <c r="CE241" s="86"/>
      <c r="CF241" s="86"/>
      <c r="CG241" s="86"/>
      <c r="CH241" s="86"/>
      <c r="CI241" s="86"/>
      <c r="CJ241" s="86"/>
      <c r="CK241" s="86"/>
      <c r="CL241" s="86"/>
      <c r="CM241" s="86"/>
      <c r="CN241" s="86"/>
      <c r="CO241" s="86"/>
      <c r="CP241" s="86"/>
      <c r="FL241" s="111"/>
      <c r="FM241" s="111"/>
    </row>
    <row r="242" spans="1:169" outlineLevel="1">
      <c r="AD242" s="84"/>
      <c r="AE242" s="84"/>
      <c r="AF242" s="84"/>
      <c r="AN242" s="88"/>
      <c r="AO242" s="88"/>
      <c r="AU242" s="86"/>
      <c r="AX242" s="590"/>
      <c r="AZ242" s="591"/>
      <c r="BA242" s="591"/>
      <c r="BB242" s="176"/>
      <c r="BC242" s="176"/>
      <c r="BD242" s="176"/>
      <c r="BE242" s="176"/>
      <c r="BF242" s="176"/>
      <c r="BM242" s="176"/>
      <c r="BV242" s="86"/>
      <c r="BW242" s="86"/>
      <c r="BX242" s="86"/>
      <c r="BY242" s="86"/>
      <c r="BZ242" s="86"/>
      <c r="CA242" s="86"/>
      <c r="CB242" s="546"/>
      <c r="CC242" s="86"/>
      <c r="CD242" s="86"/>
      <c r="CE242" s="86"/>
      <c r="CF242" s="86"/>
      <c r="CG242" s="86"/>
      <c r="CH242" s="86"/>
      <c r="CI242" s="86"/>
      <c r="CJ242" s="86"/>
      <c r="CK242" s="86"/>
      <c r="CL242" s="86"/>
      <c r="CM242" s="86"/>
      <c r="CN242" s="86"/>
      <c r="CO242" s="86"/>
      <c r="CP242" s="86"/>
      <c r="CQ242" s="86"/>
      <c r="CR242" s="86"/>
      <c r="CS242" s="86"/>
      <c r="CT242" s="86"/>
      <c r="CU242" s="86"/>
      <c r="CV242" s="86"/>
      <c r="CW242" s="86"/>
      <c r="CX242" s="86"/>
      <c r="CY242" s="86"/>
      <c r="CZ242" s="86"/>
      <c r="DA242" s="86"/>
      <c r="FL242" s="111"/>
      <c r="FM242" s="111"/>
    </row>
    <row r="243" spans="1:169" s="593" customFormat="1" outlineLevel="1">
      <c r="A243" s="592" t="s">
        <v>477</v>
      </c>
      <c r="V243" s="594">
        <f>V7</f>
      </c>
      <c r="W243" s="594">
        <f>W7</f>
      </c>
      <c r="X243" s="594">
        <f>X7</f>
      </c>
      <c r="Y243" s="594">
        <f>Y7</f>
      </c>
      <c r="Z243" s="594"/>
      <c r="AA243" s="594">
        <f>AA7</f>
      </c>
      <c r="AB243" s="594">
        <f>AB7</f>
      </c>
      <c r="AC243" s="594">
        <f>AC7</f>
      </c>
      <c r="AD243" s="594">
        <f>AD7</f>
      </c>
      <c r="AE243" s="594"/>
      <c r="AF243" s="594">
        <f>AF7</f>
      </c>
      <c r="AG243" s="594">
        <f>AG7</f>
      </c>
      <c r="AH243" s="594">
        <f>AH7</f>
      </c>
      <c r="AI243" s="594">
        <f>AI7</f>
      </c>
      <c r="AJ243" s="594"/>
      <c r="AK243" s="594">
        <f t="shared" ref="AK243:AX243" si="205">AK170+AK183+AK208+AK218+AK227+AK234</f>
      </c>
      <c r="AL243" s="594">
        <f t="shared" si="205"/>
      </c>
      <c r="AM243" s="594">
        <f t="shared" si="205"/>
      </c>
      <c r="AN243" s="594">
        <f t="shared" si="205"/>
      </c>
      <c r="AO243" s="594"/>
      <c r="AP243" s="595">
        <f t="shared" si="205"/>
      </c>
      <c r="AQ243" s="594">
        <f t="shared" si="205"/>
      </c>
      <c r="AR243" s="594">
        <f t="shared" si="205"/>
      </c>
      <c r="AS243" s="594">
        <f t="shared" si="205"/>
      </c>
      <c r="AT243" s="594"/>
      <c r="AU243" s="594">
        <f t="shared" si="205"/>
      </c>
      <c r="AV243" s="594">
        <f t="shared" si="205"/>
      </c>
      <c r="AW243" s="594">
        <f t="shared" si="205"/>
      </c>
      <c r="AX243" s="594">
        <f t="shared" si="205"/>
      </c>
      <c r="AY243" s="594"/>
      <c r="AZ243" s="594">
        <f>AZ170+AZ183+AZ194+AZ208+AZ218+AZ227+AZ234</f>
      </c>
      <c r="BA243" s="594">
        <f>BA170+BA183+BA194+BA208+BA218+BA227+BA234</f>
      </c>
      <c r="BB243" s="591">
        <f>BB170+BB183+BB194+BB208+BB218+BB227+BB234</f>
      </c>
      <c r="BC243" s="591">
        <f>BC170+BC183+BC194+BC208+BC218+BC227+BC234</f>
      </c>
      <c r="BD243" s="591"/>
      <c r="BE243" s="591"/>
      <c r="BF243" s="591"/>
      <c r="BG243" s="594"/>
      <c r="BH243" s="594"/>
      <c r="BI243" s="594"/>
      <c r="BJ243" s="594"/>
      <c r="BK243" s="594"/>
      <c r="BL243" s="594"/>
      <c r="BM243" s="594"/>
      <c r="BN243" s="594"/>
      <c r="BO243" s="594"/>
      <c r="BP243" s="594"/>
      <c r="BQ243" s="594"/>
      <c r="BR243" s="594"/>
      <c r="BS243" s="594"/>
      <c r="BT243" s="594"/>
      <c r="BU243" s="594"/>
      <c r="BV243" s="594"/>
      <c r="BW243" s="594"/>
      <c r="BX243" s="594"/>
      <c r="BY243" s="594"/>
      <c r="BZ243" s="594"/>
      <c r="CA243" s="594"/>
      <c r="CB243" s="596"/>
      <c r="CC243" s="594"/>
      <c r="CD243" s="594"/>
      <c r="CE243" s="594"/>
      <c r="CF243" s="594"/>
      <c r="CG243" s="594"/>
      <c r="CH243" s="594"/>
      <c r="CI243" s="594"/>
      <c r="CJ243" s="594"/>
      <c r="CK243" s="594"/>
      <c r="CL243" s="594"/>
      <c r="CM243" s="594"/>
      <c r="CN243" s="594"/>
      <c r="CO243" s="594"/>
      <c r="CP243" s="594"/>
      <c r="CQ243" s="594"/>
      <c r="CR243" s="594"/>
      <c r="CS243" s="594"/>
      <c r="CT243" s="594"/>
      <c r="CU243" s="594"/>
      <c r="CV243" s="594"/>
      <c r="CW243" s="594"/>
      <c r="CX243" s="594"/>
      <c r="CY243" s="594"/>
      <c r="CZ243" s="594"/>
      <c r="DA243" s="594"/>
      <c r="DB243" s="597"/>
      <c r="DC243" s="594"/>
      <c r="DD243" s="594"/>
      <c r="DE243" s="594"/>
      <c r="DF243" s="594"/>
      <c r="DH243" s="594"/>
      <c r="DI243" s="594"/>
      <c r="DJ243" s="594"/>
      <c r="DK243" s="594"/>
      <c r="DM243" s="594"/>
      <c r="DN243" s="594"/>
      <c r="DO243" s="594"/>
      <c r="DP243" s="594"/>
      <c r="DR243" s="594"/>
      <c r="DS243" s="594"/>
      <c r="DT243" s="594"/>
      <c r="DU243" s="594"/>
      <c r="DW243" s="594"/>
      <c r="DX243" s="594"/>
      <c r="DY243" s="594"/>
      <c r="DZ243" s="594"/>
      <c r="EB243" s="594"/>
      <c r="EC243" s="594"/>
      <c r="ED243" s="594"/>
      <c r="EE243" s="594"/>
      <c r="EG243" s="594"/>
      <c r="EH243" s="594"/>
      <c r="EI243" s="594"/>
      <c r="EJ243" s="594"/>
      <c r="FL243" s="111"/>
      <c r="FM243" s="111"/>
    </row>
    <row r="244" spans="1:169" outlineLevel="1">
      <c r="A244" s="106" t="s">
        <v>478</v>
      </c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153">
        <f>V8</f>
      </c>
      <c r="W244" s="178">
        <f t="shared" ref="W244:BC244" si="206">W243/V243-1</f>
      </c>
      <c r="X244" s="178">
        <f t="shared" si="206"/>
      </c>
      <c r="Y244" s="178">
        <f t="shared" si="206"/>
      </c>
      <c r="Z244" s="178"/>
      <c r="AA244" s="178">
        <f>AA243/Y243-1</f>
      </c>
      <c r="AB244" s="178">
        <f t="shared" si="206"/>
      </c>
      <c r="AC244" s="178">
        <f t="shared" si="206"/>
      </c>
      <c r="AD244" s="178">
        <f t="shared" si="206"/>
      </c>
      <c r="AE244" s="178"/>
      <c r="AF244" s="178">
        <f>AF243/AD243-1</f>
      </c>
      <c r="AG244" s="178">
        <f t="shared" si="206"/>
      </c>
      <c r="AH244" s="178">
        <f t="shared" si="206"/>
      </c>
      <c r="AI244" s="178">
        <f t="shared" si="206"/>
      </c>
      <c r="AJ244" s="178"/>
      <c r="AK244" s="178">
        <f>AK243/AI243-1</f>
      </c>
      <c r="AL244" s="178">
        <f t="shared" si="206"/>
      </c>
      <c r="AM244" s="178">
        <f t="shared" si="206"/>
      </c>
      <c r="AN244" s="178">
        <f t="shared" si="206"/>
      </c>
      <c r="AO244" s="178"/>
      <c r="AP244" s="178">
        <f>AP243/AN243-1</f>
      </c>
      <c r="AQ244" s="178">
        <f t="shared" si="206"/>
      </c>
      <c r="AR244" s="178">
        <f t="shared" si="206"/>
      </c>
      <c r="AS244" s="178">
        <f t="shared" si="206"/>
      </c>
      <c r="AT244" s="178"/>
      <c r="AU244" s="178">
        <f>AU243/AS243-1</f>
      </c>
      <c r="AV244" s="178">
        <f t="shared" si="206"/>
      </c>
      <c r="AW244" s="178">
        <f t="shared" si="206"/>
      </c>
      <c r="AX244" s="178">
        <f t="shared" si="206"/>
      </c>
      <c r="AY244" s="178"/>
      <c r="AZ244" s="178">
        <f>AZ243/AX243-1</f>
      </c>
      <c r="BA244" s="178">
        <f t="shared" si="206"/>
      </c>
      <c r="BB244" s="178">
        <f t="shared" si="206"/>
      </c>
      <c r="BC244" s="178">
        <f t="shared" si="206"/>
      </c>
      <c r="BD244" s="178"/>
      <c r="BE244" s="178"/>
      <c r="BF244" s="178"/>
      <c r="BG244" s="178"/>
      <c r="BH244" s="178"/>
      <c r="BI244" s="178"/>
      <c r="BJ244" s="178"/>
      <c r="BK244" s="178"/>
      <c r="BL244" s="178"/>
      <c r="BM244" s="178"/>
      <c r="BN244" s="178"/>
      <c r="BO244" s="178"/>
      <c r="BP244" s="178"/>
      <c r="BQ244" s="178"/>
      <c r="BR244" s="178"/>
      <c r="BS244" s="178"/>
      <c r="BT244" s="178"/>
      <c r="BU244" s="178"/>
      <c r="BV244" s="178"/>
      <c r="BW244" s="178"/>
      <c r="BX244" s="178"/>
      <c r="BY244" s="178"/>
      <c r="BZ244" s="178"/>
      <c r="CA244" s="178"/>
      <c r="CB244" s="598"/>
      <c r="CC244" s="178"/>
      <c r="CD244" s="178"/>
      <c r="CE244" s="178"/>
      <c r="CF244" s="178"/>
      <c r="CG244" s="178"/>
      <c r="CH244" s="178"/>
      <c r="CI244" s="178"/>
      <c r="CJ244" s="178"/>
      <c r="CK244" s="178"/>
      <c r="CL244" s="178"/>
      <c r="CM244" s="178"/>
      <c r="CN244" s="178"/>
      <c r="CO244" s="178"/>
      <c r="CP244" s="178"/>
      <c r="CQ244" s="178"/>
      <c r="CR244" s="178"/>
      <c r="CS244" s="178"/>
      <c r="CT244" s="178"/>
      <c r="CU244" s="178"/>
      <c r="CV244" s="178"/>
      <c r="CW244" s="178"/>
      <c r="CX244" s="178"/>
      <c r="CY244" s="178"/>
      <c r="CZ244" s="178"/>
      <c r="DA244" s="178"/>
      <c r="DC244" s="178"/>
      <c r="DD244" s="178"/>
      <c r="DE244" s="178"/>
      <c r="DF244" s="178"/>
      <c r="DH244" s="178"/>
      <c r="DI244" s="178"/>
      <c r="DJ244" s="178"/>
      <c r="DK244" s="178"/>
      <c r="DM244" s="178"/>
      <c r="DN244" s="178"/>
      <c r="DO244" s="178"/>
      <c r="DP244" s="178"/>
      <c r="DR244" s="178"/>
      <c r="DS244" s="178"/>
      <c r="DT244" s="178"/>
      <c r="DU244" s="178"/>
      <c r="DW244" s="178"/>
      <c r="DX244" s="178"/>
      <c r="DY244" s="178"/>
      <c r="DZ244" s="178"/>
      <c r="EB244" s="178"/>
      <c r="EC244" s="178"/>
      <c r="ED244" s="178"/>
      <c r="EE244" s="178"/>
      <c r="EG244" s="178"/>
      <c r="EH244" s="178"/>
      <c r="EI244" s="178"/>
      <c r="EJ244" s="178"/>
      <c r="FL244" s="111"/>
      <c r="FM244" s="111"/>
    </row>
    <row r="245" spans="1:169" outlineLevel="1">
      <c r="A245" s="83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179"/>
      <c r="W245" s="179"/>
      <c r="X245" s="179"/>
      <c r="Y245" s="179"/>
      <c r="Z245" s="179"/>
      <c r="AA245" s="179"/>
      <c r="AB245" s="179"/>
      <c r="AC245" s="179"/>
      <c r="AD245" s="88"/>
      <c r="AE245" s="88"/>
      <c r="AF245" s="85"/>
      <c r="AG245" s="86"/>
      <c r="AH245" s="86"/>
      <c r="AI245" s="86"/>
      <c r="AJ245" s="86"/>
      <c r="AK245" s="180"/>
      <c r="AL245" s="180"/>
      <c r="AM245" s="180"/>
      <c r="AN245" s="180"/>
      <c r="AO245" s="180"/>
      <c r="AP245" s="181"/>
      <c r="AQ245" s="86"/>
      <c r="AR245" s="86"/>
      <c r="AS245" s="591"/>
      <c r="AT245" s="591"/>
      <c r="AU245" s="591"/>
      <c r="AV245" s="591"/>
      <c r="AW245" s="591"/>
      <c r="AX245" s="591"/>
      <c r="AY245" s="591"/>
      <c r="AZ245" s="591"/>
      <c r="BA245" s="591"/>
      <c r="BB245" s="591"/>
      <c r="BC245" s="591"/>
      <c r="BD245" s="591"/>
      <c r="BE245" s="591"/>
      <c r="BF245" s="591"/>
      <c r="BG245" s="591"/>
      <c r="BH245" s="591"/>
      <c r="BI245" s="591"/>
      <c r="BJ245" s="591"/>
      <c r="BK245" s="591"/>
      <c r="BL245" s="591"/>
      <c r="BM245" s="591"/>
      <c r="BN245" s="591"/>
      <c r="BO245" s="591"/>
      <c r="BP245" s="591"/>
      <c r="BQ245" s="591"/>
      <c r="BR245" s="591"/>
      <c r="BS245" s="591"/>
      <c r="BT245" s="591"/>
      <c r="BU245" s="591"/>
      <c r="BV245" s="591"/>
      <c r="BW245" s="591"/>
      <c r="BX245" s="591"/>
      <c r="BY245" s="591"/>
      <c r="BZ245" s="591"/>
      <c r="CA245" s="591"/>
      <c r="CB245" s="599"/>
      <c r="CC245" s="591"/>
      <c r="CD245" s="591"/>
      <c r="CE245" s="591"/>
      <c r="CF245" s="591"/>
      <c r="CG245" s="591"/>
      <c r="CH245" s="591"/>
      <c r="CI245" s="591"/>
      <c r="CJ245" s="591"/>
      <c r="CK245" s="591"/>
      <c r="CL245" s="591"/>
      <c r="CM245" s="591"/>
      <c r="CN245" s="591"/>
      <c r="CO245" s="591"/>
      <c r="CP245" s="591"/>
      <c r="CQ245" s="591"/>
      <c r="CR245" s="591"/>
      <c r="CS245" s="591"/>
      <c r="CT245" s="591"/>
      <c r="CU245" s="591"/>
      <c r="CV245" s="591"/>
      <c r="CW245" s="591"/>
      <c r="CX245" s="591"/>
      <c r="CY245" s="591"/>
      <c r="CZ245" s="591"/>
      <c r="DA245" s="591"/>
      <c r="FL245" s="111"/>
      <c r="FM245" s="111"/>
    </row>
    <row r="246" spans="1:169" outlineLevel="1">
      <c r="A246" s="83" t="s">
        <v>479</v>
      </c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182">
        <f t="shared" ref="V246:BA246" si="207">V247/V243</f>
      </c>
      <c r="W246" s="182">
        <f t="shared" si="207"/>
      </c>
      <c r="X246" s="182">
        <f t="shared" si="207"/>
      </c>
      <c r="Y246" s="182">
        <f t="shared" si="207"/>
      </c>
      <c r="Z246" s="182"/>
      <c r="AA246" s="182">
        <f t="shared" si="207"/>
      </c>
      <c r="AB246" s="182">
        <f t="shared" si="207"/>
      </c>
      <c r="AC246" s="182">
        <f t="shared" si="207"/>
      </c>
      <c r="AD246" s="182">
        <f t="shared" si="207"/>
      </c>
      <c r="AE246" s="182"/>
      <c r="AF246" s="182">
        <f t="shared" si="207"/>
      </c>
      <c r="AG246" s="182">
        <f t="shared" si="207"/>
      </c>
      <c r="AH246" s="182">
        <f t="shared" si="207"/>
      </c>
      <c r="AI246" s="182">
        <f t="shared" si="207"/>
      </c>
      <c r="AJ246" s="182"/>
      <c r="AK246" s="182">
        <f t="shared" si="207"/>
      </c>
      <c r="AL246" s="182">
        <f t="shared" si="207"/>
      </c>
      <c r="AM246" s="182">
        <f t="shared" si="207"/>
      </c>
      <c r="AN246" s="182">
        <f t="shared" si="207"/>
      </c>
      <c r="AO246" s="182"/>
      <c r="AP246" s="182">
        <f t="shared" si="207"/>
      </c>
      <c r="AQ246" s="182">
        <f t="shared" si="207"/>
      </c>
      <c r="AR246" s="182">
        <f t="shared" si="207"/>
      </c>
      <c r="AS246" s="182">
        <f t="shared" si="207"/>
      </c>
      <c r="AT246" s="182"/>
      <c r="AU246" s="182">
        <f t="shared" si="207"/>
      </c>
      <c r="AV246" s="182">
        <f t="shared" si="207"/>
      </c>
      <c r="AW246" s="182">
        <f t="shared" si="207"/>
      </c>
      <c r="AX246" s="182">
        <f t="shared" si="207"/>
      </c>
      <c r="AY246" s="182"/>
      <c r="AZ246" s="182">
        <f t="shared" si="207"/>
      </c>
      <c r="BA246" s="182">
        <f t="shared" si="207"/>
      </c>
      <c r="BB246" s="182">
        <f>BB247/BB243</f>
      </c>
      <c r="BC246" s="182">
        <f>BC247/BC243</f>
      </c>
      <c r="BD246" s="182"/>
      <c r="BE246" s="182"/>
      <c r="BF246" s="182"/>
      <c r="BG246" s="182"/>
      <c r="BH246" s="182"/>
      <c r="BI246" s="182"/>
      <c r="BJ246" s="182"/>
      <c r="BK246" s="182"/>
      <c r="BL246" s="182"/>
      <c r="BM246" s="182"/>
      <c r="BN246" s="182"/>
      <c r="BO246" s="182"/>
      <c r="BP246" s="182"/>
      <c r="BQ246" s="182"/>
      <c r="BR246" s="182"/>
      <c r="BS246" s="182"/>
      <c r="BT246" s="182"/>
      <c r="BU246" s="182"/>
      <c r="BV246" s="182"/>
      <c r="BW246" s="182"/>
      <c r="BX246" s="182"/>
      <c r="BY246" s="182"/>
      <c r="BZ246" s="182"/>
      <c r="CA246" s="182"/>
      <c r="CB246" s="600"/>
      <c r="CC246" s="182"/>
      <c r="CD246" s="182"/>
      <c r="CE246" s="182"/>
      <c r="CF246" s="182"/>
      <c r="CG246" s="182"/>
      <c r="CH246" s="182"/>
      <c r="CI246" s="182"/>
      <c r="CJ246" s="182"/>
      <c r="CK246" s="182"/>
      <c r="CL246" s="182"/>
      <c r="CM246" s="182"/>
      <c r="CN246" s="182"/>
      <c r="CO246" s="182"/>
      <c r="CP246" s="182"/>
      <c r="CQ246" s="182"/>
      <c r="CR246" s="182"/>
      <c r="CS246" s="182"/>
      <c r="CT246" s="182"/>
      <c r="CU246" s="182"/>
      <c r="CV246" s="182"/>
      <c r="CW246" s="182"/>
      <c r="CX246" s="182"/>
      <c r="CY246" s="182"/>
      <c r="CZ246" s="182"/>
      <c r="DA246" s="182"/>
      <c r="DC246" s="182"/>
      <c r="DD246" s="182"/>
      <c r="DE246" s="182"/>
      <c r="DF246" s="182"/>
      <c r="DH246" s="182"/>
      <c r="DI246" s="182"/>
      <c r="DJ246" s="182"/>
      <c r="DK246" s="182"/>
      <c r="DM246" s="182"/>
      <c r="DN246" s="182"/>
      <c r="DO246" s="182"/>
      <c r="DP246" s="182"/>
      <c r="DR246" s="182"/>
      <c r="DS246" s="182"/>
      <c r="DT246" s="182"/>
      <c r="DU246" s="182"/>
      <c r="DW246" s="182"/>
      <c r="DX246" s="182"/>
      <c r="DY246" s="182"/>
      <c r="DZ246" s="182"/>
      <c r="EB246" s="182"/>
      <c r="EC246" s="182"/>
      <c r="ED246" s="182"/>
      <c r="EE246" s="182"/>
      <c r="EG246" s="182"/>
      <c r="EH246" s="182"/>
      <c r="EI246" s="182"/>
      <c r="EJ246" s="182"/>
      <c r="FL246" s="111"/>
      <c r="FM246" s="111"/>
    </row>
    <row r="247" spans="1:169" outlineLevel="1">
      <c r="A247" s="106" t="s">
        <v>480</v>
      </c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8">
        <f t="shared" ref="V247:AG247" si="208">V174+V187+V210+V220</f>
      </c>
      <c r="W247" s="88">
        <f t="shared" si="208"/>
      </c>
      <c r="X247" s="88">
        <f t="shared" si="208"/>
      </c>
      <c r="Y247" s="88">
        <f t="shared" si="208"/>
      </c>
      <c r="Z247" s="88"/>
      <c r="AA247" s="88">
        <f t="shared" si="208"/>
      </c>
      <c r="AB247" s="88">
        <f t="shared" si="208"/>
      </c>
      <c r="AC247" s="88">
        <f t="shared" si="208"/>
      </c>
      <c r="AD247" s="88">
        <f t="shared" si="208"/>
      </c>
      <c r="AE247" s="88"/>
      <c r="AF247" s="88">
        <f t="shared" si="208"/>
      </c>
      <c r="AG247" s="86">
        <f t="shared" si="208"/>
      </c>
      <c r="AH247" s="86">
        <f>AH174+AH187+AH210+AH220+AH229</f>
      </c>
      <c r="AI247" s="86">
        <f>AI174+AI187+AI210+AI220+AI229</f>
      </c>
      <c r="AJ247" s="86"/>
      <c r="AK247" s="86">
        <f t="shared" ref="AK247:AX247" si="209">AK174+AK187+AK210+AK220+AK229+AK236</f>
      </c>
      <c r="AL247" s="86">
        <f t="shared" si="209"/>
      </c>
      <c r="AM247" s="86">
        <f t="shared" si="209"/>
      </c>
      <c r="AN247" s="86">
        <f t="shared" si="209"/>
      </c>
      <c r="AO247" s="86"/>
      <c r="AP247" s="86">
        <f t="shared" si="209"/>
      </c>
      <c r="AQ247" s="86">
        <f t="shared" si="209"/>
      </c>
      <c r="AR247" s="86">
        <f t="shared" si="209"/>
      </c>
      <c r="AS247" s="86">
        <f t="shared" si="209"/>
      </c>
      <c r="AT247" s="86"/>
      <c r="AU247" s="86">
        <f t="shared" si="209"/>
      </c>
      <c r="AV247" s="86">
        <f t="shared" si="209"/>
      </c>
      <c r="AW247" s="86">
        <f t="shared" si="209"/>
      </c>
      <c r="AX247" s="86">
        <f t="shared" si="209"/>
      </c>
      <c r="AY247" s="86"/>
      <c r="AZ247" s="86">
        <f>AZ174+AZ187+AZ199+AZ210+AZ220+AZ229+AZ236</f>
      </c>
      <c r="BA247" s="86">
        <f>BA174+BA187+BA199+BA210+BA220+BA229+BA236</f>
      </c>
      <c r="BB247" s="86">
        <f>BB174+BB187+BB199+BB210+BB220+BB229+BB236</f>
      </c>
      <c r="BC247" s="86">
        <f>BC174+BC187+BC199+BC210+BC220+BC229+BC236</f>
      </c>
      <c r="BD247" s="86"/>
      <c r="BE247" s="86"/>
      <c r="BF247" s="86"/>
      <c r="BG247" s="86"/>
      <c r="BH247" s="86"/>
      <c r="BI247" s="86"/>
      <c r="BJ247" s="86"/>
      <c r="BK247" s="86"/>
      <c r="BL247" s="86"/>
      <c r="BM247" s="86"/>
      <c r="BN247" s="86"/>
      <c r="BO247" s="86"/>
      <c r="BP247" s="86"/>
      <c r="BQ247" s="86"/>
      <c r="BR247" s="86"/>
      <c r="BS247" s="86"/>
      <c r="BT247" s="86"/>
      <c r="BU247" s="86"/>
      <c r="BV247" s="86"/>
      <c r="BW247" s="86"/>
      <c r="BX247" s="86"/>
      <c r="BY247" s="86"/>
      <c r="BZ247" s="86"/>
      <c r="CA247" s="86"/>
      <c r="CB247" s="546"/>
      <c r="CC247" s="86"/>
      <c r="CD247" s="86"/>
      <c r="CE247" s="86"/>
      <c r="CF247" s="86"/>
      <c r="CG247" s="86"/>
      <c r="CH247" s="86"/>
      <c r="CI247" s="86"/>
      <c r="CJ247" s="86"/>
      <c r="CK247" s="86"/>
      <c r="CL247" s="86"/>
      <c r="CM247" s="86"/>
      <c r="CN247" s="86"/>
      <c r="CO247" s="86"/>
      <c r="CP247" s="86"/>
      <c r="CQ247" s="86"/>
      <c r="CR247" s="86"/>
      <c r="CS247" s="86"/>
      <c r="CT247" s="86"/>
      <c r="CU247" s="86"/>
      <c r="CV247" s="86"/>
      <c r="CW247" s="86"/>
      <c r="CX247" s="86"/>
      <c r="CY247" s="86"/>
      <c r="CZ247" s="86"/>
      <c r="DA247" s="86"/>
      <c r="DC247" s="86"/>
      <c r="DD247" s="86"/>
      <c r="DE247" s="86"/>
      <c r="DF247" s="86"/>
      <c r="DH247" s="86"/>
      <c r="DI247" s="86"/>
      <c r="DJ247" s="86"/>
      <c r="DK247" s="86"/>
      <c r="DM247" s="86"/>
      <c r="DN247" s="86"/>
      <c r="DO247" s="86"/>
      <c r="DP247" s="86"/>
      <c r="DR247" s="86"/>
      <c r="DS247" s="86"/>
      <c r="DT247" s="86"/>
      <c r="DU247" s="86"/>
      <c r="DW247" s="86"/>
      <c r="DX247" s="86"/>
      <c r="DY247" s="86"/>
      <c r="DZ247" s="86"/>
      <c r="EB247" s="86"/>
      <c r="EC247" s="86"/>
      <c r="ED247" s="86"/>
      <c r="EE247" s="86"/>
      <c r="EG247" s="86"/>
      <c r="EH247" s="86"/>
      <c r="EI247" s="86"/>
      <c r="EJ247" s="86"/>
      <c r="FL247" s="111"/>
      <c r="FM247" s="111"/>
    </row>
    <row r="248" spans="1:169" outlineLevel="1">
      <c r="A248" s="83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182"/>
      <c r="W248" s="182"/>
      <c r="X248" s="182"/>
      <c r="Y248" s="182"/>
      <c r="Z248" s="182"/>
      <c r="AA248" s="182"/>
      <c r="AB248" s="182"/>
      <c r="AC248" s="182"/>
      <c r="AD248" s="182"/>
      <c r="AE248" s="182"/>
      <c r="AF248" s="182"/>
      <c r="AG248" s="182"/>
      <c r="AH248" s="182"/>
      <c r="AI248" s="182"/>
      <c r="AJ248" s="182"/>
      <c r="AK248" s="182"/>
      <c r="AL248" s="182"/>
      <c r="AM248" s="182"/>
      <c r="AN248" s="86"/>
      <c r="AO248" s="86"/>
      <c r="AP248" s="86"/>
      <c r="AQ248" s="86"/>
      <c r="AR248" s="86"/>
      <c r="AS248" s="86"/>
      <c r="AT248" s="86"/>
      <c r="AU248" s="86"/>
      <c r="AV248" s="86"/>
      <c r="AW248" s="86"/>
      <c r="AX248" s="86"/>
      <c r="AY248" s="86"/>
      <c r="AZ248" s="86"/>
      <c r="BA248" s="86"/>
      <c r="BB248" s="86"/>
      <c r="BC248" s="86"/>
      <c r="BD248" s="86"/>
      <c r="BE248" s="161"/>
      <c r="BF248" s="161"/>
      <c r="BG248" s="161"/>
      <c r="BH248" s="161"/>
      <c r="BI248" s="161"/>
      <c r="BJ248" s="161"/>
      <c r="BK248" s="161"/>
      <c r="BL248" s="161"/>
      <c r="BM248" s="161"/>
      <c r="BN248" s="161"/>
      <c r="BO248" s="161"/>
      <c r="BP248" s="161"/>
      <c r="BQ248" s="161"/>
      <c r="BR248" s="161"/>
      <c r="BS248" s="161"/>
      <c r="BT248" s="161"/>
      <c r="BU248" s="161"/>
      <c r="BV248" s="161"/>
      <c r="BW248" s="161"/>
      <c r="BX248" s="161"/>
      <c r="BY248" s="161"/>
      <c r="BZ248" s="161"/>
      <c r="CA248" s="161"/>
      <c r="CB248" s="175"/>
      <c r="CC248" s="161"/>
      <c r="CD248" s="161"/>
      <c r="CE248" s="161"/>
      <c r="CF248" s="161"/>
      <c r="CG248" s="161"/>
      <c r="CH248" s="161"/>
      <c r="CI248" s="161"/>
      <c r="CJ248" s="161"/>
      <c r="CK248" s="161"/>
      <c r="CL248" s="161"/>
      <c r="CM248" s="161"/>
      <c r="CN248" s="161"/>
      <c r="CO248" s="161"/>
      <c r="CP248" s="161"/>
      <c r="CQ248" s="161"/>
      <c r="CR248" s="161"/>
      <c r="CS248" s="161"/>
      <c r="CT248" s="161"/>
      <c r="CU248" s="161"/>
      <c r="CV248" s="161"/>
      <c r="CW248" s="161"/>
      <c r="CX248" s="161"/>
      <c r="CY248" s="161"/>
      <c r="CZ248" s="161"/>
      <c r="DA248" s="161"/>
      <c r="DB248" s="158"/>
      <c r="DC248" s="164"/>
      <c r="DH248" s="164"/>
      <c r="DR248" s="164"/>
      <c r="DW248" s="164"/>
      <c r="EB248" s="164"/>
      <c r="EG248" s="164"/>
      <c r="FL248" s="111"/>
      <c r="FM248" s="111"/>
    </row>
    <row r="249" spans="1:169" s="105" customFormat="1" outlineLevel="1">
      <c r="A249" s="83" t="s">
        <v>481</v>
      </c>
      <c r="B249" s="95"/>
      <c r="C249" s="95"/>
      <c r="D249" s="95"/>
      <c r="E249" s="95"/>
      <c r="F249" s="95"/>
      <c r="G249" s="95"/>
      <c r="H249" s="95"/>
      <c r="I249" s="95"/>
      <c r="J249" s="95"/>
      <c r="K249" s="9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  <c r="AA249" s="95"/>
      <c r="AB249" s="95"/>
      <c r="AC249" s="95"/>
      <c r="AD249" s="95"/>
      <c r="AE249" s="95"/>
      <c r="AF249" s="95"/>
      <c r="AG249" s="95"/>
      <c r="AK249" s="179">
        <f t="shared" ref="AK249:AX249" si="210">AK250/AK243</f>
      </c>
      <c r="AL249" s="179">
        <f t="shared" si="210"/>
      </c>
      <c r="AM249" s="179">
        <f t="shared" si="210"/>
      </c>
      <c r="AN249" s="179">
        <f t="shared" si="210"/>
      </c>
      <c r="AO249" s="179"/>
      <c r="AP249" s="179">
        <f t="shared" si="210"/>
      </c>
      <c r="AQ249" s="179">
        <f t="shared" si="210"/>
      </c>
      <c r="AR249" s="179">
        <f t="shared" si="210"/>
      </c>
      <c r="AS249" s="179">
        <f t="shared" si="210"/>
      </c>
      <c r="AT249" s="179"/>
      <c r="AU249" s="179">
        <f t="shared" si="210"/>
      </c>
      <c r="AV249" s="179">
        <f t="shared" si="210"/>
      </c>
      <c r="AW249" s="179">
        <f t="shared" si="210"/>
      </c>
      <c r="AX249" s="179">
        <f t="shared" si="210"/>
      </c>
      <c r="AY249" s="179"/>
      <c r="AZ249" s="179">
        <f>AZ250/AZ243</f>
      </c>
      <c r="BA249" s="165">
        <f>BA250/BA243</f>
      </c>
      <c r="BB249" s="165">
        <f>BB250/BB243</f>
      </c>
      <c r="BC249" s="183">
        <f>BC250/BC243</f>
      </c>
      <c r="BD249" s="183"/>
      <c r="BE249" s="184"/>
      <c r="BF249" s="184"/>
      <c r="BG249" s="184"/>
      <c r="BH249" s="184"/>
      <c r="BI249" s="184"/>
      <c r="BJ249" s="184"/>
      <c r="BK249" s="184"/>
      <c r="BL249" s="184"/>
      <c r="BM249" s="184"/>
      <c r="BN249" s="184"/>
      <c r="BO249" s="184"/>
      <c r="BP249" s="184"/>
      <c r="BQ249" s="184"/>
      <c r="BR249" s="184"/>
      <c r="BS249" s="184"/>
      <c r="BT249" s="184"/>
      <c r="BU249" s="184"/>
      <c r="BV249" s="184"/>
      <c r="BW249" s="184"/>
      <c r="BX249" s="184"/>
      <c r="BY249" s="184"/>
      <c r="BZ249" s="184"/>
      <c r="CA249" s="184"/>
      <c r="CB249" s="185"/>
      <c r="CC249" s="184"/>
      <c r="CD249" s="184"/>
      <c r="CE249" s="184"/>
      <c r="CF249" s="184"/>
      <c r="CG249" s="184"/>
      <c r="CH249" s="184"/>
      <c r="CI249" s="184"/>
      <c r="CJ249" s="184"/>
      <c r="CK249" s="184"/>
      <c r="CL249" s="184"/>
      <c r="CM249" s="184"/>
      <c r="CN249" s="184"/>
      <c r="CO249" s="184"/>
      <c r="CP249" s="184"/>
      <c r="CQ249" s="184"/>
      <c r="CR249" s="186"/>
      <c r="CS249" s="186"/>
      <c r="CT249" s="186"/>
      <c r="CU249" s="186"/>
      <c r="CV249" s="186"/>
      <c r="CW249" s="186"/>
      <c r="CX249" s="186"/>
      <c r="CY249" s="186"/>
      <c r="CZ249" s="186"/>
      <c r="DA249" s="186"/>
      <c r="DB249" s="155"/>
      <c r="DC249" s="186"/>
      <c r="DH249" s="186"/>
      <c r="DR249" s="186"/>
      <c r="DW249" s="186"/>
      <c r="EB249" s="186"/>
      <c r="EG249" s="186"/>
      <c r="FL249" s="111"/>
      <c r="FM249" s="111"/>
    </row>
    <row r="250" spans="1:169" s="188" customFormat="1" ht="13.8" outlineLevel="1" thickBot="1">
      <c r="A250" s="187" t="s">
        <v>482</v>
      </c>
      <c r="V250" s="189"/>
      <c r="W250" s="189"/>
      <c r="X250" s="189"/>
      <c r="Y250" s="189"/>
      <c r="Z250" s="189"/>
      <c r="AA250" s="189"/>
      <c r="AB250" s="189"/>
      <c r="AC250" s="189"/>
      <c r="AD250" s="189"/>
      <c r="AE250" s="189"/>
      <c r="AF250" s="189"/>
      <c r="AG250" s="190"/>
      <c r="AH250" s="190"/>
      <c r="AI250" s="190"/>
      <c r="AJ250" s="190"/>
      <c r="AK250" s="190">
        <f t="shared" ref="AK250:BB250" si="211">AK176+AK212+AK189+AK222+AK231+AK238</f>
      </c>
      <c r="AL250" s="190">
        <f t="shared" si="211"/>
      </c>
      <c r="AM250" s="190">
        <f t="shared" si="211"/>
      </c>
      <c r="AN250" s="190">
        <f t="shared" si="211"/>
      </c>
      <c r="AO250" s="190"/>
      <c r="AP250" s="190">
        <f t="shared" si="211"/>
      </c>
      <c r="AQ250" s="190">
        <f t="shared" si="211"/>
      </c>
      <c r="AR250" s="190">
        <f t="shared" si="211"/>
      </c>
      <c r="AS250" s="190">
        <f t="shared" si="211"/>
      </c>
      <c r="AT250" s="190"/>
      <c r="AU250" s="190">
        <f t="shared" si="211"/>
      </c>
      <c r="AV250" s="190">
        <f t="shared" si="211"/>
      </c>
      <c r="AW250" s="190">
        <f t="shared" si="211"/>
      </c>
      <c r="AX250" s="190">
        <f t="shared" si="211"/>
      </c>
      <c r="AY250" s="190"/>
      <c r="AZ250" s="190">
        <f t="shared" si="211"/>
      </c>
      <c r="BA250" s="190">
        <f t="shared" si="211"/>
      </c>
      <c r="BB250" s="190">
        <f t="shared" si="211"/>
      </c>
      <c r="BC250" s="190">
        <f>BC176+BC212+BC189+BC222+BC231+BC238+BC201</f>
      </c>
      <c r="BD250" s="190"/>
      <c r="BE250" s="191"/>
      <c r="BF250" s="191"/>
      <c r="BG250" s="191"/>
      <c r="BH250" s="191"/>
      <c r="BI250" s="191"/>
      <c r="BJ250" s="191"/>
      <c r="BK250" s="191"/>
      <c r="BL250" s="191"/>
      <c r="BM250" s="191"/>
      <c r="BN250" s="191"/>
      <c r="BO250" s="191"/>
      <c r="BP250" s="191"/>
      <c r="BQ250" s="191"/>
      <c r="BR250" s="191"/>
      <c r="BS250" s="191"/>
      <c r="BT250" s="191"/>
      <c r="BU250" s="191"/>
      <c r="BV250" s="191"/>
      <c r="BW250" s="191"/>
      <c r="BX250" s="191"/>
      <c r="BY250" s="191"/>
      <c r="BZ250" s="191"/>
      <c r="CA250" s="191"/>
      <c r="CB250" s="192"/>
      <c r="CC250" s="191"/>
      <c r="CD250" s="191"/>
      <c r="CE250" s="191"/>
      <c r="CF250" s="191"/>
      <c r="CG250" s="191"/>
      <c r="CH250" s="191"/>
      <c r="CI250" s="191"/>
      <c r="CJ250" s="191"/>
      <c r="CK250" s="191"/>
      <c r="CL250" s="191"/>
      <c r="CM250" s="191"/>
      <c r="CN250" s="191"/>
      <c r="CO250" s="191"/>
      <c r="CP250" s="191"/>
      <c r="CQ250" s="191"/>
      <c r="CR250" s="191"/>
      <c r="CS250" s="191"/>
      <c r="CT250" s="191"/>
      <c r="CU250" s="191"/>
      <c r="CV250" s="191"/>
      <c r="CW250" s="191"/>
      <c r="CX250" s="191"/>
      <c r="CY250" s="191"/>
      <c r="CZ250" s="191"/>
      <c r="DA250" s="191"/>
      <c r="DB250" s="193"/>
      <c r="DC250" s="194"/>
      <c r="DH250" s="194"/>
      <c r="DR250" s="194"/>
      <c r="DW250" s="194"/>
      <c r="EB250" s="194"/>
      <c r="EG250" s="194"/>
      <c r="FL250" s="111"/>
      <c r="FM250" s="111"/>
    </row>
    <row r="251" spans="1:169" outlineLevel="1">
      <c r="AD251" s="84"/>
      <c r="AE251" s="84"/>
      <c r="AF251" s="84"/>
      <c r="AK251" s="137"/>
      <c r="AL251" s="137"/>
      <c r="AM251" s="137"/>
      <c r="AN251" s="137"/>
      <c r="AO251" s="137"/>
      <c r="AP251" s="137"/>
      <c r="AQ251" s="137"/>
      <c r="AR251" s="137"/>
      <c r="AS251" s="137"/>
      <c r="AT251" s="137"/>
      <c r="AU251" s="137"/>
      <c r="AV251" s="137"/>
      <c r="AW251" s="137"/>
      <c r="AX251" s="137"/>
      <c r="AY251" s="137"/>
      <c r="AZ251" s="137"/>
      <c r="BA251" s="137"/>
      <c r="BB251" s="137"/>
      <c r="BE251" s="164"/>
      <c r="BF251" s="164"/>
      <c r="BG251" s="164"/>
      <c r="BH251" s="164"/>
      <c r="BI251" s="164"/>
      <c r="BJ251" s="164"/>
      <c r="BK251" s="164"/>
      <c r="BL251" s="164"/>
      <c r="BM251" s="164"/>
      <c r="BN251" s="164"/>
      <c r="BO251" s="164"/>
      <c r="BP251" s="164"/>
      <c r="BQ251" s="164"/>
      <c r="BR251" s="164"/>
      <c r="BS251" s="164"/>
      <c r="BT251" s="164"/>
      <c r="BU251" s="164"/>
      <c r="BV251" s="164"/>
      <c r="BW251" s="164"/>
      <c r="BX251" s="164"/>
      <c r="BY251" s="164"/>
      <c r="BZ251" s="164"/>
      <c r="CA251" s="164"/>
      <c r="CB251" s="173"/>
      <c r="CC251" s="164"/>
      <c r="CD251" s="164"/>
      <c r="CE251" s="164"/>
      <c r="CF251" s="164"/>
      <c r="CG251" s="164"/>
      <c r="CH251" s="164"/>
      <c r="CI251" s="164"/>
      <c r="CJ251" s="164"/>
      <c r="CK251" s="164"/>
      <c r="CL251" s="164"/>
      <c r="CM251" s="164"/>
      <c r="CN251" s="161"/>
      <c r="CO251" s="164"/>
      <c r="CP251" s="164"/>
      <c r="CQ251" s="164"/>
      <c r="CR251" s="164"/>
      <c r="CS251" s="164"/>
      <c r="CT251" s="164"/>
      <c r="CU251" s="164"/>
      <c r="CV251" s="164"/>
      <c r="CW251" s="164"/>
      <c r="CX251" s="164"/>
      <c r="CY251" s="164"/>
      <c r="CZ251" s="164"/>
      <c r="DA251" s="164"/>
      <c r="DB251" s="158"/>
      <c r="DC251" s="164"/>
      <c r="DH251" s="164"/>
      <c r="DR251" s="164"/>
      <c r="DW251" s="164"/>
      <c r="EB251" s="164"/>
      <c r="EG251" s="164"/>
      <c r="FL251" s="111"/>
      <c r="FM251" s="111"/>
    </row>
    <row r="252" spans="1:169" outlineLevel="1">
      <c r="A252" s="83" t="s">
        <v>483</v>
      </c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  <c r="AA252" s="85"/>
      <c r="AB252" s="85"/>
      <c r="AC252" s="85"/>
      <c r="AD252" s="85"/>
      <c r="AE252" s="85"/>
      <c r="AF252" s="85"/>
      <c r="AI252" s="123"/>
      <c r="AJ252" s="123"/>
      <c r="AK252" s="165"/>
      <c r="AL252" s="165"/>
      <c r="AM252" s="165"/>
      <c r="AN252" s="165"/>
      <c r="AO252" s="165"/>
      <c r="AP252" s="165"/>
      <c r="AQ252" s="123"/>
      <c r="AR252" s="123"/>
      <c r="AS252" s="123"/>
      <c r="AT252" s="123"/>
      <c r="AU252" s="123"/>
      <c r="AV252" s="123"/>
      <c r="AW252" s="123"/>
      <c r="AX252" s="123"/>
      <c r="AY252" s="123"/>
      <c r="AZ252" s="123"/>
      <c r="BA252" s="165"/>
      <c r="BB252" s="123"/>
      <c r="BC252" s="123"/>
      <c r="BD252" s="123"/>
      <c r="BE252" s="195"/>
      <c r="BF252" s="195"/>
      <c r="BG252" s="195"/>
      <c r="BH252" s="195"/>
      <c r="BI252" s="195"/>
      <c r="BJ252" s="195"/>
      <c r="BK252" s="195"/>
      <c r="BL252" s="195"/>
      <c r="BM252" s="195"/>
      <c r="BN252" s="195"/>
      <c r="BO252" s="195"/>
      <c r="BP252" s="195"/>
      <c r="BQ252" s="195"/>
      <c r="BR252" s="195"/>
      <c r="BS252" s="195"/>
      <c r="BT252" s="195"/>
      <c r="BU252" s="195"/>
      <c r="BV252" s="195"/>
      <c r="BW252" s="195"/>
      <c r="BX252" s="195"/>
      <c r="BY252" s="195"/>
      <c r="BZ252" s="195"/>
      <c r="CA252" s="195"/>
      <c r="CB252" s="196"/>
      <c r="CC252" s="195"/>
      <c r="CD252" s="195"/>
      <c r="CE252" s="195"/>
      <c r="CF252" s="195"/>
      <c r="CG252" s="195"/>
      <c r="CH252" s="195"/>
      <c r="CI252" s="195"/>
      <c r="CJ252" s="195"/>
      <c r="CK252" s="195"/>
      <c r="CL252" s="195"/>
      <c r="CM252" s="195"/>
      <c r="CN252" s="195"/>
      <c r="CO252" s="195"/>
      <c r="CP252" s="195"/>
      <c r="CQ252" s="195"/>
      <c r="CR252" s="195"/>
      <c r="CS252" s="195"/>
      <c r="CT252" s="195"/>
      <c r="CU252" s="195"/>
      <c r="CV252" s="195"/>
      <c r="CW252" s="195"/>
      <c r="CX252" s="195"/>
      <c r="CY252" s="195"/>
      <c r="CZ252" s="195"/>
      <c r="DA252" s="195"/>
      <c r="DB252" s="158"/>
      <c r="DC252" s="164"/>
      <c r="DH252" s="164"/>
      <c r="DR252" s="164"/>
      <c r="DW252" s="164"/>
      <c r="EB252" s="164"/>
      <c r="EG252" s="164"/>
      <c r="FL252" s="111"/>
      <c r="FM252" s="111"/>
    </row>
    <row r="253" spans="1:169" outlineLevel="1">
      <c r="A253" s="106" t="str">
        <f>A165</f>
      </c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133">
        <f t="shared" ref="V253:BC253" si="212">(V170+(0.5*V208))/V243</f>
      </c>
      <c r="W253" s="133">
        <f t="shared" si="212"/>
      </c>
      <c r="X253" s="133">
        <f t="shared" si="212"/>
      </c>
      <c r="Y253" s="133">
        <f t="shared" si="212"/>
      </c>
      <c r="Z253" s="133"/>
      <c r="AA253" s="133">
        <f t="shared" si="212"/>
      </c>
      <c r="AB253" s="133">
        <f t="shared" si="212"/>
      </c>
      <c r="AC253" s="133">
        <f t="shared" si="212"/>
      </c>
      <c r="AD253" s="133">
        <f t="shared" si="212"/>
      </c>
      <c r="AE253" s="133"/>
      <c r="AF253" s="133">
        <f t="shared" si="212"/>
      </c>
      <c r="AG253" s="133">
        <f t="shared" si="212"/>
      </c>
      <c r="AH253" s="133">
        <f t="shared" si="212"/>
      </c>
      <c r="AI253" s="133">
        <f t="shared" si="212"/>
      </c>
      <c r="AJ253" s="133"/>
      <c r="AK253" s="133">
        <f t="shared" si="212"/>
      </c>
      <c r="AL253" s="133">
        <f t="shared" si="212"/>
      </c>
      <c r="AM253" s="133">
        <f t="shared" si="212"/>
      </c>
      <c r="AN253" s="133">
        <f t="shared" si="212"/>
      </c>
      <c r="AO253" s="133"/>
      <c r="AP253" s="133">
        <f t="shared" si="212"/>
      </c>
      <c r="AQ253" s="133">
        <f t="shared" si="212"/>
      </c>
      <c r="AR253" s="133">
        <f t="shared" si="212"/>
      </c>
      <c r="AS253" s="133">
        <f t="shared" si="212"/>
      </c>
      <c r="AT253" s="133"/>
      <c r="AU253" s="133">
        <f t="shared" si="212"/>
      </c>
      <c r="AV253" s="133">
        <f t="shared" si="212"/>
      </c>
      <c r="AW253" s="133">
        <f t="shared" si="212"/>
      </c>
      <c r="AX253" s="133">
        <f t="shared" si="212"/>
      </c>
      <c r="AY253" s="133"/>
      <c r="AZ253" s="133">
        <f t="shared" si="212"/>
      </c>
      <c r="BA253" s="133">
        <f t="shared" si="212"/>
      </c>
      <c r="BB253" s="133">
        <f t="shared" si="212"/>
      </c>
      <c r="BC253" s="133">
        <f t="shared" si="212"/>
      </c>
      <c r="BD253" s="133"/>
      <c r="BE253" s="166"/>
      <c r="BF253" s="166"/>
      <c r="BG253" s="166"/>
      <c r="BH253" s="166"/>
      <c r="BI253" s="166"/>
      <c r="BJ253" s="166"/>
      <c r="BK253" s="166"/>
      <c r="BL253" s="166"/>
      <c r="BM253" s="166"/>
      <c r="BN253" s="166"/>
      <c r="BO253" s="166"/>
      <c r="BP253" s="166"/>
      <c r="BQ253" s="166"/>
      <c r="BR253" s="166"/>
      <c r="BS253" s="166"/>
      <c r="BT253" s="166"/>
      <c r="BU253" s="166"/>
      <c r="BV253" s="166"/>
      <c r="BW253" s="166"/>
      <c r="BX253" s="166"/>
      <c r="BY253" s="166"/>
      <c r="BZ253" s="166"/>
      <c r="CA253" s="166"/>
      <c r="CB253" s="167"/>
      <c r="CC253" s="166"/>
      <c r="CD253" s="166"/>
      <c r="CE253" s="166"/>
      <c r="CF253" s="166"/>
      <c r="CG253" s="166"/>
      <c r="CH253" s="166"/>
      <c r="CI253" s="166"/>
      <c r="CJ253" s="166"/>
      <c r="CK253" s="166"/>
      <c r="CL253" s="166"/>
      <c r="CM253" s="166"/>
      <c r="CN253" s="166"/>
      <c r="CO253" s="166"/>
      <c r="CP253" s="166"/>
      <c r="CQ253" s="166"/>
      <c r="CR253" s="166"/>
      <c r="CS253" s="166"/>
      <c r="CT253" s="166"/>
      <c r="CU253" s="166"/>
      <c r="CV253" s="166"/>
      <c r="CW253" s="166"/>
      <c r="CX253" s="166"/>
      <c r="CY253" s="166"/>
      <c r="CZ253" s="166"/>
      <c r="DA253" s="166"/>
      <c r="DB253" s="158"/>
      <c r="DC253" s="166"/>
      <c r="DD253" s="133"/>
      <c r="DE253" s="133"/>
      <c r="DF253" s="133"/>
      <c r="DH253" s="166"/>
      <c r="DI253" s="133"/>
      <c r="DJ253" s="133"/>
      <c r="DK253" s="133"/>
      <c r="DM253" s="133"/>
      <c r="DN253" s="133"/>
      <c r="DO253" s="133"/>
      <c r="DP253" s="133"/>
      <c r="DR253" s="166"/>
      <c r="DS253" s="133"/>
      <c r="DT253" s="133"/>
      <c r="DU253" s="133"/>
      <c r="DW253" s="166"/>
      <c r="DX253" s="133"/>
      <c r="DY253" s="133"/>
      <c r="DZ253" s="133"/>
      <c r="EB253" s="166"/>
      <c r="EC253" s="133"/>
      <c r="ED253" s="133"/>
      <c r="EE253" s="133"/>
      <c r="EG253" s="166"/>
      <c r="EH253" s="133"/>
      <c r="EI253" s="133"/>
      <c r="EJ253" s="133"/>
      <c r="FL253" s="111"/>
      <c r="FM253" s="111"/>
    </row>
    <row r="254" spans="1:169" outlineLevel="1">
      <c r="A254" s="106" t="str">
        <f>A178</f>
      </c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133"/>
      <c r="W254" s="133"/>
      <c r="X254" s="133"/>
      <c r="Y254" s="133"/>
      <c r="Z254" s="133"/>
      <c r="AA254" s="133">
        <f t="shared" ref="AA254:BC254" si="213">(AA183+(0.5*AA208))/AA243</f>
      </c>
      <c r="AB254" s="133">
        <f t="shared" si="213"/>
      </c>
      <c r="AC254" s="133">
        <f t="shared" si="213"/>
      </c>
      <c r="AD254" s="133">
        <f t="shared" si="213"/>
      </c>
      <c r="AE254" s="133"/>
      <c r="AF254" s="133">
        <f t="shared" si="213"/>
      </c>
      <c r="AG254" s="133">
        <f t="shared" si="213"/>
      </c>
      <c r="AH254" s="133">
        <f t="shared" si="213"/>
      </c>
      <c r="AI254" s="133">
        <f t="shared" si="213"/>
      </c>
      <c r="AJ254" s="133"/>
      <c r="AK254" s="133">
        <f t="shared" si="213"/>
      </c>
      <c r="AL254" s="133">
        <f t="shared" si="213"/>
      </c>
      <c r="AM254" s="133">
        <f t="shared" si="213"/>
      </c>
      <c r="AN254" s="133">
        <f t="shared" si="213"/>
      </c>
      <c r="AO254" s="133"/>
      <c r="AP254" s="133">
        <f t="shared" si="213"/>
      </c>
      <c r="AQ254" s="133">
        <f t="shared" si="213"/>
      </c>
      <c r="AR254" s="133">
        <f t="shared" si="213"/>
      </c>
      <c r="AS254" s="133">
        <f t="shared" si="213"/>
      </c>
      <c r="AT254" s="133"/>
      <c r="AU254" s="133">
        <f t="shared" si="213"/>
      </c>
      <c r="AV254" s="133">
        <f t="shared" si="213"/>
      </c>
      <c r="AW254" s="133">
        <f t="shared" si="213"/>
      </c>
      <c r="AX254" s="133">
        <f t="shared" si="213"/>
      </c>
      <c r="AY254" s="133"/>
      <c r="AZ254" s="133">
        <f t="shared" si="213"/>
      </c>
      <c r="BA254" s="133">
        <f t="shared" si="213"/>
      </c>
      <c r="BB254" s="133">
        <f t="shared" si="213"/>
      </c>
      <c r="BC254" s="133">
        <f t="shared" si="213"/>
      </c>
      <c r="BD254" s="133"/>
      <c r="BE254" s="166"/>
      <c r="BF254" s="166"/>
      <c r="BG254" s="166"/>
      <c r="BH254" s="166"/>
      <c r="BI254" s="166"/>
      <c r="BJ254" s="166"/>
      <c r="BK254" s="166"/>
      <c r="BL254" s="166"/>
      <c r="BM254" s="166"/>
      <c r="BN254" s="166"/>
      <c r="BO254" s="166"/>
      <c r="BP254" s="166"/>
      <c r="BQ254" s="166"/>
      <c r="BR254" s="166"/>
      <c r="BS254" s="166"/>
      <c r="BT254" s="166"/>
      <c r="BU254" s="166"/>
      <c r="BV254" s="166"/>
      <c r="BW254" s="166"/>
      <c r="BX254" s="166"/>
      <c r="BY254" s="166"/>
      <c r="BZ254" s="166"/>
      <c r="CA254" s="166"/>
      <c r="CB254" s="167"/>
      <c r="CC254" s="166"/>
      <c r="CD254" s="166"/>
      <c r="CE254" s="166"/>
      <c r="CF254" s="166"/>
      <c r="CG254" s="166"/>
      <c r="CH254" s="166"/>
      <c r="CI254" s="166"/>
      <c r="CJ254" s="166"/>
      <c r="CK254" s="166"/>
      <c r="CL254" s="166"/>
      <c r="CM254" s="166"/>
      <c r="CN254" s="166"/>
      <c r="CO254" s="166"/>
      <c r="CP254" s="166"/>
      <c r="CQ254" s="166"/>
      <c r="CR254" s="166"/>
      <c r="CS254" s="166"/>
      <c r="CT254" s="166"/>
      <c r="CU254" s="166"/>
      <c r="CV254" s="166"/>
      <c r="CW254" s="166"/>
      <c r="CX254" s="166"/>
      <c r="CY254" s="166"/>
      <c r="CZ254" s="166"/>
      <c r="DA254" s="166"/>
      <c r="DB254" s="158"/>
      <c r="DC254" s="166"/>
      <c r="DD254" s="133"/>
      <c r="DE254" s="133"/>
      <c r="DF254" s="133"/>
      <c r="DH254" s="166"/>
      <c r="DI254" s="133"/>
      <c r="DJ254" s="133"/>
      <c r="DK254" s="133"/>
      <c r="DM254" s="133"/>
      <c r="DN254" s="133"/>
      <c r="DO254" s="133"/>
      <c r="DP254" s="133"/>
      <c r="DR254" s="166"/>
      <c r="DS254" s="133"/>
      <c r="DT254" s="133"/>
      <c r="DU254" s="133"/>
      <c r="DW254" s="166"/>
      <c r="DX254" s="133"/>
      <c r="DY254" s="133"/>
      <c r="DZ254" s="133"/>
      <c r="EB254" s="166"/>
      <c r="EC254" s="133"/>
      <c r="ED254" s="133"/>
      <c r="EE254" s="133"/>
      <c r="EG254" s="166"/>
      <c r="EH254" s="133"/>
      <c r="EI254" s="133"/>
      <c r="EJ254" s="133"/>
      <c r="FL254" s="111"/>
      <c r="FM254" s="111"/>
    </row>
    <row r="255" spans="1:169" outlineLevel="1">
      <c r="A255" s="106" t="str">
        <f>A191</f>
      </c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133">
        <f t="shared" ref="V255:BC255" si="214">V194/V243</f>
      </c>
      <c r="W255" s="133">
        <f t="shared" si="214"/>
      </c>
      <c r="X255" s="133">
        <f t="shared" si="214"/>
      </c>
      <c r="Y255" s="133">
        <f t="shared" si="214"/>
      </c>
      <c r="Z255" s="133"/>
      <c r="AA255" s="133">
        <f t="shared" si="214"/>
      </c>
      <c r="AB255" s="133">
        <f t="shared" si="214"/>
      </c>
      <c r="AC255" s="133">
        <f t="shared" si="214"/>
      </c>
      <c r="AD255" s="133">
        <f t="shared" si="214"/>
      </c>
      <c r="AE255" s="133"/>
      <c r="AF255" s="133">
        <f t="shared" si="214"/>
      </c>
      <c r="AG255" s="133">
        <f t="shared" si="214"/>
      </c>
      <c r="AH255" s="133">
        <f t="shared" si="214"/>
      </c>
      <c r="AI255" s="133">
        <f t="shared" si="214"/>
      </c>
      <c r="AJ255" s="133"/>
      <c r="AK255" s="133">
        <f t="shared" si="214"/>
      </c>
      <c r="AL255" s="133">
        <f t="shared" si="214"/>
      </c>
      <c r="AM255" s="133">
        <f t="shared" si="214"/>
      </c>
      <c r="AN255" s="133">
        <f t="shared" si="214"/>
      </c>
      <c r="AO255" s="133"/>
      <c r="AP255" s="133">
        <f t="shared" si="214"/>
      </c>
      <c r="AQ255" s="133">
        <f t="shared" si="214"/>
      </c>
      <c r="AR255" s="133">
        <f t="shared" si="214"/>
      </c>
      <c r="AS255" s="133">
        <f t="shared" si="214"/>
      </c>
      <c r="AT255" s="133"/>
      <c r="AU255" s="133">
        <f t="shared" si="214"/>
      </c>
      <c r="AV255" s="133">
        <f t="shared" si="214"/>
      </c>
      <c r="AW255" s="133">
        <f t="shared" si="214"/>
      </c>
      <c r="AX255" s="133">
        <f t="shared" si="214"/>
      </c>
      <c r="AY255" s="133"/>
      <c r="AZ255" s="133">
        <f t="shared" si="214"/>
      </c>
      <c r="BA255" s="133">
        <f t="shared" si="214"/>
      </c>
      <c r="BB255" s="133">
        <f t="shared" si="214"/>
      </c>
      <c r="BC255" s="133">
        <f t="shared" si="214"/>
      </c>
      <c r="BD255" s="133"/>
      <c r="BE255" s="166"/>
      <c r="BF255" s="166"/>
      <c r="BG255" s="166"/>
      <c r="BH255" s="166"/>
      <c r="BI255" s="166"/>
      <c r="BJ255" s="166"/>
      <c r="BK255" s="166"/>
      <c r="BL255" s="166"/>
      <c r="BM255" s="166"/>
      <c r="BN255" s="166"/>
      <c r="BO255" s="166"/>
      <c r="BP255" s="166"/>
      <c r="BQ255" s="166"/>
      <c r="BR255" s="166"/>
      <c r="BS255" s="166"/>
      <c r="BT255" s="166"/>
      <c r="BU255" s="166"/>
      <c r="BV255" s="166"/>
      <c r="BW255" s="166"/>
      <c r="BX255" s="166"/>
      <c r="BY255" s="166"/>
      <c r="BZ255" s="166"/>
      <c r="CA255" s="166"/>
      <c r="CB255" s="167"/>
      <c r="CC255" s="166"/>
      <c r="CD255" s="166"/>
      <c r="CE255" s="166"/>
      <c r="CF255" s="166"/>
      <c r="CG255" s="166"/>
      <c r="CH255" s="166"/>
      <c r="CI255" s="166"/>
      <c r="CJ255" s="166"/>
      <c r="CK255" s="166"/>
      <c r="CL255" s="166"/>
      <c r="CM255" s="166"/>
      <c r="CN255" s="166"/>
      <c r="CO255" s="166"/>
      <c r="CP255" s="166"/>
      <c r="CQ255" s="166"/>
      <c r="CR255" s="166"/>
      <c r="CS255" s="166"/>
      <c r="CT255" s="166"/>
      <c r="CU255" s="166"/>
      <c r="CV255" s="166"/>
      <c r="CW255" s="166"/>
      <c r="CX255" s="166"/>
      <c r="CY255" s="166"/>
      <c r="CZ255" s="166"/>
      <c r="DA255" s="166"/>
      <c r="DB255" s="158"/>
      <c r="DC255" s="166"/>
      <c r="DD255" s="133"/>
      <c r="DE255" s="133"/>
      <c r="DF255" s="133"/>
      <c r="DH255" s="166"/>
      <c r="DI255" s="133"/>
      <c r="DJ255" s="133"/>
      <c r="DK255" s="133"/>
      <c r="DM255" s="133"/>
      <c r="DN255" s="133"/>
      <c r="DO255" s="133"/>
      <c r="DP255" s="133"/>
      <c r="DR255" s="166"/>
      <c r="DS255" s="133"/>
      <c r="DT255" s="133"/>
      <c r="DU255" s="133"/>
      <c r="DW255" s="166"/>
      <c r="DX255" s="133"/>
      <c r="DY255" s="133"/>
      <c r="DZ255" s="133"/>
      <c r="EB255" s="166"/>
      <c r="EC255" s="133"/>
      <c r="ED255" s="133"/>
      <c r="EE255" s="133"/>
      <c r="EG255" s="166"/>
      <c r="EH255" s="133"/>
      <c r="EI255" s="133"/>
      <c r="EJ255" s="133"/>
      <c r="FL255" s="111"/>
      <c r="FM255" s="111"/>
    </row>
    <row r="256" spans="1:169" outlineLevel="1">
      <c r="A256" s="106" t="str">
        <f>A224</f>
      </c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133">
        <f t="shared" ref="V256:BC256" si="215">(V227+V218)/V243</f>
      </c>
      <c r="W256" s="133">
        <f t="shared" si="215"/>
      </c>
      <c r="X256" s="133">
        <f t="shared" si="215"/>
      </c>
      <c r="Y256" s="133">
        <f t="shared" si="215"/>
      </c>
      <c r="Z256" s="133"/>
      <c r="AA256" s="133">
        <f t="shared" si="215"/>
      </c>
      <c r="AB256" s="133">
        <f t="shared" si="215"/>
      </c>
      <c r="AC256" s="133">
        <f t="shared" si="215"/>
      </c>
      <c r="AD256" s="133">
        <f t="shared" si="215"/>
      </c>
      <c r="AE256" s="133"/>
      <c r="AF256" s="133">
        <f t="shared" si="215"/>
      </c>
      <c r="AG256" s="133">
        <f t="shared" si="215"/>
      </c>
      <c r="AH256" s="133">
        <f t="shared" si="215"/>
      </c>
      <c r="AI256" s="133">
        <f t="shared" si="215"/>
      </c>
      <c r="AJ256" s="133"/>
      <c r="AK256" s="133">
        <f t="shared" si="215"/>
      </c>
      <c r="AL256" s="133">
        <f t="shared" si="215"/>
      </c>
      <c r="AM256" s="133">
        <f t="shared" si="215"/>
      </c>
      <c r="AN256" s="133">
        <f t="shared" si="215"/>
      </c>
      <c r="AO256" s="133"/>
      <c r="AP256" s="133">
        <f t="shared" si="215"/>
      </c>
      <c r="AQ256" s="133">
        <f t="shared" si="215"/>
      </c>
      <c r="AR256" s="133">
        <f t="shared" si="215"/>
      </c>
      <c r="AS256" s="133">
        <f t="shared" si="215"/>
      </c>
      <c r="AT256" s="133"/>
      <c r="AU256" s="133">
        <f t="shared" si="215"/>
      </c>
      <c r="AV256" s="133">
        <f t="shared" si="215"/>
      </c>
      <c r="AW256" s="133">
        <f t="shared" si="215"/>
      </c>
      <c r="AX256" s="133">
        <f t="shared" si="215"/>
      </c>
      <c r="AY256" s="133"/>
      <c r="AZ256" s="133">
        <f t="shared" si="215"/>
      </c>
      <c r="BA256" s="133">
        <f t="shared" si="215"/>
      </c>
      <c r="BB256" s="133">
        <f t="shared" si="215"/>
      </c>
      <c r="BC256" s="133">
        <f t="shared" si="215"/>
      </c>
      <c r="BD256" s="133"/>
      <c r="BE256" s="166"/>
      <c r="BF256" s="166"/>
      <c r="BG256" s="166"/>
      <c r="BH256" s="166"/>
      <c r="BI256" s="166"/>
      <c r="BJ256" s="166"/>
      <c r="BK256" s="166"/>
      <c r="BL256" s="166"/>
      <c r="BM256" s="166"/>
      <c r="BN256" s="166"/>
      <c r="BO256" s="166"/>
      <c r="BP256" s="166"/>
      <c r="BQ256" s="166"/>
      <c r="BR256" s="166"/>
      <c r="BS256" s="166"/>
      <c r="BT256" s="166"/>
      <c r="BU256" s="166"/>
      <c r="BV256" s="166"/>
      <c r="BW256" s="166"/>
      <c r="BX256" s="166"/>
      <c r="BY256" s="166"/>
      <c r="BZ256" s="166"/>
      <c r="CA256" s="166"/>
      <c r="CB256" s="167"/>
      <c r="CC256" s="166"/>
      <c r="CD256" s="166"/>
      <c r="CE256" s="166"/>
      <c r="CF256" s="166"/>
      <c r="CG256" s="166"/>
      <c r="CH256" s="166"/>
      <c r="CI256" s="166"/>
      <c r="CJ256" s="166"/>
      <c r="CK256" s="166"/>
      <c r="CL256" s="166"/>
      <c r="CM256" s="166"/>
      <c r="CN256" s="166"/>
      <c r="CO256" s="166"/>
      <c r="CP256" s="166"/>
      <c r="CQ256" s="166"/>
      <c r="CR256" s="166"/>
      <c r="CS256" s="166"/>
      <c r="CT256" s="166"/>
      <c r="CU256" s="166"/>
      <c r="CV256" s="166"/>
      <c r="CW256" s="166"/>
      <c r="CX256" s="166"/>
      <c r="CY256" s="166"/>
      <c r="CZ256" s="166"/>
      <c r="DA256" s="166"/>
      <c r="DB256" s="158"/>
      <c r="DC256" s="166"/>
      <c r="DD256" s="133"/>
      <c r="DE256" s="133"/>
      <c r="DF256" s="133"/>
      <c r="DH256" s="166"/>
      <c r="DI256" s="133"/>
      <c r="DJ256" s="133"/>
      <c r="DK256" s="133"/>
      <c r="DM256" s="133"/>
      <c r="DN256" s="133"/>
      <c r="DO256" s="133"/>
      <c r="DP256" s="133"/>
      <c r="DR256" s="166"/>
      <c r="DS256" s="133"/>
      <c r="DT256" s="133"/>
      <c r="DU256" s="133"/>
      <c r="DW256" s="166"/>
      <c r="DX256" s="133"/>
      <c r="DY256" s="133"/>
      <c r="DZ256" s="133"/>
      <c r="EB256" s="166"/>
      <c r="EC256" s="133"/>
      <c r="ED256" s="133"/>
      <c r="EE256" s="133"/>
      <c r="EG256" s="166"/>
      <c r="EH256" s="133"/>
      <c r="EI256" s="133"/>
      <c r="EJ256" s="133"/>
      <c r="FL256" s="111"/>
      <c r="FM256" s="111"/>
    </row>
    <row r="257" spans="1:169" outlineLevel="1">
      <c r="A257" s="106" t="str">
        <f>A233</f>
      </c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133">
        <f t="shared" ref="V257:BC257" si="216">V234/V243</f>
      </c>
      <c r="W257" s="133">
        <f t="shared" si="216"/>
      </c>
      <c r="X257" s="133">
        <f t="shared" si="216"/>
      </c>
      <c r="Y257" s="133">
        <f t="shared" si="216"/>
      </c>
      <c r="Z257" s="133"/>
      <c r="AA257" s="133">
        <f t="shared" si="216"/>
      </c>
      <c r="AB257" s="133">
        <f t="shared" si="216"/>
      </c>
      <c r="AC257" s="133">
        <f t="shared" si="216"/>
      </c>
      <c r="AD257" s="133">
        <f t="shared" si="216"/>
      </c>
      <c r="AE257" s="133"/>
      <c r="AF257" s="133">
        <f t="shared" si="216"/>
      </c>
      <c r="AG257" s="133">
        <f t="shared" si="216"/>
      </c>
      <c r="AH257" s="133">
        <f t="shared" si="216"/>
      </c>
      <c r="AI257" s="133">
        <f t="shared" si="216"/>
      </c>
      <c r="AJ257" s="133"/>
      <c r="AK257" s="133">
        <f t="shared" si="216"/>
      </c>
      <c r="AL257" s="133">
        <f t="shared" si="216"/>
      </c>
      <c r="AM257" s="133">
        <f t="shared" si="216"/>
      </c>
      <c r="AN257" s="133">
        <f t="shared" si="216"/>
      </c>
      <c r="AO257" s="133"/>
      <c r="AP257" s="133">
        <f t="shared" si="216"/>
      </c>
      <c r="AQ257" s="133">
        <f t="shared" si="216"/>
      </c>
      <c r="AR257" s="133">
        <f t="shared" si="216"/>
      </c>
      <c r="AS257" s="133">
        <f t="shared" si="216"/>
      </c>
      <c r="AT257" s="133"/>
      <c r="AU257" s="133">
        <f t="shared" si="216"/>
      </c>
      <c r="AV257" s="133">
        <f t="shared" si="216"/>
      </c>
      <c r="AW257" s="133">
        <f t="shared" si="216"/>
      </c>
      <c r="AX257" s="133">
        <f t="shared" si="216"/>
      </c>
      <c r="AY257" s="133"/>
      <c r="AZ257" s="133">
        <f t="shared" si="216"/>
      </c>
      <c r="BA257" s="133">
        <f t="shared" si="216"/>
      </c>
      <c r="BB257" s="133">
        <f t="shared" si="216"/>
      </c>
      <c r="BC257" s="133">
        <f t="shared" si="216"/>
      </c>
      <c r="BD257" s="133"/>
      <c r="BE257" s="166"/>
      <c r="BF257" s="166"/>
      <c r="BG257" s="166"/>
      <c r="BH257" s="166"/>
      <c r="BI257" s="166"/>
      <c r="BJ257" s="166"/>
      <c r="BK257" s="166"/>
      <c r="BL257" s="166"/>
      <c r="BM257" s="166"/>
      <c r="BN257" s="166"/>
      <c r="BO257" s="166"/>
      <c r="BP257" s="166"/>
      <c r="BQ257" s="166"/>
      <c r="BR257" s="166"/>
      <c r="BS257" s="166"/>
      <c r="BT257" s="166"/>
      <c r="BU257" s="166"/>
      <c r="BV257" s="166"/>
      <c r="BW257" s="166"/>
      <c r="BX257" s="166"/>
      <c r="BY257" s="166"/>
      <c r="BZ257" s="166"/>
      <c r="CA257" s="166"/>
      <c r="CB257" s="167"/>
      <c r="CC257" s="166"/>
      <c r="CD257" s="166"/>
      <c r="CE257" s="166"/>
      <c r="CF257" s="166"/>
      <c r="CG257" s="166"/>
      <c r="CH257" s="166"/>
      <c r="CI257" s="166"/>
      <c r="CJ257" s="166"/>
      <c r="CK257" s="166"/>
      <c r="CL257" s="166"/>
      <c r="CM257" s="166"/>
      <c r="CN257" s="166"/>
      <c r="CO257" s="166"/>
      <c r="CP257" s="166"/>
      <c r="CQ257" s="166"/>
      <c r="CR257" s="166"/>
      <c r="CS257" s="166"/>
      <c r="CT257" s="166"/>
      <c r="CU257" s="166"/>
      <c r="CV257" s="166"/>
      <c r="CW257" s="166"/>
      <c r="CX257" s="166"/>
      <c r="CY257" s="166"/>
      <c r="CZ257" s="166"/>
      <c r="DA257" s="166"/>
      <c r="DB257" s="158"/>
      <c r="DC257" s="166"/>
      <c r="DD257" s="133"/>
      <c r="DE257" s="133"/>
      <c r="DF257" s="133"/>
      <c r="DH257" s="166"/>
      <c r="DI257" s="133"/>
      <c r="DJ257" s="133"/>
      <c r="DK257" s="133"/>
      <c r="DM257" s="133"/>
      <c r="DN257" s="133"/>
      <c r="DO257" s="133"/>
      <c r="DP257" s="133"/>
      <c r="DR257" s="166"/>
      <c r="DS257" s="133"/>
      <c r="DT257" s="133"/>
      <c r="DU257" s="133"/>
      <c r="DW257" s="166"/>
      <c r="DX257" s="133"/>
      <c r="DY257" s="133"/>
      <c r="DZ257" s="133"/>
      <c r="EB257" s="166"/>
      <c r="EC257" s="133"/>
      <c r="ED257" s="133"/>
      <c r="EE257" s="133"/>
      <c r="EG257" s="166"/>
      <c r="EH257" s="133"/>
      <c r="EI257" s="133"/>
      <c r="EJ257" s="133"/>
      <c r="FL257" s="111"/>
      <c r="FM257" s="111"/>
    </row>
    <row r="258" spans="1:169" outlineLevel="1">
      <c r="A258" s="106" t="s">
        <v>243</v>
      </c>
      <c r="B258" s="133"/>
      <c r="C258" s="133"/>
      <c r="D258" s="133"/>
      <c r="E258" s="133"/>
      <c r="F258" s="133"/>
      <c r="G258" s="133"/>
      <c r="H258" s="133"/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>
        <f t="shared" ref="V258:BC258" si="217">SUM(V253:V257)</f>
      </c>
      <c r="W258" s="133">
        <f t="shared" si="217"/>
      </c>
      <c r="X258" s="133">
        <f t="shared" si="217"/>
      </c>
      <c r="Y258" s="133">
        <f t="shared" si="217"/>
      </c>
      <c r="Z258" s="133"/>
      <c r="AA258" s="133">
        <f t="shared" si="217"/>
      </c>
      <c r="AB258" s="133">
        <f t="shared" si="217"/>
      </c>
      <c r="AC258" s="133">
        <f t="shared" si="217"/>
      </c>
      <c r="AD258" s="133">
        <f t="shared" si="217"/>
      </c>
      <c r="AE258" s="133"/>
      <c r="AF258" s="133">
        <f t="shared" si="217"/>
      </c>
      <c r="AG258" s="133">
        <f t="shared" si="217"/>
      </c>
      <c r="AH258" s="133">
        <f t="shared" si="217"/>
      </c>
      <c r="AI258" s="133">
        <f t="shared" si="217"/>
      </c>
      <c r="AJ258" s="133"/>
      <c r="AK258" s="133">
        <f t="shared" si="217"/>
      </c>
      <c r="AL258" s="133">
        <f t="shared" si="217"/>
      </c>
      <c r="AM258" s="133">
        <f t="shared" si="217"/>
      </c>
      <c r="AN258" s="133">
        <f t="shared" si="217"/>
      </c>
      <c r="AO258" s="133"/>
      <c r="AP258" s="133">
        <f t="shared" si="217"/>
      </c>
      <c r="AQ258" s="133">
        <f t="shared" si="217"/>
      </c>
      <c r="AR258" s="133">
        <f t="shared" si="217"/>
      </c>
      <c r="AS258" s="133">
        <f t="shared" si="217"/>
      </c>
      <c r="AT258" s="133"/>
      <c r="AU258" s="133">
        <f t="shared" si="217"/>
      </c>
      <c r="AV258" s="133">
        <f t="shared" si="217"/>
      </c>
      <c r="AW258" s="133">
        <f t="shared" si="217"/>
      </c>
      <c r="AX258" s="133">
        <f t="shared" si="217"/>
      </c>
      <c r="AY258" s="133"/>
      <c r="AZ258" s="133">
        <f t="shared" si="217"/>
      </c>
      <c r="BA258" s="133">
        <f t="shared" si="217"/>
      </c>
      <c r="BB258" s="133">
        <f t="shared" si="217"/>
      </c>
      <c r="BC258" s="133">
        <f t="shared" si="217"/>
      </c>
      <c r="BD258" s="133"/>
      <c r="BE258" s="166"/>
      <c r="BF258" s="166"/>
      <c r="BG258" s="166"/>
      <c r="BH258" s="166"/>
      <c r="BI258" s="166"/>
      <c r="BJ258" s="166"/>
      <c r="BK258" s="166"/>
      <c r="BL258" s="166"/>
      <c r="BM258" s="166"/>
      <c r="BN258" s="166"/>
      <c r="BO258" s="166"/>
      <c r="BP258" s="166"/>
      <c r="BQ258" s="166"/>
      <c r="BR258" s="166"/>
      <c r="BS258" s="166"/>
      <c r="BT258" s="166"/>
      <c r="BU258" s="166"/>
      <c r="BV258" s="166"/>
      <c r="BW258" s="166"/>
      <c r="BX258" s="166"/>
      <c r="BY258" s="166"/>
      <c r="BZ258" s="166"/>
      <c r="CA258" s="166"/>
      <c r="CB258" s="167"/>
      <c r="CC258" s="166"/>
      <c r="CD258" s="166"/>
      <c r="CE258" s="166"/>
      <c r="CF258" s="166"/>
      <c r="CG258" s="166"/>
      <c r="CH258" s="166"/>
      <c r="CI258" s="166"/>
      <c r="CJ258" s="166"/>
      <c r="CK258" s="166"/>
      <c r="CL258" s="166"/>
      <c r="CM258" s="166"/>
      <c r="CN258" s="166"/>
      <c r="CO258" s="166"/>
      <c r="CP258" s="166"/>
      <c r="CQ258" s="166"/>
      <c r="CR258" s="166"/>
      <c r="CS258" s="166"/>
      <c r="CT258" s="166"/>
      <c r="CU258" s="166"/>
      <c r="CV258" s="166"/>
      <c r="CW258" s="166"/>
      <c r="CX258" s="166"/>
      <c r="CY258" s="166"/>
      <c r="CZ258" s="166"/>
      <c r="DA258" s="166"/>
      <c r="DB258" s="158"/>
      <c r="DC258" s="166"/>
      <c r="DD258" s="133"/>
      <c r="DE258" s="133"/>
      <c r="DF258" s="133"/>
      <c r="DH258" s="166"/>
      <c r="DI258" s="133"/>
      <c r="DJ258" s="133"/>
      <c r="DK258" s="133"/>
      <c r="DM258" s="133"/>
      <c r="DN258" s="133"/>
      <c r="DO258" s="133"/>
      <c r="DP258" s="133"/>
      <c r="DR258" s="166"/>
      <c r="DS258" s="133"/>
      <c r="DT258" s="133"/>
      <c r="DU258" s="133"/>
      <c r="DW258" s="166"/>
      <c r="DX258" s="133"/>
      <c r="DY258" s="133"/>
      <c r="DZ258" s="133"/>
      <c r="EB258" s="166"/>
      <c r="EC258" s="133"/>
      <c r="ED258" s="133"/>
      <c r="EE258" s="133"/>
      <c r="EG258" s="166"/>
      <c r="EH258" s="133"/>
      <c r="EI258" s="133"/>
      <c r="EJ258" s="133"/>
      <c r="FL258" s="111"/>
      <c r="FM258" s="111"/>
    </row>
    <row r="259" spans="1:169" outlineLevel="1">
      <c r="AD259" s="84"/>
      <c r="AE259" s="84"/>
      <c r="AF259" s="84"/>
      <c r="AG259" s="84"/>
      <c r="AK259" s="133"/>
      <c r="AL259" s="133"/>
      <c r="AM259" s="133"/>
      <c r="AN259" s="133"/>
      <c r="AO259" s="133"/>
      <c r="AP259" s="133"/>
      <c r="AQ259" s="133"/>
      <c r="AR259" s="133"/>
      <c r="AS259" s="133"/>
      <c r="AT259" s="133"/>
      <c r="AU259" s="133"/>
      <c r="AV259" s="133"/>
      <c r="AW259" s="133"/>
      <c r="AX259" s="133"/>
      <c r="AY259" s="133"/>
      <c r="AZ259" s="133"/>
      <c r="BA259" s="133"/>
      <c r="BB259" s="133"/>
      <c r="BC259" s="133"/>
      <c r="BD259" s="133"/>
      <c r="BE259" s="166"/>
      <c r="BF259" s="166"/>
      <c r="BG259" s="166"/>
      <c r="BH259" s="166"/>
      <c r="BI259" s="166"/>
      <c r="BJ259" s="166"/>
      <c r="BK259" s="166"/>
      <c r="BL259" s="166"/>
      <c r="BM259" s="166"/>
      <c r="BN259" s="166"/>
      <c r="BO259" s="166"/>
      <c r="BP259" s="166"/>
      <c r="BQ259" s="166"/>
      <c r="BR259" s="166"/>
      <c r="BS259" s="166"/>
      <c r="BT259" s="166"/>
      <c r="BU259" s="166"/>
      <c r="BV259" s="166"/>
      <c r="BW259" s="166"/>
      <c r="BX259" s="166"/>
      <c r="BY259" s="166"/>
      <c r="BZ259" s="166"/>
      <c r="CA259" s="166"/>
      <c r="CB259" s="167"/>
      <c r="CC259" s="166"/>
      <c r="CD259" s="166"/>
      <c r="CE259" s="166"/>
      <c r="CF259" s="166"/>
      <c r="CG259" s="166"/>
      <c r="CH259" s="166"/>
      <c r="CI259" s="166"/>
      <c r="CJ259" s="166"/>
      <c r="CK259" s="166"/>
      <c r="CL259" s="166"/>
      <c r="CM259" s="166"/>
      <c r="CN259" s="166"/>
      <c r="CO259" s="166"/>
      <c r="CP259" s="166"/>
      <c r="CQ259" s="166"/>
      <c r="CR259" s="166"/>
      <c r="CS259" s="166"/>
      <c r="CT259" s="166"/>
      <c r="CU259" s="166"/>
      <c r="CV259" s="166"/>
      <c r="CW259" s="166"/>
      <c r="CX259" s="166"/>
      <c r="CY259" s="166"/>
      <c r="CZ259" s="166"/>
      <c r="DA259" s="166"/>
      <c r="DB259" s="158"/>
      <c r="DC259" s="164"/>
      <c r="DH259" s="164"/>
      <c r="DR259" s="164"/>
      <c r="DW259" s="164"/>
      <c r="EB259" s="164"/>
      <c r="EG259" s="164"/>
      <c r="FL259" s="111"/>
      <c r="FM259" s="111"/>
    </row>
    <row r="260" spans="1:169" outlineLevel="1">
      <c r="A260" s="106" t="s">
        <v>484</v>
      </c>
      <c r="BE260" s="164"/>
      <c r="BF260" s="164"/>
      <c r="BG260" s="164"/>
      <c r="BH260" s="164"/>
      <c r="BI260" s="164"/>
      <c r="BJ260" s="164"/>
      <c r="BK260" s="164"/>
      <c r="BL260" s="164"/>
      <c r="BM260" s="164"/>
      <c r="BN260" s="164"/>
      <c r="BO260" s="164"/>
      <c r="BP260" s="164"/>
      <c r="BQ260" s="164"/>
      <c r="BR260" s="164"/>
      <c r="BS260" s="164"/>
      <c r="BT260" s="164"/>
      <c r="BU260" s="164"/>
      <c r="BV260" s="164"/>
      <c r="BW260" s="164"/>
      <c r="BX260" s="164"/>
      <c r="BY260" s="164"/>
      <c r="BZ260" s="164"/>
      <c r="CA260" s="164"/>
      <c r="CB260" s="167"/>
      <c r="CC260" s="166"/>
      <c r="CD260" s="164"/>
      <c r="CE260" s="164"/>
      <c r="CF260" s="164"/>
      <c r="CG260" s="164"/>
      <c r="CH260" s="164"/>
      <c r="CI260" s="198"/>
      <c r="CJ260" s="198"/>
      <c r="CK260" s="198"/>
      <c r="CL260" s="198"/>
      <c r="CM260" s="198"/>
      <c r="CN260" s="198"/>
      <c r="CO260" s="198"/>
      <c r="CP260" s="198"/>
      <c r="CQ260" s="164"/>
      <c r="CR260" s="164"/>
      <c r="CS260" s="164"/>
      <c r="CT260" s="164"/>
      <c r="CU260" s="164"/>
      <c r="CV260" s="164"/>
      <c r="CW260" s="164"/>
      <c r="CX260" s="164"/>
      <c r="CY260" s="164"/>
      <c r="CZ260" s="164"/>
      <c r="DA260" s="164"/>
      <c r="DB260" s="158"/>
      <c r="DC260" s="164"/>
      <c r="DH260" s="164"/>
      <c r="DR260" s="164"/>
      <c r="DW260" s="164"/>
      <c r="EB260" s="164"/>
      <c r="EG260" s="164"/>
      <c r="FL260" s="111"/>
      <c r="FM260" s="111"/>
    </row>
    <row r="261" spans="1:169" outlineLevel="1">
      <c r="A261" s="132" t="s">
        <v>485</v>
      </c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133"/>
      <c r="W261" s="133"/>
      <c r="X261" s="133"/>
      <c r="Y261" s="133"/>
      <c r="Z261" s="133"/>
      <c r="AA261" s="133"/>
      <c r="AB261" s="133"/>
      <c r="AC261" s="133"/>
      <c r="AD261" s="133"/>
      <c r="AE261" s="133"/>
      <c r="AF261" s="133"/>
      <c r="AG261" s="133"/>
      <c r="AH261" s="133"/>
      <c r="AI261" s="133"/>
      <c r="AJ261" s="133"/>
      <c r="AK261" s="133"/>
      <c r="AL261" s="133"/>
      <c r="AM261" s="133"/>
      <c r="AN261" s="133"/>
      <c r="AO261" s="133"/>
      <c r="AP261" s="133"/>
      <c r="AQ261" s="133"/>
      <c r="AR261" s="133"/>
      <c r="AS261" s="133"/>
      <c r="AT261" s="133"/>
      <c r="AU261" s="133"/>
      <c r="AV261" s="133"/>
      <c r="AW261" s="133"/>
      <c r="AX261" s="133"/>
      <c r="AY261" s="133"/>
      <c r="AZ261" s="133"/>
      <c r="BA261" s="133"/>
      <c r="BB261" s="133"/>
      <c r="BC261" s="133"/>
      <c r="BD261" s="133"/>
      <c r="BE261" s="166"/>
      <c r="BF261" s="166"/>
      <c r="BG261" s="166"/>
      <c r="BH261" s="166"/>
      <c r="BI261" s="166"/>
      <c r="BJ261" s="166"/>
      <c r="BK261" s="166"/>
      <c r="BL261" s="166"/>
      <c r="BM261" s="166"/>
      <c r="BN261" s="166"/>
      <c r="BO261" s="166"/>
      <c r="BP261" s="166"/>
      <c r="BQ261" s="166"/>
      <c r="BR261" s="166"/>
      <c r="BS261" s="166"/>
      <c r="BT261" s="166"/>
      <c r="BU261" s="166"/>
      <c r="BV261" s="166"/>
      <c r="BW261" s="166"/>
      <c r="BX261" s="166"/>
      <c r="BY261" s="166"/>
      <c r="BZ261" s="166"/>
      <c r="CA261" s="166"/>
      <c r="CB261" s="167"/>
      <c r="CC261" s="166"/>
      <c r="CD261" s="166"/>
      <c r="CE261" s="166"/>
      <c r="CF261" s="160"/>
      <c r="CG261" s="160"/>
      <c r="CH261" s="160"/>
      <c r="CI261" s="160"/>
      <c r="CJ261" s="160"/>
      <c r="CK261" s="160"/>
      <c r="CL261" s="160"/>
      <c r="CM261" s="160"/>
      <c r="CN261" s="160"/>
      <c r="CO261" s="160"/>
      <c r="CP261" s="160"/>
      <c r="CQ261" s="166"/>
      <c r="CR261" s="166"/>
      <c r="CS261" s="166"/>
      <c r="CT261" s="166"/>
      <c r="CU261" s="166"/>
      <c r="CV261" s="166"/>
      <c r="CW261" s="166"/>
      <c r="CX261" s="166"/>
      <c r="CY261" s="166"/>
      <c r="CZ261" s="166"/>
      <c r="DA261" s="166"/>
      <c r="DB261" s="158"/>
      <c r="DC261" s="164"/>
      <c r="DH261" s="164"/>
      <c r="DR261" s="164"/>
      <c r="DW261" s="164"/>
      <c r="EB261" s="164"/>
      <c r="EG261" s="164"/>
      <c r="FL261" s="111"/>
      <c r="FM261" s="111"/>
    </row>
    <row r="262" spans="1:169" outlineLevel="1">
      <c r="A262" s="83" t="s">
        <v>486</v>
      </c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133"/>
      <c r="W262" s="133"/>
      <c r="X262" s="133"/>
      <c r="Y262" s="133"/>
      <c r="Z262" s="133"/>
      <c r="AA262" s="133"/>
      <c r="AB262" s="133"/>
      <c r="AC262" s="133"/>
      <c r="AD262" s="133"/>
      <c r="AE262" s="133"/>
      <c r="AF262" s="133"/>
      <c r="AG262" s="133"/>
      <c r="AH262" s="133"/>
      <c r="AI262" s="133"/>
      <c r="AJ262" s="133"/>
      <c r="AK262" s="133"/>
      <c r="AL262" s="133"/>
      <c r="AM262" s="133"/>
      <c r="AN262" s="133"/>
      <c r="AO262" s="133"/>
      <c r="AP262" s="133"/>
      <c r="AQ262" s="133"/>
      <c r="AR262" s="133"/>
      <c r="AS262" s="133"/>
      <c r="AT262" s="133"/>
      <c r="AU262" s="133"/>
      <c r="AV262" s="133"/>
      <c r="AW262" s="133"/>
      <c r="AX262" s="133"/>
      <c r="AY262" s="133"/>
      <c r="AZ262" s="133"/>
      <c r="BA262" s="133"/>
      <c r="BB262" s="133"/>
      <c r="BC262" s="133"/>
      <c r="BD262" s="133"/>
      <c r="BE262" s="166"/>
      <c r="BF262" s="166"/>
      <c r="BG262" s="166"/>
      <c r="BH262" s="166"/>
      <c r="BI262" s="166"/>
      <c r="BJ262" s="163"/>
      <c r="BK262" s="135"/>
      <c r="BL262" s="166"/>
      <c r="BM262" s="163"/>
      <c r="BN262" s="163"/>
      <c r="BO262" s="163"/>
      <c r="BP262" s="160"/>
      <c r="BQ262" s="166"/>
      <c r="BR262" s="163"/>
      <c r="BS262" s="163"/>
      <c r="BT262" s="199"/>
      <c r="BU262" s="200"/>
      <c r="BV262" s="166"/>
      <c r="BW262" s="163"/>
      <c r="BX262" s="163"/>
      <c r="BY262" s="135"/>
      <c r="BZ262" s="201"/>
      <c r="CA262" s="166"/>
      <c r="CB262" s="167"/>
      <c r="CC262" s="166"/>
      <c r="CD262" s="201"/>
      <c r="CE262" s="201"/>
      <c r="CF262" s="166"/>
      <c r="CG262" s="202"/>
      <c r="CH262" s="202"/>
      <c r="CI262" s="156"/>
      <c r="CJ262" s="166"/>
      <c r="CK262" s="166"/>
      <c r="CL262" s="203"/>
      <c r="CM262" s="203"/>
      <c r="CN262" s="166"/>
      <c r="CO262" s="166"/>
      <c r="CP262" s="166"/>
      <c r="CQ262" s="166"/>
      <c r="CR262" s="166"/>
      <c r="CS262" s="166"/>
      <c r="CT262" s="166"/>
      <c r="CU262" s="166"/>
      <c r="CV262" s="166"/>
      <c r="CW262" s="166"/>
      <c r="CX262" s="166"/>
      <c r="CY262" s="166"/>
      <c r="CZ262" s="166"/>
      <c r="DA262" s="166"/>
      <c r="DB262" s="158"/>
      <c r="DC262" s="164"/>
      <c r="DH262" s="164"/>
      <c r="DR262" s="164"/>
      <c r="DW262" s="164"/>
      <c r="EB262" s="164"/>
      <c r="EG262" s="164"/>
      <c r="FL262" s="111"/>
      <c r="FM262" s="111"/>
    </row>
    <row r="263" spans="1:169" outlineLevel="1">
      <c r="A263" s="106" t="s">
        <v>487</v>
      </c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133"/>
      <c r="W263" s="133"/>
      <c r="X263" s="133"/>
      <c r="Y263" s="133"/>
      <c r="Z263" s="133"/>
      <c r="AA263" s="133"/>
      <c r="AB263" s="133"/>
      <c r="AC263" s="133"/>
      <c r="AD263" s="133"/>
      <c r="AE263" s="133"/>
      <c r="AF263" s="133"/>
      <c r="AG263" s="133"/>
      <c r="AH263" s="133"/>
      <c r="AI263" s="133"/>
      <c r="AJ263" s="133"/>
      <c r="AK263" s="133"/>
      <c r="AL263" s="133"/>
      <c r="AM263" s="133"/>
      <c r="AN263" s="133"/>
      <c r="AO263" s="133"/>
      <c r="AP263" s="133"/>
      <c r="AQ263" s="133"/>
      <c r="AR263" s="133"/>
      <c r="AS263" s="133"/>
      <c r="AT263" s="133"/>
      <c r="AU263" s="133"/>
      <c r="AV263" s="133"/>
      <c r="AW263" s="133"/>
      <c r="AX263" s="133"/>
      <c r="AY263" s="133"/>
      <c r="AZ263" s="204"/>
      <c r="BA263" s="204"/>
      <c r="BB263" s="204"/>
      <c r="BC263" s="204"/>
      <c r="BD263" s="204"/>
      <c r="BE263" s="205"/>
      <c r="BF263" s="205"/>
      <c r="BG263" s="205"/>
      <c r="BH263" s="205"/>
      <c r="BI263" s="205"/>
      <c r="BJ263" s="205"/>
      <c r="BK263" s="205"/>
      <c r="BL263" s="205"/>
      <c r="BM263" s="205"/>
      <c r="BN263" s="205"/>
      <c r="BO263" s="205"/>
      <c r="BP263" s="205"/>
      <c r="BQ263" s="205"/>
      <c r="BR263" s="205"/>
      <c r="BS263" s="205"/>
      <c r="BT263" s="205"/>
      <c r="BU263" s="205"/>
      <c r="BV263" s="205"/>
      <c r="BW263" s="205"/>
      <c r="BX263" s="205"/>
      <c r="BY263" s="205"/>
      <c r="BZ263" s="205"/>
      <c r="CA263" s="205"/>
      <c r="CB263" s="206"/>
      <c r="CC263" s="205"/>
      <c r="CD263" s="205"/>
      <c r="CE263" s="205"/>
      <c r="CF263" s="205"/>
      <c r="CG263" s="205"/>
      <c r="CH263" s="205"/>
      <c r="CI263" s="205"/>
      <c r="CJ263" s="205"/>
      <c r="CK263" s="205"/>
      <c r="CL263" s="205"/>
      <c r="CM263" s="205"/>
      <c r="CN263" s="205"/>
      <c r="CO263" s="205"/>
      <c r="CP263" s="205"/>
      <c r="CQ263" s="205"/>
      <c r="CR263" s="205"/>
      <c r="CS263" s="205"/>
      <c r="CT263" s="205"/>
      <c r="CU263" s="205"/>
      <c r="CV263" s="205"/>
      <c r="CW263" s="205"/>
      <c r="CX263" s="205"/>
      <c r="CY263" s="205"/>
      <c r="CZ263" s="205"/>
      <c r="DA263" s="205"/>
      <c r="DB263" s="158"/>
      <c r="DC263" s="205"/>
      <c r="DD263" s="204"/>
      <c r="DE263" s="204"/>
      <c r="DF263" s="204"/>
      <c r="DH263" s="205"/>
      <c r="DI263" s="204"/>
      <c r="DJ263" s="204"/>
      <c r="DK263" s="204"/>
      <c r="DM263" s="204"/>
      <c r="DN263" s="204"/>
      <c r="DO263" s="204"/>
      <c r="DP263" s="204"/>
      <c r="DR263" s="205"/>
      <c r="DS263" s="204"/>
      <c r="DT263" s="204"/>
      <c r="DU263" s="204"/>
      <c r="DW263" s="205"/>
      <c r="DX263" s="204"/>
      <c r="DY263" s="204"/>
      <c r="DZ263" s="204"/>
      <c r="EB263" s="205"/>
      <c r="EC263" s="204"/>
      <c r="ED263" s="204"/>
      <c r="EE263" s="204"/>
      <c r="EG263" s="205"/>
      <c r="EH263" s="204"/>
      <c r="EI263" s="204"/>
      <c r="EJ263" s="204"/>
      <c r="FL263" s="111"/>
      <c r="FM263" s="111"/>
    </row>
    <row r="264" spans="1:169" outlineLevel="1">
      <c r="A264" s="106" t="s">
        <v>291</v>
      </c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133"/>
      <c r="W264" s="133"/>
      <c r="X264" s="133"/>
      <c r="Y264" s="133"/>
      <c r="Z264" s="133"/>
      <c r="AA264" s="133"/>
      <c r="AB264" s="133"/>
      <c r="AC264" s="133"/>
      <c r="AD264" s="133"/>
      <c r="AE264" s="133"/>
      <c r="AF264" s="133"/>
      <c r="AG264" s="133"/>
      <c r="AH264" s="133"/>
      <c r="AI264" s="133"/>
      <c r="AJ264" s="133"/>
      <c r="AK264" s="133"/>
      <c r="AL264" s="133"/>
      <c r="AM264" s="133"/>
      <c r="AN264" s="133"/>
      <c r="AO264" s="133"/>
      <c r="AP264" s="133"/>
      <c r="AQ264" s="133"/>
      <c r="AR264" s="133"/>
      <c r="AS264" s="133"/>
      <c r="AT264" s="133"/>
      <c r="AU264" s="133"/>
      <c r="AV264" s="133"/>
      <c r="AW264" s="133"/>
      <c r="AX264" s="133"/>
      <c r="AY264" s="133"/>
      <c r="AZ264" s="88"/>
      <c r="BA264" s="88"/>
      <c r="BB264" s="88"/>
      <c r="BC264" s="88"/>
      <c r="BD264" s="88"/>
      <c r="BE264" s="160"/>
      <c r="BF264" s="160"/>
      <c r="BG264" s="160"/>
      <c r="BH264" s="160"/>
      <c r="BI264" s="160"/>
      <c r="BJ264" s="160"/>
      <c r="BK264" s="160"/>
      <c r="BL264" s="160"/>
      <c r="BM264" s="160"/>
      <c r="BN264" s="160"/>
      <c r="BO264" s="160"/>
      <c r="BP264" s="160"/>
      <c r="BQ264" s="160"/>
      <c r="BR264" s="160"/>
      <c r="BS264" s="160"/>
      <c r="BT264" s="160"/>
      <c r="BU264" s="160"/>
      <c r="BV264" s="160"/>
      <c r="BW264" s="160"/>
      <c r="BX264" s="160"/>
      <c r="BY264" s="160"/>
      <c r="BZ264" s="160"/>
      <c r="CA264" s="160"/>
      <c r="CB264" s="169"/>
      <c r="CC264" s="160"/>
      <c r="CD264" s="160"/>
      <c r="CE264" s="160"/>
      <c r="CF264" s="160"/>
      <c r="CG264" s="160"/>
      <c r="CH264" s="160"/>
      <c r="CI264" s="160"/>
      <c r="CJ264" s="160"/>
      <c r="CK264" s="160"/>
      <c r="CL264" s="160"/>
      <c r="CM264" s="160"/>
      <c r="CN264" s="160"/>
      <c r="CO264" s="160"/>
      <c r="CP264" s="160"/>
      <c r="CQ264" s="160"/>
      <c r="CR264" s="160"/>
      <c r="CS264" s="160"/>
      <c r="CT264" s="160"/>
      <c r="CU264" s="160"/>
      <c r="CV264" s="160"/>
      <c r="CW264" s="160"/>
      <c r="CX264" s="160"/>
      <c r="CY264" s="160"/>
      <c r="CZ264" s="160"/>
      <c r="DA264" s="160"/>
      <c r="DB264" s="158"/>
      <c r="DC264" s="160"/>
      <c r="DD264" s="88"/>
      <c r="DE264" s="88"/>
      <c r="DF264" s="88"/>
      <c r="DH264" s="160"/>
      <c r="DI264" s="88"/>
      <c r="DJ264" s="88"/>
      <c r="DK264" s="88"/>
      <c r="DM264" s="88"/>
      <c r="DN264" s="88"/>
      <c r="DO264" s="88"/>
      <c r="DP264" s="88"/>
      <c r="DR264" s="160"/>
      <c r="DS264" s="88"/>
      <c r="DT264" s="88"/>
      <c r="DU264" s="88"/>
      <c r="DW264" s="160"/>
      <c r="DX264" s="88"/>
      <c r="DY264" s="88"/>
      <c r="DZ264" s="88"/>
      <c r="EB264" s="160"/>
      <c r="EC264" s="88"/>
      <c r="ED264" s="88"/>
      <c r="EE264" s="88"/>
      <c r="EG264" s="160"/>
      <c r="EH264" s="88"/>
      <c r="EI264" s="88"/>
      <c r="EJ264" s="88"/>
      <c r="FL264" s="111"/>
      <c r="FM264" s="111"/>
    </row>
    <row r="265" spans="1:169" outlineLevel="1">
      <c r="A265" s="106" t="s">
        <v>488</v>
      </c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AA265" s="85"/>
      <c r="AB265" s="85"/>
      <c r="AC265" s="85"/>
      <c r="AD265" s="85"/>
      <c r="AE265" s="85"/>
      <c r="AF265" s="85"/>
      <c r="AZ265" s="88"/>
      <c r="BA265" s="88"/>
      <c r="BB265" s="88"/>
      <c r="BC265" s="88"/>
      <c r="BD265" s="88"/>
      <c r="BE265" s="160"/>
      <c r="BF265" s="160"/>
      <c r="BG265" s="160"/>
      <c r="BH265" s="160"/>
      <c r="BI265" s="160"/>
      <c r="BJ265" s="160"/>
      <c r="BK265" s="160"/>
      <c r="BL265" s="160"/>
      <c r="BM265" s="160"/>
      <c r="BN265" s="160"/>
      <c r="BO265" s="160"/>
      <c r="BP265" s="160"/>
      <c r="BQ265" s="160"/>
      <c r="BR265" s="160"/>
      <c r="BS265" s="160"/>
      <c r="BT265" s="160"/>
      <c r="BU265" s="160"/>
      <c r="BV265" s="160"/>
      <c r="BW265" s="160"/>
      <c r="BX265" s="160"/>
      <c r="BY265" s="160"/>
      <c r="BZ265" s="160"/>
      <c r="CA265" s="160"/>
      <c r="CB265" s="169"/>
      <c r="CC265" s="160"/>
      <c r="CD265" s="160"/>
      <c r="CE265" s="160"/>
      <c r="CF265" s="160"/>
      <c r="CG265" s="160"/>
      <c r="CH265" s="160"/>
      <c r="CI265" s="160"/>
      <c r="CJ265" s="160"/>
      <c r="CK265" s="160"/>
      <c r="CL265" s="160"/>
      <c r="CM265" s="160"/>
      <c r="CN265" s="160"/>
      <c r="CO265" s="160"/>
      <c r="CP265" s="160"/>
      <c r="CQ265" s="160"/>
      <c r="CR265" s="160"/>
      <c r="CS265" s="160"/>
      <c r="CT265" s="160"/>
      <c r="CU265" s="160"/>
      <c r="CV265" s="160"/>
      <c r="CW265" s="160"/>
      <c r="CX265" s="160"/>
      <c r="CY265" s="160"/>
      <c r="CZ265" s="160"/>
      <c r="DA265" s="160"/>
      <c r="DB265" s="158"/>
      <c r="DC265" s="160"/>
      <c r="DD265" s="88"/>
      <c r="DE265" s="88"/>
      <c r="DF265" s="88"/>
      <c r="DH265" s="160"/>
      <c r="DI265" s="88"/>
      <c r="DJ265" s="88"/>
      <c r="DK265" s="88"/>
      <c r="DM265" s="88"/>
      <c r="DN265" s="88"/>
      <c r="DO265" s="88"/>
      <c r="DP265" s="88"/>
      <c r="DR265" s="160"/>
      <c r="DS265" s="88"/>
      <c r="DT265" s="88"/>
      <c r="DU265" s="88"/>
      <c r="DW265" s="160"/>
      <c r="DX265" s="88"/>
      <c r="DY265" s="88"/>
      <c r="DZ265" s="88"/>
      <c r="EB265" s="160"/>
      <c r="EC265" s="88"/>
      <c r="ED265" s="88"/>
      <c r="EE265" s="88"/>
      <c r="EG265" s="160"/>
      <c r="EH265" s="88"/>
      <c r="EI265" s="88"/>
      <c r="EJ265" s="88"/>
      <c r="FL265" s="111"/>
      <c r="FM265" s="111"/>
    </row>
    <row r="266" spans="1:169" s="176" customFormat="1" outlineLevel="1">
      <c r="A266" s="207" t="s">
        <v>245</v>
      </c>
      <c r="B266" s="208"/>
      <c r="C266" s="208"/>
      <c r="D266" s="208"/>
      <c r="E266" s="208"/>
      <c r="F266" s="208"/>
      <c r="G266" s="208"/>
      <c r="H266" s="208"/>
      <c r="I266" s="208"/>
      <c r="J266" s="208"/>
      <c r="K266" s="208"/>
      <c r="L266" s="208"/>
      <c r="M266" s="208"/>
      <c r="N266" s="208"/>
      <c r="O266" s="208"/>
      <c r="P266" s="208"/>
      <c r="Q266" s="208"/>
      <c r="R266" s="208"/>
      <c r="S266" s="208"/>
      <c r="T266" s="208"/>
      <c r="U266" s="208"/>
      <c r="V266" s="208"/>
      <c r="W266" s="208"/>
      <c r="X266" s="208"/>
      <c r="Y266" s="208"/>
      <c r="Z266" s="208"/>
      <c r="AA266" s="208"/>
      <c r="AB266" s="208"/>
      <c r="AC266" s="208"/>
      <c r="AD266" s="208"/>
      <c r="AE266" s="208"/>
      <c r="AF266" s="208"/>
      <c r="BE266" s="177"/>
      <c r="BF266" s="177"/>
      <c r="BG266" s="177"/>
      <c r="BH266" s="177"/>
      <c r="BI266" s="177"/>
      <c r="BJ266" s="177"/>
      <c r="BK266" s="177"/>
      <c r="BL266" s="177"/>
      <c r="BM266" s="177"/>
      <c r="BN266" s="177"/>
      <c r="BO266" s="177"/>
      <c r="BP266" s="177"/>
      <c r="BQ266" s="177"/>
      <c r="BR266" s="177"/>
      <c r="BS266" s="177"/>
      <c r="BT266" s="177"/>
      <c r="BU266" s="177"/>
      <c r="BV266" s="177"/>
      <c r="BW266" s="177"/>
      <c r="BX266" s="177"/>
      <c r="BY266" s="209"/>
      <c r="BZ266" s="209"/>
      <c r="CA266" s="209"/>
      <c r="CB266" s="210"/>
      <c r="CC266" s="211"/>
      <c r="CD266" s="211"/>
      <c r="CE266" s="211"/>
      <c r="CF266" s="211"/>
      <c r="CG266" s="211"/>
      <c r="CH266" s="211"/>
      <c r="CI266" s="211"/>
      <c r="CJ266" s="211"/>
      <c r="CK266" s="211"/>
      <c r="CL266" s="211"/>
      <c r="CM266" s="211"/>
      <c r="CN266" s="211"/>
      <c r="CO266" s="211"/>
      <c r="CP266" s="211"/>
      <c r="CQ266" s="211"/>
      <c r="CR266" s="211"/>
      <c r="CS266" s="211"/>
      <c r="CT266" s="211"/>
      <c r="CU266" s="211"/>
      <c r="CV266" s="211"/>
      <c r="CW266" s="211"/>
      <c r="CX266" s="212"/>
      <c r="CY266" s="212"/>
      <c r="CZ266" s="212"/>
      <c r="DA266" s="212"/>
      <c r="DB266" s="213"/>
      <c r="DC266" s="212"/>
      <c r="DD266" s="214"/>
      <c r="DE266" s="214"/>
      <c r="DF266" s="214"/>
      <c r="DH266" s="212"/>
      <c r="DI266" s="214"/>
      <c r="DJ266" s="214"/>
      <c r="DK266" s="214"/>
      <c r="DM266" s="214"/>
      <c r="DN266" s="214"/>
      <c r="DO266" s="214"/>
      <c r="DP266" s="214"/>
      <c r="DR266" s="212"/>
      <c r="DS266" s="214"/>
      <c r="DT266" s="214"/>
      <c r="DU266" s="214"/>
      <c r="DW266" s="212"/>
      <c r="DX266" s="214"/>
      <c r="DY266" s="214"/>
      <c r="DZ266" s="214"/>
      <c r="EB266" s="212"/>
      <c r="EC266" s="214"/>
      <c r="ED266" s="214"/>
      <c r="EE266" s="214"/>
      <c r="EG266" s="212"/>
      <c r="EH266" s="214"/>
      <c r="EI266" s="214"/>
      <c r="EJ266" s="214"/>
      <c r="FL266" s="111"/>
      <c r="FM266" s="111"/>
    </row>
    <row r="267" spans="1:169" ht="12" customHeight="1" outlineLevel="1">
      <c r="AD267" s="84"/>
      <c r="AE267" s="84"/>
      <c r="AF267" s="84"/>
      <c r="BY267" s="121"/>
      <c r="BZ267" s="121"/>
      <c r="CA267" s="121"/>
      <c r="CB267" s="215"/>
      <c r="CC267" s="215"/>
      <c r="CD267" s="215"/>
      <c r="CE267" s="215"/>
      <c r="CF267" s="215"/>
      <c r="CG267" s="215"/>
      <c r="CH267" s="215"/>
      <c r="CI267" s="215"/>
      <c r="CJ267" s="215"/>
      <c r="CK267" s="215"/>
      <c r="CL267" s="215"/>
      <c r="CM267" s="215"/>
      <c r="CN267" s="215"/>
      <c r="CO267" s="215"/>
      <c r="CP267" s="215"/>
      <c r="CQ267" s="215"/>
      <c r="CR267" s="215"/>
      <c r="CS267" s="215"/>
      <c r="CT267" s="215"/>
      <c r="CU267" s="215"/>
      <c r="CV267" s="215"/>
      <c r="CW267" s="215"/>
      <c r="CX267" s="215"/>
      <c r="CY267" s="215"/>
      <c r="CZ267" s="215"/>
      <c r="DA267" s="215"/>
      <c r="FL267" s="111"/>
      <c r="FM267" s="111"/>
    </row>
    <row r="268" spans="1:169" outlineLevel="1">
      <c r="A268" s="216" t="s">
        <v>489</v>
      </c>
      <c r="AD268" s="84"/>
      <c r="AE268" s="84"/>
      <c r="AF268" s="84"/>
      <c r="BY268" s="121"/>
      <c r="BZ268" s="121"/>
      <c r="CA268" s="121"/>
      <c r="CB268" s="215"/>
      <c r="CC268" s="215"/>
      <c r="CD268" s="215"/>
      <c r="CE268" s="215"/>
      <c r="CF268" s="215"/>
      <c r="CG268" s="215"/>
      <c r="CH268" s="215"/>
      <c r="CI268" s="215"/>
      <c r="CJ268" s="107"/>
      <c r="CK268" s="215"/>
      <c r="CL268" s="215"/>
      <c r="CM268" s="215"/>
      <c r="CN268" s="107"/>
      <c r="CO268" s="107"/>
      <c r="CP268" s="107"/>
      <c r="CQ268" s="215"/>
      <c r="CR268" s="215"/>
      <c r="CS268" s="215"/>
      <c r="CT268" s="215"/>
      <c r="CU268" s="215"/>
      <c r="CV268" s="215"/>
      <c r="CW268" s="215"/>
      <c r="CX268" s="215"/>
      <c r="CY268" s="215"/>
      <c r="CZ268" s="215"/>
      <c r="DA268" s="215"/>
      <c r="FL268" s="111"/>
      <c r="FM268" s="111"/>
    </row>
    <row r="269" spans="1:169" outlineLevel="1">
      <c r="A269" s="83" t="s">
        <v>292</v>
      </c>
      <c r="AD269" s="84"/>
      <c r="AE269" s="84"/>
      <c r="AF269" s="84"/>
      <c r="BY269" s="121"/>
      <c r="BZ269" s="121"/>
      <c r="CA269" s="121"/>
      <c r="CB269" s="215"/>
      <c r="CC269" s="215"/>
      <c r="CD269" s="215"/>
      <c r="CE269" s="215"/>
      <c r="CF269" s="215"/>
      <c r="CG269" s="215"/>
      <c r="CH269" s="215"/>
      <c r="CI269" s="215"/>
      <c r="CJ269" s="217"/>
      <c r="CK269" s="215"/>
      <c r="CL269" s="215"/>
      <c r="CM269" s="215"/>
      <c r="CN269" s="217"/>
      <c r="CO269" s="217"/>
      <c r="CP269" s="217"/>
      <c r="CQ269" s="215"/>
      <c r="CR269" s="215"/>
      <c r="CS269" s="215"/>
      <c r="CT269" s="215"/>
      <c r="CU269" s="215"/>
      <c r="CV269" s="215"/>
      <c r="CW269" s="215"/>
      <c r="CX269" s="215"/>
      <c r="CY269" s="215"/>
      <c r="CZ269" s="215"/>
      <c r="DA269" s="215"/>
      <c r="FL269" s="111"/>
      <c r="FM269" s="111"/>
    </row>
    <row r="270" spans="1:169" outlineLevel="1">
      <c r="A270" s="132" t="s">
        <v>226</v>
      </c>
      <c r="AD270" s="84"/>
      <c r="AE270" s="84"/>
      <c r="AF270" s="84"/>
      <c r="BY270" s="121"/>
      <c r="BZ270" s="121"/>
      <c r="CA270" s="121"/>
      <c r="CB270" s="215"/>
      <c r="CC270" s="215"/>
      <c r="CD270" s="215"/>
      <c r="CE270" s="215"/>
      <c r="CF270" s="215"/>
      <c r="CG270" s="215"/>
      <c r="CH270" s="215"/>
      <c r="CI270" s="215"/>
      <c r="CJ270" s="107"/>
      <c r="CK270" s="215"/>
      <c r="CL270" s="215"/>
      <c r="CM270" s="215"/>
      <c r="CN270" s="107"/>
      <c r="CO270" s="107"/>
      <c r="CP270" s="107"/>
      <c r="CQ270" s="218"/>
      <c r="CR270" s="218"/>
      <c r="CS270" s="215"/>
      <c r="CT270" s="215"/>
      <c r="CU270" s="215"/>
      <c r="CV270" s="215"/>
      <c r="CW270" s="215"/>
      <c r="CX270" s="215"/>
      <c r="CY270" s="215"/>
      <c r="CZ270" s="215"/>
      <c r="DA270" s="215"/>
      <c r="FL270" s="111"/>
      <c r="FM270" s="111"/>
    </row>
    <row r="271" spans="1:169" outlineLevel="1">
      <c r="A271" s="132"/>
      <c r="AD271" s="84"/>
      <c r="AE271" s="84"/>
      <c r="AF271" s="84"/>
      <c r="BY271" s="121"/>
      <c r="BZ271" s="121"/>
      <c r="CA271" s="121"/>
      <c r="CB271" s="215"/>
      <c r="CC271" s="215"/>
      <c r="CD271" s="215"/>
      <c r="CE271" s="215"/>
      <c r="CF271" s="215"/>
      <c r="CG271" s="215"/>
      <c r="CH271" s="215"/>
      <c r="CI271" s="215"/>
      <c r="CJ271" s="215"/>
      <c r="CK271" s="215"/>
      <c r="CL271" s="215"/>
      <c r="CM271" s="215"/>
      <c r="CN271" s="107"/>
      <c r="CO271" s="218"/>
      <c r="CP271" s="218"/>
      <c r="CQ271" s="215"/>
      <c r="CR271" s="215"/>
      <c r="CS271" s="215"/>
      <c r="CT271" s="215"/>
      <c r="CU271" s="215"/>
      <c r="CV271" s="215"/>
      <c r="CW271" s="215"/>
      <c r="CX271" s="215"/>
      <c r="CY271" s="215"/>
      <c r="CZ271" s="215"/>
      <c r="DA271" s="215"/>
      <c r="FL271" s="111"/>
      <c r="FM271" s="111"/>
    </row>
    <row r="272" spans="1:169" outlineLevel="1">
      <c r="A272" s="132" t="s">
        <v>490</v>
      </c>
      <c r="AD272" s="84"/>
      <c r="AE272" s="84"/>
      <c r="AF272" s="84"/>
      <c r="BY272" s="121"/>
      <c r="BZ272" s="121"/>
      <c r="CA272" s="121"/>
      <c r="CB272" s="215"/>
      <c r="CC272" s="215"/>
      <c r="CD272" s="215"/>
      <c r="CE272" s="215"/>
      <c r="CF272" s="215"/>
      <c r="CG272" s="215"/>
      <c r="CH272" s="215"/>
      <c r="CI272" s="215"/>
      <c r="CJ272" s="107"/>
      <c r="CK272" s="215"/>
      <c r="CL272" s="215"/>
      <c r="CM272" s="215"/>
      <c r="CN272" s="107"/>
      <c r="CO272" s="107"/>
      <c r="CP272" s="107"/>
      <c r="CQ272" s="215"/>
      <c r="CR272" s="215"/>
      <c r="CS272" s="215"/>
      <c r="CT272" s="215"/>
      <c r="CU272" s="215"/>
      <c r="CV272" s="215"/>
      <c r="CW272" s="215"/>
      <c r="CX272" s="215"/>
      <c r="CY272" s="215"/>
      <c r="CZ272" s="215"/>
      <c r="DA272" s="215"/>
      <c r="FL272" s="111"/>
      <c r="FM272" s="111"/>
    </row>
    <row r="273" spans="1:169" outlineLevel="1">
      <c r="A273" s="132"/>
      <c r="AD273" s="84"/>
      <c r="AE273" s="84"/>
      <c r="AF273" s="84"/>
      <c r="BY273" s="121"/>
      <c r="BZ273" s="121"/>
      <c r="CA273" s="121"/>
      <c r="CB273" s="215"/>
      <c r="CC273" s="215"/>
      <c r="CD273" s="215"/>
      <c r="CE273" s="215"/>
      <c r="CF273" s="215"/>
      <c r="CG273" s="215"/>
      <c r="CH273" s="215"/>
      <c r="CI273" s="215"/>
      <c r="CJ273" s="215"/>
      <c r="CK273" s="215"/>
      <c r="CL273" s="215"/>
      <c r="CM273" s="215"/>
      <c r="CN273" s="107"/>
      <c r="CO273" s="218"/>
      <c r="CP273" s="218"/>
      <c r="CQ273" s="215"/>
      <c r="CR273" s="215"/>
      <c r="CS273" s="215"/>
      <c r="CT273" s="215"/>
      <c r="CU273" s="215"/>
      <c r="CV273" s="215"/>
      <c r="CW273" s="215"/>
      <c r="CX273" s="215"/>
      <c r="CY273" s="215"/>
      <c r="CZ273" s="215"/>
      <c r="DA273" s="215"/>
      <c r="FL273" s="111"/>
      <c r="FM273" s="111"/>
    </row>
    <row r="274" spans="1:169" outlineLevel="1">
      <c r="A274" s="132" t="s">
        <v>491</v>
      </c>
      <c r="AD274" s="84"/>
      <c r="AE274" s="84"/>
      <c r="AF274" s="84"/>
      <c r="BY274" s="121"/>
      <c r="BZ274" s="121"/>
      <c r="CA274" s="121"/>
      <c r="CB274" s="215"/>
      <c r="CC274" s="215"/>
      <c r="CD274" s="215"/>
      <c r="CE274" s="215"/>
      <c r="CF274" s="215"/>
      <c r="CG274" s="215"/>
      <c r="CH274" s="215"/>
      <c r="CI274" s="215"/>
      <c r="CJ274" s="219"/>
      <c r="CK274" s="215"/>
      <c r="CL274" s="215"/>
      <c r="CM274" s="215"/>
      <c r="CN274" s="107"/>
      <c r="CO274" s="107"/>
      <c r="CP274" s="107"/>
      <c r="CQ274" s="215"/>
      <c r="CR274" s="215"/>
      <c r="CS274" s="215"/>
      <c r="CT274" s="215"/>
      <c r="CU274" s="215"/>
      <c r="CV274" s="215"/>
      <c r="CW274" s="215"/>
      <c r="CX274" s="215"/>
      <c r="CY274" s="215"/>
      <c r="CZ274" s="215"/>
      <c r="DA274" s="215"/>
      <c r="FL274" s="111"/>
      <c r="FM274" s="111"/>
    </row>
    <row r="275" spans="1:169" outlineLevel="1">
      <c r="A275" s="132"/>
      <c r="AD275" s="84"/>
      <c r="AE275" s="84"/>
      <c r="AF275" s="84"/>
      <c r="BY275" s="121"/>
      <c r="BZ275" s="121"/>
      <c r="CA275" s="121"/>
      <c r="CB275" s="215"/>
      <c r="CC275" s="215"/>
      <c r="CD275" s="215"/>
      <c r="CE275" s="215"/>
      <c r="CF275" s="215"/>
      <c r="CG275" s="215"/>
      <c r="CH275" s="215"/>
      <c r="CI275" s="215"/>
      <c r="CJ275" s="215"/>
      <c r="CK275" s="215"/>
      <c r="CL275" s="215"/>
      <c r="CM275" s="215"/>
      <c r="CN275" s="107"/>
      <c r="CO275" s="218"/>
      <c r="CP275" s="218"/>
      <c r="CQ275" s="215"/>
      <c r="CR275" s="215"/>
      <c r="CS275" s="215"/>
      <c r="CT275" s="215"/>
      <c r="CU275" s="215"/>
      <c r="CV275" s="215"/>
      <c r="CW275" s="215"/>
      <c r="CX275" s="215"/>
      <c r="CY275" s="215"/>
      <c r="CZ275" s="215"/>
      <c r="DA275" s="215"/>
      <c r="FL275" s="111"/>
      <c r="FM275" s="111"/>
    </row>
    <row r="276" spans="1:169" outlineLevel="1">
      <c r="A276" s="132" t="s">
        <v>492</v>
      </c>
      <c r="AD276" s="84"/>
      <c r="AE276" s="84"/>
      <c r="AF276" s="84"/>
      <c r="BY276" s="121"/>
      <c r="BZ276" s="121"/>
      <c r="CA276" s="121"/>
      <c r="CB276" s="215"/>
      <c r="CC276" s="215"/>
      <c r="CD276" s="215"/>
      <c r="CE276" s="215"/>
      <c r="CF276" s="215"/>
      <c r="CG276" s="215"/>
      <c r="CH276" s="215"/>
      <c r="CI276" s="215"/>
      <c r="CJ276" s="107"/>
      <c r="CK276" s="215"/>
      <c r="CL276" s="215"/>
      <c r="CM276" s="215"/>
      <c r="CN276" s="107"/>
      <c r="CO276" s="107"/>
      <c r="CP276" s="220"/>
      <c r="CQ276" s="215"/>
      <c r="CR276" s="215"/>
      <c r="CS276" s="215"/>
      <c r="CT276" s="215"/>
      <c r="CU276" s="215"/>
      <c r="CV276" s="215"/>
      <c r="CW276" s="215"/>
      <c r="CX276" s="215"/>
      <c r="CY276" s="215"/>
      <c r="CZ276" s="215"/>
      <c r="DA276" s="215"/>
      <c r="FL276" s="111"/>
      <c r="FM276" s="111"/>
    </row>
    <row r="277" spans="1:169" outlineLevel="1">
      <c r="A277" s="132"/>
      <c r="AD277" s="84"/>
      <c r="AE277" s="84"/>
      <c r="AF277" s="84"/>
      <c r="BY277" s="121"/>
      <c r="BZ277" s="121"/>
      <c r="CA277" s="121"/>
      <c r="CB277" s="215"/>
      <c r="CC277" s="215"/>
      <c r="CD277" s="215"/>
      <c r="CE277" s="215"/>
      <c r="CF277" s="215"/>
      <c r="CG277" s="215"/>
      <c r="CH277" s="215"/>
      <c r="CI277" s="215"/>
      <c r="CJ277" s="215"/>
      <c r="CK277" s="215"/>
      <c r="CL277" s="215"/>
      <c r="CM277" s="215"/>
      <c r="CN277" s="107"/>
      <c r="CO277" s="218"/>
      <c r="CP277" s="218"/>
      <c r="CQ277" s="215"/>
      <c r="CR277" s="215"/>
      <c r="CS277" s="215"/>
      <c r="CT277" s="215"/>
      <c r="CU277" s="215"/>
      <c r="CV277" s="215"/>
      <c r="CW277" s="215"/>
      <c r="CX277" s="215"/>
      <c r="CY277" s="215"/>
      <c r="CZ277" s="215"/>
      <c r="DA277" s="215"/>
      <c r="FL277" s="111"/>
      <c r="FM277" s="111"/>
    </row>
    <row r="278" spans="1:169" outlineLevel="1">
      <c r="A278" s="83" t="s">
        <v>291</v>
      </c>
      <c r="AD278" s="84"/>
      <c r="AE278" s="84"/>
      <c r="AF278" s="84"/>
      <c r="BY278" s="121"/>
      <c r="BZ278" s="121"/>
      <c r="CA278" s="121"/>
      <c r="CB278" s="215"/>
      <c r="CC278" s="215"/>
      <c r="CD278" s="215"/>
      <c r="CE278" s="215"/>
      <c r="CF278" s="215"/>
      <c r="CG278" s="215"/>
      <c r="CH278" s="215"/>
      <c r="CI278" s="215"/>
      <c r="CJ278" s="217"/>
      <c r="CK278" s="215"/>
      <c r="CL278" s="215"/>
      <c r="CM278" s="215"/>
      <c r="CN278" s="217"/>
      <c r="CO278" s="217"/>
      <c r="CP278" s="217"/>
      <c r="CQ278" s="215"/>
      <c r="CR278" s="215"/>
      <c r="CS278" s="215"/>
      <c r="CT278" s="215"/>
      <c r="CU278" s="215"/>
      <c r="CV278" s="215"/>
      <c r="CW278" s="215"/>
      <c r="CX278" s="215"/>
      <c r="CY278" s="215"/>
      <c r="CZ278" s="215"/>
      <c r="DA278" s="215"/>
      <c r="FL278" s="111"/>
      <c r="FM278" s="111"/>
    </row>
    <row r="279" spans="1:169" outlineLevel="1">
      <c r="A279" s="132" t="s">
        <v>493</v>
      </c>
      <c r="AD279" s="84"/>
      <c r="AE279" s="84"/>
      <c r="AF279" s="84"/>
      <c r="BY279" s="121"/>
      <c r="BZ279" s="121"/>
      <c r="CA279" s="121"/>
      <c r="CB279" s="215"/>
      <c r="CC279" s="215"/>
      <c r="CD279" s="215"/>
      <c r="CE279" s="215"/>
      <c r="CF279" s="215"/>
      <c r="CG279" s="215"/>
      <c r="CH279" s="215"/>
      <c r="CI279" s="215"/>
      <c r="CJ279" s="107"/>
      <c r="CK279" s="215"/>
      <c r="CL279" s="215"/>
      <c r="CM279" s="215"/>
      <c r="CN279" s="107"/>
      <c r="CO279" s="107"/>
      <c r="CP279" s="107"/>
      <c r="CQ279" s="215"/>
      <c r="CR279" s="215"/>
      <c r="CS279" s="215"/>
      <c r="CT279" s="215"/>
      <c r="CU279" s="215"/>
      <c r="CV279" s="215"/>
      <c r="CW279" s="215"/>
      <c r="CX279" s="215"/>
      <c r="CY279" s="215"/>
      <c r="CZ279" s="215"/>
      <c r="DA279" s="215"/>
      <c r="FL279" s="111"/>
      <c r="FM279" s="111"/>
    </row>
    <row r="280" spans="1:169" outlineLevel="1">
      <c r="A280" s="132"/>
      <c r="AD280" s="84"/>
      <c r="AE280" s="84"/>
      <c r="AF280" s="84"/>
      <c r="BY280" s="121"/>
      <c r="BZ280" s="121"/>
      <c r="CA280" s="121"/>
      <c r="CB280" s="215"/>
      <c r="CC280" s="215"/>
      <c r="CD280" s="215"/>
      <c r="CE280" s="215"/>
      <c r="CF280" s="215"/>
      <c r="CG280" s="215"/>
      <c r="CH280" s="215"/>
      <c r="CI280" s="215"/>
      <c r="CJ280" s="215"/>
      <c r="CK280" s="215"/>
      <c r="CL280" s="215"/>
      <c r="CM280" s="215"/>
      <c r="CN280" s="107"/>
      <c r="CO280" s="218"/>
      <c r="CP280" s="218"/>
      <c r="CQ280" s="215"/>
      <c r="CR280" s="215"/>
      <c r="CS280" s="215"/>
      <c r="CT280" s="215"/>
      <c r="CU280" s="215"/>
      <c r="CV280" s="215"/>
      <c r="CW280" s="215"/>
      <c r="CX280" s="215"/>
      <c r="CY280" s="215"/>
      <c r="CZ280" s="215"/>
      <c r="DA280" s="215"/>
      <c r="FL280" s="111"/>
      <c r="FM280" s="111"/>
    </row>
    <row r="281" spans="1:169" outlineLevel="1">
      <c r="A281" s="132" t="s">
        <v>494</v>
      </c>
      <c r="AD281" s="84"/>
      <c r="AE281" s="84"/>
      <c r="AF281" s="84"/>
      <c r="BY281" s="121"/>
      <c r="BZ281" s="121"/>
      <c r="CA281" s="121"/>
      <c r="CB281" s="215"/>
      <c r="CC281" s="215"/>
      <c r="CD281" s="215"/>
      <c r="CE281" s="215"/>
      <c r="CF281" s="215"/>
      <c r="CG281" s="215"/>
      <c r="CH281" s="215"/>
      <c r="CI281" s="215"/>
      <c r="CJ281" s="107"/>
      <c r="CK281" s="215"/>
      <c r="CL281" s="215"/>
      <c r="CM281" s="215"/>
      <c r="CN281" s="107"/>
      <c r="CO281" s="107"/>
      <c r="CP281" s="107"/>
      <c r="CQ281" s="215"/>
      <c r="CR281" s="215"/>
      <c r="CS281" s="215"/>
      <c r="CT281" s="215"/>
      <c r="CU281" s="215"/>
      <c r="CV281" s="215"/>
      <c r="CW281" s="215"/>
      <c r="CX281" s="215"/>
      <c r="CY281" s="215"/>
      <c r="CZ281" s="215"/>
      <c r="DA281" s="215"/>
      <c r="FL281" s="111"/>
      <c r="FM281" s="111"/>
    </row>
    <row r="282" spans="1:169" outlineLevel="1">
      <c r="A282" s="132"/>
      <c r="AD282" s="84"/>
      <c r="AE282" s="84"/>
      <c r="AF282" s="84"/>
      <c r="BY282" s="121"/>
      <c r="BZ282" s="121"/>
      <c r="CA282" s="121"/>
      <c r="CB282" s="215"/>
      <c r="CC282" s="215"/>
      <c r="CD282" s="215"/>
      <c r="CE282" s="215"/>
      <c r="CF282" s="215"/>
      <c r="CG282" s="215"/>
      <c r="CH282" s="215"/>
      <c r="CI282" s="215"/>
      <c r="CJ282" s="215"/>
      <c r="CK282" s="215"/>
      <c r="CL282" s="215"/>
      <c r="CM282" s="215"/>
      <c r="CN282" s="107"/>
      <c r="CO282" s="218"/>
      <c r="CP282" s="218"/>
      <c r="CQ282" s="215"/>
      <c r="CR282" s="215"/>
      <c r="CS282" s="215"/>
      <c r="CT282" s="215"/>
      <c r="CU282" s="215"/>
      <c r="CV282" s="215"/>
      <c r="CW282" s="215"/>
      <c r="CX282" s="215"/>
      <c r="CY282" s="215"/>
      <c r="CZ282" s="215"/>
      <c r="DA282" s="215"/>
      <c r="FL282" s="111"/>
      <c r="FM282" s="111"/>
    </row>
    <row r="283" spans="1:169" outlineLevel="1">
      <c r="A283" s="83" t="s">
        <v>242</v>
      </c>
      <c r="AD283" s="84"/>
      <c r="AE283" s="84"/>
      <c r="AF283" s="84"/>
      <c r="BY283" s="121"/>
      <c r="BZ283" s="121"/>
      <c r="CA283" s="121"/>
      <c r="CB283" s="215"/>
      <c r="CC283" s="215"/>
      <c r="CD283" s="215"/>
      <c r="CE283" s="215"/>
      <c r="CF283" s="215"/>
      <c r="CG283" s="215"/>
      <c r="CH283" s="215"/>
      <c r="CI283" s="215"/>
      <c r="CJ283" s="107"/>
      <c r="CK283" s="215"/>
      <c r="CL283" s="215"/>
      <c r="CM283" s="215"/>
      <c r="CN283" s="217"/>
      <c r="CO283" s="107"/>
      <c r="CP283" s="107"/>
      <c r="CQ283" s="215"/>
      <c r="CR283" s="215"/>
      <c r="CS283" s="215"/>
      <c r="CT283" s="215"/>
      <c r="CU283" s="215"/>
      <c r="CV283" s="215"/>
      <c r="CW283" s="215"/>
      <c r="CX283" s="215"/>
      <c r="CY283" s="215"/>
      <c r="CZ283" s="215"/>
      <c r="DA283" s="215"/>
      <c r="FL283" s="111"/>
      <c r="FM283" s="111"/>
    </row>
    <row r="284" spans="1:169" outlineLevel="1">
      <c r="AD284" s="84"/>
      <c r="AE284" s="84"/>
      <c r="AF284" s="84"/>
      <c r="FL284" s="111"/>
      <c r="FM284" s="111"/>
    </row>
    <row r="285" spans="1:169" outlineLevel="1">
      <c r="A285" s="216" t="s">
        <v>495</v>
      </c>
      <c r="AD285" s="84"/>
      <c r="AE285" s="84"/>
      <c r="AF285" s="84"/>
      <c r="FL285" s="111"/>
      <c r="FM285" s="111"/>
    </row>
    <row r="286" spans="1:169" outlineLevel="1">
      <c r="A286" s="83" t="s">
        <v>292</v>
      </c>
      <c r="AD286" s="84"/>
      <c r="AE286" s="84"/>
      <c r="AF286" s="84"/>
      <c r="CJ286" s="221"/>
      <c r="CN286" s="221"/>
      <c r="CO286" s="221"/>
      <c r="CP286" s="221"/>
      <c r="FL286" s="111"/>
      <c r="FM286" s="111"/>
    </row>
    <row r="287" spans="1:169" outlineLevel="1">
      <c r="A287" s="132" t="s">
        <v>496</v>
      </c>
      <c r="AD287" s="84"/>
      <c r="AE287" s="84"/>
      <c r="AF287" s="84"/>
      <c r="CJ287" s="218"/>
      <c r="CN287" s="218"/>
      <c r="CO287" s="218"/>
      <c r="CP287" s="218"/>
      <c r="FL287" s="111"/>
      <c r="FM287" s="111"/>
    </row>
    <row r="288" spans="1:169" outlineLevel="1">
      <c r="A288" s="132" t="s">
        <v>490</v>
      </c>
      <c r="AD288" s="84"/>
      <c r="AE288" s="84"/>
      <c r="AF288" s="84"/>
      <c r="CJ288" s="218"/>
      <c r="CN288" s="218"/>
      <c r="CO288" s="218"/>
      <c r="CP288" s="218"/>
      <c r="FL288" s="111"/>
      <c r="FM288" s="111"/>
    </row>
    <row r="289" spans="1:169" outlineLevel="1">
      <c r="A289" s="132" t="s">
        <v>491</v>
      </c>
      <c r="AD289" s="84"/>
      <c r="AE289" s="84"/>
      <c r="AF289" s="84"/>
      <c r="CJ289" s="218"/>
      <c r="CN289" s="218"/>
      <c r="CO289" s="218"/>
      <c r="CP289" s="218"/>
      <c r="FL289" s="111"/>
      <c r="FM289" s="111"/>
    </row>
    <row r="290" spans="1:169" outlineLevel="1">
      <c r="A290" s="132" t="s">
        <v>492</v>
      </c>
      <c r="AD290" s="84"/>
      <c r="AE290" s="84"/>
      <c r="AF290" s="84"/>
      <c r="CJ290" s="218"/>
      <c r="CN290" s="218"/>
      <c r="CO290" s="218"/>
      <c r="CP290" s="218"/>
      <c r="FL290" s="111"/>
      <c r="FM290" s="111"/>
    </row>
    <row r="291" spans="1:169" outlineLevel="1">
      <c r="A291" s="83" t="s">
        <v>497</v>
      </c>
      <c r="AD291" s="84"/>
      <c r="AE291" s="84"/>
      <c r="AF291" s="84"/>
      <c r="CJ291" s="221"/>
      <c r="CN291" s="221"/>
      <c r="CO291" s="221"/>
      <c r="CP291" s="221"/>
      <c r="FL291" s="111"/>
      <c r="FM291" s="111"/>
    </row>
    <row r="292" spans="1:169" outlineLevel="1">
      <c r="A292" s="132" t="s">
        <v>493</v>
      </c>
      <c r="AD292" s="84"/>
      <c r="AE292" s="84"/>
      <c r="AF292" s="84"/>
      <c r="CJ292" s="218"/>
      <c r="CN292" s="218"/>
      <c r="CO292" s="218"/>
      <c r="CP292" s="218"/>
      <c r="FL292" s="111"/>
      <c r="FM292" s="111"/>
    </row>
    <row r="293" spans="1:169" outlineLevel="1">
      <c r="A293" s="132" t="s">
        <v>498</v>
      </c>
      <c r="AD293" s="84"/>
      <c r="AE293" s="84"/>
      <c r="AF293" s="84"/>
      <c r="CJ293" s="218"/>
      <c r="CN293" s="218"/>
      <c r="CO293" s="218"/>
      <c r="CP293" s="218"/>
      <c r="FL293" s="111"/>
      <c r="FM293" s="111"/>
    </row>
    <row r="294" spans="1:169" outlineLevel="1">
      <c r="A294" s="83" t="s">
        <v>242</v>
      </c>
      <c r="AD294" s="84"/>
      <c r="AE294" s="84"/>
      <c r="AF294" s="84"/>
      <c r="CJ294" s="221"/>
      <c r="CN294" s="221"/>
      <c r="CO294" s="221"/>
      <c r="CP294" s="221"/>
      <c r="FL294" s="111"/>
      <c r="FM294" s="111"/>
    </row>
    <row r="295" spans="1:169">
      <c r="A295" s="222"/>
      <c r="AD295" s="84"/>
      <c r="AE295" s="84"/>
      <c r="AF295" s="84"/>
      <c r="AG295" s="84"/>
      <c r="AH295" s="84"/>
      <c r="AW295" s="136"/>
      <c r="BP295" s="134"/>
      <c r="BQ295" s="134"/>
      <c r="CD295" s="86"/>
      <c r="CE295" s="86"/>
      <c r="CF295" s="86"/>
      <c r="CG295" s="86"/>
      <c r="CH295" s="86"/>
      <c r="FL295" s="111"/>
      <c r="FM295" s="111"/>
    </row>
    <row r="296" spans="1:169" outlineLevel="2"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  <c r="AA296" s="85"/>
      <c r="AB296" s="85"/>
      <c r="AC296" s="85"/>
      <c r="AD296" s="84"/>
      <c r="AE296" s="84"/>
      <c r="AF296" s="84"/>
      <c r="AZ296" s="153"/>
      <c r="DB296" s="85"/>
      <c r="FL296" s="111"/>
      <c r="FM296" s="111"/>
    </row>
    <row r="297" spans="1:169"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  <c r="AA297" s="85"/>
      <c r="AB297" s="85"/>
      <c r="AC297" s="85"/>
      <c r="AD297" s="84"/>
      <c r="AE297" s="84"/>
      <c r="AF297" s="84"/>
      <c r="DB297" s="85"/>
      <c r="FL297" s="111"/>
      <c r="FM297" s="111"/>
    </row>
    <row r="298" spans="1:169"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  <c r="AA298" s="85"/>
      <c r="AB298" s="85"/>
      <c r="AC298" s="85"/>
      <c r="AD298" s="84"/>
      <c r="AE298" s="84"/>
      <c r="AF298" s="84"/>
      <c r="AZ298" s="153"/>
      <c r="DB298" s="85"/>
      <c r="FL298" s="111"/>
      <c r="FM298" s="111"/>
    </row>
    <row r="299" spans="1:169"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  <c r="AA299" s="85"/>
      <c r="AB299" s="85"/>
      <c r="AC299" s="85"/>
      <c r="AD299" s="84"/>
      <c r="AE299" s="84"/>
      <c r="AF299" s="84"/>
      <c r="DB299" s="85"/>
      <c r="FL299" s="111"/>
      <c r="FM299" s="111"/>
    </row>
    <row r="300" spans="1:169"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  <c r="AA300" s="85"/>
      <c r="AB300" s="85"/>
      <c r="AC300" s="85"/>
      <c r="AD300" s="84"/>
      <c r="AE300" s="84"/>
      <c r="AF300" s="84"/>
      <c r="DB300" s="85"/>
    </row>
    <row r="301" spans="1:169"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  <c r="AA301" s="85"/>
      <c r="AB301" s="85"/>
      <c r="AC301" s="85"/>
      <c r="AD301" s="84"/>
      <c r="AE301" s="84"/>
      <c r="AF301" s="84"/>
      <c r="DB301" s="85"/>
    </row>
    <row r="302" spans="1:169"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  <c r="AA302" s="85"/>
      <c r="AB302" s="85"/>
      <c r="AC302" s="85"/>
      <c r="AD302" s="84"/>
      <c r="AE302" s="84"/>
      <c r="AF302" s="84"/>
      <c r="DB302" s="85"/>
    </row>
    <row r="303" spans="1:169"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  <c r="AA303" s="85"/>
      <c r="AB303" s="85"/>
      <c r="AC303" s="85"/>
      <c r="AD303" s="84"/>
      <c r="AE303" s="84"/>
      <c r="AF303" s="84"/>
      <c r="DB303" s="85"/>
    </row>
    <row r="304" spans="1:169"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  <c r="AA304" s="85"/>
      <c r="AB304" s="85"/>
      <c r="AC304" s="85"/>
      <c r="AD304" s="84"/>
      <c r="AE304" s="84"/>
      <c r="AF304" s="84"/>
      <c r="DB304" s="85"/>
    </row>
    <row r="305" spans="2:106"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  <c r="AA305" s="85"/>
      <c r="AB305" s="85"/>
      <c r="AC305" s="85"/>
      <c r="AD305" s="84"/>
      <c r="AE305" s="84"/>
      <c r="AF305" s="84"/>
      <c r="DB305" s="85"/>
    </row>
    <row r="306" spans="2:106"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  <c r="AA306" s="85"/>
      <c r="AB306" s="85"/>
      <c r="AC306" s="85"/>
      <c r="AD306" s="84"/>
      <c r="AE306" s="84"/>
      <c r="AF306" s="84"/>
      <c r="DB306" s="85"/>
    </row>
    <row r="307" spans="2:106"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4"/>
      <c r="AE307" s="84"/>
      <c r="AF307" s="84"/>
      <c r="DB307" s="85"/>
    </row>
    <row r="308" spans="2:106"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  <c r="AA308" s="85"/>
      <c r="AB308" s="85"/>
      <c r="AC308" s="85"/>
      <c r="AD308" s="84"/>
      <c r="AE308" s="84"/>
      <c r="AF308" s="84"/>
      <c r="DB308" s="85"/>
    </row>
    <row r="309" spans="2:106"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  <c r="AA309" s="85"/>
      <c r="AB309" s="85"/>
      <c r="AC309" s="85"/>
      <c r="AD309" s="84"/>
      <c r="AE309" s="84"/>
      <c r="AF309" s="84"/>
      <c r="DB309" s="85"/>
    </row>
    <row r="310" spans="2:106"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  <c r="AA310" s="85"/>
      <c r="AB310" s="85"/>
      <c r="AC310" s="85"/>
      <c r="AD310" s="84"/>
      <c r="AE310" s="84"/>
      <c r="AF310" s="84"/>
      <c r="DB310" s="85"/>
    </row>
    <row r="311" spans="2:106"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  <c r="AA311" s="85"/>
      <c r="AB311" s="85"/>
      <c r="AC311" s="85"/>
      <c r="AD311" s="84"/>
      <c r="AE311" s="84"/>
      <c r="AF311" s="84"/>
      <c r="DB311" s="85"/>
    </row>
    <row r="312" spans="2:106"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  <c r="AA312" s="85"/>
      <c r="AB312" s="85"/>
      <c r="AC312" s="85"/>
      <c r="AD312" s="84"/>
      <c r="AE312" s="84"/>
      <c r="AF312" s="84"/>
      <c r="DB312" s="85"/>
    </row>
    <row r="313" spans="2:106"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  <c r="AA313" s="85"/>
      <c r="AB313" s="85"/>
      <c r="AC313" s="85"/>
      <c r="AD313" s="84"/>
      <c r="AE313" s="84"/>
      <c r="AF313" s="84"/>
      <c r="DB313" s="85"/>
    </row>
    <row r="314" spans="2:106"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  <c r="AA314" s="85"/>
      <c r="AB314" s="85"/>
      <c r="AC314" s="85"/>
      <c r="AD314" s="84"/>
      <c r="AE314" s="84"/>
      <c r="AF314" s="84"/>
      <c r="DB314" s="85"/>
    </row>
    <row r="315" spans="2:106"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  <c r="AA315" s="85"/>
      <c r="AB315" s="85"/>
      <c r="AC315" s="85"/>
      <c r="AD315" s="84"/>
      <c r="AE315" s="84"/>
      <c r="AF315" s="84"/>
      <c r="DB315" s="85"/>
    </row>
    <row r="316" spans="2:106"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  <c r="AA316" s="85"/>
      <c r="AB316" s="85"/>
      <c r="AC316" s="85"/>
      <c r="AD316" s="84"/>
      <c r="AE316" s="84"/>
      <c r="AF316" s="84"/>
      <c r="DB316" s="85"/>
    </row>
    <row r="317" spans="2:106"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  <c r="AA317" s="85"/>
      <c r="AB317" s="85"/>
      <c r="AC317" s="85"/>
      <c r="AD317" s="84"/>
      <c r="AE317" s="84"/>
      <c r="AF317" s="84"/>
      <c r="DB317" s="85"/>
    </row>
    <row r="318" spans="2:106"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  <c r="AA318" s="85"/>
      <c r="AB318" s="85"/>
      <c r="AC318" s="85"/>
      <c r="AD318" s="84"/>
      <c r="AE318" s="84"/>
      <c r="AF318" s="84"/>
      <c r="DB318" s="85"/>
    </row>
    <row r="319" spans="2:106"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  <c r="AA319" s="85"/>
      <c r="AB319" s="85"/>
      <c r="AC319" s="85"/>
      <c r="AD319" s="84"/>
      <c r="AE319" s="84"/>
      <c r="AF319" s="84"/>
      <c r="DB319" s="85"/>
    </row>
    <row r="320" spans="2:106"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  <c r="AA320" s="85"/>
      <c r="AB320" s="85"/>
      <c r="AC320" s="85"/>
      <c r="AD320" s="84"/>
      <c r="AE320" s="84"/>
      <c r="AF320" s="84"/>
      <c r="DB320" s="85"/>
    </row>
    <row r="321" spans="2:106"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  <c r="AA321" s="85"/>
      <c r="AB321" s="85"/>
      <c r="AC321" s="85"/>
      <c r="AD321" s="84"/>
      <c r="AE321" s="84"/>
      <c r="AF321" s="84"/>
      <c r="DB321" s="85"/>
    </row>
    <row r="322" spans="2:106"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  <c r="AA322" s="85"/>
      <c r="AB322" s="85"/>
      <c r="AC322" s="85"/>
      <c r="AD322" s="84"/>
      <c r="AE322" s="84"/>
      <c r="AF322" s="84"/>
      <c r="DB322" s="85"/>
    </row>
    <row r="323" spans="2:106"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  <c r="AA323" s="85"/>
      <c r="AB323" s="85"/>
      <c r="AC323" s="85"/>
      <c r="AD323" s="84"/>
      <c r="AE323" s="84"/>
      <c r="AF323" s="84"/>
      <c r="DB323" s="85"/>
    </row>
    <row r="324" spans="2:106"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  <c r="AA324" s="85"/>
      <c r="AB324" s="85"/>
      <c r="AC324" s="85"/>
      <c r="AD324" s="84"/>
      <c r="AE324" s="84"/>
      <c r="AF324" s="84"/>
      <c r="DB324" s="85"/>
    </row>
    <row r="325" spans="2:106"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  <c r="AA325" s="85"/>
      <c r="AB325" s="85"/>
      <c r="AC325" s="85"/>
      <c r="AD325" s="84"/>
      <c r="AE325" s="84"/>
      <c r="AF325" s="84"/>
      <c r="DB325" s="85"/>
    </row>
    <row r="326" spans="2:106"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  <c r="AA326" s="85"/>
      <c r="AB326" s="85"/>
      <c r="AC326" s="85"/>
      <c r="AD326" s="84"/>
      <c r="AE326" s="84"/>
      <c r="AF326" s="84"/>
      <c r="DB326" s="85"/>
    </row>
    <row r="327" spans="2:106"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  <c r="AA327" s="85"/>
      <c r="AB327" s="85"/>
      <c r="AC327" s="85"/>
      <c r="AD327" s="84"/>
      <c r="AE327" s="84"/>
      <c r="AF327" s="84"/>
      <c r="DB327" s="85"/>
    </row>
    <row r="328" spans="2:106"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  <c r="AA328" s="85"/>
      <c r="AB328" s="85"/>
      <c r="AC328" s="85"/>
      <c r="AD328" s="84"/>
      <c r="AE328" s="84"/>
      <c r="AF328" s="84"/>
      <c r="DB328" s="85"/>
    </row>
    <row r="329" spans="2:106"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  <c r="AA329" s="85"/>
      <c r="AB329" s="85"/>
      <c r="AC329" s="85"/>
      <c r="AD329" s="84"/>
      <c r="AE329" s="84"/>
      <c r="AF329" s="84"/>
      <c r="DB329" s="85"/>
    </row>
    <row r="330" spans="2:106"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  <c r="AA330" s="85"/>
      <c r="AB330" s="85"/>
      <c r="AC330" s="85"/>
      <c r="AD330" s="84"/>
      <c r="AE330" s="84"/>
      <c r="AF330" s="84"/>
      <c r="DB330" s="85"/>
    </row>
    <row r="331" spans="2:106"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  <c r="AA331" s="85"/>
      <c r="AB331" s="85"/>
      <c r="AC331" s="85"/>
      <c r="AD331" s="84"/>
      <c r="AE331" s="84"/>
      <c r="AF331" s="84"/>
      <c r="DB331" s="85"/>
    </row>
    <row r="332" spans="2:106"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  <c r="AA332" s="85"/>
      <c r="AB332" s="85"/>
      <c r="AC332" s="85"/>
      <c r="AD332" s="84"/>
      <c r="AE332" s="84"/>
      <c r="AF332" s="84"/>
      <c r="DB332" s="85"/>
    </row>
    <row r="333" spans="2:106"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  <c r="AA333" s="85"/>
      <c r="AB333" s="85"/>
      <c r="AC333" s="85"/>
      <c r="AD333" s="84"/>
      <c r="AE333" s="84"/>
      <c r="AF333" s="84"/>
      <c r="DB333" s="85"/>
    </row>
    <row r="334" spans="2:106"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  <c r="AA334" s="85"/>
      <c r="AB334" s="85"/>
      <c r="AC334" s="85"/>
      <c r="AD334" s="84"/>
      <c r="AE334" s="84"/>
      <c r="AF334" s="84"/>
      <c r="DB334" s="85"/>
    </row>
    <row r="335" spans="2:106"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  <c r="AA335" s="85"/>
      <c r="AB335" s="85"/>
      <c r="AC335" s="85"/>
      <c r="AD335" s="84"/>
      <c r="AE335" s="84"/>
      <c r="AF335" s="84"/>
      <c r="DB335" s="85"/>
    </row>
    <row r="336" spans="2:106"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  <c r="AA336" s="85"/>
      <c r="AB336" s="85"/>
      <c r="AC336" s="85"/>
      <c r="AD336" s="84"/>
      <c r="AE336" s="84"/>
      <c r="AF336" s="84"/>
      <c r="DB336" s="85"/>
    </row>
    <row r="337" spans="2:106"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  <c r="AA337" s="85"/>
      <c r="AB337" s="85"/>
      <c r="AC337" s="85"/>
      <c r="AD337" s="84"/>
      <c r="AE337" s="84"/>
      <c r="AF337" s="84"/>
      <c r="DB337" s="85"/>
    </row>
    <row r="338" spans="2:106"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  <c r="AA338" s="85"/>
      <c r="AB338" s="85"/>
      <c r="AC338" s="85"/>
      <c r="AD338" s="84"/>
      <c r="AE338" s="84"/>
      <c r="AF338" s="84"/>
      <c r="DB338" s="85"/>
    </row>
    <row r="339" spans="2:106"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  <c r="AA339" s="85"/>
      <c r="AB339" s="85"/>
      <c r="AC339" s="85"/>
      <c r="AD339" s="84"/>
      <c r="AE339" s="84"/>
      <c r="AF339" s="84"/>
      <c r="DB339" s="85"/>
    </row>
    <row r="340" spans="2:106"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  <c r="AA340" s="85"/>
      <c r="AB340" s="85"/>
      <c r="AC340" s="85"/>
      <c r="AD340" s="84"/>
      <c r="AE340" s="84"/>
      <c r="AF340" s="84"/>
      <c r="DB340" s="85"/>
    </row>
    <row r="341" spans="2:106"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  <c r="AA341" s="85"/>
      <c r="AB341" s="85"/>
      <c r="AC341" s="85"/>
      <c r="AD341" s="84"/>
      <c r="AE341" s="84"/>
      <c r="AF341" s="84"/>
      <c r="DB341" s="85"/>
    </row>
    <row r="342" spans="2:106"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  <c r="AA342" s="85"/>
      <c r="AB342" s="85"/>
      <c r="AC342" s="85"/>
      <c r="AD342" s="84"/>
      <c r="AE342" s="84"/>
      <c r="AF342" s="84"/>
      <c r="DB342" s="85"/>
    </row>
    <row r="343" spans="2:106"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  <c r="AA343" s="85"/>
      <c r="AB343" s="85"/>
      <c r="AC343" s="85"/>
      <c r="AD343" s="84"/>
      <c r="AE343" s="84"/>
      <c r="AF343" s="84"/>
      <c r="DB343" s="85"/>
    </row>
    <row r="344" spans="2:106"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  <c r="AA344" s="85"/>
      <c r="AB344" s="85"/>
      <c r="AC344" s="85"/>
      <c r="AD344" s="84"/>
      <c r="AE344" s="84"/>
      <c r="AF344" s="84"/>
      <c r="DB344" s="85"/>
    </row>
    <row r="345" spans="2:106"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4"/>
      <c r="AE345" s="84"/>
      <c r="AF345" s="84"/>
      <c r="DB345" s="85"/>
    </row>
    <row r="346" spans="2:106"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  <c r="AA346" s="85"/>
      <c r="AB346" s="85"/>
      <c r="AC346" s="85"/>
      <c r="AD346" s="84"/>
      <c r="AE346" s="84"/>
      <c r="AF346" s="84"/>
      <c r="DB346" s="85"/>
    </row>
    <row r="347" spans="2:106"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  <c r="AA347" s="85"/>
      <c r="AB347" s="85"/>
      <c r="AC347" s="85"/>
      <c r="AD347" s="84"/>
      <c r="AE347" s="84"/>
      <c r="AF347" s="84"/>
      <c r="DB347" s="85"/>
    </row>
    <row r="348" spans="2:106"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  <c r="AA348" s="85"/>
      <c r="AB348" s="85"/>
      <c r="AC348" s="85"/>
      <c r="AD348" s="84"/>
      <c r="AE348" s="84"/>
      <c r="AF348" s="84"/>
      <c r="DB348" s="85"/>
    </row>
    <row r="349" spans="2:106"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  <c r="AA349" s="85"/>
      <c r="AB349" s="85"/>
      <c r="AC349" s="85"/>
      <c r="AD349" s="84"/>
      <c r="AE349" s="84"/>
      <c r="AF349" s="84"/>
      <c r="DB349" s="85"/>
    </row>
    <row r="350" spans="2:106"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  <c r="AA350" s="85"/>
      <c r="AB350" s="85"/>
      <c r="AC350" s="85"/>
      <c r="AD350" s="84"/>
      <c r="AE350" s="84"/>
      <c r="AF350" s="84"/>
      <c r="DB350" s="85"/>
    </row>
    <row r="351" spans="2:106"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  <c r="AA351" s="85"/>
      <c r="AB351" s="85"/>
      <c r="AC351" s="85"/>
      <c r="AD351" s="84"/>
      <c r="AE351" s="84"/>
      <c r="AF351" s="84"/>
      <c r="DB351" s="85"/>
    </row>
    <row r="352" spans="2:106"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  <c r="AA352" s="85"/>
      <c r="AB352" s="85"/>
      <c r="AC352" s="85"/>
      <c r="AD352" s="84"/>
      <c r="AE352" s="84"/>
      <c r="AF352" s="84"/>
      <c r="DB352" s="85"/>
    </row>
    <row r="353" spans="2:106"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  <c r="AA353" s="85"/>
      <c r="AB353" s="85"/>
      <c r="AC353" s="85"/>
      <c r="AD353" s="84"/>
      <c r="AE353" s="84"/>
      <c r="AF353" s="84"/>
      <c r="DB353" s="85"/>
    </row>
    <row r="354" spans="2:106"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  <c r="AA354" s="85"/>
      <c r="AB354" s="85"/>
      <c r="AC354" s="85"/>
      <c r="AD354" s="84"/>
      <c r="AE354" s="84"/>
      <c r="AF354" s="84"/>
      <c r="DB354" s="85"/>
    </row>
    <row r="355" spans="2:106"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  <c r="AA355" s="85"/>
      <c r="AB355" s="85"/>
      <c r="AC355" s="85"/>
      <c r="AD355" s="84"/>
      <c r="AE355" s="84"/>
      <c r="AF355" s="84"/>
      <c r="DB355" s="85"/>
    </row>
    <row r="356" spans="2:106"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  <c r="AA356" s="85"/>
      <c r="AB356" s="85"/>
      <c r="AC356" s="85"/>
      <c r="AD356" s="84"/>
      <c r="AE356" s="84"/>
      <c r="AF356" s="84"/>
      <c r="DB356" s="85"/>
    </row>
    <row r="357" spans="2:106"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  <c r="AA357" s="85"/>
      <c r="AB357" s="85"/>
      <c r="AC357" s="85"/>
      <c r="AD357" s="84"/>
      <c r="AE357" s="84"/>
      <c r="AF357" s="84"/>
      <c r="DB357" s="85"/>
    </row>
    <row r="358" spans="2:106"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  <c r="AA358" s="85"/>
      <c r="AB358" s="85"/>
      <c r="AC358" s="85"/>
      <c r="AD358" s="84"/>
      <c r="AE358" s="84"/>
      <c r="AF358" s="84"/>
      <c r="DB358" s="85"/>
    </row>
    <row r="359" spans="2:106"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  <c r="AA359" s="85"/>
      <c r="AB359" s="85"/>
      <c r="AC359" s="85"/>
      <c r="AD359" s="84"/>
      <c r="AE359" s="84"/>
      <c r="AF359" s="84"/>
      <c r="DB359" s="85"/>
    </row>
    <row r="360" spans="2:106"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  <c r="AA360" s="85"/>
      <c r="AB360" s="85"/>
      <c r="AC360" s="85"/>
      <c r="AD360" s="84"/>
      <c r="AE360" s="84"/>
      <c r="AF360" s="84"/>
      <c r="DB360" s="85"/>
    </row>
    <row r="361" spans="2:106"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  <c r="AA361" s="85"/>
      <c r="AB361" s="85"/>
      <c r="AC361" s="85"/>
      <c r="AD361" s="84"/>
      <c r="AE361" s="84"/>
      <c r="AF361" s="84"/>
      <c r="DB361" s="85"/>
    </row>
    <row r="362" spans="2:106"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  <c r="AA362" s="85"/>
      <c r="AB362" s="85"/>
      <c r="AC362" s="85"/>
      <c r="AD362" s="84"/>
      <c r="AE362" s="84"/>
      <c r="AF362" s="84"/>
      <c r="DB362" s="85"/>
    </row>
    <row r="363" spans="2:106"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  <c r="AA363" s="85"/>
      <c r="AB363" s="85"/>
      <c r="AC363" s="85"/>
      <c r="AD363" s="84"/>
      <c r="AE363" s="84"/>
      <c r="AF363" s="84"/>
      <c r="DB363" s="85"/>
    </row>
    <row r="364" spans="2:106"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  <c r="AA364" s="85"/>
      <c r="AB364" s="85"/>
      <c r="AC364" s="85"/>
      <c r="AD364" s="84"/>
      <c r="AE364" s="84"/>
      <c r="AF364" s="84"/>
      <c r="DB364" s="85"/>
    </row>
    <row r="365" spans="2:106"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  <c r="AA365" s="85"/>
      <c r="AB365" s="85"/>
      <c r="AC365" s="85"/>
      <c r="AD365" s="84"/>
      <c r="AE365" s="84"/>
      <c r="AF365" s="84"/>
      <c r="DB365" s="85"/>
    </row>
    <row r="366" spans="2:106"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  <c r="AA366" s="85"/>
      <c r="AB366" s="85"/>
      <c r="AC366" s="85"/>
      <c r="AD366" s="84"/>
      <c r="AE366" s="84"/>
      <c r="AF366" s="84"/>
      <c r="DB366" s="85"/>
    </row>
    <row r="367" spans="2:106"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  <c r="AA367" s="85"/>
      <c r="AB367" s="85"/>
      <c r="AC367" s="85"/>
      <c r="AD367" s="84"/>
      <c r="AE367" s="84"/>
      <c r="AF367" s="84"/>
      <c r="DB367" s="85"/>
    </row>
    <row r="368" spans="2:106"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  <c r="AA368" s="85"/>
      <c r="AB368" s="85"/>
      <c r="AC368" s="85"/>
      <c r="AD368" s="84"/>
      <c r="AE368" s="84"/>
      <c r="AF368" s="84"/>
      <c r="DB368" s="85"/>
    </row>
    <row r="369" spans="2:106"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  <c r="AA369" s="85"/>
      <c r="AB369" s="85"/>
      <c r="AC369" s="85"/>
      <c r="AD369" s="84"/>
      <c r="AE369" s="84"/>
      <c r="AF369" s="84"/>
      <c r="DB369" s="85"/>
    </row>
    <row r="370" spans="2:106"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  <c r="AA370" s="85"/>
      <c r="AB370" s="85"/>
      <c r="AC370" s="85"/>
      <c r="AD370" s="84"/>
      <c r="AE370" s="84"/>
      <c r="AF370" s="84"/>
      <c r="DB370" s="85"/>
    </row>
    <row r="371" spans="2:106"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  <c r="AA371" s="85"/>
      <c r="AB371" s="85"/>
      <c r="AC371" s="85"/>
      <c r="AD371" s="84"/>
      <c r="AE371" s="84"/>
      <c r="AF371" s="84"/>
      <c r="DB371" s="85"/>
    </row>
    <row r="372" spans="2:106"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  <c r="AA372" s="85"/>
      <c r="AB372" s="85"/>
      <c r="AC372" s="85"/>
      <c r="AD372" s="84"/>
      <c r="AE372" s="84"/>
      <c r="AF372" s="84"/>
      <c r="DB372" s="85"/>
    </row>
    <row r="373" spans="2:106"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  <c r="AA373" s="85"/>
      <c r="AB373" s="85"/>
      <c r="AC373" s="85"/>
      <c r="AD373" s="84"/>
      <c r="AE373" s="84"/>
      <c r="AF373" s="84"/>
      <c r="DB373" s="85"/>
    </row>
    <row r="374" spans="2:106"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  <c r="AA374" s="85"/>
      <c r="AB374" s="85"/>
      <c r="AC374" s="85"/>
      <c r="AD374" s="84"/>
      <c r="AE374" s="84"/>
      <c r="AF374" s="84"/>
      <c r="DB374" s="85"/>
    </row>
    <row r="375" spans="2:106"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  <c r="AA375" s="85"/>
      <c r="AB375" s="85"/>
      <c r="AC375" s="85"/>
      <c r="AD375" s="84"/>
      <c r="AE375" s="84"/>
      <c r="AF375" s="84"/>
      <c r="DB375" s="85"/>
    </row>
    <row r="376" spans="2:106"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  <c r="AA376" s="85"/>
      <c r="AB376" s="85"/>
      <c r="AC376" s="85"/>
      <c r="AD376" s="84"/>
      <c r="AE376" s="84"/>
      <c r="AF376" s="84"/>
      <c r="DB376" s="85"/>
    </row>
    <row r="377" spans="2:106"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  <c r="AA377" s="85"/>
      <c r="AB377" s="85"/>
      <c r="AC377" s="85"/>
      <c r="AD377" s="84"/>
      <c r="AE377" s="84"/>
      <c r="AF377" s="84"/>
      <c r="DB377" s="85"/>
    </row>
    <row r="378" spans="2:106"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  <c r="AA378" s="85"/>
      <c r="AB378" s="85"/>
      <c r="AC378" s="85"/>
      <c r="AD378" s="84"/>
      <c r="AE378" s="84"/>
      <c r="AF378" s="84"/>
      <c r="DB378" s="85"/>
    </row>
    <row r="379" spans="2:106"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  <c r="AA379" s="85"/>
      <c r="AB379" s="85"/>
      <c r="AC379" s="85"/>
      <c r="AD379" s="84"/>
      <c r="AE379" s="84"/>
      <c r="AF379" s="84"/>
      <c r="DB379" s="85"/>
    </row>
    <row r="380" spans="2:106"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  <c r="AA380" s="85"/>
      <c r="AB380" s="85"/>
      <c r="AC380" s="85"/>
      <c r="AD380" s="84"/>
      <c r="AE380" s="84"/>
      <c r="AF380" s="84"/>
      <c r="DB380" s="85"/>
    </row>
    <row r="381" spans="2:106"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  <c r="AA381" s="85"/>
      <c r="AB381" s="85"/>
      <c r="AC381" s="85"/>
      <c r="AD381" s="84"/>
      <c r="AE381" s="84"/>
      <c r="AF381" s="84"/>
      <c r="DB381" s="85"/>
    </row>
    <row r="382" spans="2:106"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  <c r="AA382" s="85"/>
      <c r="AB382" s="85"/>
      <c r="AC382" s="85"/>
      <c r="AD382" s="84"/>
      <c r="AE382" s="84"/>
      <c r="AF382" s="84"/>
      <c r="DB382" s="85"/>
    </row>
    <row r="383" spans="2:106"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4"/>
      <c r="AE383" s="84"/>
      <c r="AF383" s="84"/>
      <c r="DB383" s="85"/>
    </row>
    <row r="384" spans="2:106"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  <c r="AA384" s="85"/>
      <c r="AB384" s="85"/>
      <c r="AC384" s="85"/>
      <c r="AD384" s="84"/>
      <c r="AE384" s="84"/>
      <c r="AF384" s="84"/>
      <c r="DB384" s="85"/>
    </row>
    <row r="385" spans="2:106"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  <c r="AA385" s="85"/>
      <c r="AB385" s="85"/>
      <c r="AC385" s="85"/>
      <c r="AD385" s="84"/>
      <c r="AE385" s="84"/>
      <c r="AF385" s="84"/>
      <c r="DB385" s="85"/>
    </row>
    <row r="386" spans="2:106"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  <c r="AA386" s="85"/>
      <c r="AB386" s="85"/>
      <c r="AC386" s="85"/>
      <c r="AD386" s="84"/>
      <c r="AE386" s="84"/>
      <c r="AF386" s="84"/>
      <c r="DB386" s="85"/>
    </row>
    <row r="387" spans="2:106"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  <c r="AA387" s="85"/>
      <c r="AB387" s="85"/>
      <c r="AC387" s="85"/>
      <c r="AD387" s="84"/>
      <c r="AE387" s="84"/>
      <c r="AF387" s="84"/>
      <c r="DB387" s="85"/>
    </row>
    <row r="388" spans="2:106"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  <c r="AA388" s="85"/>
      <c r="AB388" s="85"/>
      <c r="AC388" s="85"/>
      <c r="AD388" s="84"/>
      <c r="AE388" s="84"/>
      <c r="AF388" s="84"/>
      <c r="DB388" s="85"/>
    </row>
    <row r="389" spans="2:106"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  <c r="AA389" s="85"/>
      <c r="AB389" s="85"/>
      <c r="AC389" s="85"/>
      <c r="AD389" s="84"/>
      <c r="AE389" s="84"/>
      <c r="AF389" s="84"/>
      <c r="DB389" s="85"/>
    </row>
    <row r="390" spans="2:106"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  <c r="AA390" s="85"/>
      <c r="AB390" s="85"/>
      <c r="AC390" s="85"/>
      <c r="AD390" s="84"/>
      <c r="AE390" s="84"/>
      <c r="AF390" s="84"/>
      <c r="DB390" s="85"/>
    </row>
    <row r="391" spans="2:106"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  <c r="AA391" s="85"/>
      <c r="AB391" s="85"/>
      <c r="AC391" s="85"/>
      <c r="AD391" s="84"/>
      <c r="AE391" s="84"/>
      <c r="AF391" s="84"/>
      <c r="DB391" s="85"/>
    </row>
    <row r="392" spans="2:106"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  <c r="AA392" s="85"/>
      <c r="AB392" s="85"/>
      <c r="AC392" s="85"/>
      <c r="AD392" s="84"/>
      <c r="AE392" s="84"/>
      <c r="AF392" s="84"/>
      <c r="DB392" s="85"/>
    </row>
    <row r="393" spans="2:106"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  <c r="AA393" s="85"/>
      <c r="AB393" s="85"/>
      <c r="AC393" s="85"/>
      <c r="AD393" s="84"/>
      <c r="AE393" s="84"/>
      <c r="AF393" s="84"/>
      <c r="DB393" s="85"/>
    </row>
    <row r="394" spans="2:106"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  <c r="AA394" s="85"/>
      <c r="AB394" s="85"/>
      <c r="AC394" s="85"/>
      <c r="AD394" s="84"/>
      <c r="AE394" s="84"/>
      <c r="AF394" s="84"/>
      <c r="DB394" s="85"/>
    </row>
    <row r="395" spans="2:106"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  <c r="AA395" s="85"/>
      <c r="AB395" s="85"/>
      <c r="AC395" s="85"/>
      <c r="AD395" s="84"/>
      <c r="AE395" s="84"/>
      <c r="AF395" s="84"/>
      <c r="DB395" s="85"/>
    </row>
    <row r="396" spans="2:106"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  <c r="AA396" s="85"/>
      <c r="AB396" s="85"/>
      <c r="AC396" s="85"/>
      <c r="AD396" s="84"/>
      <c r="AE396" s="84"/>
      <c r="AF396" s="84"/>
      <c r="DB396" s="85"/>
    </row>
    <row r="397" spans="2:106"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  <c r="AA397" s="85"/>
      <c r="AB397" s="85"/>
      <c r="AC397" s="85"/>
      <c r="AD397" s="84"/>
      <c r="AE397" s="84"/>
      <c r="AF397" s="84"/>
      <c r="DB397" s="85"/>
    </row>
    <row r="398" spans="2:106"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  <c r="AA398" s="85"/>
      <c r="AB398" s="85"/>
      <c r="AC398" s="85"/>
      <c r="AD398" s="84"/>
      <c r="AE398" s="84"/>
      <c r="AF398" s="84"/>
      <c r="DB398" s="85"/>
    </row>
    <row r="399" spans="2:106"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  <c r="AA399" s="85"/>
      <c r="AB399" s="85"/>
      <c r="AC399" s="85"/>
      <c r="AD399" s="84"/>
      <c r="AE399" s="84"/>
      <c r="AF399" s="84"/>
      <c r="DB399" s="85"/>
    </row>
    <row r="400" spans="2:106"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  <c r="AA400" s="85"/>
      <c r="AB400" s="85"/>
      <c r="AC400" s="85"/>
      <c r="AD400" s="84"/>
      <c r="AE400" s="84"/>
      <c r="AF400" s="84"/>
      <c r="DB400" s="85"/>
    </row>
    <row r="401" spans="2:106"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  <c r="AA401" s="85"/>
      <c r="AB401" s="85"/>
      <c r="AC401" s="85"/>
      <c r="AD401" s="84"/>
      <c r="AE401" s="84"/>
      <c r="AF401" s="84"/>
      <c r="DB401" s="85"/>
    </row>
    <row r="402" spans="2:106"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  <c r="AA402" s="85"/>
      <c r="AB402" s="85"/>
      <c r="AC402" s="85"/>
      <c r="AD402" s="84"/>
      <c r="AE402" s="84"/>
      <c r="AF402" s="84"/>
      <c r="DB402" s="85"/>
    </row>
    <row r="403" spans="2:106"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  <c r="AA403" s="85"/>
      <c r="AB403" s="85"/>
      <c r="AC403" s="85"/>
      <c r="AD403" s="84"/>
      <c r="AE403" s="84"/>
      <c r="AF403" s="84"/>
      <c r="DB403" s="85"/>
    </row>
    <row r="404" spans="2:106"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  <c r="AA404" s="85"/>
      <c r="AB404" s="85"/>
      <c r="AC404" s="85"/>
      <c r="AD404" s="84"/>
      <c r="AE404" s="84"/>
      <c r="AF404" s="84"/>
      <c r="DB404" s="85"/>
    </row>
    <row r="405" spans="2:106"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  <c r="AA405" s="85"/>
      <c r="AB405" s="85"/>
      <c r="AC405" s="85"/>
      <c r="AD405" s="84"/>
      <c r="AE405" s="84"/>
      <c r="AF405" s="84"/>
      <c r="DB405" s="85"/>
    </row>
    <row r="406" spans="2:106"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  <c r="AA406" s="85"/>
      <c r="AB406" s="85"/>
      <c r="AC406" s="85"/>
      <c r="AD406" s="84"/>
      <c r="AE406" s="84"/>
      <c r="AF406" s="84"/>
      <c r="DB406" s="85"/>
    </row>
    <row r="407" spans="2:106"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  <c r="AA407" s="85"/>
      <c r="AB407" s="85"/>
      <c r="AC407" s="85"/>
      <c r="AD407" s="84"/>
      <c r="AE407" s="84"/>
      <c r="AF407" s="84"/>
      <c r="DB407" s="85"/>
    </row>
    <row r="408" spans="2:106"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  <c r="AA408" s="85"/>
      <c r="AB408" s="85"/>
      <c r="AC408" s="85"/>
      <c r="AD408" s="84"/>
      <c r="AE408" s="84"/>
      <c r="AF408" s="84"/>
      <c r="DB408" s="85"/>
    </row>
    <row r="409" spans="2:106"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  <c r="AA409" s="85"/>
      <c r="AB409" s="85"/>
      <c r="AC409" s="85"/>
      <c r="AD409" s="84"/>
      <c r="AE409" s="84"/>
      <c r="AF409" s="84"/>
      <c r="DB409" s="85"/>
    </row>
    <row r="410" spans="2:106"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  <c r="AA410" s="85"/>
      <c r="AB410" s="85"/>
      <c r="AC410" s="85"/>
      <c r="AD410" s="84"/>
      <c r="AE410" s="84"/>
      <c r="AF410" s="84"/>
      <c r="DB410" s="85"/>
    </row>
    <row r="411" spans="2:106"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  <c r="AA411" s="85"/>
      <c r="AB411" s="85"/>
      <c r="AC411" s="85"/>
      <c r="AD411" s="84"/>
      <c r="AE411" s="84"/>
      <c r="AF411" s="84"/>
      <c r="DB411" s="85"/>
    </row>
    <row r="412" spans="2:106"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  <c r="AA412" s="85"/>
      <c r="AB412" s="85"/>
      <c r="AC412" s="85"/>
      <c r="AD412" s="84"/>
      <c r="AE412" s="84"/>
      <c r="AF412" s="84"/>
      <c r="DB412" s="85"/>
    </row>
    <row r="413" spans="2:106"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  <c r="AA413" s="85"/>
      <c r="AB413" s="85"/>
      <c r="AC413" s="85"/>
      <c r="AD413" s="84"/>
      <c r="AE413" s="84"/>
      <c r="AF413" s="84"/>
      <c r="DB413" s="85"/>
    </row>
    <row r="414" spans="2:106"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  <c r="AA414" s="85"/>
      <c r="AB414" s="85"/>
      <c r="AC414" s="85"/>
      <c r="AD414" s="84"/>
      <c r="AE414" s="84"/>
      <c r="AF414" s="84"/>
      <c r="DB414" s="85"/>
    </row>
    <row r="415" spans="2:106"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  <c r="AA415" s="85"/>
      <c r="AB415" s="85"/>
      <c r="AC415" s="85"/>
      <c r="AD415" s="84"/>
      <c r="AE415" s="84"/>
      <c r="AF415" s="84"/>
      <c r="DB415" s="85"/>
    </row>
    <row r="416" spans="2:106"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  <c r="AA416" s="85"/>
      <c r="AB416" s="85"/>
      <c r="AC416" s="85"/>
      <c r="AD416" s="84"/>
      <c r="AE416" s="84"/>
      <c r="AF416" s="84"/>
      <c r="DB416" s="85"/>
    </row>
    <row r="417" spans="2:106"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  <c r="AA417" s="85"/>
      <c r="AB417" s="85"/>
      <c r="AC417" s="85"/>
      <c r="AD417" s="84"/>
      <c r="AE417" s="84"/>
      <c r="AF417" s="84"/>
      <c r="DB417" s="85"/>
    </row>
    <row r="418" spans="2:106"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  <c r="AA418" s="85"/>
      <c r="AB418" s="85"/>
      <c r="AC418" s="85"/>
      <c r="AD418" s="84"/>
      <c r="AE418" s="84"/>
      <c r="AF418" s="84"/>
      <c r="DB418" s="85"/>
    </row>
    <row r="419" spans="2:106"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  <c r="AA419" s="85"/>
      <c r="AB419" s="85"/>
      <c r="AC419" s="85"/>
      <c r="AD419" s="84"/>
      <c r="AE419" s="84"/>
      <c r="AF419" s="84"/>
      <c r="DB419" s="85"/>
    </row>
    <row r="420" spans="2:106"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  <c r="AA420" s="85"/>
      <c r="AB420" s="85"/>
      <c r="AC420" s="85"/>
      <c r="AD420" s="84"/>
      <c r="AE420" s="84"/>
      <c r="AF420" s="84"/>
      <c r="DB420" s="85"/>
    </row>
    <row r="421" spans="2:106"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4"/>
      <c r="AE421" s="84"/>
      <c r="AF421" s="84"/>
      <c r="DB421" s="85"/>
    </row>
    <row r="422" spans="2:106"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  <c r="AA422" s="85"/>
      <c r="AB422" s="85"/>
      <c r="AC422" s="85"/>
      <c r="AD422" s="84"/>
      <c r="AE422" s="84"/>
      <c r="AF422" s="84"/>
      <c r="DB422" s="85"/>
    </row>
    <row r="423" spans="2:106"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  <c r="AA423" s="85"/>
      <c r="AB423" s="85"/>
      <c r="AC423" s="85"/>
      <c r="AD423" s="84"/>
      <c r="AE423" s="84"/>
      <c r="AF423" s="84"/>
      <c r="DB423" s="85"/>
    </row>
    <row r="424" spans="2:106"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  <c r="AA424" s="85"/>
      <c r="AB424" s="85"/>
      <c r="AC424" s="85"/>
      <c r="AD424" s="84"/>
      <c r="AE424" s="84"/>
      <c r="AF424" s="84"/>
      <c r="DB424" s="85"/>
    </row>
    <row r="425" spans="2:106"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  <c r="AA425" s="85"/>
      <c r="AB425" s="85"/>
      <c r="AC425" s="85"/>
      <c r="AD425" s="84"/>
      <c r="AE425" s="84"/>
      <c r="AF425" s="84"/>
      <c r="DB425" s="85"/>
    </row>
    <row r="426" spans="2:106"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  <c r="AA426" s="85"/>
      <c r="AB426" s="85"/>
      <c r="AC426" s="85"/>
      <c r="AD426" s="84"/>
      <c r="AE426" s="84"/>
      <c r="AF426" s="84"/>
      <c r="DB426" s="85"/>
    </row>
    <row r="427" spans="2:106"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  <c r="AA427" s="85"/>
      <c r="AB427" s="85"/>
      <c r="AC427" s="85"/>
      <c r="AD427" s="84"/>
      <c r="AE427" s="84"/>
      <c r="AF427" s="84"/>
      <c r="DB427" s="85"/>
    </row>
    <row r="428" spans="2:106"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  <c r="AA428" s="85"/>
      <c r="AB428" s="85"/>
      <c r="AC428" s="85"/>
      <c r="AD428" s="84"/>
      <c r="AE428" s="84"/>
      <c r="AF428" s="84"/>
      <c r="DB428" s="85"/>
    </row>
    <row r="429" spans="2:106"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  <c r="AA429" s="85"/>
      <c r="AB429" s="85"/>
      <c r="AC429" s="85"/>
      <c r="AD429" s="84"/>
      <c r="AE429" s="84"/>
      <c r="AF429" s="84"/>
      <c r="DB429" s="85"/>
    </row>
    <row r="430" spans="2:106"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  <c r="AA430" s="85"/>
      <c r="AB430" s="85"/>
      <c r="AC430" s="85"/>
      <c r="AD430" s="84"/>
      <c r="AE430" s="84"/>
      <c r="AF430" s="84"/>
      <c r="DB430" s="85"/>
    </row>
    <row r="431" spans="2:106"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  <c r="AA431" s="85"/>
      <c r="AB431" s="85"/>
      <c r="AC431" s="85"/>
      <c r="AD431" s="84"/>
      <c r="AE431" s="84"/>
      <c r="AF431" s="84"/>
      <c r="DB431" s="85"/>
    </row>
    <row r="432" spans="2:106"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  <c r="AA432" s="85"/>
      <c r="AB432" s="85"/>
      <c r="AC432" s="85"/>
      <c r="AD432" s="84"/>
      <c r="AE432" s="84"/>
      <c r="AF432" s="84"/>
      <c r="DB432" s="85"/>
    </row>
    <row r="433" spans="2:106"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  <c r="AA433" s="85"/>
      <c r="AB433" s="85"/>
      <c r="AC433" s="85"/>
      <c r="AD433" s="84"/>
      <c r="AE433" s="84"/>
      <c r="AF433" s="84"/>
      <c r="DB433" s="85"/>
    </row>
    <row r="434" spans="2:106"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  <c r="AA434" s="85"/>
      <c r="AB434" s="85"/>
      <c r="AC434" s="85"/>
      <c r="AD434" s="84"/>
      <c r="AE434" s="84"/>
      <c r="AF434" s="84"/>
      <c r="DB434" s="85"/>
    </row>
    <row r="435" spans="2:106"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  <c r="AA435" s="85"/>
      <c r="AB435" s="85"/>
      <c r="AC435" s="85"/>
      <c r="AD435" s="84"/>
      <c r="AE435" s="84"/>
      <c r="AF435" s="84"/>
      <c r="DB435" s="85"/>
    </row>
    <row r="436" spans="2:106"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  <c r="AA436" s="85"/>
      <c r="AB436" s="85"/>
      <c r="AC436" s="85"/>
      <c r="AD436" s="84"/>
      <c r="AE436" s="84"/>
      <c r="AF436" s="84"/>
      <c r="DB436" s="85"/>
    </row>
    <row r="437" spans="2:106"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  <c r="AA437" s="85"/>
      <c r="AB437" s="85"/>
      <c r="AC437" s="85"/>
      <c r="AD437" s="84"/>
      <c r="AE437" s="84"/>
      <c r="AF437" s="84"/>
      <c r="DB437" s="85"/>
    </row>
    <row r="438" spans="2:106"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  <c r="AA438" s="85"/>
      <c r="AB438" s="85"/>
      <c r="AC438" s="85"/>
      <c r="AD438" s="84"/>
      <c r="AE438" s="84"/>
      <c r="AF438" s="84"/>
      <c r="DB438" s="85"/>
    </row>
    <row r="439" spans="2:106"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  <c r="AA439" s="85"/>
      <c r="AB439" s="85"/>
      <c r="AC439" s="85"/>
      <c r="AD439" s="84"/>
      <c r="AE439" s="84"/>
      <c r="AF439" s="84"/>
      <c r="DB439" s="85"/>
    </row>
    <row r="440" spans="2:106"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  <c r="AA440" s="85"/>
      <c r="AB440" s="85"/>
      <c r="AC440" s="85"/>
      <c r="AD440" s="84"/>
      <c r="AE440" s="84"/>
      <c r="AF440" s="84"/>
      <c r="DB440" s="85"/>
    </row>
    <row r="441" spans="2:106"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  <c r="AA441" s="85"/>
      <c r="AB441" s="85"/>
      <c r="AC441" s="85"/>
      <c r="AD441" s="84"/>
      <c r="AE441" s="84"/>
      <c r="AF441" s="84"/>
      <c r="DB441" s="85"/>
    </row>
    <row r="442" spans="2:106"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  <c r="AA442" s="85"/>
      <c r="AB442" s="85"/>
      <c r="AC442" s="85"/>
      <c r="AD442" s="84"/>
      <c r="AE442" s="84"/>
      <c r="AF442" s="84"/>
      <c r="DB442" s="85"/>
    </row>
    <row r="443" spans="2:106"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  <c r="AA443" s="85"/>
      <c r="AB443" s="85"/>
      <c r="AC443" s="85"/>
      <c r="AD443" s="84"/>
      <c r="AE443" s="84"/>
      <c r="AF443" s="84"/>
      <c r="DB443" s="85"/>
    </row>
    <row r="444" spans="2:106"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  <c r="AA444" s="85"/>
      <c r="AB444" s="85"/>
      <c r="AC444" s="85"/>
      <c r="AD444" s="84"/>
      <c r="AE444" s="84"/>
      <c r="AF444" s="84"/>
      <c r="DB444" s="85"/>
    </row>
    <row r="445" spans="2:106"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  <c r="AA445" s="85"/>
      <c r="AB445" s="85"/>
      <c r="AC445" s="85"/>
      <c r="AD445" s="84"/>
      <c r="AE445" s="84"/>
      <c r="AF445" s="84"/>
      <c r="DB445" s="85"/>
    </row>
    <row r="446" spans="2:106"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  <c r="AA446" s="85"/>
      <c r="AB446" s="85"/>
      <c r="AC446" s="85"/>
      <c r="AD446" s="84"/>
      <c r="AE446" s="84"/>
      <c r="AF446" s="84"/>
      <c r="DB446" s="85"/>
    </row>
    <row r="447" spans="2:106"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  <c r="AA447" s="85"/>
      <c r="AB447" s="85"/>
      <c r="AC447" s="85"/>
      <c r="AD447" s="84"/>
      <c r="AE447" s="84"/>
      <c r="AF447" s="84"/>
      <c r="DB447" s="85"/>
    </row>
    <row r="448" spans="2:106"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  <c r="AA448" s="85"/>
      <c r="AB448" s="85"/>
      <c r="AC448" s="85"/>
      <c r="AD448" s="84"/>
      <c r="AE448" s="84"/>
      <c r="AF448" s="84"/>
      <c r="DB448" s="85"/>
    </row>
    <row r="449" spans="2:106"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  <c r="AA449" s="85"/>
      <c r="AB449" s="85"/>
      <c r="AC449" s="85"/>
      <c r="AD449" s="84"/>
      <c r="AE449" s="84"/>
      <c r="AF449" s="84"/>
      <c r="DB449" s="85"/>
    </row>
    <row r="450" spans="2:106"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  <c r="AA450" s="85"/>
      <c r="AB450" s="85"/>
      <c r="AC450" s="85"/>
      <c r="AD450" s="84"/>
      <c r="AE450" s="84"/>
      <c r="AF450" s="84"/>
      <c r="DB450" s="85"/>
    </row>
    <row r="451" spans="2:106"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  <c r="AA451" s="85"/>
      <c r="AB451" s="85"/>
      <c r="AC451" s="85"/>
      <c r="AD451" s="84"/>
      <c r="AE451" s="84"/>
      <c r="AF451" s="84"/>
      <c r="DB451" s="85"/>
    </row>
    <row r="452" spans="2:106"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  <c r="AA452" s="85"/>
      <c r="AB452" s="85"/>
      <c r="AC452" s="85"/>
      <c r="AD452" s="84"/>
      <c r="AE452" s="84"/>
      <c r="AF452" s="84"/>
      <c r="DB452" s="85"/>
    </row>
    <row r="453" spans="2:106"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  <c r="AA453" s="85"/>
      <c r="AB453" s="85"/>
      <c r="AC453" s="85"/>
      <c r="AD453" s="84"/>
      <c r="AE453" s="84"/>
      <c r="AF453" s="84"/>
      <c r="DB453" s="85"/>
    </row>
    <row r="454" spans="2:106"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  <c r="AA454" s="85"/>
      <c r="AB454" s="85"/>
      <c r="AC454" s="85"/>
      <c r="AD454" s="84"/>
      <c r="AE454" s="84"/>
      <c r="AF454" s="84"/>
      <c r="DB454" s="85"/>
    </row>
    <row r="455" spans="2:106"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  <c r="AA455" s="85"/>
      <c r="AB455" s="85"/>
      <c r="AC455" s="85"/>
      <c r="AD455" s="84"/>
      <c r="AE455" s="84"/>
      <c r="AF455" s="84"/>
      <c r="DB455" s="85"/>
    </row>
    <row r="456" spans="2:106"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  <c r="AA456" s="85"/>
      <c r="AB456" s="85"/>
      <c r="AC456" s="85"/>
      <c r="AD456" s="84"/>
      <c r="AE456" s="84"/>
      <c r="AF456" s="84"/>
      <c r="DB456" s="85"/>
    </row>
    <row r="457" spans="2:106"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  <c r="AA457" s="85"/>
      <c r="AB457" s="85"/>
      <c r="AC457" s="85"/>
      <c r="AD457" s="84"/>
      <c r="AE457" s="84"/>
      <c r="AF457" s="84"/>
      <c r="DB457" s="85"/>
    </row>
    <row r="458" spans="2:106"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  <c r="AA458" s="85"/>
      <c r="AB458" s="85"/>
      <c r="AC458" s="85"/>
      <c r="AD458" s="84"/>
      <c r="AE458" s="84"/>
      <c r="AF458" s="84"/>
      <c r="DB458" s="85"/>
    </row>
    <row r="459" spans="2:106"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4"/>
      <c r="AE459" s="84"/>
      <c r="AF459" s="84"/>
      <c r="DB459" s="85"/>
    </row>
    <row r="460" spans="2:106"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  <c r="AA460" s="85"/>
      <c r="AB460" s="85"/>
      <c r="AC460" s="85"/>
      <c r="AD460" s="84"/>
      <c r="AE460" s="84"/>
      <c r="AF460" s="84"/>
      <c r="DB460" s="85"/>
    </row>
    <row r="461" spans="2:106"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  <c r="AA461" s="85"/>
      <c r="AB461" s="85"/>
      <c r="AC461" s="85"/>
      <c r="AD461" s="84"/>
      <c r="AE461" s="84"/>
      <c r="AF461" s="84"/>
      <c r="DB461" s="85"/>
    </row>
    <row r="462" spans="2:106"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  <c r="AA462" s="85"/>
      <c r="AB462" s="85"/>
      <c r="AC462" s="85"/>
      <c r="AD462" s="84"/>
      <c r="AE462" s="84"/>
      <c r="AF462" s="84"/>
      <c r="DB462" s="85"/>
    </row>
    <row r="463" spans="2:106"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  <c r="AA463" s="85"/>
      <c r="AB463" s="85"/>
      <c r="AC463" s="85"/>
      <c r="AD463" s="84"/>
      <c r="AE463" s="84"/>
      <c r="AF463" s="84"/>
      <c r="DB463" s="85"/>
    </row>
    <row r="464" spans="2:106"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  <c r="AA464" s="85"/>
      <c r="AB464" s="85"/>
      <c r="AC464" s="85"/>
      <c r="AD464" s="84"/>
      <c r="AE464" s="84"/>
      <c r="AF464" s="84"/>
      <c r="DB464" s="85"/>
    </row>
    <row r="465" spans="2:106"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  <c r="AA465" s="85"/>
      <c r="AB465" s="85"/>
      <c r="AC465" s="85"/>
      <c r="AD465" s="84"/>
      <c r="AE465" s="84"/>
      <c r="AF465" s="84"/>
      <c r="DB465" s="85"/>
    </row>
    <row r="466" spans="2:106"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  <c r="AA466" s="85"/>
      <c r="AB466" s="85"/>
      <c r="AC466" s="85"/>
      <c r="AD466" s="84"/>
      <c r="AE466" s="84"/>
      <c r="AF466" s="84"/>
      <c r="DB466" s="85"/>
    </row>
    <row r="467" spans="2:106"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  <c r="AA467" s="85"/>
      <c r="AB467" s="85"/>
      <c r="AC467" s="85"/>
      <c r="AD467" s="84"/>
      <c r="AE467" s="84"/>
      <c r="AF467" s="84"/>
      <c r="DB467" s="85"/>
    </row>
    <row r="468" spans="2:106"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  <c r="AA468" s="85"/>
      <c r="AB468" s="85"/>
      <c r="AC468" s="85"/>
      <c r="AD468" s="84"/>
      <c r="AE468" s="84"/>
      <c r="AF468" s="84"/>
      <c r="DB468" s="85"/>
    </row>
    <row r="469" spans="2:106"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  <c r="AA469" s="85"/>
      <c r="AB469" s="85"/>
      <c r="AC469" s="85"/>
      <c r="AD469" s="84"/>
      <c r="AE469" s="84"/>
      <c r="AF469" s="84"/>
      <c r="DB469" s="85"/>
    </row>
    <row r="470" spans="2:106"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  <c r="AA470" s="85"/>
      <c r="AB470" s="85"/>
      <c r="AC470" s="85"/>
      <c r="AD470" s="84"/>
      <c r="AE470" s="84"/>
      <c r="AF470" s="84"/>
      <c r="DB470" s="85"/>
    </row>
    <row r="471" spans="2:106"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  <c r="AA471" s="85"/>
      <c r="AB471" s="85"/>
      <c r="AC471" s="85"/>
      <c r="AD471" s="84"/>
      <c r="AE471" s="84"/>
      <c r="AF471" s="84"/>
      <c r="DB471" s="85"/>
    </row>
    <row r="472" spans="2:106"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  <c r="AA472" s="85"/>
      <c r="AB472" s="85"/>
      <c r="AC472" s="85"/>
      <c r="AD472" s="84"/>
      <c r="AE472" s="84"/>
      <c r="AF472" s="84"/>
      <c r="DB472" s="85"/>
    </row>
    <row r="473" spans="2:106"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  <c r="AA473" s="85"/>
      <c r="AB473" s="85"/>
      <c r="AC473" s="85"/>
      <c r="AD473" s="84"/>
      <c r="AE473" s="84"/>
      <c r="AF473" s="84"/>
      <c r="DB473" s="85"/>
    </row>
    <row r="474" spans="2:106"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  <c r="AA474" s="85"/>
      <c r="AB474" s="85"/>
      <c r="AC474" s="85"/>
      <c r="AD474" s="84"/>
      <c r="AE474" s="84"/>
      <c r="AF474" s="84"/>
      <c r="DB474" s="85"/>
    </row>
    <row r="475" spans="2:106"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  <c r="AA475" s="85"/>
      <c r="AB475" s="85"/>
      <c r="AC475" s="85"/>
      <c r="AD475" s="84"/>
      <c r="AE475" s="84"/>
      <c r="AF475" s="84"/>
      <c r="DB475" s="85"/>
    </row>
    <row r="476" spans="2:106"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  <c r="AA476" s="85"/>
      <c r="AB476" s="85"/>
      <c r="AC476" s="85"/>
      <c r="AD476" s="84"/>
      <c r="AE476" s="84"/>
      <c r="AF476" s="84"/>
      <c r="DB476" s="85"/>
    </row>
    <row r="477" spans="2:106"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  <c r="AA477" s="85"/>
      <c r="AB477" s="85"/>
      <c r="AC477" s="85"/>
      <c r="AD477" s="84"/>
      <c r="AE477" s="84"/>
      <c r="AF477" s="84"/>
      <c r="DB477" s="85"/>
    </row>
    <row r="478" spans="2:106"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  <c r="AA478" s="85"/>
      <c r="AB478" s="85"/>
      <c r="AC478" s="85"/>
      <c r="AD478" s="84"/>
      <c r="AE478" s="84"/>
      <c r="AF478" s="84"/>
      <c r="DB478" s="85"/>
    </row>
    <row r="479" spans="2:106"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  <c r="AA479" s="85"/>
      <c r="AB479" s="85"/>
      <c r="AC479" s="85"/>
      <c r="AD479" s="84"/>
      <c r="AE479" s="84"/>
      <c r="AF479" s="84"/>
      <c r="DB479" s="85"/>
    </row>
    <row r="480" spans="2:106"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  <c r="AA480" s="85"/>
      <c r="AB480" s="85"/>
      <c r="AC480" s="85"/>
      <c r="AD480" s="84"/>
      <c r="AE480" s="84"/>
      <c r="AF480" s="84"/>
      <c r="DB480" s="85"/>
    </row>
    <row r="481" spans="2:106"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  <c r="AA481" s="85"/>
      <c r="AB481" s="85"/>
      <c r="AC481" s="85"/>
      <c r="AD481" s="84"/>
      <c r="AE481" s="84"/>
      <c r="AF481" s="84"/>
      <c r="DB481" s="85"/>
    </row>
    <row r="482" spans="2:106"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  <c r="AA482" s="85"/>
      <c r="AB482" s="85"/>
      <c r="AC482" s="85"/>
      <c r="AD482" s="84"/>
      <c r="AE482" s="84"/>
      <c r="AF482" s="84"/>
      <c r="DB482" s="85"/>
    </row>
    <row r="483" spans="2:106"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  <c r="AA483" s="85"/>
      <c r="AB483" s="85"/>
      <c r="AC483" s="85"/>
      <c r="AD483" s="84"/>
      <c r="AE483" s="84"/>
      <c r="AF483" s="84"/>
      <c r="DB483" s="85"/>
    </row>
    <row r="484" spans="2:106"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  <c r="AA484" s="85"/>
      <c r="AB484" s="85"/>
      <c r="AC484" s="85"/>
      <c r="AD484" s="84"/>
      <c r="AE484" s="84"/>
      <c r="AF484" s="84"/>
      <c r="DB484" s="85"/>
    </row>
    <row r="485" spans="2:106"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  <c r="AA485" s="85"/>
      <c r="AB485" s="85"/>
      <c r="AC485" s="85"/>
      <c r="AD485" s="84"/>
      <c r="AE485" s="84"/>
      <c r="AF485" s="84"/>
      <c r="DB485" s="85"/>
    </row>
    <row r="486" spans="2:106"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  <c r="AA486" s="85"/>
      <c r="AB486" s="85"/>
      <c r="AC486" s="85"/>
      <c r="AD486" s="84"/>
      <c r="AE486" s="84"/>
      <c r="AF486" s="84"/>
      <c r="DB486" s="85"/>
    </row>
    <row r="487" spans="2:106"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  <c r="AA487" s="85"/>
      <c r="AB487" s="85"/>
      <c r="AC487" s="85"/>
      <c r="AD487" s="84"/>
      <c r="AE487" s="84"/>
      <c r="AF487" s="84"/>
      <c r="DB487" s="85"/>
    </row>
    <row r="488" spans="2:106"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  <c r="AA488" s="85"/>
      <c r="AB488" s="85"/>
      <c r="AC488" s="85"/>
      <c r="AD488" s="84"/>
      <c r="AE488" s="84"/>
      <c r="AF488" s="84"/>
      <c r="DB488" s="85"/>
    </row>
    <row r="489" spans="2:106"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  <c r="AA489" s="85"/>
      <c r="AB489" s="85"/>
      <c r="AC489" s="85"/>
      <c r="AD489" s="84"/>
      <c r="AE489" s="84"/>
      <c r="AF489" s="84"/>
      <c r="DB489" s="85"/>
    </row>
    <row r="490" spans="2:106"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  <c r="AA490" s="85"/>
      <c r="AB490" s="85"/>
      <c r="AC490" s="85"/>
      <c r="AD490" s="84"/>
      <c r="AE490" s="84"/>
      <c r="AF490" s="84"/>
      <c r="DB490" s="85"/>
    </row>
    <row r="491" spans="2:106"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  <c r="AA491" s="85"/>
      <c r="AB491" s="85"/>
      <c r="AC491" s="85"/>
      <c r="AD491" s="84"/>
      <c r="AE491" s="84"/>
      <c r="AF491" s="84"/>
      <c r="DB491" s="85"/>
    </row>
    <row r="492" spans="2:106"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  <c r="AA492" s="85"/>
      <c r="AB492" s="85"/>
      <c r="AC492" s="85"/>
      <c r="AD492" s="84"/>
      <c r="AE492" s="84"/>
      <c r="AF492" s="84"/>
      <c r="DB492" s="85"/>
    </row>
    <row r="493" spans="2:106"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  <c r="AA493" s="85"/>
      <c r="AB493" s="85"/>
      <c r="AC493" s="85"/>
      <c r="AD493" s="84"/>
      <c r="AE493" s="84"/>
      <c r="AF493" s="84"/>
      <c r="DB493" s="85"/>
    </row>
    <row r="494" spans="2:106"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  <c r="AA494" s="85"/>
      <c r="AB494" s="85"/>
      <c r="AC494" s="85"/>
      <c r="AD494" s="84"/>
      <c r="AE494" s="84"/>
      <c r="AF494" s="84"/>
      <c r="DB494" s="85"/>
    </row>
    <row r="495" spans="2:106"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  <c r="AA495" s="85"/>
      <c r="AB495" s="85"/>
      <c r="AC495" s="85"/>
      <c r="AD495" s="84"/>
      <c r="AE495" s="84"/>
      <c r="AF495" s="84"/>
      <c r="DB495" s="85"/>
    </row>
    <row r="496" spans="2:106"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  <c r="AA496" s="85"/>
      <c r="AB496" s="85"/>
      <c r="AC496" s="85"/>
      <c r="AD496" s="84"/>
      <c r="AE496" s="84"/>
      <c r="AF496" s="84"/>
      <c r="DB496" s="85"/>
    </row>
    <row r="497" spans="2:106"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4"/>
      <c r="AE497" s="84"/>
      <c r="AF497" s="84"/>
      <c r="DB497" s="85"/>
    </row>
    <row r="498" spans="2:106"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  <c r="AA498" s="85"/>
      <c r="AB498" s="85"/>
      <c r="AC498" s="85"/>
      <c r="AD498" s="84"/>
      <c r="AE498" s="84"/>
      <c r="AF498" s="84"/>
      <c r="DB498" s="85"/>
    </row>
    <row r="499" spans="2:106"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4"/>
      <c r="AE499" s="84"/>
      <c r="AF499" s="84"/>
      <c r="DB499" s="85"/>
    </row>
    <row r="500" spans="2:106"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  <c r="AA500" s="85"/>
      <c r="AB500" s="85"/>
      <c r="AC500" s="85"/>
      <c r="AD500" s="84"/>
      <c r="AE500" s="84"/>
      <c r="AF500" s="84"/>
      <c r="DB500" s="85"/>
    </row>
    <row r="501" spans="2:106"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  <c r="AA501" s="85"/>
      <c r="AB501" s="85"/>
      <c r="AC501" s="85"/>
      <c r="AD501" s="84"/>
      <c r="AE501" s="84"/>
      <c r="AF501" s="84"/>
      <c r="DB501" s="85"/>
    </row>
    <row r="502" spans="2:106"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  <c r="AA502" s="85"/>
      <c r="AB502" s="85"/>
      <c r="AC502" s="85"/>
      <c r="AD502" s="84"/>
      <c r="AE502" s="84"/>
      <c r="AF502" s="84"/>
      <c r="DB502" s="85"/>
    </row>
    <row r="503" spans="2:106"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  <c r="AA503" s="85"/>
      <c r="AB503" s="85"/>
      <c r="AC503" s="85"/>
      <c r="AD503" s="84"/>
      <c r="AE503" s="84"/>
      <c r="AF503" s="84"/>
      <c r="DB503" s="85"/>
    </row>
    <row r="504" spans="2:106"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  <c r="AA504" s="85"/>
      <c r="AB504" s="85"/>
      <c r="AC504" s="85"/>
      <c r="AD504" s="84"/>
      <c r="AE504" s="84"/>
      <c r="AF504" s="84"/>
      <c r="DB504" s="85"/>
    </row>
    <row r="505" spans="2:106"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  <c r="AA505" s="85"/>
      <c r="AB505" s="85"/>
      <c r="AC505" s="85"/>
      <c r="AD505" s="84"/>
      <c r="AE505" s="84"/>
      <c r="AF505" s="84"/>
      <c r="DB505" s="85"/>
    </row>
    <row r="506" spans="2:106"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  <c r="AA506" s="85"/>
      <c r="AB506" s="85"/>
      <c r="AC506" s="85"/>
      <c r="AD506" s="84"/>
      <c r="AE506" s="84"/>
      <c r="AF506" s="84"/>
      <c r="DB506" s="85"/>
    </row>
    <row r="507" spans="2:106"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  <c r="AA507" s="85"/>
      <c r="AB507" s="85"/>
      <c r="AC507" s="85"/>
      <c r="AD507" s="84"/>
      <c r="AE507" s="84"/>
      <c r="AF507" s="84"/>
      <c r="DB507" s="85"/>
    </row>
    <row r="508" spans="2:106"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  <c r="AA508" s="85"/>
      <c r="AB508" s="85"/>
      <c r="AC508" s="85"/>
      <c r="AD508" s="84"/>
      <c r="AE508" s="84"/>
      <c r="AF508" s="84"/>
      <c r="DB508" s="85"/>
    </row>
    <row r="509" spans="2:106"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  <c r="AD509" s="84"/>
      <c r="AE509" s="84"/>
      <c r="AF509" s="84"/>
      <c r="DB509" s="85"/>
    </row>
    <row r="510" spans="2:106"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4"/>
      <c r="AE510" s="84"/>
      <c r="AF510" s="84"/>
      <c r="DB510" s="85"/>
    </row>
    <row r="511" spans="2:106"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  <c r="AA511" s="85"/>
      <c r="AB511" s="85"/>
      <c r="AC511" s="85"/>
      <c r="AD511" s="84"/>
      <c r="AE511" s="84"/>
      <c r="AF511" s="84"/>
      <c r="DB511" s="85"/>
    </row>
    <row r="512" spans="2:106"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  <c r="AA512" s="85"/>
      <c r="AB512" s="85"/>
      <c r="AC512" s="85"/>
      <c r="AD512" s="84"/>
      <c r="AE512" s="84"/>
      <c r="AF512" s="84"/>
      <c r="DB512" s="85"/>
    </row>
    <row r="513" spans="2:106"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  <c r="AA513" s="85"/>
      <c r="AB513" s="85"/>
      <c r="AC513" s="85"/>
      <c r="AD513" s="84"/>
      <c r="AE513" s="84"/>
      <c r="AF513" s="84"/>
      <c r="DB513" s="85"/>
    </row>
    <row r="514" spans="2:106"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  <c r="AA514" s="85"/>
      <c r="AB514" s="85"/>
      <c r="AC514" s="85"/>
      <c r="AD514" s="84"/>
      <c r="AE514" s="84"/>
      <c r="AF514" s="84"/>
      <c r="DB514" s="85"/>
    </row>
    <row r="515" spans="2:106"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  <c r="AA515" s="85"/>
      <c r="AB515" s="85"/>
      <c r="AC515" s="85"/>
      <c r="AD515" s="84"/>
      <c r="AE515" s="84"/>
      <c r="AF515" s="84"/>
      <c r="DB515" s="85"/>
    </row>
    <row r="516" spans="2:106"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  <c r="AA516" s="85"/>
      <c r="AB516" s="85"/>
      <c r="AC516" s="85"/>
      <c r="AD516" s="84"/>
      <c r="AE516" s="84"/>
      <c r="AF516" s="84"/>
      <c r="DB516" s="85"/>
    </row>
    <row r="517" spans="2:106"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  <c r="AA517" s="85"/>
      <c r="AB517" s="85"/>
      <c r="AC517" s="85"/>
      <c r="AD517" s="84"/>
      <c r="AE517" s="84"/>
      <c r="AF517" s="84"/>
      <c r="DB517" s="85"/>
    </row>
    <row r="518" spans="2:106"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  <c r="AA518" s="85"/>
      <c r="AB518" s="85"/>
      <c r="AC518" s="85"/>
      <c r="AD518" s="84"/>
      <c r="AE518" s="84"/>
      <c r="AF518" s="84"/>
      <c r="DB518" s="85"/>
    </row>
    <row r="519" spans="2:106"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  <c r="AA519" s="85"/>
      <c r="AB519" s="85"/>
      <c r="AC519" s="85"/>
      <c r="AD519" s="84"/>
      <c r="AE519" s="84"/>
      <c r="AF519" s="84"/>
      <c r="DB519" s="85"/>
    </row>
    <row r="520" spans="2:106"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  <c r="AA520" s="85"/>
      <c r="AB520" s="85"/>
      <c r="AC520" s="85"/>
      <c r="AD520" s="84"/>
      <c r="AE520" s="84"/>
      <c r="AF520" s="84"/>
      <c r="DB520" s="85"/>
    </row>
    <row r="521" spans="2:106"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  <c r="AA521" s="85"/>
      <c r="AB521" s="85"/>
      <c r="AC521" s="85"/>
      <c r="AD521" s="84"/>
      <c r="AE521" s="84"/>
      <c r="AF521" s="84"/>
      <c r="DB521" s="85"/>
    </row>
    <row r="522" spans="2:106"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  <c r="AA522" s="85"/>
      <c r="AB522" s="85"/>
      <c r="AC522" s="85"/>
      <c r="AD522" s="84"/>
      <c r="AE522" s="84"/>
      <c r="AF522" s="84"/>
      <c r="DB522" s="85"/>
    </row>
    <row r="523" spans="2:106"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  <c r="AA523" s="85"/>
      <c r="AB523" s="85"/>
      <c r="AC523" s="85"/>
      <c r="AD523" s="84"/>
      <c r="AE523" s="84"/>
      <c r="AF523" s="84"/>
      <c r="DB523" s="85"/>
    </row>
    <row r="524" spans="2:106"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  <c r="AA524" s="85"/>
      <c r="AB524" s="85"/>
      <c r="AC524" s="85"/>
      <c r="AD524" s="84"/>
      <c r="AE524" s="84"/>
      <c r="AF524" s="84"/>
      <c r="DB524" s="85"/>
    </row>
    <row r="525" spans="2:106"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  <c r="AA525" s="85"/>
      <c r="AB525" s="85"/>
      <c r="AC525" s="85"/>
      <c r="AD525" s="84"/>
      <c r="AE525" s="84"/>
      <c r="AF525" s="84"/>
      <c r="DB525" s="85"/>
    </row>
    <row r="526" spans="2:106"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  <c r="AA526" s="85"/>
      <c r="AB526" s="85"/>
      <c r="AC526" s="85"/>
      <c r="AD526" s="84"/>
      <c r="AE526" s="84"/>
      <c r="AF526" s="84"/>
      <c r="DB526" s="85"/>
    </row>
    <row r="527" spans="2:106"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  <c r="AA527" s="85"/>
      <c r="AB527" s="85"/>
      <c r="AC527" s="85"/>
      <c r="AD527" s="84"/>
      <c r="AE527" s="84"/>
      <c r="AF527" s="84"/>
      <c r="DB527" s="85"/>
    </row>
    <row r="528" spans="2:106"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  <c r="AA528" s="85"/>
      <c r="AB528" s="85"/>
      <c r="AC528" s="85"/>
      <c r="AD528" s="84"/>
      <c r="AE528" s="84"/>
      <c r="AF528" s="84"/>
      <c r="DB528" s="85"/>
    </row>
    <row r="529" spans="2:106"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  <c r="AA529" s="85"/>
      <c r="AB529" s="85"/>
      <c r="AC529" s="85"/>
      <c r="AD529" s="84"/>
      <c r="AE529" s="84"/>
      <c r="AF529" s="84"/>
      <c r="DB529" s="85"/>
    </row>
    <row r="530" spans="2:106"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  <c r="AA530" s="85"/>
      <c r="AB530" s="85"/>
      <c r="AC530" s="85"/>
      <c r="AD530" s="84"/>
      <c r="AE530" s="84"/>
      <c r="AF530" s="84"/>
      <c r="DB530" s="85"/>
    </row>
    <row r="531" spans="2:106"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  <c r="AA531" s="85"/>
      <c r="AB531" s="85"/>
      <c r="AC531" s="85"/>
      <c r="AD531" s="84"/>
      <c r="AE531" s="84"/>
      <c r="AF531" s="84"/>
      <c r="DB531" s="85"/>
    </row>
    <row r="532" spans="2:106"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  <c r="AA532" s="85"/>
      <c r="AB532" s="85"/>
      <c r="AC532" s="85"/>
      <c r="AD532" s="84"/>
      <c r="AE532" s="84"/>
      <c r="AF532" s="84"/>
      <c r="DB532" s="85"/>
    </row>
    <row r="533" spans="2:106"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  <c r="AA533" s="85"/>
      <c r="AB533" s="85"/>
      <c r="AC533" s="85"/>
      <c r="AD533" s="84"/>
      <c r="AE533" s="84"/>
      <c r="AF533" s="84"/>
      <c r="DB533" s="85"/>
    </row>
    <row r="534" spans="2:106"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  <c r="AA534" s="85"/>
      <c r="AB534" s="85"/>
      <c r="AC534" s="85"/>
      <c r="AD534" s="84"/>
      <c r="AE534" s="84"/>
      <c r="AF534" s="84"/>
      <c r="DB534" s="85"/>
    </row>
    <row r="535" spans="2:106"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4"/>
      <c r="AE535" s="84"/>
      <c r="AF535" s="84"/>
      <c r="DB535" s="85"/>
    </row>
    <row r="536" spans="2:106"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  <c r="AA536" s="85"/>
      <c r="AB536" s="85"/>
      <c r="AC536" s="85"/>
      <c r="AD536" s="84"/>
      <c r="AE536" s="84"/>
      <c r="AF536" s="84"/>
      <c r="DB536" s="85"/>
    </row>
    <row r="537" spans="2:106"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  <c r="AA537" s="85"/>
      <c r="AB537" s="85"/>
      <c r="AC537" s="85"/>
      <c r="AD537" s="84"/>
      <c r="AE537" s="84"/>
      <c r="AF537" s="84"/>
      <c r="DB537" s="85"/>
    </row>
    <row r="538" spans="2:106"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  <c r="AA538" s="85"/>
      <c r="AB538" s="85"/>
      <c r="AC538" s="85"/>
      <c r="AD538" s="84"/>
      <c r="AE538" s="84"/>
      <c r="AF538" s="84"/>
      <c r="DB538" s="85"/>
    </row>
    <row r="539" spans="2:106"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  <c r="AA539" s="85"/>
      <c r="AB539" s="85"/>
      <c r="AC539" s="85"/>
      <c r="AD539" s="84"/>
      <c r="AE539" s="84"/>
      <c r="AF539" s="84"/>
      <c r="DB539" s="85"/>
    </row>
    <row r="540" spans="2:106"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  <c r="AA540" s="85"/>
      <c r="AB540" s="85"/>
      <c r="AC540" s="85"/>
      <c r="AD540" s="84"/>
      <c r="AE540" s="84"/>
      <c r="AF540" s="84"/>
      <c r="DB540" s="85"/>
    </row>
    <row r="541" spans="2:106"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  <c r="AA541" s="85"/>
      <c r="AB541" s="85"/>
      <c r="AC541" s="85"/>
      <c r="AD541" s="84"/>
      <c r="AE541" s="84"/>
      <c r="AF541" s="84"/>
      <c r="DB541" s="85"/>
    </row>
    <row r="542" spans="2:106"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  <c r="AA542" s="85"/>
      <c r="AB542" s="85"/>
      <c r="AC542" s="85"/>
      <c r="AD542" s="84"/>
      <c r="AE542" s="84"/>
      <c r="AF542" s="84"/>
      <c r="DB542" s="85"/>
    </row>
    <row r="543" spans="2:106"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  <c r="AA543" s="85"/>
      <c r="AB543" s="85"/>
      <c r="AC543" s="85"/>
      <c r="AD543" s="84"/>
      <c r="AE543" s="84"/>
      <c r="AF543" s="84"/>
      <c r="DB543" s="85"/>
    </row>
    <row r="544" spans="2:106"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  <c r="AA544" s="85"/>
      <c r="AB544" s="85"/>
      <c r="AC544" s="85"/>
      <c r="AD544" s="84"/>
      <c r="AE544" s="84"/>
      <c r="AF544" s="84"/>
      <c r="DB544" s="85"/>
    </row>
    <row r="545" spans="2:106"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  <c r="AA545" s="85"/>
      <c r="AB545" s="85"/>
      <c r="AC545" s="85"/>
      <c r="AD545" s="84"/>
      <c r="AE545" s="84"/>
      <c r="AF545" s="84"/>
      <c r="DB545" s="85"/>
    </row>
    <row r="546" spans="2:106"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  <c r="AA546" s="85"/>
      <c r="AB546" s="85"/>
      <c r="AC546" s="85"/>
      <c r="AD546" s="84"/>
      <c r="AE546" s="84"/>
      <c r="AF546" s="84"/>
      <c r="DB546" s="85"/>
    </row>
    <row r="547" spans="2:106"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  <c r="AA547" s="85"/>
      <c r="AB547" s="85"/>
      <c r="AC547" s="85"/>
      <c r="AD547" s="84"/>
      <c r="AE547" s="84"/>
      <c r="AF547" s="84"/>
      <c r="DB547" s="85"/>
    </row>
    <row r="548" spans="2:106"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  <c r="AA548" s="85"/>
      <c r="AB548" s="85"/>
      <c r="AC548" s="85"/>
      <c r="AD548" s="84"/>
      <c r="AE548" s="84"/>
      <c r="AF548" s="84"/>
      <c r="DB548" s="85"/>
    </row>
    <row r="549" spans="2:106"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  <c r="AA549" s="85"/>
      <c r="AB549" s="85"/>
      <c r="AC549" s="85"/>
      <c r="AD549" s="84"/>
      <c r="AE549" s="84"/>
      <c r="AF549" s="84"/>
      <c r="DB549" s="85"/>
    </row>
    <row r="550" spans="2:106"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  <c r="AA550" s="85"/>
      <c r="AB550" s="85"/>
      <c r="AC550" s="85"/>
      <c r="AD550" s="84"/>
      <c r="AE550" s="84"/>
      <c r="AF550" s="84"/>
      <c r="DB550" s="85"/>
    </row>
    <row r="551" spans="2:106"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  <c r="AA551" s="85"/>
      <c r="AB551" s="85"/>
      <c r="AC551" s="85"/>
      <c r="AD551" s="84"/>
      <c r="AE551" s="84"/>
      <c r="AF551" s="84"/>
      <c r="DB551" s="85"/>
    </row>
    <row r="552" spans="2:106"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  <c r="AA552" s="85"/>
      <c r="AB552" s="85"/>
      <c r="AC552" s="85"/>
      <c r="AD552" s="84"/>
      <c r="AE552" s="84"/>
      <c r="AF552" s="84"/>
      <c r="DB552" s="85"/>
    </row>
    <row r="553" spans="2:106"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  <c r="AA553" s="85"/>
      <c r="AB553" s="85"/>
      <c r="AC553" s="85"/>
      <c r="AD553" s="84"/>
      <c r="AE553" s="84"/>
      <c r="AF553" s="84"/>
      <c r="DB553" s="85"/>
    </row>
    <row r="554" spans="2:106"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  <c r="AA554" s="85"/>
      <c r="AB554" s="85"/>
      <c r="AC554" s="85"/>
      <c r="AD554" s="84"/>
      <c r="AE554" s="84"/>
      <c r="AF554" s="84"/>
      <c r="DB554" s="85"/>
    </row>
    <row r="555" spans="2:106"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  <c r="AA555" s="85"/>
      <c r="AB555" s="85"/>
      <c r="AC555" s="85"/>
      <c r="AD555" s="84"/>
      <c r="AE555" s="84"/>
      <c r="AF555" s="84"/>
      <c r="DB555" s="85"/>
    </row>
    <row r="556" spans="2:106"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  <c r="AA556" s="85"/>
      <c r="AB556" s="85"/>
      <c r="AC556" s="85"/>
      <c r="AD556" s="84"/>
      <c r="AE556" s="84"/>
      <c r="AF556" s="84"/>
      <c r="DB556" s="85"/>
    </row>
    <row r="557" spans="2:106"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  <c r="AA557" s="85"/>
      <c r="AB557" s="85"/>
      <c r="AC557" s="85"/>
      <c r="AD557" s="84"/>
      <c r="AE557" s="84"/>
      <c r="AF557" s="84"/>
      <c r="DB557" s="85"/>
    </row>
    <row r="558" spans="2:106"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  <c r="AA558" s="85"/>
      <c r="AB558" s="85"/>
      <c r="AC558" s="85"/>
      <c r="AD558" s="84"/>
      <c r="AE558" s="84"/>
      <c r="AF558" s="84"/>
      <c r="DB558" s="85"/>
    </row>
    <row r="559" spans="2:106"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  <c r="AA559" s="85"/>
      <c r="AB559" s="85"/>
      <c r="AC559" s="85"/>
      <c r="AD559" s="84"/>
      <c r="AE559" s="84"/>
      <c r="AF559" s="84"/>
      <c r="DB559" s="85"/>
    </row>
    <row r="560" spans="2:106"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  <c r="AA560" s="85"/>
      <c r="AB560" s="85"/>
      <c r="AC560" s="85"/>
      <c r="AD560" s="84"/>
      <c r="AE560" s="84"/>
      <c r="AF560" s="84"/>
      <c r="DB560" s="85"/>
    </row>
    <row r="561" spans="2:106"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  <c r="AA561" s="85"/>
      <c r="AB561" s="85"/>
      <c r="AC561" s="85"/>
      <c r="AD561" s="84"/>
      <c r="AE561" s="84"/>
      <c r="AF561" s="84"/>
      <c r="DB561" s="85"/>
    </row>
    <row r="562" spans="2:106"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  <c r="AA562" s="85"/>
      <c r="AB562" s="85"/>
      <c r="AC562" s="85"/>
      <c r="AD562" s="84"/>
      <c r="AE562" s="84"/>
      <c r="AF562" s="84"/>
      <c r="DB562" s="85"/>
    </row>
    <row r="563" spans="2:106"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  <c r="AA563" s="85"/>
      <c r="AB563" s="85"/>
      <c r="AC563" s="85"/>
      <c r="AD563" s="84"/>
      <c r="AE563" s="84"/>
      <c r="AF563" s="84"/>
      <c r="DB563" s="85"/>
    </row>
    <row r="564" spans="2:106"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  <c r="AA564" s="85"/>
      <c r="AB564" s="85"/>
      <c r="AC564" s="85"/>
      <c r="AD564" s="84"/>
      <c r="AE564" s="84"/>
      <c r="AF564" s="84"/>
      <c r="DB564" s="85"/>
    </row>
    <row r="565" spans="2:106"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  <c r="AA565" s="85"/>
      <c r="AB565" s="85"/>
      <c r="AC565" s="85"/>
      <c r="AD565" s="84"/>
      <c r="AE565" s="84"/>
      <c r="AF565" s="84"/>
      <c r="DB565" s="85"/>
    </row>
    <row r="566" spans="2:106"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  <c r="AA566" s="85"/>
      <c r="AB566" s="85"/>
      <c r="AC566" s="85"/>
      <c r="AD566" s="84"/>
      <c r="AE566" s="84"/>
      <c r="AF566" s="84"/>
      <c r="DB566" s="85"/>
    </row>
    <row r="567" spans="2:106"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  <c r="AA567" s="85"/>
      <c r="AB567" s="85"/>
      <c r="AC567" s="85"/>
      <c r="AD567" s="84"/>
      <c r="AE567" s="84"/>
      <c r="AF567" s="84"/>
      <c r="DB567" s="85"/>
    </row>
    <row r="568" spans="2:106"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  <c r="AA568" s="85"/>
      <c r="AB568" s="85"/>
      <c r="AC568" s="85"/>
      <c r="AD568" s="84"/>
      <c r="AE568" s="84"/>
      <c r="AF568" s="84"/>
      <c r="DB568" s="85"/>
    </row>
    <row r="569" spans="2:106"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  <c r="AA569" s="85"/>
      <c r="AB569" s="85"/>
      <c r="AC569" s="85"/>
      <c r="AD569" s="84"/>
      <c r="AE569" s="84"/>
      <c r="AF569" s="84"/>
      <c r="DB569" s="85"/>
    </row>
    <row r="570" spans="2:106"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  <c r="AA570" s="85"/>
      <c r="AB570" s="85"/>
      <c r="AC570" s="85"/>
      <c r="AD570" s="84"/>
      <c r="AE570" s="84"/>
      <c r="AF570" s="84"/>
      <c r="DB570" s="85"/>
    </row>
    <row r="571" spans="2:106"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  <c r="AA571" s="85"/>
      <c r="AB571" s="85"/>
      <c r="AC571" s="85"/>
      <c r="AD571" s="84"/>
      <c r="AE571" s="84"/>
      <c r="AF571" s="84"/>
      <c r="DB571" s="85"/>
    </row>
    <row r="572" spans="2:106"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  <c r="AA572" s="85"/>
      <c r="AB572" s="85"/>
      <c r="AC572" s="85"/>
      <c r="AD572" s="84"/>
      <c r="AE572" s="84"/>
      <c r="AF572" s="84"/>
      <c r="DB572" s="85"/>
    </row>
    <row r="573" spans="2:106"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4"/>
      <c r="AE573" s="84"/>
      <c r="AF573" s="84"/>
      <c r="DB573" s="85"/>
    </row>
    <row r="574" spans="2:106"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  <c r="AA574" s="85"/>
      <c r="AB574" s="85"/>
      <c r="AC574" s="85"/>
      <c r="AD574" s="84"/>
      <c r="AE574" s="84"/>
      <c r="AF574" s="84"/>
      <c r="DB574" s="85"/>
    </row>
    <row r="575" spans="2:106"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  <c r="AA575" s="85"/>
      <c r="AB575" s="85"/>
      <c r="AC575" s="85"/>
      <c r="AD575" s="84"/>
      <c r="AE575" s="84"/>
      <c r="AF575" s="84"/>
      <c r="DB575" s="85"/>
    </row>
    <row r="576" spans="2:106"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  <c r="AA576" s="85"/>
      <c r="AB576" s="85"/>
      <c r="AC576" s="85"/>
      <c r="AD576" s="84"/>
      <c r="AE576" s="84"/>
      <c r="AF576" s="84"/>
      <c r="DB576" s="85"/>
    </row>
    <row r="577" spans="2:106"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  <c r="AA577" s="85"/>
      <c r="AB577" s="85"/>
      <c r="AC577" s="85"/>
      <c r="AD577" s="84"/>
      <c r="AE577" s="84"/>
      <c r="AF577" s="84"/>
      <c r="DB577" s="85"/>
    </row>
    <row r="578" spans="2:106"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  <c r="AA578" s="85"/>
      <c r="AB578" s="85"/>
      <c r="AC578" s="85"/>
      <c r="AD578" s="84"/>
      <c r="AE578" s="84"/>
      <c r="AF578" s="84"/>
      <c r="DB578" s="85"/>
    </row>
    <row r="579" spans="2:106"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  <c r="AA579" s="85"/>
      <c r="AB579" s="85"/>
      <c r="AC579" s="85"/>
      <c r="AD579" s="84"/>
      <c r="AE579" s="84"/>
      <c r="AF579" s="84"/>
      <c r="DB579" s="85"/>
    </row>
    <row r="580" spans="2:106"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  <c r="AA580" s="85"/>
      <c r="AB580" s="85"/>
      <c r="AC580" s="85"/>
      <c r="AD580" s="84"/>
      <c r="AE580" s="84"/>
      <c r="AF580" s="84"/>
      <c r="DB580" s="85"/>
    </row>
    <row r="581" spans="2:106"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  <c r="AA581" s="85"/>
      <c r="AB581" s="85"/>
      <c r="AC581" s="85"/>
      <c r="AD581" s="84"/>
      <c r="AE581" s="84"/>
      <c r="AF581" s="84"/>
      <c r="DB581" s="85"/>
    </row>
    <row r="582" spans="2:106"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  <c r="AA582" s="85"/>
      <c r="AB582" s="85"/>
      <c r="AC582" s="85"/>
      <c r="AD582" s="84"/>
      <c r="AE582" s="84"/>
      <c r="AF582" s="84"/>
      <c r="DB582" s="85"/>
    </row>
    <row r="583" spans="2:106"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  <c r="AA583" s="85"/>
      <c r="AB583" s="85"/>
      <c r="AC583" s="85"/>
      <c r="AD583" s="84"/>
      <c r="AE583" s="84"/>
      <c r="AF583" s="84"/>
      <c r="DB583" s="85"/>
    </row>
    <row r="584" spans="2:106"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  <c r="AA584" s="85"/>
      <c r="AB584" s="85"/>
      <c r="AC584" s="85"/>
      <c r="AD584" s="84"/>
      <c r="AE584" s="84"/>
      <c r="AF584" s="84"/>
      <c r="DB584" s="85"/>
    </row>
    <row r="585" spans="2:106"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  <c r="AA585" s="85"/>
      <c r="AB585" s="85"/>
      <c r="AC585" s="85"/>
      <c r="AD585" s="84"/>
      <c r="AE585" s="84"/>
      <c r="AF585" s="84"/>
      <c r="DB585" s="85"/>
    </row>
    <row r="586" spans="2:106"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  <c r="AA586" s="85"/>
      <c r="AB586" s="85"/>
      <c r="AC586" s="85"/>
      <c r="AD586" s="84"/>
      <c r="AE586" s="84"/>
      <c r="AF586" s="84"/>
      <c r="DB586" s="85"/>
    </row>
    <row r="587" spans="2:106"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  <c r="AA587" s="85"/>
      <c r="AB587" s="85"/>
      <c r="AC587" s="85"/>
      <c r="AD587" s="84"/>
      <c r="AE587" s="84"/>
      <c r="AF587" s="84"/>
      <c r="DB587" s="85"/>
    </row>
    <row r="588" spans="2:106"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  <c r="AA588" s="85"/>
      <c r="AB588" s="85"/>
      <c r="AC588" s="85"/>
      <c r="AD588" s="84"/>
      <c r="AE588" s="84"/>
      <c r="AF588" s="84"/>
      <c r="DB588" s="85"/>
    </row>
    <row r="589" spans="2:106"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  <c r="AA589" s="85"/>
      <c r="AB589" s="85"/>
      <c r="AC589" s="85"/>
      <c r="AD589" s="84"/>
      <c r="AE589" s="84"/>
      <c r="AF589" s="84"/>
      <c r="DB589" s="85"/>
    </row>
    <row r="590" spans="2:106"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  <c r="AA590" s="85"/>
      <c r="AB590" s="85"/>
      <c r="AC590" s="85"/>
      <c r="AD590" s="84"/>
      <c r="AE590" s="84"/>
      <c r="AF590" s="84"/>
      <c r="DB590" s="85"/>
    </row>
    <row r="591" spans="2:106"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  <c r="AA591" s="85"/>
      <c r="AB591" s="85"/>
      <c r="AC591" s="85"/>
      <c r="AD591" s="84"/>
      <c r="AE591" s="84"/>
      <c r="AF591" s="84"/>
      <c r="DB591" s="85"/>
    </row>
    <row r="592" spans="2:106"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  <c r="AA592" s="85"/>
      <c r="AB592" s="85"/>
      <c r="AC592" s="85"/>
      <c r="AD592" s="84"/>
      <c r="AE592" s="84"/>
      <c r="AF592" s="84"/>
      <c r="DB592" s="85"/>
    </row>
    <row r="593" spans="2:106"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  <c r="AA593" s="85"/>
      <c r="AB593" s="85"/>
      <c r="AC593" s="85"/>
      <c r="AD593" s="84"/>
      <c r="AE593" s="84"/>
      <c r="AF593" s="84"/>
      <c r="DB593" s="85"/>
    </row>
    <row r="594" spans="2:106"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  <c r="AA594" s="85"/>
      <c r="AB594" s="85"/>
      <c r="AC594" s="85"/>
      <c r="AD594" s="84"/>
      <c r="AE594" s="84"/>
      <c r="AF594" s="84"/>
      <c r="DB594" s="85"/>
    </row>
    <row r="595" spans="2:106"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  <c r="AA595" s="85"/>
      <c r="AB595" s="85"/>
      <c r="AC595" s="85"/>
      <c r="AD595" s="84"/>
      <c r="AE595" s="84"/>
      <c r="AF595" s="84"/>
      <c r="DB595" s="85"/>
    </row>
    <row r="596" spans="2:106"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  <c r="AA596" s="85"/>
      <c r="AB596" s="85"/>
      <c r="AC596" s="85"/>
      <c r="AD596" s="84"/>
      <c r="AE596" s="84"/>
      <c r="AF596" s="84"/>
      <c r="DB596" s="85"/>
    </row>
    <row r="597" spans="2:106"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  <c r="AA597" s="85"/>
      <c r="AB597" s="85"/>
      <c r="AC597" s="85"/>
      <c r="AD597" s="84"/>
      <c r="AE597" s="84"/>
      <c r="AF597" s="84"/>
      <c r="DB597" s="85"/>
    </row>
    <row r="598" spans="2:106"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  <c r="AA598" s="85"/>
      <c r="AB598" s="85"/>
      <c r="AC598" s="85"/>
      <c r="AD598" s="84"/>
      <c r="AE598" s="84"/>
      <c r="AF598" s="84"/>
      <c r="DB598" s="85"/>
    </row>
    <row r="599" spans="2:106"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  <c r="AA599" s="85"/>
      <c r="AB599" s="85"/>
      <c r="AC599" s="85"/>
      <c r="AD599" s="84"/>
      <c r="AE599" s="84"/>
      <c r="AF599" s="84"/>
      <c r="DB599" s="85"/>
    </row>
    <row r="600" spans="2:106"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  <c r="AA600" s="85"/>
      <c r="AB600" s="85"/>
      <c r="AC600" s="85"/>
      <c r="AD600" s="84"/>
      <c r="AE600" s="84"/>
      <c r="AF600" s="84"/>
      <c r="DB600" s="85"/>
    </row>
    <row r="601" spans="2:106"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  <c r="AA601" s="85"/>
      <c r="AB601" s="85"/>
      <c r="AC601" s="85"/>
      <c r="AD601" s="84"/>
      <c r="AE601" s="84"/>
      <c r="AF601" s="84"/>
      <c r="DB601" s="85"/>
    </row>
    <row r="602" spans="2:106"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  <c r="AA602" s="85"/>
      <c r="AB602" s="85"/>
      <c r="AC602" s="85"/>
      <c r="AD602" s="84"/>
      <c r="AE602" s="84"/>
      <c r="AF602" s="84"/>
      <c r="DB602" s="85"/>
    </row>
    <row r="603" spans="2:106"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  <c r="AA603" s="85"/>
      <c r="AB603" s="85"/>
      <c r="AC603" s="85"/>
      <c r="AD603" s="84"/>
      <c r="AE603" s="84"/>
      <c r="AF603" s="84"/>
      <c r="DB603" s="85"/>
    </row>
    <row r="604" spans="2:106"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  <c r="AA604" s="85"/>
      <c r="AB604" s="85"/>
      <c r="AC604" s="85"/>
      <c r="AD604" s="84"/>
      <c r="AE604" s="84"/>
      <c r="AF604" s="84"/>
      <c r="DB604" s="85"/>
    </row>
    <row r="605" spans="2:106"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  <c r="AA605" s="85"/>
      <c r="AB605" s="85"/>
      <c r="AC605" s="85"/>
      <c r="AD605" s="84"/>
      <c r="AE605" s="84"/>
      <c r="AF605" s="84"/>
      <c r="DB605" s="85"/>
    </row>
    <row r="606" spans="2:106"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  <c r="AA606" s="85"/>
      <c r="AB606" s="85"/>
      <c r="AC606" s="85"/>
      <c r="AD606" s="84"/>
      <c r="AE606" s="84"/>
      <c r="AF606" s="84"/>
      <c r="DB606" s="85"/>
    </row>
    <row r="607" spans="2:106"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  <c r="AA607" s="85"/>
      <c r="AB607" s="85"/>
      <c r="AC607" s="85"/>
      <c r="AD607" s="84"/>
      <c r="AE607" s="84"/>
      <c r="AF607" s="84"/>
      <c r="DB607" s="85"/>
    </row>
    <row r="608" spans="2:106"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  <c r="AA608" s="85"/>
      <c r="AB608" s="85"/>
      <c r="AC608" s="85"/>
      <c r="AD608" s="84"/>
      <c r="AE608" s="84"/>
      <c r="AF608" s="84"/>
      <c r="DB608" s="85"/>
    </row>
    <row r="609" spans="2:106"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  <c r="AA609" s="85"/>
      <c r="AB609" s="85"/>
      <c r="AC609" s="85"/>
      <c r="AD609" s="84"/>
      <c r="AE609" s="84"/>
      <c r="AF609" s="84"/>
      <c r="DB609" s="85"/>
    </row>
    <row r="610" spans="2:106"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  <c r="AA610" s="85"/>
      <c r="AB610" s="85"/>
      <c r="AC610" s="85"/>
      <c r="AD610" s="84"/>
      <c r="AE610" s="84"/>
      <c r="AF610" s="84"/>
      <c r="DB610" s="85"/>
    </row>
    <row r="611" spans="2:106"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4"/>
      <c r="AE611" s="84"/>
      <c r="AF611" s="84"/>
      <c r="DB611" s="85"/>
    </row>
    <row r="612" spans="2:106"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  <c r="AA612" s="85"/>
      <c r="AB612" s="85"/>
      <c r="AC612" s="85"/>
      <c r="AD612" s="84"/>
      <c r="AE612" s="84"/>
      <c r="AF612" s="84"/>
      <c r="DB612" s="85"/>
    </row>
    <row r="613" spans="2:106"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  <c r="AA613" s="85"/>
      <c r="AB613" s="85"/>
      <c r="AC613" s="85"/>
      <c r="AD613" s="84"/>
      <c r="AE613" s="84"/>
      <c r="AF613" s="84"/>
      <c r="DB613" s="85"/>
    </row>
    <row r="614" spans="2:106"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  <c r="AA614" s="85"/>
      <c r="AB614" s="85"/>
      <c r="AC614" s="85"/>
      <c r="AD614" s="84"/>
      <c r="AE614" s="84"/>
      <c r="AF614" s="84"/>
      <c r="DB614" s="85"/>
    </row>
    <row r="615" spans="2:106"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  <c r="AA615" s="85"/>
      <c r="AB615" s="85"/>
      <c r="AC615" s="85"/>
      <c r="AD615" s="84"/>
      <c r="AE615" s="84"/>
      <c r="AF615" s="84"/>
      <c r="DB615" s="85"/>
    </row>
    <row r="616" spans="2:106"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  <c r="AA616" s="85"/>
      <c r="AB616" s="85"/>
      <c r="AC616" s="85"/>
      <c r="AD616" s="84"/>
      <c r="AE616" s="84"/>
      <c r="AF616" s="84"/>
      <c r="DB616" s="85"/>
    </row>
    <row r="617" spans="2:106"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  <c r="AA617" s="85"/>
      <c r="AB617" s="85"/>
      <c r="AC617" s="85"/>
      <c r="AD617" s="84"/>
      <c r="AE617" s="84"/>
      <c r="AF617" s="84"/>
      <c r="DB617" s="85"/>
    </row>
    <row r="618" spans="2:106"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  <c r="AA618" s="85"/>
      <c r="AB618" s="85"/>
      <c r="AC618" s="85"/>
      <c r="AD618" s="84"/>
      <c r="AE618" s="84"/>
      <c r="AF618" s="84"/>
      <c r="DB618" s="85"/>
    </row>
    <row r="619" spans="2:106"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  <c r="AA619" s="85"/>
      <c r="AB619" s="85"/>
      <c r="AC619" s="85"/>
      <c r="AD619" s="84"/>
      <c r="AE619" s="84"/>
      <c r="AF619" s="84"/>
      <c r="DB619" s="85"/>
    </row>
    <row r="620" spans="2:106"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  <c r="AA620" s="85"/>
      <c r="AB620" s="85"/>
      <c r="AC620" s="85"/>
      <c r="AD620" s="84"/>
      <c r="AE620" s="84"/>
      <c r="AF620" s="84"/>
      <c r="DB620" s="85"/>
    </row>
    <row r="621" spans="2:106"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  <c r="AA621" s="85"/>
      <c r="AB621" s="85"/>
      <c r="AC621" s="85"/>
      <c r="AD621" s="84"/>
      <c r="AE621" s="84"/>
      <c r="AF621" s="84"/>
      <c r="DB621" s="85"/>
    </row>
    <row r="622" spans="2:106"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  <c r="AA622" s="85"/>
      <c r="AB622" s="85"/>
      <c r="AC622" s="85"/>
      <c r="AD622" s="84"/>
      <c r="AE622" s="84"/>
      <c r="AF622" s="84"/>
      <c r="DB622" s="85"/>
    </row>
    <row r="623" spans="2:106"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  <c r="AA623" s="85"/>
      <c r="AB623" s="85"/>
      <c r="AC623" s="85"/>
      <c r="AD623" s="84"/>
      <c r="AE623" s="84"/>
      <c r="AF623" s="84"/>
      <c r="DB623" s="85"/>
    </row>
    <row r="624" spans="2:106"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  <c r="AA624" s="85"/>
      <c r="AB624" s="85"/>
      <c r="AC624" s="85"/>
      <c r="AD624" s="84"/>
      <c r="AE624" s="84"/>
      <c r="AF624" s="84"/>
      <c r="DB624" s="85"/>
    </row>
    <row r="625" spans="2:106"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  <c r="AA625" s="85"/>
      <c r="AB625" s="85"/>
      <c r="AC625" s="85"/>
      <c r="AD625" s="84"/>
      <c r="AE625" s="84"/>
      <c r="AF625" s="84"/>
      <c r="DB625" s="85"/>
    </row>
    <row r="626" spans="2:106"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  <c r="AA626" s="85"/>
      <c r="AB626" s="85"/>
      <c r="AC626" s="85"/>
      <c r="AD626" s="84"/>
      <c r="AE626" s="84"/>
      <c r="AF626" s="84"/>
      <c r="DB626" s="85"/>
    </row>
    <row r="627" spans="2:106"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  <c r="AA627" s="85"/>
      <c r="AB627" s="85"/>
      <c r="AC627" s="85"/>
      <c r="AD627" s="84"/>
      <c r="AE627" s="84"/>
      <c r="AF627" s="84"/>
      <c r="DB627" s="85"/>
    </row>
    <row r="628" spans="2:106"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  <c r="AA628" s="85"/>
      <c r="AB628" s="85"/>
      <c r="AC628" s="85"/>
      <c r="AD628" s="84"/>
      <c r="AE628" s="84"/>
      <c r="AF628" s="84"/>
      <c r="DB628" s="85"/>
    </row>
    <row r="629" spans="2:106"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  <c r="AA629" s="85"/>
      <c r="AB629" s="85"/>
      <c r="AC629" s="85"/>
      <c r="AD629" s="84"/>
      <c r="AE629" s="84"/>
      <c r="AF629" s="84"/>
      <c r="DB629" s="85"/>
    </row>
    <row r="630" spans="2:106"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  <c r="AA630" s="85"/>
      <c r="AB630" s="85"/>
      <c r="AC630" s="85"/>
      <c r="AD630" s="84"/>
      <c r="AE630" s="84"/>
      <c r="AF630" s="84"/>
      <c r="DB630" s="85"/>
    </row>
    <row r="631" spans="2:106"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  <c r="AA631" s="85"/>
      <c r="AB631" s="85"/>
      <c r="AC631" s="85"/>
      <c r="AD631" s="84"/>
      <c r="AE631" s="84"/>
      <c r="AF631" s="84"/>
      <c r="DB631" s="85"/>
    </row>
    <row r="632" spans="2:106"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  <c r="AA632" s="85"/>
      <c r="AB632" s="85"/>
      <c r="AC632" s="85"/>
      <c r="AD632" s="84"/>
      <c r="AE632" s="84"/>
      <c r="AF632" s="84"/>
      <c r="DB632" s="85"/>
    </row>
    <row r="633" spans="2:106"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  <c r="AA633" s="85"/>
      <c r="AB633" s="85"/>
      <c r="AC633" s="85"/>
      <c r="AD633" s="84"/>
      <c r="AE633" s="84"/>
      <c r="AF633" s="84"/>
      <c r="DB633" s="85"/>
    </row>
    <row r="634" spans="2:106"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  <c r="AA634" s="85"/>
      <c r="AB634" s="85"/>
      <c r="AC634" s="85"/>
      <c r="AD634" s="84"/>
      <c r="AE634" s="84"/>
      <c r="AF634" s="84"/>
      <c r="DB634" s="85"/>
    </row>
    <row r="635" spans="2:106"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  <c r="AA635" s="85"/>
      <c r="AB635" s="85"/>
      <c r="AC635" s="85"/>
      <c r="AD635" s="84"/>
      <c r="AE635" s="84"/>
      <c r="AF635" s="84"/>
      <c r="DB635" s="85"/>
    </row>
    <row r="636" spans="2:106"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  <c r="AA636" s="85"/>
      <c r="AB636" s="85"/>
      <c r="AC636" s="85"/>
      <c r="AD636" s="84"/>
      <c r="AE636" s="84"/>
      <c r="AF636" s="84"/>
      <c r="DB636" s="85"/>
    </row>
    <row r="637" spans="2:106"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  <c r="AA637" s="85"/>
      <c r="AB637" s="85"/>
      <c r="AC637" s="85"/>
      <c r="AD637" s="84"/>
      <c r="AE637" s="84"/>
      <c r="AF637" s="84"/>
      <c r="DB637" s="85"/>
    </row>
    <row r="638" spans="2:106"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  <c r="AA638" s="85"/>
      <c r="AB638" s="85"/>
      <c r="AC638" s="85"/>
      <c r="AD638" s="84"/>
      <c r="AE638" s="84"/>
      <c r="AF638" s="84"/>
      <c r="DB638" s="85"/>
    </row>
    <row r="639" spans="2:106"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  <c r="AA639" s="85"/>
      <c r="AB639" s="85"/>
      <c r="AC639" s="85"/>
      <c r="AD639" s="84"/>
      <c r="AE639" s="84"/>
      <c r="AF639" s="84"/>
      <c r="DB639" s="85"/>
    </row>
    <row r="640" spans="2:106"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  <c r="AA640" s="85"/>
      <c r="AB640" s="85"/>
      <c r="AC640" s="85"/>
      <c r="AD640" s="84"/>
      <c r="AE640" s="84"/>
      <c r="AF640" s="84"/>
      <c r="DB640" s="85"/>
    </row>
    <row r="641" spans="2:106"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  <c r="AA641" s="85"/>
      <c r="AB641" s="85"/>
      <c r="AC641" s="85"/>
      <c r="AD641" s="84"/>
      <c r="AE641" s="84"/>
      <c r="AF641" s="84"/>
      <c r="DB641" s="85"/>
    </row>
    <row r="642" spans="2:106"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  <c r="AA642" s="85"/>
      <c r="AB642" s="85"/>
      <c r="AC642" s="85"/>
      <c r="AD642" s="84"/>
      <c r="AE642" s="84"/>
      <c r="AF642" s="84"/>
      <c r="DB642" s="85"/>
    </row>
    <row r="643" spans="2:106"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  <c r="AA643" s="85"/>
      <c r="AB643" s="85"/>
      <c r="AC643" s="85"/>
      <c r="AD643" s="84"/>
      <c r="AE643" s="84"/>
      <c r="AF643" s="84"/>
      <c r="DB643" s="85"/>
    </row>
    <row r="644" spans="2:106"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  <c r="AA644" s="85"/>
      <c r="AB644" s="85"/>
      <c r="AC644" s="85"/>
      <c r="AD644" s="84"/>
      <c r="AE644" s="84"/>
      <c r="AF644" s="84"/>
      <c r="DB644" s="85"/>
    </row>
    <row r="645" spans="2:106"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  <c r="AA645" s="85"/>
      <c r="AB645" s="85"/>
      <c r="AC645" s="85"/>
      <c r="AD645" s="84"/>
      <c r="AE645" s="84"/>
      <c r="AF645" s="84"/>
      <c r="DB645" s="85"/>
    </row>
    <row r="646" spans="2:106"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  <c r="AA646" s="85"/>
      <c r="AB646" s="85"/>
      <c r="AC646" s="85"/>
      <c r="AD646" s="84"/>
      <c r="AE646" s="84"/>
      <c r="AF646" s="84"/>
      <c r="DB646" s="85"/>
    </row>
    <row r="647" spans="2:106"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  <c r="AA647" s="85"/>
      <c r="AB647" s="85"/>
      <c r="AC647" s="85"/>
      <c r="AD647" s="84"/>
      <c r="AE647" s="84"/>
      <c r="AF647" s="84"/>
      <c r="DB647" s="85"/>
    </row>
    <row r="648" spans="2:106"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  <c r="AA648" s="85"/>
      <c r="AB648" s="85"/>
      <c r="AC648" s="85"/>
      <c r="AD648" s="84"/>
      <c r="AE648" s="84"/>
      <c r="AF648" s="84"/>
      <c r="DB648" s="85"/>
    </row>
    <row r="649" spans="2:106"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4"/>
      <c r="AE649" s="84"/>
      <c r="AF649" s="84"/>
      <c r="DB649" s="85"/>
    </row>
    <row r="650" spans="2:106"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  <c r="AA650" s="85"/>
      <c r="AB650" s="85"/>
      <c r="AC650" s="85"/>
      <c r="AD650" s="84"/>
      <c r="AE650" s="84"/>
      <c r="AF650" s="84"/>
      <c r="DB650" s="85"/>
    </row>
    <row r="651" spans="2:106"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  <c r="AA651" s="85"/>
      <c r="AB651" s="85"/>
      <c r="AC651" s="85"/>
      <c r="AD651" s="84"/>
      <c r="AE651" s="84"/>
      <c r="AF651" s="84"/>
      <c r="DB651" s="85"/>
    </row>
    <row r="652" spans="2:106"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  <c r="AA652" s="85"/>
      <c r="AB652" s="85"/>
      <c r="AC652" s="85"/>
      <c r="AD652" s="84"/>
      <c r="AE652" s="84"/>
      <c r="AF652" s="84"/>
      <c r="DB652" s="85"/>
    </row>
    <row r="653" spans="2:106"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  <c r="AA653" s="85"/>
      <c r="AB653" s="85"/>
      <c r="AC653" s="85"/>
      <c r="AD653" s="84"/>
      <c r="AE653" s="84"/>
      <c r="AF653" s="84"/>
      <c r="DB653" s="85"/>
    </row>
    <row r="654" spans="2:106"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  <c r="AA654" s="85"/>
      <c r="AB654" s="85"/>
      <c r="AC654" s="85"/>
      <c r="AD654" s="84"/>
      <c r="AE654" s="84"/>
      <c r="AF654" s="84"/>
      <c r="DB654" s="85"/>
    </row>
    <row r="655" spans="2:106"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  <c r="AA655" s="85"/>
      <c r="AB655" s="85"/>
      <c r="AC655" s="85"/>
      <c r="AD655" s="84"/>
      <c r="AE655" s="84"/>
      <c r="AF655" s="84"/>
      <c r="DB655" s="85"/>
    </row>
    <row r="656" spans="2:106"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  <c r="AA656" s="85"/>
      <c r="AB656" s="85"/>
      <c r="AC656" s="85"/>
      <c r="AD656" s="84"/>
      <c r="AE656" s="84"/>
      <c r="AF656" s="84"/>
      <c r="DB656" s="85"/>
    </row>
    <row r="657" spans="2:106"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  <c r="AA657" s="85"/>
      <c r="AB657" s="85"/>
      <c r="AC657" s="85"/>
      <c r="AD657" s="84"/>
      <c r="AE657" s="84"/>
      <c r="AF657" s="84"/>
      <c r="DB657" s="85"/>
    </row>
    <row r="658" spans="2:106"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  <c r="AA658" s="85"/>
      <c r="AB658" s="85"/>
      <c r="AC658" s="85"/>
      <c r="AD658" s="84"/>
      <c r="AE658" s="84"/>
      <c r="AF658" s="84"/>
      <c r="DB658" s="85"/>
    </row>
    <row r="659" spans="2:106"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  <c r="AA659" s="85"/>
      <c r="AB659" s="85"/>
      <c r="AC659" s="85"/>
      <c r="AD659" s="84"/>
      <c r="AE659" s="84"/>
      <c r="AF659" s="84"/>
      <c r="DB659" s="85"/>
    </row>
    <row r="660" spans="2:106"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  <c r="AA660" s="85"/>
      <c r="AB660" s="85"/>
      <c r="AC660" s="85"/>
      <c r="AD660" s="84"/>
      <c r="AE660" s="84"/>
      <c r="AF660" s="84"/>
      <c r="DB660" s="85"/>
    </row>
    <row r="661" spans="2:106"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  <c r="AA661" s="85"/>
      <c r="AB661" s="85"/>
      <c r="AC661" s="85"/>
      <c r="AD661" s="84"/>
      <c r="AE661" s="84"/>
      <c r="AF661" s="84"/>
      <c r="DB661" s="85"/>
    </row>
    <row r="662" spans="2:106"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  <c r="AA662" s="85"/>
      <c r="AB662" s="85"/>
      <c r="AC662" s="85"/>
      <c r="AD662" s="84"/>
      <c r="AE662" s="84"/>
      <c r="AF662" s="84"/>
      <c r="DB662" s="85"/>
    </row>
    <row r="663" spans="2:106"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  <c r="AA663" s="85"/>
      <c r="AB663" s="85"/>
      <c r="AC663" s="85"/>
      <c r="AD663" s="84"/>
      <c r="AE663" s="84"/>
      <c r="AF663" s="84"/>
      <c r="DB663" s="85"/>
    </row>
    <row r="664" spans="2:106"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  <c r="AA664" s="85"/>
      <c r="AB664" s="85"/>
      <c r="AC664" s="85"/>
      <c r="AD664" s="84"/>
      <c r="AE664" s="84"/>
      <c r="AF664" s="84"/>
      <c r="DB664" s="85"/>
    </row>
    <row r="665" spans="2:106"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  <c r="AA665" s="85"/>
      <c r="AB665" s="85"/>
      <c r="AC665" s="85"/>
      <c r="AD665" s="84"/>
      <c r="AE665" s="84"/>
      <c r="AF665" s="84"/>
      <c r="DB665" s="85"/>
    </row>
    <row r="666" spans="2:106"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  <c r="AA666" s="85"/>
      <c r="AB666" s="85"/>
      <c r="AC666" s="85"/>
      <c r="AD666" s="84"/>
      <c r="AE666" s="84"/>
      <c r="AF666" s="84"/>
      <c r="DB666" s="85"/>
    </row>
    <row r="667" spans="2:106"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  <c r="AA667" s="85"/>
      <c r="AB667" s="85"/>
      <c r="AC667" s="85"/>
      <c r="AD667" s="84"/>
      <c r="AE667" s="84"/>
      <c r="AF667" s="84"/>
      <c r="DB667" s="85"/>
    </row>
    <row r="668" spans="2:106"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  <c r="AA668" s="85"/>
      <c r="AB668" s="85"/>
      <c r="AC668" s="85"/>
      <c r="AD668" s="84"/>
      <c r="AE668" s="84"/>
      <c r="AF668" s="84"/>
      <c r="DB668" s="85"/>
    </row>
    <row r="669" spans="2:106"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  <c r="AA669" s="85"/>
      <c r="AB669" s="85"/>
      <c r="AC669" s="85"/>
      <c r="AD669" s="84"/>
      <c r="AE669" s="84"/>
      <c r="AF669" s="84"/>
      <c r="DB669" s="85"/>
    </row>
    <row r="670" spans="2:106"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  <c r="AA670" s="85"/>
      <c r="AB670" s="85"/>
      <c r="AC670" s="85"/>
      <c r="AD670" s="84"/>
      <c r="AE670" s="84"/>
      <c r="AF670" s="84"/>
      <c r="DB670" s="85"/>
    </row>
    <row r="671" spans="2:106"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  <c r="AA671" s="85"/>
      <c r="AB671" s="85"/>
      <c r="AC671" s="85"/>
      <c r="AD671" s="84"/>
      <c r="AE671" s="84"/>
      <c r="AF671" s="84"/>
      <c r="DB671" s="85"/>
    </row>
    <row r="672" spans="2:106"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  <c r="AA672" s="85"/>
      <c r="AB672" s="85"/>
      <c r="AC672" s="85"/>
      <c r="AD672" s="84"/>
      <c r="AE672" s="84"/>
      <c r="AF672" s="84"/>
      <c r="DB672" s="85"/>
    </row>
    <row r="673" spans="2:106"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  <c r="AA673" s="85"/>
      <c r="AB673" s="85"/>
      <c r="AC673" s="85"/>
      <c r="AD673" s="84"/>
      <c r="AE673" s="84"/>
      <c r="AF673" s="84"/>
      <c r="DB673" s="85"/>
    </row>
    <row r="674" spans="2:106"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  <c r="AA674" s="85"/>
      <c r="AB674" s="85"/>
      <c r="AC674" s="85"/>
      <c r="AD674" s="84"/>
      <c r="AE674" s="84"/>
      <c r="AF674" s="84"/>
      <c r="DB674" s="85"/>
    </row>
    <row r="675" spans="2:106"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  <c r="AA675" s="85"/>
      <c r="AB675" s="85"/>
      <c r="AC675" s="85"/>
      <c r="AD675" s="84"/>
      <c r="AE675" s="84"/>
      <c r="AF675" s="84"/>
      <c r="DB675" s="85"/>
    </row>
    <row r="676" spans="2:106"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  <c r="AA676" s="85"/>
      <c r="AB676" s="85"/>
      <c r="AC676" s="85"/>
      <c r="AD676" s="84"/>
      <c r="AE676" s="84"/>
      <c r="AF676" s="84"/>
      <c r="DB676" s="85"/>
    </row>
    <row r="677" spans="2:106"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  <c r="AA677" s="85"/>
      <c r="AB677" s="85"/>
      <c r="AC677" s="85"/>
      <c r="AD677" s="84"/>
      <c r="AE677" s="84"/>
      <c r="AF677" s="84"/>
      <c r="DB677" s="85"/>
    </row>
    <row r="678" spans="2:106"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  <c r="AA678" s="85"/>
      <c r="AB678" s="85"/>
      <c r="AC678" s="85"/>
      <c r="AD678" s="84"/>
      <c r="AE678" s="84"/>
      <c r="AF678" s="84"/>
      <c r="DB678" s="85"/>
    </row>
    <row r="679" spans="2:106"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  <c r="AA679" s="85"/>
      <c r="AB679" s="85"/>
      <c r="AC679" s="85"/>
      <c r="AD679" s="84"/>
      <c r="AE679" s="84"/>
      <c r="AF679" s="84"/>
      <c r="DB679" s="85"/>
    </row>
    <row r="680" spans="2:106"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  <c r="AA680" s="85"/>
      <c r="AB680" s="85"/>
      <c r="AC680" s="85"/>
      <c r="AD680" s="84"/>
      <c r="AE680" s="84"/>
      <c r="AF680" s="84"/>
      <c r="DB680" s="85"/>
    </row>
    <row r="681" spans="2:106"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  <c r="AA681" s="85"/>
      <c r="AB681" s="85"/>
      <c r="AC681" s="85"/>
      <c r="AD681" s="84"/>
      <c r="AE681" s="84"/>
      <c r="AF681" s="84"/>
      <c r="DB681" s="85"/>
    </row>
    <row r="682" spans="2:106"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  <c r="AA682" s="85"/>
      <c r="AB682" s="85"/>
      <c r="AC682" s="85"/>
      <c r="AD682" s="84"/>
      <c r="AE682" s="84"/>
      <c r="AF682" s="84"/>
      <c r="DB682" s="85"/>
    </row>
    <row r="683" spans="2:106"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  <c r="AA683" s="85"/>
      <c r="AB683" s="85"/>
      <c r="AC683" s="85"/>
      <c r="AD683" s="84"/>
      <c r="AE683" s="84"/>
      <c r="AF683" s="84"/>
      <c r="DB683" s="85"/>
    </row>
    <row r="684" spans="2:106"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  <c r="AA684" s="85"/>
      <c r="AB684" s="85"/>
      <c r="AC684" s="85"/>
      <c r="AD684" s="84"/>
      <c r="AE684" s="84"/>
      <c r="AF684" s="84"/>
      <c r="DB684" s="85"/>
    </row>
    <row r="685" spans="2:106"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  <c r="AA685" s="85"/>
      <c r="AB685" s="85"/>
      <c r="AC685" s="85"/>
      <c r="AD685" s="84"/>
      <c r="AE685" s="84"/>
      <c r="AF685" s="84"/>
      <c r="DB685" s="85"/>
    </row>
    <row r="686" spans="2:106"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  <c r="AA686" s="85"/>
      <c r="AB686" s="85"/>
      <c r="AC686" s="85"/>
      <c r="AD686" s="84"/>
      <c r="AE686" s="84"/>
      <c r="AF686" s="84"/>
      <c r="DB686" s="85"/>
    </row>
    <row r="687" spans="2:106"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4"/>
      <c r="AE687" s="84"/>
      <c r="AF687" s="84"/>
      <c r="DB687" s="85"/>
    </row>
    <row r="688" spans="2:106"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  <c r="AA688" s="85"/>
      <c r="AB688" s="85"/>
      <c r="AC688" s="85"/>
      <c r="AD688" s="84"/>
      <c r="AE688" s="84"/>
      <c r="AF688" s="84"/>
      <c r="DB688" s="85"/>
    </row>
    <row r="689" spans="2:106"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  <c r="AA689" s="85"/>
      <c r="AB689" s="85"/>
      <c r="AC689" s="85"/>
      <c r="AD689" s="84"/>
      <c r="AE689" s="84"/>
      <c r="AF689" s="84"/>
      <c r="DB689" s="85"/>
    </row>
    <row r="690" spans="2:106"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  <c r="AA690" s="85"/>
      <c r="AB690" s="85"/>
      <c r="AC690" s="85"/>
      <c r="AD690" s="84"/>
      <c r="AE690" s="84"/>
      <c r="AF690" s="84"/>
      <c r="DB690" s="85"/>
    </row>
    <row r="691" spans="2:106"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  <c r="AA691" s="85"/>
      <c r="AB691" s="85"/>
      <c r="AC691" s="85"/>
      <c r="AD691" s="84"/>
      <c r="AE691" s="84"/>
      <c r="AF691" s="84"/>
      <c r="DB691" s="85"/>
    </row>
    <row r="692" spans="2:106"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  <c r="AA692" s="85"/>
      <c r="AB692" s="85"/>
      <c r="AC692" s="85"/>
      <c r="AD692" s="84"/>
      <c r="AE692" s="84"/>
      <c r="AF692" s="84"/>
      <c r="DB692" s="85"/>
    </row>
    <row r="693" spans="2:106"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  <c r="AA693" s="85"/>
      <c r="AB693" s="85"/>
      <c r="AC693" s="85"/>
      <c r="AD693" s="84"/>
      <c r="AE693" s="84"/>
      <c r="AF693" s="84"/>
      <c r="DB693" s="85"/>
    </row>
    <row r="694" spans="2:106"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  <c r="AA694" s="85"/>
      <c r="AB694" s="85"/>
      <c r="AC694" s="85"/>
      <c r="AD694" s="84"/>
      <c r="AE694" s="84"/>
      <c r="AF694" s="84"/>
      <c r="DB694" s="85"/>
    </row>
    <row r="695" spans="2:106"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  <c r="AA695" s="85"/>
      <c r="AB695" s="85"/>
      <c r="AC695" s="85"/>
      <c r="AD695" s="84"/>
      <c r="AE695" s="84"/>
      <c r="AF695" s="84"/>
      <c r="DB695" s="85"/>
    </row>
    <row r="696" spans="2:106"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  <c r="AA696" s="85"/>
      <c r="AB696" s="85"/>
      <c r="AC696" s="85"/>
      <c r="AD696" s="84"/>
      <c r="AE696" s="84"/>
      <c r="AF696" s="84"/>
      <c r="DB696" s="85"/>
    </row>
    <row r="697" spans="2:106"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  <c r="AA697" s="85"/>
      <c r="AB697" s="85"/>
      <c r="AC697" s="85"/>
      <c r="AD697" s="84"/>
      <c r="AE697" s="84"/>
      <c r="AF697" s="84"/>
      <c r="DB697" s="85"/>
    </row>
    <row r="698" spans="2:106"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  <c r="AA698" s="85"/>
      <c r="AB698" s="85"/>
      <c r="AC698" s="85"/>
      <c r="AD698" s="84"/>
      <c r="AE698" s="84"/>
      <c r="AF698" s="84"/>
      <c r="DB698" s="85"/>
    </row>
    <row r="699" spans="2:106"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  <c r="AA699" s="85"/>
      <c r="AB699" s="85"/>
      <c r="AC699" s="85"/>
      <c r="AD699" s="84"/>
      <c r="AE699" s="84"/>
      <c r="AF699" s="84"/>
      <c r="DB699" s="85"/>
    </row>
    <row r="700" spans="2:106"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  <c r="AA700" s="85"/>
      <c r="AB700" s="85"/>
      <c r="AC700" s="85"/>
      <c r="AD700" s="84"/>
      <c r="AE700" s="84"/>
      <c r="AF700" s="84"/>
      <c r="DB700" s="85"/>
    </row>
    <row r="701" spans="2:106"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  <c r="AA701" s="85"/>
      <c r="AB701" s="85"/>
      <c r="AC701" s="85"/>
      <c r="AD701" s="84"/>
      <c r="AE701" s="84"/>
      <c r="AF701" s="84"/>
      <c r="DB701" s="85"/>
    </row>
    <row r="702" spans="2:106"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  <c r="AA702" s="85"/>
      <c r="AB702" s="85"/>
      <c r="AC702" s="85"/>
      <c r="AD702" s="84"/>
      <c r="AE702" s="84"/>
      <c r="AF702" s="84"/>
      <c r="DB702" s="85"/>
    </row>
    <row r="703" spans="2:106"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  <c r="AA703" s="85"/>
      <c r="AB703" s="85"/>
      <c r="AC703" s="85"/>
      <c r="AD703" s="84"/>
      <c r="AE703" s="84"/>
      <c r="AF703" s="84"/>
      <c r="DB703" s="85"/>
    </row>
    <row r="704" spans="2:106"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  <c r="AA704" s="85"/>
      <c r="AB704" s="85"/>
      <c r="AC704" s="85"/>
      <c r="AD704" s="84"/>
      <c r="AE704" s="84"/>
      <c r="AF704" s="84"/>
      <c r="DB704" s="85"/>
    </row>
    <row r="705" spans="2:106"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  <c r="AA705" s="85"/>
      <c r="AB705" s="85"/>
      <c r="AC705" s="85"/>
      <c r="AD705" s="84"/>
      <c r="AE705" s="84"/>
      <c r="AF705" s="84"/>
      <c r="DB705" s="85"/>
    </row>
    <row r="706" spans="2:106"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  <c r="AA706" s="85"/>
      <c r="AB706" s="85"/>
      <c r="AC706" s="85"/>
      <c r="AD706" s="84"/>
      <c r="AE706" s="84"/>
      <c r="AF706" s="84"/>
      <c r="DB706" s="85"/>
    </row>
    <row r="707" spans="2:106"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  <c r="AA707" s="85"/>
      <c r="AB707" s="85"/>
      <c r="AC707" s="85"/>
      <c r="AD707" s="84"/>
      <c r="AE707" s="84"/>
      <c r="AF707" s="84"/>
      <c r="DB707" s="85"/>
    </row>
    <row r="708" spans="2:106"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  <c r="AA708" s="85"/>
      <c r="AB708" s="85"/>
      <c r="AC708" s="85"/>
      <c r="AD708" s="84"/>
      <c r="AE708" s="84"/>
      <c r="AF708" s="84"/>
      <c r="DB708" s="85"/>
    </row>
    <row r="709" spans="2:106"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  <c r="AA709" s="85"/>
      <c r="AB709" s="85"/>
      <c r="AC709" s="85"/>
      <c r="AD709" s="84"/>
      <c r="AE709" s="84"/>
      <c r="AF709" s="84"/>
      <c r="DB709" s="85"/>
    </row>
    <row r="710" spans="2:106"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  <c r="AA710" s="85"/>
      <c r="AB710" s="85"/>
      <c r="AC710" s="85"/>
      <c r="AD710" s="84"/>
      <c r="AE710" s="84"/>
      <c r="AF710" s="84"/>
      <c r="DB710" s="85"/>
    </row>
    <row r="711" spans="2:106"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  <c r="AD711" s="84"/>
      <c r="AE711" s="84"/>
      <c r="AF711" s="84"/>
      <c r="DB711" s="85"/>
    </row>
    <row r="712" spans="2:106"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  <c r="AA712" s="85"/>
      <c r="AB712" s="85"/>
      <c r="AC712" s="85"/>
      <c r="AD712" s="84"/>
      <c r="AE712" s="84"/>
      <c r="AF712" s="84"/>
      <c r="DB712" s="85"/>
    </row>
    <row r="713" spans="2:106"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  <c r="AA713" s="85"/>
      <c r="AB713" s="85"/>
      <c r="AC713" s="85"/>
      <c r="AD713" s="84"/>
      <c r="AE713" s="84"/>
      <c r="AF713" s="84"/>
      <c r="DB713" s="85"/>
    </row>
    <row r="714" spans="2:106"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  <c r="AA714" s="85"/>
      <c r="AB714" s="85"/>
      <c r="AC714" s="85"/>
      <c r="AD714" s="84"/>
      <c r="AE714" s="84"/>
      <c r="AF714" s="84"/>
      <c r="DB714" s="85"/>
    </row>
    <row r="715" spans="2:106"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  <c r="AA715" s="85"/>
      <c r="AB715" s="85"/>
      <c r="AC715" s="85"/>
      <c r="AD715" s="84"/>
      <c r="AE715" s="84"/>
      <c r="AF715" s="84"/>
      <c r="DB715" s="85"/>
    </row>
    <row r="716" spans="2:106"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  <c r="AA716" s="85"/>
      <c r="AB716" s="85"/>
      <c r="AC716" s="85"/>
      <c r="AD716" s="84"/>
      <c r="AE716" s="84"/>
      <c r="AF716" s="84"/>
      <c r="DB716" s="85"/>
    </row>
    <row r="717" spans="2:106"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  <c r="AA717" s="85"/>
      <c r="AB717" s="85"/>
      <c r="AC717" s="85"/>
      <c r="AD717" s="84"/>
      <c r="AE717" s="84"/>
      <c r="AF717" s="84"/>
      <c r="DB717" s="85"/>
    </row>
    <row r="718" spans="2:106"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  <c r="AA718" s="85"/>
      <c r="AB718" s="85"/>
      <c r="AC718" s="85"/>
      <c r="AD718" s="84"/>
      <c r="AE718" s="84"/>
      <c r="AF718" s="84"/>
      <c r="DB718" s="85"/>
    </row>
    <row r="719" spans="2:106"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  <c r="AA719" s="85"/>
      <c r="AB719" s="85"/>
      <c r="AC719" s="85"/>
      <c r="AD719" s="84"/>
      <c r="AE719" s="84"/>
      <c r="AF719" s="84"/>
      <c r="DB719" s="85"/>
    </row>
    <row r="720" spans="2:106"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  <c r="AA720" s="85"/>
      <c r="AB720" s="85"/>
      <c r="AC720" s="85"/>
      <c r="AD720" s="84"/>
      <c r="AE720" s="84"/>
      <c r="AF720" s="84"/>
      <c r="DB720" s="85"/>
    </row>
    <row r="721" spans="2:106"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  <c r="AA721" s="85"/>
      <c r="AB721" s="85"/>
      <c r="AC721" s="85"/>
      <c r="AD721" s="84"/>
      <c r="AE721" s="84"/>
      <c r="AF721" s="84"/>
      <c r="DB721" s="85"/>
    </row>
    <row r="722" spans="2:106"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  <c r="AA722" s="85"/>
      <c r="AB722" s="85"/>
      <c r="AC722" s="85"/>
      <c r="AD722" s="84"/>
      <c r="AE722" s="84"/>
      <c r="AF722" s="84"/>
      <c r="DB722" s="85"/>
    </row>
    <row r="723" spans="2:106"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  <c r="AA723" s="85"/>
      <c r="AB723" s="85"/>
      <c r="AC723" s="85"/>
      <c r="AD723" s="84"/>
      <c r="AE723" s="84"/>
      <c r="AF723" s="84"/>
      <c r="DB723" s="85"/>
    </row>
    <row r="724" spans="2:106"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  <c r="AA724" s="85"/>
      <c r="AB724" s="85"/>
      <c r="AC724" s="85"/>
      <c r="AD724" s="84"/>
      <c r="AE724" s="84"/>
      <c r="AF724" s="84"/>
      <c r="DB724" s="85"/>
    </row>
    <row r="725" spans="2:106"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4"/>
      <c r="AE725" s="84"/>
      <c r="AF725" s="84"/>
      <c r="DB725" s="85"/>
    </row>
    <row r="726" spans="2:106"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  <c r="AA726" s="85"/>
      <c r="AB726" s="85"/>
      <c r="AC726" s="85"/>
      <c r="AD726" s="84"/>
      <c r="AE726" s="84"/>
      <c r="AF726" s="84"/>
      <c r="DB726" s="85"/>
    </row>
    <row r="727" spans="2:106"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  <c r="AA727" s="85"/>
      <c r="AB727" s="85"/>
      <c r="AC727" s="85"/>
      <c r="AD727" s="84"/>
      <c r="AE727" s="84"/>
      <c r="AF727" s="84"/>
      <c r="DB727" s="85"/>
    </row>
    <row r="728" spans="2:106"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  <c r="AA728" s="85"/>
      <c r="AB728" s="85"/>
      <c r="AC728" s="85"/>
      <c r="AD728" s="84"/>
      <c r="AE728" s="84"/>
      <c r="AF728" s="84"/>
      <c r="DB728" s="85"/>
    </row>
    <row r="729" spans="2:106"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  <c r="AA729" s="85"/>
      <c r="AB729" s="85"/>
      <c r="AC729" s="85"/>
      <c r="AD729" s="84"/>
      <c r="AE729" s="84"/>
      <c r="AF729" s="84"/>
      <c r="DB729" s="85"/>
    </row>
    <row r="730" spans="2:106"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  <c r="AA730" s="85"/>
      <c r="AB730" s="85"/>
      <c r="AC730" s="85"/>
      <c r="AD730" s="84"/>
      <c r="AE730" s="84"/>
      <c r="AF730" s="84"/>
      <c r="DB730" s="85"/>
    </row>
    <row r="731" spans="2:106"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  <c r="AA731" s="85"/>
      <c r="AB731" s="85"/>
      <c r="AC731" s="85"/>
      <c r="AD731" s="84"/>
      <c r="AE731" s="84"/>
      <c r="AF731" s="84"/>
      <c r="DB731" s="85"/>
    </row>
    <row r="732" spans="2:106"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  <c r="AA732" s="85"/>
      <c r="AB732" s="85"/>
      <c r="AC732" s="85"/>
      <c r="AD732" s="84"/>
      <c r="AE732" s="84"/>
      <c r="AF732" s="84"/>
      <c r="DB732" s="85"/>
    </row>
    <row r="733" spans="2:106"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  <c r="AA733" s="85"/>
      <c r="AB733" s="85"/>
      <c r="AC733" s="85"/>
      <c r="AD733" s="84"/>
      <c r="AE733" s="84"/>
      <c r="AF733" s="84"/>
      <c r="DB733" s="85"/>
    </row>
    <row r="734" spans="2:106"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  <c r="AA734" s="85"/>
      <c r="AB734" s="85"/>
      <c r="AC734" s="85"/>
      <c r="AD734" s="84"/>
      <c r="AE734" s="84"/>
      <c r="AF734" s="84"/>
      <c r="DB734" s="85"/>
    </row>
    <row r="735" spans="2:106"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  <c r="AA735" s="85"/>
      <c r="AB735" s="85"/>
      <c r="AC735" s="85"/>
      <c r="AD735" s="84"/>
      <c r="AE735" s="84"/>
      <c r="AF735" s="84"/>
      <c r="DB735" s="85"/>
    </row>
    <row r="736" spans="2:106"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  <c r="AA736" s="85"/>
      <c r="AB736" s="85"/>
      <c r="AC736" s="85"/>
      <c r="AD736" s="84"/>
      <c r="AE736" s="84"/>
      <c r="AF736" s="84"/>
      <c r="DB736" s="85"/>
    </row>
    <row r="737" spans="2:106"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  <c r="AA737" s="85"/>
      <c r="AB737" s="85"/>
      <c r="AC737" s="85"/>
      <c r="AD737" s="84"/>
      <c r="AE737" s="84"/>
      <c r="AF737" s="84"/>
      <c r="DB737" s="85"/>
    </row>
    <row r="738" spans="2:106"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  <c r="AA738" s="85"/>
      <c r="AB738" s="85"/>
      <c r="AC738" s="85"/>
      <c r="AD738" s="84"/>
      <c r="AE738" s="84"/>
      <c r="AF738" s="84"/>
      <c r="DB738" s="85"/>
    </row>
    <row r="739" spans="2:106"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  <c r="AA739" s="85"/>
      <c r="AB739" s="85"/>
      <c r="AC739" s="85"/>
      <c r="AD739" s="84"/>
      <c r="AE739" s="84"/>
      <c r="AF739" s="84"/>
      <c r="DB739" s="85"/>
    </row>
    <row r="740" spans="2:106"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  <c r="AA740" s="85"/>
      <c r="AB740" s="85"/>
      <c r="AC740" s="85"/>
      <c r="AD740" s="84"/>
      <c r="AE740" s="84"/>
      <c r="AF740" s="84"/>
      <c r="DB740" s="85"/>
    </row>
    <row r="741" spans="2:106"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  <c r="AA741" s="85"/>
      <c r="AB741" s="85"/>
      <c r="AC741" s="85"/>
      <c r="AD741" s="84"/>
      <c r="AE741" s="84"/>
      <c r="AF741" s="84"/>
      <c r="DB741" s="85"/>
    </row>
    <row r="742" spans="2:106"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  <c r="AA742" s="85"/>
      <c r="AB742" s="85"/>
      <c r="AC742" s="85"/>
      <c r="AD742" s="84"/>
      <c r="AE742" s="84"/>
      <c r="AF742" s="84"/>
      <c r="DB742" s="85"/>
    </row>
    <row r="743" spans="2:106"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  <c r="AA743" s="85"/>
      <c r="AB743" s="85"/>
      <c r="AC743" s="85"/>
      <c r="AD743" s="84"/>
      <c r="AE743" s="84"/>
      <c r="AF743" s="84"/>
      <c r="DB743" s="85"/>
    </row>
    <row r="744" spans="2:106"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  <c r="AA744" s="85"/>
      <c r="AB744" s="85"/>
      <c r="AC744" s="85"/>
      <c r="AD744" s="84"/>
      <c r="AE744" s="84"/>
      <c r="AF744" s="84"/>
      <c r="DB744" s="85"/>
    </row>
    <row r="745" spans="2:106"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  <c r="AA745" s="85"/>
      <c r="AB745" s="85"/>
      <c r="AC745" s="85"/>
      <c r="AD745" s="84"/>
      <c r="AE745" s="84"/>
      <c r="AF745" s="84"/>
      <c r="DB745" s="85"/>
    </row>
    <row r="746" spans="2:106"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  <c r="AA746" s="85"/>
      <c r="AB746" s="85"/>
      <c r="AC746" s="85"/>
      <c r="AD746" s="84"/>
      <c r="AE746" s="84"/>
      <c r="AF746" s="84"/>
      <c r="DB746" s="85"/>
    </row>
    <row r="747" spans="2:106"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  <c r="AA747" s="85"/>
      <c r="AB747" s="85"/>
      <c r="AC747" s="85"/>
      <c r="AD747" s="84"/>
      <c r="AE747" s="84"/>
      <c r="AF747" s="84"/>
      <c r="DB747" s="85"/>
    </row>
    <row r="748" spans="2:106"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  <c r="AA748" s="85"/>
      <c r="AB748" s="85"/>
      <c r="AC748" s="85"/>
      <c r="AD748" s="84"/>
      <c r="AE748" s="84"/>
      <c r="AF748" s="84"/>
      <c r="DB748" s="85"/>
    </row>
    <row r="749" spans="2:106"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  <c r="AA749" s="85"/>
      <c r="AB749" s="85"/>
      <c r="AC749" s="85"/>
      <c r="AD749" s="84"/>
      <c r="AE749" s="84"/>
      <c r="AF749" s="84"/>
      <c r="DB749" s="85"/>
    </row>
    <row r="750" spans="2:106"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  <c r="AA750" s="85"/>
      <c r="AB750" s="85"/>
      <c r="AC750" s="85"/>
      <c r="AD750" s="84"/>
      <c r="AE750" s="84"/>
      <c r="AF750" s="84"/>
      <c r="DB750" s="85"/>
    </row>
    <row r="751" spans="2:106"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  <c r="AA751" s="85"/>
      <c r="AB751" s="85"/>
      <c r="AC751" s="85"/>
      <c r="AD751" s="84"/>
      <c r="AE751" s="84"/>
      <c r="AF751" s="84"/>
      <c r="DB751" s="85"/>
    </row>
    <row r="752" spans="2:106"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  <c r="AA752" s="85"/>
      <c r="AB752" s="85"/>
      <c r="AC752" s="85"/>
      <c r="AD752" s="84"/>
      <c r="AE752" s="84"/>
      <c r="AF752" s="84"/>
      <c r="DB752" s="85"/>
    </row>
    <row r="753" spans="2:106"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  <c r="AA753" s="85"/>
      <c r="AB753" s="85"/>
      <c r="AC753" s="85"/>
      <c r="AD753" s="84"/>
      <c r="AE753" s="84"/>
      <c r="AF753" s="84"/>
      <c r="DB753" s="85"/>
    </row>
    <row r="754" spans="2:106"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  <c r="AA754" s="85"/>
      <c r="AB754" s="85"/>
      <c r="AC754" s="85"/>
      <c r="AD754" s="84"/>
      <c r="AE754" s="84"/>
      <c r="AF754" s="84"/>
      <c r="DB754" s="85"/>
    </row>
    <row r="755" spans="2:106"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  <c r="AA755" s="85"/>
      <c r="AB755" s="85"/>
      <c r="AC755" s="85"/>
      <c r="AD755" s="84"/>
      <c r="AE755" s="84"/>
      <c r="AF755" s="84"/>
      <c r="DB755" s="85"/>
    </row>
    <row r="756" spans="2:106"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  <c r="AA756" s="85"/>
      <c r="AB756" s="85"/>
      <c r="AC756" s="85"/>
      <c r="AD756" s="84"/>
      <c r="AE756" s="84"/>
      <c r="AF756" s="84"/>
      <c r="DB756" s="85"/>
    </row>
    <row r="757" spans="2:106"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  <c r="AA757" s="85"/>
      <c r="AB757" s="85"/>
      <c r="AC757" s="85"/>
      <c r="AD757" s="84"/>
      <c r="AE757" s="84"/>
      <c r="AF757" s="84"/>
      <c r="DB757" s="85"/>
    </row>
    <row r="758" spans="2:106"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  <c r="AA758" s="85"/>
      <c r="AB758" s="85"/>
      <c r="AC758" s="85"/>
      <c r="AD758" s="84"/>
      <c r="AE758" s="84"/>
      <c r="AF758" s="84"/>
      <c r="DB758" s="85"/>
    </row>
    <row r="759" spans="2:106"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  <c r="AA759" s="85"/>
      <c r="AB759" s="85"/>
      <c r="AC759" s="85"/>
      <c r="AD759" s="84"/>
      <c r="AE759" s="84"/>
      <c r="AF759" s="84"/>
      <c r="DB759" s="85"/>
    </row>
    <row r="760" spans="2:106"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  <c r="AA760" s="85"/>
      <c r="AB760" s="85"/>
      <c r="AC760" s="85"/>
      <c r="AD760" s="84"/>
      <c r="AE760" s="84"/>
      <c r="AF760" s="84"/>
      <c r="DB760" s="85"/>
    </row>
    <row r="761" spans="2:106"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  <c r="AA761" s="85"/>
      <c r="AB761" s="85"/>
      <c r="AC761" s="85"/>
      <c r="AD761" s="84"/>
      <c r="AE761" s="84"/>
      <c r="AF761" s="84"/>
      <c r="DB761" s="85"/>
    </row>
    <row r="762" spans="2:106"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  <c r="AA762" s="85"/>
      <c r="AB762" s="85"/>
      <c r="AC762" s="85"/>
      <c r="AD762" s="84"/>
      <c r="AE762" s="84"/>
      <c r="AF762" s="84"/>
      <c r="DB762" s="85"/>
    </row>
    <row r="763" spans="2:106"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4"/>
      <c r="AE763" s="84"/>
      <c r="AF763" s="84"/>
      <c r="DB763" s="85"/>
    </row>
    <row r="764" spans="2:106"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  <c r="AA764" s="85"/>
      <c r="AB764" s="85"/>
      <c r="AC764" s="85"/>
      <c r="AD764" s="84"/>
      <c r="AE764" s="84"/>
      <c r="AF764" s="84"/>
      <c r="DB764" s="85"/>
    </row>
    <row r="765" spans="2:106"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  <c r="AA765" s="85"/>
      <c r="AB765" s="85"/>
      <c r="AC765" s="85"/>
      <c r="AD765" s="84"/>
      <c r="AE765" s="84"/>
      <c r="AF765" s="84"/>
      <c r="DB765" s="85"/>
    </row>
    <row r="766" spans="2:106"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  <c r="AA766" s="85"/>
      <c r="AB766" s="85"/>
      <c r="AC766" s="85"/>
      <c r="AD766" s="84"/>
      <c r="AE766" s="84"/>
      <c r="AF766" s="84"/>
      <c r="DB766" s="85"/>
    </row>
    <row r="767" spans="2:106"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  <c r="AA767" s="85"/>
      <c r="AB767" s="85"/>
      <c r="AC767" s="85"/>
      <c r="AD767" s="84"/>
      <c r="AE767" s="84"/>
      <c r="AF767" s="84"/>
      <c r="DB767" s="85"/>
    </row>
    <row r="768" spans="2:106"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  <c r="AA768" s="85"/>
      <c r="AB768" s="85"/>
      <c r="AC768" s="85"/>
      <c r="AD768" s="84"/>
      <c r="AE768" s="84"/>
      <c r="AF768" s="84"/>
      <c r="DB768" s="85"/>
    </row>
    <row r="769" spans="2:106"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  <c r="AA769" s="85"/>
      <c r="AB769" s="85"/>
      <c r="AC769" s="85"/>
      <c r="AD769" s="84"/>
      <c r="AE769" s="84"/>
      <c r="AF769" s="84"/>
      <c r="DB769" s="85"/>
    </row>
    <row r="770" spans="2:106"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  <c r="AA770" s="85"/>
      <c r="AB770" s="85"/>
      <c r="AC770" s="85"/>
      <c r="AD770" s="84"/>
      <c r="AE770" s="84"/>
      <c r="AF770" s="84"/>
      <c r="DB770" s="85"/>
    </row>
    <row r="771" spans="2:106"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  <c r="AA771" s="85"/>
      <c r="AB771" s="85"/>
      <c r="AC771" s="85"/>
      <c r="AD771" s="84"/>
      <c r="AE771" s="84"/>
      <c r="AF771" s="84"/>
      <c r="DB771" s="85"/>
    </row>
    <row r="772" spans="2:106"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  <c r="AA772" s="85"/>
      <c r="AB772" s="85"/>
      <c r="AC772" s="85"/>
      <c r="AD772" s="84"/>
      <c r="AE772" s="84"/>
      <c r="AF772" s="84"/>
      <c r="DB772" s="85"/>
    </row>
    <row r="773" spans="2:106"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  <c r="AA773" s="85"/>
      <c r="AB773" s="85"/>
      <c r="AC773" s="85"/>
      <c r="AD773" s="84"/>
      <c r="AE773" s="84"/>
      <c r="AF773" s="84"/>
      <c r="DB773" s="85"/>
    </row>
    <row r="774" spans="2:106"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  <c r="AA774" s="85"/>
      <c r="AB774" s="85"/>
      <c r="AC774" s="85"/>
      <c r="AD774" s="84"/>
      <c r="AE774" s="84"/>
      <c r="AF774" s="84"/>
      <c r="DB774" s="85"/>
    </row>
    <row r="775" spans="2:106"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  <c r="AA775" s="85"/>
      <c r="AB775" s="85"/>
      <c r="AC775" s="85"/>
      <c r="AD775" s="84"/>
      <c r="AE775" s="84"/>
      <c r="AF775" s="84"/>
      <c r="DB775" s="85"/>
    </row>
    <row r="776" spans="2:106"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  <c r="AA776" s="85"/>
      <c r="AB776" s="85"/>
      <c r="AC776" s="85"/>
      <c r="AD776" s="84"/>
      <c r="AE776" s="84"/>
      <c r="AF776" s="84"/>
      <c r="DB776" s="85"/>
    </row>
    <row r="777" spans="2:106"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  <c r="AA777" s="85"/>
      <c r="AB777" s="85"/>
      <c r="AC777" s="85"/>
      <c r="AD777" s="84"/>
      <c r="AE777" s="84"/>
      <c r="AF777" s="84"/>
      <c r="DB777" s="85"/>
    </row>
    <row r="778" spans="2:106"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  <c r="AA778" s="85"/>
      <c r="AB778" s="85"/>
      <c r="AC778" s="85"/>
      <c r="AD778" s="84"/>
      <c r="AE778" s="84"/>
      <c r="AF778" s="84"/>
      <c r="DB778" s="85"/>
    </row>
    <row r="779" spans="2:106"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  <c r="AA779" s="85"/>
      <c r="AB779" s="85"/>
      <c r="AC779" s="85"/>
      <c r="AD779" s="84"/>
      <c r="AE779" s="84"/>
      <c r="AF779" s="84"/>
      <c r="DB779" s="85"/>
    </row>
    <row r="780" spans="2:106"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  <c r="AA780" s="85"/>
      <c r="AB780" s="85"/>
      <c r="AC780" s="85"/>
      <c r="AD780" s="84"/>
      <c r="AE780" s="84"/>
      <c r="AF780" s="84"/>
      <c r="DB780" s="85"/>
    </row>
    <row r="781" spans="2:106"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  <c r="AA781" s="85"/>
      <c r="AB781" s="85"/>
      <c r="AC781" s="85"/>
      <c r="AD781" s="84"/>
      <c r="AE781" s="84"/>
      <c r="AF781" s="84"/>
      <c r="DB781" s="85"/>
    </row>
    <row r="782" spans="2:106"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  <c r="AA782" s="85"/>
      <c r="AB782" s="85"/>
      <c r="AC782" s="85"/>
      <c r="AD782" s="84"/>
      <c r="AE782" s="84"/>
      <c r="AF782" s="84"/>
      <c r="DB782" s="85"/>
    </row>
    <row r="783" spans="2:106"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  <c r="AA783" s="85"/>
      <c r="AB783" s="85"/>
      <c r="AC783" s="85"/>
      <c r="AD783" s="84"/>
      <c r="AE783" s="84"/>
      <c r="AF783" s="84"/>
      <c r="DB783" s="85"/>
    </row>
    <row r="784" spans="2:106"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  <c r="AA784" s="85"/>
      <c r="AB784" s="85"/>
      <c r="AC784" s="85"/>
      <c r="AD784" s="84"/>
      <c r="AE784" s="84"/>
      <c r="AF784" s="84"/>
      <c r="DB784" s="85"/>
    </row>
    <row r="785" spans="2:106"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  <c r="AA785" s="85"/>
      <c r="AB785" s="85"/>
      <c r="AC785" s="85"/>
      <c r="AD785" s="84"/>
      <c r="AE785" s="84"/>
      <c r="AF785" s="84"/>
      <c r="DB785" s="85"/>
    </row>
    <row r="786" spans="2:106"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  <c r="AA786" s="85"/>
      <c r="AB786" s="85"/>
      <c r="AC786" s="85"/>
      <c r="AD786" s="84"/>
      <c r="AE786" s="84"/>
      <c r="AF786" s="84"/>
      <c r="DB786" s="85"/>
    </row>
    <row r="787" spans="2:106"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  <c r="AA787" s="85"/>
      <c r="AB787" s="85"/>
      <c r="AC787" s="85"/>
      <c r="AD787" s="84"/>
      <c r="AE787" s="84"/>
      <c r="AF787" s="84"/>
      <c r="DB787" s="85"/>
    </row>
    <row r="788" spans="2:106"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  <c r="AA788" s="85"/>
      <c r="AB788" s="85"/>
      <c r="AC788" s="85"/>
      <c r="AD788" s="84"/>
      <c r="AE788" s="84"/>
      <c r="AF788" s="84"/>
      <c r="DB788" s="85"/>
    </row>
    <row r="789" spans="2:106"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  <c r="AA789" s="85"/>
      <c r="AB789" s="85"/>
      <c r="AC789" s="85"/>
      <c r="AD789" s="84"/>
      <c r="AE789" s="84"/>
      <c r="AF789" s="84"/>
      <c r="DB789" s="85"/>
    </row>
    <row r="790" spans="2:106"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  <c r="AA790" s="85"/>
      <c r="AB790" s="85"/>
      <c r="AC790" s="85"/>
      <c r="AD790" s="84"/>
      <c r="AE790" s="84"/>
      <c r="AF790" s="84"/>
      <c r="DB790" s="85"/>
    </row>
    <row r="791" spans="2:106"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  <c r="AA791" s="85"/>
      <c r="AB791" s="85"/>
      <c r="AC791" s="85"/>
      <c r="AD791" s="84"/>
      <c r="AE791" s="84"/>
      <c r="AF791" s="84"/>
      <c r="DB791" s="85"/>
    </row>
    <row r="792" spans="2:106"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  <c r="AA792" s="85"/>
      <c r="AB792" s="85"/>
      <c r="AC792" s="85"/>
      <c r="AD792" s="84"/>
      <c r="AE792" s="84"/>
      <c r="AF792" s="84"/>
      <c r="DB792" s="85"/>
    </row>
    <row r="793" spans="2:106"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  <c r="AA793" s="85"/>
      <c r="AB793" s="85"/>
      <c r="AC793" s="85"/>
      <c r="AD793" s="84"/>
      <c r="AE793" s="84"/>
      <c r="AF793" s="84"/>
      <c r="DB793" s="85"/>
    </row>
    <row r="794" spans="2:106"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  <c r="AA794" s="85"/>
      <c r="AB794" s="85"/>
      <c r="AC794" s="85"/>
      <c r="AD794" s="84"/>
      <c r="AE794" s="84"/>
      <c r="AF794" s="84"/>
      <c r="DB794" s="85"/>
    </row>
    <row r="795" spans="2:106"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  <c r="AA795" s="85"/>
      <c r="AB795" s="85"/>
      <c r="AC795" s="85"/>
      <c r="AD795" s="84"/>
      <c r="AE795" s="84"/>
      <c r="AF795" s="84"/>
      <c r="DB795" s="85"/>
    </row>
    <row r="796" spans="2:106"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  <c r="AA796" s="85"/>
      <c r="AB796" s="85"/>
      <c r="AC796" s="85"/>
      <c r="AD796" s="84"/>
      <c r="AE796" s="84"/>
      <c r="AF796" s="84"/>
      <c r="DB796" s="85"/>
    </row>
    <row r="797" spans="2:106"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  <c r="AA797" s="85"/>
      <c r="AB797" s="85"/>
      <c r="AC797" s="85"/>
      <c r="AD797" s="84"/>
      <c r="AE797" s="84"/>
      <c r="AF797" s="84"/>
      <c r="DB797" s="85"/>
    </row>
    <row r="798" spans="2:106"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  <c r="AA798" s="85"/>
      <c r="AB798" s="85"/>
      <c r="AC798" s="85"/>
      <c r="AD798" s="84"/>
      <c r="AE798" s="84"/>
      <c r="AF798" s="84"/>
      <c r="DB798" s="85"/>
    </row>
    <row r="799" spans="2:106"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  <c r="AA799" s="85"/>
      <c r="AB799" s="85"/>
      <c r="AC799" s="85"/>
      <c r="AD799" s="84"/>
      <c r="AE799" s="84"/>
      <c r="AF799" s="84"/>
      <c r="DB799" s="85"/>
    </row>
    <row r="800" spans="2:106"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  <c r="AA800" s="85"/>
      <c r="AB800" s="85"/>
      <c r="AC800" s="85"/>
      <c r="AD800" s="84"/>
      <c r="AE800" s="84"/>
      <c r="AF800" s="84"/>
      <c r="DB800" s="85"/>
    </row>
    <row r="801" spans="2:106"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4"/>
      <c r="AE801" s="84"/>
      <c r="AF801" s="84"/>
      <c r="DB801" s="85"/>
    </row>
    <row r="802" spans="2:106"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  <c r="AA802" s="85"/>
      <c r="AB802" s="85"/>
      <c r="AC802" s="85"/>
      <c r="AD802" s="84"/>
      <c r="AE802" s="84"/>
      <c r="AF802" s="84"/>
      <c r="DB802" s="85"/>
    </row>
    <row r="803" spans="2:106"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  <c r="AA803" s="85"/>
      <c r="AB803" s="85"/>
      <c r="AC803" s="85"/>
      <c r="AD803" s="84"/>
      <c r="AE803" s="84"/>
      <c r="AF803" s="84"/>
      <c r="DB803" s="85"/>
    </row>
    <row r="804" spans="2:106"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  <c r="AA804" s="85"/>
      <c r="AB804" s="85"/>
      <c r="AC804" s="85"/>
      <c r="AD804" s="84"/>
      <c r="AE804" s="84"/>
      <c r="AF804" s="84"/>
      <c r="DB804" s="85"/>
    </row>
    <row r="805" spans="2:106"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  <c r="AA805" s="85"/>
      <c r="AB805" s="85"/>
      <c r="AC805" s="85"/>
      <c r="AD805" s="84"/>
      <c r="AE805" s="84"/>
      <c r="AF805" s="84"/>
      <c r="DB805" s="85"/>
    </row>
    <row r="806" spans="2:106"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  <c r="AA806" s="85"/>
      <c r="AB806" s="85"/>
      <c r="AC806" s="85"/>
      <c r="AD806" s="84"/>
      <c r="AE806" s="84"/>
      <c r="AF806" s="84"/>
      <c r="DB806" s="85"/>
    </row>
    <row r="807" spans="2:106"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  <c r="AA807" s="85"/>
      <c r="AB807" s="85"/>
      <c r="AC807" s="85"/>
      <c r="AD807" s="84"/>
      <c r="AE807" s="84"/>
      <c r="AF807" s="84"/>
      <c r="DB807" s="85"/>
    </row>
    <row r="808" spans="2:106"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  <c r="AA808" s="85"/>
      <c r="AB808" s="85"/>
      <c r="AC808" s="85"/>
      <c r="AD808" s="84"/>
      <c r="AE808" s="84"/>
      <c r="AF808" s="84"/>
      <c r="DB808" s="85"/>
    </row>
    <row r="809" spans="2:106"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  <c r="AA809" s="85"/>
      <c r="AB809" s="85"/>
      <c r="AC809" s="85"/>
      <c r="AD809" s="84"/>
      <c r="AE809" s="84"/>
      <c r="AF809" s="84"/>
      <c r="DB809" s="85"/>
    </row>
    <row r="810" spans="2:106"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  <c r="AA810" s="85"/>
      <c r="AB810" s="85"/>
      <c r="AC810" s="85"/>
      <c r="AD810" s="84"/>
      <c r="AE810" s="84"/>
      <c r="AF810" s="84"/>
      <c r="DB810" s="85"/>
    </row>
    <row r="811" spans="2:106"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  <c r="AA811" s="85"/>
      <c r="AB811" s="85"/>
      <c r="AC811" s="85"/>
      <c r="AD811" s="84"/>
      <c r="AE811" s="84"/>
      <c r="AF811" s="84"/>
      <c r="DB811" s="85"/>
    </row>
    <row r="812" spans="2:106"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  <c r="AA812" s="85"/>
      <c r="AB812" s="85"/>
      <c r="AC812" s="85"/>
      <c r="AD812" s="84"/>
      <c r="AE812" s="84"/>
      <c r="AF812" s="84"/>
      <c r="DB812" s="85"/>
    </row>
    <row r="813" spans="2:106"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  <c r="AA813" s="85"/>
      <c r="AB813" s="85"/>
      <c r="AC813" s="85"/>
      <c r="AD813" s="84"/>
      <c r="AE813" s="84"/>
      <c r="AF813" s="84"/>
      <c r="DB813" s="85"/>
    </row>
    <row r="814" spans="2:106"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  <c r="AA814" s="85"/>
      <c r="AB814" s="85"/>
      <c r="AC814" s="85"/>
      <c r="AD814" s="84"/>
      <c r="AE814" s="84"/>
      <c r="AF814" s="84"/>
      <c r="DB814" s="85"/>
    </row>
    <row r="815" spans="2:106"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  <c r="AA815" s="85"/>
      <c r="AB815" s="85"/>
      <c r="AC815" s="85"/>
      <c r="AD815" s="84"/>
      <c r="AE815" s="84"/>
      <c r="AF815" s="84"/>
      <c r="DB815" s="85"/>
    </row>
    <row r="816" spans="2:106"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  <c r="AA816" s="85"/>
      <c r="AB816" s="85"/>
      <c r="AC816" s="85"/>
      <c r="AD816" s="84"/>
      <c r="AE816" s="84"/>
      <c r="AF816" s="84"/>
      <c r="DB816" s="85"/>
    </row>
    <row r="817" spans="2:106"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  <c r="AA817" s="85"/>
      <c r="AB817" s="85"/>
      <c r="AC817" s="85"/>
      <c r="AD817" s="84"/>
      <c r="AE817" s="84"/>
      <c r="AF817" s="84"/>
      <c r="DB817" s="85"/>
    </row>
    <row r="818" spans="2:106"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  <c r="AA818" s="85"/>
      <c r="AB818" s="85"/>
      <c r="AC818" s="85"/>
      <c r="AD818" s="84"/>
      <c r="AE818" s="84"/>
      <c r="AF818" s="84"/>
      <c r="DB818" s="85"/>
    </row>
    <row r="819" spans="2:106"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  <c r="AA819" s="85"/>
      <c r="AB819" s="85"/>
      <c r="AC819" s="85"/>
      <c r="AD819" s="84"/>
      <c r="AE819" s="84"/>
      <c r="AF819" s="84"/>
      <c r="DB819" s="85"/>
    </row>
    <row r="820" spans="2:106"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  <c r="AA820" s="85"/>
      <c r="AB820" s="85"/>
      <c r="AC820" s="85"/>
      <c r="AD820" s="84"/>
      <c r="AE820" s="84"/>
      <c r="AF820" s="84"/>
      <c r="DB820" s="85"/>
    </row>
    <row r="821" spans="2:106"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  <c r="AA821" s="85"/>
      <c r="AB821" s="85"/>
      <c r="AC821" s="85"/>
      <c r="AD821" s="84"/>
      <c r="AE821" s="84"/>
      <c r="AF821" s="84"/>
      <c r="DB821" s="85"/>
    </row>
    <row r="822" spans="2:106"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  <c r="AA822" s="85"/>
      <c r="AB822" s="85"/>
      <c r="AC822" s="85"/>
      <c r="AD822" s="84"/>
      <c r="AE822" s="84"/>
      <c r="AF822" s="84"/>
      <c r="DB822" s="85"/>
    </row>
    <row r="823" spans="2:106"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  <c r="AA823" s="85"/>
      <c r="AB823" s="85"/>
      <c r="AC823" s="85"/>
      <c r="AD823" s="84"/>
      <c r="AE823" s="84"/>
      <c r="AF823" s="84"/>
      <c r="DB823" s="85"/>
    </row>
    <row r="824" spans="2:106"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  <c r="AA824" s="85"/>
      <c r="AB824" s="85"/>
      <c r="AC824" s="85"/>
      <c r="AD824" s="84"/>
      <c r="AE824" s="84"/>
      <c r="AF824" s="84"/>
      <c r="DB824" s="85"/>
    </row>
    <row r="825" spans="2:106"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  <c r="AA825" s="85"/>
      <c r="AB825" s="85"/>
      <c r="AC825" s="85"/>
      <c r="AD825" s="84"/>
      <c r="AE825" s="84"/>
      <c r="AF825" s="84"/>
      <c r="DB825" s="85"/>
    </row>
    <row r="826" spans="2:106"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  <c r="AA826" s="85"/>
      <c r="AB826" s="85"/>
      <c r="AC826" s="85"/>
      <c r="AD826" s="84"/>
      <c r="AE826" s="84"/>
      <c r="AF826" s="84"/>
      <c r="DB826" s="85"/>
    </row>
    <row r="827" spans="2:106"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  <c r="AA827" s="85"/>
      <c r="AB827" s="85"/>
      <c r="AC827" s="85"/>
      <c r="AD827" s="84"/>
      <c r="AE827" s="84"/>
      <c r="AF827" s="84"/>
      <c r="DB827" s="85"/>
    </row>
    <row r="828" spans="2:106"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  <c r="AA828" s="85"/>
      <c r="AB828" s="85"/>
      <c r="AC828" s="85"/>
      <c r="AD828" s="84"/>
      <c r="AE828" s="84"/>
      <c r="AF828" s="84"/>
      <c r="DB828" s="85"/>
    </row>
    <row r="829" spans="2:106"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  <c r="AA829" s="85"/>
      <c r="AB829" s="85"/>
      <c r="AC829" s="85"/>
      <c r="AD829" s="84"/>
      <c r="AE829" s="84"/>
      <c r="AF829" s="84"/>
      <c r="DB829" s="85"/>
    </row>
    <row r="830" spans="2:106"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  <c r="AA830" s="85"/>
      <c r="AB830" s="85"/>
      <c r="AC830" s="85"/>
      <c r="AD830" s="84"/>
      <c r="AE830" s="84"/>
      <c r="AF830" s="84"/>
      <c r="DB830" s="85"/>
    </row>
    <row r="831" spans="2:106"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  <c r="AA831" s="85"/>
      <c r="AB831" s="85"/>
      <c r="AC831" s="85"/>
      <c r="AD831" s="84"/>
      <c r="AE831" s="84"/>
      <c r="AF831" s="84"/>
      <c r="DB831" s="85"/>
    </row>
    <row r="832" spans="2:106"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  <c r="AA832" s="85"/>
      <c r="AB832" s="85"/>
      <c r="AC832" s="85"/>
      <c r="AD832" s="84"/>
      <c r="AE832" s="84"/>
      <c r="AF832" s="84"/>
      <c r="DB832" s="85"/>
    </row>
    <row r="833" spans="2:106"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  <c r="AA833" s="85"/>
      <c r="AB833" s="85"/>
      <c r="AC833" s="85"/>
      <c r="AD833" s="84"/>
      <c r="AE833" s="84"/>
      <c r="AF833" s="84"/>
      <c r="DB833" s="85"/>
    </row>
    <row r="834" spans="2:106"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  <c r="AA834" s="85"/>
      <c r="AB834" s="85"/>
      <c r="AC834" s="85"/>
      <c r="AD834" s="84"/>
      <c r="AE834" s="84"/>
      <c r="AF834" s="84"/>
      <c r="DB834" s="85"/>
    </row>
    <row r="835" spans="2:106"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  <c r="AA835" s="85"/>
      <c r="AB835" s="85"/>
      <c r="AC835" s="85"/>
      <c r="AD835" s="84"/>
      <c r="AE835" s="84"/>
      <c r="AF835" s="84"/>
      <c r="DB835" s="85"/>
    </row>
    <row r="836" spans="2:106"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  <c r="AA836" s="85"/>
      <c r="AB836" s="85"/>
      <c r="AC836" s="85"/>
      <c r="AD836" s="84"/>
      <c r="AE836" s="84"/>
      <c r="AF836" s="84"/>
      <c r="DB836" s="85"/>
    </row>
    <row r="837" spans="2:106"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  <c r="AA837" s="85"/>
      <c r="AB837" s="85"/>
      <c r="AC837" s="85"/>
      <c r="AD837" s="84"/>
      <c r="AE837" s="84"/>
      <c r="AF837" s="84"/>
      <c r="DB837" s="85"/>
    </row>
    <row r="838" spans="2:106"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  <c r="AA838" s="85"/>
      <c r="AB838" s="85"/>
      <c r="AC838" s="85"/>
      <c r="AD838" s="84"/>
      <c r="AE838" s="84"/>
      <c r="AF838" s="84"/>
      <c r="DB838" s="85"/>
    </row>
    <row r="839" spans="2:106"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4"/>
      <c r="AE839" s="84"/>
      <c r="AF839" s="84"/>
      <c r="DB839" s="85"/>
    </row>
    <row r="840" spans="2:106"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  <c r="AA840" s="85"/>
      <c r="AB840" s="85"/>
      <c r="AC840" s="85"/>
      <c r="AD840" s="84"/>
      <c r="AE840" s="84"/>
      <c r="AF840" s="84"/>
      <c r="DB840" s="85"/>
    </row>
    <row r="841" spans="2:106"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  <c r="AA841" s="85"/>
      <c r="AB841" s="85"/>
      <c r="AC841" s="85"/>
      <c r="AD841" s="84"/>
      <c r="AE841" s="84"/>
      <c r="AF841" s="84"/>
      <c r="DB841" s="85"/>
    </row>
    <row r="842" spans="2:106"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  <c r="AA842" s="85"/>
      <c r="AB842" s="85"/>
      <c r="AC842" s="85"/>
      <c r="AD842" s="84"/>
      <c r="AE842" s="84"/>
      <c r="AF842" s="84"/>
      <c r="DB842" s="85"/>
    </row>
    <row r="843" spans="2:106"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  <c r="AA843" s="85"/>
      <c r="AB843" s="85"/>
      <c r="AC843" s="85"/>
      <c r="AD843" s="84"/>
      <c r="AE843" s="84"/>
      <c r="AF843" s="84"/>
      <c r="DB843" s="85"/>
    </row>
    <row r="844" spans="2:106"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  <c r="AA844" s="85"/>
      <c r="AB844" s="85"/>
      <c r="AC844" s="85"/>
      <c r="AD844" s="84"/>
      <c r="AE844" s="84"/>
      <c r="AF844" s="84"/>
      <c r="DB844" s="85"/>
    </row>
    <row r="845" spans="2:106"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  <c r="AA845" s="85"/>
      <c r="AB845" s="85"/>
      <c r="AC845" s="85"/>
      <c r="AD845" s="84"/>
      <c r="AE845" s="84"/>
      <c r="AF845" s="84"/>
      <c r="DB845" s="85"/>
    </row>
    <row r="846" spans="2:106"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  <c r="AA846" s="85"/>
      <c r="AB846" s="85"/>
      <c r="AC846" s="85"/>
      <c r="AD846" s="84"/>
      <c r="AE846" s="84"/>
      <c r="AF846" s="84"/>
      <c r="DB846" s="85"/>
    </row>
    <row r="847" spans="2:106"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  <c r="AA847" s="85"/>
      <c r="AB847" s="85"/>
      <c r="AC847" s="85"/>
      <c r="AD847" s="84"/>
      <c r="AE847" s="84"/>
      <c r="AF847" s="84"/>
      <c r="DB847" s="85"/>
    </row>
    <row r="848" spans="2:106"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  <c r="AA848" s="85"/>
      <c r="AB848" s="85"/>
      <c r="AC848" s="85"/>
      <c r="AD848" s="84"/>
      <c r="AE848" s="84"/>
      <c r="AF848" s="84"/>
      <c r="DB848" s="85"/>
    </row>
    <row r="849" spans="2:106"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  <c r="AA849" s="85"/>
      <c r="AB849" s="85"/>
      <c r="AC849" s="85"/>
      <c r="AD849" s="84"/>
      <c r="AE849" s="84"/>
      <c r="AF849" s="84"/>
      <c r="DB849" s="85"/>
    </row>
    <row r="850" spans="2:106"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  <c r="AA850" s="85"/>
      <c r="AB850" s="85"/>
      <c r="AC850" s="85"/>
      <c r="AD850" s="84"/>
      <c r="AE850" s="84"/>
      <c r="AF850" s="84"/>
      <c r="DB850" s="85"/>
    </row>
    <row r="851" spans="2:106"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  <c r="AA851" s="85"/>
      <c r="AB851" s="85"/>
      <c r="AC851" s="85"/>
      <c r="AD851" s="84"/>
      <c r="AE851" s="84"/>
      <c r="AF851" s="84"/>
      <c r="DB851" s="85"/>
    </row>
    <row r="852" spans="2:106"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  <c r="AA852" s="85"/>
      <c r="AB852" s="85"/>
      <c r="AC852" s="85"/>
      <c r="AD852" s="84"/>
      <c r="AE852" s="84"/>
      <c r="AF852" s="84"/>
      <c r="DB852" s="85"/>
    </row>
    <row r="853" spans="2:106"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  <c r="AA853" s="85"/>
      <c r="AB853" s="85"/>
      <c r="AC853" s="85"/>
      <c r="AD853" s="84"/>
      <c r="AE853" s="84"/>
      <c r="AF853" s="84"/>
      <c r="DB853" s="85"/>
    </row>
    <row r="854" spans="2:106"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  <c r="AA854" s="85"/>
      <c r="AB854" s="85"/>
      <c r="AC854" s="85"/>
      <c r="AD854" s="84"/>
      <c r="AE854" s="84"/>
      <c r="AF854" s="84"/>
      <c r="DB854" s="85"/>
    </row>
    <row r="855" spans="2:106"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  <c r="AA855" s="85"/>
      <c r="AB855" s="85"/>
      <c r="AC855" s="85"/>
      <c r="AD855" s="84"/>
      <c r="AE855" s="84"/>
      <c r="AF855" s="84"/>
      <c r="DB855" s="85"/>
    </row>
    <row r="856" spans="2:106"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  <c r="AA856" s="85"/>
      <c r="AB856" s="85"/>
      <c r="AC856" s="85"/>
      <c r="AD856" s="84"/>
      <c r="AE856" s="84"/>
      <c r="AF856" s="84"/>
      <c r="DB856" s="85"/>
    </row>
    <row r="857" spans="2:106"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  <c r="AA857" s="85"/>
      <c r="AB857" s="85"/>
      <c r="AC857" s="85"/>
      <c r="AD857" s="84"/>
      <c r="AE857" s="84"/>
      <c r="AF857" s="84"/>
      <c r="DB857" s="85"/>
    </row>
    <row r="858" spans="2:106"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  <c r="AA858" s="85"/>
      <c r="AB858" s="85"/>
      <c r="AC858" s="85"/>
      <c r="AD858" s="84"/>
      <c r="AE858" s="84"/>
      <c r="AF858" s="84"/>
      <c r="DB858" s="85"/>
    </row>
    <row r="859" spans="2:106"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  <c r="AA859" s="85"/>
      <c r="AB859" s="85"/>
      <c r="AC859" s="85"/>
      <c r="AD859" s="84"/>
      <c r="AE859" s="84"/>
      <c r="AF859" s="84"/>
      <c r="DB859" s="85"/>
    </row>
    <row r="860" spans="2:106"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  <c r="AA860" s="85"/>
      <c r="AB860" s="85"/>
      <c r="AC860" s="85"/>
      <c r="AD860" s="84"/>
      <c r="AE860" s="84"/>
      <c r="AF860" s="84"/>
      <c r="DB860" s="85"/>
    </row>
    <row r="861" spans="2:106"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  <c r="AA861" s="85"/>
      <c r="AB861" s="85"/>
      <c r="AC861" s="85"/>
      <c r="AD861" s="84"/>
      <c r="AE861" s="84"/>
      <c r="AF861" s="84"/>
      <c r="DB861" s="85"/>
    </row>
    <row r="862" spans="2:106"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  <c r="AA862" s="85"/>
      <c r="AB862" s="85"/>
      <c r="AC862" s="85"/>
      <c r="AD862" s="84"/>
      <c r="AE862" s="84"/>
      <c r="AF862" s="84"/>
      <c r="DB862" s="85"/>
    </row>
    <row r="863" spans="2:106"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  <c r="AA863" s="85"/>
      <c r="AB863" s="85"/>
      <c r="AC863" s="85"/>
      <c r="AD863" s="84"/>
      <c r="AE863" s="84"/>
      <c r="AF863" s="84"/>
      <c r="DB863" s="85"/>
    </row>
    <row r="864" spans="2:106"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  <c r="AA864" s="85"/>
      <c r="AB864" s="85"/>
      <c r="AC864" s="85"/>
      <c r="AD864" s="84"/>
      <c r="AE864" s="84"/>
      <c r="AF864" s="84"/>
      <c r="DB864" s="85"/>
    </row>
    <row r="865" spans="2:106"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  <c r="AA865" s="85"/>
      <c r="AB865" s="85"/>
      <c r="AC865" s="85"/>
      <c r="AD865" s="84"/>
      <c r="AE865" s="84"/>
      <c r="AF865" s="84"/>
      <c r="DB865" s="85"/>
    </row>
    <row r="866" spans="2:106"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  <c r="AA866" s="85"/>
      <c r="AB866" s="85"/>
      <c r="AC866" s="85"/>
      <c r="AD866" s="84"/>
      <c r="AE866" s="84"/>
      <c r="AF866" s="84"/>
      <c r="DB866" s="85"/>
    </row>
    <row r="867" spans="2:106"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  <c r="AA867" s="85"/>
      <c r="AB867" s="85"/>
      <c r="AC867" s="85"/>
      <c r="AD867" s="84"/>
      <c r="AE867" s="84"/>
      <c r="AF867" s="84"/>
      <c r="DB867" s="85"/>
    </row>
    <row r="868" spans="2:106"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  <c r="AA868" s="85"/>
      <c r="AB868" s="85"/>
      <c r="AC868" s="85"/>
      <c r="AD868" s="84"/>
      <c r="AE868" s="84"/>
      <c r="AF868" s="84"/>
      <c r="DB868" s="85"/>
    </row>
    <row r="869" spans="2:106"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  <c r="AA869" s="85"/>
      <c r="AB869" s="85"/>
      <c r="AC869" s="85"/>
      <c r="AD869" s="84"/>
      <c r="AE869" s="84"/>
      <c r="AF869" s="84"/>
      <c r="DB869" s="85"/>
    </row>
    <row r="870" spans="2:106"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  <c r="AA870" s="85"/>
      <c r="AB870" s="85"/>
      <c r="AC870" s="85"/>
      <c r="AD870" s="84"/>
      <c r="AE870" s="84"/>
      <c r="AF870" s="84"/>
      <c r="DB870" s="85"/>
    </row>
    <row r="871" spans="2:106"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  <c r="AA871" s="85"/>
      <c r="AB871" s="85"/>
      <c r="AC871" s="85"/>
      <c r="AD871" s="84"/>
      <c r="AE871" s="84"/>
      <c r="AF871" s="84"/>
      <c r="DB871" s="85"/>
    </row>
    <row r="872" spans="2:106"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  <c r="AA872" s="85"/>
      <c r="AB872" s="85"/>
      <c r="AC872" s="85"/>
      <c r="AD872" s="84"/>
      <c r="AE872" s="84"/>
      <c r="AF872" s="84"/>
      <c r="DB872" s="85"/>
    </row>
    <row r="873" spans="2:106"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  <c r="AA873" s="85"/>
      <c r="AB873" s="85"/>
      <c r="AC873" s="85"/>
      <c r="AD873" s="84"/>
      <c r="AE873" s="84"/>
      <c r="AF873" s="84"/>
      <c r="DB873" s="85"/>
    </row>
    <row r="874" spans="2:106"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  <c r="AA874" s="85"/>
      <c r="AB874" s="85"/>
      <c r="AC874" s="85"/>
      <c r="AD874" s="84"/>
      <c r="AE874" s="84"/>
      <c r="AF874" s="84"/>
      <c r="DB874" s="85"/>
    </row>
    <row r="875" spans="2:106"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  <c r="AA875" s="85"/>
      <c r="AB875" s="85"/>
      <c r="AC875" s="85"/>
      <c r="AD875" s="84"/>
      <c r="AE875" s="84"/>
      <c r="AF875" s="84"/>
      <c r="DB875" s="85"/>
    </row>
    <row r="876" spans="2:106"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  <c r="AA876" s="85"/>
      <c r="AB876" s="85"/>
      <c r="AC876" s="85"/>
      <c r="AD876" s="84"/>
      <c r="AE876" s="84"/>
      <c r="AF876" s="84"/>
      <c r="DB876" s="85"/>
    </row>
    <row r="877" spans="2:106"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4"/>
      <c r="AE877" s="84"/>
      <c r="AF877" s="84"/>
      <c r="DB877" s="85"/>
    </row>
    <row r="878" spans="2:106"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  <c r="AA878" s="85"/>
      <c r="AB878" s="85"/>
      <c r="AC878" s="85"/>
      <c r="AD878" s="84"/>
      <c r="AE878" s="84"/>
      <c r="AF878" s="84"/>
      <c r="DB878" s="85"/>
    </row>
    <row r="879" spans="2:106"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  <c r="AA879" s="85"/>
      <c r="AB879" s="85"/>
      <c r="AC879" s="85"/>
      <c r="AD879" s="84"/>
      <c r="AE879" s="84"/>
      <c r="AF879" s="84"/>
      <c r="DB879" s="85"/>
    </row>
    <row r="880" spans="2:106"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  <c r="AA880" s="85"/>
      <c r="AB880" s="85"/>
      <c r="AC880" s="85"/>
      <c r="AD880" s="84"/>
      <c r="AE880" s="84"/>
      <c r="AF880" s="84"/>
      <c r="DB880" s="85"/>
    </row>
    <row r="881" spans="2:106"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  <c r="AA881" s="85"/>
      <c r="AB881" s="85"/>
      <c r="AC881" s="85"/>
      <c r="AD881" s="84"/>
      <c r="AE881" s="84"/>
      <c r="AF881" s="84"/>
      <c r="DB881" s="85"/>
    </row>
    <row r="882" spans="2:106"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  <c r="AA882" s="85"/>
      <c r="AB882" s="85"/>
      <c r="AC882" s="85"/>
      <c r="AD882" s="84"/>
      <c r="AE882" s="84"/>
      <c r="AF882" s="84"/>
      <c r="DB882" s="85"/>
    </row>
    <row r="883" spans="2:106"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  <c r="AA883" s="85"/>
      <c r="AB883" s="85"/>
      <c r="AC883" s="85"/>
      <c r="AD883" s="84"/>
      <c r="AE883" s="84"/>
      <c r="AF883" s="84"/>
      <c r="DB883" s="85"/>
    </row>
    <row r="884" spans="2:106"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  <c r="AA884" s="85"/>
      <c r="AB884" s="85"/>
      <c r="AC884" s="85"/>
      <c r="AD884" s="84"/>
      <c r="AE884" s="84"/>
      <c r="AF884" s="84"/>
      <c r="DB884" s="85"/>
    </row>
    <row r="885" spans="2:106"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  <c r="AA885" s="85"/>
      <c r="AB885" s="85"/>
      <c r="AC885" s="85"/>
      <c r="AD885" s="84"/>
      <c r="AE885" s="84"/>
      <c r="AF885" s="84"/>
      <c r="DB885" s="85"/>
    </row>
    <row r="886" spans="2:106"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  <c r="AD886" s="84"/>
      <c r="AE886" s="84"/>
      <c r="AF886" s="84"/>
      <c r="DB886" s="85"/>
    </row>
    <row r="887" spans="2:106"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  <c r="AA887" s="85"/>
      <c r="AB887" s="85"/>
      <c r="AC887" s="85"/>
      <c r="AD887" s="84"/>
      <c r="AE887" s="84"/>
      <c r="AF887" s="84"/>
      <c r="DB887" s="85"/>
    </row>
    <row r="888" spans="2:106"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  <c r="AA888" s="85"/>
      <c r="AB888" s="85"/>
      <c r="AC888" s="85"/>
      <c r="AD888" s="84"/>
      <c r="AE888" s="84"/>
      <c r="AF888" s="84"/>
      <c r="DB888" s="85"/>
    </row>
    <row r="889" spans="2:106"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  <c r="AA889" s="85"/>
      <c r="AB889" s="85"/>
      <c r="AC889" s="85"/>
      <c r="AD889" s="84"/>
      <c r="AE889" s="84"/>
      <c r="AF889" s="84"/>
      <c r="DB889" s="85"/>
    </row>
    <row r="890" spans="2:106"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  <c r="AA890" s="85"/>
      <c r="AB890" s="85"/>
      <c r="AC890" s="85"/>
      <c r="AD890" s="84"/>
      <c r="AE890" s="84"/>
      <c r="AF890" s="84"/>
      <c r="DB890" s="85"/>
    </row>
    <row r="891" spans="2:106"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  <c r="AA891" s="85"/>
      <c r="AB891" s="85"/>
      <c r="AC891" s="85"/>
      <c r="AD891" s="84"/>
      <c r="AE891" s="84"/>
      <c r="AF891" s="84"/>
      <c r="DB891" s="85"/>
    </row>
    <row r="892" spans="2:106"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  <c r="AA892" s="85"/>
      <c r="AB892" s="85"/>
      <c r="AC892" s="85"/>
      <c r="AD892" s="84"/>
      <c r="AE892" s="84"/>
      <c r="AF892" s="84"/>
      <c r="DB892" s="85"/>
    </row>
    <row r="893" spans="2:106"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  <c r="AA893" s="85"/>
      <c r="AB893" s="85"/>
      <c r="AC893" s="85"/>
      <c r="AD893" s="84"/>
      <c r="AE893" s="84"/>
      <c r="AF893" s="84"/>
      <c r="DB893" s="85"/>
    </row>
    <row r="894" spans="2:106"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  <c r="AA894" s="85"/>
      <c r="AB894" s="85"/>
      <c r="AC894" s="85"/>
      <c r="AD894" s="84"/>
      <c r="AE894" s="84"/>
      <c r="AF894" s="84"/>
      <c r="DB894" s="85"/>
    </row>
    <row r="895" spans="2:106"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  <c r="AA895" s="85"/>
      <c r="AB895" s="85"/>
      <c r="AC895" s="85"/>
      <c r="AD895" s="84"/>
      <c r="AE895" s="84"/>
      <c r="AF895" s="84"/>
      <c r="DB895" s="85"/>
    </row>
    <row r="896" spans="2:106"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  <c r="AA896" s="85"/>
      <c r="AB896" s="85"/>
      <c r="AC896" s="85"/>
      <c r="AD896" s="84"/>
      <c r="AE896" s="84"/>
      <c r="AF896" s="84"/>
      <c r="DB896" s="85"/>
    </row>
    <row r="897" spans="2:106"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  <c r="AA897" s="85"/>
      <c r="AB897" s="85"/>
      <c r="AC897" s="85"/>
      <c r="AD897" s="84"/>
      <c r="AE897" s="84"/>
      <c r="AF897" s="84"/>
      <c r="DB897" s="85"/>
    </row>
    <row r="898" spans="2:106"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  <c r="AA898" s="85"/>
      <c r="AB898" s="85"/>
      <c r="AC898" s="85"/>
      <c r="AD898" s="84"/>
      <c r="AE898" s="84"/>
      <c r="AF898" s="84"/>
      <c r="DB898" s="85"/>
    </row>
    <row r="899" spans="2:106"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  <c r="AA899" s="85"/>
      <c r="AB899" s="85"/>
      <c r="AC899" s="85"/>
      <c r="AD899" s="84"/>
      <c r="AE899" s="84"/>
      <c r="AF899" s="84"/>
      <c r="DB899" s="85"/>
    </row>
    <row r="900" spans="2:106"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  <c r="AA900" s="85"/>
      <c r="AB900" s="85"/>
      <c r="AC900" s="85"/>
      <c r="AD900" s="84"/>
      <c r="AE900" s="84"/>
      <c r="AF900" s="84"/>
      <c r="DB900" s="85"/>
    </row>
    <row r="901" spans="2:106"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  <c r="AA901" s="85"/>
      <c r="AB901" s="85"/>
      <c r="AC901" s="85"/>
      <c r="AD901" s="84"/>
      <c r="AE901" s="84"/>
      <c r="AF901" s="84"/>
      <c r="DB901" s="85"/>
    </row>
    <row r="902" spans="2:106"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  <c r="AA902" s="85"/>
      <c r="AB902" s="85"/>
      <c r="AC902" s="85"/>
      <c r="AD902" s="84"/>
      <c r="AE902" s="84"/>
      <c r="AF902" s="84"/>
      <c r="DB902" s="85"/>
    </row>
    <row r="903" spans="2:106"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  <c r="AA903" s="85"/>
      <c r="AB903" s="85"/>
      <c r="AC903" s="85"/>
      <c r="AD903" s="84"/>
      <c r="AE903" s="84"/>
      <c r="AF903" s="84"/>
      <c r="DB903" s="85"/>
    </row>
    <row r="904" spans="2:106"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  <c r="AA904" s="85"/>
      <c r="AB904" s="85"/>
      <c r="AC904" s="85"/>
      <c r="AD904" s="84"/>
      <c r="AE904" s="84"/>
      <c r="AF904" s="84"/>
      <c r="DB904" s="85"/>
    </row>
    <row r="905" spans="2:106"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  <c r="AA905" s="85"/>
      <c r="AB905" s="85"/>
      <c r="AC905" s="85"/>
      <c r="AD905" s="84"/>
      <c r="AE905" s="84"/>
      <c r="AF905" s="84"/>
      <c r="DB905" s="85"/>
    </row>
    <row r="906" spans="2:106"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  <c r="AA906" s="85"/>
      <c r="AB906" s="85"/>
      <c r="AC906" s="85"/>
      <c r="AD906" s="84"/>
      <c r="AE906" s="84"/>
      <c r="AF906" s="84"/>
      <c r="DB906" s="85"/>
    </row>
    <row r="907" spans="2:106"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  <c r="AA907" s="85"/>
      <c r="AB907" s="85"/>
      <c r="AC907" s="85"/>
      <c r="AD907" s="84"/>
      <c r="AE907" s="84"/>
      <c r="AF907" s="84"/>
      <c r="DB907" s="85"/>
    </row>
    <row r="908" spans="2:106"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  <c r="AA908" s="85"/>
      <c r="AB908" s="85"/>
      <c r="AC908" s="85"/>
      <c r="AD908" s="84"/>
      <c r="AE908" s="84"/>
      <c r="AF908" s="84"/>
      <c r="DB908" s="85"/>
    </row>
    <row r="909" spans="2:106"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  <c r="AA909" s="85"/>
      <c r="AB909" s="85"/>
      <c r="AC909" s="85"/>
      <c r="AD909" s="84"/>
      <c r="AE909" s="84"/>
      <c r="AF909" s="84"/>
      <c r="DB909" s="85"/>
    </row>
    <row r="910" spans="2:106"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  <c r="AA910" s="85"/>
      <c r="AB910" s="85"/>
      <c r="AC910" s="85"/>
      <c r="AD910" s="84"/>
      <c r="AE910" s="84"/>
      <c r="AF910" s="84"/>
      <c r="DB910" s="85"/>
    </row>
    <row r="911" spans="2:106"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  <c r="AA911" s="85"/>
      <c r="AB911" s="85"/>
      <c r="AC911" s="85"/>
      <c r="AD911" s="84"/>
      <c r="AE911" s="84"/>
      <c r="AF911" s="84"/>
      <c r="DB911" s="85"/>
    </row>
    <row r="912" spans="2:106"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  <c r="AA912" s="85"/>
      <c r="AB912" s="85"/>
      <c r="AC912" s="85"/>
      <c r="AD912" s="84"/>
      <c r="AE912" s="84"/>
      <c r="AF912" s="84"/>
      <c r="DB912" s="85"/>
    </row>
    <row r="913" spans="2:106"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  <c r="AA913" s="85"/>
      <c r="AB913" s="85"/>
      <c r="AC913" s="85"/>
      <c r="AD913" s="84"/>
      <c r="AE913" s="84"/>
      <c r="AF913" s="84"/>
      <c r="DB913" s="85"/>
    </row>
    <row r="914" spans="2:106"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  <c r="AA914" s="85"/>
      <c r="AB914" s="85"/>
      <c r="AC914" s="85"/>
      <c r="AD914" s="84"/>
      <c r="AE914" s="84"/>
      <c r="AF914" s="84"/>
      <c r="DB914" s="85"/>
    </row>
    <row r="915" spans="2:106"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4"/>
      <c r="AE915" s="84"/>
      <c r="AF915" s="84"/>
      <c r="DB915" s="85"/>
    </row>
    <row r="916" spans="2:106"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  <c r="AA916" s="85"/>
      <c r="AB916" s="85"/>
      <c r="AC916" s="85"/>
      <c r="AD916" s="84"/>
      <c r="AE916" s="84"/>
      <c r="AF916" s="84"/>
      <c r="DB916" s="85"/>
    </row>
    <row r="917" spans="2:106"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  <c r="AA917" s="85"/>
      <c r="AB917" s="85"/>
      <c r="AC917" s="85"/>
      <c r="AD917" s="84"/>
      <c r="AE917" s="84"/>
      <c r="AF917" s="84"/>
      <c r="DB917" s="85"/>
    </row>
    <row r="918" spans="2:106"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  <c r="AA918" s="85"/>
      <c r="AB918" s="85"/>
      <c r="AC918" s="85"/>
      <c r="AD918" s="84"/>
      <c r="AE918" s="84"/>
      <c r="AF918" s="84"/>
      <c r="DB918" s="85"/>
    </row>
    <row r="919" spans="2:106"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  <c r="AA919" s="85"/>
      <c r="AB919" s="85"/>
      <c r="AC919" s="85"/>
      <c r="AD919" s="84"/>
      <c r="AE919" s="84"/>
      <c r="AF919" s="84"/>
      <c r="DB919" s="85"/>
    </row>
    <row r="920" spans="2:106"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  <c r="AA920" s="85"/>
      <c r="AB920" s="85"/>
      <c r="AC920" s="85"/>
      <c r="AD920" s="84"/>
      <c r="AE920" s="84"/>
      <c r="AF920" s="84"/>
      <c r="DB920" s="85"/>
    </row>
    <row r="921" spans="2:106"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  <c r="AA921" s="85"/>
      <c r="AB921" s="85"/>
      <c r="AC921" s="85"/>
      <c r="AD921" s="84"/>
      <c r="AE921" s="84"/>
      <c r="AF921" s="84"/>
      <c r="DB921" s="85"/>
    </row>
    <row r="922" spans="2:106"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  <c r="AA922" s="85"/>
      <c r="AB922" s="85"/>
      <c r="AC922" s="85"/>
      <c r="AD922" s="84"/>
      <c r="AE922" s="84"/>
      <c r="AF922" s="84"/>
      <c r="DB922" s="85"/>
    </row>
    <row r="923" spans="2:106"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  <c r="AA923" s="85"/>
      <c r="AB923" s="85"/>
      <c r="AC923" s="85"/>
      <c r="AD923" s="84"/>
      <c r="AE923" s="84"/>
      <c r="AF923" s="84"/>
      <c r="DB923" s="85"/>
    </row>
    <row r="924" spans="2:106"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  <c r="AA924" s="85"/>
      <c r="AB924" s="85"/>
      <c r="AC924" s="85"/>
      <c r="AD924" s="84"/>
      <c r="AE924" s="84"/>
      <c r="AF924" s="84"/>
      <c r="DB924" s="85"/>
    </row>
    <row r="925" spans="2:106"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  <c r="AA925" s="85"/>
      <c r="AB925" s="85"/>
      <c r="AC925" s="85"/>
      <c r="AD925" s="84"/>
      <c r="AE925" s="84"/>
      <c r="AF925" s="84"/>
      <c r="DB925" s="85"/>
    </row>
    <row r="926" spans="2:106"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  <c r="AA926" s="85"/>
      <c r="AB926" s="85"/>
      <c r="AC926" s="85"/>
      <c r="AD926" s="84"/>
      <c r="AE926" s="84"/>
      <c r="AF926" s="84"/>
      <c r="DB926" s="85"/>
    </row>
    <row r="927" spans="2:106"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  <c r="AA927" s="85"/>
      <c r="AB927" s="85"/>
      <c r="AC927" s="85"/>
      <c r="AD927" s="84"/>
      <c r="AE927" s="84"/>
      <c r="AF927" s="84"/>
      <c r="DB927" s="85"/>
    </row>
    <row r="928" spans="2:106"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  <c r="AA928" s="85"/>
      <c r="AB928" s="85"/>
      <c r="AC928" s="85"/>
      <c r="AD928" s="84"/>
      <c r="AE928" s="84"/>
      <c r="AF928" s="84"/>
      <c r="DB928" s="85"/>
    </row>
    <row r="929" spans="2:106"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  <c r="AA929" s="85"/>
      <c r="AB929" s="85"/>
      <c r="AC929" s="85"/>
      <c r="AD929" s="84"/>
      <c r="AE929" s="84"/>
      <c r="AF929" s="84"/>
      <c r="DB929" s="85"/>
    </row>
    <row r="930" spans="2:106"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  <c r="AA930" s="85"/>
      <c r="AB930" s="85"/>
      <c r="AC930" s="85"/>
      <c r="AD930" s="84"/>
      <c r="AE930" s="84"/>
      <c r="AF930" s="84"/>
      <c r="DB930" s="85"/>
    </row>
    <row r="931" spans="2:106"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  <c r="AA931" s="85"/>
      <c r="AB931" s="85"/>
      <c r="AC931" s="85"/>
      <c r="AD931" s="84"/>
      <c r="AE931" s="84"/>
      <c r="AF931" s="84"/>
      <c r="DB931" s="85"/>
    </row>
    <row r="932" spans="2:106"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  <c r="AA932" s="85"/>
      <c r="AB932" s="85"/>
      <c r="AC932" s="85"/>
      <c r="AD932" s="84"/>
      <c r="AE932" s="84"/>
      <c r="AF932" s="84"/>
      <c r="DB932" s="85"/>
    </row>
    <row r="933" spans="2:106"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  <c r="AA933" s="85"/>
      <c r="AB933" s="85"/>
      <c r="AC933" s="85"/>
      <c r="AD933" s="84"/>
      <c r="AE933" s="84"/>
      <c r="AF933" s="84"/>
      <c r="DB933" s="85"/>
    </row>
    <row r="934" spans="2:106"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  <c r="AA934" s="85"/>
      <c r="AB934" s="85"/>
      <c r="AC934" s="85"/>
      <c r="AD934" s="84"/>
      <c r="AE934" s="84"/>
      <c r="AF934" s="84"/>
      <c r="DB934" s="85"/>
    </row>
    <row r="935" spans="2:106"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  <c r="AA935" s="85"/>
      <c r="AB935" s="85"/>
      <c r="AC935" s="85"/>
      <c r="AD935" s="84"/>
      <c r="AE935" s="84"/>
      <c r="AF935" s="84"/>
      <c r="DB935" s="85"/>
    </row>
    <row r="936" spans="2:106"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  <c r="AA936" s="85"/>
      <c r="AB936" s="85"/>
      <c r="AC936" s="85"/>
      <c r="AD936" s="84"/>
      <c r="AE936" s="84"/>
      <c r="AF936" s="84"/>
      <c r="DB936" s="85"/>
    </row>
    <row r="937" spans="2:106"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  <c r="AA937" s="85"/>
      <c r="AB937" s="85"/>
      <c r="AC937" s="85"/>
      <c r="AD937" s="84"/>
      <c r="AE937" s="84"/>
      <c r="AF937" s="84"/>
      <c r="DB937" s="85"/>
    </row>
    <row r="938" spans="2:106"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  <c r="AA938" s="85"/>
      <c r="AB938" s="85"/>
      <c r="AC938" s="85"/>
      <c r="AD938" s="84"/>
      <c r="AE938" s="84"/>
      <c r="AF938" s="84"/>
      <c r="DB938" s="85"/>
    </row>
    <row r="939" spans="2:106"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  <c r="AA939" s="85"/>
      <c r="AB939" s="85"/>
      <c r="AC939" s="85"/>
      <c r="AD939" s="84"/>
      <c r="AE939" s="84"/>
      <c r="AF939" s="84"/>
      <c r="DB939" s="85"/>
    </row>
    <row r="940" spans="2:106"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  <c r="AA940" s="85"/>
      <c r="AB940" s="85"/>
      <c r="AC940" s="85"/>
      <c r="AD940" s="84"/>
      <c r="AE940" s="84"/>
      <c r="AF940" s="84"/>
      <c r="DB940" s="85"/>
    </row>
    <row r="941" spans="2:106"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  <c r="AA941" s="85"/>
      <c r="AB941" s="85"/>
      <c r="AC941" s="85"/>
      <c r="AD941" s="84"/>
      <c r="AE941" s="84"/>
      <c r="AF941" s="84"/>
      <c r="DB941" s="85"/>
    </row>
    <row r="942" spans="2:106"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  <c r="AA942" s="85"/>
      <c r="AB942" s="85"/>
      <c r="AC942" s="85"/>
      <c r="AD942" s="84"/>
      <c r="AE942" s="84"/>
      <c r="AF942" s="84"/>
      <c r="DB942" s="85"/>
    </row>
    <row r="943" spans="2:106"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  <c r="AA943" s="85"/>
      <c r="AB943" s="85"/>
      <c r="AC943" s="85"/>
      <c r="AD943" s="84"/>
      <c r="AE943" s="84"/>
      <c r="AF943" s="84"/>
      <c r="DB943" s="85"/>
    </row>
    <row r="944" spans="2:106"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  <c r="AA944" s="85"/>
      <c r="AB944" s="85"/>
      <c r="AC944" s="85"/>
      <c r="AD944" s="84"/>
      <c r="AE944" s="84"/>
      <c r="AF944" s="84"/>
      <c r="DB944" s="85"/>
    </row>
    <row r="945" spans="2:106"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  <c r="AA945" s="85"/>
      <c r="AB945" s="85"/>
      <c r="AC945" s="85"/>
      <c r="AD945" s="84"/>
      <c r="AE945" s="84"/>
      <c r="AF945" s="84"/>
      <c r="DB945" s="85"/>
    </row>
    <row r="946" spans="2:106"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  <c r="AA946" s="85"/>
      <c r="AB946" s="85"/>
      <c r="AC946" s="85"/>
      <c r="AD946" s="84"/>
      <c r="AE946" s="84"/>
      <c r="AF946" s="84"/>
      <c r="DB946" s="85"/>
    </row>
    <row r="947" spans="2:106"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  <c r="AA947" s="85"/>
      <c r="AB947" s="85"/>
      <c r="AC947" s="85"/>
      <c r="AD947" s="84"/>
      <c r="AE947" s="84"/>
      <c r="AF947" s="84"/>
      <c r="DB947" s="85"/>
    </row>
    <row r="948" spans="2:106"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  <c r="AA948" s="85"/>
      <c r="AB948" s="85"/>
      <c r="AC948" s="85"/>
      <c r="AD948" s="84"/>
      <c r="AE948" s="84"/>
      <c r="AF948" s="84"/>
      <c r="DB948" s="85"/>
    </row>
    <row r="949" spans="2:106"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  <c r="AA949" s="85"/>
      <c r="AB949" s="85"/>
      <c r="AC949" s="85"/>
      <c r="AD949" s="84"/>
      <c r="AE949" s="84"/>
      <c r="AF949" s="84"/>
      <c r="DB949" s="85"/>
    </row>
    <row r="950" spans="2:106"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  <c r="AA950" s="85"/>
      <c r="AB950" s="85"/>
      <c r="AC950" s="85"/>
      <c r="AD950" s="84"/>
      <c r="AE950" s="84"/>
      <c r="AF950" s="84"/>
      <c r="DB950" s="85"/>
    </row>
    <row r="951" spans="2:106"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  <c r="AA951" s="85"/>
      <c r="AB951" s="85"/>
      <c r="AC951" s="85"/>
      <c r="AD951" s="84"/>
      <c r="AE951" s="84"/>
      <c r="AF951" s="84"/>
      <c r="DB951" s="85"/>
    </row>
    <row r="952" spans="2:106"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  <c r="AA952" s="85"/>
      <c r="AB952" s="85"/>
      <c r="AC952" s="85"/>
      <c r="AD952" s="84"/>
      <c r="AE952" s="84"/>
      <c r="AF952" s="84"/>
      <c r="DB952" s="85"/>
    </row>
    <row r="953" spans="2:106"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4"/>
      <c r="AE953" s="84"/>
      <c r="AF953" s="84"/>
      <c r="DB953" s="85"/>
    </row>
    <row r="954" spans="2:106"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  <c r="AA954" s="85"/>
      <c r="AB954" s="85"/>
      <c r="AC954" s="85"/>
      <c r="AD954" s="84"/>
      <c r="AE954" s="84"/>
      <c r="AF954" s="84"/>
      <c r="DB954" s="85"/>
    </row>
    <row r="955" spans="2:106"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  <c r="AA955" s="85"/>
      <c r="AB955" s="85"/>
      <c r="AC955" s="85"/>
      <c r="AD955" s="84"/>
      <c r="AE955" s="84"/>
      <c r="AF955" s="84"/>
      <c r="DB955" s="85"/>
    </row>
    <row r="956" spans="2:106"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  <c r="AA956" s="85"/>
      <c r="AB956" s="85"/>
      <c r="AC956" s="85"/>
      <c r="AD956" s="84"/>
      <c r="AE956" s="84"/>
      <c r="AF956" s="84"/>
      <c r="DB956" s="85"/>
    </row>
    <row r="957" spans="2:106"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  <c r="AA957" s="85"/>
      <c r="AB957" s="85"/>
      <c r="AC957" s="85"/>
      <c r="AD957" s="84"/>
      <c r="AE957" s="84"/>
      <c r="AF957" s="84"/>
      <c r="DB957" s="85"/>
    </row>
    <row r="958" spans="2:106"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  <c r="AA958" s="85"/>
      <c r="AB958" s="85"/>
      <c r="AC958" s="85"/>
      <c r="AD958" s="84"/>
      <c r="AE958" s="84"/>
      <c r="AF958" s="84"/>
      <c r="DB958" s="85"/>
    </row>
    <row r="959" spans="2:106"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  <c r="AA959" s="85"/>
      <c r="AB959" s="85"/>
      <c r="AC959" s="85"/>
      <c r="AD959" s="84"/>
      <c r="AE959" s="84"/>
      <c r="AF959" s="84"/>
      <c r="DB959" s="85"/>
    </row>
    <row r="960" spans="2:106"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  <c r="AA960" s="85"/>
      <c r="AB960" s="85"/>
      <c r="AC960" s="85"/>
      <c r="AD960" s="84"/>
      <c r="AE960" s="84"/>
      <c r="AF960" s="84"/>
      <c r="DB960" s="85"/>
    </row>
    <row r="961" spans="2:106"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  <c r="AA961" s="85"/>
      <c r="AB961" s="85"/>
      <c r="AC961" s="85"/>
      <c r="AD961" s="84"/>
      <c r="AE961" s="84"/>
      <c r="AF961" s="84"/>
      <c r="DB961" s="85"/>
    </row>
    <row r="962" spans="2:106"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  <c r="AA962" s="85"/>
      <c r="AB962" s="85"/>
      <c r="AC962" s="85"/>
      <c r="AD962" s="84"/>
      <c r="AE962" s="84"/>
      <c r="AF962" s="84"/>
      <c r="DB962" s="85"/>
    </row>
    <row r="963" spans="2:106"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  <c r="AA963" s="85"/>
      <c r="AB963" s="85"/>
      <c r="AC963" s="85"/>
      <c r="AD963" s="84"/>
      <c r="AE963" s="84"/>
      <c r="AF963" s="84"/>
      <c r="DB963" s="85"/>
    </row>
    <row r="964" spans="2:106"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  <c r="AA964" s="85"/>
      <c r="AB964" s="85"/>
      <c r="AC964" s="85"/>
      <c r="AD964" s="84"/>
      <c r="AE964" s="84"/>
      <c r="AF964" s="84"/>
      <c r="DB964" s="85"/>
    </row>
    <row r="965" spans="2:106"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  <c r="AA965" s="85"/>
      <c r="AB965" s="85"/>
      <c r="AC965" s="85"/>
      <c r="AD965" s="84"/>
      <c r="AE965" s="84"/>
      <c r="AF965" s="84"/>
      <c r="DB965" s="85"/>
    </row>
    <row r="966" spans="2:106"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  <c r="AA966" s="85"/>
      <c r="AB966" s="85"/>
      <c r="AC966" s="85"/>
      <c r="AD966" s="84"/>
      <c r="AE966" s="84"/>
      <c r="AF966" s="84"/>
      <c r="DB966" s="85"/>
    </row>
    <row r="967" spans="2:106"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  <c r="AA967" s="85"/>
      <c r="AB967" s="85"/>
      <c r="AC967" s="85"/>
      <c r="AD967" s="84"/>
      <c r="AE967" s="84"/>
      <c r="AF967" s="84"/>
      <c r="DB967" s="85"/>
    </row>
    <row r="968" spans="2:106"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  <c r="AA968" s="85"/>
      <c r="AB968" s="85"/>
      <c r="AC968" s="85"/>
      <c r="AD968" s="84"/>
      <c r="AE968" s="84"/>
      <c r="AF968" s="84"/>
      <c r="DB968" s="85"/>
    </row>
    <row r="969" spans="2:106"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  <c r="AA969" s="85"/>
      <c r="AB969" s="85"/>
      <c r="AC969" s="85"/>
      <c r="AD969" s="84"/>
      <c r="AE969" s="84"/>
      <c r="AF969" s="84"/>
      <c r="DB969" s="85"/>
    </row>
    <row r="970" spans="2:106"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  <c r="AA970" s="85"/>
      <c r="AB970" s="85"/>
      <c r="AC970" s="85"/>
      <c r="AD970" s="84"/>
      <c r="AE970" s="84"/>
      <c r="AF970" s="84"/>
      <c r="DB970" s="85"/>
    </row>
    <row r="971" spans="2:106"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  <c r="AA971" s="85"/>
      <c r="AB971" s="85"/>
      <c r="AC971" s="85"/>
      <c r="AD971" s="84"/>
      <c r="AE971" s="84"/>
      <c r="AF971" s="84"/>
      <c r="DB971" s="85"/>
    </row>
    <row r="972" spans="2:106"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  <c r="AA972" s="85"/>
      <c r="AB972" s="85"/>
      <c r="AC972" s="85"/>
      <c r="AD972" s="84"/>
      <c r="AE972" s="84"/>
      <c r="AF972" s="84"/>
      <c r="DB972" s="85"/>
    </row>
    <row r="973" spans="2:106"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  <c r="AA973" s="85"/>
      <c r="AB973" s="85"/>
      <c r="AC973" s="85"/>
      <c r="AD973" s="84"/>
      <c r="AE973" s="84"/>
      <c r="AF973" s="84"/>
      <c r="DB973" s="85"/>
    </row>
    <row r="974" spans="2:106"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  <c r="AA974" s="85"/>
      <c r="AB974" s="85"/>
      <c r="AC974" s="85"/>
      <c r="AD974" s="84"/>
      <c r="AE974" s="84"/>
      <c r="AF974" s="84"/>
      <c r="DB974" s="85"/>
    </row>
    <row r="975" spans="2:106"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  <c r="AA975" s="85"/>
      <c r="AB975" s="85"/>
      <c r="AC975" s="85"/>
      <c r="AD975" s="84"/>
      <c r="AE975" s="84"/>
      <c r="AF975" s="84"/>
      <c r="DB975" s="85"/>
    </row>
    <row r="976" spans="2:106"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  <c r="AA976" s="85"/>
      <c r="AB976" s="85"/>
      <c r="AC976" s="85"/>
      <c r="AD976" s="84"/>
      <c r="AE976" s="84"/>
      <c r="AF976" s="84"/>
      <c r="DB976" s="85"/>
    </row>
    <row r="977" spans="2:106"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  <c r="AA977" s="85"/>
      <c r="AB977" s="85"/>
      <c r="AC977" s="85"/>
      <c r="AD977" s="84"/>
      <c r="AE977" s="84"/>
      <c r="AF977" s="84"/>
      <c r="DB977" s="85"/>
    </row>
    <row r="978" spans="2:106"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  <c r="AA978" s="85"/>
      <c r="AB978" s="85"/>
      <c r="AC978" s="85"/>
      <c r="AD978" s="84"/>
      <c r="AE978" s="84"/>
      <c r="AF978" s="84"/>
      <c r="DB978" s="85"/>
    </row>
    <row r="979" spans="2:106"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  <c r="AA979" s="85"/>
      <c r="AB979" s="85"/>
      <c r="AC979" s="85"/>
      <c r="AD979" s="84"/>
      <c r="AE979" s="84"/>
      <c r="AF979" s="84"/>
      <c r="DB979" s="85"/>
    </row>
    <row r="980" spans="2:106"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  <c r="AA980" s="85"/>
      <c r="AB980" s="85"/>
      <c r="AC980" s="85"/>
      <c r="AD980" s="84"/>
      <c r="AE980" s="84"/>
      <c r="AF980" s="84"/>
      <c r="DB980" s="85"/>
    </row>
    <row r="981" spans="2:106"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  <c r="AA981" s="85"/>
      <c r="AB981" s="85"/>
      <c r="AC981" s="85"/>
      <c r="AD981" s="84"/>
      <c r="AE981" s="84"/>
      <c r="AF981" s="84"/>
      <c r="DB981" s="85"/>
    </row>
    <row r="982" spans="2:106"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  <c r="AA982" s="85"/>
      <c r="AB982" s="85"/>
      <c r="AC982" s="85"/>
      <c r="AD982" s="84"/>
      <c r="AE982" s="84"/>
      <c r="AF982" s="84"/>
      <c r="DB982" s="85"/>
    </row>
    <row r="983" spans="2:106"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  <c r="AA983" s="85"/>
      <c r="AB983" s="85"/>
      <c r="AC983" s="85"/>
      <c r="AD983" s="84"/>
      <c r="AE983" s="84"/>
      <c r="AF983" s="84"/>
      <c r="DB983" s="85"/>
    </row>
    <row r="984" spans="2:106"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  <c r="AA984" s="85"/>
      <c r="AB984" s="85"/>
      <c r="AC984" s="85"/>
      <c r="AD984" s="84"/>
      <c r="AE984" s="84"/>
      <c r="AF984" s="84"/>
      <c r="DB984" s="85"/>
    </row>
    <row r="985" spans="2:106"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  <c r="AA985" s="85"/>
      <c r="AB985" s="85"/>
      <c r="AC985" s="85"/>
      <c r="AD985" s="84"/>
      <c r="AE985" s="84"/>
      <c r="AF985" s="84"/>
      <c r="DB985" s="85"/>
    </row>
    <row r="986" spans="2:106"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  <c r="AA986" s="85"/>
      <c r="AB986" s="85"/>
      <c r="AC986" s="85"/>
      <c r="AD986" s="84"/>
      <c r="AE986" s="84"/>
      <c r="AF986" s="84"/>
      <c r="DB986" s="85"/>
    </row>
    <row r="987" spans="2:106"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  <c r="AA987" s="85"/>
      <c r="AB987" s="85"/>
      <c r="AC987" s="85"/>
      <c r="AD987" s="84"/>
      <c r="AE987" s="84"/>
      <c r="AF987" s="84"/>
      <c r="DB987" s="85"/>
    </row>
    <row r="988" spans="2:106"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  <c r="AA988" s="85"/>
      <c r="AB988" s="85"/>
      <c r="AC988" s="85"/>
      <c r="AD988" s="84"/>
      <c r="AE988" s="84"/>
      <c r="AF988" s="84"/>
      <c r="DB988" s="85"/>
    </row>
    <row r="989" spans="2:106"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  <c r="AA989" s="85"/>
      <c r="AB989" s="85"/>
      <c r="AC989" s="85"/>
      <c r="AD989" s="84"/>
      <c r="AE989" s="84"/>
      <c r="AF989" s="84"/>
      <c r="DB989" s="85"/>
    </row>
    <row r="990" spans="2:106"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  <c r="AA990" s="85"/>
      <c r="AB990" s="85"/>
      <c r="AC990" s="85"/>
      <c r="AD990" s="84"/>
      <c r="AE990" s="84"/>
      <c r="AF990" s="84"/>
      <c r="DB990" s="85"/>
    </row>
    <row r="991" spans="2:106"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4"/>
      <c r="AE991" s="84"/>
      <c r="AF991" s="84"/>
      <c r="DB991" s="85"/>
    </row>
    <row r="992" spans="2:106"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  <c r="AA992" s="85"/>
      <c r="AB992" s="85"/>
      <c r="AC992" s="85"/>
      <c r="AD992" s="84"/>
      <c r="AE992" s="84"/>
      <c r="AF992" s="84"/>
      <c r="DB992" s="85"/>
    </row>
    <row r="993" spans="2:106"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  <c r="AA993" s="85"/>
      <c r="AB993" s="85"/>
      <c r="AC993" s="85"/>
      <c r="AD993" s="84"/>
      <c r="AE993" s="84"/>
      <c r="AF993" s="84"/>
      <c r="DB993" s="85"/>
    </row>
    <row r="994" spans="2:106"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  <c r="AA994" s="85"/>
      <c r="AB994" s="85"/>
      <c r="AC994" s="85"/>
      <c r="AD994" s="84"/>
      <c r="AE994" s="84"/>
      <c r="AF994" s="84"/>
      <c r="DB994" s="85"/>
    </row>
    <row r="995" spans="2:106"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  <c r="AA995" s="85"/>
      <c r="AB995" s="85"/>
      <c r="AC995" s="85"/>
      <c r="AD995" s="84"/>
      <c r="AE995" s="84"/>
      <c r="AF995" s="84"/>
      <c r="DB995" s="85"/>
    </row>
    <row r="996" spans="2:106"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  <c r="AA996" s="85"/>
      <c r="AB996" s="85"/>
      <c r="AC996" s="85"/>
      <c r="AD996" s="84"/>
      <c r="AE996" s="84"/>
      <c r="AF996" s="84"/>
      <c r="DB996" s="85"/>
    </row>
    <row r="997" spans="2:106">
      <c r="B997" s="85"/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  <c r="AA997" s="85"/>
      <c r="AB997" s="85"/>
      <c r="AC997" s="85"/>
      <c r="AD997" s="84"/>
      <c r="AE997" s="84"/>
      <c r="AF997" s="84"/>
      <c r="DB997" s="85"/>
    </row>
    <row r="998" spans="2:106">
      <c r="B998" s="85"/>
      <c r="C998" s="85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  <c r="AA998" s="85"/>
      <c r="AB998" s="85"/>
      <c r="AC998" s="85"/>
      <c r="AD998" s="84"/>
      <c r="AE998" s="84"/>
      <c r="AF998" s="84"/>
      <c r="DB998" s="85"/>
    </row>
    <row r="999" spans="2:106">
      <c r="B999" s="85"/>
      <c r="C999" s="85"/>
      <c r="D999" s="85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  <c r="AA999" s="85"/>
      <c r="AB999" s="85"/>
      <c r="AC999" s="85"/>
      <c r="AD999" s="84"/>
      <c r="AE999" s="84"/>
      <c r="AF999" s="84"/>
      <c r="DB999" s="85"/>
    </row>
    <row r="1000" spans="2:106">
      <c r="B1000" s="85"/>
      <c r="C1000" s="85"/>
      <c r="D1000" s="85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  <c r="AA1000" s="85"/>
      <c r="AB1000" s="85"/>
      <c r="AC1000" s="85"/>
      <c r="AD1000" s="84"/>
      <c r="AE1000" s="84"/>
      <c r="AF1000" s="84"/>
      <c r="DB1000" s="85"/>
    </row>
    <row r="1001" spans="2:106">
      <c r="B1001" s="85"/>
      <c r="C1001" s="85"/>
      <c r="D1001" s="85"/>
      <c r="E1001" s="85"/>
      <c r="F1001" s="85"/>
      <c r="G1001" s="85"/>
      <c r="H1001" s="85"/>
      <c r="I1001" s="85"/>
      <c r="J1001" s="85"/>
      <c r="K1001" s="85"/>
      <c r="L1001" s="85"/>
      <c r="M1001" s="85"/>
      <c r="N1001" s="85"/>
      <c r="O1001" s="85"/>
      <c r="P1001" s="85"/>
      <c r="Q1001" s="85"/>
      <c r="R1001" s="85"/>
      <c r="S1001" s="85"/>
      <c r="T1001" s="85"/>
      <c r="U1001" s="85"/>
      <c r="V1001" s="85"/>
      <c r="W1001" s="85"/>
      <c r="X1001" s="85"/>
      <c r="Y1001" s="85"/>
      <c r="Z1001" s="85"/>
      <c r="AA1001" s="85"/>
      <c r="AB1001" s="85"/>
      <c r="AC1001" s="85"/>
      <c r="AD1001" s="84"/>
      <c r="AE1001" s="84"/>
      <c r="AF1001" s="84"/>
      <c r="DB1001" s="85"/>
    </row>
    <row r="1002" spans="2:106">
      <c r="B1002" s="85"/>
      <c r="C1002" s="85"/>
      <c r="D1002" s="85"/>
      <c r="E1002" s="85"/>
      <c r="F1002" s="85"/>
      <c r="G1002" s="85"/>
      <c r="H1002" s="85"/>
      <c r="I1002" s="85"/>
      <c r="J1002" s="85"/>
      <c r="K1002" s="85"/>
      <c r="L1002" s="85"/>
      <c r="M1002" s="85"/>
      <c r="N1002" s="85"/>
      <c r="O1002" s="85"/>
      <c r="P1002" s="85"/>
      <c r="Q1002" s="85"/>
      <c r="R1002" s="85"/>
      <c r="S1002" s="85"/>
      <c r="T1002" s="85"/>
      <c r="U1002" s="85"/>
      <c r="V1002" s="85"/>
      <c r="W1002" s="85"/>
      <c r="X1002" s="85"/>
      <c r="Y1002" s="85"/>
      <c r="Z1002" s="85"/>
      <c r="AA1002" s="85"/>
      <c r="AB1002" s="85"/>
      <c r="AC1002" s="85"/>
      <c r="AD1002" s="84"/>
      <c r="AE1002" s="84"/>
      <c r="AF1002" s="84"/>
      <c r="DB1002" s="85"/>
    </row>
    <row r="1003" spans="2:106">
      <c r="B1003" s="85"/>
      <c r="C1003" s="85"/>
      <c r="D1003" s="85"/>
      <c r="E1003" s="85"/>
      <c r="F1003" s="85"/>
      <c r="G1003" s="85"/>
      <c r="H1003" s="85"/>
      <c r="I1003" s="85"/>
      <c r="J1003" s="85"/>
      <c r="K1003" s="85"/>
      <c r="L1003" s="85"/>
      <c r="M1003" s="85"/>
      <c r="N1003" s="85"/>
      <c r="O1003" s="85"/>
      <c r="P1003" s="85"/>
      <c r="Q1003" s="85"/>
      <c r="R1003" s="85"/>
      <c r="S1003" s="85"/>
      <c r="T1003" s="85"/>
      <c r="U1003" s="85"/>
      <c r="V1003" s="85"/>
      <c r="W1003" s="85"/>
      <c r="X1003" s="85"/>
      <c r="Y1003" s="85"/>
      <c r="Z1003" s="85"/>
      <c r="AA1003" s="85"/>
      <c r="AB1003" s="85"/>
      <c r="AC1003" s="85"/>
      <c r="AD1003" s="84"/>
      <c r="AE1003" s="84"/>
      <c r="AF1003" s="84"/>
      <c r="DB1003" s="85"/>
    </row>
    <row r="1004" spans="2:106">
      <c r="B1004" s="85"/>
      <c r="C1004" s="85"/>
      <c r="D1004" s="85"/>
      <c r="E1004" s="85"/>
      <c r="F1004" s="85"/>
      <c r="G1004" s="85"/>
      <c r="H1004" s="85"/>
      <c r="I1004" s="85"/>
      <c r="J1004" s="85"/>
      <c r="K1004" s="85"/>
      <c r="L1004" s="85"/>
      <c r="M1004" s="85"/>
      <c r="N1004" s="85"/>
      <c r="O1004" s="85"/>
      <c r="P1004" s="85"/>
      <c r="Q1004" s="85"/>
      <c r="R1004" s="85"/>
      <c r="S1004" s="85"/>
      <c r="T1004" s="85"/>
      <c r="U1004" s="85"/>
      <c r="V1004" s="85"/>
      <c r="W1004" s="85"/>
      <c r="X1004" s="85"/>
      <c r="Y1004" s="85"/>
      <c r="Z1004" s="85"/>
      <c r="AA1004" s="85"/>
      <c r="AB1004" s="85"/>
      <c r="AC1004" s="85"/>
      <c r="AD1004" s="84"/>
      <c r="AE1004" s="84"/>
      <c r="AF1004" s="84"/>
      <c r="DB1004" s="85"/>
    </row>
    <row r="1005" spans="2:106">
      <c r="B1005" s="85"/>
      <c r="C1005" s="85"/>
      <c r="D1005" s="85"/>
      <c r="E1005" s="85"/>
      <c r="F1005" s="85"/>
      <c r="G1005" s="85"/>
      <c r="H1005" s="85"/>
      <c r="I1005" s="85"/>
      <c r="J1005" s="85"/>
      <c r="K1005" s="85"/>
      <c r="L1005" s="85"/>
      <c r="M1005" s="85"/>
      <c r="N1005" s="85"/>
      <c r="O1005" s="85"/>
      <c r="P1005" s="85"/>
      <c r="Q1005" s="85"/>
      <c r="R1005" s="85"/>
      <c r="S1005" s="85"/>
      <c r="T1005" s="85"/>
      <c r="U1005" s="85"/>
      <c r="V1005" s="85"/>
      <c r="W1005" s="85"/>
      <c r="X1005" s="85"/>
      <c r="Y1005" s="85"/>
      <c r="Z1005" s="85"/>
      <c r="AA1005" s="85"/>
      <c r="AB1005" s="85"/>
      <c r="AC1005" s="85"/>
      <c r="AD1005" s="84"/>
      <c r="AE1005" s="84"/>
      <c r="AF1005" s="84"/>
      <c r="DB1005" s="85"/>
    </row>
    <row r="1006" spans="2:106">
      <c r="B1006" s="85"/>
      <c r="C1006" s="85"/>
      <c r="D1006" s="85"/>
      <c r="E1006" s="85"/>
      <c r="F1006" s="85"/>
      <c r="G1006" s="85"/>
      <c r="H1006" s="85"/>
      <c r="I1006" s="85"/>
      <c r="J1006" s="85"/>
      <c r="K1006" s="85"/>
      <c r="L1006" s="85"/>
      <c r="M1006" s="85"/>
      <c r="N1006" s="85"/>
      <c r="O1006" s="85"/>
      <c r="P1006" s="85"/>
      <c r="Q1006" s="85"/>
      <c r="R1006" s="85"/>
      <c r="S1006" s="85"/>
      <c r="T1006" s="85"/>
      <c r="U1006" s="85"/>
      <c r="V1006" s="85"/>
      <c r="W1006" s="85"/>
      <c r="X1006" s="85"/>
      <c r="Y1006" s="85"/>
      <c r="Z1006" s="85"/>
      <c r="AA1006" s="85"/>
      <c r="AB1006" s="85"/>
      <c r="AC1006" s="85"/>
      <c r="AD1006" s="84"/>
      <c r="AE1006" s="84"/>
      <c r="AF1006" s="84"/>
      <c r="DB1006" s="85"/>
    </row>
    <row r="1007" spans="2:106">
      <c r="B1007" s="85"/>
      <c r="C1007" s="85"/>
      <c r="D1007" s="85"/>
      <c r="E1007" s="85"/>
      <c r="F1007" s="85"/>
      <c r="G1007" s="85"/>
      <c r="H1007" s="85"/>
      <c r="I1007" s="85"/>
      <c r="J1007" s="85"/>
      <c r="K1007" s="85"/>
      <c r="L1007" s="85"/>
      <c r="M1007" s="85"/>
      <c r="N1007" s="85"/>
      <c r="O1007" s="85"/>
      <c r="P1007" s="85"/>
      <c r="Q1007" s="85"/>
      <c r="R1007" s="85"/>
      <c r="S1007" s="85"/>
      <c r="T1007" s="85"/>
      <c r="U1007" s="85"/>
      <c r="V1007" s="85"/>
      <c r="W1007" s="85"/>
      <c r="X1007" s="85"/>
      <c r="Y1007" s="85"/>
      <c r="Z1007" s="85"/>
      <c r="AA1007" s="85"/>
      <c r="AB1007" s="85"/>
      <c r="AC1007" s="85"/>
      <c r="AD1007" s="84"/>
      <c r="AE1007" s="84"/>
      <c r="AF1007" s="84"/>
      <c r="DB1007" s="85"/>
    </row>
    <row r="1008" spans="2:106">
      <c r="B1008" s="85"/>
      <c r="C1008" s="85"/>
      <c r="D1008" s="85"/>
      <c r="E1008" s="85"/>
      <c r="F1008" s="85"/>
      <c r="G1008" s="85"/>
      <c r="H1008" s="85"/>
      <c r="I1008" s="85"/>
      <c r="J1008" s="85"/>
      <c r="K1008" s="85"/>
      <c r="L1008" s="85"/>
      <c r="M1008" s="85"/>
      <c r="N1008" s="85"/>
      <c r="O1008" s="85"/>
      <c r="P1008" s="85"/>
      <c r="Q1008" s="85"/>
      <c r="R1008" s="85"/>
      <c r="S1008" s="85"/>
      <c r="T1008" s="85"/>
      <c r="U1008" s="85"/>
      <c r="V1008" s="85"/>
      <c r="W1008" s="85"/>
      <c r="X1008" s="85"/>
      <c r="Y1008" s="85"/>
      <c r="Z1008" s="85"/>
      <c r="AA1008" s="85"/>
      <c r="AB1008" s="85"/>
      <c r="AC1008" s="85"/>
      <c r="AD1008" s="84"/>
      <c r="AE1008" s="84"/>
      <c r="AF1008" s="84"/>
      <c r="DB1008" s="85"/>
    </row>
    <row r="1009" spans="2:106">
      <c r="B1009" s="85"/>
      <c r="C1009" s="85"/>
      <c r="D1009" s="85"/>
      <c r="E1009" s="85"/>
      <c r="F1009" s="85"/>
      <c r="G1009" s="85"/>
      <c r="H1009" s="85"/>
      <c r="I1009" s="85"/>
      <c r="J1009" s="85"/>
      <c r="K1009" s="85"/>
      <c r="L1009" s="85"/>
      <c r="M1009" s="85"/>
      <c r="N1009" s="85"/>
      <c r="O1009" s="85"/>
      <c r="P1009" s="85"/>
      <c r="Q1009" s="85"/>
      <c r="R1009" s="85"/>
      <c r="S1009" s="85"/>
      <c r="T1009" s="85"/>
      <c r="U1009" s="85"/>
      <c r="V1009" s="85"/>
      <c r="W1009" s="85"/>
      <c r="X1009" s="85"/>
      <c r="Y1009" s="85"/>
      <c r="Z1009" s="85"/>
      <c r="AA1009" s="85"/>
      <c r="AB1009" s="85"/>
      <c r="AC1009" s="85"/>
      <c r="AD1009" s="84"/>
      <c r="AE1009" s="84"/>
      <c r="AF1009" s="84"/>
      <c r="DB1009" s="85"/>
    </row>
    <row r="1010" spans="2:106">
      <c r="B1010" s="85"/>
      <c r="C1010" s="85"/>
      <c r="D1010" s="85"/>
      <c r="E1010" s="85"/>
      <c r="F1010" s="85"/>
      <c r="G1010" s="85"/>
      <c r="H1010" s="85"/>
      <c r="I1010" s="85"/>
      <c r="J1010" s="85"/>
      <c r="K1010" s="85"/>
      <c r="L1010" s="85"/>
      <c r="M1010" s="85"/>
      <c r="N1010" s="85"/>
      <c r="O1010" s="85"/>
      <c r="P1010" s="85"/>
      <c r="Q1010" s="85"/>
      <c r="R1010" s="85"/>
      <c r="S1010" s="85"/>
      <c r="T1010" s="85"/>
      <c r="U1010" s="85"/>
      <c r="V1010" s="85"/>
      <c r="W1010" s="85"/>
      <c r="X1010" s="85"/>
      <c r="Y1010" s="85"/>
      <c r="Z1010" s="85"/>
      <c r="AA1010" s="85"/>
      <c r="AB1010" s="85"/>
      <c r="AC1010" s="85"/>
      <c r="AD1010" s="84"/>
      <c r="AE1010" s="84"/>
      <c r="AF1010" s="84"/>
      <c r="DB1010" s="85"/>
    </row>
    <row r="1011" spans="2:106">
      <c r="B1011" s="85"/>
      <c r="C1011" s="85"/>
      <c r="D1011" s="85"/>
      <c r="E1011" s="85"/>
      <c r="F1011" s="85"/>
      <c r="G1011" s="85"/>
      <c r="H1011" s="85"/>
      <c r="I1011" s="85"/>
      <c r="J1011" s="85"/>
      <c r="K1011" s="85"/>
      <c r="L1011" s="85"/>
      <c r="M1011" s="85"/>
      <c r="N1011" s="85"/>
      <c r="O1011" s="85"/>
      <c r="P1011" s="85"/>
      <c r="Q1011" s="85"/>
      <c r="R1011" s="85"/>
      <c r="S1011" s="85"/>
      <c r="T1011" s="85"/>
      <c r="U1011" s="85"/>
      <c r="V1011" s="85"/>
      <c r="W1011" s="85"/>
      <c r="X1011" s="85"/>
      <c r="Y1011" s="85"/>
      <c r="Z1011" s="85"/>
      <c r="AA1011" s="85"/>
      <c r="AB1011" s="85"/>
      <c r="AC1011" s="85"/>
      <c r="AD1011" s="84"/>
      <c r="AE1011" s="84"/>
      <c r="AF1011" s="84"/>
      <c r="DB1011" s="85"/>
    </row>
    <row r="1012" spans="2:106">
      <c r="B1012" s="85"/>
      <c r="C1012" s="85"/>
      <c r="D1012" s="85"/>
      <c r="E1012" s="85"/>
      <c r="F1012" s="85"/>
      <c r="G1012" s="85"/>
      <c r="H1012" s="85"/>
      <c r="I1012" s="85"/>
      <c r="J1012" s="85"/>
      <c r="K1012" s="85"/>
      <c r="L1012" s="85"/>
      <c r="M1012" s="85"/>
      <c r="N1012" s="85"/>
      <c r="O1012" s="85"/>
      <c r="P1012" s="85"/>
      <c r="Q1012" s="85"/>
      <c r="R1012" s="85"/>
      <c r="S1012" s="85"/>
      <c r="T1012" s="85"/>
      <c r="U1012" s="85"/>
      <c r="V1012" s="85"/>
      <c r="W1012" s="85"/>
      <c r="X1012" s="85"/>
      <c r="Y1012" s="85"/>
      <c r="Z1012" s="85"/>
      <c r="AA1012" s="85"/>
      <c r="AB1012" s="85"/>
      <c r="AC1012" s="85"/>
      <c r="AD1012" s="84"/>
      <c r="AE1012" s="84"/>
      <c r="AF1012" s="84"/>
      <c r="DB1012" s="85"/>
    </row>
    <row r="1013" spans="2:106">
      <c r="B1013" s="85"/>
      <c r="C1013" s="85"/>
      <c r="D1013" s="85"/>
      <c r="E1013" s="85"/>
      <c r="F1013" s="85"/>
      <c r="G1013" s="85"/>
      <c r="H1013" s="85"/>
      <c r="I1013" s="85"/>
      <c r="J1013" s="85"/>
      <c r="K1013" s="85"/>
      <c r="L1013" s="85"/>
      <c r="M1013" s="85"/>
      <c r="N1013" s="85"/>
      <c r="O1013" s="85"/>
      <c r="P1013" s="85"/>
      <c r="Q1013" s="85"/>
      <c r="R1013" s="85"/>
      <c r="S1013" s="85"/>
      <c r="T1013" s="85"/>
      <c r="U1013" s="85"/>
      <c r="V1013" s="85"/>
      <c r="W1013" s="85"/>
      <c r="X1013" s="85"/>
      <c r="Y1013" s="85"/>
      <c r="Z1013" s="85"/>
      <c r="AA1013" s="85"/>
      <c r="AB1013" s="85"/>
      <c r="AC1013" s="85"/>
      <c r="AD1013" s="84"/>
      <c r="AE1013" s="84"/>
      <c r="AF1013" s="84"/>
      <c r="DB1013" s="85"/>
    </row>
    <row r="1014" spans="2:106">
      <c r="B1014" s="85"/>
      <c r="C1014" s="85"/>
      <c r="D1014" s="85"/>
      <c r="E1014" s="85"/>
      <c r="F1014" s="85"/>
      <c r="G1014" s="85"/>
      <c r="H1014" s="85"/>
      <c r="I1014" s="85"/>
      <c r="J1014" s="85"/>
      <c r="K1014" s="85"/>
      <c r="L1014" s="85"/>
      <c r="M1014" s="85"/>
      <c r="N1014" s="85"/>
      <c r="O1014" s="85"/>
      <c r="P1014" s="85"/>
      <c r="Q1014" s="85"/>
      <c r="R1014" s="85"/>
      <c r="S1014" s="85"/>
      <c r="T1014" s="85"/>
      <c r="U1014" s="85"/>
      <c r="V1014" s="85"/>
      <c r="W1014" s="85"/>
      <c r="X1014" s="85"/>
      <c r="Y1014" s="85"/>
      <c r="Z1014" s="85"/>
      <c r="AA1014" s="85"/>
      <c r="AB1014" s="85"/>
      <c r="AC1014" s="85"/>
      <c r="AD1014" s="84"/>
      <c r="AE1014" s="84"/>
      <c r="AF1014" s="84"/>
      <c r="DB1014" s="85"/>
    </row>
    <row r="1015" spans="2:106">
      <c r="B1015" s="85"/>
      <c r="C1015" s="85"/>
      <c r="D1015" s="85"/>
      <c r="E1015" s="85"/>
      <c r="F1015" s="85"/>
      <c r="G1015" s="85"/>
      <c r="H1015" s="85"/>
      <c r="I1015" s="85"/>
      <c r="J1015" s="85"/>
      <c r="K1015" s="85"/>
      <c r="L1015" s="85"/>
      <c r="M1015" s="85"/>
      <c r="N1015" s="85"/>
      <c r="O1015" s="85"/>
      <c r="P1015" s="85"/>
      <c r="Q1015" s="85"/>
      <c r="R1015" s="85"/>
      <c r="S1015" s="85"/>
      <c r="T1015" s="85"/>
      <c r="U1015" s="85"/>
      <c r="V1015" s="85"/>
      <c r="W1015" s="85"/>
      <c r="X1015" s="85"/>
      <c r="Y1015" s="85"/>
      <c r="Z1015" s="85"/>
      <c r="AA1015" s="85"/>
      <c r="AB1015" s="85"/>
      <c r="AC1015" s="85"/>
      <c r="AD1015" s="84"/>
      <c r="AE1015" s="84"/>
      <c r="AF1015" s="84"/>
      <c r="DB1015" s="85"/>
    </row>
    <row r="1016" spans="2:106">
      <c r="B1016" s="85"/>
      <c r="C1016" s="85"/>
      <c r="D1016" s="85"/>
      <c r="E1016" s="85"/>
      <c r="F1016" s="85"/>
      <c r="G1016" s="85"/>
      <c r="H1016" s="85"/>
      <c r="I1016" s="85"/>
      <c r="J1016" s="85"/>
      <c r="K1016" s="85"/>
      <c r="L1016" s="85"/>
      <c r="M1016" s="85"/>
      <c r="N1016" s="85"/>
      <c r="O1016" s="85"/>
      <c r="P1016" s="85"/>
      <c r="Q1016" s="85"/>
      <c r="R1016" s="85"/>
      <c r="S1016" s="85"/>
      <c r="T1016" s="85"/>
      <c r="U1016" s="85"/>
      <c r="V1016" s="85"/>
      <c r="W1016" s="85"/>
      <c r="X1016" s="85"/>
      <c r="Y1016" s="85"/>
      <c r="Z1016" s="85"/>
      <c r="AA1016" s="85"/>
      <c r="AB1016" s="85"/>
      <c r="AC1016" s="85"/>
      <c r="AD1016" s="84"/>
      <c r="AE1016" s="84"/>
      <c r="AF1016" s="84"/>
      <c r="DB1016" s="85"/>
    </row>
    <row r="1017" spans="2:106">
      <c r="B1017" s="85"/>
      <c r="C1017" s="85"/>
      <c r="D1017" s="85"/>
      <c r="E1017" s="85"/>
      <c r="F1017" s="85"/>
      <c r="G1017" s="85"/>
      <c r="H1017" s="85"/>
      <c r="I1017" s="85"/>
      <c r="J1017" s="85"/>
      <c r="K1017" s="85"/>
      <c r="L1017" s="85"/>
      <c r="M1017" s="85"/>
      <c r="N1017" s="85"/>
      <c r="O1017" s="85"/>
      <c r="P1017" s="85"/>
      <c r="Q1017" s="85"/>
      <c r="R1017" s="85"/>
      <c r="S1017" s="85"/>
      <c r="T1017" s="85"/>
      <c r="U1017" s="85"/>
      <c r="V1017" s="85"/>
      <c r="W1017" s="85"/>
      <c r="X1017" s="85"/>
      <c r="Y1017" s="85"/>
      <c r="Z1017" s="85"/>
      <c r="AA1017" s="85"/>
      <c r="AB1017" s="85"/>
      <c r="AC1017" s="85"/>
      <c r="AD1017" s="84"/>
      <c r="AE1017" s="84"/>
      <c r="AF1017" s="84"/>
      <c r="DB1017" s="85"/>
    </row>
    <row r="1018" spans="2:106">
      <c r="B1018" s="85"/>
      <c r="C1018" s="85"/>
      <c r="D1018" s="85"/>
      <c r="E1018" s="85"/>
      <c r="F1018" s="85"/>
      <c r="G1018" s="85"/>
      <c r="H1018" s="85"/>
      <c r="I1018" s="85"/>
      <c r="J1018" s="85"/>
      <c r="K1018" s="85"/>
      <c r="L1018" s="85"/>
      <c r="M1018" s="85"/>
      <c r="N1018" s="85"/>
      <c r="O1018" s="85"/>
      <c r="P1018" s="85"/>
      <c r="Q1018" s="85"/>
      <c r="R1018" s="85"/>
      <c r="S1018" s="85"/>
      <c r="T1018" s="85"/>
      <c r="U1018" s="85"/>
      <c r="V1018" s="85"/>
      <c r="W1018" s="85"/>
      <c r="X1018" s="85"/>
      <c r="Y1018" s="85"/>
      <c r="Z1018" s="85"/>
      <c r="AA1018" s="85"/>
      <c r="AB1018" s="85"/>
      <c r="AC1018" s="85"/>
      <c r="AD1018" s="84"/>
      <c r="AE1018" s="84"/>
      <c r="AF1018" s="84"/>
      <c r="DB1018" s="85"/>
    </row>
    <row r="1019" spans="2:106">
      <c r="B1019" s="85"/>
      <c r="C1019" s="85"/>
      <c r="D1019" s="85"/>
      <c r="E1019" s="85"/>
      <c r="F1019" s="85"/>
      <c r="G1019" s="85"/>
      <c r="H1019" s="85"/>
      <c r="I1019" s="85"/>
      <c r="J1019" s="85"/>
      <c r="K1019" s="85"/>
      <c r="L1019" s="85"/>
      <c r="M1019" s="85"/>
      <c r="N1019" s="85"/>
      <c r="O1019" s="85"/>
      <c r="P1019" s="85"/>
      <c r="Q1019" s="85"/>
      <c r="R1019" s="85"/>
      <c r="S1019" s="85"/>
      <c r="T1019" s="85"/>
      <c r="U1019" s="85"/>
      <c r="V1019" s="85"/>
      <c r="W1019" s="85"/>
      <c r="X1019" s="85"/>
      <c r="Y1019" s="85"/>
      <c r="Z1019" s="85"/>
      <c r="AA1019" s="85"/>
      <c r="AB1019" s="85"/>
      <c r="AC1019" s="85"/>
      <c r="AD1019" s="84"/>
      <c r="AE1019" s="84"/>
      <c r="AF1019" s="84"/>
      <c r="DB1019" s="85"/>
    </row>
    <row r="1020" spans="2:106">
      <c r="B1020" s="85"/>
      <c r="C1020" s="85"/>
      <c r="D1020" s="85"/>
      <c r="E1020" s="85"/>
      <c r="F1020" s="85"/>
      <c r="G1020" s="85"/>
      <c r="H1020" s="85"/>
      <c r="I1020" s="85"/>
      <c r="J1020" s="85"/>
      <c r="K1020" s="85"/>
      <c r="L1020" s="85"/>
      <c r="M1020" s="85"/>
      <c r="N1020" s="85"/>
      <c r="O1020" s="85"/>
      <c r="P1020" s="85"/>
      <c r="Q1020" s="85"/>
      <c r="R1020" s="85"/>
      <c r="S1020" s="85"/>
      <c r="T1020" s="85"/>
      <c r="U1020" s="85"/>
      <c r="V1020" s="85"/>
      <c r="W1020" s="85"/>
      <c r="X1020" s="85"/>
      <c r="Y1020" s="85"/>
      <c r="Z1020" s="85"/>
      <c r="AA1020" s="85"/>
      <c r="AB1020" s="85"/>
      <c r="AC1020" s="85"/>
      <c r="AD1020" s="84"/>
      <c r="AE1020" s="84"/>
      <c r="AF1020" s="84"/>
      <c r="DB1020" s="85"/>
    </row>
    <row r="1021" spans="2:106">
      <c r="B1021" s="85"/>
      <c r="C1021" s="85"/>
      <c r="D1021" s="85"/>
      <c r="E1021" s="85"/>
      <c r="F1021" s="85"/>
      <c r="G1021" s="85"/>
      <c r="H1021" s="85"/>
      <c r="I1021" s="85"/>
      <c r="J1021" s="85"/>
      <c r="K1021" s="85"/>
      <c r="L1021" s="85"/>
      <c r="M1021" s="85"/>
      <c r="N1021" s="85"/>
      <c r="O1021" s="85"/>
      <c r="P1021" s="85"/>
      <c r="Q1021" s="85"/>
      <c r="R1021" s="85"/>
      <c r="S1021" s="85"/>
      <c r="T1021" s="85"/>
      <c r="U1021" s="85"/>
      <c r="V1021" s="85"/>
      <c r="W1021" s="85"/>
      <c r="X1021" s="85"/>
      <c r="Y1021" s="85"/>
      <c r="Z1021" s="85"/>
      <c r="AA1021" s="85"/>
      <c r="AB1021" s="85"/>
      <c r="AC1021" s="85"/>
      <c r="AD1021" s="84"/>
      <c r="AE1021" s="84"/>
      <c r="AF1021" s="84"/>
      <c r="DB1021" s="85"/>
    </row>
    <row r="1022" spans="2:106">
      <c r="B1022" s="85"/>
      <c r="C1022" s="85"/>
      <c r="D1022" s="85"/>
      <c r="E1022" s="85"/>
      <c r="F1022" s="85"/>
      <c r="G1022" s="85"/>
      <c r="H1022" s="85"/>
      <c r="I1022" s="85"/>
      <c r="J1022" s="85"/>
      <c r="K1022" s="85"/>
      <c r="L1022" s="85"/>
      <c r="M1022" s="85"/>
      <c r="N1022" s="85"/>
      <c r="O1022" s="85"/>
      <c r="P1022" s="85"/>
      <c r="Q1022" s="85"/>
      <c r="R1022" s="85"/>
      <c r="S1022" s="85"/>
      <c r="T1022" s="85"/>
      <c r="U1022" s="85"/>
      <c r="V1022" s="85"/>
      <c r="W1022" s="85"/>
      <c r="X1022" s="85"/>
      <c r="Y1022" s="85"/>
      <c r="Z1022" s="85"/>
      <c r="AA1022" s="85"/>
      <c r="AB1022" s="85"/>
      <c r="AC1022" s="85"/>
      <c r="AD1022" s="84"/>
      <c r="AE1022" s="84"/>
      <c r="AF1022" s="84"/>
      <c r="DB1022" s="85"/>
    </row>
    <row r="1023" spans="2:106">
      <c r="B1023" s="85"/>
      <c r="C1023" s="85"/>
      <c r="D1023" s="85"/>
      <c r="E1023" s="85"/>
      <c r="F1023" s="85"/>
      <c r="G1023" s="85"/>
      <c r="H1023" s="85"/>
      <c r="I1023" s="85"/>
      <c r="J1023" s="85"/>
      <c r="K1023" s="85"/>
      <c r="L1023" s="85"/>
      <c r="M1023" s="85"/>
      <c r="N1023" s="85"/>
      <c r="O1023" s="85"/>
      <c r="P1023" s="85"/>
      <c r="Q1023" s="85"/>
      <c r="R1023" s="85"/>
      <c r="S1023" s="85"/>
      <c r="T1023" s="85"/>
      <c r="U1023" s="85"/>
      <c r="V1023" s="85"/>
      <c r="W1023" s="85"/>
      <c r="X1023" s="85"/>
      <c r="Y1023" s="85"/>
      <c r="Z1023" s="85"/>
      <c r="AA1023" s="85"/>
      <c r="AB1023" s="85"/>
      <c r="AC1023" s="85"/>
      <c r="AD1023" s="84"/>
      <c r="AE1023" s="84"/>
      <c r="AF1023" s="84"/>
      <c r="DB1023" s="85"/>
    </row>
    <row r="1024" spans="2:106">
      <c r="B1024" s="85"/>
      <c r="C1024" s="85"/>
      <c r="D1024" s="85"/>
      <c r="E1024" s="85"/>
      <c r="F1024" s="85"/>
      <c r="G1024" s="85"/>
      <c r="H1024" s="85"/>
      <c r="I1024" s="85"/>
      <c r="J1024" s="85"/>
      <c r="K1024" s="85"/>
      <c r="L1024" s="85"/>
      <c r="M1024" s="85"/>
      <c r="N1024" s="85"/>
      <c r="O1024" s="85"/>
      <c r="P1024" s="85"/>
      <c r="Q1024" s="85"/>
      <c r="R1024" s="85"/>
      <c r="S1024" s="85"/>
      <c r="T1024" s="85"/>
      <c r="U1024" s="85"/>
      <c r="V1024" s="85"/>
      <c r="W1024" s="85"/>
      <c r="X1024" s="85"/>
      <c r="Y1024" s="85"/>
      <c r="Z1024" s="85"/>
      <c r="AA1024" s="85"/>
      <c r="AB1024" s="85"/>
      <c r="AC1024" s="85"/>
      <c r="AD1024" s="84"/>
      <c r="AE1024" s="84"/>
      <c r="AF1024" s="84"/>
      <c r="DB1024" s="85"/>
    </row>
    <row r="1025" spans="2:106">
      <c r="B1025" s="85"/>
      <c r="C1025" s="85"/>
      <c r="D1025" s="85"/>
      <c r="E1025" s="85"/>
      <c r="F1025" s="85"/>
      <c r="G1025" s="85"/>
      <c r="H1025" s="85"/>
      <c r="I1025" s="85"/>
      <c r="J1025" s="85"/>
      <c r="K1025" s="85"/>
      <c r="L1025" s="85"/>
      <c r="M1025" s="85"/>
      <c r="N1025" s="85"/>
      <c r="O1025" s="85"/>
      <c r="P1025" s="85"/>
      <c r="Q1025" s="85"/>
      <c r="R1025" s="85"/>
      <c r="S1025" s="85"/>
      <c r="T1025" s="85"/>
      <c r="U1025" s="85"/>
      <c r="V1025" s="85"/>
      <c r="W1025" s="85"/>
      <c r="X1025" s="85"/>
      <c r="Y1025" s="85"/>
      <c r="Z1025" s="85"/>
      <c r="AA1025" s="85"/>
      <c r="AB1025" s="85"/>
      <c r="AC1025" s="85"/>
      <c r="AD1025" s="84"/>
      <c r="AE1025" s="84"/>
      <c r="AF1025" s="84"/>
      <c r="DB1025" s="85"/>
    </row>
    <row r="1026" spans="2:106">
      <c r="B1026" s="85"/>
      <c r="C1026" s="85"/>
      <c r="D1026" s="85"/>
      <c r="E1026" s="85"/>
      <c r="F1026" s="85"/>
      <c r="G1026" s="85"/>
      <c r="H1026" s="85"/>
      <c r="I1026" s="85"/>
      <c r="J1026" s="85"/>
      <c r="K1026" s="85"/>
      <c r="L1026" s="85"/>
      <c r="M1026" s="85"/>
      <c r="N1026" s="85"/>
      <c r="O1026" s="85"/>
      <c r="P1026" s="85"/>
      <c r="Q1026" s="85"/>
      <c r="R1026" s="85"/>
      <c r="S1026" s="85"/>
      <c r="T1026" s="85"/>
      <c r="U1026" s="85"/>
      <c r="V1026" s="85"/>
      <c r="W1026" s="85"/>
      <c r="X1026" s="85"/>
      <c r="Y1026" s="85"/>
      <c r="Z1026" s="85"/>
      <c r="AA1026" s="85"/>
      <c r="AB1026" s="85"/>
      <c r="AC1026" s="85"/>
      <c r="AD1026" s="84"/>
      <c r="AE1026" s="84"/>
      <c r="AF1026" s="84"/>
      <c r="DB1026" s="85"/>
    </row>
    <row r="1027" spans="2:106">
      <c r="B1027" s="85"/>
      <c r="C1027" s="85"/>
      <c r="D1027" s="85"/>
      <c r="E1027" s="85"/>
      <c r="F1027" s="85"/>
      <c r="G1027" s="85"/>
      <c r="H1027" s="85"/>
      <c r="I1027" s="85"/>
      <c r="J1027" s="85"/>
      <c r="K1027" s="85"/>
      <c r="L1027" s="85"/>
      <c r="M1027" s="85"/>
      <c r="N1027" s="85"/>
      <c r="O1027" s="85"/>
      <c r="P1027" s="85"/>
      <c r="Q1027" s="85"/>
      <c r="R1027" s="85"/>
      <c r="S1027" s="85"/>
      <c r="T1027" s="85"/>
      <c r="U1027" s="85"/>
      <c r="V1027" s="85"/>
      <c r="W1027" s="85"/>
      <c r="X1027" s="85"/>
      <c r="Y1027" s="85"/>
      <c r="Z1027" s="85"/>
      <c r="AA1027" s="85"/>
      <c r="AB1027" s="85"/>
      <c r="AC1027" s="85"/>
      <c r="AD1027" s="84"/>
      <c r="AE1027" s="84"/>
      <c r="AF1027" s="84"/>
      <c r="DB1027" s="85"/>
    </row>
    <row r="1028" spans="2:106">
      <c r="B1028" s="85"/>
      <c r="C1028" s="85"/>
      <c r="D1028" s="85"/>
      <c r="E1028" s="85"/>
      <c r="F1028" s="85"/>
      <c r="G1028" s="85"/>
      <c r="H1028" s="85"/>
      <c r="I1028" s="85"/>
      <c r="J1028" s="85"/>
      <c r="K1028" s="85"/>
      <c r="L1028" s="85"/>
      <c r="M1028" s="85"/>
      <c r="N1028" s="85"/>
      <c r="O1028" s="85"/>
      <c r="P1028" s="85"/>
      <c r="Q1028" s="85"/>
      <c r="R1028" s="85"/>
      <c r="S1028" s="85"/>
      <c r="T1028" s="85"/>
      <c r="U1028" s="85"/>
      <c r="V1028" s="85"/>
      <c r="W1028" s="85"/>
      <c r="X1028" s="85"/>
      <c r="Y1028" s="85"/>
      <c r="Z1028" s="85"/>
      <c r="AA1028" s="85"/>
      <c r="AB1028" s="85"/>
      <c r="AC1028" s="85"/>
      <c r="AD1028" s="84"/>
      <c r="AE1028" s="84"/>
      <c r="AF1028" s="84"/>
      <c r="DB1028" s="85"/>
    </row>
    <row r="1029" spans="2:106">
      <c r="B1029" s="85"/>
      <c r="C1029" s="85"/>
      <c r="D1029" s="85"/>
      <c r="E1029" s="85"/>
      <c r="F1029" s="85"/>
      <c r="G1029" s="85"/>
      <c r="H1029" s="85"/>
      <c r="I1029" s="85"/>
      <c r="J1029" s="85"/>
      <c r="K1029" s="85"/>
      <c r="L1029" s="85"/>
      <c r="M1029" s="85"/>
      <c r="N1029" s="85"/>
      <c r="O1029" s="85"/>
      <c r="P1029" s="85"/>
      <c r="Q1029" s="85"/>
      <c r="R1029" s="85"/>
      <c r="S1029" s="85"/>
      <c r="T1029" s="85"/>
      <c r="U1029" s="85"/>
      <c r="V1029" s="85"/>
      <c r="W1029" s="85"/>
      <c r="X1029" s="85"/>
      <c r="Y1029" s="85"/>
      <c r="Z1029" s="85"/>
      <c r="AA1029" s="85"/>
      <c r="AB1029" s="85"/>
      <c r="AC1029" s="85"/>
      <c r="AD1029" s="84"/>
      <c r="AE1029" s="84"/>
      <c r="AF1029" s="84"/>
      <c r="DB1029" s="85"/>
    </row>
    <row r="1030" spans="2:106">
      <c r="B1030" s="85"/>
      <c r="C1030" s="85"/>
      <c r="D1030" s="85"/>
      <c r="E1030" s="85"/>
      <c r="F1030" s="85"/>
      <c r="G1030" s="85"/>
      <c r="H1030" s="85"/>
      <c r="I1030" s="85"/>
      <c r="J1030" s="85"/>
      <c r="K1030" s="85"/>
      <c r="L1030" s="85"/>
      <c r="M1030" s="85"/>
      <c r="N1030" s="85"/>
      <c r="O1030" s="85"/>
      <c r="P1030" s="85"/>
      <c r="Q1030" s="85"/>
      <c r="R1030" s="85"/>
      <c r="S1030" s="85"/>
      <c r="T1030" s="85"/>
      <c r="U1030" s="85"/>
      <c r="V1030" s="85"/>
      <c r="W1030" s="85"/>
      <c r="X1030" s="85"/>
      <c r="Y1030" s="85"/>
      <c r="Z1030" s="85"/>
      <c r="AA1030" s="85"/>
      <c r="AB1030" s="85"/>
      <c r="AC1030" s="85"/>
      <c r="AD1030" s="84"/>
      <c r="AE1030" s="84"/>
      <c r="AF1030" s="84"/>
      <c r="DB1030" s="85"/>
    </row>
    <row r="1031" spans="2:106">
      <c r="B1031" s="85"/>
      <c r="C1031" s="85"/>
      <c r="D1031" s="85"/>
      <c r="E1031" s="85"/>
      <c r="F1031" s="85"/>
      <c r="G1031" s="85"/>
      <c r="H1031" s="85"/>
      <c r="I1031" s="85"/>
      <c r="J1031" s="85"/>
      <c r="K1031" s="85"/>
      <c r="L1031" s="85"/>
      <c r="M1031" s="85"/>
      <c r="N1031" s="85"/>
      <c r="O1031" s="85"/>
      <c r="P1031" s="85"/>
      <c r="Q1031" s="85"/>
      <c r="R1031" s="85"/>
      <c r="S1031" s="85"/>
      <c r="T1031" s="85"/>
      <c r="U1031" s="85"/>
      <c r="V1031" s="85"/>
      <c r="W1031" s="85"/>
      <c r="X1031" s="85"/>
      <c r="Y1031" s="85"/>
      <c r="Z1031" s="85"/>
      <c r="AA1031" s="85"/>
      <c r="AB1031" s="85"/>
      <c r="AC1031" s="85"/>
      <c r="AD1031" s="84"/>
      <c r="AE1031" s="84"/>
      <c r="AF1031" s="84"/>
      <c r="DB1031" s="85"/>
    </row>
    <row r="1032" spans="2:106">
      <c r="B1032" s="85"/>
      <c r="C1032" s="85"/>
      <c r="D1032" s="85"/>
      <c r="E1032" s="85"/>
      <c r="F1032" s="85"/>
      <c r="G1032" s="85"/>
      <c r="H1032" s="85"/>
      <c r="I1032" s="85"/>
      <c r="J1032" s="85"/>
      <c r="K1032" s="85"/>
      <c r="L1032" s="85"/>
      <c r="M1032" s="85"/>
      <c r="N1032" s="85"/>
      <c r="O1032" s="85"/>
      <c r="P1032" s="85"/>
      <c r="Q1032" s="85"/>
      <c r="R1032" s="85"/>
      <c r="S1032" s="85"/>
      <c r="T1032" s="85"/>
      <c r="U1032" s="85"/>
      <c r="V1032" s="85"/>
      <c r="W1032" s="85"/>
      <c r="X1032" s="85"/>
      <c r="Y1032" s="85"/>
      <c r="Z1032" s="85"/>
      <c r="AA1032" s="85"/>
      <c r="AB1032" s="85"/>
      <c r="AC1032" s="85"/>
      <c r="AD1032" s="84"/>
      <c r="AE1032" s="84"/>
      <c r="AF1032" s="84"/>
      <c r="DB1032" s="85"/>
    </row>
    <row r="1033" spans="2:106">
      <c r="B1033" s="85"/>
      <c r="C1033" s="85"/>
      <c r="D1033" s="85"/>
      <c r="E1033" s="85"/>
      <c r="F1033" s="85"/>
      <c r="G1033" s="85"/>
      <c r="H1033" s="85"/>
      <c r="I1033" s="85"/>
      <c r="J1033" s="85"/>
      <c r="K1033" s="85"/>
      <c r="L1033" s="85"/>
      <c r="M1033" s="85"/>
      <c r="N1033" s="85"/>
      <c r="O1033" s="85"/>
      <c r="P1033" s="85"/>
      <c r="Q1033" s="85"/>
      <c r="R1033" s="85"/>
      <c r="S1033" s="85"/>
      <c r="T1033" s="85"/>
      <c r="U1033" s="85"/>
      <c r="V1033" s="85"/>
      <c r="W1033" s="85"/>
      <c r="X1033" s="85"/>
      <c r="Y1033" s="85"/>
      <c r="Z1033" s="85"/>
      <c r="AA1033" s="85"/>
      <c r="AB1033" s="85"/>
      <c r="AC1033" s="85"/>
      <c r="AD1033" s="84"/>
      <c r="AE1033" s="84"/>
      <c r="AF1033" s="84"/>
      <c r="DB1033" s="85"/>
    </row>
    <row r="1034" spans="2:106">
      <c r="B1034" s="85"/>
      <c r="C1034" s="85"/>
      <c r="D1034" s="85"/>
      <c r="E1034" s="85"/>
      <c r="F1034" s="85"/>
      <c r="G1034" s="85"/>
      <c r="H1034" s="85"/>
      <c r="I1034" s="85"/>
      <c r="J1034" s="85"/>
      <c r="K1034" s="85"/>
      <c r="L1034" s="85"/>
      <c r="M1034" s="85"/>
      <c r="N1034" s="85"/>
      <c r="O1034" s="85"/>
      <c r="P1034" s="85"/>
      <c r="Q1034" s="85"/>
      <c r="R1034" s="85"/>
      <c r="S1034" s="85"/>
      <c r="T1034" s="85"/>
      <c r="U1034" s="85"/>
      <c r="V1034" s="85"/>
      <c r="W1034" s="85"/>
      <c r="X1034" s="85"/>
      <c r="Y1034" s="85"/>
      <c r="Z1034" s="85"/>
      <c r="AA1034" s="85"/>
      <c r="AB1034" s="85"/>
      <c r="AC1034" s="85"/>
      <c r="AD1034" s="84"/>
      <c r="AE1034" s="84"/>
      <c r="AF1034" s="84"/>
      <c r="DB1034" s="85"/>
    </row>
    <row r="1035" spans="2:106">
      <c r="B1035" s="85"/>
      <c r="C1035" s="85"/>
      <c r="D1035" s="85"/>
      <c r="E1035" s="85"/>
      <c r="F1035" s="85"/>
      <c r="G1035" s="85"/>
      <c r="H1035" s="85"/>
      <c r="I1035" s="85"/>
      <c r="J1035" s="85"/>
      <c r="K1035" s="85"/>
      <c r="L1035" s="85"/>
      <c r="M1035" s="85"/>
      <c r="N1035" s="85"/>
      <c r="O1035" s="85"/>
      <c r="P1035" s="85"/>
      <c r="Q1035" s="85"/>
      <c r="R1035" s="85"/>
      <c r="S1035" s="85"/>
      <c r="T1035" s="85"/>
      <c r="U1035" s="85"/>
      <c r="V1035" s="85"/>
      <c r="W1035" s="85"/>
      <c r="X1035" s="85"/>
      <c r="Y1035" s="85"/>
      <c r="Z1035" s="85"/>
      <c r="AA1035" s="85"/>
      <c r="AB1035" s="85"/>
      <c r="AC1035" s="85"/>
      <c r="AD1035" s="84"/>
      <c r="AE1035" s="84"/>
      <c r="AF1035" s="84"/>
      <c r="DB1035" s="85"/>
    </row>
    <row r="1036" spans="2:106">
      <c r="B1036" s="85"/>
      <c r="C1036" s="85"/>
      <c r="D1036" s="85"/>
      <c r="E1036" s="85"/>
      <c r="F1036" s="85"/>
      <c r="G1036" s="85"/>
      <c r="H1036" s="85"/>
      <c r="I1036" s="85"/>
      <c r="J1036" s="85"/>
      <c r="K1036" s="85"/>
      <c r="L1036" s="85"/>
      <c r="M1036" s="85"/>
      <c r="N1036" s="85"/>
      <c r="O1036" s="85"/>
      <c r="P1036" s="85"/>
      <c r="Q1036" s="85"/>
      <c r="R1036" s="85"/>
      <c r="S1036" s="85"/>
      <c r="T1036" s="85"/>
      <c r="U1036" s="85"/>
      <c r="V1036" s="85"/>
      <c r="W1036" s="85"/>
      <c r="X1036" s="85"/>
      <c r="Y1036" s="85"/>
      <c r="Z1036" s="85"/>
      <c r="AA1036" s="85"/>
      <c r="AB1036" s="85"/>
      <c r="AC1036" s="85"/>
      <c r="AD1036" s="84"/>
      <c r="AE1036" s="84"/>
      <c r="AF1036" s="84"/>
      <c r="DB1036" s="85"/>
    </row>
    <row r="1037" spans="2:106">
      <c r="B1037" s="85"/>
      <c r="C1037" s="85"/>
      <c r="D1037" s="85"/>
      <c r="E1037" s="85"/>
      <c r="F1037" s="85"/>
      <c r="G1037" s="85"/>
      <c r="H1037" s="85"/>
      <c r="I1037" s="85"/>
      <c r="J1037" s="85"/>
      <c r="K1037" s="85"/>
      <c r="L1037" s="85"/>
      <c r="M1037" s="85"/>
      <c r="N1037" s="85"/>
      <c r="O1037" s="85"/>
      <c r="P1037" s="85"/>
      <c r="Q1037" s="85"/>
      <c r="R1037" s="85"/>
      <c r="S1037" s="85"/>
      <c r="T1037" s="85"/>
      <c r="U1037" s="85"/>
      <c r="V1037" s="85"/>
      <c r="W1037" s="85"/>
      <c r="X1037" s="85"/>
      <c r="Y1037" s="85"/>
      <c r="Z1037" s="85"/>
      <c r="AA1037" s="85"/>
      <c r="AB1037" s="85"/>
      <c r="AC1037" s="85"/>
      <c r="AD1037" s="84"/>
      <c r="AE1037" s="84"/>
      <c r="AF1037" s="84"/>
      <c r="DB1037" s="85"/>
    </row>
    <row r="1038" spans="2:106">
      <c r="B1038" s="85"/>
      <c r="C1038" s="85"/>
      <c r="D1038" s="85"/>
      <c r="E1038" s="85"/>
      <c r="F1038" s="85"/>
      <c r="G1038" s="85"/>
      <c r="H1038" s="85"/>
      <c r="I1038" s="85"/>
      <c r="J1038" s="85"/>
      <c r="K1038" s="85"/>
      <c r="L1038" s="85"/>
      <c r="M1038" s="85"/>
      <c r="N1038" s="85"/>
      <c r="O1038" s="85"/>
      <c r="P1038" s="85"/>
      <c r="Q1038" s="85"/>
      <c r="R1038" s="85"/>
      <c r="S1038" s="85"/>
      <c r="T1038" s="85"/>
      <c r="U1038" s="85"/>
      <c r="V1038" s="85"/>
      <c r="W1038" s="85"/>
      <c r="X1038" s="85"/>
      <c r="Y1038" s="85"/>
      <c r="Z1038" s="85"/>
      <c r="AA1038" s="85"/>
      <c r="AB1038" s="85"/>
      <c r="AC1038" s="85"/>
      <c r="AD1038" s="84"/>
      <c r="AE1038" s="84"/>
      <c r="AF1038" s="84"/>
      <c r="DB1038" s="85"/>
    </row>
    <row r="1039" spans="2:106">
      <c r="B1039" s="85"/>
      <c r="C1039" s="85"/>
      <c r="D1039" s="85"/>
      <c r="E1039" s="85"/>
      <c r="F1039" s="85"/>
      <c r="G1039" s="85"/>
      <c r="H1039" s="85"/>
      <c r="I1039" s="85"/>
      <c r="J1039" s="85"/>
      <c r="K1039" s="85"/>
      <c r="L1039" s="85"/>
      <c r="M1039" s="85"/>
      <c r="N1039" s="85"/>
      <c r="O1039" s="85"/>
      <c r="P1039" s="85"/>
      <c r="Q1039" s="85"/>
      <c r="R1039" s="85"/>
      <c r="S1039" s="85"/>
      <c r="T1039" s="85"/>
      <c r="U1039" s="85"/>
      <c r="V1039" s="85"/>
      <c r="W1039" s="85"/>
      <c r="X1039" s="85"/>
      <c r="Y1039" s="85"/>
      <c r="Z1039" s="85"/>
      <c r="AA1039" s="85"/>
      <c r="AB1039" s="85"/>
      <c r="AC1039" s="85"/>
      <c r="AD1039" s="84"/>
      <c r="AE1039" s="84"/>
      <c r="AF1039" s="84"/>
      <c r="DB1039" s="85"/>
    </row>
    <row r="1040" spans="2:106">
      <c r="B1040" s="85"/>
      <c r="C1040" s="85"/>
      <c r="D1040" s="85"/>
      <c r="E1040" s="85"/>
      <c r="F1040" s="85"/>
      <c r="G1040" s="85"/>
      <c r="H1040" s="85"/>
      <c r="I1040" s="85"/>
      <c r="J1040" s="85"/>
      <c r="K1040" s="85"/>
      <c r="L1040" s="85"/>
      <c r="M1040" s="85"/>
      <c r="N1040" s="85"/>
      <c r="O1040" s="85"/>
      <c r="P1040" s="85"/>
      <c r="Q1040" s="85"/>
      <c r="R1040" s="85"/>
      <c r="S1040" s="85"/>
      <c r="T1040" s="85"/>
      <c r="U1040" s="85"/>
      <c r="V1040" s="85"/>
      <c r="W1040" s="85"/>
      <c r="X1040" s="85"/>
      <c r="Y1040" s="85"/>
      <c r="Z1040" s="85"/>
      <c r="AA1040" s="85"/>
      <c r="AB1040" s="85"/>
      <c r="AC1040" s="85"/>
      <c r="AD1040" s="84"/>
      <c r="AE1040" s="84"/>
      <c r="AF1040" s="84"/>
      <c r="DB1040" s="85"/>
    </row>
    <row r="1041" spans="2:106">
      <c r="B1041" s="85"/>
      <c r="C1041" s="85"/>
      <c r="D1041" s="85"/>
      <c r="E1041" s="85"/>
      <c r="F1041" s="85"/>
      <c r="G1041" s="85"/>
      <c r="H1041" s="85"/>
      <c r="I1041" s="85"/>
      <c r="J1041" s="85"/>
      <c r="K1041" s="85"/>
      <c r="L1041" s="85"/>
      <c r="M1041" s="85"/>
      <c r="N1041" s="85"/>
      <c r="O1041" s="85"/>
      <c r="P1041" s="85"/>
      <c r="Q1041" s="85"/>
      <c r="R1041" s="85"/>
      <c r="S1041" s="85"/>
      <c r="T1041" s="85"/>
      <c r="U1041" s="85"/>
      <c r="V1041" s="85"/>
      <c r="W1041" s="85"/>
      <c r="X1041" s="85"/>
      <c r="Y1041" s="85"/>
      <c r="Z1041" s="85"/>
      <c r="AA1041" s="85"/>
      <c r="AB1041" s="85"/>
      <c r="AC1041" s="85"/>
      <c r="AD1041" s="84"/>
      <c r="AE1041" s="84"/>
      <c r="AF1041" s="84"/>
      <c r="DB1041" s="85"/>
    </row>
    <row r="1042" spans="2:106">
      <c r="B1042" s="85"/>
      <c r="C1042" s="85"/>
      <c r="D1042" s="85"/>
      <c r="E1042" s="85"/>
      <c r="F1042" s="85"/>
      <c r="G1042" s="85"/>
      <c r="H1042" s="85"/>
      <c r="I1042" s="85"/>
      <c r="J1042" s="85"/>
      <c r="K1042" s="85"/>
      <c r="L1042" s="85"/>
      <c r="M1042" s="85"/>
      <c r="N1042" s="85"/>
      <c r="O1042" s="85"/>
      <c r="P1042" s="85"/>
      <c r="Q1042" s="85"/>
      <c r="R1042" s="85"/>
      <c r="S1042" s="85"/>
      <c r="T1042" s="85"/>
      <c r="U1042" s="85"/>
      <c r="V1042" s="85"/>
      <c r="W1042" s="85"/>
      <c r="X1042" s="85"/>
      <c r="Y1042" s="85"/>
      <c r="Z1042" s="85"/>
      <c r="AA1042" s="85"/>
      <c r="AB1042" s="85"/>
      <c r="AC1042" s="85"/>
      <c r="AD1042" s="84"/>
      <c r="AE1042" s="84"/>
      <c r="AF1042" s="84"/>
      <c r="DB1042" s="85"/>
    </row>
    <row r="1043" spans="2:106">
      <c r="B1043" s="85"/>
      <c r="C1043" s="85"/>
      <c r="D1043" s="85"/>
      <c r="E1043" s="85"/>
      <c r="F1043" s="85"/>
      <c r="G1043" s="85"/>
      <c r="H1043" s="85"/>
      <c r="I1043" s="85"/>
      <c r="J1043" s="85"/>
      <c r="K1043" s="85"/>
      <c r="L1043" s="85"/>
      <c r="M1043" s="85"/>
      <c r="N1043" s="85"/>
      <c r="O1043" s="85"/>
      <c r="P1043" s="85"/>
      <c r="Q1043" s="85"/>
      <c r="R1043" s="85"/>
      <c r="S1043" s="85"/>
      <c r="T1043" s="85"/>
      <c r="U1043" s="85"/>
      <c r="V1043" s="85"/>
      <c r="W1043" s="85"/>
      <c r="X1043" s="85"/>
      <c r="Y1043" s="85"/>
      <c r="Z1043" s="85"/>
      <c r="AA1043" s="85"/>
      <c r="AB1043" s="85"/>
      <c r="AC1043" s="85"/>
      <c r="AD1043" s="84"/>
      <c r="AE1043" s="84"/>
      <c r="AF1043" s="84"/>
      <c r="DB1043" s="85"/>
    </row>
    <row r="1044" spans="2:106">
      <c r="B1044" s="85"/>
      <c r="C1044" s="85"/>
      <c r="D1044" s="85"/>
      <c r="E1044" s="85"/>
      <c r="F1044" s="85"/>
      <c r="G1044" s="85"/>
      <c r="H1044" s="85"/>
      <c r="I1044" s="85"/>
      <c r="J1044" s="85"/>
      <c r="K1044" s="85"/>
      <c r="L1044" s="85"/>
      <c r="M1044" s="85"/>
      <c r="N1044" s="85"/>
      <c r="O1044" s="85"/>
      <c r="P1044" s="85"/>
      <c r="Q1044" s="85"/>
      <c r="R1044" s="85"/>
      <c r="S1044" s="85"/>
      <c r="T1044" s="85"/>
      <c r="U1044" s="85"/>
      <c r="V1044" s="85"/>
      <c r="W1044" s="85"/>
      <c r="X1044" s="85"/>
      <c r="Y1044" s="85"/>
      <c r="Z1044" s="85"/>
      <c r="AA1044" s="85"/>
      <c r="AB1044" s="85"/>
      <c r="AC1044" s="85"/>
      <c r="AD1044" s="84"/>
      <c r="AE1044" s="84"/>
      <c r="AF1044" s="84"/>
      <c r="DB1044" s="85"/>
    </row>
    <row r="1045" spans="2:106">
      <c r="B1045" s="85"/>
      <c r="C1045" s="85"/>
      <c r="D1045" s="85"/>
      <c r="E1045" s="85"/>
      <c r="F1045" s="85"/>
      <c r="G1045" s="85"/>
      <c r="H1045" s="85"/>
      <c r="I1045" s="85"/>
      <c r="J1045" s="85"/>
      <c r="K1045" s="85"/>
      <c r="L1045" s="85"/>
      <c r="M1045" s="85"/>
      <c r="N1045" s="85"/>
      <c r="O1045" s="85"/>
      <c r="P1045" s="85"/>
      <c r="Q1045" s="85"/>
      <c r="R1045" s="85"/>
      <c r="S1045" s="85"/>
      <c r="T1045" s="85"/>
      <c r="U1045" s="85"/>
      <c r="V1045" s="85"/>
      <c r="W1045" s="85"/>
      <c r="X1045" s="85"/>
      <c r="Y1045" s="85"/>
      <c r="Z1045" s="85"/>
      <c r="AA1045" s="85"/>
      <c r="AB1045" s="85"/>
      <c r="AC1045" s="85"/>
      <c r="AD1045" s="84"/>
      <c r="AE1045" s="84"/>
      <c r="AF1045" s="84"/>
      <c r="DB1045" s="85"/>
    </row>
    <row r="1046" spans="2:106">
      <c r="B1046" s="85"/>
      <c r="C1046" s="85"/>
      <c r="D1046" s="85"/>
      <c r="E1046" s="85"/>
      <c r="F1046" s="85"/>
      <c r="G1046" s="85"/>
      <c r="H1046" s="85"/>
      <c r="I1046" s="85"/>
      <c r="J1046" s="85"/>
      <c r="K1046" s="85"/>
      <c r="L1046" s="85"/>
      <c r="M1046" s="85"/>
      <c r="N1046" s="85"/>
      <c r="O1046" s="85"/>
      <c r="P1046" s="85"/>
      <c r="Q1046" s="85"/>
      <c r="R1046" s="85"/>
      <c r="S1046" s="85"/>
      <c r="T1046" s="85"/>
      <c r="U1046" s="85"/>
      <c r="V1046" s="85"/>
      <c r="W1046" s="85"/>
      <c r="X1046" s="85"/>
      <c r="Y1046" s="85"/>
      <c r="Z1046" s="85"/>
      <c r="AA1046" s="85"/>
      <c r="AB1046" s="85"/>
      <c r="AC1046" s="85"/>
      <c r="AD1046" s="84"/>
      <c r="AE1046" s="84"/>
      <c r="AF1046" s="84"/>
      <c r="DB1046" s="85"/>
    </row>
    <row r="1047" spans="2:106">
      <c r="B1047" s="85"/>
      <c r="C1047" s="85"/>
      <c r="D1047" s="85"/>
      <c r="E1047" s="85"/>
      <c r="F1047" s="85"/>
      <c r="G1047" s="85"/>
      <c r="H1047" s="85"/>
      <c r="I1047" s="85"/>
      <c r="J1047" s="85"/>
      <c r="K1047" s="85"/>
      <c r="L1047" s="85"/>
      <c r="M1047" s="85"/>
      <c r="N1047" s="85"/>
      <c r="O1047" s="85"/>
      <c r="P1047" s="85"/>
      <c r="Q1047" s="85"/>
      <c r="R1047" s="85"/>
      <c r="S1047" s="85"/>
      <c r="T1047" s="85"/>
      <c r="U1047" s="85"/>
      <c r="V1047" s="85"/>
      <c r="W1047" s="85"/>
      <c r="X1047" s="85"/>
      <c r="Y1047" s="85"/>
      <c r="Z1047" s="85"/>
      <c r="AA1047" s="85"/>
      <c r="AB1047" s="85"/>
      <c r="AC1047" s="85"/>
      <c r="AD1047" s="84"/>
      <c r="AE1047" s="84"/>
      <c r="AF1047" s="84"/>
      <c r="DB1047" s="85"/>
    </row>
    <row r="1048" spans="2:106">
      <c r="B1048" s="85"/>
      <c r="C1048" s="85"/>
      <c r="D1048" s="85"/>
      <c r="E1048" s="85"/>
      <c r="F1048" s="85"/>
      <c r="G1048" s="85"/>
      <c r="H1048" s="85"/>
      <c r="I1048" s="85"/>
      <c r="J1048" s="85"/>
      <c r="K1048" s="85"/>
      <c r="L1048" s="85"/>
      <c r="M1048" s="85"/>
      <c r="N1048" s="85"/>
      <c r="O1048" s="85"/>
      <c r="P1048" s="85"/>
      <c r="Q1048" s="85"/>
      <c r="R1048" s="85"/>
      <c r="S1048" s="85"/>
      <c r="T1048" s="85"/>
      <c r="U1048" s="85"/>
      <c r="V1048" s="85"/>
      <c r="W1048" s="85"/>
      <c r="X1048" s="85"/>
      <c r="Y1048" s="85"/>
      <c r="Z1048" s="85"/>
      <c r="AA1048" s="85"/>
      <c r="AB1048" s="85"/>
      <c r="AC1048" s="85"/>
      <c r="AD1048" s="84"/>
      <c r="AE1048" s="84"/>
      <c r="AF1048" s="84"/>
      <c r="DB1048" s="85"/>
    </row>
    <row r="1049" spans="2:106">
      <c r="B1049" s="85"/>
      <c r="C1049" s="85"/>
      <c r="D1049" s="85"/>
      <c r="E1049" s="85"/>
      <c r="F1049" s="85"/>
      <c r="G1049" s="85"/>
      <c r="H1049" s="85"/>
      <c r="I1049" s="85"/>
      <c r="J1049" s="85"/>
      <c r="K1049" s="85"/>
      <c r="L1049" s="85"/>
      <c r="M1049" s="85"/>
      <c r="N1049" s="85"/>
      <c r="O1049" s="85"/>
      <c r="P1049" s="85"/>
      <c r="Q1049" s="85"/>
      <c r="R1049" s="85"/>
      <c r="S1049" s="85"/>
      <c r="T1049" s="85"/>
      <c r="U1049" s="85"/>
      <c r="V1049" s="85"/>
      <c r="W1049" s="85"/>
      <c r="X1049" s="85"/>
      <c r="Y1049" s="85"/>
      <c r="Z1049" s="85"/>
      <c r="AA1049" s="85"/>
      <c r="AB1049" s="85"/>
      <c r="AC1049" s="85"/>
      <c r="AD1049" s="84"/>
      <c r="AE1049" s="84"/>
      <c r="AF1049" s="84"/>
      <c r="DB1049" s="85"/>
    </row>
    <row r="1050" spans="2:106">
      <c r="B1050" s="85"/>
      <c r="C1050" s="85"/>
      <c r="D1050" s="85"/>
      <c r="E1050" s="85"/>
      <c r="F1050" s="85"/>
      <c r="G1050" s="85"/>
      <c r="H1050" s="85"/>
      <c r="I1050" s="85"/>
      <c r="J1050" s="85"/>
      <c r="K1050" s="85"/>
      <c r="L1050" s="85"/>
      <c r="M1050" s="85"/>
      <c r="N1050" s="85"/>
      <c r="O1050" s="85"/>
      <c r="P1050" s="85"/>
      <c r="Q1050" s="85"/>
      <c r="R1050" s="85"/>
      <c r="S1050" s="85"/>
      <c r="T1050" s="85"/>
      <c r="U1050" s="85"/>
      <c r="V1050" s="85"/>
      <c r="W1050" s="85"/>
      <c r="X1050" s="85"/>
      <c r="Y1050" s="85"/>
      <c r="Z1050" s="85"/>
      <c r="AA1050" s="85"/>
      <c r="AB1050" s="85"/>
      <c r="AC1050" s="85"/>
      <c r="AD1050" s="84"/>
      <c r="AE1050" s="84"/>
      <c r="AF1050" s="84"/>
      <c r="DB1050" s="85"/>
    </row>
    <row r="1051" spans="2:106">
      <c r="B1051" s="85"/>
      <c r="C1051" s="85"/>
      <c r="D1051" s="85"/>
      <c r="E1051" s="85"/>
      <c r="F1051" s="85"/>
      <c r="G1051" s="85"/>
      <c r="H1051" s="85"/>
      <c r="I1051" s="85"/>
      <c r="J1051" s="85"/>
      <c r="K1051" s="85"/>
      <c r="L1051" s="85"/>
      <c r="M1051" s="85"/>
      <c r="N1051" s="85"/>
      <c r="O1051" s="85"/>
      <c r="P1051" s="85"/>
      <c r="Q1051" s="85"/>
      <c r="R1051" s="85"/>
      <c r="S1051" s="85"/>
      <c r="T1051" s="85"/>
      <c r="U1051" s="85"/>
      <c r="V1051" s="85"/>
      <c r="W1051" s="85"/>
      <c r="X1051" s="85"/>
      <c r="Y1051" s="85"/>
      <c r="Z1051" s="85"/>
      <c r="AA1051" s="85"/>
      <c r="AB1051" s="85"/>
      <c r="AC1051" s="85"/>
      <c r="AD1051" s="84"/>
      <c r="AE1051" s="84"/>
      <c r="AF1051" s="84"/>
      <c r="DB1051" s="85"/>
    </row>
    <row r="1052" spans="2:106">
      <c r="B1052" s="85"/>
      <c r="C1052" s="85"/>
      <c r="D1052" s="85"/>
      <c r="E1052" s="85"/>
      <c r="F1052" s="85"/>
      <c r="G1052" s="85"/>
      <c r="H1052" s="85"/>
      <c r="I1052" s="85"/>
      <c r="J1052" s="85"/>
      <c r="K1052" s="85"/>
      <c r="L1052" s="85"/>
      <c r="M1052" s="85"/>
      <c r="N1052" s="85"/>
      <c r="O1052" s="85"/>
      <c r="P1052" s="85"/>
      <c r="Q1052" s="85"/>
      <c r="R1052" s="85"/>
      <c r="S1052" s="85"/>
      <c r="T1052" s="85"/>
      <c r="U1052" s="85"/>
      <c r="V1052" s="85"/>
      <c r="W1052" s="85"/>
      <c r="X1052" s="85"/>
      <c r="Y1052" s="85"/>
      <c r="Z1052" s="85"/>
      <c r="AA1052" s="85"/>
      <c r="AB1052" s="85"/>
      <c r="AC1052" s="85"/>
      <c r="AD1052" s="84"/>
      <c r="AE1052" s="84"/>
      <c r="AF1052" s="84"/>
      <c r="DB1052" s="85"/>
    </row>
    <row r="1053" spans="2:106">
      <c r="B1053" s="85"/>
      <c r="C1053" s="85"/>
      <c r="D1053" s="85"/>
      <c r="E1053" s="85"/>
      <c r="F1053" s="85"/>
      <c r="G1053" s="85"/>
      <c r="H1053" s="85"/>
      <c r="I1053" s="85"/>
      <c r="J1053" s="85"/>
      <c r="K1053" s="85"/>
      <c r="L1053" s="85"/>
      <c r="M1053" s="85"/>
      <c r="N1053" s="85"/>
      <c r="O1053" s="85"/>
      <c r="P1053" s="85"/>
      <c r="Q1053" s="85"/>
      <c r="R1053" s="85"/>
      <c r="S1053" s="85"/>
      <c r="T1053" s="85"/>
      <c r="U1053" s="85"/>
      <c r="V1053" s="85"/>
      <c r="W1053" s="85"/>
      <c r="X1053" s="85"/>
      <c r="Y1053" s="85"/>
      <c r="Z1053" s="85"/>
      <c r="AA1053" s="85"/>
      <c r="AB1053" s="85"/>
      <c r="AC1053" s="85"/>
      <c r="AD1053" s="84"/>
      <c r="AE1053" s="84"/>
      <c r="AF1053" s="84"/>
      <c r="DB1053" s="85"/>
    </row>
    <row r="1054" spans="2:106">
      <c r="B1054" s="85"/>
      <c r="C1054" s="85"/>
      <c r="D1054" s="85"/>
      <c r="E1054" s="85"/>
      <c r="F1054" s="85"/>
      <c r="G1054" s="85"/>
      <c r="H1054" s="85"/>
      <c r="I1054" s="85"/>
      <c r="J1054" s="85"/>
      <c r="K1054" s="85"/>
      <c r="L1054" s="85"/>
      <c r="M1054" s="85"/>
      <c r="N1054" s="85"/>
      <c r="O1054" s="85"/>
      <c r="P1054" s="85"/>
      <c r="Q1054" s="85"/>
      <c r="R1054" s="85"/>
      <c r="S1054" s="85"/>
      <c r="T1054" s="85"/>
      <c r="U1054" s="85"/>
      <c r="V1054" s="85"/>
      <c r="W1054" s="85"/>
      <c r="X1054" s="85"/>
      <c r="Y1054" s="85"/>
      <c r="Z1054" s="85"/>
      <c r="AA1054" s="85"/>
      <c r="AB1054" s="85"/>
      <c r="AC1054" s="85"/>
      <c r="AD1054" s="84"/>
      <c r="AE1054" s="84"/>
      <c r="AF1054" s="84"/>
      <c r="DB1054" s="85"/>
    </row>
    <row r="1055" spans="2:106">
      <c r="B1055" s="85"/>
      <c r="C1055" s="85"/>
      <c r="D1055" s="85"/>
      <c r="E1055" s="85"/>
      <c r="F1055" s="85"/>
      <c r="G1055" s="85"/>
      <c r="H1055" s="85"/>
      <c r="I1055" s="85"/>
      <c r="J1055" s="85"/>
      <c r="K1055" s="85"/>
      <c r="L1055" s="85"/>
      <c r="M1055" s="85"/>
      <c r="N1055" s="85"/>
      <c r="O1055" s="85"/>
      <c r="P1055" s="85"/>
      <c r="Q1055" s="85"/>
      <c r="R1055" s="85"/>
      <c r="S1055" s="85"/>
      <c r="T1055" s="85"/>
      <c r="U1055" s="85"/>
      <c r="V1055" s="85"/>
      <c r="W1055" s="85"/>
      <c r="X1055" s="85"/>
      <c r="Y1055" s="85"/>
      <c r="Z1055" s="85"/>
      <c r="AA1055" s="85"/>
      <c r="AB1055" s="85"/>
      <c r="AC1055" s="85"/>
      <c r="AD1055" s="84"/>
      <c r="AE1055" s="84"/>
      <c r="AF1055" s="84"/>
      <c r="DB1055" s="85"/>
    </row>
    <row r="1056" spans="2:106">
      <c r="B1056" s="85"/>
      <c r="C1056" s="85"/>
      <c r="D1056" s="85"/>
      <c r="E1056" s="85"/>
      <c r="F1056" s="85"/>
      <c r="G1056" s="85"/>
      <c r="H1056" s="85"/>
      <c r="I1056" s="85"/>
      <c r="J1056" s="85"/>
      <c r="K1056" s="85"/>
      <c r="L1056" s="85"/>
      <c r="M1056" s="85"/>
      <c r="N1056" s="85"/>
      <c r="O1056" s="85"/>
      <c r="P1056" s="85"/>
      <c r="Q1056" s="85"/>
      <c r="R1056" s="85"/>
      <c r="S1056" s="85"/>
      <c r="T1056" s="85"/>
      <c r="U1056" s="85"/>
      <c r="V1056" s="85"/>
      <c r="W1056" s="85"/>
      <c r="X1056" s="85"/>
      <c r="Y1056" s="85"/>
      <c r="Z1056" s="85"/>
      <c r="AA1056" s="85"/>
      <c r="AB1056" s="85"/>
      <c r="AC1056" s="85"/>
      <c r="AD1056" s="84"/>
      <c r="AE1056" s="84"/>
      <c r="AF1056" s="84"/>
      <c r="DB1056" s="85"/>
    </row>
    <row r="1057" spans="2:106">
      <c r="B1057" s="85"/>
      <c r="C1057" s="85"/>
      <c r="D1057" s="85"/>
      <c r="E1057" s="85"/>
      <c r="F1057" s="85"/>
      <c r="G1057" s="85"/>
      <c r="H1057" s="85"/>
      <c r="I1057" s="85"/>
      <c r="J1057" s="85"/>
      <c r="K1057" s="85"/>
      <c r="L1057" s="85"/>
      <c r="M1057" s="85"/>
      <c r="N1057" s="85"/>
      <c r="O1057" s="85"/>
      <c r="P1057" s="85"/>
      <c r="Q1057" s="85"/>
      <c r="R1057" s="85"/>
      <c r="S1057" s="85"/>
      <c r="T1057" s="85"/>
      <c r="U1057" s="85"/>
      <c r="V1057" s="85"/>
      <c r="W1057" s="85"/>
      <c r="X1057" s="85"/>
      <c r="Y1057" s="85"/>
      <c r="Z1057" s="85"/>
      <c r="AA1057" s="85"/>
      <c r="AB1057" s="85"/>
      <c r="AC1057" s="85"/>
      <c r="AD1057" s="84"/>
      <c r="AE1057" s="84"/>
      <c r="AF1057" s="84"/>
      <c r="DB1057" s="85"/>
    </row>
    <row r="1058" spans="2:106">
      <c r="B1058" s="85"/>
      <c r="C1058" s="85"/>
      <c r="D1058" s="85"/>
      <c r="E1058" s="85"/>
      <c r="F1058" s="85"/>
      <c r="G1058" s="85"/>
      <c r="H1058" s="85"/>
      <c r="I1058" s="85"/>
      <c r="J1058" s="85"/>
      <c r="K1058" s="85"/>
      <c r="L1058" s="85"/>
      <c r="M1058" s="85"/>
      <c r="N1058" s="85"/>
      <c r="O1058" s="85"/>
      <c r="P1058" s="85"/>
      <c r="Q1058" s="85"/>
      <c r="R1058" s="85"/>
      <c r="S1058" s="85"/>
      <c r="T1058" s="85"/>
      <c r="U1058" s="85"/>
      <c r="V1058" s="85"/>
      <c r="W1058" s="85"/>
      <c r="X1058" s="85"/>
      <c r="Y1058" s="85"/>
      <c r="Z1058" s="85"/>
      <c r="AA1058" s="85"/>
      <c r="AB1058" s="85"/>
      <c r="AC1058" s="85"/>
      <c r="AD1058" s="84"/>
      <c r="AE1058" s="84"/>
      <c r="AF1058" s="84"/>
      <c r="DB1058" s="85"/>
    </row>
    <row r="1059" spans="2:106">
      <c r="B1059" s="85"/>
      <c r="C1059" s="85"/>
      <c r="D1059" s="85"/>
      <c r="E1059" s="85"/>
      <c r="F1059" s="85"/>
      <c r="G1059" s="85"/>
      <c r="H1059" s="85"/>
      <c r="I1059" s="85"/>
      <c r="J1059" s="85"/>
      <c r="K1059" s="85"/>
      <c r="L1059" s="85"/>
      <c r="M1059" s="85"/>
      <c r="N1059" s="85"/>
      <c r="O1059" s="85"/>
      <c r="P1059" s="85"/>
      <c r="Q1059" s="85"/>
      <c r="R1059" s="85"/>
      <c r="S1059" s="85"/>
      <c r="T1059" s="85"/>
      <c r="U1059" s="85"/>
      <c r="V1059" s="85"/>
      <c r="W1059" s="85"/>
      <c r="X1059" s="85"/>
      <c r="Y1059" s="85"/>
      <c r="Z1059" s="85"/>
      <c r="AA1059" s="85"/>
      <c r="AB1059" s="85"/>
      <c r="AC1059" s="85"/>
      <c r="AD1059" s="84"/>
      <c r="AE1059" s="84"/>
      <c r="AF1059" s="84"/>
      <c r="DB1059" s="85"/>
    </row>
    <row r="1060" spans="2:106">
      <c r="B1060" s="85"/>
      <c r="C1060" s="85"/>
      <c r="D1060" s="85"/>
      <c r="E1060" s="85"/>
      <c r="F1060" s="85"/>
      <c r="G1060" s="85"/>
      <c r="H1060" s="85"/>
      <c r="I1060" s="85"/>
      <c r="J1060" s="85"/>
      <c r="K1060" s="85"/>
      <c r="L1060" s="85"/>
      <c r="M1060" s="85"/>
      <c r="N1060" s="85"/>
      <c r="O1060" s="85"/>
      <c r="P1060" s="85"/>
      <c r="Q1060" s="85"/>
      <c r="R1060" s="85"/>
      <c r="S1060" s="85"/>
      <c r="T1060" s="85"/>
      <c r="U1060" s="85"/>
      <c r="V1060" s="85"/>
      <c r="W1060" s="85"/>
      <c r="X1060" s="85"/>
      <c r="Y1060" s="85"/>
      <c r="Z1060" s="85"/>
      <c r="AA1060" s="85"/>
      <c r="AB1060" s="85"/>
      <c r="AC1060" s="85"/>
      <c r="AD1060" s="84"/>
      <c r="AE1060" s="84"/>
      <c r="AF1060" s="84"/>
      <c r="DB1060" s="85"/>
    </row>
    <row r="1061" spans="2:106">
      <c r="B1061" s="85"/>
      <c r="C1061" s="85"/>
      <c r="D1061" s="85"/>
      <c r="E1061" s="85"/>
      <c r="F1061" s="85"/>
      <c r="G1061" s="85"/>
      <c r="H1061" s="85"/>
      <c r="I1061" s="85"/>
      <c r="J1061" s="85"/>
      <c r="K1061" s="85"/>
      <c r="L1061" s="85"/>
      <c r="M1061" s="85"/>
      <c r="N1061" s="85"/>
      <c r="O1061" s="85"/>
      <c r="P1061" s="85"/>
      <c r="Q1061" s="85"/>
      <c r="R1061" s="85"/>
      <c r="S1061" s="85"/>
      <c r="T1061" s="85"/>
      <c r="U1061" s="85"/>
      <c r="V1061" s="85"/>
      <c r="W1061" s="85"/>
      <c r="X1061" s="85"/>
      <c r="Y1061" s="85"/>
      <c r="Z1061" s="85"/>
      <c r="AA1061" s="85"/>
      <c r="AB1061" s="85"/>
      <c r="AC1061" s="85"/>
      <c r="AD1061" s="84"/>
      <c r="AE1061" s="84"/>
      <c r="AF1061" s="84"/>
      <c r="DB1061" s="85"/>
    </row>
    <row r="1062" spans="2:106">
      <c r="B1062" s="85"/>
      <c r="C1062" s="85"/>
      <c r="D1062" s="85"/>
      <c r="E1062" s="85"/>
      <c r="F1062" s="85"/>
      <c r="G1062" s="85"/>
      <c r="H1062" s="85"/>
      <c r="I1062" s="85"/>
      <c r="J1062" s="85"/>
      <c r="K1062" s="85"/>
      <c r="L1062" s="85"/>
      <c r="M1062" s="85"/>
      <c r="N1062" s="85"/>
      <c r="O1062" s="85"/>
      <c r="P1062" s="85"/>
      <c r="Q1062" s="85"/>
      <c r="R1062" s="85"/>
      <c r="S1062" s="85"/>
      <c r="T1062" s="85"/>
      <c r="U1062" s="85"/>
      <c r="V1062" s="85"/>
      <c r="W1062" s="85"/>
      <c r="X1062" s="85"/>
      <c r="Y1062" s="85"/>
      <c r="Z1062" s="85"/>
      <c r="AA1062" s="85"/>
      <c r="AB1062" s="85"/>
      <c r="AC1062" s="85"/>
      <c r="AD1062" s="84"/>
      <c r="AE1062" s="84"/>
      <c r="AF1062" s="84"/>
      <c r="DB1062" s="85"/>
    </row>
    <row r="1063" spans="2:106">
      <c r="B1063" s="85"/>
      <c r="C1063" s="85"/>
      <c r="D1063" s="85"/>
      <c r="E1063" s="85"/>
      <c r="F1063" s="85"/>
      <c r="G1063" s="85"/>
      <c r="H1063" s="85"/>
      <c r="I1063" s="85"/>
      <c r="J1063" s="85"/>
      <c r="K1063" s="85"/>
      <c r="L1063" s="85"/>
      <c r="M1063" s="85"/>
      <c r="N1063" s="85"/>
      <c r="O1063" s="85"/>
      <c r="P1063" s="85"/>
      <c r="Q1063" s="85"/>
      <c r="R1063" s="85"/>
      <c r="S1063" s="85"/>
      <c r="T1063" s="85"/>
      <c r="U1063" s="85"/>
      <c r="V1063" s="85"/>
      <c r="W1063" s="85"/>
      <c r="X1063" s="85"/>
      <c r="Y1063" s="85"/>
      <c r="Z1063" s="85"/>
      <c r="AA1063" s="85"/>
      <c r="AB1063" s="85"/>
      <c r="AC1063" s="85"/>
      <c r="AD1063" s="84"/>
      <c r="AE1063" s="84"/>
      <c r="AF1063" s="84"/>
      <c r="DB1063" s="85"/>
    </row>
    <row r="1064" spans="2:106">
      <c r="B1064" s="85"/>
      <c r="C1064" s="85"/>
      <c r="D1064" s="85"/>
      <c r="E1064" s="85"/>
      <c r="F1064" s="85"/>
      <c r="G1064" s="85"/>
      <c r="H1064" s="85"/>
      <c r="I1064" s="85"/>
      <c r="J1064" s="85"/>
      <c r="K1064" s="85"/>
      <c r="L1064" s="85"/>
      <c r="M1064" s="85"/>
      <c r="N1064" s="85"/>
      <c r="O1064" s="85"/>
      <c r="P1064" s="85"/>
      <c r="Q1064" s="85"/>
      <c r="R1064" s="85"/>
      <c r="S1064" s="85"/>
      <c r="T1064" s="85"/>
      <c r="U1064" s="85"/>
      <c r="V1064" s="85"/>
      <c r="W1064" s="85"/>
      <c r="X1064" s="85"/>
      <c r="Y1064" s="85"/>
      <c r="Z1064" s="85"/>
      <c r="AA1064" s="85"/>
      <c r="AB1064" s="85"/>
      <c r="AC1064" s="85"/>
      <c r="AD1064" s="84"/>
      <c r="AE1064" s="84"/>
      <c r="AF1064" s="84"/>
      <c r="DB1064" s="85"/>
    </row>
    <row r="1065" spans="2:106">
      <c r="B1065" s="85"/>
      <c r="C1065" s="85"/>
      <c r="D1065" s="85"/>
      <c r="E1065" s="85"/>
      <c r="F1065" s="85"/>
      <c r="G1065" s="85"/>
      <c r="H1065" s="85"/>
      <c r="I1065" s="85"/>
      <c r="J1065" s="85"/>
      <c r="K1065" s="85"/>
      <c r="L1065" s="85"/>
      <c r="M1065" s="85"/>
      <c r="N1065" s="85"/>
      <c r="O1065" s="85"/>
      <c r="P1065" s="85"/>
      <c r="Q1065" s="85"/>
      <c r="R1065" s="85"/>
      <c r="S1065" s="85"/>
      <c r="T1065" s="85"/>
      <c r="U1065" s="85"/>
      <c r="V1065" s="85"/>
      <c r="W1065" s="85"/>
      <c r="X1065" s="85"/>
      <c r="Y1065" s="85"/>
      <c r="Z1065" s="85"/>
      <c r="AA1065" s="85"/>
      <c r="AB1065" s="85"/>
      <c r="AC1065" s="85"/>
      <c r="AD1065" s="84"/>
      <c r="AE1065" s="84"/>
      <c r="AF1065" s="84"/>
      <c r="DB1065" s="85"/>
    </row>
    <row r="1066" spans="2:106">
      <c r="B1066" s="85"/>
      <c r="C1066" s="85"/>
      <c r="D1066" s="85"/>
      <c r="E1066" s="85"/>
      <c r="F1066" s="85"/>
      <c r="G1066" s="85"/>
      <c r="H1066" s="85"/>
      <c r="I1066" s="85"/>
      <c r="J1066" s="85"/>
      <c r="K1066" s="85"/>
      <c r="L1066" s="85"/>
      <c r="M1066" s="85"/>
      <c r="N1066" s="85"/>
      <c r="O1066" s="85"/>
      <c r="P1066" s="85"/>
      <c r="Q1066" s="85"/>
      <c r="R1066" s="85"/>
      <c r="S1066" s="85"/>
      <c r="T1066" s="85"/>
      <c r="U1066" s="85"/>
      <c r="V1066" s="85"/>
      <c r="W1066" s="85"/>
      <c r="X1066" s="85"/>
      <c r="Y1066" s="85"/>
      <c r="Z1066" s="85"/>
      <c r="AA1066" s="85"/>
      <c r="AB1066" s="85"/>
      <c r="AC1066" s="85"/>
      <c r="AD1066" s="84"/>
      <c r="AE1066" s="84"/>
      <c r="AF1066" s="84"/>
      <c r="DB1066" s="85"/>
    </row>
    <row r="1067" spans="2:106">
      <c r="B1067" s="85"/>
      <c r="C1067" s="85"/>
      <c r="D1067" s="85"/>
      <c r="E1067" s="85"/>
      <c r="F1067" s="85"/>
      <c r="G1067" s="85"/>
      <c r="H1067" s="85"/>
      <c r="I1067" s="85"/>
      <c r="J1067" s="85"/>
      <c r="K1067" s="85"/>
      <c r="L1067" s="85"/>
      <c r="M1067" s="85"/>
      <c r="N1067" s="85"/>
      <c r="O1067" s="85"/>
      <c r="P1067" s="85"/>
      <c r="Q1067" s="85"/>
      <c r="R1067" s="85"/>
      <c r="S1067" s="85"/>
      <c r="T1067" s="85"/>
      <c r="U1067" s="85"/>
      <c r="V1067" s="85"/>
      <c r="W1067" s="85"/>
      <c r="X1067" s="85"/>
      <c r="Y1067" s="85"/>
      <c r="Z1067" s="85"/>
      <c r="AA1067" s="85"/>
      <c r="AB1067" s="85"/>
      <c r="AC1067" s="85"/>
      <c r="AD1067" s="84"/>
      <c r="AE1067" s="84"/>
      <c r="AF1067" s="84"/>
      <c r="DB1067" s="85"/>
    </row>
    <row r="1068" spans="2:106">
      <c r="B1068" s="85"/>
      <c r="C1068" s="85"/>
      <c r="D1068" s="85"/>
      <c r="E1068" s="85"/>
      <c r="F1068" s="85"/>
      <c r="G1068" s="85"/>
      <c r="H1068" s="85"/>
      <c r="I1068" s="85"/>
      <c r="J1068" s="85"/>
      <c r="K1068" s="85"/>
      <c r="L1068" s="85"/>
      <c r="M1068" s="85"/>
      <c r="N1068" s="85"/>
      <c r="O1068" s="85"/>
      <c r="P1068" s="85"/>
      <c r="Q1068" s="85"/>
      <c r="R1068" s="85"/>
      <c r="S1068" s="85"/>
      <c r="T1068" s="85"/>
      <c r="U1068" s="85"/>
      <c r="V1068" s="85"/>
      <c r="W1068" s="85"/>
      <c r="X1068" s="85"/>
      <c r="Y1068" s="85"/>
      <c r="Z1068" s="85"/>
      <c r="AA1068" s="85"/>
      <c r="AB1068" s="85"/>
      <c r="AC1068" s="85"/>
      <c r="AD1068" s="84"/>
      <c r="AE1068" s="84"/>
      <c r="AF1068" s="84"/>
      <c r="DB1068" s="85"/>
    </row>
    <row r="1069" spans="2:106">
      <c r="B1069" s="85"/>
      <c r="C1069" s="85"/>
      <c r="D1069" s="85"/>
      <c r="E1069" s="85"/>
      <c r="F1069" s="85"/>
      <c r="G1069" s="85"/>
      <c r="H1069" s="85"/>
      <c r="I1069" s="85"/>
      <c r="J1069" s="85"/>
      <c r="K1069" s="85"/>
      <c r="L1069" s="85"/>
      <c r="M1069" s="85"/>
      <c r="N1069" s="85"/>
      <c r="O1069" s="85"/>
      <c r="P1069" s="85"/>
      <c r="Q1069" s="85"/>
      <c r="R1069" s="85"/>
      <c r="S1069" s="85"/>
      <c r="T1069" s="85"/>
      <c r="U1069" s="85"/>
      <c r="V1069" s="85"/>
      <c r="W1069" s="85"/>
      <c r="X1069" s="85"/>
      <c r="Y1069" s="85"/>
      <c r="Z1069" s="85"/>
      <c r="AA1069" s="85"/>
      <c r="AB1069" s="85"/>
      <c r="AC1069" s="85"/>
      <c r="AD1069" s="84"/>
      <c r="AE1069" s="84"/>
      <c r="AF1069" s="84"/>
      <c r="DB1069" s="85"/>
    </row>
    <row r="1070" spans="2:106">
      <c r="B1070" s="85"/>
      <c r="C1070" s="85"/>
      <c r="D1070" s="85"/>
      <c r="E1070" s="85"/>
      <c r="F1070" s="85"/>
      <c r="G1070" s="85"/>
      <c r="H1070" s="85"/>
      <c r="I1070" s="85"/>
      <c r="J1070" s="85"/>
      <c r="K1070" s="85"/>
      <c r="L1070" s="85"/>
      <c r="M1070" s="85"/>
      <c r="N1070" s="85"/>
      <c r="O1070" s="85"/>
      <c r="P1070" s="85"/>
      <c r="Q1070" s="85"/>
      <c r="R1070" s="85"/>
      <c r="S1070" s="85"/>
      <c r="T1070" s="85"/>
      <c r="U1070" s="85"/>
      <c r="V1070" s="85"/>
      <c r="W1070" s="85"/>
      <c r="X1070" s="85"/>
      <c r="Y1070" s="85"/>
      <c r="Z1070" s="85"/>
      <c r="AA1070" s="85"/>
      <c r="AB1070" s="85"/>
      <c r="AC1070" s="85"/>
      <c r="AD1070" s="84"/>
      <c r="AE1070" s="84"/>
      <c r="AF1070" s="84"/>
      <c r="DB1070" s="85"/>
    </row>
    <row r="1071" spans="2:106">
      <c r="B1071" s="85"/>
      <c r="C1071" s="85"/>
      <c r="D1071" s="85"/>
      <c r="E1071" s="85"/>
      <c r="F1071" s="85"/>
      <c r="G1071" s="85"/>
      <c r="H1071" s="85"/>
      <c r="I1071" s="85"/>
      <c r="J1071" s="85"/>
      <c r="K1071" s="85"/>
      <c r="L1071" s="85"/>
      <c r="M1071" s="85"/>
      <c r="N1071" s="85"/>
      <c r="O1071" s="85"/>
      <c r="P1071" s="85"/>
      <c r="Q1071" s="85"/>
      <c r="R1071" s="85"/>
      <c r="S1071" s="85"/>
      <c r="T1071" s="85"/>
      <c r="U1071" s="85"/>
      <c r="V1071" s="85"/>
      <c r="W1071" s="85"/>
      <c r="X1071" s="85"/>
      <c r="Y1071" s="85"/>
      <c r="Z1071" s="85"/>
      <c r="AA1071" s="85"/>
      <c r="AB1071" s="85"/>
      <c r="AC1071" s="85"/>
      <c r="AD1071" s="84"/>
      <c r="AE1071" s="84"/>
      <c r="AF1071" s="84"/>
      <c r="DB1071" s="85"/>
    </row>
    <row r="1072" spans="2:106">
      <c r="B1072" s="85"/>
      <c r="C1072" s="85"/>
      <c r="D1072" s="85"/>
      <c r="E1072" s="85"/>
      <c r="F1072" s="85"/>
      <c r="G1072" s="85"/>
      <c r="H1072" s="85"/>
      <c r="I1072" s="85"/>
      <c r="J1072" s="85"/>
      <c r="K1072" s="85"/>
      <c r="L1072" s="85"/>
      <c r="M1072" s="85"/>
      <c r="N1072" s="85"/>
      <c r="O1072" s="85"/>
      <c r="P1072" s="85"/>
      <c r="Q1072" s="85"/>
      <c r="R1072" s="85"/>
      <c r="S1072" s="85"/>
      <c r="T1072" s="85"/>
      <c r="U1072" s="85"/>
      <c r="V1072" s="85"/>
      <c r="W1072" s="85"/>
      <c r="X1072" s="85"/>
      <c r="Y1072" s="85"/>
      <c r="Z1072" s="85"/>
      <c r="AA1072" s="85"/>
      <c r="AB1072" s="85"/>
      <c r="AC1072" s="85"/>
      <c r="AD1072" s="84"/>
      <c r="AE1072" s="84"/>
      <c r="AF1072" s="84"/>
      <c r="DB1072" s="85"/>
    </row>
    <row r="1073" spans="2:106">
      <c r="B1073" s="85"/>
      <c r="C1073" s="85"/>
      <c r="D1073" s="85"/>
      <c r="E1073" s="85"/>
      <c r="F1073" s="85"/>
      <c r="G1073" s="85"/>
      <c r="H1073" s="85"/>
      <c r="I1073" s="85"/>
      <c r="J1073" s="85"/>
      <c r="K1073" s="85"/>
      <c r="L1073" s="85"/>
      <c r="M1073" s="85"/>
      <c r="N1073" s="85"/>
      <c r="O1073" s="85"/>
      <c r="P1073" s="85"/>
      <c r="Q1073" s="85"/>
      <c r="R1073" s="85"/>
      <c r="S1073" s="85"/>
      <c r="T1073" s="85"/>
      <c r="U1073" s="85"/>
      <c r="V1073" s="85"/>
      <c r="W1073" s="85"/>
      <c r="X1073" s="85"/>
      <c r="Y1073" s="85"/>
      <c r="Z1073" s="85"/>
      <c r="AA1073" s="85"/>
      <c r="AB1073" s="85"/>
      <c r="AC1073" s="85"/>
      <c r="AD1073" s="84"/>
      <c r="AE1073" s="84"/>
      <c r="AF1073" s="84"/>
      <c r="DB1073" s="85"/>
    </row>
    <row r="1074" spans="2:106">
      <c r="B1074" s="85"/>
      <c r="C1074" s="85"/>
      <c r="D1074" s="85"/>
      <c r="E1074" s="85"/>
      <c r="F1074" s="85"/>
      <c r="G1074" s="85"/>
      <c r="H1074" s="85"/>
      <c r="I1074" s="85"/>
      <c r="J1074" s="85"/>
      <c r="K1074" s="85"/>
      <c r="L1074" s="85"/>
      <c r="M1074" s="85"/>
      <c r="N1074" s="85"/>
      <c r="O1074" s="85"/>
      <c r="P1074" s="85"/>
      <c r="Q1074" s="85"/>
      <c r="R1074" s="85"/>
      <c r="S1074" s="85"/>
      <c r="T1074" s="85"/>
      <c r="U1074" s="85"/>
      <c r="V1074" s="85"/>
      <c r="W1074" s="85"/>
      <c r="X1074" s="85"/>
      <c r="Y1074" s="85"/>
      <c r="Z1074" s="85"/>
      <c r="AA1074" s="85"/>
      <c r="AB1074" s="85"/>
      <c r="AC1074" s="85"/>
      <c r="AD1074" s="84"/>
      <c r="AE1074" s="84"/>
      <c r="AF1074" s="84"/>
      <c r="DB1074" s="85"/>
    </row>
    <row r="1075" spans="2:106">
      <c r="B1075" s="85"/>
      <c r="C1075" s="85"/>
      <c r="D1075" s="85"/>
      <c r="E1075" s="85"/>
      <c r="F1075" s="85"/>
      <c r="G1075" s="85"/>
      <c r="H1075" s="85"/>
      <c r="I1075" s="85"/>
      <c r="J1075" s="85"/>
      <c r="K1075" s="85"/>
      <c r="L1075" s="85"/>
      <c r="M1075" s="85"/>
      <c r="N1075" s="85"/>
      <c r="O1075" s="85"/>
      <c r="P1075" s="85"/>
      <c r="Q1075" s="85"/>
      <c r="R1075" s="85"/>
      <c r="S1075" s="85"/>
      <c r="T1075" s="85"/>
      <c r="U1075" s="85"/>
      <c r="V1075" s="85"/>
      <c r="W1075" s="85"/>
      <c r="X1075" s="85"/>
      <c r="Y1075" s="85"/>
      <c r="Z1075" s="85"/>
      <c r="AA1075" s="85"/>
      <c r="AB1075" s="85"/>
      <c r="AC1075" s="85"/>
      <c r="AD1075" s="84"/>
      <c r="AE1075" s="84"/>
      <c r="AF1075" s="84"/>
      <c r="DB1075" s="85"/>
    </row>
    <row r="1076" spans="2:106">
      <c r="B1076" s="85"/>
      <c r="C1076" s="85"/>
      <c r="D1076" s="85"/>
      <c r="E1076" s="85"/>
      <c r="F1076" s="85"/>
      <c r="G1076" s="85"/>
      <c r="H1076" s="85"/>
      <c r="I1076" s="85"/>
      <c r="J1076" s="85"/>
      <c r="K1076" s="85"/>
      <c r="L1076" s="85"/>
      <c r="M1076" s="85"/>
      <c r="N1076" s="85"/>
      <c r="O1076" s="85"/>
      <c r="P1076" s="85"/>
      <c r="Q1076" s="85"/>
      <c r="R1076" s="85"/>
      <c r="S1076" s="85"/>
      <c r="T1076" s="85"/>
      <c r="U1076" s="85"/>
      <c r="V1076" s="85"/>
      <c r="W1076" s="85"/>
      <c r="X1076" s="85"/>
      <c r="Y1076" s="85"/>
      <c r="Z1076" s="85"/>
      <c r="AA1076" s="85"/>
      <c r="AB1076" s="85"/>
      <c r="AC1076" s="85"/>
      <c r="AD1076" s="84"/>
      <c r="AE1076" s="84"/>
      <c r="AF1076" s="84"/>
      <c r="DB1076" s="85"/>
    </row>
    <row r="1077" spans="2:106">
      <c r="B1077" s="85"/>
      <c r="C1077" s="85"/>
      <c r="D1077" s="85"/>
      <c r="E1077" s="85"/>
      <c r="F1077" s="85"/>
      <c r="G1077" s="85"/>
      <c r="H1077" s="85"/>
      <c r="I1077" s="85"/>
      <c r="J1077" s="85"/>
      <c r="K1077" s="85"/>
      <c r="L1077" s="85"/>
      <c r="M1077" s="85"/>
      <c r="N1077" s="85"/>
      <c r="O1077" s="85"/>
      <c r="P1077" s="85"/>
      <c r="Q1077" s="85"/>
      <c r="R1077" s="85"/>
      <c r="S1077" s="85"/>
      <c r="T1077" s="85"/>
      <c r="U1077" s="85"/>
      <c r="V1077" s="85"/>
      <c r="W1077" s="85"/>
      <c r="X1077" s="85"/>
      <c r="Y1077" s="85"/>
      <c r="Z1077" s="85"/>
      <c r="AA1077" s="85"/>
      <c r="AB1077" s="85"/>
      <c r="AC1077" s="85"/>
      <c r="AD1077" s="84"/>
      <c r="AE1077" s="84"/>
      <c r="AF1077" s="84"/>
      <c r="DB1077" s="85"/>
    </row>
    <row r="1078" spans="2:106">
      <c r="B1078" s="85"/>
      <c r="C1078" s="85"/>
      <c r="D1078" s="85"/>
      <c r="E1078" s="85"/>
      <c r="F1078" s="85"/>
      <c r="G1078" s="85"/>
      <c r="H1078" s="85"/>
      <c r="I1078" s="85"/>
      <c r="J1078" s="85"/>
      <c r="K1078" s="85"/>
      <c r="L1078" s="85"/>
      <c r="M1078" s="85"/>
      <c r="N1078" s="85"/>
      <c r="O1078" s="85"/>
      <c r="P1078" s="85"/>
      <c r="Q1078" s="85"/>
      <c r="R1078" s="85"/>
      <c r="S1078" s="85"/>
      <c r="T1078" s="85"/>
      <c r="U1078" s="85"/>
      <c r="V1078" s="85"/>
      <c r="W1078" s="85"/>
      <c r="X1078" s="85"/>
      <c r="Y1078" s="85"/>
      <c r="Z1078" s="85"/>
      <c r="AA1078" s="85"/>
      <c r="AB1078" s="85"/>
      <c r="AC1078" s="85"/>
      <c r="AD1078" s="84"/>
      <c r="AE1078" s="84"/>
      <c r="AF1078" s="84"/>
      <c r="DB1078" s="85"/>
    </row>
    <row r="1079" spans="2:106">
      <c r="B1079" s="85"/>
      <c r="C1079" s="85"/>
      <c r="D1079" s="85"/>
      <c r="E1079" s="85"/>
      <c r="F1079" s="85"/>
      <c r="G1079" s="85"/>
      <c r="H1079" s="85"/>
      <c r="I1079" s="85"/>
      <c r="J1079" s="85"/>
      <c r="K1079" s="85"/>
      <c r="L1079" s="85"/>
      <c r="M1079" s="85"/>
      <c r="N1079" s="85"/>
      <c r="O1079" s="85"/>
      <c r="P1079" s="85"/>
      <c r="Q1079" s="85"/>
      <c r="R1079" s="85"/>
      <c r="S1079" s="85"/>
      <c r="T1079" s="85"/>
      <c r="U1079" s="85"/>
      <c r="V1079" s="85"/>
      <c r="W1079" s="85"/>
      <c r="X1079" s="85"/>
      <c r="Y1079" s="85"/>
      <c r="Z1079" s="85"/>
      <c r="AA1079" s="85"/>
      <c r="AB1079" s="85"/>
      <c r="AC1079" s="85"/>
      <c r="AD1079" s="84"/>
      <c r="AE1079" s="84"/>
      <c r="AF1079" s="84"/>
      <c r="DB1079" s="85"/>
    </row>
    <row r="1080" spans="2:106">
      <c r="B1080" s="85"/>
      <c r="C1080" s="85"/>
      <c r="D1080" s="85"/>
      <c r="E1080" s="85"/>
      <c r="F1080" s="85"/>
      <c r="G1080" s="85"/>
      <c r="H1080" s="85"/>
      <c r="I1080" s="85"/>
      <c r="J1080" s="85"/>
      <c r="K1080" s="85"/>
      <c r="L1080" s="85"/>
      <c r="M1080" s="85"/>
      <c r="N1080" s="85"/>
      <c r="O1080" s="85"/>
      <c r="P1080" s="85"/>
      <c r="Q1080" s="85"/>
      <c r="R1080" s="85"/>
      <c r="S1080" s="85"/>
      <c r="T1080" s="85"/>
      <c r="U1080" s="85"/>
      <c r="V1080" s="85"/>
      <c r="W1080" s="85"/>
      <c r="X1080" s="85"/>
      <c r="Y1080" s="85"/>
      <c r="Z1080" s="85"/>
      <c r="AA1080" s="85"/>
      <c r="AB1080" s="85"/>
      <c r="AC1080" s="85"/>
      <c r="AD1080" s="84"/>
      <c r="AE1080" s="84"/>
      <c r="AF1080" s="84"/>
      <c r="DB1080" s="85"/>
    </row>
    <row r="1081" spans="2:106">
      <c r="B1081" s="85"/>
      <c r="C1081" s="85"/>
      <c r="D1081" s="85"/>
      <c r="E1081" s="85"/>
      <c r="F1081" s="85"/>
      <c r="G1081" s="85"/>
      <c r="H1081" s="85"/>
      <c r="I1081" s="85"/>
      <c r="J1081" s="85"/>
      <c r="K1081" s="85"/>
      <c r="L1081" s="85"/>
      <c r="M1081" s="85"/>
      <c r="N1081" s="85"/>
      <c r="O1081" s="85"/>
      <c r="P1081" s="85"/>
      <c r="Q1081" s="85"/>
      <c r="R1081" s="85"/>
      <c r="S1081" s="85"/>
      <c r="T1081" s="85"/>
      <c r="U1081" s="85"/>
      <c r="V1081" s="85"/>
      <c r="W1081" s="85"/>
      <c r="X1081" s="85"/>
      <c r="Y1081" s="85"/>
      <c r="Z1081" s="85"/>
      <c r="AA1081" s="85"/>
      <c r="AB1081" s="85"/>
      <c r="AC1081" s="85"/>
      <c r="AD1081" s="84"/>
      <c r="AE1081" s="84"/>
      <c r="AF1081" s="84"/>
      <c r="DB1081" s="85"/>
    </row>
    <row r="1082" spans="2:106">
      <c r="B1082" s="85"/>
      <c r="C1082" s="85"/>
      <c r="D1082" s="85"/>
      <c r="E1082" s="85"/>
      <c r="F1082" s="85"/>
      <c r="G1082" s="85"/>
      <c r="H1082" s="85"/>
      <c r="I1082" s="85"/>
      <c r="J1082" s="85"/>
      <c r="K1082" s="85"/>
      <c r="L1082" s="85"/>
      <c r="M1082" s="85"/>
      <c r="N1082" s="85"/>
      <c r="O1082" s="85"/>
      <c r="P1082" s="85"/>
      <c r="Q1082" s="85"/>
      <c r="R1082" s="85"/>
      <c r="S1082" s="85"/>
      <c r="T1082" s="85"/>
      <c r="U1082" s="85"/>
      <c r="V1082" s="85"/>
      <c r="W1082" s="85"/>
      <c r="X1082" s="85"/>
      <c r="Y1082" s="85"/>
      <c r="Z1082" s="85"/>
      <c r="AA1082" s="85"/>
      <c r="AB1082" s="85"/>
      <c r="AC1082" s="85"/>
      <c r="AD1082" s="84"/>
      <c r="AE1082" s="84"/>
      <c r="AF1082" s="84"/>
      <c r="DB1082" s="85"/>
    </row>
    <row r="1083" spans="2:106">
      <c r="B1083" s="85"/>
      <c r="C1083" s="85"/>
      <c r="D1083" s="85"/>
      <c r="E1083" s="85"/>
      <c r="F1083" s="85"/>
      <c r="G1083" s="85"/>
      <c r="H1083" s="85"/>
      <c r="I1083" s="85"/>
      <c r="J1083" s="85"/>
      <c r="K1083" s="85"/>
      <c r="L1083" s="85"/>
      <c r="M1083" s="85"/>
      <c r="N1083" s="85"/>
      <c r="O1083" s="85"/>
      <c r="P1083" s="85"/>
      <c r="Q1083" s="85"/>
      <c r="R1083" s="85"/>
      <c r="S1083" s="85"/>
      <c r="T1083" s="85"/>
      <c r="U1083" s="85"/>
      <c r="V1083" s="85"/>
      <c r="W1083" s="85"/>
      <c r="X1083" s="85"/>
      <c r="Y1083" s="85"/>
      <c r="Z1083" s="85"/>
      <c r="AA1083" s="85"/>
      <c r="AB1083" s="85"/>
      <c r="AC1083" s="85"/>
      <c r="AD1083" s="84"/>
      <c r="AE1083" s="84"/>
      <c r="AF1083" s="84"/>
      <c r="DB1083" s="85"/>
    </row>
    <row r="1084" spans="2:106">
      <c r="B1084" s="85"/>
      <c r="C1084" s="85"/>
      <c r="D1084" s="85"/>
      <c r="E1084" s="85"/>
      <c r="F1084" s="85"/>
      <c r="G1084" s="85"/>
      <c r="H1084" s="85"/>
      <c r="I1084" s="85"/>
      <c r="J1084" s="85"/>
      <c r="K1084" s="85"/>
      <c r="L1084" s="85"/>
      <c r="M1084" s="85"/>
      <c r="N1084" s="85"/>
      <c r="O1084" s="85"/>
      <c r="P1084" s="85"/>
      <c r="Q1084" s="85"/>
      <c r="R1084" s="85"/>
      <c r="S1084" s="85"/>
      <c r="T1084" s="85"/>
      <c r="U1084" s="85"/>
      <c r="V1084" s="85"/>
      <c r="W1084" s="85"/>
      <c r="X1084" s="85"/>
      <c r="Y1084" s="85"/>
      <c r="Z1084" s="85"/>
      <c r="AA1084" s="85"/>
      <c r="AB1084" s="85"/>
      <c r="AC1084" s="85"/>
      <c r="AD1084" s="84"/>
      <c r="AE1084" s="84"/>
      <c r="AF1084" s="84"/>
      <c r="DB1084" s="85"/>
    </row>
    <row r="1085" spans="2:106">
      <c r="B1085" s="85"/>
      <c r="C1085" s="85"/>
      <c r="D1085" s="85"/>
      <c r="E1085" s="85"/>
      <c r="F1085" s="85"/>
      <c r="G1085" s="85"/>
      <c r="H1085" s="85"/>
      <c r="I1085" s="85"/>
      <c r="J1085" s="85"/>
      <c r="K1085" s="85"/>
      <c r="L1085" s="85"/>
      <c r="M1085" s="85"/>
      <c r="N1085" s="85"/>
      <c r="O1085" s="85"/>
      <c r="P1085" s="85"/>
      <c r="Q1085" s="85"/>
      <c r="R1085" s="85"/>
      <c r="S1085" s="85"/>
      <c r="T1085" s="85"/>
      <c r="U1085" s="85"/>
      <c r="V1085" s="85"/>
      <c r="W1085" s="85"/>
      <c r="X1085" s="85"/>
      <c r="Y1085" s="85"/>
      <c r="Z1085" s="85"/>
      <c r="AA1085" s="85"/>
      <c r="AB1085" s="85"/>
      <c r="AC1085" s="85"/>
      <c r="AD1085" s="84"/>
      <c r="AE1085" s="84"/>
      <c r="AF1085" s="84"/>
      <c r="DB1085" s="85"/>
    </row>
    <row r="1086" spans="2:106">
      <c r="B1086" s="85"/>
      <c r="C1086" s="85"/>
      <c r="D1086" s="85"/>
      <c r="E1086" s="85"/>
      <c r="F1086" s="85"/>
      <c r="G1086" s="85"/>
      <c r="H1086" s="85"/>
      <c r="I1086" s="85"/>
      <c r="J1086" s="85"/>
      <c r="K1086" s="85"/>
      <c r="L1086" s="85"/>
      <c r="M1086" s="85"/>
      <c r="N1086" s="85"/>
      <c r="O1086" s="85"/>
      <c r="P1086" s="85"/>
      <c r="Q1086" s="85"/>
      <c r="R1086" s="85"/>
      <c r="S1086" s="85"/>
      <c r="T1086" s="85"/>
      <c r="U1086" s="85"/>
      <c r="V1086" s="85"/>
      <c r="W1086" s="85"/>
      <c r="X1086" s="85"/>
      <c r="Y1086" s="85"/>
      <c r="Z1086" s="85"/>
      <c r="AA1086" s="85"/>
      <c r="AB1086" s="85"/>
      <c r="AC1086" s="85"/>
      <c r="AD1086" s="84"/>
      <c r="AE1086" s="84"/>
      <c r="AF1086" s="84"/>
      <c r="DB1086" s="85"/>
    </row>
    <row r="1087" spans="2:106">
      <c r="B1087" s="85"/>
      <c r="C1087" s="85"/>
      <c r="D1087" s="85"/>
      <c r="E1087" s="85"/>
      <c r="F1087" s="85"/>
      <c r="G1087" s="85"/>
      <c r="H1087" s="85"/>
      <c r="I1087" s="85"/>
      <c r="J1087" s="85"/>
      <c r="K1087" s="85"/>
      <c r="L1087" s="85"/>
      <c r="M1087" s="85"/>
      <c r="N1087" s="85"/>
      <c r="O1087" s="85"/>
      <c r="P1087" s="85"/>
      <c r="Q1087" s="85"/>
      <c r="R1087" s="85"/>
      <c r="S1087" s="85"/>
      <c r="T1087" s="85"/>
      <c r="U1087" s="85"/>
      <c r="V1087" s="85"/>
      <c r="W1087" s="85"/>
      <c r="X1087" s="85"/>
      <c r="Y1087" s="85"/>
      <c r="Z1087" s="85"/>
      <c r="AA1087" s="85"/>
      <c r="AB1087" s="85"/>
      <c r="AC1087" s="85"/>
      <c r="AD1087" s="84"/>
      <c r="AE1087" s="84"/>
      <c r="AF1087" s="84"/>
      <c r="DB1087" s="85"/>
    </row>
    <row r="1088" spans="2:106">
      <c r="B1088" s="85"/>
      <c r="C1088" s="85"/>
      <c r="D1088" s="85"/>
      <c r="E1088" s="85"/>
      <c r="F1088" s="85"/>
      <c r="G1088" s="85"/>
      <c r="H1088" s="85"/>
      <c r="I1088" s="85"/>
      <c r="J1088" s="85"/>
      <c r="K1088" s="85"/>
      <c r="L1088" s="85"/>
      <c r="M1088" s="85"/>
      <c r="N1088" s="85"/>
      <c r="O1088" s="85"/>
      <c r="P1088" s="85"/>
      <c r="Q1088" s="85"/>
      <c r="R1088" s="85"/>
      <c r="S1088" s="85"/>
      <c r="T1088" s="85"/>
      <c r="U1088" s="85"/>
      <c r="V1088" s="85"/>
      <c r="W1088" s="85"/>
      <c r="X1088" s="85"/>
      <c r="Y1088" s="85"/>
      <c r="Z1088" s="85"/>
      <c r="AA1088" s="85"/>
      <c r="AB1088" s="85"/>
      <c r="AC1088" s="85"/>
      <c r="AD1088" s="84"/>
      <c r="AE1088" s="84"/>
      <c r="AF1088" s="84"/>
      <c r="DB1088" s="85"/>
    </row>
    <row r="1089" spans="2:106">
      <c r="B1089" s="85"/>
      <c r="C1089" s="85"/>
      <c r="D1089" s="85"/>
      <c r="E1089" s="85"/>
      <c r="F1089" s="85"/>
      <c r="G1089" s="85"/>
      <c r="H1089" s="85"/>
      <c r="I1089" s="85"/>
      <c r="J1089" s="85"/>
      <c r="K1089" s="85"/>
      <c r="L1089" s="85"/>
      <c r="M1089" s="85"/>
      <c r="N1089" s="85"/>
      <c r="O1089" s="85"/>
      <c r="P1089" s="85"/>
      <c r="Q1089" s="85"/>
      <c r="R1089" s="85"/>
      <c r="S1089" s="85"/>
      <c r="T1089" s="85"/>
      <c r="U1089" s="85"/>
      <c r="V1089" s="85"/>
      <c r="W1089" s="85"/>
      <c r="X1089" s="85"/>
      <c r="Y1089" s="85"/>
      <c r="Z1089" s="85"/>
      <c r="AA1089" s="85"/>
      <c r="AB1089" s="85"/>
      <c r="AC1089" s="85"/>
      <c r="AD1089" s="84"/>
      <c r="AE1089" s="84"/>
      <c r="AF1089" s="84"/>
      <c r="DB1089" s="85"/>
    </row>
    <row r="1090" spans="2:106">
      <c r="B1090" s="85"/>
      <c r="C1090" s="85"/>
      <c r="D1090" s="85"/>
      <c r="E1090" s="85"/>
      <c r="F1090" s="85"/>
      <c r="G1090" s="85"/>
      <c r="H1090" s="85"/>
      <c r="I1090" s="85"/>
      <c r="J1090" s="85"/>
      <c r="K1090" s="85"/>
      <c r="L1090" s="85"/>
      <c r="M1090" s="85"/>
      <c r="N1090" s="85"/>
      <c r="O1090" s="85"/>
      <c r="P1090" s="85"/>
      <c r="Q1090" s="85"/>
      <c r="R1090" s="85"/>
      <c r="S1090" s="85"/>
      <c r="T1090" s="85"/>
      <c r="U1090" s="85"/>
      <c r="V1090" s="85"/>
      <c r="W1090" s="85"/>
      <c r="X1090" s="85"/>
      <c r="Y1090" s="85"/>
      <c r="Z1090" s="85"/>
      <c r="AA1090" s="85"/>
      <c r="AB1090" s="85"/>
      <c r="AC1090" s="85"/>
      <c r="AD1090" s="84"/>
      <c r="AE1090" s="84"/>
      <c r="AF1090" s="84"/>
      <c r="DB1090" s="85"/>
    </row>
    <row r="1091" spans="2:106">
      <c r="B1091" s="85"/>
      <c r="C1091" s="85"/>
      <c r="D1091" s="85"/>
      <c r="E1091" s="85"/>
      <c r="F1091" s="85"/>
      <c r="G1091" s="85"/>
      <c r="H1091" s="85"/>
      <c r="I1091" s="85"/>
      <c r="J1091" s="85"/>
      <c r="K1091" s="85"/>
      <c r="L1091" s="85"/>
      <c r="M1091" s="85"/>
      <c r="N1091" s="85"/>
      <c r="O1091" s="85"/>
      <c r="P1091" s="85"/>
      <c r="Q1091" s="85"/>
      <c r="R1091" s="85"/>
      <c r="S1091" s="85"/>
      <c r="T1091" s="85"/>
      <c r="U1091" s="85"/>
      <c r="V1091" s="85"/>
      <c r="W1091" s="85"/>
      <c r="X1091" s="85"/>
      <c r="Y1091" s="85"/>
      <c r="Z1091" s="85"/>
      <c r="AA1091" s="85"/>
      <c r="AB1091" s="85"/>
      <c r="AC1091" s="85"/>
      <c r="AD1091" s="84"/>
      <c r="AE1091" s="84"/>
      <c r="AF1091" s="84"/>
      <c r="DB1091" s="85"/>
    </row>
    <row r="1092" spans="2:106">
      <c r="B1092" s="85"/>
      <c r="C1092" s="85"/>
      <c r="D1092" s="85"/>
      <c r="E1092" s="85"/>
      <c r="F1092" s="85"/>
      <c r="G1092" s="85"/>
      <c r="H1092" s="85"/>
      <c r="I1092" s="85"/>
      <c r="J1092" s="85"/>
      <c r="K1092" s="85"/>
      <c r="L1092" s="85"/>
      <c r="M1092" s="85"/>
      <c r="N1092" s="85"/>
      <c r="O1092" s="85"/>
      <c r="P1092" s="85"/>
      <c r="Q1092" s="85"/>
      <c r="R1092" s="85"/>
      <c r="S1092" s="85"/>
      <c r="T1092" s="85"/>
      <c r="U1092" s="85"/>
      <c r="V1092" s="85"/>
      <c r="W1092" s="85"/>
      <c r="X1092" s="85"/>
      <c r="Y1092" s="85"/>
      <c r="Z1092" s="85"/>
      <c r="AA1092" s="85"/>
      <c r="AB1092" s="85"/>
      <c r="AC1092" s="85"/>
      <c r="AD1092" s="84"/>
      <c r="AE1092" s="84"/>
      <c r="AF1092" s="84"/>
      <c r="DB1092" s="85"/>
    </row>
    <row r="1093" spans="2:106">
      <c r="B1093" s="85"/>
      <c r="C1093" s="85"/>
      <c r="D1093" s="85"/>
      <c r="E1093" s="85"/>
      <c r="F1093" s="85"/>
      <c r="G1093" s="85"/>
      <c r="H1093" s="85"/>
      <c r="I1093" s="85"/>
      <c r="J1093" s="85"/>
      <c r="K1093" s="85"/>
      <c r="L1093" s="85"/>
      <c r="M1093" s="85"/>
      <c r="N1093" s="85"/>
      <c r="O1093" s="85"/>
      <c r="P1093" s="85"/>
      <c r="Q1093" s="85"/>
      <c r="R1093" s="85"/>
      <c r="S1093" s="85"/>
      <c r="T1093" s="85"/>
      <c r="U1093" s="85"/>
      <c r="V1093" s="85"/>
      <c r="W1093" s="85"/>
      <c r="X1093" s="85"/>
      <c r="Y1093" s="85"/>
      <c r="Z1093" s="85"/>
      <c r="AA1093" s="85"/>
      <c r="AB1093" s="85"/>
      <c r="AC1093" s="85"/>
      <c r="AD1093" s="84"/>
      <c r="AE1093" s="84"/>
      <c r="AF1093" s="84"/>
      <c r="DB1093" s="85"/>
    </row>
    <row r="1094" spans="2:106">
      <c r="B1094" s="85"/>
      <c r="C1094" s="85"/>
      <c r="D1094" s="85"/>
      <c r="E1094" s="85"/>
      <c r="F1094" s="85"/>
      <c r="G1094" s="85"/>
      <c r="H1094" s="85"/>
      <c r="I1094" s="85"/>
      <c r="J1094" s="85"/>
      <c r="K1094" s="85"/>
      <c r="L1094" s="85"/>
      <c r="M1094" s="85"/>
      <c r="N1094" s="85"/>
      <c r="O1094" s="85"/>
      <c r="P1094" s="85"/>
      <c r="Q1094" s="85"/>
      <c r="R1094" s="85"/>
      <c r="S1094" s="85"/>
      <c r="T1094" s="85"/>
      <c r="U1094" s="85"/>
      <c r="V1094" s="85"/>
      <c r="W1094" s="85"/>
      <c r="X1094" s="85"/>
      <c r="Y1094" s="85"/>
      <c r="Z1094" s="85"/>
      <c r="AA1094" s="85"/>
      <c r="AB1094" s="85"/>
      <c r="AC1094" s="85"/>
      <c r="AD1094" s="84"/>
      <c r="AE1094" s="84"/>
      <c r="AF1094" s="84"/>
      <c r="DB1094" s="85"/>
    </row>
    <row r="1095" spans="2:106">
      <c r="B1095" s="85"/>
      <c r="C1095" s="85"/>
      <c r="D1095" s="85"/>
      <c r="E1095" s="85"/>
      <c r="F1095" s="85"/>
      <c r="G1095" s="85"/>
      <c r="H1095" s="85"/>
      <c r="I1095" s="85"/>
      <c r="J1095" s="85"/>
      <c r="K1095" s="85"/>
      <c r="L1095" s="85"/>
      <c r="M1095" s="85"/>
      <c r="N1095" s="85"/>
      <c r="O1095" s="85"/>
      <c r="P1095" s="85"/>
      <c r="Q1095" s="85"/>
      <c r="R1095" s="85"/>
      <c r="S1095" s="85"/>
      <c r="T1095" s="85"/>
      <c r="U1095" s="85"/>
      <c r="V1095" s="85"/>
      <c r="W1095" s="85"/>
      <c r="X1095" s="85"/>
      <c r="Y1095" s="85"/>
      <c r="Z1095" s="85"/>
      <c r="AA1095" s="85"/>
      <c r="AB1095" s="85"/>
      <c r="AC1095" s="85"/>
      <c r="AD1095" s="84"/>
      <c r="AE1095" s="84"/>
      <c r="AF1095" s="84"/>
      <c r="DB1095" s="85"/>
    </row>
    <row r="1096" spans="2:106">
      <c r="B1096" s="85"/>
      <c r="C1096" s="85"/>
      <c r="D1096" s="85"/>
      <c r="E1096" s="85"/>
      <c r="F1096" s="85"/>
      <c r="G1096" s="85"/>
      <c r="H1096" s="85"/>
      <c r="I1096" s="85"/>
      <c r="J1096" s="85"/>
      <c r="K1096" s="85"/>
      <c r="L1096" s="85"/>
      <c r="M1096" s="85"/>
      <c r="N1096" s="85"/>
      <c r="O1096" s="85"/>
      <c r="P1096" s="85"/>
      <c r="Q1096" s="85"/>
      <c r="R1096" s="85"/>
      <c r="S1096" s="85"/>
      <c r="T1096" s="85"/>
      <c r="U1096" s="85"/>
      <c r="V1096" s="85"/>
      <c r="W1096" s="85"/>
      <c r="X1096" s="85"/>
      <c r="Y1096" s="85"/>
      <c r="Z1096" s="85"/>
      <c r="AA1096" s="85"/>
      <c r="AB1096" s="85"/>
      <c r="AC1096" s="85"/>
      <c r="AD1096" s="84"/>
      <c r="AE1096" s="84"/>
      <c r="AF1096" s="84"/>
      <c r="DB1096" s="85"/>
    </row>
    <row r="1097" spans="2:106">
      <c r="B1097" s="85"/>
      <c r="C1097" s="85"/>
      <c r="D1097" s="85"/>
      <c r="E1097" s="85"/>
      <c r="F1097" s="85"/>
      <c r="G1097" s="85"/>
      <c r="H1097" s="85"/>
      <c r="I1097" s="85"/>
      <c r="J1097" s="85"/>
      <c r="K1097" s="85"/>
      <c r="L1097" s="85"/>
      <c r="M1097" s="85"/>
      <c r="N1097" s="85"/>
      <c r="O1097" s="85"/>
      <c r="P1097" s="85"/>
      <c r="Q1097" s="85"/>
      <c r="R1097" s="85"/>
      <c r="S1097" s="85"/>
      <c r="T1097" s="85"/>
      <c r="U1097" s="85"/>
      <c r="V1097" s="85"/>
      <c r="W1097" s="85"/>
      <c r="X1097" s="85"/>
      <c r="Y1097" s="85"/>
      <c r="Z1097" s="85"/>
      <c r="AA1097" s="85"/>
      <c r="AB1097" s="85"/>
      <c r="AC1097" s="85"/>
      <c r="AD1097" s="84"/>
      <c r="AE1097" s="84"/>
      <c r="AF1097" s="84"/>
      <c r="DB1097" s="85"/>
    </row>
    <row r="1098" spans="2:106">
      <c r="B1098" s="85"/>
      <c r="C1098" s="85"/>
      <c r="D1098" s="85"/>
      <c r="E1098" s="85"/>
      <c r="F1098" s="85"/>
      <c r="G1098" s="85"/>
      <c r="H1098" s="85"/>
      <c r="I1098" s="85"/>
      <c r="J1098" s="85"/>
      <c r="K1098" s="85"/>
      <c r="L1098" s="85"/>
      <c r="M1098" s="85"/>
      <c r="N1098" s="85"/>
      <c r="O1098" s="85"/>
      <c r="P1098" s="85"/>
      <c r="Q1098" s="85"/>
      <c r="R1098" s="85"/>
      <c r="S1098" s="85"/>
      <c r="T1098" s="85"/>
      <c r="U1098" s="85"/>
      <c r="V1098" s="85"/>
      <c r="W1098" s="85"/>
      <c r="X1098" s="85"/>
      <c r="Y1098" s="85"/>
      <c r="Z1098" s="85"/>
      <c r="AA1098" s="85"/>
      <c r="AB1098" s="85"/>
      <c r="AC1098" s="85"/>
      <c r="AD1098" s="84"/>
      <c r="AE1098" s="84"/>
      <c r="AF1098" s="84"/>
      <c r="DB1098" s="85"/>
    </row>
    <row r="1099" spans="2:106">
      <c r="B1099" s="85"/>
      <c r="C1099" s="85"/>
      <c r="D1099" s="85"/>
      <c r="E1099" s="85"/>
      <c r="F1099" s="85"/>
      <c r="G1099" s="85"/>
      <c r="H1099" s="85"/>
      <c r="I1099" s="85"/>
      <c r="J1099" s="85"/>
      <c r="K1099" s="85"/>
      <c r="L1099" s="85"/>
      <c r="M1099" s="85"/>
      <c r="N1099" s="85"/>
      <c r="O1099" s="85"/>
      <c r="P1099" s="85"/>
      <c r="Q1099" s="85"/>
      <c r="R1099" s="85"/>
      <c r="S1099" s="85"/>
      <c r="T1099" s="85"/>
      <c r="U1099" s="85"/>
      <c r="V1099" s="85"/>
      <c r="W1099" s="85"/>
      <c r="X1099" s="85"/>
      <c r="Y1099" s="85"/>
      <c r="Z1099" s="85"/>
      <c r="AA1099" s="85"/>
      <c r="AB1099" s="85"/>
      <c r="AC1099" s="85"/>
      <c r="AD1099" s="84"/>
      <c r="AE1099" s="84"/>
      <c r="AF1099" s="84"/>
      <c r="DB1099" s="85"/>
    </row>
    <row r="1100" spans="2:106">
      <c r="B1100" s="85"/>
      <c r="C1100" s="85"/>
      <c r="D1100" s="85"/>
      <c r="E1100" s="85"/>
      <c r="F1100" s="85"/>
      <c r="G1100" s="85"/>
      <c r="H1100" s="85"/>
      <c r="I1100" s="85"/>
      <c r="J1100" s="85"/>
      <c r="K1100" s="85"/>
      <c r="L1100" s="85"/>
      <c r="M1100" s="85"/>
      <c r="N1100" s="85"/>
      <c r="O1100" s="85"/>
      <c r="P1100" s="85"/>
      <c r="Q1100" s="85"/>
      <c r="R1100" s="85"/>
      <c r="S1100" s="85"/>
      <c r="T1100" s="85"/>
      <c r="U1100" s="85"/>
      <c r="V1100" s="85"/>
      <c r="W1100" s="85"/>
      <c r="X1100" s="85"/>
      <c r="Y1100" s="85"/>
      <c r="Z1100" s="85"/>
      <c r="AA1100" s="85"/>
      <c r="AB1100" s="85"/>
      <c r="AC1100" s="85"/>
      <c r="AD1100" s="84"/>
      <c r="AE1100" s="84"/>
      <c r="AF1100" s="84"/>
      <c r="DB1100" s="85"/>
    </row>
    <row r="1101" spans="2:106">
      <c r="B1101" s="85"/>
      <c r="C1101" s="85"/>
      <c r="D1101" s="85"/>
      <c r="E1101" s="85"/>
      <c r="F1101" s="85"/>
      <c r="G1101" s="85"/>
      <c r="H1101" s="85"/>
      <c r="I1101" s="85"/>
      <c r="J1101" s="85"/>
      <c r="K1101" s="85"/>
      <c r="L1101" s="85"/>
      <c r="M1101" s="85"/>
      <c r="N1101" s="85"/>
      <c r="O1101" s="85"/>
      <c r="P1101" s="85"/>
      <c r="Q1101" s="85"/>
      <c r="R1101" s="85"/>
      <c r="S1101" s="85"/>
      <c r="T1101" s="85"/>
      <c r="U1101" s="85"/>
      <c r="V1101" s="85"/>
      <c r="W1101" s="85"/>
      <c r="X1101" s="85"/>
      <c r="Y1101" s="85"/>
      <c r="Z1101" s="85"/>
      <c r="AA1101" s="85"/>
      <c r="AB1101" s="85"/>
      <c r="AC1101" s="85"/>
      <c r="AD1101" s="84"/>
      <c r="AE1101" s="84"/>
      <c r="AF1101" s="84"/>
      <c r="DB1101" s="85"/>
    </row>
    <row r="1102" spans="2:106">
      <c r="B1102" s="85"/>
      <c r="C1102" s="85"/>
      <c r="D1102" s="85"/>
      <c r="E1102" s="85"/>
      <c r="F1102" s="85"/>
      <c r="G1102" s="85"/>
      <c r="H1102" s="85"/>
      <c r="I1102" s="85"/>
      <c r="J1102" s="85"/>
      <c r="K1102" s="85"/>
      <c r="L1102" s="85"/>
      <c r="M1102" s="85"/>
      <c r="N1102" s="85"/>
      <c r="O1102" s="85"/>
      <c r="P1102" s="85"/>
      <c r="Q1102" s="85"/>
      <c r="R1102" s="85"/>
      <c r="S1102" s="85"/>
      <c r="T1102" s="85"/>
      <c r="U1102" s="85"/>
      <c r="V1102" s="85"/>
      <c r="W1102" s="85"/>
      <c r="X1102" s="85"/>
      <c r="Y1102" s="85"/>
      <c r="Z1102" s="85"/>
      <c r="AA1102" s="85"/>
      <c r="AB1102" s="85"/>
      <c r="AC1102" s="85"/>
      <c r="AD1102" s="84"/>
      <c r="AE1102" s="84"/>
      <c r="AF1102" s="84"/>
      <c r="DB1102" s="85"/>
    </row>
    <row r="1103" spans="2:106">
      <c r="B1103" s="85"/>
      <c r="C1103" s="85"/>
      <c r="D1103" s="85"/>
      <c r="E1103" s="85"/>
      <c r="F1103" s="85"/>
      <c r="G1103" s="85"/>
      <c r="H1103" s="85"/>
      <c r="I1103" s="85"/>
      <c r="J1103" s="85"/>
      <c r="K1103" s="85"/>
      <c r="L1103" s="85"/>
      <c r="M1103" s="85"/>
      <c r="N1103" s="85"/>
      <c r="O1103" s="85"/>
      <c r="P1103" s="85"/>
      <c r="Q1103" s="85"/>
      <c r="R1103" s="85"/>
      <c r="S1103" s="85"/>
      <c r="T1103" s="85"/>
      <c r="U1103" s="85"/>
      <c r="V1103" s="85"/>
      <c r="W1103" s="85"/>
      <c r="X1103" s="85"/>
      <c r="Y1103" s="85"/>
      <c r="Z1103" s="85"/>
      <c r="AA1103" s="85"/>
      <c r="AB1103" s="85"/>
      <c r="AC1103" s="85"/>
      <c r="AD1103" s="84"/>
      <c r="AE1103" s="84"/>
      <c r="AF1103" s="84"/>
      <c r="DB1103" s="85"/>
    </row>
    <row r="1104" spans="2:106">
      <c r="B1104" s="85"/>
      <c r="C1104" s="85"/>
      <c r="D1104" s="85"/>
      <c r="E1104" s="85"/>
      <c r="F1104" s="85"/>
      <c r="G1104" s="85"/>
      <c r="H1104" s="85"/>
      <c r="I1104" s="85"/>
      <c r="J1104" s="85"/>
      <c r="K1104" s="85"/>
      <c r="L1104" s="85"/>
      <c r="M1104" s="85"/>
      <c r="N1104" s="85"/>
      <c r="O1104" s="85"/>
      <c r="P1104" s="85"/>
      <c r="Q1104" s="85"/>
      <c r="R1104" s="85"/>
      <c r="S1104" s="85"/>
      <c r="T1104" s="85"/>
      <c r="U1104" s="85"/>
      <c r="V1104" s="85"/>
      <c r="W1104" s="85"/>
      <c r="X1104" s="85"/>
      <c r="Y1104" s="85"/>
      <c r="Z1104" s="85"/>
      <c r="AA1104" s="85"/>
      <c r="AB1104" s="85"/>
      <c r="AC1104" s="85"/>
      <c r="AD1104" s="84"/>
      <c r="AE1104" s="84"/>
      <c r="AF1104" s="84"/>
      <c r="DB1104" s="85"/>
    </row>
    <row r="1105" spans="2:106">
      <c r="B1105" s="85"/>
      <c r="C1105" s="85"/>
      <c r="D1105" s="85"/>
      <c r="E1105" s="85"/>
      <c r="F1105" s="85"/>
      <c r="G1105" s="85"/>
      <c r="H1105" s="85"/>
      <c r="I1105" s="85"/>
      <c r="J1105" s="85"/>
      <c r="K1105" s="85"/>
      <c r="L1105" s="85"/>
      <c r="M1105" s="85"/>
      <c r="N1105" s="85"/>
      <c r="O1105" s="85"/>
      <c r="P1105" s="85"/>
      <c r="Q1105" s="85"/>
      <c r="R1105" s="85"/>
      <c r="S1105" s="85"/>
      <c r="T1105" s="85"/>
      <c r="U1105" s="85"/>
      <c r="V1105" s="85"/>
      <c r="W1105" s="85"/>
      <c r="X1105" s="85"/>
      <c r="Y1105" s="85"/>
      <c r="Z1105" s="85"/>
      <c r="AA1105" s="85"/>
      <c r="AB1105" s="85"/>
      <c r="AC1105" s="85"/>
      <c r="AD1105" s="84"/>
      <c r="AE1105" s="84"/>
      <c r="AF1105" s="84"/>
      <c r="DB1105" s="85"/>
    </row>
    <row r="1106" spans="2:106">
      <c r="B1106" s="85"/>
      <c r="C1106" s="85"/>
      <c r="D1106" s="85"/>
      <c r="E1106" s="85"/>
      <c r="F1106" s="85"/>
      <c r="G1106" s="85"/>
      <c r="H1106" s="85"/>
      <c r="I1106" s="85"/>
      <c r="J1106" s="85"/>
      <c r="K1106" s="85"/>
      <c r="L1106" s="85"/>
      <c r="M1106" s="85"/>
      <c r="N1106" s="85"/>
      <c r="O1106" s="85"/>
      <c r="P1106" s="85"/>
      <c r="Q1106" s="85"/>
      <c r="R1106" s="85"/>
      <c r="S1106" s="85"/>
      <c r="T1106" s="85"/>
      <c r="U1106" s="85"/>
      <c r="V1106" s="85"/>
      <c r="W1106" s="85"/>
      <c r="X1106" s="85"/>
      <c r="Y1106" s="85"/>
      <c r="Z1106" s="85"/>
      <c r="AA1106" s="85"/>
      <c r="AB1106" s="85"/>
      <c r="AC1106" s="85"/>
      <c r="AD1106" s="84"/>
      <c r="AE1106" s="84"/>
      <c r="AF1106" s="84"/>
      <c r="DB1106" s="85"/>
    </row>
    <row r="1107" spans="2:106">
      <c r="B1107" s="85"/>
      <c r="C1107" s="85"/>
      <c r="D1107" s="85"/>
      <c r="E1107" s="85"/>
      <c r="F1107" s="85"/>
      <c r="G1107" s="85"/>
      <c r="H1107" s="85"/>
      <c r="I1107" s="85"/>
      <c r="J1107" s="85"/>
      <c r="K1107" s="85"/>
      <c r="L1107" s="85"/>
      <c r="M1107" s="85"/>
      <c r="N1107" s="85"/>
      <c r="O1107" s="85"/>
      <c r="P1107" s="85"/>
      <c r="Q1107" s="85"/>
      <c r="R1107" s="85"/>
      <c r="S1107" s="85"/>
      <c r="T1107" s="85"/>
      <c r="U1107" s="85"/>
      <c r="V1107" s="85"/>
      <c r="W1107" s="85"/>
      <c r="X1107" s="85"/>
      <c r="Y1107" s="85"/>
      <c r="Z1107" s="85"/>
      <c r="AA1107" s="85"/>
      <c r="AB1107" s="85"/>
      <c r="AC1107" s="85"/>
      <c r="AD1107" s="84"/>
      <c r="AE1107" s="84"/>
      <c r="AF1107" s="84"/>
      <c r="DB1107" s="85"/>
    </row>
    <row r="1108" spans="2:106">
      <c r="B1108" s="85"/>
      <c r="C1108" s="85"/>
      <c r="D1108" s="85"/>
      <c r="E1108" s="85"/>
      <c r="F1108" s="85"/>
      <c r="G1108" s="85"/>
      <c r="H1108" s="85"/>
      <c r="I1108" s="85"/>
      <c r="J1108" s="85"/>
      <c r="K1108" s="85"/>
      <c r="L1108" s="85"/>
      <c r="M1108" s="85"/>
      <c r="N1108" s="85"/>
      <c r="O1108" s="85"/>
      <c r="P1108" s="85"/>
      <c r="Q1108" s="85"/>
      <c r="R1108" s="85"/>
      <c r="S1108" s="85"/>
      <c r="T1108" s="85"/>
      <c r="U1108" s="85"/>
      <c r="V1108" s="85"/>
      <c r="W1108" s="85"/>
      <c r="X1108" s="85"/>
      <c r="Y1108" s="85"/>
      <c r="Z1108" s="85"/>
      <c r="AA1108" s="85"/>
      <c r="AB1108" s="85"/>
      <c r="AC1108" s="85"/>
      <c r="AD1108" s="84"/>
      <c r="AE1108" s="84"/>
      <c r="AF1108" s="84"/>
      <c r="DB1108" s="85"/>
    </row>
    <row r="1109" spans="2:106">
      <c r="B1109" s="85"/>
      <c r="C1109" s="85"/>
      <c r="D1109" s="85"/>
      <c r="E1109" s="85"/>
      <c r="F1109" s="85"/>
      <c r="G1109" s="85"/>
      <c r="H1109" s="85"/>
      <c r="I1109" s="85"/>
      <c r="J1109" s="85"/>
      <c r="K1109" s="85"/>
      <c r="L1109" s="85"/>
      <c r="M1109" s="85"/>
      <c r="N1109" s="85"/>
      <c r="O1109" s="85"/>
      <c r="P1109" s="85"/>
      <c r="Q1109" s="85"/>
      <c r="R1109" s="85"/>
      <c r="S1109" s="85"/>
      <c r="T1109" s="85"/>
      <c r="U1109" s="85"/>
      <c r="V1109" s="85"/>
      <c r="W1109" s="85"/>
      <c r="X1109" s="85"/>
      <c r="Y1109" s="85"/>
      <c r="Z1109" s="85"/>
      <c r="AA1109" s="85"/>
      <c r="AB1109" s="85"/>
      <c r="AC1109" s="85"/>
      <c r="AD1109" s="84"/>
      <c r="AE1109" s="84"/>
      <c r="AF1109" s="84"/>
      <c r="DB1109" s="85"/>
    </row>
    <row r="1110" spans="2:106">
      <c r="B1110" s="85"/>
      <c r="C1110" s="85"/>
      <c r="D1110" s="85"/>
      <c r="E1110" s="85"/>
      <c r="F1110" s="85"/>
      <c r="G1110" s="85"/>
      <c r="H1110" s="85"/>
      <c r="I1110" s="85"/>
      <c r="J1110" s="85"/>
      <c r="K1110" s="85"/>
      <c r="L1110" s="85"/>
      <c r="M1110" s="85"/>
      <c r="N1110" s="85"/>
      <c r="O1110" s="85"/>
      <c r="P1110" s="85"/>
      <c r="Q1110" s="85"/>
      <c r="R1110" s="85"/>
      <c r="S1110" s="85"/>
      <c r="T1110" s="85"/>
      <c r="U1110" s="85"/>
      <c r="V1110" s="85"/>
      <c r="W1110" s="85"/>
      <c r="X1110" s="85"/>
      <c r="Y1110" s="85"/>
      <c r="Z1110" s="85"/>
      <c r="AA1110" s="85"/>
      <c r="AB1110" s="85"/>
      <c r="AC1110" s="85"/>
      <c r="AD1110" s="84"/>
      <c r="AE1110" s="84"/>
      <c r="AF1110" s="84"/>
      <c r="DB1110" s="85"/>
    </row>
    <row r="1111" spans="2:106">
      <c r="B1111" s="85"/>
      <c r="C1111" s="85"/>
      <c r="D1111" s="85"/>
      <c r="E1111" s="85"/>
      <c r="F1111" s="85"/>
      <c r="G1111" s="85"/>
      <c r="H1111" s="85"/>
      <c r="I1111" s="85"/>
      <c r="J1111" s="85"/>
      <c r="K1111" s="85"/>
      <c r="L1111" s="85"/>
      <c r="M1111" s="85"/>
      <c r="N1111" s="85"/>
      <c r="O1111" s="85"/>
      <c r="P1111" s="85"/>
      <c r="Q1111" s="85"/>
      <c r="R1111" s="85"/>
      <c r="S1111" s="85"/>
      <c r="T1111" s="85"/>
      <c r="U1111" s="85"/>
      <c r="V1111" s="85"/>
      <c r="W1111" s="85"/>
      <c r="X1111" s="85"/>
      <c r="Y1111" s="85"/>
      <c r="Z1111" s="85"/>
      <c r="AA1111" s="85"/>
      <c r="AB1111" s="85"/>
      <c r="AC1111" s="85"/>
      <c r="AD1111" s="84"/>
      <c r="AE1111" s="84"/>
      <c r="AF1111" s="84"/>
      <c r="DB1111" s="85"/>
    </row>
    <row r="1112" spans="2:106">
      <c r="B1112" s="85"/>
      <c r="C1112" s="85"/>
      <c r="D1112" s="85"/>
      <c r="E1112" s="85"/>
      <c r="F1112" s="85"/>
      <c r="G1112" s="85"/>
      <c r="H1112" s="85"/>
      <c r="I1112" s="85"/>
      <c r="J1112" s="85"/>
      <c r="K1112" s="85"/>
      <c r="L1112" s="85"/>
      <c r="M1112" s="85"/>
      <c r="N1112" s="85"/>
      <c r="O1112" s="85"/>
      <c r="P1112" s="85"/>
      <c r="Q1112" s="85"/>
      <c r="R1112" s="85"/>
      <c r="S1112" s="85"/>
      <c r="T1112" s="85"/>
      <c r="U1112" s="85"/>
      <c r="V1112" s="85"/>
      <c r="W1112" s="85"/>
      <c r="X1112" s="85"/>
      <c r="Y1112" s="85"/>
      <c r="Z1112" s="85"/>
      <c r="AA1112" s="85"/>
      <c r="AB1112" s="85"/>
      <c r="AC1112" s="85"/>
      <c r="AD1112" s="84"/>
      <c r="AE1112" s="84"/>
      <c r="AF1112" s="84"/>
      <c r="DB1112" s="85"/>
    </row>
    <row r="1113" spans="2:106">
      <c r="B1113" s="85"/>
      <c r="C1113" s="85"/>
      <c r="D1113" s="85"/>
      <c r="E1113" s="85"/>
      <c r="F1113" s="85"/>
      <c r="G1113" s="85"/>
      <c r="H1113" s="85"/>
      <c r="I1113" s="85"/>
      <c r="J1113" s="85"/>
      <c r="K1113" s="85"/>
      <c r="L1113" s="85"/>
      <c r="M1113" s="85"/>
      <c r="N1113" s="85"/>
      <c r="O1113" s="85"/>
      <c r="P1113" s="85"/>
      <c r="Q1113" s="85"/>
      <c r="R1113" s="85"/>
      <c r="S1113" s="85"/>
      <c r="T1113" s="85"/>
      <c r="U1113" s="85"/>
      <c r="V1113" s="85"/>
      <c r="W1113" s="85"/>
      <c r="X1113" s="85"/>
      <c r="Y1113" s="85"/>
      <c r="Z1113" s="85"/>
      <c r="AA1113" s="85"/>
      <c r="AB1113" s="85"/>
      <c r="AC1113" s="85"/>
      <c r="AD1113" s="84"/>
      <c r="AE1113" s="84"/>
      <c r="AF1113" s="84"/>
      <c r="DB1113" s="85"/>
    </row>
    <row r="1114" spans="2:106">
      <c r="B1114" s="85"/>
      <c r="C1114" s="85"/>
      <c r="D1114" s="85"/>
      <c r="E1114" s="85"/>
      <c r="F1114" s="85"/>
      <c r="G1114" s="85"/>
      <c r="H1114" s="85"/>
      <c r="I1114" s="85"/>
      <c r="J1114" s="85"/>
      <c r="K1114" s="85"/>
      <c r="L1114" s="85"/>
      <c r="M1114" s="85"/>
      <c r="N1114" s="85"/>
      <c r="O1114" s="85"/>
      <c r="P1114" s="85"/>
      <c r="Q1114" s="85"/>
      <c r="R1114" s="85"/>
      <c r="S1114" s="85"/>
      <c r="T1114" s="85"/>
      <c r="U1114" s="85"/>
      <c r="V1114" s="85"/>
      <c r="W1114" s="85"/>
      <c r="X1114" s="85"/>
      <c r="Y1114" s="85"/>
      <c r="Z1114" s="85"/>
      <c r="AA1114" s="85"/>
      <c r="AB1114" s="85"/>
      <c r="AC1114" s="85"/>
      <c r="AD1114" s="84"/>
      <c r="AE1114" s="84"/>
      <c r="AF1114" s="84"/>
      <c r="DB1114" s="85"/>
    </row>
    <row r="1115" spans="2:106">
      <c r="B1115" s="85"/>
      <c r="C1115" s="85"/>
      <c r="D1115" s="85"/>
      <c r="E1115" s="85"/>
      <c r="F1115" s="85"/>
      <c r="G1115" s="85"/>
      <c r="H1115" s="85"/>
      <c r="I1115" s="85"/>
      <c r="J1115" s="85"/>
      <c r="K1115" s="85"/>
      <c r="L1115" s="85"/>
      <c r="M1115" s="85"/>
      <c r="N1115" s="85"/>
      <c r="O1115" s="85"/>
      <c r="P1115" s="85"/>
      <c r="Q1115" s="85"/>
      <c r="R1115" s="85"/>
      <c r="S1115" s="85"/>
      <c r="T1115" s="85"/>
      <c r="U1115" s="85"/>
      <c r="V1115" s="85"/>
      <c r="W1115" s="85"/>
      <c r="X1115" s="85"/>
      <c r="Y1115" s="85"/>
      <c r="Z1115" s="85"/>
      <c r="AA1115" s="85"/>
      <c r="AB1115" s="85"/>
      <c r="AC1115" s="85"/>
      <c r="AD1115" s="84"/>
      <c r="AE1115" s="84"/>
      <c r="AF1115" s="84"/>
      <c r="DB1115" s="85"/>
    </row>
    <row r="1116" spans="2:106">
      <c r="B1116" s="85"/>
      <c r="C1116" s="85"/>
      <c r="D1116" s="85"/>
      <c r="E1116" s="85"/>
      <c r="F1116" s="85"/>
      <c r="G1116" s="85"/>
      <c r="H1116" s="85"/>
      <c r="I1116" s="85"/>
      <c r="J1116" s="85"/>
      <c r="K1116" s="85"/>
      <c r="L1116" s="85"/>
      <c r="M1116" s="85"/>
      <c r="N1116" s="85"/>
      <c r="O1116" s="85"/>
      <c r="P1116" s="85"/>
      <c r="Q1116" s="85"/>
      <c r="R1116" s="85"/>
      <c r="S1116" s="85"/>
      <c r="T1116" s="85"/>
      <c r="U1116" s="85"/>
      <c r="V1116" s="85"/>
      <c r="W1116" s="85"/>
      <c r="X1116" s="85"/>
      <c r="Y1116" s="85"/>
      <c r="Z1116" s="85"/>
      <c r="AA1116" s="85"/>
      <c r="AB1116" s="85"/>
      <c r="AC1116" s="85"/>
      <c r="AD1116" s="84"/>
      <c r="AE1116" s="84"/>
      <c r="AF1116" s="84"/>
      <c r="DB1116" s="85"/>
    </row>
    <row r="1117" spans="2:106">
      <c r="B1117" s="85"/>
      <c r="C1117" s="85"/>
      <c r="D1117" s="85"/>
      <c r="E1117" s="85"/>
      <c r="F1117" s="85"/>
      <c r="G1117" s="85"/>
      <c r="H1117" s="85"/>
      <c r="I1117" s="85"/>
      <c r="J1117" s="85"/>
      <c r="K1117" s="85"/>
      <c r="L1117" s="85"/>
      <c r="M1117" s="85"/>
      <c r="N1117" s="85"/>
      <c r="O1117" s="85"/>
      <c r="P1117" s="85"/>
      <c r="Q1117" s="85"/>
      <c r="R1117" s="85"/>
      <c r="S1117" s="85"/>
      <c r="T1117" s="85"/>
      <c r="U1117" s="85"/>
      <c r="V1117" s="85"/>
      <c r="W1117" s="85"/>
      <c r="X1117" s="85"/>
      <c r="Y1117" s="85"/>
      <c r="Z1117" s="85"/>
      <c r="AA1117" s="85"/>
      <c r="AB1117" s="85"/>
      <c r="AC1117" s="85"/>
      <c r="AD1117" s="84"/>
      <c r="AE1117" s="84"/>
      <c r="AF1117" s="84"/>
      <c r="DB1117" s="85"/>
    </row>
    <row r="1118" spans="2:106">
      <c r="B1118" s="85"/>
      <c r="C1118" s="85"/>
      <c r="D1118" s="85"/>
      <c r="E1118" s="85"/>
      <c r="F1118" s="85"/>
      <c r="G1118" s="85"/>
      <c r="H1118" s="85"/>
      <c r="I1118" s="85"/>
      <c r="J1118" s="85"/>
      <c r="K1118" s="85"/>
      <c r="L1118" s="85"/>
      <c r="M1118" s="85"/>
      <c r="N1118" s="85"/>
      <c r="O1118" s="85"/>
      <c r="P1118" s="85"/>
      <c r="Q1118" s="85"/>
      <c r="R1118" s="85"/>
      <c r="S1118" s="85"/>
      <c r="T1118" s="85"/>
      <c r="U1118" s="85"/>
      <c r="V1118" s="85"/>
      <c r="W1118" s="85"/>
      <c r="X1118" s="85"/>
      <c r="Y1118" s="85"/>
      <c r="Z1118" s="85"/>
      <c r="AA1118" s="85"/>
      <c r="AB1118" s="85"/>
      <c r="AC1118" s="85"/>
      <c r="AD1118" s="84"/>
      <c r="AE1118" s="84"/>
      <c r="AF1118" s="84"/>
      <c r="DB1118" s="85"/>
    </row>
    <row r="1119" spans="2:106">
      <c r="B1119" s="85"/>
      <c r="C1119" s="85"/>
      <c r="D1119" s="85"/>
      <c r="E1119" s="85"/>
      <c r="F1119" s="85"/>
      <c r="G1119" s="85"/>
      <c r="H1119" s="85"/>
      <c r="I1119" s="85"/>
      <c r="J1119" s="85"/>
      <c r="K1119" s="85"/>
      <c r="L1119" s="85"/>
      <c r="M1119" s="85"/>
      <c r="N1119" s="85"/>
      <c r="O1119" s="85"/>
      <c r="P1119" s="85"/>
      <c r="Q1119" s="85"/>
      <c r="R1119" s="85"/>
      <c r="S1119" s="85"/>
      <c r="T1119" s="85"/>
      <c r="U1119" s="85"/>
      <c r="V1119" s="85"/>
      <c r="W1119" s="85"/>
      <c r="X1119" s="85"/>
      <c r="Y1119" s="85"/>
      <c r="Z1119" s="85"/>
      <c r="AA1119" s="85"/>
      <c r="AB1119" s="85"/>
      <c r="AC1119" s="85"/>
      <c r="AD1119" s="84"/>
      <c r="AE1119" s="84"/>
      <c r="AF1119" s="84"/>
      <c r="DB1119" s="85"/>
    </row>
    <row r="1120" spans="2:106">
      <c r="B1120" s="85"/>
      <c r="C1120" s="85"/>
      <c r="D1120" s="85"/>
      <c r="E1120" s="85"/>
      <c r="F1120" s="85"/>
      <c r="G1120" s="85"/>
      <c r="H1120" s="85"/>
      <c r="I1120" s="85"/>
      <c r="J1120" s="85"/>
      <c r="K1120" s="85"/>
      <c r="L1120" s="85"/>
      <c r="M1120" s="85"/>
      <c r="N1120" s="85"/>
      <c r="O1120" s="85"/>
      <c r="P1120" s="85"/>
      <c r="Q1120" s="85"/>
      <c r="R1120" s="85"/>
      <c r="S1120" s="85"/>
      <c r="T1120" s="85"/>
      <c r="U1120" s="85"/>
      <c r="V1120" s="85"/>
      <c r="W1120" s="85"/>
      <c r="X1120" s="85"/>
      <c r="Y1120" s="85"/>
      <c r="Z1120" s="85"/>
      <c r="AA1120" s="85"/>
      <c r="AB1120" s="85"/>
      <c r="AC1120" s="85"/>
      <c r="AD1120" s="84"/>
      <c r="AE1120" s="84"/>
      <c r="AF1120" s="84"/>
      <c r="DB1120" s="85"/>
    </row>
    <row r="1121" spans="2:106">
      <c r="B1121" s="85"/>
      <c r="C1121" s="85"/>
      <c r="D1121" s="85"/>
      <c r="E1121" s="85"/>
      <c r="F1121" s="85"/>
      <c r="G1121" s="85"/>
      <c r="H1121" s="85"/>
      <c r="I1121" s="85"/>
      <c r="J1121" s="85"/>
      <c r="K1121" s="85"/>
      <c r="L1121" s="85"/>
      <c r="M1121" s="85"/>
      <c r="N1121" s="85"/>
      <c r="O1121" s="85"/>
      <c r="P1121" s="85"/>
      <c r="Q1121" s="85"/>
      <c r="R1121" s="85"/>
      <c r="S1121" s="85"/>
      <c r="T1121" s="85"/>
      <c r="U1121" s="85"/>
      <c r="V1121" s="85"/>
      <c r="W1121" s="85"/>
      <c r="X1121" s="85"/>
      <c r="Y1121" s="85"/>
      <c r="Z1121" s="85"/>
      <c r="AA1121" s="85"/>
      <c r="AB1121" s="85"/>
      <c r="AC1121" s="85"/>
      <c r="AD1121" s="84"/>
      <c r="AE1121" s="84"/>
      <c r="AF1121" s="84"/>
      <c r="DB1121" s="85"/>
    </row>
    <row r="1122" spans="2:106">
      <c r="B1122" s="85"/>
      <c r="C1122" s="85"/>
      <c r="D1122" s="85"/>
      <c r="E1122" s="85"/>
      <c r="F1122" s="85"/>
      <c r="G1122" s="85"/>
      <c r="H1122" s="85"/>
      <c r="I1122" s="85"/>
      <c r="J1122" s="85"/>
      <c r="K1122" s="85"/>
      <c r="L1122" s="85"/>
      <c r="M1122" s="85"/>
      <c r="N1122" s="85"/>
      <c r="O1122" s="85"/>
      <c r="P1122" s="85"/>
      <c r="Q1122" s="85"/>
      <c r="R1122" s="85"/>
      <c r="S1122" s="85"/>
      <c r="T1122" s="85"/>
      <c r="U1122" s="85"/>
      <c r="V1122" s="85"/>
      <c r="W1122" s="85"/>
      <c r="X1122" s="85"/>
      <c r="Y1122" s="85"/>
      <c r="Z1122" s="85"/>
      <c r="AA1122" s="85"/>
      <c r="AB1122" s="85"/>
      <c r="AC1122" s="85"/>
      <c r="AD1122" s="84"/>
      <c r="AE1122" s="84"/>
      <c r="AF1122" s="84"/>
      <c r="DB1122" s="85"/>
    </row>
    <row r="1123" spans="2:106">
      <c r="B1123" s="85"/>
      <c r="C1123" s="85"/>
      <c r="D1123" s="85"/>
      <c r="E1123" s="85"/>
      <c r="F1123" s="85"/>
      <c r="G1123" s="85"/>
      <c r="H1123" s="85"/>
      <c r="I1123" s="85"/>
      <c r="J1123" s="85"/>
      <c r="K1123" s="85"/>
      <c r="L1123" s="85"/>
      <c r="M1123" s="85"/>
      <c r="N1123" s="85"/>
      <c r="O1123" s="85"/>
      <c r="P1123" s="85"/>
      <c r="Q1123" s="85"/>
      <c r="R1123" s="85"/>
      <c r="S1123" s="85"/>
      <c r="T1123" s="85"/>
      <c r="U1123" s="85"/>
      <c r="V1123" s="85"/>
      <c r="W1123" s="85"/>
      <c r="X1123" s="85"/>
      <c r="Y1123" s="85"/>
      <c r="Z1123" s="85"/>
      <c r="AA1123" s="85"/>
      <c r="AB1123" s="85"/>
      <c r="AC1123" s="85"/>
      <c r="AD1123" s="84"/>
      <c r="AE1123" s="84"/>
      <c r="AF1123" s="84"/>
      <c r="DB1123" s="85"/>
    </row>
    <row r="1124" spans="2:106">
      <c r="B1124" s="85"/>
      <c r="C1124" s="85"/>
      <c r="D1124" s="85"/>
      <c r="E1124" s="85"/>
      <c r="F1124" s="85"/>
      <c r="G1124" s="85"/>
      <c r="H1124" s="85"/>
      <c r="I1124" s="85"/>
      <c r="J1124" s="85"/>
      <c r="K1124" s="85"/>
      <c r="L1124" s="85"/>
      <c r="M1124" s="85"/>
      <c r="N1124" s="85"/>
      <c r="O1124" s="85"/>
      <c r="P1124" s="85"/>
      <c r="Q1124" s="85"/>
      <c r="R1124" s="85"/>
      <c r="S1124" s="85"/>
      <c r="T1124" s="85"/>
      <c r="U1124" s="85"/>
      <c r="V1124" s="85"/>
      <c r="W1124" s="85"/>
      <c r="X1124" s="85"/>
      <c r="Y1124" s="85"/>
      <c r="Z1124" s="85"/>
      <c r="AA1124" s="85"/>
      <c r="AB1124" s="85"/>
      <c r="AC1124" s="85"/>
      <c r="AD1124" s="84"/>
      <c r="AE1124" s="84"/>
      <c r="AF1124" s="84"/>
      <c r="DB1124" s="85"/>
    </row>
    <row r="1125" spans="2:106">
      <c r="B1125" s="85"/>
      <c r="C1125" s="85"/>
      <c r="D1125" s="85"/>
      <c r="E1125" s="85"/>
      <c r="F1125" s="85"/>
      <c r="G1125" s="85"/>
      <c r="H1125" s="85"/>
      <c r="I1125" s="85"/>
      <c r="J1125" s="85"/>
      <c r="K1125" s="85"/>
      <c r="L1125" s="85"/>
      <c r="M1125" s="85"/>
      <c r="N1125" s="85"/>
      <c r="O1125" s="85"/>
      <c r="P1125" s="85"/>
      <c r="Q1125" s="85"/>
      <c r="R1125" s="85"/>
      <c r="S1125" s="85"/>
      <c r="T1125" s="85"/>
      <c r="U1125" s="85"/>
      <c r="V1125" s="85"/>
      <c r="W1125" s="85"/>
      <c r="X1125" s="85"/>
      <c r="Y1125" s="85"/>
      <c r="Z1125" s="85"/>
      <c r="AA1125" s="85"/>
      <c r="AB1125" s="85"/>
      <c r="AC1125" s="85"/>
      <c r="AD1125" s="84"/>
      <c r="AE1125" s="84"/>
      <c r="AF1125" s="84"/>
      <c r="DB1125" s="85"/>
    </row>
    <row r="1126" spans="2:106">
      <c r="B1126" s="85"/>
      <c r="C1126" s="85"/>
      <c r="D1126" s="85"/>
      <c r="E1126" s="85"/>
      <c r="F1126" s="85"/>
      <c r="G1126" s="85"/>
      <c r="H1126" s="85"/>
      <c r="I1126" s="85"/>
      <c r="J1126" s="85"/>
      <c r="K1126" s="85"/>
      <c r="L1126" s="85"/>
      <c r="M1126" s="85"/>
      <c r="N1126" s="85"/>
      <c r="O1126" s="85"/>
      <c r="P1126" s="85"/>
      <c r="Q1126" s="85"/>
      <c r="R1126" s="85"/>
      <c r="S1126" s="85"/>
      <c r="T1126" s="85"/>
      <c r="U1126" s="85"/>
      <c r="V1126" s="85"/>
      <c r="W1126" s="85"/>
      <c r="X1126" s="85"/>
      <c r="Y1126" s="85"/>
      <c r="Z1126" s="85"/>
      <c r="AA1126" s="85"/>
      <c r="AB1126" s="85"/>
      <c r="AC1126" s="85"/>
      <c r="AD1126" s="84"/>
      <c r="AE1126" s="84"/>
      <c r="AF1126" s="84"/>
      <c r="DB1126" s="85"/>
    </row>
    <row r="1127" spans="2:106">
      <c r="B1127" s="85"/>
      <c r="C1127" s="85"/>
      <c r="D1127" s="85"/>
      <c r="E1127" s="85"/>
      <c r="F1127" s="85"/>
      <c r="G1127" s="85"/>
      <c r="H1127" s="85"/>
      <c r="I1127" s="85"/>
      <c r="J1127" s="85"/>
      <c r="K1127" s="85"/>
      <c r="L1127" s="85"/>
      <c r="M1127" s="85"/>
      <c r="N1127" s="85"/>
      <c r="O1127" s="85"/>
      <c r="P1127" s="85"/>
      <c r="Q1127" s="85"/>
      <c r="R1127" s="85"/>
      <c r="S1127" s="85"/>
      <c r="T1127" s="85"/>
      <c r="U1127" s="85"/>
      <c r="V1127" s="85"/>
      <c r="W1127" s="85"/>
      <c r="X1127" s="85"/>
      <c r="Y1127" s="85"/>
      <c r="Z1127" s="85"/>
      <c r="AA1127" s="85"/>
      <c r="AB1127" s="85"/>
      <c r="AC1127" s="85"/>
      <c r="AD1127" s="84"/>
      <c r="AE1127" s="84"/>
      <c r="AF1127" s="84"/>
      <c r="DB1127" s="85"/>
    </row>
    <row r="1128" spans="2:106">
      <c r="B1128" s="85"/>
      <c r="C1128" s="85"/>
      <c r="D1128" s="85"/>
      <c r="E1128" s="85"/>
      <c r="F1128" s="85"/>
      <c r="G1128" s="85"/>
      <c r="H1128" s="85"/>
      <c r="I1128" s="85"/>
      <c r="J1128" s="85"/>
      <c r="K1128" s="85"/>
      <c r="L1128" s="85"/>
      <c r="M1128" s="85"/>
      <c r="N1128" s="85"/>
      <c r="O1128" s="85"/>
      <c r="P1128" s="85"/>
      <c r="Q1128" s="85"/>
      <c r="R1128" s="85"/>
      <c r="S1128" s="85"/>
      <c r="T1128" s="85"/>
      <c r="U1128" s="85"/>
      <c r="V1128" s="85"/>
      <c r="W1128" s="85"/>
      <c r="X1128" s="85"/>
      <c r="Y1128" s="85"/>
      <c r="Z1128" s="85"/>
      <c r="AA1128" s="85"/>
      <c r="AB1128" s="85"/>
      <c r="AC1128" s="85"/>
      <c r="AD1128" s="84"/>
      <c r="AE1128" s="84"/>
      <c r="AF1128" s="84"/>
      <c r="DB1128" s="85"/>
    </row>
    <row r="1129" spans="2:106">
      <c r="B1129" s="85"/>
      <c r="C1129" s="85"/>
      <c r="D1129" s="85"/>
      <c r="E1129" s="85"/>
      <c r="F1129" s="85"/>
      <c r="G1129" s="85"/>
      <c r="H1129" s="85"/>
      <c r="I1129" s="85"/>
      <c r="J1129" s="85"/>
      <c r="K1129" s="85"/>
      <c r="L1129" s="85"/>
      <c r="M1129" s="85"/>
      <c r="N1129" s="85"/>
      <c r="O1129" s="85"/>
      <c r="P1129" s="85"/>
      <c r="Q1129" s="85"/>
      <c r="R1129" s="85"/>
      <c r="S1129" s="85"/>
      <c r="T1129" s="85"/>
      <c r="U1129" s="85"/>
      <c r="V1129" s="85"/>
      <c r="W1129" s="85"/>
      <c r="X1129" s="85"/>
      <c r="Y1129" s="85"/>
      <c r="Z1129" s="85"/>
      <c r="AA1129" s="85"/>
      <c r="AB1129" s="85"/>
      <c r="AC1129" s="85"/>
      <c r="AD1129" s="84"/>
      <c r="AE1129" s="84"/>
      <c r="AF1129" s="84"/>
      <c r="DB1129" s="85"/>
    </row>
    <row r="1130" spans="2:106">
      <c r="B1130" s="85"/>
      <c r="C1130" s="85"/>
      <c r="D1130" s="85"/>
      <c r="E1130" s="85"/>
      <c r="F1130" s="85"/>
      <c r="G1130" s="85"/>
      <c r="H1130" s="85"/>
      <c r="I1130" s="85"/>
      <c r="J1130" s="85"/>
      <c r="K1130" s="85"/>
      <c r="L1130" s="85"/>
      <c r="M1130" s="85"/>
      <c r="N1130" s="85"/>
      <c r="O1130" s="85"/>
      <c r="P1130" s="85"/>
      <c r="Q1130" s="85"/>
      <c r="R1130" s="85"/>
      <c r="S1130" s="85"/>
      <c r="T1130" s="85"/>
      <c r="U1130" s="85"/>
      <c r="V1130" s="85"/>
      <c r="W1130" s="85"/>
      <c r="X1130" s="85"/>
      <c r="Y1130" s="85"/>
      <c r="Z1130" s="85"/>
      <c r="AA1130" s="85"/>
      <c r="AB1130" s="85"/>
      <c r="AC1130" s="85"/>
      <c r="AD1130" s="84"/>
      <c r="AE1130" s="84"/>
      <c r="AF1130" s="84"/>
      <c r="DB1130" s="85"/>
    </row>
    <row r="1131" spans="2:106">
      <c r="B1131" s="85"/>
      <c r="C1131" s="85"/>
      <c r="D1131" s="85"/>
      <c r="E1131" s="85"/>
      <c r="F1131" s="85"/>
      <c r="G1131" s="85"/>
      <c r="H1131" s="85"/>
      <c r="I1131" s="85"/>
      <c r="J1131" s="85"/>
      <c r="K1131" s="85"/>
      <c r="L1131" s="85"/>
      <c r="M1131" s="85"/>
      <c r="N1131" s="85"/>
      <c r="O1131" s="85"/>
      <c r="P1131" s="85"/>
      <c r="Q1131" s="85"/>
      <c r="R1131" s="85"/>
      <c r="S1131" s="85"/>
      <c r="T1131" s="85"/>
      <c r="U1131" s="85"/>
      <c r="V1131" s="85"/>
      <c r="W1131" s="85"/>
      <c r="X1131" s="85"/>
      <c r="Y1131" s="85"/>
      <c r="Z1131" s="85"/>
      <c r="AA1131" s="85"/>
      <c r="AB1131" s="85"/>
      <c r="AC1131" s="85"/>
      <c r="AD1131" s="84"/>
      <c r="AE1131" s="84"/>
      <c r="AF1131" s="84"/>
      <c r="DB1131" s="85"/>
    </row>
    <row r="1132" spans="2:106">
      <c r="B1132" s="85"/>
      <c r="C1132" s="85"/>
      <c r="D1132" s="85"/>
      <c r="E1132" s="85"/>
      <c r="F1132" s="85"/>
      <c r="G1132" s="85"/>
      <c r="H1132" s="85"/>
      <c r="I1132" s="85"/>
      <c r="J1132" s="85"/>
      <c r="K1132" s="85"/>
      <c r="L1132" s="85"/>
      <c r="M1132" s="85"/>
      <c r="N1132" s="85"/>
      <c r="O1132" s="85"/>
      <c r="P1132" s="85"/>
      <c r="Q1132" s="85"/>
      <c r="R1132" s="85"/>
      <c r="S1132" s="85"/>
      <c r="T1132" s="85"/>
      <c r="U1132" s="85"/>
      <c r="V1132" s="85"/>
      <c r="W1132" s="85"/>
      <c r="X1132" s="85"/>
      <c r="Y1132" s="85"/>
      <c r="Z1132" s="85"/>
      <c r="AA1132" s="85"/>
      <c r="AB1132" s="85"/>
      <c r="AC1132" s="85"/>
      <c r="AD1132" s="84"/>
      <c r="AE1132" s="84"/>
      <c r="AF1132" s="84"/>
      <c r="DB1132" s="85"/>
    </row>
    <row r="1133" spans="2:106">
      <c r="B1133" s="85"/>
      <c r="C1133" s="85"/>
      <c r="D1133" s="85"/>
      <c r="E1133" s="85"/>
      <c r="F1133" s="85"/>
      <c r="G1133" s="85"/>
      <c r="H1133" s="85"/>
      <c r="I1133" s="85"/>
      <c r="J1133" s="85"/>
      <c r="K1133" s="85"/>
      <c r="L1133" s="85"/>
      <c r="M1133" s="85"/>
      <c r="N1133" s="85"/>
      <c r="O1133" s="85"/>
      <c r="P1133" s="85"/>
      <c r="Q1133" s="85"/>
      <c r="R1133" s="85"/>
      <c r="S1133" s="85"/>
      <c r="T1133" s="85"/>
      <c r="U1133" s="85"/>
      <c r="V1133" s="85"/>
      <c r="W1133" s="85"/>
      <c r="X1133" s="85"/>
      <c r="Y1133" s="85"/>
      <c r="Z1133" s="85"/>
      <c r="AA1133" s="85"/>
      <c r="AB1133" s="85"/>
      <c r="AC1133" s="85"/>
      <c r="AD1133" s="84"/>
      <c r="AE1133" s="84"/>
      <c r="AF1133" s="84"/>
      <c r="DB1133" s="85"/>
    </row>
    <row r="1134" spans="2:106">
      <c r="B1134" s="85"/>
      <c r="C1134" s="85"/>
      <c r="D1134" s="85"/>
      <c r="E1134" s="85"/>
      <c r="F1134" s="85"/>
      <c r="G1134" s="85"/>
      <c r="H1134" s="85"/>
      <c r="I1134" s="85"/>
      <c r="J1134" s="85"/>
      <c r="K1134" s="85"/>
      <c r="L1134" s="85"/>
      <c r="M1134" s="85"/>
      <c r="N1134" s="85"/>
      <c r="O1134" s="85"/>
      <c r="P1134" s="85"/>
      <c r="Q1134" s="85"/>
      <c r="R1134" s="85"/>
      <c r="S1134" s="85"/>
      <c r="T1134" s="85"/>
      <c r="U1134" s="85"/>
      <c r="V1134" s="85"/>
      <c r="W1134" s="85"/>
      <c r="X1134" s="85"/>
      <c r="Y1134" s="85"/>
      <c r="Z1134" s="85"/>
      <c r="AA1134" s="85"/>
      <c r="AB1134" s="85"/>
      <c r="AC1134" s="85"/>
      <c r="AD1134" s="84"/>
      <c r="AE1134" s="84"/>
      <c r="AF1134" s="84"/>
      <c r="DB1134" s="85"/>
    </row>
    <row r="1135" spans="2:106">
      <c r="B1135" s="85"/>
      <c r="C1135" s="85"/>
      <c r="D1135" s="85"/>
      <c r="E1135" s="85"/>
      <c r="F1135" s="85"/>
      <c r="G1135" s="85"/>
      <c r="H1135" s="85"/>
      <c r="I1135" s="85"/>
      <c r="J1135" s="85"/>
      <c r="K1135" s="85"/>
      <c r="L1135" s="85"/>
      <c r="M1135" s="85"/>
      <c r="N1135" s="85"/>
      <c r="O1135" s="85"/>
      <c r="P1135" s="85"/>
      <c r="Q1135" s="85"/>
      <c r="R1135" s="85"/>
      <c r="S1135" s="85"/>
      <c r="T1135" s="85"/>
      <c r="U1135" s="85"/>
      <c r="V1135" s="85"/>
      <c r="W1135" s="85"/>
      <c r="X1135" s="85"/>
      <c r="Y1135" s="85"/>
      <c r="Z1135" s="85"/>
      <c r="AA1135" s="85"/>
      <c r="AB1135" s="85"/>
      <c r="AC1135" s="85"/>
      <c r="AD1135" s="84"/>
      <c r="AE1135" s="84"/>
      <c r="AF1135" s="84"/>
      <c r="DB1135" s="85"/>
    </row>
    <row r="1136" spans="2:106">
      <c r="B1136" s="85"/>
      <c r="C1136" s="85"/>
      <c r="D1136" s="85"/>
      <c r="E1136" s="85"/>
      <c r="F1136" s="85"/>
      <c r="G1136" s="85"/>
      <c r="H1136" s="85"/>
      <c r="I1136" s="85"/>
      <c r="J1136" s="85"/>
      <c r="K1136" s="85"/>
      <c r="L1136" s="85"/>
      <c r="M1136" s="85"/>
      <c r="N1136" s="85"/>
      <c r="O1136" s="85"/>
      <c r="P1136" s="85"/>
      <c r="Q1136" s="85"/>
      <c r="R1136" s="85"/>
      <c r="S1136" s="85"/>
      <c r="T1136" s="85"/>
      <c r="U1136" s="85"/>
      <c r="V1136" s="85"/>
      <c r="W1136" s="85"/>
      <c r="X1136" s="85"/>
      <c r="Y1136" s="85"/>
      <c r="Z1136" s="85"/>
      <c r="AA1136" s="85"/>
      <c r="AB1136" s="85"/>
      <c r="AC1136" s="85"/>
      <c r="AD1136" s="84"/>
      <c r="AE1136" s="84"/>
      <c r="AF1136" s="84"/>
      <c r="DB1136" s="85"/>
    </row>
    <row r="1137" spans="2:106">
      <c r="B1137" s="85"/>
      <c r="C1137" s="85"/>
      <c r="D1137" s="85"/>
      <c r="E1137" s="85"/>
      <c r="F1137" s="85"/>
      <c r="G1137" s="85"/>
      <c r="H1137" s="85"/>
      <c r="I1137" s="85"/>
      <c r="J1137" s="85"/>
      <c r="K1137" s="85"/>
      <c r="L1137" s="85"/>
      <c r="M1137" s="85"/>
      <c r="N1137" s="85"/>
      <c r="O1137" s="85"/>
      <c r="P1137" s="85"/>
      <c r="Q1137" s="85"/>
      <c r="R1137" s="85"/>
      <c r="S1137" s="85"/>
      <c r="T1137" s="85"/>
      <c r="U1137" s="85"/>
      <c r="V1137" s="85"/>
      <c r="W1137" s="85"/>
      <c r="X1137" s="85"/>
      <c r="Y1137" s="85"/>
      <c r="Z1137" s="85"/>
      <c r="AA1137" s="85"/>
      <c r="AB1137" s="85"/>
      <c r="AC1137" s="85"/>
      <c r="AD1137" s="84"/>
      <c r="AE1137" s="84"/>
      <c r="AF1137" s="84"/>
      <c r="DB1137" s="85"/>
    </row>
    <row r="1138" spans="2:106">
      <c r="B1138" s="85"/>
      <c r="C1138" s="85"/>
      <c r="D1138" s="85"/>
      <c r="E1138" s="85"/>
      <c r="F1138" s="85"/>
      <c r="G1138" s="85"/>
      <c r="H1138" s="85"/>
      <c r="I1138" s="85"/>
      <c r="J1138" s="85"/>
      <c r="K1138" s="85"/>
      <c r="L1138" s="85"/>
      <c r="M1138" s="85"/>
      <c r="N1138" s="85"/>
      <c r="O1138" s="85"/>
      <c r="P1138" s="85"/>
      <c r="Q1138" s="85"/>
      <c r="R1138" s="85"/>
      <c r="S1138" s="85"/>
      <c r="T1138" s="85"/>
      <c r="U1138" s="85"/>
      <c r="V1138" s="85"/>
      <c r="W1138" s="85"/>
      <c r="X1138" s="85"/>
      <c r="Y1138" s="85"/>
      <c r="Z1138" s="85"/>
      <c r="AA1138" s="85"/>
      <c r="AB1138" s="85"/>
      <c r="AC1138" s="85"/>
      <c r="AD1138" s="84"/>
      <c r="AE1138" s="84"/>
      <c r="AF1138" s="84"/>
      <c r="DB1138" s="85"/>
    </row>
    <row r="1139" spans="2:106">
      <c r="B1139" s="85"/>
      <c r="C1139" s="85"/>
      <c r="D1139" s="85"/>
      <c r="E1139" s="85"/>
      <c r="F1139" s="85"/>
      <c r="G1139" s="85"/>
      <c r="H1139" s="85"/>
      <c r="I1139" s="85"/>
      <c r="J1139" s="85"/>
      <c r="K1139" s="85"/>
      <c r="L1139" s="85"/>
      <c r="M1139" s="85"/>
      <c r="N1139" s="85"/>
      <c r="O1139" s="85"/>
      <c r="P1139" s="85"/>
      <c r="Q1139" s="85"/>
      <c r="R1139" s="85"/>
      <c r="S1139" s="85"/>
      <c r="T1139" s="85"/>
      <c r="U1139" s="85"/>
      <c r="V1139" s="85"/>
      <c r="W1139" s="85"/>
      <c r="X1139" s="85"/>
      <c r="Y1139" s="85"/>
      <c r="Z1139" s="85"/>
      <c r="AA1139" s="85"/>
      <c r="AB1139" s="85"/>
      <c r="AC1139" s="85"/>
      <c r="AD1139" s="84"/>
      <c r="AE1139" s="84"/>
      <c r="AF1139" s="84"/>
      <c r="DB1139" s="85"/>
    </row>
    <row r="1140" spans="2:106">
      <c r="B1140" s="85"/>
      <c r="C1140" s="85"/>
      <c r="D1140" s="85"/>
      <c r="E1140" s="85"/>
      <c r="F1140" s="85"/>
      <c r="G1140" s="85"/>
      <c r="H1140" s="85"/>
      <c r="I1140" s="85"/>
      <c r="J1140" s="85"/>
      <c r="K1140" s="85"/>
      <c r="L1140" s="85"/>
      <c r="M1140" s="85"/>
      <c r="N1140" s="85"/>
      <c r="O1140" s="85"/>
      <c r="P1140" s="85"/>
      <c r="Q1140" s="85"/>
      <c r="R1140" s="85"/>
      <c r="S1140" s="85"/>
      <c r="T1140" s="85"/>
      <c r="U1140" s="85"/>
      <c r="V1140" s="85"/>
      <c r="W1140" s="85"/>
      <c r="X1140" s="85"/>
      <c r="Y1140" s="85"/>
      <c r="Z1140" s="85"/>
      <c r="AA1140" s="85"/>
      <c r="AB1140" s="85"/>
      <c r="AC1140" s="85"/>
      <c r="AD1140" s="84"/>
      <c r="AE1140" s="84"/>
      <c r="AF1140" s="84"/>
      <c r="DB1140" s="85"/>
    </row>
    <row r="1141" spans="2:106">
      <c r="B1141" s="85"/>
      <c r="C1141" s="85"/>
      <c r="D1141" s="85"/>
      <c r="E1141" s="85"/>
      <c r="F1141" s="85"/>
      <c r="G1141" s="85"/>
      <c r="H1141" s="85"/>
      <c r="I1141" s="85"/>
      <c r="J1141" s="85"/>
      <c r="K1141" s="85"/>
      <c r="L1141" s="85"/>
      <c r="M1141" s="85"/>
      <c r="N1141" s="85"/>
      <c r="O1141" s="85"/>
      <c r="P1141" s="85"/>
      <c r="Q1141" s="85"/>
      <c r="R1141" s="85"/>
      <c r="S1141" s="85"/>
      <c r="T1141" s="85"/>
      <c r="U1141" s="85"/>
      <c r="V1141" s="85"/>
      <c r="W1141" s="85"/>
      <c r="X1141" s="85"/>
      <c r="Y1141" s="85"/>
      <c r="Z1141" s="85"/>
      <c r="AA1141" s="85"/>
      <c r="AB1141" s="85"/>
      <c r="AC1141" s="85"/>
      <c r="AD1141" s="84"/>
      <c r="AE1141" s="84"/>
      <c r="AF1141" s="84"/>
      <c r="DB1141" s="85"/>
    </row>
    <row r="1142" spans="2:106">
      <c r="B1142" s="85"/>
      <c r="C1142" s="85"/>
      <c r="D1142" s="85"/>
      <c r="E1142" s="85"/>
      <c r="F1142" s="85"/>
      <c r="G1142" s="85"/>
      <c r="H1142" s="85"/>
      <c r="I1142" s="85"/>
      <c r="J1142" s="85"/>
      <c r="K1142" s="85"/>
      <c r="L1142" s="85"/>
      <c r="M1142" s="85"/>
      <c r="N1142" s="85"/>
      <c r="O1142" s="85"/>
      <c r="P1142" s="85"/>
      <c r="Q1142" s="85"/>
      <c r="R1142" s="85"/>
      <c r="S1142" s="85"/>
      <c r="T1142" s="85"/>
      <c r="U1142" s="85"/>
      <c r="V1142" s="85"/>
      <c r="W1142" s="85"/>
      <c r="X1142" s="85"/>
      <c r="Y1142" s="85"/>
      <c r="Z1142" s="85"/>
      <c r="AA1142" s="85"/>
      <c r="AB1142" s="85"/>
      <c r="AC1142" s="85"/>
      <c r="AD1142" s="84"/>
      <c r="AE1142" s="84"/>
      <c r="AF1142" s="84"/>
      <c r="DB1142" s="85"/>
    </row>
    <row r="1143" spans="2:106">
      <c r="B1143" s="85"/>
      <c r="C1143" s="85"/>
      <c r="D1143" s="85"/>
      <c r="E1143" s="85"/>
      <c r="F1143" s="85"/>
      <c r="G1143" s="85"/>
      <c r="H1143" s="85"/>
      <c r="I1143" s="85"/>
      <c r="J1143" s="85"/>
      <c r="K1143" s="85"/>
      <c r="L1143" s="85"/>
      <c r="M1143" s="85"/>
      <c r="N1143" s="85"/>
      <c r="O1143" s="85"/>
      <c r="P1143" s="85"/>
      <c r="Q1143" s="85"/>
      <c r="R1143" s="85"/>
      <c r="S1143" s="85"/>
      <c r="T1143" s="85"/>
      <c r="U1143" s="85"/>
      <c r="V1143" s="85"/>
      <c r="W1143" s="85"/>
      <c r="X1143" s="85"/>
      <c r="Y1143" s="85"/>
      <c r="Z1143" s="85"/>
      <c r="AA1143" s="85"/>
      <c r="AB1143" s="85"/>
      <c r="AC1143" s="85"/>
      <c r="AD1143" s="84"/>
      <c r="AE1143" s="84"/>
      <c r="AF1143" s="84"/>
      <c r="DB1143" s="85"/>
    </row>
    <row r="1144" spans="2:106">
      <c r="B1144" s="85"/>
      <c r="C1144" s="85"/>
      <c r="D1144" s="85"/>
      <c r="E1144" s="85"/>
      <c r="F1144" s="85"/>
      <c r="G1144" s="85"/>
      <c r="H1144" s="85"/>
      <c r="I1144" s="85"/>
      <c r="J1144" s="85"/>
      <c r="K1144" s="85"/>
      <c r="L1144" s="85"/>
      <c r="M1144" s="85"/>
      <c r="N1144" s="85"/>
      <c r="O1144" s="85"/>
      <c r="P1144" s="85"/>
      <c r="Q1144" s="85"/>
      <c r="R1144" s="85"/>
      <c r="S1144" s="85"/>
      <c r="T1144" s="85"/>
      <c r="U1144" s="85"/>
      <c r="V1144" s="85"/>
      <c r="W1144" s="85"/>
      <c r="X1144" s="85"/>
      <c r="Y1144" s="85"/>
      <c r="Z1144" s="85"/>
      <c r="AA1144" s="85"/>
      <c r="AB1144" s="85"/>
      <c r="AC1144" s="85"/>
      <c r="AD1144" s="84"/>
      <c r="AE1144" s="84"/>
      <c r="AF1144" s="84"/>
      <c r="DB1144" s="85"/>
    </row>
    <row r="1145" spans="2:106">
      <c r="B1145" s="85"/>
      <c r="C1145" s="85"/>
      <c r="D1145" s="85"/>
      <c r="E1145" s="85"/>
      <c r="F1145" s="85"/>
      <c r="G1145" s="85"/>
      <c r="H1145" s="85"/>
      <c r="I1145" s="85"/>
      <c r="J1145" s="85"/>
      <c r="K1145" s="85"/>
      <c r="L1145" s="85"/>
      <c r="M1145" s="85"/>
      <c r="N1145" s="85"/>
      <c r="O1145" s="85"/>
      <c r="P1145" s="85"/>
      <c r="Q1145" s="85"/>
      <c r="R1145" s="85"/>
      <c r="S1145" s="85"/>
      <c r="T1145" s="85"/>
      <c r="U1145" s="85"/>
      <c r="V1145" s="85"/>
      <c r="W1145" s="85"/>
      <c r="X1145" s="85"/>
      <c r="Y1145" s="85"/>
      <c r="Z1145" s="85"/>
      <c r="AA1145" s="85"/>
      <c r="AB1145" s="85"/>
      <c r="AC1145" s="85"/>
      <c r="AD1145" s="84"/>
      <c r="AE1145" s="84"/>
      <c r="AF1145" s="84"/>
      <c r="DB1145" s="85"/>
    </row>
    <row r="1146" spans="2:106">
      <c r="B1146" s="85"/>
      <c r="C1146" s="85"/>
      <c r="D1146" s="85"/>
      <c r="E1146" s="85"/>
      <c r="F1146" s="85"/>
      <c r="G1146" s="85"/>
      <c r="H1146" s="85"/>
      <c r="I1146" s="85"/>
      <c r="J1146" s="85"/>
      <c r="K1146" s="85"/>
      <c r="L1146" s="85"/>
      <c r="M1146" s="85"/>
      <c r="N1146" s="85"/>
      <c r="O1146" s="85"/>
      <c r="P1146" s="85"/>
      <c r="Q1146" s="85"/>
      <c r="R1146" s="85"/>
      <c r="S1146" s="85"/>
      <c r="T1146" s="85"/>
      <c r="U1146" s="85"/>
      <c r="V1146" s="85"/>
      <c r="W1146" s="85"/>
      <c r="X1146" s="85"/>
      <c r="Y1146" s="85"/>
      <c r="Z1146" s="85"/>
      <c r="AA1146" s="85"/>
      <c r="AB1146" s="85"/>
      <c r="AC1146" s="85"/>
      <c r="AD1146" s="84"/>
      <c r="AE1146" s="84"/>
      <c r="AF1146" s="84"/>
      <c r="DB1146" s="85"/>
    </row>
    <row r="1147" spans="2:106">
      <c r="B1147" s="85"/>
      <c r="C1147" s="85"/>
      <c r="D1147" s="85"/>
      <c r="E1147" s="85"/>
      <c r="F1147" s="85"/>
      <c r="G1147" s="85"/>
      <c r="H1147" s="85"/>
      <c r="I1147" s="85"/>
      <c r="J1147" s="85"/>
      <c r="K1147" s="85"/>
      <c r="L1147" s="85"/>
      <c r="M1147" s="85"/>
      <c r="N1147" s="85"/>
      <c r="O1147" s="85"/>
      <c r="P1147" s="85"/>
      <c r="Q1147" s="85"/>
      <c r="R1147" s="85"/>
      <c r="S1147" s="85"/>
      <c r="T1147" s="85"/>
      <c r="U1147" s="85"/>
      <c r="V1147" s="85"/>
      <c r="W1147" s="85"/>
      <c r="X1147" s="85"/>
      <c r="Y1147" s="85"/>
      <c r="Z1147" s="85"/>
      <c r="AA1147" s="85"/>
      <c r="AB1147" s="85"/>
      <c r="AC1147" s="85"/>
      <c r="AD1147" s="84"/>
      <c r="AE1147" s="84"/>
      <c r="AF1147" s="84"/>
      <c r="DB1147" s="85"/>
    </row>
    <row r="1148" spans="2:106">
      <c r="B1148" s="85"/>
      <c r="C1148" s="85"/>
      <c r="D1148" s="85"/>
      <c r="E1148" s="85"/>
      <c r="F1148" s="85"/>
      <c r="G1148" s="85"/>
      <c r="H1148" s="85"/>
      <c r="I1148" s="85"/>
      <c r="J1148" s="85"/>
      <c r="K1148" s="85"/>
      <c r="L1148" s="85"/>
      <c r="M1148" s="85"/>
      <c r="N1148" s="85"/>
      <c r="O1148" s="85"/>
      <c r="P1148" s="85"/>
      <c r="Q1148" s="85"/>
      <c r="R1148" s="85"/>
      <c r="S1148" s="85"/>
      <c r="T1148" s="85"/>
      <c r="U1148" s="85"/>
      <c r="V1148" s="85"/>
      <c r="W1148" s="85"/>
      <c r="X1148" s="85"/>
      <c r="Y1148" s="85"/>
      <c r="Z1148" s="85"/>
      <c r="AA1148" s="85"/>
      <c r="AB1148" s="85"/>
      <c r="AC1148" s="85"/>
      <c r="AD1148" s="84"/>
      <c r="AE1148" s="84"/>
      <c r="AF1148" s="84"/>
      <c r="DB1148" s="85"/>
    </row>
    <row r="1149" spans="2:106">
      <c r="B1149" s="85"/>
      <c r="C1149" s="85"/>
      <c r="D1149" s="85"/>
      <c r="E1149" s="85"/>
      <c r="F1149" s="85"/>
      <c r="G1149" s="85"/>
      <c r="H1149" s="85"/>
      <c r="I1149" s="85"/>
      <c r="J1149" s="85"/>
      <c r="K1149" s="85"/>
      <c r="L1149" s="85"/>
      <c r="M1149" s="85"/>
      <c r="N1149" s="85"/>
      <c r="O1149" s="85"/>
      <c r="P1149" s="85"/>
      <c r="Q1149" s="85"/>
      <c r="R1149" s="85"/>
      <c r="S1149" s="85"/>
      <c r="T1149" s="85"/>
      <c r="U1149" s="85"/>
      <c r="V1149" s="85"/>
      <c r="W1149" s="85"/>
      <c r="X1149" s="85"/>
      <c r="Y1149" s="85"/>
      <c r="Z1149" s="85"/>
      <c r="AA1149" s="85"/>
      <c r="AB1149" s="85"/>
      <c r="AC1149" s="85"/>
      <c r="AD1149" s="84"/>
      <c r="AE1149" s="84"/>
      <c r="AF1149" s="84"/>
      <c r="DB1149" s="85"/>
    </row>
    <row r="1150" spans="2:106">
      <c r="B1150" s="85"/>
      <c r="C1150" s="85"/>
      <c r="D1150" s="85"/>
      <c r="E1150" s="85"/>
      <c r="F1150" s="85"/>
      <c r="G1150" s="85"/>
      <c r="H1150" s="85"/>
      <c r="I1150" s="85"/>
      <c r="J1150" s="85"/>
      <c r="K1150" s="85"/>
      <c r="L1150" s="85"/>
      <c r="M1150" s="85"/>
      <c r="N1150" s="85"/>
      <c r="O1150" s="85"/>
      <c r="P1150" s="85"/>
      <c r="Q1150" s="85"/>
      <c r="R1150" s="85"/>
      <c r="S1150" s="85"/>
      <c r="T1150" s="85"/>
      <c r="U1150" s="85"/>
      <c r="V1150" s="85"/>
      <c r="W1150" s="85"/>
      <c r="X1150" s="85"/>
      <c r="Y1150" s="85"/>
      <c r="Z1150" s="85"/>
      <c r="AA1150" s="85"/>
      <c r="AB1150" s="85"/>
      <c r="AC1150" s="85"/>
      <c r="AD1150" s="84"/>
      <c r="AE1150" s="84"/>
      <c r="AF1150" s="84"/>
      <c r="DB1150" s="85"/>
    </row>
    <row r="1151" spans="2:106">
      <c r="B1151" s="85"/>
      <c r="C1151" s="85"/>
      <c r="D1151" s="85"/>
      <c r="E1151" s="85"/>
      <c r="F1151" s="85"/>
      <c r="G1151" s="85"/>
      <c r="H1151" s="85"/>
      <c r="I1151" s="85"/>
      <c r="J1151" s="85"/>
      <c r="K1151" s="85"/>
      <c r="L1151" s="85"/>
      <c r="M1151" s="85"/>
      <c r="N1151" s="85"/>
      <c r="O1151" s="85"/>
      <c r="P1151" s="85"/>
      <c r="Q1151" s="85"/>
      <c r="R1151" s="85"/>
      <c r="S1151" s="85"/>
      <c r="T1151" s="85"/>
      <c r="U1151" s="85"/>
      <c r="V1151" s="85"/>
      <c r="W1151" s="85"/>
      <c r="X1151" s="85"/>
      <c r="Y1151" s="85"/>
      <c r="Z1151" s="85"/>
      <c r="AA1151" s="85"/>
      <c r="AB1151" s="85"/>
      <c r="AC1151" s="85"/>
      <c r="AD1151" s="84"/>
      <c r="AE1151" s="84"/>
      <c r="AF1151" s="84"/>
      <c r="DB1151" s="85"/>
    </row>
    <row r="1152" spans="2:106">
      <c r="B1152" s="85"/>
      <c r="C1152" s="85"/>
      <c r="D1152" s="85"/>
      <c r="E1152" s="85"/>
      <c r="F1152" s="85"/>
      <c r="G1152" s="85"/>
      <c r="H1152" s="85"/>
      <c r="I1152" s="85"/>
      <c r="J1152" s="85"/>
      <c r="K1152" s="85"/>
      <c r="L1152" s="85"/>
      <c r="M1152" s="85"/>
      <c r="N1152" s="85"/>
      <c r="O1152" s="85"/>
      <c r="P1152" s="85"/>
      <c r="Q1152" s="85"/>
      <c r="R1152" s="85"/>
      <c r="S1152" s="85"/>
      <c r="T1152" s="85"/>
      <c r="U1152" s="85"/>
      <c r="V1152" s="85"/>
      <c r="W1152" s="85"/>
      <c r="X1152" s="85"/>
      <c r="Y1152" s="85"/>
      <c r="Z1152" s="85"/>
      <c r="AA1152" s="85"/>
      <c r="AB1152" s="85"/>
      <c r="AC1152" s="85"/>
      <c r="AD1152" s="84"/>
      <c r="AE1152" s="84"/>
      <c r="AF1152" s="84"/>
      <c r="DB1152" s="85"/>
    </row>
    <row r="1153" spans="2:106">
      <c r="B1153" s="85"/>
      <c r="C1153" s="85"/>
      <c r="D1153" s="85"/>
      <c r="E1153" s="85"/>
      <c r="F1153" s="85"/>
      <c r="G1153" s="85"/>
      <c r="H1153" s="85"/>
      <c r="I1153" s="85"/>
      <c r="J1153" s="85"/>
      <c r="K1153" s="85"/>
      <c r="L1153" s="85"/>
      <c r="M1153" s="85"/>
      <c r="N1153" s="85"/>
      <c r="O1153" s="85"/>
      <c r="P1153" s="85"/>
      <c r="Q1153" s="85"/>
      <c r="R1153" s="85"/>
      <c r="S1153" s="85"/>
      <c r="T1153" s="85"/>
      <c r="U1153" s="85"/>
      <c r="V1153" s="85"/>
      <c r="W1153" s="85"/>
      <c r="X1153" s="85"/>
      <c r="Y1153" s="85"/>
      <c r="Z1153" s="85"/>
      <c r="AA1153" s="85"/>
      <c r="AB1153" s="85"/>
      <c r="AC1153" s="85"/>
      <c r="AD1153" s="84"/>
      <c r="AE1153" s="84"/>
      <c r="AF1153" s="84"/>
      <c r="DB1153" s="85"/>
    </row>
    <row r="1154" spans="2:106">
      <c r="B1154" s="85"/>
      <c r="C1154" s="85"/>
      <c r="D1154" s="85"/>
      <c r="E1154" s="85"/>
      <c r="F1154" s="85"/>
      <c r="G1154" s="85"/>
      <c r="H1154" s="85"/>
      <c r="I1154" s="85"/>
      <c r="J1154" s="85"/>
      <c r="K1154" s="85"/>
      <c r="L1154" s="85"/>
      <c r="M1154" s="85"/>
      <c r="N1154" s="85"/>
      <c r="O1154" s="85"/>
      <c r="P1154" s="85"/>
      <c r="Q1154" s="85"/>
      <c r="R1154" s="85"/>
      <c r="S1154" s="85"/>
      <c r="T1154" s="85"/>
      <c r="U1154" s="85"/>
      <c r="V1154" s="85"/>
      <c r="W1154" s="85"/>
      <c r="X1154" s="85"/>
      <c r="Y1154" s="85"/>
      <c r="Z1154" s="85"/>
      <c r="AA1154" s="85"/>
      <c r="AB1154" s="85"/>
      <c r="AC1154" s="85"/>
      <c r="AD1154" s="84"/>
      <c r="AE1154" s="84"/>
      <c r="AF1154" s="84"/>
      <c r="DB1154" s="85"/>
    </row>
    <row r="1155" spans="2:106">
      <c r="B1155" s="85"/>
      <c r="C1155" s="85"/>
      <c r="D1155" s="85"/>
      <c r="E1155" s="85"/>
      <c r="F1155" s="85"/>
      <c r="G1155" s="85"/>
      <c r="H1155" s="85"/>
      <c r="I1155" s="85"/>
      <c r="J1155" s="85"/>
      <c r="K1155" s="85"/>
      <c r="L1155" s="85"/>
      <c r="M1155" s="85"/>
      <c r="N1155" s="85"/>
      <c r="O1155" s="85"/>
      <c r="P1155" s="85"/>
      <c r="Q1155" s="85"/>
      <c r="R1155" s="85"/>
      <c r="S1155" s="85"/>
      <c r="T1155" s="85"/>
      <c r="U1155" s="85"/>
      <c r="V1155" s="85"/>
      <c r="W1155" s="85"/>
      <c r="X1155" s="85"/>
      <c r="Y1155" s="85"/>
      <c r="Z1155" s="85"/>
      <c r="AA1155" s="85"/>
      <c r="AB1155" s="85"/>
      <c r="AC1155" s="85"/>
      <c r="AD1155" s="84"/>
      <c r="AE1155" s="84"/>
      <c r="AF1155" s="84"/>
      <c r="DB1155" s="85"/>
    </row>
    <row r="1156" spans="2:106">
      <c r="B1156" s="85"/>
      <c r="C1156" s="85"/>
      <c r="D1156" s="85"/>
      <c r="E1156" s="85"/>
      <c r="F1156" s="85"/>
      <c r="G1156" s="85"/>
      <c r="H1156" s="85"/>
      <c r="I1156" s="85"/>
      <c r="J1156" s="85"/>
      <c r="K1156" s="85"/>
      <c r="L1156" s="85"/>
      <c r="M1156" s="85"/>
      <c r="N1156" s="85"/>
      <c r="O1156" s="85"/>
      <c r="P1156" s="85"/>
      <c r="Q1156" s="85"/>
      <c r="R1156" s="85"/>
      <c r="S1156" s="85"/>
      <c r="T1156" s="85"/>
      <c r="U1156" s="85"/>
      <c r="V1156" s="85"/>
      <c r="W1156" s="85"/>
      <c r="X1156" s="85"/>
      <c r="Y1156" s="85"/>
      <c r="Z1156" s="85"/>
      <c r="AA1156" s="85"/>
      <c r="AB1156" s="85"/>
      <c r="AC1156" s="85"/>
      <c r="AD1156" s="84"/>
      <c r="AE1156" s="84"/>
      <c r="AF1156" s="84"/>
      <c r="DB1156" s="85"/>
    </row>
    <row r="1157" spans="2:106">
      <c r="B1157" s="85"/>
      <c r="C1157" s="85"/>
      <c r="D1157" s="85"/>
      <c r="E1157" s="85"/>
      <c r="F1157" s="85"/>
      <c r="G1157" s="85"/>
      <c r="H1157" s="85"/>
      <c r="I1157" s="85"/>
      <c r="J1157" s="85"/>
      <c r="K1157" s="85"/>
      <c r="L1157" s="85"/>
      <c r="M1157" s="85"/>
      <c r="N1157" s="85"/>
      <c r="O1157" s="85"/>
      <c r="P1157" s="85"/>
      <c r="Q1157" s="85"/>
      <c r="R1157" s="85"/>
      <c r="S1157" s="85"/>
      <c r="T1157" s="85"/>
      <c r="U1157" s="85"/>
      <c r="V1157" s="85"/>
      <c r="W1157" s="85"/>
      <c r="X1157" s="85"/>
      <c r="Y1157" s="85"/>
      <c r="Z1157" s="85"/>
      <c r="AA1157" s="85"/>
      <c r="AB1157" s="85"/>
      <c r="AC1157" s="85"/>
      <c r="AD1157" s="84"/>
      <c r="AE1157" s="84"/>
      <c r="AF1157" s="84"/>
      <c r="DB1157" s="85"/>
    </row>
    <row r="1158" spans="2:106">
      <c r="B1158" s="85"/>
      <c r="C1158" s="85"/>
      <c r="D1158" s="85"/>
      <c r="E1158" s="85"/>
      <c r="F1158" s="85"/>
      <c r="G1158" s="85"/>
      <c r="H1158" s="85"/>
      <c r="I1158" s="85"/>
      <c r="J1158" s="85"/>
      <c r="K1158" s="85"/>
      <c r="L1158" s="85"/>
      <c r="M1158" s="85"/>
      <c r="N1158" s="85"/>
      <c r="O1158" s="85"/>
      <c r="P1158" s="85"/>
      <c r="Q1158" s="85"/>
      <c r="R1158" s="85"/>
      <c r="S1158" s="85"/>
      <c r="T1158" s="85"/>
      <c r="U1158" s="85"/>
      <c r="V1158" s="85"/>
      <c r="W1158" s="85"/>
      <c r="X1158" s="85"/>
      <c r="Y1158" s="85"/>
      <c r="Z1158" s="85"/>
      <c r="AA1158" s="85"/>
      <c r="AB1158" s="85"/>
      <c r="AC1158" s="85"/>
      <c r="AD1158" s="84"/>
      <c r="AE1158" s="84"/>
      <c r="AF1158" s="84"/>
      <c r="DB1158" s="85"/>
    </row>
    <row r="1159" spans="2:106">
      <c r="B1159" s="85"/>
      <c r="C1159" s="85"/>
      <c r="D1159" s="85"/>
      <c r="E1159" s="85"/>
      <c r="F1159" s="85"/>
      <c r="G1159" s="85"/>
      <c r="H1159" s="85"/>
      <c r="I1159" s="85"/>
      <c r="J1159" s="85"/>
      <c r="K1159" s="85"/>
      <c r="L1159" s="85"/>
      <c r="M1159" s="85"/>
      <c r="N1159" s="85"/>
      <c r="O1159" s="85"/>
      <c r="P1159" s="85"/>
      <c r="Q1159" s="85"/>
      <c r="R1159" s="85"/>
      <c r="S1159" s="85"/>
      <c r="T1159" s="85"/>
      <c r="U1159" s="85"/>
      <c r="V1159" s="85"/>
      <c r="W1159" s="85"/>
      <c r="X1159" s="85"/>
      <c r="Y1159" s="85"/>
      <c r="Z1159" s="85"/>
      <c r="AA1159" s="85"/>
      <c r="AB1159" s="85"/>
      <c r="AC1159" s="85"/>
      <c r="AD1159" s="84"/>
      <c r="AE1159" s="84"/>
      <c r="AF1159" s="84"/>
      <c r="DB1159" s="85"/>
    </row>
    <row r="1160" spans="2:106">
      <c r="B1160" s="85"/>
      <c r="C1160" s="85"/>
      <c r="D1160" s="85"/>
      <c r="E1160" s="85"/>
      <c r="F1160" s="85"/>
      <c r="G1160" s="85"/>
      <c r="H1160" s="85"/>
      <c r="I1160" s="85"/>
      <c r="J1160" s="85"/>
      <c r="K1160" s="85"/>
      <c r="L1160" s="85"/>
      <c r="M1160" s="85"/>
      <c r="N1160" s="85"/>
      <c r="O1160" s="85"/>
      <c r="P1160" s="85"/>
      <c r="Q1160" s="85"/>
      <c r="R1160" s="85"/>
      <c r="S1160" s="85"/>
      <c r="T1160" s="85"/>
      <c r="U1160" s="85"/>
      <c r="V1160" s="85"/>
      <c r="W1160" s="85"/>
      <c r="X1160" s="85"/>
      <c r="Y1160" s="85"/>
      <c r="Z1160" s="85"/>
      <c r="AA1160" s="85"/>
      <c r="AB1160" s="85"/>
      <c r="AC1160" s="85"/>
      <c r="AD1160" s="84"/>
      <c r="AE1160" s="84"/>
      <c r="AF1160" s="84"/>
      <c r="DB1160" s="85"/>
    </row>
    <row r="1161" spans="2:106">
      <c r="B1161" s="85"/>
      <c r="C1161" s="85"/>
      <c r="D1161" s="85"/>
      <c r="E1161" s="85"/>
      <c r="F1161" s="85"/>
      <c r="G1161" s="85"/>
      <c r="H1161" s="85"/>
      <c r="I1161" s="85"/>
      <c r="J1161" s="85"/>
      <c r="K1161" s="85"/>
      <c r="L1161" s="85"/>
      <c r="M1161" s="85"/>
      <c r="N1161" s="85"/>
      <c r="O1161" s="85"/>
      <c r="P1161" s="85"/>
      <c r="Q1161" s="85"/>
      <c r="R1161" s="85"/>
      <c r="S1161" s="85"/>
      <c r="T1161" s="85"/>
      <c r="U1161" s="85"/>
      <c r="V1161" s="85"/>
      <c r="W1161" s="85"/>
      <c r="X1161" s="85"/>
      <c r="Y1161" s="85"/>
      <c r="Z1161" s="85"/>
      <c r="AA1161" s="85"/>
      <c r="AB1161" s="85"/>
      <c r="AC1161" s="85"/>
      <c r="AD1161" s="84"/>
      <c r="AE1161" s="84"/>
      <c r="AF1161" s="84"/>
      <c r="DB1161" s="85"/>
    </row>
    <row r="1162" spans="2:106">
      <c r="B1162" s="85"/>
      <c r="C1162" s="85"/>
      <c r="D1162" s="85"/>
      <c r="E1162" s="85"/>
      <c r="F1162" s="85"/>
      <c r="G1162" s="85"/>
      <c r="H1162" s="85"/>
      <c r="I1162" s="85"/>
      <c r="J1162" s="85"/>
      <c r="K1162" s="85"/>
      <c r="L1162" s="85"/>
      <c r="M1162" s="85"/>
      <c r="N1162" s="85"/>
      <c r="O1162" s="85"/>
      <c r="P1162" s="85"/>
      <c r="Q1162" s="85"/>
      <c r="R1162" s="85"/>
      <c r="S1162" s="85"/>
      <c r="T1162" s="85"/>
      <c r="U1162" s="85"/>
      <c r="V1162" s="85"/>
      <c r="W1162" s="85"/>
      <c r="X1162" s="85"/>
      <c r="Y1162" s="85"/>
      <c r="Z1162" s="85"/>
      <c r="AA1162" s="85"/>
      <c r="AB1162" s="85"/>
      <c r="AC1162" s="85"/>
      <c r="AD1162" s="84"/>
      <c r="AE1162" s="84"/>
      <c r="AF1162" s="84"/>
      <c r="DB1162" s="85"/>
    </row>
    <row r="1163" spans="2:106">
      <c r="B1163" s="85"/>
      <c r="C1163" s="85"/>
      <c r="D1163" s="85"/>
      <c r="E1163" s="85"/>
      <c r="F1163" s="85"/>
      <c r="G1163" s="85"/>
      <c r="H1163" s="85"/>
      <c r="I1163" s="85"/>
      <c r="J1163" s="85"/>
      <c r="K1163" s="85"/>
      <c r="L1163" s="85"/>
      <c r="M1163" s="85"/>
      <c r="N1163" s="85"/>
      <c r="O1163" s="85"/>
      <c r="P1163" s="85"/>
      <c r="Q1163" s="85"/>
      <c r="R1163" s="85"/>
      <c r="S1163" s="85"/>
      <c r="T1163" s="85"/>
      <c r="U1163" s="85"/>
      <c r="V1163" s="85"/>
      <c r="W1163" s="85"/>
      <c r="X1163" s="85"/>
      <c r="Y1163" s="85"/>
      <c r="Z1163" s="85"/>
      <c r="AA1163" s="85"/>
      <c r="AB1163" s="85"/>
      <c r="AC1163" s="85"/>
      <c r="AD1163" s="84"/>
      <c r="AE1163" s="84"/>
      <c r="AF1163" s="84"/>
      <c r="DB1163" s="85"/>
    </row>
    <row r="1164" spans="2:106">
      <c r="B1164" s="85"/>
      <c r="C1164" s="85"/>
      <c r="D1164" s="85"/>
      <c r="E1164" s="85"/>
      <c r="F1164" s="85"/>
      <c r="G1164" s="85"/>
      <c r="H1164" s="85"/>
      <c r="I1164" s="85"/>
      <c r="J1164" s="85"/>
      <c r="K1164" s="85"/>
      <c r="L1164" s="85"/>
      <c r="M1164" s="85"/>
      <c r="N1164" s="85"/>
      <c r="O1164" s="85"/>
      <c r="P1164" s="85"/>
      <c r="Q1164" s="85"/>
      <c r="R1164" s="85"/>
      <c r="S1164" s="85"/>
      <c r="T1164" s="85"/>
      <c r="U1164" s="85"/>
      <c r="V1164" s="85"/>
      <c r="W1164" s="85"/>
      <c r="X1164" s="85"/>
      <c r="Y1164" s="85"/>
      <c r="Z1164" s="85"/>
      <c r="AA1164" s="85"/>
      <c r="AB1164" s="85"/>
      <c r="AC1164" s="85"/>
      <c r="AD1164" s="84"/>
      <c r="AE1164" s="84"/>
      <c r="AF1164" s="84"/>
      <c r="DB1164" s="85"/>
    </row>
    <row r="1165" spans="2:106">
      <c r="B1165" s="85"/>
      <c r="C1165" s="85"/>
      <c r="D1165" s="85"/>
      <c r="E1165" s="85"/>
      <c r="F1165" s="85"/>
      <c r="G1165" s="85"/>
      <c r="H1165" s="85"/>
      <c r="I1165" s="85"/>
      <c r="J1165" s="85"/>
      <c r="K1165" s="85"/>
      <c r="L1165" s="85"/>
      <c r="M1165" s="85"/>
      <c r="N1165" s="85"/>
      <c r="O1165" s="85"/>
      <c r="P1165" s="85"/>
      <c r="Q1165" s="85"/>
      <c r="R1165" s="85"/>
      <c r="S1165" s="85"/>
      <c r="T1165" s="85"/>
      <c r="U1165" s="85"/>
      <c r="V1165" s="85"/>
      <c r="W1165" s="85"/>
      <c r="X1165" s="85"/>
      <c r="Y1165" s="85"/>
      <c r="Z1165" s="85"/>
      <c r="AA1165" s="85"/>
      <c r="AB1165" s="85"/>
      <c r="AC1165" s="85"/>
      <c r="AD1165" s="84"/>
      <c r="AE1165" s="84"/>
      <c r="AF1165" s="84"/>
      <c r="DB1165" s="85"/>
    </row>
    <row r="1166" spans="2:106">
      <c r="B1166" s="85"/>
      <c r="C1166" s="85"/>
      <c r="D1166" s="85"/>
      <c r="E1166" s="85"/>
      <c r="F1166" s="85"/>
      <c r="G1166" s="85"/>
      <c r="H1166" s="85"/>
      <c r="I1166" s="85"/>
      <c r="J1166" s="85"/>
      <c r="K1166" s="85"/>
      <c r="L1166" s="85"/>
      <c r="M1166" s="85"/>
      <c r="N1166" s="85"/>
      <c r="O1166" s="85"/>
      <c r="P1166" s="85"/>
      <c r="Q1166" s="85"/>
      <c r="R1166" s="85"/>
      <c r="S1166" s="85"/>
      <c r="T1166" s="85"/>
      <c r="U1166" s="85"/>
      <c r="V1166" s="85"/>
      <c r="W1166" s="85"/>
      <c r="X1166" s="85"/>
      <c r="Y1166" s="85"/>
      <c r="Z1166" s="85"/>
      <c r="AA1166" s="85"/>
      <c r="AB1166" s="85"/>
      <c r="AC1166" s="85"/>
      <c r="AD1166" s="84"/>
      <c r="AE1166" s="84"/>
      <c r="AF1166" s="84"/>
      <c r="DB1166" s="85"/>
    </row>
    <row r="1167" spans="2:106">
      <c r="B1167" s="85"/>
      <c r="C1167" s="85"/>
      <c r="D1167" s="85"/>
      <c r="E1167" s="85"/>
      <c r="F1167" s="85"/>
      <c r="G1167" s="85"/>
      <c r="H1167" s="85"/>
      <c r="I1167" s="85"/>
      <c r="J1167" s="85"/>
      <c r="K1167" s="85"/>
      <c r="L1167" s="85"/>
      <c r="M1167" s="85"/>
      <c r="N1167" s="85"/>
      <c r="O1167" s="85"/>
      <c r="P1167" s="85"/>
      <c r="Q1167" s="85"/>
      <c r="R1167" s="85"/>
      <c r="S1167" s="85"/>
      <c r="T1167" s="85"/>
      <c r="U1167" s="85"/>
      <c r="V1167" s="85"/>
      <c r="W1167" s="85"/>
      <c r="X1167" s="85"/>
      <c r="Y1167" s="85"/>
      <c r="Z1167" s="85"/>
      <c r="AA1167" s="85"/>
      <c r="AB1167" s="85"/>
      <c r="AC1167" s="85"/>
      <c r="AD1167" s="84"/>
      <c r="AE1167" s="84"/>
      <c r="AF1167" s="84"/>
      <c r="DB1167" s="85"/>
    </row>
    <row r="1168" spans="2:106">
      <c r="B1168" s="85"/>
      <c r="C1168" s="85"/>
      <c r="D1168" s="85"/>
      <c r="E1168" s="85"/>
      <c r="F1168" s="85"/>
      <c r="G1168" s="85"/>
      <c r="H1168" s="85"/>
      <c r="I1168" s="85"/>
      <c r="J1168" s="85"/>
      <c r="K1168" s="85"/>
      <c r="L1168" s="85"/>
      <c r="M1168" s="85"/>
      <c r="N1168" s="85"/>
      <c r="O1168" s="85"/>
      <c r="P1168" s="85"/>
      <c r="Q1168" s="85"/>
      <c r="R1168" s="85"/>
      <c r="S1168" s="85"/>
      <c r="T1168" s="85"/>
      <c r="U1168" s="85"/>
      <c r="V1168" s="85"/>
      <c r="W1168" s="85"/>
      <c r="X1168" s="85"/>
      <c r="Y1168" s="85"/>
      <c r="Z1168" s="85"/>
      <c r="AA1168" s="85"/>
      <c r="AB1168" s="85"/>
      <c r="AC1168" s="85"/>
      <c r="AD1168" s="84"/>
      <c r="AE1168" s="84"/>
      <c r="AF1168" s="84"/>
      <c r="DB1168" s="85"/>
    </row>
    <row r="1169" spans="2:106">
      <c r="B1169" s="85"/>
      <c r="C1169" s="85"/>
      <c r="D1169" s="85"/>
      <c r="E1169" s="85"/>
      <c r="F1169" s="85"/>
      <c r="G1169" s="85"/>
      <c r="H1169" s="85"/>
      <c r="I1169" s="85"/>
      <c r="J1169" s="85"/>
      <c r="K1169" s="85"/>
      <c r="L1169" s="85"/>
      <c r="M1169" s="85"/>
      <c r="N1169" s="85"/>
      <c r="O1169" s="85"/>
      <c r="P1169" s="85"/>
      <c r="Q1169" s="85"/>
      <c r="R1169" s="85"/>
      <c r="S1169" s="85"/>
      <c r="T1169" s="85"/>
      <c r="U1169" s="85"/>
      <c r="V1169" s="85"/>
      <c r="W1169" s="85"/>
      <c r="X1169" s="85"/>
      <c r="Y1169" s="85"/>
      <c r="Z1169" s="85"/>
      <c r="AA1169" s="85"/>
      <c r="AB1169" s="85"/>
      <c r="AC1169" s="85"/>
      <c r="AD1169" s="84"/>
      <c r="AE1169" s="84"/>
      <c r="AF1169" s="84"/>
      <c r="DB1169" s="85"/>
    </row>
    <row r="1170" spans="2:106">
      <c r="B1170" s="85"/>
      <c r="C1170" s="85"/>
      <c r="D1170" s="85"/>
      <c r="E1170" s="85"/>
      <c r="F1170" s="85"/>
      <c r="G1170" s="85"/>
      <c r="H1170" s="85"/>
      <c r="I1170" s="85"/>
      <c r="J1170" s="85"/>
      <c r="K1170" s="85"/>
      <c r="L1170" s="85"/>
      <c r="M1170" s="85"/>
      <c r="N1170" s="85"/>
      <c r="O1170" s="85"/>
      <c r="P1170" s="85"/>
      <c r="Q1170" s="85"/>
      <c r="R1170" s="85"/>
      <c r="S1170" s="85"/>
      <c r="T1170" s="85"/>
      <c r="U1170" s="85"/>
      <c r="V1170" s="85"/>
      <c r="W1170" s="85"/>
      <c r="X1170" s="85"/>
      <c r="Y1170" s="85"/>
      <c r="Z1170" s="85"/>
      <c r="AA1170" s="85"/>
      <c r="AB1170" s="85"/>
      <c r="AC1170" s="85"/>
      <c r="AD1170" s="84"/>
      <c r="AE1170" s="84"/>
      <c r="AF1170" s="84"/>
      <c r="DB1170" s="85"/>
    </row>
    <row r="1171" spans="2:106">
      <c r="B1171" s="85"/>
      <c r="C1171" s="85"/>
      <c r="D1171" s="85"/>
      <c r="E1171" s="85"/>
      <c r="F1171" s="85"/>
      <c r="G1171" s="85"/>
      <c r="H1171" s="85"/>
      <c r="I1171" s="85"/>
      <c r="J1171" s="85"/>
      <c r="K1171" s="85"/>
      <c r="L1171" s="85"/>
      <c r="M1171" s="85"/>
      <c r="N1171" s="85"/>
      <c r="O1171" s="85"/>
      <c r="P1171" s="85"/>
      <c r="Q1171" s="85"/>
      <c r="R1171" s="85"/>
      <c r="S1171" s="85"/>
      <c r="T1171" s="85"/>
      <c r="U1171" s="85"/>
      <c r="V1171" s="85"/>
      <c r="W1171" s="85"/>
      <c r="X1171" s="85"/>
      <c r="Y1171" s="85"/>
      <c r="Z1171" s="85"/>
      <c r="AA1171" s="85"/>
      <c r="AB1171" s="85"/>
      <c r="AC1171" s="85"/>
      <c r="AD1171" s="84"/>
      <c r="AE1171" s="84"/>
      <c r="AF1171" s="84"/>
      <c r="DB1171" s="85"/>
    </row>
    <row r="1172" spans="2:106">
      <c r="B1172" s="85"/>
      <c r="C1172" s="85"/>
      <c r="D1172" s="85"/>
      <c r="E1172" s="85"/>
      <c r="F1172" s="85"/>
      <c r="G1172" s="85"/>
      <c r="H1172" s="85"/>
      <c r="I1172" s="85"/>
      <c r="J1172" s="85"/>
      <c r="K1172" s="85"/>
      <c r="L1172" s="85"/>
      <c r="M1172" s="85"/>
      <c r="N1172" s="85"/>
      <c r="O1172" s="85"/>
      <c r="P1172" s="85"/>
      <c r="Q1172" s="85"/>
      <c r="R1172" s="85"/>
      <c r="S1172" s="85"/>
      <c r="T1172" s="85"/>
      <c r="U1172" s="85"/>
      <c r="V1172" s="85"/>
      <c r="W1172" s="85"/>
      <c r="X1172" s="85"/>
      <c r="Y1172" s="85"/>
      <c r="Z1172" s="85"/>
      <c r="AA1172" s="85"/>
      <c r="AB1172" s="85"/>
      <c r="AC1172" s="85"/>
      <c r="AD1172" s="84"/>
      <c r="AE1172" s="84"/>
      <c r="AF1172" s="84"/>
      <c r="DB1172" s="85"/>
    </row>
    <row r="1173" spans="2:106">
      <c r="B1173" s="85"/>
      <c r="C1173" s="85"/>
      <c r="D1173" s="85"/>
      <c r="E1173" s="85"/>
      <c r="F1173" s="85"/>
      <c r="G1173" s="85"/>
      <c r="H1173" s="85"/>
      <c r="I1173" s="85"/>
      <c r="J1173" s="85"/>
      <c r="K1173" s="85"/>
      <c r="L1173" s="85"/>
      <c r="M1173" s="85"/>
      <c r="N1173" s="85"/>
      <c r="O1173" s="85"/>
      <c r="P1173" s="85"/>
      <c r="Q1173" s="85"/>
      <c r="R1173" s="85"/>
      <c r="S1173" s="85"/>
      <c r="T1173" s="85"/>
      <c r="U1173" s="85"/>
      <c r="V1173" s="85"/>
      <c r="W1173" s="85"/>
      <c r="X1173" s="85"/>
      <c r="Y1173" s="85"/>
      <c r="Z1173" s="85"/>
      <c r="AA1173" s="85"/>
      <c r="AB1173" s="85"/>
      <c r="AC1173" s="85"/>
      <c r="AD1173" s="84"/>
      <c r="AE1173" s="84"/>
      <c r="AF1173" s="84"/>
      <c r="DB1173" s="85"/>
    </row>
    <row r="1174" spans="2:106">
      <c r="B1174" s="85"/>
      <c r="C1174" s="85"/>
      <c r="D1174" s="85"/>
      <c r="E1174" s="85"/>
      <c r="F1174" s="85"/>
      <c r="G1174" s="85"/>
      <c r="H1174" s="85"/>
      <c r="I1174" s="85"/>
      <c r="J1174" s="85"/>
      <c r="K1174" s="85"/>
      <c r="L1174" s="85"/>
      <c r="M1174" s="85"/>
      <c r="N1174" s="85"/>
      <c r="O1174" s="85"/>
      <c r="P1174" s="85"/>
      <c r="Q1174" s="85"/>
      <c r="R1174" s="85"/>
      <c r="S1174" s="85"/>
      <c r="T1174" s="85"/>
      <c r="U1174" s="85"/>
      <c r="V1174" s="85"/>
      <c r="W1174" s="85"/>
      <c r="X1174" s="85"/>
      <c r="Y1174" s="85"/>
      <c r="Z1174" s="85"/>
      <c r="AA1174" s="85"/>
      <c r="AB1174" s="85"/>
      <c r="AC1174" s="85"/>
      <c r="AD1174" s="84"/>
      <c r="AE1174" s="84"/>
      <c r="AF1174" s="84"/>
      <c r="DB1174" s="85"/>
    </row>
    <row r="1175" spans="2:106">
      <c r="B1175" s="85"/>
      <c r="C1175" s="85"/>
      <c r="D1175" s="85"/>
      <c r="E1175" s="85"/>
      <c r="F1175" s="85"/>
      <c r="G1175" s="85"/>
      <c r="H1175" s="85"/>
      <c r="I1175" s="85"/>
      <c r="J1175" s="85"/>
      <c r="K1175" s="85"/>
      <c r="L1175" s="85"/>
      <c r="M1175" s="85"/>
      <c r="N1175" s="85"/>
      <c r="O1175" s="85"/>
      <c r="P1175" s="85"/>
      <c r="Q1175" s="85"/>
      <c r="R1175" s="85"/>
      <c r="S1175" s="85"/>
      <c r="T1175" s="85"/>
      <c r="U1175" s="85"/>
      <c r="V1175" s="85"/>
      <c r="W1175" s="85"/>
      <c r="X1175" s="85"/>
      <c r="Y1175" s="85"/>
      <c r="Z1175" s="85"/>
      <c r="AA1175" s="85"/>
      <c r="AB1175" s="85"/>
      <c r="AC1175" s="85"/>
      <c r="AD1175" s="84"/>
      <c r="AE1175" s="84"/>
      <c r="AF1175" s="84"/>
      <c r="DB1175" s="85"/>
    </row>
    <row r="1176" spans="2:106">
      <c r="B1176" s="85"/>
      <c r="C1176" s="85"/>
      <c r="D1176" s="85"/>
      <c r="E1176" s="85"/>
      <c r="F1176" s="85"/>
      <c r="G1176" s="85"/>
      <c r="H1176" s="85"/>
      <c r="I1176" s="85"/>
      <c r="J1176" s="85"/>
      <c r="K1176" s="85"/>
      <c r="L1176" s="85"/>
      <c r="M1176" s="85"/>
      <c r="N1176" s="85"/>
      <c r="O1176" s="85"/>
      <c r="P1176" s="85"/>
      <c r="Q1176" s="85"/>
      <c r="R1176" s="85"/>
      <c r="S1176" s="85"/>
      <c r="T1176" s="85"/>
      <c r="U1176" s="85"/>
      <c r="V1176" s="85"/>
      <c r="W1176" s="85"/>
      <c r="X1176" s="85"/>
      <c r="Y1176" s="85"/>
      <c r="Z1176" s="85"/>
      <c r="AA1176" s="85"/>
      <c r="AB1176" s="85"/>
      <c r="AC1176" s="85"/>
      <c r="AD1176" s="84"/>
      <c r="AE1176" s="84"/>
      <c r="AF1176" s="84"/>
      <c r="DB1176" s="85"/>
    </row>
    <row r="1177" spans="2:106">
      <c r="B1177" s="85"/>
      <c r="C1177" s="85"/>
      <c r="D1177" s="85"/>
      <c r="E1177" s="85"/>
      <c r="F1177" s="85"/>
      <c r="G1177" s="85"/>
      <c r="H1177" s="85"/>
      <c r="I1177" s="85"/>
      <c r="J1177" s="85"/>
      <c r="K1177" s="85"/>
      <c r="L1177" s="85"/>
      <c r="M1177" s="85"/>
      <c r="N1177" s="85"/>
      <c r="O1177" s="85"/>
      <c r="P1177" s="85"/>
      <c r="Q1177" s="85"/>
      <c r="R1177" s="85"/>
      <c r="S1177" s="85"/>
      <c r="T1177" s="85"/>
      <c r="U1177" s="85"/>
      <c r="V1177" s="85"/>
      <c r="W1177" s="85"/>
      <c r="X1177" s="85"/>
      <c r="Y1177" s="85"/>
      <c r="Z1177" s="85"/>
      <c r="AA1177" s="85"/>
      <c r="AB1177" s="85"/>
      <c r="AC1177" s="85"/>
      <c r="AD1177" s="84"/>
      <c r="AE1177" s="84"/>
      <c r="AF1177" s="84"/>
      <c r="DB1177" s="85"/>
    </row>
    <row r="1178" spans="2:106">
      <c r="B1178" s="85"/>
      <c r="C1178" s="85"/>
      <c r="D1178" s="85"/>
      <c r="E1178" s="85"/>
      <c r="F1178" s="85"/>
      <c r="G1178" s="85"/>
      <c r="H1178" s="85"/>
      <c r="I1178" s="85"/>
      <c r="J1178" s="85"/>
      <c r="K1178" s="85"/>
      <c r="L1178" s="85"/>
      <c r="M1178" s="85"/>
      <c r="N1178" s="85"/>
      <c r="O1178" s="85"/>
      <c r="P1178" s="85"/>
      <c r="Q1178" s="85"/>
      <c r="R1178" s="85"/>
      <c r="S1178" s="85"/>
      <c r="T1178" s="85"/>
      <c r="U1178" s="85"/>
      <c r="V1178" s="85"/>
      <c r="W1178" s="85"/>
      <c r="X1178" s="85"/>
      <c r="Y1178" s="85"/>
      <c r="Z1178" s="85"/>
      <c r="AA1178" s="85"/>
      <c r="AB1178" s="85"/>
      <c r="AC1178" s="85"/>
      <c r="AD1178" s="84"/>
      <c r="AE1178" s="84"/>
      <c r="AF1178" s="84"/>
      <c r="DB1178" s="85"/>
    </row>
    <row r="1179" spans="2:106">
      <c r="B1179" s="85"/>
      <c r="C1179" s="85"/>
      <c r="D1179" s="85"/>
      <c r="E1179" s="85"/>
      <c r="F1179" s="85"/>
      <c r="G1179" s="85"/>
      <c r="H1179" s="85"/>
      <c r="I1179" s="85"/>
      <c r="J1179" s="85"/>
      <c r="K1179" s="85"/>
      <c r="L1179" s="85"/>
      <c r="M1179" s="85"/>
      <c r="N1179" s="85"/>
      <c r="O1179" s="85"/>
      <c r="P1179" s="85"/>
      <c r="Q1179" s="85"/>
      <c r="R1179" s="85"/>
      <c r="S1179" s="85"/>
      <c r="T1179" s="85"/>
      <c r="U1179" s="85"/>
      <c r="V1179" s="85"/>
      <c r="W1179" s="85"/>
      <c r="X1179" s="85"/>
      <c r="Y1179" s="85"/>
      <c r="Z1179" s="85"/>
      <c r="AA1179" s="85"/>
      <c r="AB1179" s="85"/>
      <c r="AC1179" s="85"/>
      <c r="AD1179" s="84"/>
      <c r="AE1179" s="84"/>
      <c r="AF1179" s="84"/>
      <c r="DB1179" s="85"/>
    </row>
    <row r="1180" spans="2:106">
      <c r="B1180" s="85"/>
      <c r="C1180" s="85"/>
      <c r="D1180" s="85"/>
      <c r="E1180" s="85"/>
      <c r="F1180" s="85"/>
      <c r="G1180" s="85"/>
      <c r="H1180" s="85"/>
      <c r="I1180" s="85"/>
      <c r="J1180" s="85"/>
      <c r="K1180" s="85"/>
      <c r="L1180" s="85"/>
      <c r="M1180" s="85"/>
      <c r="N1180" s="85"/>
      <c r="O1180" s="85"/>
      <c r="P1180" s="85"/>
      <c r="Q1180" s="85"/>
      <c r="R1180" s="85"/>
      <c r="S1180" s="85"/>
      <c r="T1180" s="85"/>
      <c r="U1180" s="85"/>
      <c r="V1180" s="85"/>
      <c r="W1180" s="85"/>
      <c r="X1180" s="85"/>
      <c r="Y1180" s="85"/>
      <c r="Z1180" s="85"/>
      <c r="AA1180" s="85"/>
      <c r="AB1180" s="85"/>
      <c r="AC1180" s="85"/>
      <c r="AD1180" s="84"/>
      <c r="AE1180" s="84"/>
      <c r="AF1180" s="84"/>
      <c r="DB1180" s="85"/>
    </row>
    <row r="1181" spans="2:106">
      <c r="B1181" s="85"/>
      <c r="C1181" s="85"/>
      <c r="D1181" s="85"/>
      <c r="E1181" s="85"/>
      <c r="F1181" s="85"/>
      <c r="G1181" s="85"/>
      <c r="H1181" s="85"/>
      <c r="I1181" s="85"/>
      <c r="J1181" s="85"/>
      <c r="K1181" s="85"/>
      <c r="L1181" s="85"/>
      <c r="M1181" s="85"/>
      <c r="N1181" s="85"/>
      <c r="O1181" s="85"/>
      <c r="P1181" s="85"/>
      <c r="Q1181" s="85"/>
      <c r="R1181" s="85"/>
      <c r="S1181" s="85"/>
      <c r="T1181" s="85"/>
      <c r="U1181" s="85"/>
      <c r="V1181" s="85"/>
      <c r="W1181" s="85"/>
      <c r="X1181" s="85"/>
      <c r="Y1181" s="85"/>
      <c r="Z1181" s="85"/>
      <c r="AA1181" s="85"/>
      <c r="AB1181" s="85"/>
      <c r="AC1181" s="85"/>
      <c r="AD1181" s="84"/>
      <c r="AE1181" s="84"/>
      <c r="AF1181" s="84"/>
      <c r="DB1181" s="85"/>
    </row>
    <row r="1182" spans="2:106">
      <c r="B1182" s="85"/>
      <c r="C1182" s="85"/>
      <c r="D1182" s="85"/>
      <c r="E1182" s="85"/>
      <c r="F1182" s="85"/>
      <c r="G1182" s="85"/>
      <c r="H1182" s="85"/>
      <c r="I1182" s="85"/>
      <c r="J1182" s="85"/>
      <c r="K1182" s="85"/>
      <c r="L1182" s="85"/>
      <c r="M1182" s="85"/>
      <c r="N1182" s="85"/>
      <c r="O1182" s="85"/>
      <c r="P1182" s="85"/>
      <c r="Q1182" s="85"/>
      <c r="R1182" s="85"/>
      <c r="S1182" s="85"/>
      <c r="T1182" s="85"/>
      <c r="U1182" s="85"/>
      <c r="V1182" s="85"/>
      <c r="W1182" s="85"/>
      <c r="X1182" s="85"/>
      <c r="Y1182" s="85"/>
      <c r="Z1182" s="85"/>
      <c r="AA1182" s="85"/>
      <c r="AB1182" s="85"/>
      <c r="AC1182" s="85"/>
      <c r="AD1182" s="84"/>
      <c r="AE1182" s="84"/>
      <c r="AF1182" s="84"/>
      <c r="DB1182" s="85"/>
    </row>
    <row r="1183" spans="2:106">
      <c r="B1183" s="85"/>
      <c r="C1183" s="85"/>
      <c r="D1183" s="85"/>
      <c r="E1183" s="85"/>
      <c r="F1183" s="85"/>
      <c r="G1183" s="85"/>
      <c r="H1183" s="85"/>
      <c r="I1183" s="85"/>
      <c r="J1183" s="85"/>
      <c r="K1183" s="85"/>
      <c r="L1183" s="85"/>
      <c r="M1183" s="85"/>
      <c r="N1183" s="85"/>
      <c r="O1183" s="85"/>
      <c r="P1183" s="85"/>
      <c r="Q1183" s="85"/>
      <c r="R1183" s="85"/>
      <c r="S1183" s="85"/>
      <c r="T1183" s="85"/>
      <c r="U1183" s="85"/>
      <c r="V1183" s="85"/>
      <c r="W1183" s="85"/>
      <c r="X1183" s="85"/>
      <c r="Y1183" s="85"/>
      <c r="Z1183" s="85"/>
      <c r="AA1183" s="85"/>
      <c r="AB1183" s="85"/>
      <c r="AC1183" s="85"/>
      <c r="AD1183" s="84"/>
      <c r="AE1183" s="84"/>
      <c r="AF1183" s="84"/>
      <c r="DB1183" s="85"/>
    </row>
    <row r="1184" spans="2:106">
      <c r="B1184" s="85"/>
      <c r="C1184" s="85"/>
      <c r="D1184" s="85"/>
      <c r="E1184" s="85"/>
      <c r="F1184" s="85"/>
      <c r="G1184" s="85"/>
      <c r="H1184" s="85"/>
      <c r="I1184" s="85"/>
      <c r="J1184" s="85"/>
      <c r="K1184" s="85"/>
      <c r="L1184" s="85"/>
      <c r="M1184" s="85"/>
      <c r="N1184" s="85"/>
      <c r="O1184" s="85"/>
      <c r="P1184" s="85"/>
      <c r="Q1184" s="85"/>
      <c r="R1184" s="85"/>
      <c r="S1184" s="85"/>
      <c r="T1184" s="85"/>
      <c r="U1184" s="85"/>
      <c r="V1184" s="85"/>
      <c r="W1184" s="85"/>
      <c r="X1184" s="85"/>
      <c r="Y1184" s="85"/>
      <c r="Z1184" s="85"/>
      <c r="AA1184" s="85"/>
      <c r="AB1184" s="85"/>
      <c r="AC1184" s="85"/>
      <c r="AD1184" s="84"/>
      <c r="AE1184" s="84"/>
      <c r="AF1184" s="84"/>
      <c r="DB1184" s="85"/>
    </row>
    <row r="1185" spans="2:106">
      <c r="B1185" s="85"/>
      <c r="C1185" s="85"/>
      <c r="D1185" s="85"/>
      <c r="E1185" s="85"/>
      <c r="F1185" s="85"/>
      <c r="G1185" s="85"/>
      <c r="H1185" s="85"/>
      <c r="I1185" s="85"/>
      <c r="J1185" s="85"/>
      <c r="K1185" s="85"/>
      <c r="L1185" s="85"/>
      <c r="M1185" s="85"/>
      <c r="N1185" s="85"/>
      <c r="O1185" s="85"/>
      <c r="P1185" s="85"/>
      <c r="Q1185" s="85"/>
      <c r="R1185" s="85"/>
      <c r="S1185" s="85"/>
      <c r="T1185" s="85"/>
      <c r="U1185" s="85"/>
      <c r="V1185" s="85"/>
      <c r="W1185" s="85"/>
      <c r="X1185" s="85"/>
      <c r="Y1185" s="85"/>
      <c r="Z1185" s="85"/>
      <c r="AA1185" s="85"/>
      <c r="AB1185" s="85"/>
      <c r="AC1185" s="85"/>
      <c r="AD1185" s="84"/>
      <c r="AE1185" s="84"/>
      <c r="AF1185" s="84"/>
      <c r="DB1185" s="85"/>
    </row>
    <row r="1186" spans="2:106">
      <c r="B1186" s="85"/>
      <c r="C1186" s="85"/>
      <c r="D1186" s="85"/>
      <c r="E1186" s="85"/>
      <c r="F1186" s="85"/>
      <c r="G1186" s="85"/>
      <c r="H1186" s="85"/>
      <c r="I1186" s="85"/>
      <c r="J1186" s="85"/>
      <c r="K1186" s="85"/>
      <c r="L1186" s="85"/>
      <c r="M1186" s="85"/>
      <c r="N1186" s="85"/>
      <c r="O1186" s="85"/>
      <c r="P1186" s="85"/>
      <c r="Q1186" s="85"/>
      <c r="R1186" s="85"/>
      <c r="S1186" s="85"/>
      <c r="T1186" s="85"/>
      <c r="U1186" s="85"/>
      <c r="V1186" s="85"/>
      <c r="W1186" s="85"/>
      <c r="X1186" s="85"/>
      <c r="Y1186" s="85"/>
      <c r="Z1186" s="85"/>
      <c r="AA1186" s="85"/>
      <c r="AB1186" s="85"/>
      <c r="AC1186" s="85"/>
      <c r="AD1186" s="84"/>
      <c r="AE1186" s="84"/>
      <c r="AF1186" s="84"/>
      <c r="DB1186" s="85"/>
    </row>
    <row r="1187" spans="2:106">
      <c r="B1187" s="85"/>
      <c r="C1187" s="85"/>
      <c r="D1187" s="85"/>
      <c r="E1187" s="85"/>
      <c r="F1187" s="85"/>
      <c r="G1187" s="85"/>
      <c r="H1187" s="85"/>
      <c r="I1187" s="85"/>
      <c r="J1187" s="85"/>
      <c r="K1187" s="85"/>
      <c r="L1187" s="85"/>
      <c r="M1187" s="85"/>
      <c r="N1187" s="85"/>
      <c r="O1187" s="85"/>
      <c r="P1187" s="85"/>
      <c r="Q1187" s="85"/>
      <c r="R1187" s="85"/>
      <c r="S1187" s="85"/>
      <c r="T1187" s="85"/>
      <c r="U1187" s="85"/>
      <c r="V1187" s="85"/>
      <c r="W1187" s="85"/>
      <c r="X1187" s="85"/>
      <c r="Y1187" s="85"/>
      <c r="Z1187" s="85"/>
      <c r="AA1187" s="85"/>
      <c r="AB1187" s="85"/>
      <c r="AC1187" s="85"/>
      <c r="AD1187" s="84"/>
      <c r="AE1187" s="84"/>
      <c r="AF1187" s="84"/>
      <c r="DB1187" s="85"/>
    </row>
    <row r="1188" spans="2:106">
      <c r="B1188" s="85"/>
      <c r="C1188" s="85"/>
      <c r="D1188" s="85"/>
      <c r="E1188" s="85"/>
      <c r="F1188" s="85"/>
      <c r="G1188" s="85"/>
      <c r="H1188" s="85"/>
      <c r="I1188" s="85"/>
      <c r="J1188" s="85"/>
      <c r="K1188" s="85"/>
      <c r="L1188" s="85"/>
      <c r="M1188" s="85"/>
      <c r="N1188" s="85"/>
      <c r="O1188" s="85"/>
      <c r="P1188" s="85"/>
      <c r="Q1188" s="85"/>
      <c r="R1188" s="85"/>
      <c r="S1188" s="85"/>
      <c r="T1188" s="85"/>
      <c r="U1188" s="85"/>
      <c r="V1188" s="85"/>
      <c r="W1188" s="85"/>
      <c r="X1188" s="85"/>
      <c r="Y1188" s="85"/>
      <c r="Z1188" s="85"/>
      <c r="AA1188" s="85"/>
      <c r="AB1188" s="85"/>
      <c r="AC1188" s="85"/>
      <c r="AD1188" s="84"/>
      <c r="AE1188" s="84"/>
      <c r="AF1188" s="84"/>
      <c r="DB1188" s="85"/>
    </row>
    <row r="1189" spans="2:106">
      <c r="B1189" s="85"/>
      <c r="C1189" s="85"/>
      <c r="D1189" s="85"/>
      <c r="E1189" s="85"/>
      <c r="F1189" s="85"/>
      <c r="G1189" s="85"/>
      <c r="H1189" s="85"/>
      <c r="I1189" s="85"/>
      <c r="J1189" s="85"/>
      <c r="K1189" s="85"/>
      <c r="L1189" s="85"/>
      <c r="M1189" s="85"/>
      <c r="N1189" s="85"/>
      <c r="O1189" s="85"/>
      <c r="P1189" s="85"/>
      <c r="Q1189" s="85"/>
      <c r="R1189" s="85"/>
      <c r="S1189" s="85"/>
      <c r="T1189" s="85"/>
      <c r="U1189" s="85"/>
      <c r="V1189" s="85"/>
      <c r="W1189" s="85"/>
      <c r="X1189" s="85"/>
      <c r="Y1189" s="85"/>
      <c r="Z1189" s="85"/>
      <c r="AA1189" s="85"/>
      <c r="AB1189" s="85"/>
      <c r="AC1189" s="85"/>
      <c r="AD1189" s="84"/>
      <c r="AE1189" s="84"/>
      <c r="AF1189" s="84"/>
      <c r="DB1189" s="85"/>
    </row>
    <row r="1190" spans="2:106">
      <c r="B1190" s="85"/>
      <c r="C1190" s="85"/>
      <c r="D1190" s="85"/>
      <c r="E1190" s="85"/>
      <c r="F1190" s="85"/>
      <c r="G1190" s="85"/>
      <c r="H1190" s="85"/>
      <c r="I1190" s="85"/>
      <c r="J1190" s="85"/>
      <c r="K1190" s="85"/>
      <c r="L1190" s="85"/>
      <c r="M1190" s="85"/>
      <c r="N1190" s="85"/>
      <c r="O1190" s="85"/>
      <c r="P1190" s="85"/>
      <c r="Q1190" s="85"/>
      <c r="R1190" s="85"/>
      <c r="S1190" s="85"/>
      <c r="T1190" s="85"/>
      <c r="U1190" s="85"/>
      <c r="V1190" s="85"/>
      <c r="W1190" s="85"/>
      <c r="X1190" s="85"/>
      <c r="Y1190" s="85"/>
      <c r="Z1190" s="85"/>
      <c r="AA1190" s="85"/>
      <c r="AB1190" s="85"/>
      <c r="AC1190" s="85"/>
      <c r="AD1190" s="84"/>
      <c r="AE1190" s="84"/>
      <c r="AF1190" s="84"/>
      <c r="DB1190" s="85"/>
    </row>
    <row r="1191" spans="2:106">
      <c r="B1191" s="85"/>
      <c r="C1191" s="85"/>
      <c r="D1191" s="85"/>
      <c r="E1191" s="85"/>
      <c r="F1191" s="85"/>
      <c r="G1191" s="85"/>
      <c r="H1191" s="85"/>
      <c r="I1191" s="85"/>
      <c r="J1191" s="85"/>
      <c r="K1191" s="85"/>
      <c r="L1191" s="85"/>
      <c r="M1191" s="85"/>
      <c r="N1191" s="85"/>
      <c r="O1191" s="85"/>
      <c r="P1191" s="85"/>
      <c r="Q1191" s="85"/>
      <c r="R1191" s="85"/>
      <c r="S1191" s="85"/>
      <c r="T1191" s="85"/>
      <c r="U1191" s="85"/>
      <c r="V1191" s="85"/>
      <c r="W1191" s="85"/>
      <c r="X1191" s="85"/>
      <c r="Y1191" s="85"/>
      <c r="Z1191" s="85"/>
      <c r="AA1191" s="85"/>
      <c r="AB1191" s="85"/>
      <c r="AC1191" s="85"/>
      <c r="AD1191" s="84"/>
      <c r="AE1191" s="84"/>
      <c r="AF1191" s="84"/>
      <c r="DB1191" s="85"/>
    </row>
    <row r="1192" spans="2:106">
      <c r="B1192" s="85"/>
      <c r="C1192" s="85"/>
      <c r="D1192" s="85"/>
      <c r="E1192" s="85"/>
      <c r="F1192" s="85"/>
      <c r="G1192" s="85"/>
      <c r="H1192" s="85"/>
      <c r="I1192" s="85"/>
      <c r="J1192" s="85"/>
      <c r="K1192" s="85"/>
      <c r="L1192" s="85"/>
      <c r="M1192" s="85"/>
      <c r="N1192" s="85"/>
      <c r="O1192" s="85"/>
      <c r="P1192" s="85"/>
      <c r="Q1192" s="85"/>
      <c r="R1192" s="85"/>
      <c r="S1192" s="85"/>
      <c r="T1192" s="85"/>
      <c r="U1192" s="85"/>
      <c r="V1192" s="85"/>
      <c r="W1192" s="85"/>
      <c r="X1192" s="85"/>
      <c r="Y1192" s="85"/>
      <c r="Z1192" s="85"/>
      <c r="AA1192" s="85"/>
      <c r="AB1192" s="85"/>
      <c r="AC1192" s="85"/>
      <c r="AD1192" s="84"/>
      <c r="AE1192" s="84"/>
      <c r="AF1192" s="84"/>
      <c r="DB1192" s="85"/>
    </row>
    <row r="1193" spans="2:106">
      <c r="B1193" s="85"/>
      <c r="C1193" s="85"/>
      <c r="D1193" s="85"/>
      <c r="E1193" s="85"/>
      <c r="F1193" s="85"/>
      <c r="G1193" s="85"/>
      <c r="H1193" s="85"/>
      <c r="I1193" s="85"/>
      <c r="J1193" s="85"/>
      <c r="K1193" s="85"/>
      <c r="L1193" s="85"/>
      <c r="M1193" s="85"/>
      <c r="N1193" s="85"/>
      <c r="O1193" s="85"/>
      <c r="P1193" s="85"/>
      <c r="Q1193" s="85"/>
      <c r="R1193" s="85"/>
      <c r="S1193" s="85"/>
      <c r="T1193" s="85"/>
      <c r="U1193" s="85"/>
      <c r="V1193" s="85"/>
      <c r="W1193" s="85"/>
      <c r="X1193" s="85"/>
      <c r="Y1193" s="85"/>
      <c r="Z1193" s="85"/>
      <c r="AA1193" s="85"/>
      <c r="AB1193" s="85"/>
      <c r="AC1193" s="85"/>
      <c r="AD1193" s="84"/>
      <c r="AE1193" s="84"/>
      <c r="AF1193" s="84"/>
      <c r="DB1193" s="85"/>
    </row>
    <row r="1194" spans="2:106">
      <c r="B1194" s="85"/>
      <c r="C1194" s="85"/>
      <c r="D1194" s="85"/>
      <c r="E1194" s="85"/>
      <c r="F1194" s="85"/>
      <c r="G1194" s="85"/>
      <c r="H1194" s="85"/>
      <c r="I1194" s="85"/>
      <c r="J1194" s="85"/>
      <c r="K1194" s="85"/>
      <c r="L1194" s="85"/>
      <c r="M1194" s="85"/>
      <c r="N1194" s="85"/>
      <c r="O1194" s="85"/>
      <c r="P1194" s="85"/>
      <c r="Q1194" s="85"/>
      <c r="R1194" s="85"/>
      <c r="S1194" s="85"/>
      <c r="T1194" s="85"/>
      <c r="U1194" s="85"/>
      <c r="V1194" s="85"/>
      <c r="W1194" s="85"/>
      <c r="X1194" s="85"/>
      <c r="Y1194" s="85"/>
      <c r="Z1194" s="85"/>
      <c r="AA1194" s="85"/>
      <c r="AB1194" s="85"/>
      <c r="AC1194" s="85"/>
      <c r="AD1194" s="84"/>
      <c r="AE1194" s="84"/>
      <c r="AF1194" s="84"/>
      <c r="DB1194" s="85"/>
    </row>
    <row r="1195" spans="2:106">
      <c r="B1195" s="85"/>
      <c r="C1195" s="85"/>
      <c r="D1195" s="85"/>
      <c r="E1195" s="85"/>
      <c r="F1195" s="85"/>
      <c r="G1195" s="85"/>
      <c r="H1195" s="85"/>
      <c r="I1195" s="85"/>
      <c r="J1195" s="85"/>
      <c r="K1195" s="85"/>
      <c r="L1195" s="85"/>
      <c r="M1195" s="85"/>
      <c r="N1195" s="85"/>
      <c r="O1195" s="85"/>
      <c r="P1195" s="85"/>
      <c r="Q1195" s="85"/>
      <c r="R1195" s="85"/>
      <c r="S1195" s="85"/>
      <c r="T1195" s="85"/>
      <c r="U1195" s="85"/>
      <c r="V1195" s="85"/>
      <c r="W1195" s="85"/>
      <c r="X1195" s="85"/>
      <c r="Y1195" s="85"/>
      <c r="Z1195" s="85"/>
      <c r="AA1195" s="85"/>
      <c r="AB1195" s="85"/>
      <c r="AC1195" s="85"/>
      <c r="AD1195" s="84"/>
      <c r="AE1195" s="84"/>
      <c r="AF1195" s="84"/>
      <c r="DB1195" s="85"/>
    </row>
    <row r="1196" spans="2:106">
      <c r="B1196" s="85"/>
      <c r="C1196" s="85"/>
      <c r="D1196" s="85"/>
      <c r="E1196" s="85"/>
      <c r="F1196" s="85"/>
      <c r="G1196" s="85"/>
      <c r="H1196" s="85"/>
      <c r="I1196" s="85"/>
      <c r="J1196" s="85"/>
      <c r="K1196" s="85"/>
      <c r="L1196" s="85"/>
      <c r="M1196" s="85"/>
      <c r="N1196" s="85"/>
      <c r="O1196" s="85"/>
      <c r="P1196" s="85"/>
      <c r="Q1196" s="85"/>
      <c r="R1196" s="85"/>
      <c r="S1196" s="85"/>
      <c r="T1196" s="85"/>
      <c r="U1196" s="85"/>
      <c r="V1196" s="85"/>
      <c r="W1196" s="85"/>
      <c r="X1196" s="85"/>
      <c r="Y1196" s="85"/>
      <c r="Z1196" s="85"/>
      <c r="AA1196" s="85"/>
      <c r="AB1196" s="85"/>
      <c r="AC1196" s="85"/>
      <c r="AD1196" s="84"/>
      <c r="AE1196" s="84"/>
      <c r="AF1196" s="84"/>
      <c r="DB1196" s="85"/>
    </row>
    <row r="1197" spans="2:106">
      <c r="B1197" s="85"/>
      <c r="C1197" s="85"/>
      <c r="D1197" s="85"/>
      <c r="E1197" s="85"/>
      <c r="F1197" s="85"/>
      <c r="G1197" s="85"/>
      <c r="H1197" s="85"/>
      <c r="I1197" s="85"/>
      <c r="J1197" s="85"/>
      <c r="K1197" s="85"/>
      <c r="L1197" s="85"/>
      <c r="M1197" s="85"/>
      <c r="N1197" s="85"/>
      <c r="O1197" s="85"/>
      <c r="P1197" s="85"/>
      <c r="Q1197" s="85"/>
      <c r="R1197" s="85"/>
      <c r="S1197" s="85"/>
      <c r="T1197" s="85"/>
      <c r="U1197" s="85"/>
      <c r="V1197" s="85"/>
      <c r="W1197" s="85"/>
      <c r="X1197" s="85"/>
      <c r="Y1197" s="85"/>
      <c r="Z1197" s="85"/>
      <c r="AA1197" s="85"/>
      <c r="AB1197" s="85"/>
      <c r="AC1197" s="85"/>
      <c r="AD1197" s="84"/>
      <c r="AE1197" s="84"/>
      <c r="AF1197" s="84"/>
      <c r="DB1197" s="85"/>
    </row>
    <row r="1198" spans="2:106">
      <c r="B1198" s="85"/>
      <c r="C1198" s="85"/>
      <c r="D1198" s="85"/>
      <c r="E1198" s="85"/>
      <c r="F1198" s="85"/>
      <c r="G1198" s="85"/>
      <c r="H1198" s="85"/>
      <c r="I1198" s="85"/>
      <c r="J1198" s="85"/>
      <c r="K1198" s="85"/>
      <c r="L1198" s="85"/>
      <c r="M1198" s="85"/>
      <c r="N1198" s="85"/>
      <c r="O1198" s="85"/>
      <c r="P1198" s="85"/>
      <c r="Q1198" s="85"/>
      <c r="R1198" s="85"/>
      <c r="S1198" s="85"/>
      <c r="T1198" s="85"/>
      <c r="U1198" s="85"/>
      <c r="V1198" s="85"/>
      <c r="W1198" s="85"/>
      <c r="X1198" s="85"/>
      <c r="Y1198" s="85"/>
      <c r="Z1198" s="85"/>
      <c r="AA1198" s="85"/>
      <c r="AB1198" s="85"/>
      <c r="AC1198" s="85"/>
      <c r="AD1198" s="84"/>
      <c r="AE1198" s="84"/>
      <c r="AF1198" s="84"/>
      <c r="DB1198" s="85"/>
    </row>
    <row r="1199" spans="2:106">
      <c r="B1199" s="85"/>
      <c r="C1199" s="85"/>
      <c r="D1199" s="85"/>
      <c r="E1199" s="85"/>
      <c r="F1199" s="85"/>
      <c r="G1199" s="85"/>
      <c r="H1199" s="85"/>
      <c r="I1199" s="85"/>
      <c r="J1199" s="85"/>
      <c r="K1199" s="85"/>
      <c r="L1199" s="85"/>
      <c r="M1199" s="85"/>
      <c r="N1199" s="85"/>
      <c r="O1199" s="85"/>
      <c r="P1199" s="85"/>
      <c r="Q1199" s="85"/>
      <c r="R1199" s="85"/>
      <c r="S1199" s="85"/>
      <c r="T1199" s="85"/>
      <c r="U1199" s="85"/>
      <c r="V1199" s="85"/>
      <c r="W1199" s="85"/>
      <c r="X1199" s="85"/>
      <c r="Y1199" s="85"/>
      <c r="Z1199" s="85"/>
      <c r="AA1199" s="85"/>
      <c r="AB1199" s="85"/>
      <c r="AC1199" s="85"/>
      <c r="AD1199" s="84"/>
      <c r="AE1199" s="84"/>
      <c r="AF1199" s="84"/>
      <c r="DB1199" s="85"/>
    </row>
    <row r="1200" spans="2:106">
      <c r="B1200" s="85"/>
      <c r="C1200" s="85"/>
      <c r="D1200" s="85"/>
      <c r="E1200" s="85"/>
      <c r="F1200" s="85"/>
      <c r="G1200" s="85"/>
      <c r="H1200" s="85"/>
      <c r="I1200" s="85"/>
      <c r="J1200" s="85"/>
      <c r="K1200" s="85"/>
      <c r="L1200" s="85"/>
      <c r="M1200" s="85"/>
      <c r="N1200" s="85"/>
      <c r="O1200" s="85"/>
      <c r="P1200" s="85"/>
      <c r="Q1200" s="85"/>
      <c r="R1200" s="85"/>
      <c r="S1200" s="85"/>
      <c r="T1200" s="85"/>
      <c r="U1200" s="85"/>
      <c r="V1200" s="85"/>
      <c r="W1200" s="85"/>
      <c r="X1200" s="85"/>
      <c r="Y1200" s="85"/>
      <c r="Z1200" s="85"/>
      <c r="AA1200" s="85"/>
      <c r="AB1200" s="85"/>
      <c r="AC1200" s="85"/>
      <c r="AD1200" s="84"/>
      <c r="AE1200" s="84"/>
      <c r="AF1200" s="84"/>
      <c r="DB1200" s="85"/>
    </row>
    <row r="1201" spans="2:106">
      <c r="B1201" s="85"/>
      <c r="C1201" s="85"/>
      <c r="D1201" s="85"/>
      <c r="E1201" s="85"/>
      <c r="F1201" s="85"/>
      <c r="G1201" s="85"/>
      <c r="H1201" s="85"/>
      <c r="I1201" s="85"/>
      <c r="J1201" s="85"/>
      <c r="K1201" s="85"/>
      <c r="L1201" s="85"/>
      <c r="M1201" s="85"/>
      <c r="N1201" s="85"/>
      <c r="O1201" s="85"/>
      <c r="P1201" s="85"/>
      <c r="Q1201" s="85"/>
      <c r="R1201" s="85"/>
      <c r="S1201" s="85"/>
      <c r="T1201" s="85"/>
      <c r="U1201" s="85"/>
      <c r="V1201" s="85"/>
      <c r="W1201" s="85"/>
      <c r="X1201" s="85"/>
      <c r="Y1201" s="85"/>
      <c r="Z1201" s="85"/>
      <c r="AA1201" s="85"/>
      <c r="AB1201" s="85"/>
      <c r="AC1201" s="85"/>
      <c r="AD1201" s="84"/>
      <c r="AE1201" s="84"/>
      <c r="AF1201" s="84"/>
      <c r="DB1201" s="85"/>
    </row>
    <row r="1202" spans="2:106">
      <c r="B1202" s="85"/>
      <c r="C1202" s="85"/>
      <c r="D1202" s="85"/>
      <c r="E1202" s="85"/>
      <c r="F1202" s="85"/>
      <c r="G1202" s="85"/>
      <c r="H1202" s="85"/>
      <c r="I1202" s="85"/>
      <c r="J1202" s="85"/>
      <c r="K1202" s="85"/>
      <c r="L1202" s="85"/>
      <c r="M1202" s="85"/>
      <c r="N1202" s="85"/>
      <c r="O1202" s="85"/>
      <c r="P1202" s="85"/>
      <c r="Q1202" s="85"/>
      <c r="R1202" s="85"/>
      <c r="S1202" s="85"/>
      <c r="T1202" s="85"/>
      <c r="U1202" s="85"/>
      <c r="V1202" s="85"/>
      <c r="W1202" s="85"/>
      <c r="X1202" s="85"/>
      <c r="Y1202" s="85"/>
      <c r="Z1202" s="85"/>
      <c r="AA1202" s="85"/>
      <c r="AB1202" s="85"/>
      <c r="AC1202" s="85"/>
      <c r="AD1202" s="84"/>
      <c r="AE1202" s="84"/>
      <c r="AF1202" s="84"/>
      <c r="DB1202" s="85"/>
    </row>
    <row r="1203" spans="2:106">
      <c r="B1203" s="85"/>
      <c r="C1203" s="85"/>
      <c r="D1203" s="85"/>
      <c r="E1203" s="85"/>
      <c r="F1203" s="85"/>
      <c r="G1203" s="85"/>
      <c r="H1203" s="85"/>
      <c r="I1203" s="85"/>
      <c r="J1203" s="85"/>
      <c r="K1203" s="85"/>
      <c r="L1203" s="85"/>
      <c r="M1203" s="85"/>
      <c r="N1203" s="85"/>
      <c r="O1203" s="85"/>
      <c r="P1203" s="85"/>
      <c r="Q1203" s="85"/>
      <c r="R1203" s="85"/>
      <c r="S1203" s="85"/>
      <c r="T1203" s="85"/>
      <c r="U1203" s="85"/>
      <c r="V1203" s="85"/>
      <c r="W1203" s="85"/>
      <c r="X1203" s="85"/>
      <c r="Y1203" s="85"/>
      <c r="Z1203" s="85"/>
      <c r="AA1203" s="85"/>
      <c r="AB1203" s="85"/>
      <c r="AC1203" s="85"/>
      <c r="AD1203" s="84"/>
      <c r="AE1203" s="84"/>
      <c r="AF1203" s="84"/>
      <c r="DB1203" s="85"/>
    </row>
    <row r="1204" spans="2:106">
      <c r="B1204" s="85"/>
      <c r="C1204" s="85"/>
      <c r="D1204" s="85"/>
      <c r="E1204" s="85"/>
      <c r="F1204" s="85"/>
      <c r="G1204" s="85"/>
      <c r="H1204" s="85"/>
      <c r="I1204" s="85"/>
      <c r="J1204" s="85"/>
      <c r="K1204" s="85"/>
      <c r="L1204" s="85"/>
      <c r="M1204" s="85"/>
      <c r="N1204" s="85"/>
      <c r="O1204" s="85"/>
      <c r="P1204" s="85"/>
      <c r="Q1204" s="85"/>
      <c r="R1204" s="85"/>
      <c r="S1204" s="85"/>
      <c r="T1204" s="85"/>
      <c r="U1204" s="85"/>
      <c r="V1204" s="85"/>
      <c r="W1204" s="85"/>
      <c r="X1204" s="85"/>
      <c r="Y1204" s="85"/>
      <c r="Z1204" s="85"/>
      <c r="AA1204" s="85"/>
      <c r="AB1204" s="85"/>
      <c r="AC1204" s="85"/>
      <c r="AD1204" s="84"/>
      <c r="AE1204" s="84"/>
      <c r="AF1204" s="84"/>
      <c r="DB1204" s="85"/>
    </row>
    <row r="1205" spans="2:106">
      <c r="B1205" s="85"/>
      <c r="C1205" s="85"/>
      <c r="D1205" s="85"/>
      <c r="E1205" s="85"/>
      <c r="F1205" s="85"/>
      <c r="G1205" s="85"/>
      <c r="H1205" s="85"/>
      <c r="I1205" s="85"/>
      <c r="J1205" s="85"/>
      <c r="K1205" s="85"/>
      <c r="L1205" s="85"/>
      <c r="M1205" s="85"/>
      <c r="N1205" s="85"/>
      <c r="O1205" s="85"/>
      <c r="P1205" s="85"/>
      <c r="Q1205" s="85"/>
      <c r="R1205" s="85"/>
      <c r="S1205" s="85"/>
      <c r="T1205" s="85"/>
      <c r="U1205" s="85"/>
      <c r="V1205" s="85"/>
      <c r="W1205" s="85"/>
      <c r="X1205" s="85"/>
      <c r="Y1205" s="85"/>
      <c r="Z1205" s="85"/>
      <c r="AA1205" s="85"/>
      <c r="AB1205" s="85"/>
      <c r="AC1205" s="85"/>
      <c r="AD1205" s="84"/>
      <c r="AE1205" s="84"/>
      <c r="AF1205" s="84"/>
      <c r="DB1205" s="85"/>
    </row>
    <row r="1206" spans="2:106">
      <c r="B1206" s="85"/>
      <c r="C1206" s="85"/>
      <c r="D1206" s="85"/>
      <c r="E1206" s="85"/>
      <c r="F1206" s="85"/>
      <c r="G1206" s="85"/>
      <c r="H1206" s="85"/>
      <c r="I1206" s="85"/>
      <c r="J1206" s="85"/>
      <c r="K1206" s="85"/>
      <c r="L1206" s="85"/>
      <c r="M1206" s="85"/>
      <c r="N1206" s="85"/>
      <c r="O1206" s="85"/>
      <c r="P1206" s="85"/>
      <c r="Q1206" s="85"/>
      <c r="R1206" s="85"/>
      <c r="S1206" s="85"/>
      <c r="T1206" s="85"/>
      <c r="U1206" s="85"/>
      <c r="V1206" s="85"/>
      <c r="W1206" s="85"/>
      <c r="X1206" s="85"/>
      <c r="Y1206" s="85"/>
      <c r="Z1206" s="85"/>
      <c r="AA1206" s="85"/>
      <c r="AB1206" s="85"/>
      <c r="AC1206" s="85"/>
      <c r="AD1206" s="84"/>
      <c r="AE1206" s="84"/>
      <c r="AF1206" s="84"/>
      <c r="DB1206" s="85"/>
    </row>
    <row r="1207" spans="2:106">
      <c r="B1207" s="85"/>
      <c r="C1207" s="85"/>
      <c r="D1207" s="85"/>
      <c r="E1207" s="85"/>
      <c r="F1207" s="85"/>
      <c r="G1207" s="85"/>
      <c r="H1207" s="85"/>
      <c r="I1207" s="85"/>
      <c r="J1207" s="85"/>
      <c r="K1207" s="85"/>
      <c r="L1207" s="85"/>
      <c r="M1207" s="85"/>
      <c r="N1207" s="85"/>
      <c r="O1207" s="85"/>
      <c r="P1207" s="85"/>
      <c r="Q1207" s="85"/>
      <c r="R1207" s="85"/>
      <c r="S1207" s="85"/>
      <c r="T1207" s="85"/>
      <c r="U1207" s="85"/>
      <c r="V1207" s="85"/>
      <c r="W1207" s="85"/>
      <c r="X1207" s="85"/>
      <c r="Y1207" s="85"/>
      <c r="Z1207" s="85"/>
      <c r="AA1207" s="85"/>
      <c r="AB1207" s="85"/>
      <c r="AC1207" s="85"/>
      <c r="AD1207" s="84"/>
      <c r="AE1207" s="84"/>
      <c r="AF1207" s="84"/>
      <c r="DB1207" s="85"/>
    </row>
    <row r="1208" spans="2:106">
      <c r="B1208" s="85"/>
      <c r="C1208" s="85"/>
      <c r="D1208" s="85"/>
      <c r="E1208" s="85"/>
      <c r="F1208" s="85"/>
      <c r="G1208" s="85"/>
      <c r="H1208" s="85"/>
      <c r="I1208" s="85"/>
      <c r="J1208" s="85"/>
      <c r="K1208" s="85"/>
      <c r="L1208" s="85"/>
      <c r="M1208" s="85"/>
      <c r="N1208" s="85"/>
      <c r="O1208" s="85"/>
      <c r="P1208" s="85"/>
      <c r="Q1208" s="85"/>
      <c r="R1208" s="85"/>
      <c r="S1208" s="85"/>
      <c r="T1208" s="85"/>
      <c r="U1208" s="85"/>
      <c r="V1208" s="85"/>
      <c r="W1208" s="85"/>
      <c r="X1208" s="85"/>
      <c r="Y1208" s="85"/>
      <c r="Z1208" s="85"/>
      <c r="AA1208" s="85"/>
      <c r="AB1208" s="85"/>
      <c r="AC1208" s="85"/>
      <c r="AD1208" s="84"/>
      <c r="AE1208" s="84"/>
      <c r="AF1208" s="84"/>
      <c r="DB1208" s="85"/>
    </row>
    <row r="1209" spans="2:106">
      <c r="B1209" s="85"/>
      <c r="C1209" s="85"/>
      <c r="D1209" s="85"/>
      <c r="E1209" s="85"/>
      <c r="F1209" s="85"/>
      <c r="G1209" s="85"/>
      <c r="H1209" s="85"/>
      <c r="I1209" s="85"/>
      <c r="J1209" s="85"/>
      <c r="K1209" s="85"/>
      <c r="L1209" s="85"/>
      <c r="M1209" s="85"/>
      <c r="N1209" s="85"/>
      <c r="O1209" s="85"/>
      <c r="P1209" s="85"/>
      <c r="Q1209" s="85"/>
      <c r="R1209" s="85"/>
      <c r="S1209" s="85"/>
      <c r="T1209" s="85"/>
      <c r="U1209" s="85"/>
      <c r="V1209" s="85"/>
      <c r="W1209" s="85"/>
      <c r="X1209" s="85"/>
      <c r="Y1209" s="85"/>
      <c r="Z1209" s="85"/>
      <c r="AA1209" s="85"/>
      <c r="AB1209" s="85"/>
      <c r="AC1209" s="85"/>
      <c r="AD1209" s="84"/>
      <c r="AE1209" s="84"/>
      <c r="AF1209" s="84"/>
      <c r="DB1209" s="85"/>
    </row>
    <row r="1210" spans="2:106">
      <c r="B1210" s="85"/>
      <c r="C1210" s="85"/>
      <c r="D1210" s="85"/>
      <c r="E1210" s="85"/>
      <c r="F1210" s="85"/>
      <c r="G1210" s="85"/>
      <c r="H1210" s="85"/>
      <c r="I1210" s="85"/>
      <c r="J1210" s="85"/>
      <c r="K1210" s="85"/>
      <c r="L1210" s="85"/>
      <c r="M1210" s="85"/>
      <c r="N1210" s="85"/>
      <c r="O1210" s="85"/>
      <c r="P1210" s="85"/>
      <c r="Q1210" s="85"/>
      <c r="R1210" s="85"/>
      <c r="S1210" s="85"/>
      <c r="T1210" s="85"/>
      <c r="U1210" s="85"/>
      <c r="V1210" s="85"/>
      <c r="W1210" s="85"/>
      <c r="X1210" s="85"/>
      <c r="Y1210" s="85"/>
      <c r="Z1210" s="85"/>
      <c r="AA1210" s="85"/>
      <c r="AB1210" s="85"/>
      <c r="AC1210" s="85"/>
      <c r="AD1210" s="84"/>
      <c r="AE1210" s="84"/>
      <c r="AF1210" s="84"/>
      <c r="DB1210" s="85"/>
    </row>
    <row r="1211" spans="2:106">
      <c r="B1211" s="85"/>
      <c r="C1211" s="85"/>
      <c r="D1211" s="85"/>
      <c r="E1211" s="85"/>
      <c r="F1211" s="85"/>
      <c r="G1211" s="85"/>
      <c r="H1211" s="85"/>
      <c r="I1211" s="85"/>
      <c r="J1211" s="85"/>
      <c r="K1211" s="85"/>
      <c r="L1211" s="85"/>
      <c r="M1211" s="85"/>
      <c r="N1211" s="85"/>
      <c r="O1211" s="85"/>
      <c r="P1211" s="85"/>
      <c r="Q1211" s="85"/>
      <c r="R1211" s="85"/>
      <c r="S1211" s="85"/>
      <c r="T1211" s="85"/>
      <c r="U1211" s="85"/>
      <c r="V1211" s="85"/>
      <c r="W1211" s="85"/>
      <c r="X1211" s="85"/>
      <c r="Y1211" s="85"/>
      <c r="Z1211" s="85"/>
      <c r="AA1211" s="85"/>
      <c r="AB1211" s="85"/>
      <c r="AC1211" s="85"/>
      <c r="AD1211" s="84"/>
      <c r="AE1211" s="84"/>
      <c r="AF1211" s="84"/>
      <c r="DB1211" s="85"/>
    </row>
    <row r="1212" spans="2:106">
      <c r="B1212" s="85"/>
      <c r="C1212" s="85"/>
      <c r="D1212" s="85"/>
      <c r="E1212" s="85"/>
      <c r="F1212" s="85"/>
      <c r="G1212" s="85"/>
      <c r="H1212" s="85"/>
      <c r="I1212" s="85"/>
      <c r="J1212" s="85"/>
      <c r="K1212" s="85"/>
      <c r="L1212" s="85"/>
      <c r="M1212" s="85"/>
      <c r="N1212" s="85"/>
      <c r="O1212" s="85"/>
      <c r="P1212" s="85"/>
      <c r="Q1212" s="85"/>
      <c r="R1212" s="85"/>
      <c r="S1212" s="85"/>
      <c r="T1212" s="85"/>
      <c r="U1212" s="85"/>
      <c r="V1212" s="85"/>
      <c r="W1212" s="85"/>
      <c r="X1212" s="85"/>
      <c r="Y1212" s="85"/>
      <c r="Z1212" s="85"/>
      <c r="AA1212" s="85"/>
      <c r="AB1212" s="85"/>
      <c r="AC1212" s="85"/>
      <c r="AD1212" s="84"/>
      <c r="AE1212" s="84"/>
      <c r="AF1212" s="84"/>
      <c r="DB1212" s="85"/>
    </row>
    <row r="1213" spans="2:106">
      <c r="B1213" s="85"/>
      <c r="C1213" s="85"/>
      <c r="D1213" s="85"/>
      <c r="E1213" s="85"/>
      <c r="F1213" s="85"/>
      <c r="G1213" s="85"/>
      <c r="H1213" s="85"/>
      <c r="I1213" s="85"/>
      <c r="J1213" s="85"/>
      <c r="K1213" s="85"/>
      <c r="L1213" s="85"/>
      <c r="M1213" s="85"/>
      <c r="N1213" s="85"/>
      <c r="O1213" s="85"/>
      <c r="P1213" s="85"/>
      <c r="Q1213" s="85"/>
      <c r="R1213" s="85"/>
      <c r="S1213" s="85"/>
      <c r="T1213" s="85"/>
      <c r="U1213" s="85"/>
      <c r="V1213" s="85"/>
      <c r="W1213" s="85"/>
      <c r="X1213" s="85"/>
      <c r="Y1213" s="85"/>
      <c r="Z1213" s="85"/>
      <c r="AA1213" s="85"/>
      <c r="AB1213" s="85"/>
      <c r="AC1213" s="85"/>
      <c r="AD1213" s="84"/>
      <c r="AE1213" s="84"/>
      <c r="AF1213" s="84"/>
      <c r="DB1213" s="85"/>
    </row>
    <row r="1214" spans="2:106">
      <c r="B1214" s="85"/>
      <c r="C1214" s="85"/>
      <c r="D1214" s="85"/>
      <c r="E1214" s="85"/>
      <c r="F1214" s="85"/>
      <c r="G1214" s="85"/>
      <c r="H1214" s="85"/>
      <c r="I1214" s="85"/>
      <c r="J1214" s="85"/>
      <c r="K1214" s="85"/>
      <c r="L1214" s="85"/>
      <c r="M1214" s="85"/>
      <c r="N1214" s="85"/>
      <c r="O1214" s="85"/>
      <c r="P1214" s="85"/>
      <c r="Q1214" s="85"/>
      <c r="R1214" s="85"/>
      <c r="S1214" s="85"/>
      <c r="T1214" s="85"/>
      <c r="U1214" s="85"/>
      <c r="V1214" s="85"/>
      <c r="W1214" s="85"/>
      <c r="X1214" s="85"/>
      <c r="Y1214" s="85"/>
      <c r="Z1214" s="85"/>
      <c r="AA1214" s="85"/>
      <c r="AB1214" s="85"/>
      <c r="AC1214" s="85"/>
      <c r="AD1214" s="84"/>
      <c r="AE1214" s="84"/>
      <c r="AF1214" s="84"/>
      <c r="DB1214" s="85"/>
    </row>
    <row r="1215" spans="2:106">
      <c r="B1215" s="85"/>
      <c r="C1215" s="85"/>
      <c r="D1215" s="85"/>
      <c r="E1215" s="85"/>
      <c r="F1215" s="85"/>
      <c r="G1215" s="85"/>
      <c r="H1215" s="85"/>
      <c r="I1215" s="85"/>
      <c r="J1215" s="85"/>
      <c r="K1215" s="85"/>
      <c r="L1215" s="85"/>
      <c r="M1215" s="85"/>
      <c r="N1215" s="85"/>
      <c r="O1215" s="85"/>
      <c r="P1215" s="85"/>
      <c r="Q1215" s="85"/>
      <c r="R1215" s="85"/>
      <c r="S1215" s="85"/>
      <c r="T1215" s="85"/>
      <c r="U1215" s="85"/>
      <c r="V1215" s="85"/>
      <c r="W1215" s="85"/>
      <c r="X1215" s="85"/>
      <c r="Y1215" s="85"/>
      <c r="Z1215" s="85"/>
      <c r="AA1215" s="85"/>
      <c r="AB1215" s="85"/>
      <c r="AC1215" s="85"/>
      <c r="AD1215" s="84"/>
      <c r="AE1215" s="84"/>
      <c r="AF1215" s="84"/>
      <c r="DB1215" s="85"/>
    </row>
    <row r="1216" spans="2:106">
      <c r="B1216" s="85"/>
      <c r="C1216" s="85"/>
      <c r="D1216" s="85"/>
      <c r="E1216" s="85"/>
      <c r="F1216" s="85"/>
      <c r="G1216" s="85"/>
      <c r="H1216" s="85"/>
      <c r="I1216" s="85"/>
      <c r="J1216" s="85"/>
      <c r="K1216" s="85"/>
      <c r="L1216" s="85"/>
      <c r="M1216" s="85"/>
      <c r="N1216" s="85"/>
      <c r="O1216" s="85"/>
      <c r="P1216" s="85"/>
      <c r="Q1216" s="85"/>
      <c r="R1216" s="85"/>
      <c r="S1216" s="85"/>
      <c r="T1216" s="85"/>
      <c r="U1216" s="85"/>
      <c r="V1216" s="85"/>
      <c r="W1216" s="85"/>
      <c r="X1216" s="85"/>
      <c r="Y1216" s="85"/>
      <c r="Z1216" s="85"/>
      <c r="AA1216" s="85"/>
      <c r="AB1216" s="85"/>
      <c r="AC1216" s="85"/>
      <c r="AD1216" s="84"/>
      <c r="AE1216" s="84"/>
      <c r="AF1216" s="84"/>
      <c r="DB1216" s="85"/>
    </row>
    <row r="1217" spans="2:106">
      <c r="B1217" s="85"/>
      <c r="C1217" s="85"/>
      <c r="D1217" s="85"/>
      <c r="E1217" s="85"/>
      <c r="F1217" s="85"/>
      <c r="G1217" s="85"/>
      <c r="H1217" s="85"/>
      <c r="I1217" s="85"/>
      <c r="J1217" s="85"/>
      <c r="K1217" s="85"/>
      <c r="L1217" s="85"/>
      <c r="M1217" s="85"/>
      <c r="N1217" s="85"/>
      <c r="O1217" s="85"/>
      <c r="P1217" s="85"/>
      <c r="Q1217" s="85"/>
      <c r="R1217" s="85"/>
      <c r="S1217" s="85"/>
      <c r="T1217" s="85"/>
      <c r="U1217" s="85"/>
      <c r="V1217" s="85"/>
      <c r="W1217" s="85"/>
      <c r="X1217" s="85"/>
      <c r="Y1217" s="85"/>
      <c r="Z1217" s="85"/>
      <c r="AA1217" s="85"/>
      <c r="AB1217" s="85"/>
      <c r="AC1217" s="85"/>
      <c r="AD1217" s="84"/>
      <c r="AE1217" s="84"/>
      <c r="AF1217" s="84"/>
      <c r="DB1217" s="85"/>
    </row>
    <row r="1218" spans="2:106">
      <c r="B1218" s="85"/>
      <c r="C1218" s="85"/>
      <c r="D1218" s="85"/>
      <c r="E1218" s="85"/>
      <c r="F1218" s="85"/>
      <c r="G1218" s="85"/>
      <c r="H1218" s="85"/>
      <c r="I1218" s="85"/>
      <c r="J1218" s="85"/>
      <c r="K1218" s="85"/>
      <c r="L1218" s="85"/>
      <c r="M1218" s="85"/>
      <c r="N1218" s="85"/>
      <c r="O1218" s="85"/>
      <c r="P1218" s="85"/>
      <c r="Q1218" s="85"/>
      <c r="R1218" s="85"/>
      <c r="S1218" s="85"/>
      <c r="T1218" s="85"/>
      <c r="U1218" s="85"/>
      <c r="V1218" s="85"/>
      <c r="W1218" s="85"/>
      <c r="X1218" s="85"/>
      <c r="Y1218" s="85"/>
      <c r="Z1218" s="85"/>
      <c r="AA1218" s="85"/>
      <c r="AB1218" s="85"/>
      <c r="AC1218" s="85"/>
      <c r="AD1218" s="84"/>
      <c r="AE1218" s="84"/>
      <c r="AF1218" s="84"/>
      <c r="DB1218" s="85"/>
    </row>
    <row r="1219" spans="2:106">
      <c r="B1219" s="85"/>
      <c r="C1219" s="85"/>
      <c r="D1219" s="85"/>
      <c r="E1219" s="85"/>
      <c r="F1219" s="85"/>
      <c r="G1219" s="85"/>
      <c r="H1219" s="85"/>
      <c r="I1219" s="85"/>
      <c r="J1219" s="85"/>
      <c r="K1219" s="85"/>
      <c r="L1219" s="85"/>
      <c r="M1219" s="85"/>
      <c r="N1219" s="85"/>
      <c r="O1219" s="85"/>
      <c r="P1219" s="85"/>
      <c r="Q1219" s="85"/>
      <c r="R1219" s="85"/>
      <c r="S1219" s="85"/>
      <c r="T1219" s="85"/>
      <c r="U1219" s="85"/>
      <c r="V1219" s="85"/>
      <c r="W1219" s="85"/>
      <c r="X1219" s="85"/>
      <c r="Y1219" s="85"/>
      <c r="Z1219" s="85"/>
      <c r="AA1219" s="85"/>
      <c r="AB1219" s="85"/>
      <c r="AC1219" s="85"/>
      <c r="AD1219" s="84"/>
      <c r="AE1219" s="84"/>
      <c r="AF1219" s="84"/>
      <c r="DB1219" s="85"/>
    </row>
    <row r="1220" spans="2:106">
      <c r="B1220" s="85"/>
      <c r="C1220" s="85"/>
      <c r="D1220" s="85"/>
      <c r="E1220" s="85"/>
      <c r="F1220" s="85"/>
      <c r="G1220" s="85"/>
      <c r="H1220" s="85"/>
      <c r="I1220" s="85"/>
      <c r="J1220" s="85"/>
      <c r="K1220" s="85"/>
      <c r="L1220" s="85"/>
      <c r="M1220" s="85"/>
      <c r="N1220" s="85"/>
      <c r="O1220" s="85"/>
      <c r="P1220" s="85"/>
      <c r="Q1220" s="85"/>
      <c r="R1220" s="85"/>
      <c r="S1220" s="85"/>
      <c r="T1220" s="85"/>
      <c r="U1220" s="85"/>
      <c r="V1220" s="85"/>
      <c r="W1220" s="85"/>
      <c r="X1220" s="85"/>
      <c r="Y1220" s="85"/>
      <c r="Z1220" s="85"/>
      <c r="AA1220" s="85"/>
      <c r="AB1220" s="85"/>
      <c r="AC1220" s="85"/>
      <c r="AD1220" s="84"/>
      <c r="AE1220" s="84"/>
      <c r="AF1220" s="84"/>
      <c r="DB1220" s="85"/>
    </row>
    <row r="1221" spans="2:106">
      <c r="B1221" s="85"/>
      <c r="C1221" s="85"/>
      <c r="D1221" s="85"/>
      <c r="E1221" s="85"/>
      <c r="F1221" s="85"/>
      <c r="G1221" s="85"/>
      <c r="H1221" s="85"/>
      <c r="I1221" s="85"/>
      <c r="J1221" s="85"/>
      <c r="K1221" s="85"/>
      <c r="L1221" s="85"/>
      <c r="M1221" s="85"/>
      <c r="N1221" s="85"/>
      <c r="O1221" s="85"/>
      <c r="P1221" s="85"/>
      <c r="Q1221" s="85"/>
      <c r="R1221" s="85"/>
      <c r="S1221" s="85"/>
      <c r="T1221" s="85"/>
      <c r="U1221" s="85"/>
      <c r="V1221" s="85"/>
      <c r="W1221" s="85"/>
      <c r="X1221" s="85"/>
      <c r="Y1221" s="85"/>
      <c r="Z1221" s="85"/>
      <c r="AA1221" s="85"/>
      <c r="AB1221" s="85"/>
      <c r="AC1221" s="85"/>
      <c r="AD1221" s="84"/>
      <c r="AE1221" s="84"/>
      <c r="AF1221" s="84"/>
      <c r="DB1221" s="85"/>
    </row>
    <row r="1222" spans="2:106">
      <c r="B1222" s="85"/>
      <c r="C1222" s="85"/>
      <c r="D1222" s="85"/>
      <c r="E1222" s="85"/>
      <c r="F1222" s="85"/>
      <c r="G1222" s="85"/>
      <c r="H1222" s="85"/>
      <c r="I1222" s="85"/>
      <c r="J1222" s="85"/>
      <c r="K1222" s="85"/>
      <c r="L1222" s="85"/>
      <c r="M1222" s="85"/>
      <c r="N1222" s="85"/>
      <c r="O1222" s="85"/>
      <c r="P1222" s="85"/>
      <c r="Q1222" s="85"/>
      <c r="R1222" s="85"/>
      <c r="S1222" s="85"/>
      <c r="T1222" s="85"/>
      <c r="U1222" s="85"/>
      <c r="V1222" s="85"/>
      <c r="W1222" s="85"/>
      <c r="X1222" s="85"/>
      <c r="Y1222" s="85"/>
      <c r="Z1222" s="85"/>
      <c r="AA1222" s="85"/>
      <c r="AB1222" s="85"/>
      <c r="AC1222" s="85"/>
      <c r="AD1222" s="84"/>
      <c r="AE1222" s="84"/>
      <c r="AF1222" s="84"/>
      <c r="DB1222" s="85"/>
    </row>
    <row r="1223" spans="2:106">
      <c r="B1223" s="85"/>
      <c r="C1223" s="85"/>
      <c r="D1223" s="85"/>
      <c r="E1223" s="85"/>
      <c r="F1223" s="85"/>
      <c r="G1223" s="85"/>
      <c r="H1223" s="85"/>
      <c r="I1223" s="85"/>
      <c r="J1223" s="85"/>
      <c r="K1223" s="85"/>
      <c r="L1223" s="85"/>
      <c r="M1223" s="85"/>
      <c r="N1223" s="85"/>
      <c r="O1223" s="85"/>
      <c r="P1223" s="85"/>
      <c r="Q1223" s="85"/>
      <c r="R1223" s="85"/>
      <c r="S1223" s="85"/>
      <c r="T1223" s="85"/>
      <c r="U1223" s="85"/>
      <c r="V1223" s="85"/>
      <c r="W1223" s="85"/>
      <c r="X1223" s="85"/>
      <c r="Y1223" s="85"/>
      <c r="Z1223" s="85"/>
      <c r="AA1223" s="85"/>
      <c r="AB1223" s="85"/>
      <c r="AC1223" s="85"/>
      <c r="AD1223" s="84"/>
      <c r="AE1223" s="84"/>
      <c r="AF1223" s="84"/>
      <c r="DB1223" s="85"/>
    </row>
    <row r="1224" spans="2:106">
      <c r="B1224" s="85"/>
      <c r="C1224" s="85"/>
      <c r="D1224" s="85"/>
      <c r="E1224" s="85"/>
      <c r="F1224" s="85"/>
      <c r="G1224" s="85"/>
      <c r="H1224" s="85"/>
      <c r="I1224" s="85"/>
      <c r="J1224" s="85"/>
      <c r="K1224" s="85"/>
      <c r="L1224" s="85"/>
      <c r="M1224" s="85"/>
      <c r="N1224" s="85"/>
      <c r="O1224" s="85"/>
      <c r="P1224" s="85"/>
      <c r="Q1224" s="85"/>
      <c r="R1224" s="85"/>
      <c r="S1224" s="85"/>
      <c r="T1224" s="85"/>
      <c r="U1224" s="85"/>
      <c r="V1224" s="85"/>
      <c r="W1224" s="85"/>
      <c r="X1224" s="85"/>
      <c r="Y1224" s="85"/>
      <c r="Z1224" s="85"/>
      <c r="AA1224" s="85"/>
      <c r="AB1224" s="85"/>
      <c r="AC1224" s="85"/>
      <c r="AD1224" s="84"/>
      <c r="AE1224" s="84"/>
      <c r="AF1224" s="84"/>
      <c r="DB1224" s="85"/>
    </row>
    <row r="1225" spans="2:106">
      <c r="B1225" s="85"/>
      <c r="C1225" s="85"/>
      <c r="D1225" s="85"/>
      <c r="E1225" s="85"/>
      <c r="F1225" s="85"/>
      <c r="G1225" s="85"/>
      <c r="H1225" s="85"/>
      <c r="I1225" s="85"/>
      <c r="J1225" s="85"/>
      <c r="K1225" s="85"/>
      <c r="L1225" s="85"/>
      <c r="M1225" s="85"/>
      <c r="N1225" s="85"/>
      <c r="O1225" s="85"/>
      <c r="P1225" s="85"/>
      <c r="Q1225" s="85"/>
      <c r="R1225" s="85"/>
      <c r="S1225" s="85"/>
      <c r="T1225" s="85"/>
      <c r="U1225" s="85"/>
      <c r="V1225" s="85"/>
      <c r="W1225" s="85"/>
      <c r="X1225" s="85"/>
      <c r="Y1225" s="85"/>
      <c r="Z1225" s="85"/>
      <c r="AA1225" s="85"/>
      <c r="AB1225" s="85"/>
      <c r="AC1225" s="85"/>
      <c r="AD1225" s="84"/>
      <c r="AE1225" s="84"/>
      <c r="AF1225" s="84"/>
      <c r="DB1225" s="85"/>
    </row>
    <row r="1226" spans="2:106">
      <c r="B1226" s="85"/>
      <c r="C1226" s="85"/>
      <c r="D1226" s="85"/>
      <c r="E1226" s="85"/>
      <c r="F1226" s="85"/>
      <c r="G1226" s="85"/>
      <c r="H1226" s="85"/>
      <c r="I1226" s="85"/>
      <c r="J1226" s="85"/>
      <c r="K1226" s="85"/>
      <c r="L1226" s="85"/>
      <c r="M1226" s="85"/>
      <c r="N1226" s="85"/>
      <c r="O1226" s="85"/>
      <c r="P1226" s="85"/>
      <c r="Q1226" s="85"/>
      <c r="R1226" s="85"/>
      <c r="S1226" s="85"/>
      <c r="T1226" s="85"/>
      <c r="U1226" s="85"/>
      <c r="V1226" s="85"/>
      <c r="W1226" s="85"/>
      <c r="X1226" s="85"/>
      <c r="Y1226" s="85"/>
      <c r="Z1226" s="85"/>
      <c r="AA1226" s="85"/>
      <c r="AB1226" s="85"/>
      <c r="AC1226" s="85"/>
      <c r="AD1226" s="84"/>
      <c r="AE1226" s="84"/>
      <c r="AF1226" s="84"/>
      <c r="DB1226" s="85"/>
    </row>
    <row r="1227" spans="2:106">
      <c r="B1227" s="85"/>
      <c r="C1227" s="85"/>
      <c r="D1227" s="85"/>
      <c r="E1227" s="85"/>
      <c r="F1227" s="85"/>
      <c r="G1227" s="85"/>
      <c r="H1227" s="85"/>
      <c r="I1227" s="85"/>
      <c r="J1227" s="85"/>
      <c r="K1227" s="85"/>
      <c r="L1227" s="85"/>
      <c r="M1227" s="85"/>
      <c r="N1227" s="85"/>
      <c r="O1227" s="85"/>
      <c r="P1227" s="85"/>
      <c r="Q1227" s="85"/>
      <c r="R1227" s="85"/>
      <c r="S1227" s="85"/>
      <c r="T1227" s="85"/>
      <c r="U1227" s="85"/>
      <c r="V1227" s="85"/>
      <c r="W1227" s="85"/>
      <c r="X1227" s="85"/>
      <c r="Y1227" s="85"/>
      <c r="Z1227" s="85"/>
      <c r="AA1227" s="85"/>
      <c r="AB1227" s="85"/>
      <c r="AC1227" s="85"/>
      <c r="AD1227" s="84"/>
      <c r="AE1227" s="84"/>
      <c r="AF1227" s="84"/>
      <c r="DB1227" s="85"/>
    </row>
    <row r="1228" spans="2:106">
      <c r="B1228" s="85"/>
      <c r="C1228" s="85"/>
      <c r="D1228" s="85"/>
      <c r="E1228" s="85"/>
      <c r="F1228" s="85"/>
      <c r="G1228" s="85"/>
      <c r="H1228" s="85"/>
      <c r="I1228" s="85"/>
      <c r="J1228" s="85"/>
      <c r="K1228" s="85"/>
      <c r="L1228" s="85"/>
      <c r="M1228" s="85"/>
      <c r="N1228" s="85"/>
      <c r="O1228" s="85"/>
      <c r="P1228" s="85"/>
      <c r="Q1228" s="85"/>
      <c r="R1228" s="85"/>
      <c r="S1228" s="85"/>
      <c r="T1228" s="85"/>
      <c r="U1228" s="85"/>
      <c r="V1228" s="85"/>
      <c r="W1228" s="85"/>
      <c r="X1228" s="85"/>
      <c r="Y1228" s="85"/>
      <c r="Z1228" s="85"/>
      <c r="AA1228" s="85"/>
      <c r="AB1228" s="85"/>
      <c r="AC1228" s="85"/>
      <c r="AD1228" s="84"/>
      <c r="AE1228" s="84"/>
      <c r="AF1228" s="84"/>
      <c r="DB1228" s="85"/>
    </row>
    <row r="1229" spans="2:106">
      <c r="B1229" s="85"/>
      <c r="C1229" s="85"/>
      <c r="D1229" s="85"/>
      <c r="E1229" s="85"/>
      <c r="F1229" s="85"/>
      <c r="G1229" s="85"/>
      <c r="H1229" s="85"/>
      <c r="I1229" s="85"/>
      <c r="J1229" s="85"/>
      <c r="K1229" s="85"/>
      <c r="L1229" s="85"/>
      <c r="M1229" s="85"/>
      <c r="N1229" s="85"/>
      <c r="O1229" s="85"/>
      <c r="P1229" s="85"/>
      <c r="Q1229" s="85"/>
      <c r="R1229" s="85"/>
      <c r="S1229" s="85"/>
      <c r="T1229" s="85"/>
      <c r="U1229" s="85"/>
      <c r="V1229" s="85"/>
      <c r="W1229" s="85"/>
      <c r="X1229" s="85"/>
      <c r="Y1229" s="85"/>
      <c r="Z1229" s="85"/>
      <c r="AA1229" s="85"/>
      <c r="AB1229" s="85"/>
      <c r="AC1229" s="85"/>
      <c r="AD1229" s="84"/>
      <c r="AE1229" s="84"/>
      <c r="AF1229" s="84"/>
      <c r="DB1229" s="85"/>
    </row>
    <row r="1230" spans="2:106">
      <c r="B1230" s="85"/>
      <c r="C1230" s="85"/>
      <c r="D1230" s="85"/>
      <c r="E1230" s="85"/>
      <c r="F1230" s="85"/>
      <c r="G1230" s="85"/>
      <c r="H1230" s="85"/>
      <c r="I1230" s="85"/>
      <c r="J1230" s="85"/>
      <c r="K1230" s="85"/>
      <c r="L1230" s="85"/>
      <c r="M1230" s="85"/>
      <c r="N1230" s="85"/>
      <c r="O1230" s="85"/>
      <c r="P1230" s="85"/>
      <c r="Q1230" s="85"/>
      <c r="R1230" s="85"/>
      <c r="S1230" s="85"/>
      <c r="T1230" s="85"/>
      <c r="U1230" s="85"/>
      <c r="V1230" s="85"/>
      <c r="W1230" s="85"/>
      <c r="X1230" s="85"/>
      <c r="Y1230" s="85"/>
      <c r="Z1230" s="85"/>
      <c r="AA1230" s="85"/>
      <c r="AB1230" s="85"/>
      <c r="AC1230" s="85"/>
      <c r="AD1230" s="84"/>
      <c r="AE1230" s="84"/>
      <c r="AF1230" s="84"/>
      <c r="DB1230" s="85"/>
    </row>
    <row r="1231" spans="2:106">
      <c r="B1231" s="85"/>
      <c r="C1231" s="85"/>
      <c r="D1231" s="85"/>
      <c r="E1231" s="85"/>
      <c r="F1231" s="85"/>
      <c r="G1231" s="85"/>
      <c r="H1231" s="85"/>
      <c r="I1231" s="85"/>
      <c r="J1231" s="85"/>
      <c r="K1231" s="85"/>
      <c r="L1231" s="85"/>
      <c r="M1231" s="85"/>
      <c r="N1231" s="85"/>
      <c r="O1231" s="85"/>
      <c r="P1231" s="85"/>
      <c r="Q1231" s="85"/>
      <c r="R1231" s="85"/>
      <c r="S1231" s="85"/>
      <c r="T1231" s="85"/>
      <c r="U1231" s="85"/>
      <c r="V1231" s="85"/>
      <c r="W1231" s="85"/>
      <c r="X1231" s="85"/>
      <c r="Y1231" s="85"/>
      <c r="Z1231" s="85"/>
      <c r="AA1231" s="85"/>
      <c r="AB1231" s="85"/>
      <c r="AC1231" s="85"/>
      <c r="AD1231" s="84"/>
      <c r="AE1231" s="84"/>
      <c r="AF1231" s="84"/>
      <c r="DB1231" s="85"/>
    </row>
    <row r="1232" spans="2:106">
      <c r="B1232" s="85"/>
      <c r="C1232" s="85"/>
      <c r="D1232" s="85"/>
      <c r="E1232" s="85"/>
      <c r="F1232" s="85"/>
      <c r="G1232" s="85"/>
      <c r="H1232" s="85"/>
      <c r="I1232" s="85"/>
      <c r="J1232" s="85"/>
      <c r="K1232" s="85"/>
      <c r="L1232" s="85"/>
      <c r="M1232" s="85"/>
      <c r="N1232" s="85"/>
      <c r="O1232" s="85"/>
      <c r="P1232" s="85"/>
      <c r="Q1232" s="85"/>
      <c r="R1232" s="85"/>
      <c r="S1232" s="85"/>
      <c r="T1232" s="85"/>
      <c r="U1232" s="85"/>
      <c r="V1232" s="85"/>
      <c r="W1232" s="85"/>
      <c r="X1232" s="85"/>
      <c r="Y1232" s="85"/>
      <c r="Z1232" s="85"/>
      <c r="AA1232" s="85"/>
      <c r="AB1232" s="85"/>
      <c r="AC1232" s="85"/>
      <c r="AD1232" s="84"/>
      <c r="AE1232" s="84"/>
      <c r="AF1232" s="84"/>
      <c r="DB1232" s="85"/>
    </row>
    <row r="1233" spans="2:106">
      <c r="B1233" s="85"/>
      <c r="C1233" s="85"/>
      <c r="D1233" s="85"/>
      <c r="E1233" s="85"/>
      <c r="F1233" s="85"/>
      <c r="G1233" s="85"/>
      <c r="H1233" s="85"/>
      <c r="I1233" s="85"/>
      <c r="J1233" s="85"/>
      <c r="K1233" s="85"/>
      <c r="L1233" s="85"/>
      <c r="M1233" s="85"/>
      <c r="N1233" s="85"/>
      <c r="O1233" s="85"/>
      <c r="P1233" s="85"/>
      <c r="Q1233" s="85"/>
      <c r="R1233" s="85"/>
      <c r="S1233" s="85"/>
      <c r="T1233" s="85"/>
      <c r="U1233" s="85"/>
      <c r="V1233" s="85"/>
      <c r="W1233" s="85"/>
      <c r="X1233" s="85"/>
      <c r="Y1233" s="85"/>
      <c r="Z1233" s="85"/>
      <c r="AA1233" s="85"/>
      <c r="AB1233" s="85"/>
      <c r="AC1233" s="85"/>
      <c r="AD1233" s="84"/>
      <c r="AE1233" s="84"/>
      <c r="AF1233" s="84"/>
      <c r="DB1233" s="85"/>
    </row>
    <row r="1234" spans="2:106">
      <c r="B1234" s="85"/>
      <c r="C1234" s="85"/>
      <c r="D1234" s="85"/>
      <c r="E1234" s="85"/>
      <c r="F1234" s="85"/>
      <c r="G1234" s="85"/>
      <c r="H1234" s="85"/>
      <c r="I1234" s="85"/>
      <c r="J1234" s="85"/>
      <c r="K1234" s="85"/>
      <c r="L1234" s="85"/>
      <c r="M1234" s="85"/>
      <c r="N1234" s="85"/>
      <c r="O1234" s="85"/>
      <c r="P1234" s="85"/>
      <c r="Q1234" s="85"/>
      <c r="R1234" s="85"/>
      <c r="S1234" s="85"/>
      <c r="T1234" s="85"/>
      <c r="U1234" s="85"/>
      <c r="V1234" s="85"/>
      <c r="W1234" s="85"/>
      <c r="X1234" s="85"/>
      <c r="Y1234" s="85"/>
      <c r="Z1234" s="85"/>
      <c r="AA1234" s="85"/>
      <c r="AB1234" s="85"/>
      <c r="AC1234" s="85"/>
      <c r="AD1234" s="84"/>
      <c r="AE1234" s="84"/>
      <c r="AF1234" s="84"/>
      <c r="DB1234" s="85"/>
    </row>
    <row r="1235" spans="2:106">
      <c r="B1235" s="85"/>
      <c r="C1235" s="85"/>
      <c r="D1235" s="85"/>
      <c r="E1235" s="85"/>
      <c r="F1235" s="85"/>
      <c r="G1235" s="85"/>
      <c r="H1235" s="85"/>
      <c r="I1235" s="85"/>
      <c r="J1235" s="85"/>
      <c r="K1235" s="85"/>
      <c r="L1235" s="85"/>
      <c r="M1235" s="85"/>
      <c r="N1235" s="85"/>
      <c r="O1235" s="85"/>
      <c r="P1235" s="85"/>
      <c r="Q1235" s="85"/>
      <c r="R1235" s="85"/>
      <c r="S1235" s="85"/>
      <c r="T1235" s="85"/>
      <c r="U1235" s="85"/>
      <c r="V1235" s="85"/>
      <c r="W1235" s="85"/>
      <c r="X1235" s="85"/>
      <c r="Y1235" s="85"/>
      <c r="Z1235" s="85"/>
      <c r="AA1235" s="85"/>
      <c r="AB1235" s="85"/>
      <c r="AC1235" s="85"/>
      <c r="AD1235" s="84"/>
      <c r="AE1235" s="84"/>
      <c r="AF1235" s="84"/>
      <c r="DB1235" s="85"/>
    </row>
    <row r="1236" spans="2:106">
      <c r="B1236" s="85"/>
      <c r="C1236" s="85"/>
      <c r="D1236" s="85"/>
      <c r="E1236" s="85"/>
      <c r="F1236" s="85"/>
      <c r="G1236" s="85"/>
      <c r="H1236" s="85"/>
      <c r="I1236" s="85"/>
      <c r="J1236" s="85"/>
      <c r="K1236" s="85"/>
      <c r="L1236" s="85"/>
      <c r="M1236" s="85"/>
      <c r="N1236" s="85"/>
      <c r="O1236" s="85"/>
      <c r="P1236" s="85"/>
      <c r="Q1236" s="85"/>
      <c r="R1236" s="85"/>
      <c r="S1236" s="85"/>
      <c r="T1236" s="85"/>
      <c r="U1236" s="85"/>
      <c r="V1236" s="85"/>
      <c r="W1236" s="85"/>
      <c r="X1236" s="85"/>
      <c r="Y1236" s="85"/>
      <c r="Z1236" s="85"/>
      <c r="AA1236" s="85"/>
      <c r="AB1236" s="85"/>
      <c r="AC1236" s="85"/>
      <c r="AD1236" s="84"/>
      <c r="AE1236" s="84"/>
      <c r="AF1236" s="84"/>
      <c r="DB1236" s="85"/>
    </row>
    <row r="1237" spans="2:106">
      <c r="B1237" s="85"/>
      <c r="C1237" s="85"/>
      <c r="D1237" s="85"/>
      <c r="E1237" s="85"/>
      <c r="F1237" s="85"/>
      <c r="G1237" s="85"/>
      <c r="H1237" s="85"/>
      <c r="I1237" s="85"/>
      <c r="J1237" s="85"/>
      <c r="K1237" s="85"/>
      <c r="L1237" s="85"/>
      <c r="M1237" s="85"/>
      <c r="N1237" s="85"/>
      <c r="O1237" s="85"/>
      <c r="P1237" s="85"/>
      <c r="Q1237" s="85"/>
      <c r="R1237" s="85"/>
      <c r="S1237" s="85"/>
      <c r="T1237" s="85"/>
      <c r="U1237" s="85"/>
      <c r="V1237" s="85"/>
      <c r="W1237" s="85"/>
      <c r="X1237" s="85"/>
      <c r="Y1237" s="85"/>
      <c r="Z1237" s="85"/>
      <c r="AA1237" s="85"/>
      <c r="AB1237" s="85"/>
      <c r="AC1237" s="85"/>
      <c r="AD1237" s="84"/>
      <c r="AE1237" s="84"/>
      <c r="AF1237" s="84"/>
      <c r="DB1237" s="85"/>
    </row>
    <row r="1238" spans="2:106">
      <c r="B1238" s="85"/>
      <c r="C1238" s="85"/>
      <c r="D1238" s="85"/>
      <c r="E1238" s="85"/>
      <c r="F1238" s="85"/>
      <c r="G1238" s="85"/>
      <c r="H1238" s="85"/>
      <c r="I1238" s="85"/>
      <c r="J1238" s="85"/>
      <c r="K1238" s="85"/>
      <c r="L1238" s="85"/>
      <c r="M1238" s="85"/>
      <c r="N1238" s="85"/>
      <c r="O1238" s="85"/>
      <c r="P1238" s="85"/>
      <c r="Q1238" s="85"/>
      <c r="R1238" s="85"/>
      <c r="S1238" s="85"/>
      <c r="T1238" s="85"/>
      <c r="U1238" s="85"/>
      <c r="V1238" s="85"/>
      <c r="W1238" s="85"/>
      <c r="X1238" s="85"/>
      <c r="Y1238" s="85"/>
      <c r="Z1238" s="85"/>
      <c r="AA1238" s="85"/>
      <c r="AB1238" s="85"/>
      <c r="AC1238" s="85"/>
      <c r="AD1238" s="84"/>
      <c r="AE1238" s="84"/>
      <c r="AF1238" s="84"/>
      <c r="DB1238" s="85"/>
    </row>
    <row r="1239" spans="2:106">
      <c r="B1239" s="85"/>
      <c r="C1239" s="85"/>
      <c r="D1239" s="85"/>
      <c r="E1239" s="85"/>
      <c r="F1239" s="85"/>
      <c r="G1239" s="85"/>
      <c r="H1239" s="85"/>
      <c r="I1239" s="85"/>
      <c r="J1239" s="85"/>
      <c r="K1239" s="85"/>
      <c r="L1239" s="85"/>
      <c r="M1239" s="85"/>
      <c r="N1239" s="85"/>
      <c r="O1239" s="85"/>
      <c r="P1239" s="85"/>
      <c r="Q1239" s="85"/>
      <c r="R1239" s="85"/>
      <c r="S1239" s="85"/>
      <c r="T1239" s="85"/>
      <c r="U1239" s="85"/>
      <c r="V1239" s="85"/>
      <c r="W1239" s="85"/>
      <c r="X1239" s="85"/>
      <c r="Y1239" s="85"/>
      <c r="Z1239" s="85"/>
      <c r="AA1239" s="85"/>
      <c r="AB1239" s="85"/>
      <c r="AC1239" s="85"/>
      <c r="AD1239" s="84"/>
      <c r="AE1239" s="84"/>
      <c r="AF1239" s="84"/>
      <c r="DB1239" s="85"/>
    </row>
    <row r="1240" spans="2:106">
      <c r="B1240" s="85"/>
      <c r="C1240" s="85"/>
      <c r="D1240" s="85"/>
      <c r="E1240" s="85"/>
      <c r="F1240" s="85"/>
      <c r="G1240" s="85"/>
      <c r="H1240" s="85"/>
      <c r="I1240" s="85"/>
      <c r="J1240" s="85"/>
      <c r="K1240" s="85"/>
      <c r="L1240" s="85"/>
      <c r="M1240" s="85"/>
      <c r="N1240" s="85"/>
      <c r="O1240" s="85"/>
      <c r="P1240" s="85"/>
      <c r="Q1240" s="85"/>
      <c r="R1240" s="85"/>
      <c r="S1240" s="85"/>
      <c r="T1240" s="85"/>
      <c r="U1240" s="85"/>
      <c r="V1240" s="85"/>
      <c r="W1240" s="85"/>
      <c r="X1240" s="85"/>
      <c r="Y1240" s="85"/>
      <c r="Z1240" s="85"/>
      <c r="AA1240" s="85"/>
      <c r="AB1240" s="85"/>
      <c r="AC1240" s="85"/>
      <c r="AD1240" s="84"/>
      <c r="AE1240" s="84"/>
      <c r="AF1240" s="84"/>
      <c r="DB1240" s="85"/>
    </row>
    <row r="1241" spans="2:106">
      <c r="B1241" s="85"/>
      <c r="C1241" s="85"/>
      <c r="D1241" s="85"/>
      <c r="E1241" s="85"/>
      <c r="F1241" s="85"/>
      <c r="G1241" s="85"/>
      <c r="H1241" s="85"/>
      <c r="I1241" s="85"/>
      <c r="J1241" s="85"/>
      <c r="K1241" s="85"/>
      <c r="L1241" s="85"/>
      <c r="M1241" s="85"/>
      <c r="N1241" s="85"/>
      <c r="O1241" s="85"/>
      <c r="P1241" s="85"/>
      <c r="Q1241" s="85"/>
      <c r="R1241" s="85"/>
      <c r="S1241" s="85"/>
      <c r="T1241" s="85"/>
      <c r="U1241" s="85"/>
      <c r="V1241" s="85"/>
      <c r="W1241" s="85"/>
      <c r="X1241" s="85"/>
      <c r="Y1241" s="85"/>
      <c r="Z1241" s="85"/>
      <c r="AA1241" s="85"/>
      <c r="AB1241" s="85"/>
      <c r="AC1241" s="85"/>
      <c r="AD1241" s="84"/>
      <c r="AE1241" s="84"/>
      <c r="AF1241" s="84"/>
      <c r="DB1241" s="85"/>
    </row>
    <row r="1242" spans="2:106">
      <c r="B1242" s="85"/>
      <c r="C1242" s="85"/>
      <c r="D1242" s="85"/>
      <c r="E1242" s="85"/>
      <c r="F1242" s="85"/>
      <c r="G1242" s="85"/>
      <c r="H1242" s="85"/>
      <c r="I1242" s="85"/>
      <c r="J1242" s="85"/>
      <c r="K1242" s="85"/>
      <c r="L1242" s="85"/>
      <c r="M1242" s="85"/>
      <c r="N1242" s="85"/>
      <c r="O1242" s="85"/>
      <c r="P1242" s="85"/>
      <c r="Q1242" s="85"/>
      <c r="R1242" s="85"/>
      <c r="S1242" s="85"/>
      <c r="T1242" s="85"/>
      <c r="U1242" s="85"/>
      <c r="V1242" s="85"/>
      <c r="W1242" s="85"/>
      <c r="X1242" s="85"/>
      <c r="Y1242" s="85"/>
      <c r="Z1242" s="85"/>
      <c r="AA1242" s="85"/>
      <c r="AB1242" s="85"/>
      <c r="AC1242" s="85"/>
      <c r="AD1242" s="84"/>
      <c r="AE1242" s="84"/>
      <c r="AF1242" s="84"/>
      <c r="DB1242" s="85"/>
    </row>
    <row r="1243" spans="2:106">
      <c r="B1243" s="85"/>
      <c r="C1243" s="85"/>
      <c r="D1243" s="85"/>
      <c r="E1243" s="85"/>
      <c r="F1243" s="85"/>
      <c r="G1243" s="85"/>
      <c r="H1243" s="85"/>
      <c r="I1243" s="85"/>
      <c r="J1243" s="85"/>
      <c r="K1243" s="85"/>
      <c r="L1243" s="85"/>
      <c r="M1243" s="85"/>
      <c r="N1243" s="85"/>
      <c r="O1243" s="85"/>
      <c r="P1243" s="85"/>
      <c r="Q1243" s="85"/>
      <c r="R1243" s="85"/>
      <c r="S1243" s="85"/>
      <c r="T1243" s="85"/>
      <c r="U1243" s="85"/>
      <c r="V1243" s="85"/>
      <c r="W1243" s="85"/>
      <c r="X1243" s="85"/>
      <c r="Y1243" s="85"/>
      <c r="Z1243" s="85"/>
      <c r="AA1243" s="85"/>
      <c r="AB1243" s="85"/>
      <c r="AC1243" s="85"/>
      <c r="AD1243" s="84"/>
      <c r="AE1243" s="84"/>
      <c r="AF1243" s="84"/>
      <c r="DB1243" s="85"/>
    </row>
    <row r="1244" spans="2:106">
      <c r="B1244" s="85"/>
      <c r="C1244" s="85"/>
      <c r="D1244" s="85"/>
      <c r="E1244" s="85"/>
      <c r="F1244" s="85"/>
      <c r="G1244" s="85"/>
      <c r="H1244" s="85"/>
      <c r="I1244" s="85"/>
      <c r="J1244" s="85"/>
      <c r="K1244" s="85"/>
      <c r="L1244" s="85"/>
      <c r="M1244" s="85"/>
      <c r="N1244" s="85"/>
      <c r="O1244" s="85"/>
      <c r="P1244" s="85"/>
      <c r="Q1244" s="85"/>
      <c r="R1244" s="85"/>
      <c r="S1244" s="85"/>
      <c r="T1244" s="85"/>
      <c r="U1244" s="85"/>
      <c r="V1244" s="85"/>
      <c r="W1244" s="85"/>
      <c r="X1244" s="85"/>
      <c r="Y1244" s="85"/>
      <c r="Z1244" s="85"/>
      <c r="AA1244" s="85"/>
      <c r="AB1244" s="85"/>
      <c r="AC1244" s="85"/>
      <c r="AD1244" s="84"/>
      <c r="AE1244" s="84"/>
      <c r="AF1244" s="84"/>
      <c r="DB1244" s="85"/>
    </row>
    <row r="1245" spans="2:106">
      <c r="B1245" s="85"/>
      <c r="C1245" s="85"/>
      <c r="D1245" s="85"/>
      <c r="E1245" s="85"/>
      <c r="F1245" s="85"/>
      <c r="G1245" s="85"/>
      <c r="H1245" s="85"/>
      <c r="I1245" s="85"/>
      <c r="J1245" s="85"/>
      <c r="K1245" s="85"/>
      <c r="L1245" s="85"/>
      <c r="M1245" s="85"/>
      <c r="N1245" s="85"/>
      <c r="O1245" s="85"/>
      <c r="P1245" s="85"/>
      <c r="Q1245" s="85"/>
      <c r="R1245" s="85"/>
      <c r="S1245" s="85"/>
      <c r="T1245" s="85"/>
      <c r="U1245" s="85"/>
      <c r="V1245" s="85"/>
      <c r="W1245" s="85"/>
      <c r="X1245" s="85"/>
      <c r="Y1245" s="85"/>
      <c r="Z1245" s="85"/>
      <c r="AA1245" s="85"/>
      <c r="AB1245" s="85"/>
      <c r="AC1245" s="85"/>
      <c r="AD1245" s="84"/>
      <c r="AE1245" s="84"/>
      <c r="AF1245" s="84"/>
      <c r="DB1245" s="85"/>
    </row>
    <row r="1246" spans="2:106">
      <c r="B1246" s="85"/>
      <c r="C1246" s="85"/>
      <c r="D1246" s="85"/>
      <c r="E1246" s="85"/>
      <c r="F1246" s="85"/>
      <c r="G1246" s="85"/>
      <c r="H1246" s="85"/>
      <c r="I1246" s="85"/>
      <c r="J1246" s="85"/>
      <c r="K1246" s="85"/>
      <c r="L1246" s="85"/>
      <c r="M1246" s="85"/>
      <c r="N1246" s="85"/>
      <c r="O1246" s="85"/>
      <c r="P1246" s="85"/>
      <c r="Q1246" s="85"/>
      <c r="R1246" s="85"/>
      <c r="S1246" s="85"/>
      <c r="T1246" s="85"/>
      <c r="U1246" s="85"/>
      <c r="V1246" s="85"/>
      <c r="W1246" s="85"/>
      <c r="X1246" s="85"/>
      <c r="Y1246" s="85"/>
      <c r="Z1246" s="85"/>
      <c r="AA1246" s="85"/>
      <c r="AB1246" s="85"/>
      <c r="AC1246" s="85"/>
      <c r="AD1246" s="84"/>
      <c r="AE1246" s="84"/>
      <c r="AF1246" s="84"/>
      <c r="DB1246" s="85"/>
    </row>
    <row r="1247" spans="2:106">
      <c r="B1247" s="85"/>
      <c r="C1247" s="85"/>
      <c r="D1247" s="85"/>
      <c r="E1247" s="85"/>
      <c r="F1247" s="85"/>
      <c r="G1247" s="85"/>
      <c r="H1247" s="85"/>
      <c r="I1247" s="85"/>
      <c r="J1247" s="85"/>
      <c r="K1247" s="85"/>
      <c r="L1247" s="85"/>
      <c r="M1247" s="85"/>
      <c r="N1247" s="85"/>
      <c r="O1247" s="85"/>
      <c r="P1247" s="85"/>
      <c r="Q1247" s="85"/>
      <c r="R1247" s="85"/>
      <c r="S1247" s="85"/>
      <c r="T1247" s="85"/>
      <c r="U1247" s="85"/>
      <c r="V1247" s="85"/>
      <c r="W1247" s="85"/>
      <c r="X1247" s="85"/>
      <c r="Y1247" s="85"/>
      <c r="Z1247" s="85"/>
      <c r="AA1247" s="85"/>
      <c r="AB1247" s="85"/>
      <c r="AC1247" s="85"/>
      <c r="AD1247" s="84"/>
      <c r="AE1247" s="84"/>
      <c r="AF1247" s="84"/>
      <c r="DB1247" s="85"/>
    </row>
    <row r="1248" spans="2:106">
      <c r="B1248" s="85"/>
      <c r="C1248" s="85"/>
      <c r="D1248" s="85"/>
      <c r="E1248" s="85"/>
      <c r="F1248" s="85"/>
      <c r="G1248" s="85"/>
      <c r="H1248" s="85"/>
      <c r="I1248" s="85"/>
      <c r="J1248" s="85"/>
      <c r="K1248" s="85"/>
      <c r="L1248" s="85"/>
      <c r="M1248" s="85"/>
      <c r="N1248" s="85"/>
      <c r="O1248" s="85"/>
      <c r="P1248" s="85"/>
      <c r="Q1248" s="85"/>
      <c r="R1248" s="85"/>
      <c r="S1248" s="85"/>
      <c r="T1248" s="85"/>
      <c r="U1248" s="85"/>
      <c r="V1248" s="85"/>
      <c r="W1248" s="85"/>
      <c r="X1248" s="85"/>
      <c r="Y1248" s="85"/>
      <c r="Z1248" s="85"/>
      <c r="AA1248" s="85"/>
      <c r="AB1248" s="85"/>
      <c r="AC1248" s="85"/>
      <c r="AD1248" s="84"/>
      <c r="AE1248" s="84"/>
      <c r="AF1248" s="84"/>
      <c r="DB1248" s="85"/>
    </row>
    <row r="1249" spans="2:106">
      <c r="B1249" s="85"/>
      <c r="C1249" s="85"/>
      <c r="D1249" s="85"/>
      <c r="E1249" s="85"/>
      <c r="F1249" s="85"/>
      <c r="G1249" s="85"/>
      <c r="H1249" s="85"/>
      <c r="I1249" s="85"/>
      <c r="J1249" s="85"/>
      <c r="K1249" s="85"/>
      <c r="L1249" s="85"/>
      <c r="M1249" s="85"/>
      <c r="N1249" s="85"/>
      <c r="O1249" s="85"/>
      <c r="P1249" s="85"/>
      <c r="Q1249" s="85"/>
      <c r="R1249" s="85"/>
      <c r="S1249" s="85"/>
      <c r="T1249" s="85"/>
      <c r="U1249" s="85"/>
      <c r="V1249" s="85"/>
      <c r="W1249" s="85"/>
      <c r="X1249" s="85"/>
      <c r="Y1249" s="85"/>
      <c r="Z1249" s="85"/>
      <c r="AA1249" s="85"/>
      <c r="AB1249" s="85"/>
      <c r="AC1249" s="85"/>
      <c r="AD1249" s="84"/>
      <c r="AE1249" s="84"/>
      <c r="AF1249" s="84"/>
      <c r="DB1249" s="85"/>
    </row>
    <row r="1250" spans="2:106">
      <c r="B1250" s="85"/>
      <c r="C1250" s="85"/>
      <c r="D1250" s="85"/>
      <c r="E1250" s="85"/>
      <c r="F1250" s="85"/>
      <c r="G1250" s="85"/>
      <c r="H1250" s="85"/>
      <c r="I1250" s="85"/>
      <c r="J1250" s="85"/>
      <c r="K1250" s="85"/>
      <c r="L1250" s="85"/>
      <c r="M1250" s="85"/>
      <c r="N1250" s="85"/>
      <c r="O1250" s="85"/>
      <c r="P1250" s="85"/>
      <c r="Q1250" s="85"/>
      <c r="R1250" s="85"/>
      <c r="S1250" s="85"/>
      <c r="T1250" s="85"/>
      <c r="U1250" s="85"/>
      <c r="V1250" s="85"/>
      <c r="W1250" s="85"/>
      <c r="X1250" s="85"/>
      <c r="Y1250" s="85"/>
      <c r="Z1250" s="85"/>
      <c r="AA1250" s="85"/>
      <c r="AB1250" s="85"/>
      <c r="AC1250" s="85"/>
      <c r="AD1250" s="84"/>
      <c r="AE1250" s="84"/>
      <c r="AF1250" s="84"/>
      <c r="DB1250" s="85"/>
    </row>
    <row r="1251" spans="2:106">
      <c r="B1251" s="85"/>
      <c r="C1251" s="85"/>
      <c r="D1251" s="85"/>
      <c r="E1251" s="85"/>
      <c r="F1251" s="85"/>
      <c r="G1251" s="85"/>
      <c r="H1251" s="85"/>
      <c r="I1251" s="85"/>
      <c r="J1251" s="85"/>
      <c r="K1251" s="85"/>
      <c r="L1251" s="85"/>
      <c r="M1251" s="85"/>
      <c r="N1251" s="85"/>
      <c r="O1251" s="85"/>
      <c r="P1251" s="85"/>
      <c r="Q1251" s="85"/>
      <c r="R1251" s="85"/>
      <c r="S1251" s="85"/>
      <c r="T1251" s="85"/>
      <c r="U1251" s="85"/>
      <c r="V1251" s="85"/>
      <c r="W1251" s="85"/>
      <c r="X1251" s="85"/>
      <c r="Y1251" s="85"/>
      <c r="Z1251" s="85"/>
      <c r="AA1251" s="85"/>
      <c r="AB1251" s="85"/>
      <c r="AC1251" s="85"/>
      <c r="AD1251" s="84"/>
      <c r="AE1251" s="84"/>
      <c r="AF1251" s="84"/>
      <c r="DB1251" s="85"/>
    </row>
    <row r="1252" spans="2:106">
      <c r="B1252" s="85"/>
      <c r="C1252" s="85"/>
      <c r="D1252" s="85"/>
      <c r="E1252" s="85"/>
      <c r="F1252" s="85"/>
      <c r="G1252" s="85"/>
      <c r="H1252" s="85"/>
      <c r="I1252" s="85"/>
      <c r="J1252" s="85"/>
      <c r="K1252" s="85"/>
      <c r="L1252" s="85"/>
      <c r="M1252" s="85"/>
      <c r="N1252" s="85"/>
      <c r="O1252" s="85"/>
      <c r="P1252" s="85"/>
      <c r="Q1252" s="85"/>
      <c r="R1252" s="85"/>
      <c r="S1252" s="85"/>
      <c r="T1252" s="85"/>
      <c r="U1252" s="85"/>
      <c r="V1252" s="85"/>
      <c r="W1252" s="85"/>
      <c r="X1252" s="85"/>
      <c r="Y1252" s="85"/>
      <c r="Z1252" s="85"/>
      <c r="AA1252" s="85"/>
      <c r="AB1252" s="85"/>
      <c r="AC1252" s="85"/>
      <c r="AD1252" s="84"/>
      <c r="AE1252" s="84"/>
      <c r="AF1252" s="84"/>
      <c r="DB1252" s="85"/>
    </row>
    <row r="1253" spans="2:106">
      <c r="B1253" s="85"/>
      <c r="C1253" s="85"/>
      <c r="D1253" s="85"/>
      <c r="E1253" s="85"/>
      <c r="F1253" s="85"/>
      <c r="G1253" s="85"/>
      <c r="H1253" s="85"/>
      <c r="I1253" s="85"/>
      <c r="J1253" s="85"/>
      <c r="K1253" s="85"/>
      <c r="L1253" s="85"/>
      <c r="M1253" s="85"/>
      <c r="N1253" s="85"/>
      <c r="O1253" s="85"/>
      <c r="P1253" s="85"/>
      <c r="Q1253" s="85"/>
      <c r="R1253" s="85"/>
      <c r="S1253" s="85"/>
      <c r="T1253" s="85"/>
      <c r="U1253" s="85"/>
      <c r="V1253" s="85"/>
      <c r="W1253" s="85"/>
      <c r="X1253" s="85"/>
      <c r="Y1253" s="85"/>
      <c r="Z1253" s="85"/>
      <c r="AA1253" s="85"/>
      <c r="AB1253" s="85"/>
      <c r="AC1253" s="85"/>
      <c r="AD1253" s="84"/>
      <c r="AE1253" s="84"/>
      <c r="AF1253" s="84"/>
      <c r="DB1253" s="85"/>
    </row>
    <row r="1254" spans="2:106">
      <c r="B1254" s="85"/>
      <c r="C1254" s="85"/>
      <c r="D1254" s="85"/>
      <c r="E1254" s="85"/>
      <c r="F1254" s="85"/>
      <c r="G1254" s="85"/>
      <c r="H1254" s="85"/>
      <c r="I1254" s="85"/>
      <c r="J1254" s="85"/>
      <c r="K1254" s="85"/>
      <c r="L1254" s="85"/>
      <c r="M1254" s="85"/>
      <c r="N1254" s="85"/>
      <c r="O1254" s="85"/>
      <c r="P1254" s="85"/>
      <c r="Q1254" s="85"/>
      <c r="R1254" s="85"/>
      <c r="S1254" s="85"/>
      <c r="T1254" s="85"/>
      <c r="U1254" s="85"/>
      <c r="V1254" s="85"/>
      <c r="W1254" s="85"/>
      <c r="X1254" s="85"/>
      <c r="Y1254" s="85"/>
      <c r="Z1254" s="85"/>
      <c r="AA1254" s="85"/>
      <c r="AB1254" s="85"/>
      <c r="AC1254" s="85"/>
      <c r="AD1254" s="84"/>
      <c r="AE1254" s="84"/>
      <c r="AF1254" s="84"/>
      <c r="DB1254" s="85"/>
    </row>
    <row r="1255" spans="2:106">
      <c r="B1255" s="85"/>
      <c r="C1255" s="85"/>
      <c r="D1255" s="85"/>
      <c r="E1255" s="85"/>
      <c r="F1255" s="85"/>
      <c r="G1255" s="85"/>
      <c r="H1255" s="85"/>
      <c r="I1255" s="85"/>
      <c r="J1255" s="85"/>
      <c r="K1255" s="85"/>
      <c r="L1255" s="85"/>
      <c r="M1255" s="85"/>
      <c r="N1255" s="85"/>
      <c r="O1255" s="85"/>
      <c r="P1255" s="85"/>
      <c r="Q1255" s="85"/>
      <c r="R1255" s="85"/>
      <c r="S1255" s="85"/>
      <c r="T1255" s="85"/>
      <c r="U1255" s="85"/>
      <c r="V1255" s="85"/>
      <c r="W1255" s="85"/>
      <c r="X1255" s="85"/>
      <c r="Y1255" s="85"/>
      <c r="Z1255" s="85"/>
      <c r="AA1255" s="85"/>
      <c r="AB1255" s="85"/>
      <c r="AC1255" s="85"/>
      <c r="AD1255" s="84"/>
      <c r="AE1255" s="84"/>
      <c r="AF1255" s="84"/>
      <c r="DB1255" s="85"/>
    </row>
    <row r="1256" spans="2:106">
      <c r="B1256" s="85"/>
      <c r="C1256" s="85"/>
      <c r="D1256" s="85"/>
      <c r="E1256" s="85"/>
      <c r="F1256" s="85"/>
      <c r="G1256" s="85"/>
      <c r="H1256" s="85"/>
      <c r="I1256" s="85"/>
      <c r="J1256" s="85"/>
      <c r="K1256" s="85"/>
      <c r="L1256" s="85"/>
      <c r="M1256" s="85"/>
      <c r="N1256" s="85"/>
      <c r="O1256" s="85"/>
      <c r="P1256" s="85"/>
      <c r="Q1256" s="85"/>
      <c r="R1256" s="85"/>
      <c r="S1256" s="85"/>
      <c r="T1256" s="85"/>
      <c r="U1256" s="85"/>
      <c r="V1256" s="85"/>
      <c r="W1256" s="85"/>
      <c r="X1256" s="85"/>
      <c r="Y1256" s="85"/>
      <c r="Z1256" s="85"/>
      <c r="AA1256" s="85"/>
      <c r="AB1256" s="85"/>
      <c r="AC1256" s="85"/>
      <c r="AD1256" s="84"/>
      <c r="AE1256" s="84"/>
      <c r="AF1256" s="84"/>
      <c r="DB1256" s="85"/>
    </row>
    <row r="1257" spans="2:106">
      <c r="B1257" s="85"/>
      <c r="C1257" s="85"/>
      <c r="D1257" s="85"/>
      <c r="E1257" s="85"/>
      <c r="F1257" s="85"/>
      <c r="G1257" s="85"/>
      <c r="H1257" s="85"/>
      <c r="I1257" s="85"/>
      <c r="J1257" s="85"/>
      <c r="K1257" s="85"/>
      <c r="L1257" s="85"/>
      <c r="M1257" s="85"/>
      <c r="N1257" s="85"/>
      <c r="O1257" s="85"/>
      <c r="P1257" s="85"/>
      <c r="Q1257" s="85"/>
      <c r="R1257" s="85"/>
      <c r="S1257" s="85"/>
      <c r="T1257" s="85"/>
      <c r="U1257" s="85"/>
      <c r="V1257" s="85"/>
      <c r="W1257" s="85"/>
      <c r="X1257" s="85"/>
      <c r="Y1257" s="85"/>
      <c r="Z1257" s="85"/>
      <c r="AA1257" s="85"/>
      <c r="AB1257" s="85"/>
      <c r="AC1257" s="85"/>
      <c r="AD1257" s="84"/>
      <c r="AE1257" s="84"/>
      <c r="AF1257" s="84"/>
      <c r="DB1257" s="85"/>
    </row>
    <row r="1258" spans="2:106">
      <c r="B1258" s="85"/>
      <c r="C1258" s="85"/>
      <c r="D1258" s="85"/>
      <c r="E1258" s="85"/>
      <c r="F1258" s="85"/>
      <c r="G1258" s="85"/>
      <c r="H1258" s="85"/>
      <c r="I1258" s="85"/>
      <c r="J1258" s="85"/>
      <c r="K1258" s="85"/>
      <c r="L1258" s="85"/>
      <c r="M1258" s="85"/>
      <c r="N1258" s="85"/>
      <c r="O1258" s="85"/>
      <c r="P1258" s="85"/>
      <c r="Q1258" s="85"/>
      <c r="R1258" s="85"/>
      <c r="S1258" s="85"/>
      <c r="T1258" s="85"/>
      <c r="U1258" s="85"/>
      <c r="V1258" s="85"/>
      <c r="W1258" s="85"/>
      <c r="X1258" s="85"/>
      <c r="Y1258" s="85"/>
      <c r="Z1258" s="85"/>
      <c r="AA1258" s="85"/>
      <c r="AB1258" s="85"/>
      <c r="AC1258" s="85"/>
      <c r="AD1258" s="84"/>
      <c r="AE1258" s="84"/>
      <c r="AF1258" s="84"/>
      <c r="DB1258" s="85"/>
    </row>
    <row r="1259" spans="2:106">
      <c r="B1259" s="85"/>
      <c r="C1259" s="85"/>
      <c r="D1259" s="85"/>
      <c r="E1259" s="85"/>
      <c r="F1259" s="85"/>
      <c r="G1259" s="85"/>
      <c r="H1259" s="85"/>
      <c r="I1259" s="85"/>
      <c r="J1259" s="85"/>
      <c r="K1259" s="85"/>
      <c r="L1259" s="85"/>
      <c r="M1259" s="85"/>
      <c r="N1259" s="85"/>
      <c r="O1259" s="85"/>
      <c r="P1259" s="85"/>
      <c r="Q1259" s="85"/>
      <c r="R1259" s="85"/>
      <c r="S1259" s="85"/>
      <c r="T1259" s="85"/>
      <c r="U1259" s="85"/>
      <c r="V1259" s="85"/>
      <c r="W1259" s="85"/>
      <c r="X1259" s="85"/>
      <c r="Y1259" s="85"/>
      <c r="Z1259" s="85"/>
      <c r="AA1259" s="85"/>
      <c r="AB1259" s="85"/>
      <c r="AC1259" s="85"/>
      <c r="AD1259" s="84"/>
      <c r="AE1259" s="84"/>
      <c r="AF1259" s="84"/>
      <c r="DB1259" s="85"/>
    </row>
    <row r="1260" spans="2:106">
      <c r="B1260" s="85"/>
      <c r="C1260" s="85"/>
      <c r="D1260" s="85"/>
      <c r="E1260" s="85"/>
      <c r="F1260" s="85"/>
      <c r="G1260" s="85"/>
      <c r="H1260" s="85"/>
      <c r="I1260" s="85"/>
      <c r="J1260" s="85"/>
      <c r="K1260" s="85"/>
      <c r="L1260" s="85"/>
      <c r="M1260" s="85"/>
      <c r="N1260" s="85"/>
      <c r="O1260" s="85"/>
      <c r="P1260" s="85"/>
      <c r="Q1260" s="85"/>
      <c r="R1260" s="85"/>
      <c r="S1260" s="85"/>
      <c r="T1260" s="85"/>
      <c r="U1260" s="85"/>
      <c r="V1260" s="85"/>
      <c r="W1260" s="85"/>
      <c r="X1260" s="85"/>
      <c r="Y1260" s="85"/>
      <c r="Z1260" s="85"/>
      <c r="AA1260" s="85"/>
      <c r="AB1260" s="85"/>
      <c r="AC1260" s="85"/>
      <c r="AD1260" s="84"/>
      <c r="AE1260" s="84"/>
      <c r="AF1260" s="84"/>
      <c r="DB1260" s="85"/>
    </row>
    <row r="1261" spans="2:106">
      <c r="B1261" s="85"/>
      <c r="C1261" s="85"/>
      <c r="D1261" s="85"/>
      <c r="E1261" s="85"/>
      <c r="F1261" s="85"/>
      <c r="G1261" s="85"/>
      <c r="H1261" s="85"/>
      <c r="I1261" s="85"/>
      <c r="J1261" s="85"/>
      <c r="K1261" s="85"/>
      <c r="L1261" s="85"/>
      <c r="M1261" s="85"/>
      <c r="N1261" s="85"/>
      <c r="O1261" s="85"/>
      <c r="P1261" s="85"/>
      <c r="Q1261" s="85"/>
      <c r="R1261" s="85"/>
      <c r="S1261" s="85"/>
      <c r="T1261" s="85"/>
      <c r="U1261" s="85"/>
      <c r="V1261" s="85"/>
      <c r="W1261" s="85"/>
      <c r="X1261" s="85"/>
      <c r="Y1261" s="85"/>
      <c r="Z1261" s="85"/>
      <c r="AA1261" s="85"/>
      <c r="AB1261" s="85"/>
      <c r="AC1261" s="85"/>
      <c r="AD1261" s="84"/>
      <c r="AE1261" s="84"/>
      <c r="AF1261" s="84"/>
      <c r="DB1261" s="85"/>
    </row>
    <row r="1262" spans="2:106">
      <c r="B1262" s="85"/>
      <c r="C1262" s="85"/>
      <c r="D1262" s="85"/>
      <c r="E1262" s="85"/>
      <c r="F1262" s="85"/>
      <c r="G1262" s="85"/>
      <c r="H1262" s="85"/>
      <c r="I1262" s="85"/>
      <c r="J1262" s="85"/>
      <c r="K1262" s="85"/>
      <c r="L1262" s="85"/>
      <c r="M1262" s="85"/>
      <c r="N1262" s="85"/>
      <c r="O1262" s="85"/>
      <c r="P1262" s="85"/>
      <c r="Q1262" s="85"/>
      <c r="R1262" s="85"/>
      <c r="S1262" s="85"/>
      <c r="T1262" s="85"/>
      <c r="U1262" s="85"/>
      <c r="V1262" s="85"/>
      <c r="W1262" s="85"/>
      <c r="X1262" s="85"/>
      <c r="Y1262" s="85"/>
      <c r="Z1262" s="85"/>
      <c r="AA1262" s="85"/>
      <c r="AB1262" s="85"/>
      <c r="AC1262" s="85"/>
      <c r="AD1262" s="84"/>
      <c r="AE1262" s="84"/>
      <c r="AF1262" s="84"/>
      <c r="DB1262" s="85"/>
    </row>
    <row r="1263" spans="2:106">
      <c r="B1263" s="85"/>
      <c r="C1263" s="85"/>
      <c r="D1263" s="85"/>
      <c r="E1263" s="85"/>
      <c r="F1263" s="85"/>
      <c r="G1263" s="85"/>
      <c r="H1263" s="85"/>
      <c r="I1263" s="85"/>
      <c r="J1263" s="85"/>
      <c r="K1263" s="85"/>
      <c r="L1263" s="85"/>
      <c r="M1263" s="85"/>
      <c r="N1263" s="85"/>
      <c r="O1263" s="85"/>
      <c r="P1263" s="85"/>
      <c r="Q1263" s="85"/>
      <c r="R1263" s="85"/>
      <c r="S1263" s="85"/>
      <c r="T1263" s="85"/>
      <c r="U1263" s="85"/>
      <c r="V1263" s="85"/>
      <c r="W1263" s="85"/>
      <c r="X1263" s="85"/>
      <c r="Y1263" s="85"/>
      <c r="Z1263" s="85"/>
      <c r="AA1263" s="85"/>
      <c r="AB1263" s="85"/>
      <c r="AC1263" s="85"/>
      <c r="AD1263" s="84"/>
      <c r="AE1263" s="84"/>
      <c r="AF1263" s="84"/>
      <c r="DB1263" s="85"/>
    </row>
    <row r="1264" spans="2:106">
      <c r="B1264" s="85"/>
      <c r="C1264" s="85"/>
      <c r="D1264" s="85"/>
      <c r="E1264" s="85"/>
      <c r="F1264" s="85"/>
      <c r="G1264" s="85"/>
      <c r="H1264" s="85"/>
      <c r="I1264" s="85"/>
      <c r="J1264" s="85"/>
      <c r="K1264" s="85"/>
      <c r="L1264" s="85"/>
      <c r="M1264" s="85"/>
      <c r="N1264" s="85"/>
      <c r="O1264" s="85"/>
      <c r="P1264" s="85"/>
      <c r="Q1264" s="85"/>
      <c r="R1264" s="85"/>
      <c r="S1264" s="85"/>
      <c r="T1264" s="85"/>
      <c r="U1264" s="85"/>
      <c r="V1264" s="85"/>
      <c r="W1264" s="85"/>
      <c r="X1264" s="85"/>
      <c r="Y1264" s="85"/>
      <c r="Z1264" s="85"/>
      <c r="AA1264" s="85"/>
      <c r="AB1264" s="85"/>
      <c r="AC1264" s="85"/>
      <c r="AD1264" s="84"/>
      <c r="AE1264" s="84"/>
      <c r="AF1264" s="84"/>
      <c r="DB1264" s="85"/>
    </row>
    <row r="1265" spans="2:106">
      <c r="B1265" s="85"/>
      <c r="C1265" s="85"/>
      <c r="D1265" s="85"/>
      <c r="E1265" s="85"/>
      <c r="F1265" s="85"/>
      <c r="G1265" s="85"/>
      <c r="H1265" s="85"/>
      <c r="I1265" s="85"/>
      <c r="J1265" s="85"/>
      <c r="K1265" s="85"/>
      <c r="L1265" s="85"/>
      <c r="M1265" s="85"/>
      <c r="N1265" s="85"/>
      <c r="O1265" s="85"/>
      <c r="P1265" s="85"/>
      <c r="Q1265" s="85"/>
      <c r="R1265" s="85"/>
      <c r="S1265" s="85"/>
      <c r="T1265" s="85"/>
      <c r="U1265" s="85"/>
      <c r="V1265" s="85"/>
      <c r="W1265" s="85"/>
      <c r="X1265" s="85"/>
      <c r="Y1265" s="85"/>
      <c r="Z1265" s="85"/>
      <c r="AA1265" s="85"/>
      <c r="AB1265" s="85"/>
      <c r="AC1265" s="85"/>
      <c r="AD1265" s="84"/>
      <c r="AE1265" s="84"/>
      <c r="AF1265" s="84"/>
      <c r="DB1265" s="85"/>
    </row>
    <row r="1266" spans="2:106">
      <c r="B1266" s="85"/>
      <c r="C1266" s="85"/>
      <c r="D1266" s="85"/>
      <c r="E1266" s="85"/>
      <c r="F1266" s="85"/>
      <c r="G1266" s="85"/>
      <c r="H1266" s="85"/>
      <c r="I1266" s="85"/>
      <c r="J1266" s="85"/>
      <c r="K1266" s="85"/>
      <c r="L1266" s="85"/>
      <c r="M1266" s="85"/>
      <c r="N1266" s="85"/>
      <c r="O1266" s="85"/>
      <c r="P1266" s="85"/>
      <c r="Q1266" s="85"/>
      <c r="R1266" s="85"/>
      <c r="S1266" s="85"/>
      <c r="T1266" s="85"/>
      <c r="U1266" s="85"/>
      <c r="V1266" s="85"/>
      <c r="W1266" s="85"/>
      <c r="X1266" s="85"/>
      <c r="Y1266" s="85"/>
      <c r="Z1266" s="85"/>
      <c r="AA1266" s="85"/>
      <c r="AB1266" s="85"/>
      <c r="AC1266" s="85"/>
      <c r="AD1266" s="84"/>
      <c r="AE1266" s="84"/>
      <c r="AF1266" s="84"/>
      <c r="DB1266" s="85"/>
    </row>
    <row r="1267" spans="2:106">
      <c r="B1267" s="85"/>
      <c r="C1267" s="85"/>
      <c r="D1267" s="85"/>
      <c r="E1267" s="85"/>
      <c r="F1267" s="85"/>
      <c r="G1267" s="85"/>
      <c r="H1267" s="85"/>
      <c r="I1267" s="85"/>
      <c r="J1267" s="85"/>
      <c r="K1267" s="85"/>
      <c r="L1267" s="85"/>
      <c r="M1267" s="85"/>
      <c r="N1267" s="85"/>
      <c r="O1267" s="85"/>
      <c r="P1267" s="85"/>
      <c r="Q1267" s="85"/>
      <c r="R1267" s="85"/>
      <c r="S1267" s="85"/>
      <c r="T1267" s="85"/>
      <c r="U1267" s="85"/>
      <c r="V1267" s="85"/>
      <c r="W1267" s="85"/>
      <c r="X1267" s="85"/>
      <c r="Y1267" s="85"/>
      <c r="Z1267" s="85"/>
      <c r="AA1267" s="85"/>
      <c r="AB1267" s="85"/>
      <c r="AC1267" s="85"/>
      <c r="AD1267" s="84"/>
      <c r="AE1267" s="84"/>
      <c r="AF1267" s="84"/>
      <c r="DB1267" s="85"/>
    </row>
    <row r="1268" spans="2:106">
      <c r="B1268" s="85"/>
      <c r="C1268" s="85"/>
      <c r="D1268" s="85"/>
      <c r="E1268" s="85"/>
      <c r="F1268" s="85"/>
      <c r="G1268" s="85"/>
      <c r="H1268" s="85"/>
      <c r="I1268" s="85"/>
      <c r="J1268" s="85"/>
      <c r="K1268" s="85"/>
      <c r="L1268" s="85"/>
      <c r="M1268" s="85"/>
      <c r="N1268" s="85"/>
      <c r="O1268" s="85"/>
      <c r="P1268" s="85"/>
      <c r="Q1268" s="85"/>
      <c r="R1268" s="85"/>
      <c r="S1268" s="85"/>
      <c r="T1268" s="85"/>
      <c r="U1268" s="85"/>
      <c r="V1268" s="85"/>
      <c r="W1268" s="85"/>
      <c r="X1268" s="85"/>
      <c r="Y1268" s="85"/>
      <c r="Z1268" s="85"/>
      <c r="AA1268" s="85"/>
      <c r="AB1268" s="85"/>
      <c r="AC1268" s="85"/>
      <c r="AD1268" s="84"/>
      <c r="AE1268" s="84"/>
      <c r="AF1268" s="84"/>
      <c r="DB1268" s="85"/>
    </row>
    <row r="1269" spans="2:106">
      <c r="B1269" s="85"/>
      <c r="C1269" s="85"/>
      <c r="D1269" s="85"/>
      <c r="E1269" s="85"/>
      <c r="F1269" s="85"/>
      <c r="G1269" s="85"/>
      <c r="H1269" s="85"/>
      <c r="I1269" s="85"/>
      <c r="J1269" s="85"/>
      <c r="K1269" s="85"/>
      <c r="L1269" s="85"/>
      <c r="M1269" s="85"/>
      <c r="N1269" s="85"/>
      <c r="O1269" s="85"/>
      <c r="P1269" s="85"/>
      <c r="Q1269" s="85"/>
      <c r="R1269" s="85"/>
      <c r="S1269" s="85"/>
      <c r="T1269" s="85"/>
      <c r="U1269" s="85"/>
      <c r="V1269" s="85"/>
      <c r="W1269" s="85"/>
      <c r="X1269" s="85"/>
      <c r="Y1269" s="85"/>
      <c r="Z1269" s="85"/>
      <c r="AA1269" s="85"/>
      <c r="AB1269" s="85"/>
      <c r="AC1269" s="85"/>
      <c r="AD1269" s="84"/>
      <c r="AE1269" s="84"/>
      <c r="AF1269" s="84"/>
      <c r="DB1269" s="85"/>
    </row>
    <row r="1270" spans="2:106">
      <c r="B1270" s="85"/>
      <c r="C1270" s="85"/>
      <c r="D1270" s="85"/>
      <c r="E1270" s="85"/>
      <c r="F1270" s="85"/>
      <c r="G1270" s="85"/>
      <c r="H1270" s="85"/>
      <c r="I1270" s="85"/>
      <c r="J1270" s="85"/>
      <c r="K1270" s="85"/>
      <c r="L1270" s="85"/>
      <c r="M1270" s="85"/>
      <c r="N1270" s="85"/>
      <c r="O1270" s="85"/>
      <c r="P1270" s="85"/>
      <c r="Q1270" s="85"/>
      <c r="R1270" s="85"/>
      <c r="S1270" s="85"/>
      <c r="T1270" s="85"/>
      <c r="U1270" s="85"/>
      <c r="V1270" s="85"/>
      <c r="W1270" s="85"/>
      <c r="X1270" s="85"/>
      <c r="Y1270" s="85"/>
      <c r="Z1270" s="85"/>
      <c r="AA1270" s="85"/>
      <c r="AB1270" s="85"/>
      <c r="AC1270" s="85"/>
      <c r="AD1270" s="84"/>
      <c r="AE1270" s="84"/>
      <c r="AF1270" s="84"/>
      <c r="DB1270" s="85"/>
    </row>
    <row r="1271" spans="2:106">
      <c r="B1271" s="85"/>
      <c r="C1271" s="85"/>
      <c r="D1271" s="85"/>
      <c r="E1271" s="85"/>
      <c r="F1271" s="85"/>
      <c r="G1271" s="85"/>
      <c r="H1271" s="85"/>
      <c r="I1271" s="85"/>
      <c r="J1271" s="85"/>
      <c r="K1271" s="85"/>
      <c r="L1271" s="85"/>
      <c r="M1271" s="85"/>
      <c r="N1271" s="85"/>
      <c r="O1271" s="85"/>
      <c r="P1271" s="85"/>
      <c r="Q1271" s="85"/>
      <c r="R1271" s="85"/>
      <c r="S1271" s="85"/>
      <c r="T1271" s="85"/>
      <c r="U1271" s="85"/>
      <c r="V1271" s="85"/>
      <c r="W1271" s="85"/>
      <c r="X1271" s="85"/>
      <c r="Y1271" s="85"/>
      <c r="Z1271" s="85"/>
      <c r="AA1271" s="85"/>
      <c r="AB1271" s="85"/>
      <c r="AC1271" s="85"/>
      <c r="AD1271" s="84"/>
      <c r="AE1271" s="84"/>
      <c r="AF1271" s="84"/>
      <c r="DB1271" s="85"/>
    </row>
    <row r="1272" spans="2:106">
      <c r="B1272" s="85"/>
      <c r="C1272" s="85"/>
      <c r="D1272" s="85"/>
      <c r="E1272" s="85"/>
      <c r="F1272" s="85"/>
      <c r="G1272" s="85"/>
      <c r="H1272" s="85"/>
      <c r="I1272" s="85"/>
      <c r="J1272" s="85"/>
      <c r="K1272" s="85"/>
      <c r="L1272" s="85"/>
      <c r="M1272" s="85"/>
      <c r="N1272" s="85"/>
      <c r="O1272" s="85"/>
      <c r="P1272" s="85"/>
      <c r="Q1272" s="85"/>
      <c r="R1272" s="85"/>
      <c r="S1272" s="85"/>
      <c r="T1272" s="85"/>
      <c r="U1272" s="85"/>
      <c r="V1272" s="85"/>
      <c r="W1272" s="85"/>
      <c r="X1272" s="85"/>
      <c r="Y1272" s="85"/>
      <c r="Z1272" s="85"/>
      <c r="AA1272" s="85"/>
      <c r="AB1272" s="85"/>
      <c r="AC1272" s="85"/>
      <c r="AD1272" s="84"/>
      <c r="AE1272" s="84"/>
      <c r="AF1272" s="84"/>
      <c r="DB1272" s="85"/>
    </row>
    <row r="1273" spans="2:106">
      <c r="B1273" s="85"/>
      <c r="C1273" s="85"/>
      <c r="D1273" s="85"/>
      <c r="E1273" s="85"/>
      <c r="F1273" s="85"/>
      <c r="G1273" s="85"/>
      <c r="H1273" s="85"/>
      <c r="I1273" s="85"/>
      <c r="J1273" s="85"/>
      <c r="K1273" s="85"/>
      <c r="L1273" s="85"/>
      <c r="M1273" s="85"/>
      <c r="N1273" s="85"/>
      <c r="O1273" s="85"/>
      <c r="P1273" s="85"/>
      <c r="Q1273" s="85"/>
      <c r="R1273" s="85"/>
      <c r="S1273" s="85"/>
      <c r="T1273" s="85"/>
      <c r="U1273" s="85"/>
      <c r="V1273" s="85"/>
      <c r="W1273" s="85"/>
      <c r="X1273" s="85"/>
      <c r="Y1273" s="85"/>
      <c r="Z1273" s="85"/>
      <c r="AA1273" s="85"/>
      <c r="AB1273" s="85"/>
      <c r="AC1273" s="85"/>
      <c r="AD1273" s="84"/>
      <c r="AE1273" s="84"/>
      <c r="AF1273" s="84"/>
      <c r="DB1273" s="85"/>
    </row>
    <row r="1274" spans="2:106">
      <c r="B1274" s="85"/>
      <c r="C1274" s="85"/>
      <c r="D1274" s="85"/>
      <c r="E1274" s="85"/>
      <c r="F1274" s="85"/>
      <c r="G1274" s="85"/>
      <c r="H1274" s="85"/>
      <c r="I1274" s="85"/>
      <c r="J1274" s="85"/>
      <c r="K1274" s="85"/>
      <c r="L1274" s="85"/>
      <c r="M1274" s="85"/>
      <c r="N1274" s="85"/>
      <c r="O1274" s="85"/>
      <c r="P1274" s="85"/>
      <c r="Q1274" s="85"/>
      <c r="R1274" s="85"/>
      <c r="S1274" s="85"/>
      <c r="T1274" s="85"/>
      <c r="U1274" s="85"/>
      <c r="V1274" s="85"/>
      <c r="W1274" s="85"/>
      <c r="X1274" s="85"/>
      <c r="Y1274" s="85"/>
      <c r="Z1274" s="85"/>
      <c r="AA1274" s="85"/>
      <c r="AB1274" s="85"/>
      <c r="AC1274" s="85"/>
      <c r="AD1274" s="84"/>
      <c r="AE1274" s="84"/>
      <c r="AF1274" s="84"/>
      <c r="DB1274" s="85"/>
    </row>
    <row r="1275" spans="2:106">
      <c r="B1275" s="85"/>
      <c r="C1275" s="85"/>
      <c r="D1275" s="85"/>
      <c r="E1275" s="85"/>
      <c r="F1275" s="85"/>
      <c r="G1275" s="85"/>
      <c r="H1275" s="85"/>
      <c r="I1275" s="85"/>
      <c r="J1275" s="85"/>
      <c r="K1275" s="85"/>
      <c r="L1275" s="85"/>
      <c r="M1275" s="85"/>
      <c r="N1275" s="85"/>
      <c r="O1275" s="85"/>
      <c r="P1275" s="85"/>
      <c r="Q1275" s="85"/>
      <c r="R1275" s="85"/>
      <c r="S1275" s="85"/>
      <c r="T1275" s="85"/>
      <c r="U1275" s="85"/>
      <c r="V1275" s="85"/>
      <c r="W1275" s="85"/>
      <c r="X1275" s="85"/>
      <c r="Y1275" s="85"/>
      <c r="Z1275" s="85"/>
      <c r="AA1275" s="85"/>
      <c r="AB1275" s="85"/>
      <c r="AC1275" s="85"/>
      <c r="AD1275" s="84"/>
      <c r="AE1275" s="84"/>
      <c r="AF1275" s="84"/>
      <c r="DB1275" s="85"/>
    </row>
    <row r="1276" spans="2:106">
      <c r="B1276" s="85"/>
      <c r="C1276" s="85"/>
      <c r="D1276" s="85"/>
      <c r="E1276" s="85"/>
      <c r="F1276" s="85"/>
      <c r="G1276" s="85"/>
      <c r="H1276" s="85"/>
      <c r="I1276" s="85"/>
      <c r="J1276" s="85"/>
      <c r="K1276" s="85"/>
      <c r="L1276" s="85"/>
      <c r="M1276" s="85"/>
      <c r="N1276" s="85"/>
      <c r="O1276" s="85"/>
      <c r="P1276" s="85"/>
      <c r="Q1276" s="85"/>
      <c r="R1276" s="85"/>
      <c r="S1276" s="85"/>
      <c r="T1276" s="85"/>
      <c r="U1276" s="85"/>
      <c r="V1276" s="85"/>
      <c r="W1276" s="85"/>
      <c r="X1276" s="85"/>
      <c r="Y1276" s="85"/>
      <c r="Z1276" s="85"/>
      <c r="AA1276" s="85"/>
      <c r="AB1276" s="85"/>
      <c r="AC1276" s="85"/>
      <c r="AD1276" s="84"/>
      <c r="AE1276" s="84"/>
      <c r="AF1276" s="84"/>
      <c r="DB1276" s="85"/>
    </row>
    <row r="1277" spans="2:106">
      <c r="B1277" s="85"/>
      <c r="C1277" s="85"/>
      <c r="D1277" s="85"/>
      <c r="E1277" s="85"/>
      <c r="F1277" s="85"/>
      <c r="G1277" s="85"/>
      <c r="H1277" s="85"/>
      <c r="I1277" s="85"/>
      <c r="J1277" s="85"/>
      <c r="K1277" s="85"/>
      <c r="L1277" s="85"/>
      <c r="M1277" s="85"/>
      <c r="N1277" s="85"/>
      <c r="O1277" s="85"/>
      <c r="P1277" s="85"/>
      <c r="Q1277" s="85"/>
      <c r="R1277" s="85"/>
      <c r="S1277" s="85"/>
      <c r="T1277" s="85"/>
      <c r="U1277" s="85"/>
      <c r="V1277" s="85"/>
      <c r="W1277" s="85"/>
      <c r="X1277" s="85"/>
      <c r="Y1277" s="85"/>
      <c r="Z1277" s="85"/>
      <c r="AA1277" s="85"/>
      <c r="AB1277" s="85"/>
      <c r="AC1277" s="85"/>
      <c r="AD1277" s="84"/>
      <c r="AE1277" s="84"/>
      <c r="AF1277" s="84"/>
      <c r="DB1277" s="85"/>
    </row>
    <row r="1278" spans="2:106">
      <c r="B1278" s="85"/>
      <c r="C1278" s="85"/>
      <c r="D1278" s="85"/>
      <c r="E1278" s="85"/>
      <c r="F1278" s="85"/>
      <c r="G1278" s="85"/>
      <c r="H1278" s="85"/>
      <c r="I1278" s="85"/>
      <c r="J1278" s="85"/>
      <c r="K1278" s="85"/>
      <c r="L1278" s="85"/>
      <c r="M1278" s="85"/>
      <c r="N1278" s="85"/>
      <c r="O1278" s="85"/>
      <c r="P1278" s="85"/>
      <c r="Q1278" s="85"/>
      <c r="R1278" s="85"/>
      <c r="S1278" s="85"/>
      <c r="T1278" s="85"/>
      <c r="U1278" s="85"/>
      <c r="V1278" s="85"/>
      <c r="W1278" s="85"/>
      <c r="X1278" s="85"/>
      <c r="Y1278" s="85"/>
      <c r="Z1278" s="85"/>
      <c r="AA1278" s="85"/>
      <c r="AB1278" s="85"/>
      <c r="AC1278" s="85"/>
      <c r="AD1278" s="84"/>
      <c r="AE1278" s="84"/>
      <c r="AF1278" s="84"/>
      <c r="DB1278" s="85"/>
    </row>
    <row r="1279" spans="2:106">
      <c r="B1279" s="85"/>
      <c r="C1279" s="85"/>
      <c r="D1279" s="85"/>
      <c r="E1279" s="85"/>
      <c r="F1279" s="85"/>
      <c r="G1279" s="85"/>
      <c r="H1279" s="85"/>
      <c r="I1279" s="85"/>
      <c r="J1279" s="85"/>
      <c r="K1279" s="85"/>
      <c r="L1279" s="85"/>
      <c r="M1279" s="85"/>
      <c r="N1279" s="85"/>
      <c r="O1279" s="85"/>
      <c r="P1279" s="85"/>
      <c r="Q1279" s="85"/>
      <c r="R1279" s="85"/>
      <c r="S1279" s="85"/>
      <c r="T1279" s="85"/>
      <c r="U1279" s="85"/>
      <c r="V1279" s="85"/>
      <c r="W1279" s="85"/>
      <c r="X1279" s="85"/>
      <c r="Y1279" s="85"/>
      <c r="Z1279" s="85"/>
      <c r="AA1279" s="85"/>
      <c r="AB1279" s="85"/>
      <c r="AC1279" s="85"/>
      <c r="AD1279" s="84"/>
      <c r="AE1279" s="84"/>
      <c r="AF1279" s="84"/>
      <c r="DB1279" s="85"/>
    </row>
    <row r="1280" spans="2:106">
      <c r="B1280" s="85"/>
      <c r="C1280" s="85"/>
      <c r="D1280" s="85"/>
      <c r="E1280" s="85"/>
      <c r="F1280" s="85"/>
      <c r="G1280" s="85"/>
      <c r="H1280" s="85"/>
      <c r="I1280" s="85"/>
      <c r="J1280" s="85"/>
      <c r="K1280" s="85"/>
      <c r="L1280" s="85"/>
      <c r="M1280" s="85"/>
      <c r="N1280" s="85"/>
      <c r="O1280" s="85"/>
      <c r="P1280" s="85"/>
      <c r="Q1280" s="85"/>
      <c r="R1280" s="85"/>
      <c r="S1280" s="85"/>
      <c r="T1280" s="85"/>
      <c r="U1280" s="85"/>
      <c r="V1280" s="85"/>
      <c r="W1280" s="85"/>
      <c r="X1280" s="85"/>
      <c r="Y1280" s="85"/>
      <c r="Z1280" s="85"/>
      <c r="AA1280" s="85"/>
      <c r="AB1280" s="85"/>
      <c r="AC1280" s="85"/>
      <c r="AD1280" s="84"/>
      <c r="AE1280" s="84"/>
      <c r="AF1280" s="84"/>
      <c r="DB1280" s="85"/>
    </row>
    <row r="1281" spans="2:106">
      <c r="B1281" s="85"/>
      <c r="C1281" s="85"/>
      <c r="D1281" s="85"/>
      <c r="E1281" s="85"/>
      <c r="F1281" s="85"/>
      <c r="G1281" s="85"/>
      <c r="H1281" s="85"/>
      <c r="I1281" s="85"/>
      <c r="J1281" s="85"/>
      <c r="K1281" s="85"/>
      <c r="L1281" s="85"/>
      <c r="M1281" s="85"/>
      <c r="N1281" s="85"/>
      <c r="O1281" s="85"/>
      <c r="P1281" s="85"/>
      <c r="Q1281" s="85"/>
      <c r="R1281" s="85"/>
      <c r="S1281" s="85"/>
      <c r="T1281" s="85"/>
      <c r="U1281" s="85"/>
      <c r="V1281" s="85"/>
      <c r="W1281" s="85"/>
      <c r="X1281" s="85"/>
      <c r="Y1281" s="85"/>
      <c r="Z1281" s="85"/>
      <c r="AA1281" s="85"/>
      <c r="AB1281" s="85"/>
      <c r="AC1281" s="85"/>
      <c r="AD1281" s="84"/>
      <c r="AE1281" s="84"/>
      <c r="AF1281" s="84"/>
      <c r="DB1281" s="85"/>
    </row>
    <row r="1282" spans="2:106">
      <c r="B1282" s="85"/>
      <c r="C1282" s="85"/>
      <c r="D1282" s="85"/>
      <c r="E1282" s="85"/>
      <c r="F1282" s="85"/>
      <c r="G1282" s="85"/>
      <c r="H1282" s="85"/>
      <c r="I1282" s="85"/>
      <c r="J1282" s="85"/>
      <c r="K1282" s="85"/>
      <c r="L1282" s="85"/>
      <c r="M1282" s="85"/>
      <c r="N1282" s="85"/>
      <c r="O1282" s="85"/>
      <c r="P1282" s="85"/>
      <c r="Q1282" s="85"/>
      <c r="R1282" s="85"/>
      <c r="S1282" s="85"/>
      <c r="T1282" s="85"/>
      <c r="U1282" s="85"/>
      <c r="V1282" s="85"/>
      <c r="W1282" s="85"/>
      <c r="X1282" s="85"/>
      <c r="Y1282" s="85"/>
      <c r="Z1282" s="85"/>
      <c r="AA1282" s="85"/>
      <c r="AB1282" s="85"/>
      <c r="AC1282" s="85"/>
      <c r="AD1282" s="84"/>
      <c r="AE1282" s="84"/>
      <c r="AF1282" s="84"/>
      <c r="DB1282" s="85"/>
    </row>
  </sheetData>
  <pageMargins left="0.25" right="0.25" top="0.75" bottom="0.75" header="0.3" footer="0.3"/>
  <pageSetup scale="10" orientation="landscape" r:id="rId1"/>
  <headerFooter alignWithMargins="0"/>
  <rowBreaks count="1" manualBreakCount="1">
    <brk id="213" min="86" max="101" man="1"/>
  </rowBreaks>
  <customProperties>
    <customPr name="Qube.Worksheet.Visibility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0C0F0-9436-4E35-B65F-DFE2362CA8E0}">
  <sheetPr>
    <tabColor rgb="FF92D050"/>
    <pageSetUpPr autoPageBreaks="0" fitToPage="1"/>
  </sheetPr>
  <dimension ref="A1:CZ122"/>
  <sheetViews>
    <sheetView zoomScaleNormal="100" workbookViewId="0">
      <pane xSplit="1" ySplit="1" topLeftCell="BS2" activePane="bottomRight" state="frozen"/>
      <selection activeCell="C22" sqref="C22"/>
      <selection pane="topRight" activeCell="C22" sqref="C22"/>
      <selection pane="bottomLeft" activeCell="C22" sqref="C22"/>
      <selection pane="bottomRight"/>
    </sheetView>
  </sheetViews>
  <sheetFormatPr defaultColWidth="9.109375" defaultRowHeight="13.2" outlineLevelCol="2"/>
  <cols>
    <col min="1" max="1" width="38.109375" style="232" customWidth="1"/>
    <col min="2" max="25" width="7.6640625" style="232" bestFit="1" customWidth="1"/>
    <col min="26" max="26" width="8.33203125" style="232" customWidth="1"/>
    <col min="27" max="27" width="8.33203125" style="232" bestFit="1" customWidth="1"/>
    <col min="28" max="29" width="8.33203125" style="232" customWidth="1"/>
    <col min="30" max="30" width="8.33203125" style="232" bestFit="1" customWidth="1"/>
    <col min="31" max="31" width="8.33203125" style="232" customWidth="1"/>
    <col min="32" max="32" width="8.33203125" style="232" bestFit="1" customWidth="1"/>
    <col min="33" max="41" width="8.33203125" style="232" customWidth="1"/>
    <col min="42" max="48" width="8.33203125" style="232" bestFit="1" customWidth="1"/>
    <col min="49" max="49" width="9" style="232" bestFit="1" customWidth="1"/>
    <col min="50" max="54" width="10" style="232" bestFit="1" customWidth="1"/>
    <col min="55" max="73" width="8.33203125" style="232" bestFit="1" customWidth="1"/>
    <col min="74" max="74" width="8.5546875" style="232" bestFit="1" customWidth="1"/>
    <col min="75" max="81" width="8.33203125" style="232" bestFit="1" customWidth="1"/>
    <col min="82" max="82" width="1.33203125" style="232" customWidth="1"/>
    <col min="83" max="83" width="6.109375" style="232" hidden="1" customWidth="1" outlineLevel="2"/>
    <col min="84" max="84" width="6.88671875" style="232" hidden="1" customWidth="1" outlineLevel="2"/>
    <col min="85" max="87" width="8.44140625" style="232" hidden="1" customWidth="1" outlineLevel="2"/>
    <col min="88" max="88" width="6.88671875" style="232" hidden="1" customWidth="1" outlineLevel="2"/>
    <col min="89" max="92" width="7.6640625" style="232" hidden="1" customWidth="1" outlineLevel="1"/>
    <col min="93" max="97" width="8" style="232" hidden="1" customWidth="1" outlineLevel="1"/>
    <col min="98" max="98" width="8" style="232" bestFit="1" customWidth="1" collapsed="1"/>
    <col min="99" max="102" width="8.88671875" style="232" bestFit="1" customWidth="1"/>
    <col min="103" max="103" width="1.33203125" style="232" customWidth="1"/>
    <col min="104" max="104" width="1.44140625" style="232" customWidth="1"/>
    <col min="105" max="105" width="10.109375" style="232" bestFit="1" customWidth="1"/>
    <col min="106" max="109" width="9.33203125" style="232" bestFit="1" customWidth="1"/>
    <col min="110" max="110" width="10.109375" style="232" bestFit="1" customWidth="1"/>
    <col min="111" max="114" width="9.33203125" style="232" bestFit="1" customWidth="1"/>
    <col min="115" max="115" width="10.109375" style="232" bestFit="1" customWidth="1"/>
    <col min="116" max="119" width="9.33203125" style="232" bestFit="1" customWidth="1"/>
    <col min="120" max="120" width="10.109375" style="232" bestFit="1" customWidth="1"/>
    <col min="121" max="124" width="9.33203125" style="232" bestFit="1" customWidth="1"/>
    <col min="125" max="125" width="10.109375" style="232" bestFit="1" customWidth="1"/>
    <col min="126" max="129" width="9.33203125" style="232" bestFit="1" customWidth="1"/>
    <col min="130" max="130" width="10.109375" style="232" bestFit="1" customWidth="1"/>
    <col min="131" max="134" width="9.33203125" style="232" bestFit="1" customWidth="1"/>
    <col min="135" max="135" width="10.109375" style="232" bestFit="1" customWidth="1"/>
    <col min="136" max="139" width="9.33203125" style="232" bestFit="1" customWidth="1"/>
    <col min="140" max="140" width="10.109375" style="232" bestFit="1" customWidth="1"/>
    <col min="141" max="144" width="9.33203125" style="232" bestFit="1" customWidth="1"/>
    <col min="145" max="145" width="10.109375" style="232" bestFit="1" customWidth="1"/>
    <col min="146" max="149" width="9.33203125" style="232" bestFit="1" customWidth="1"/>
    <col min="150" max="150" width="10.109375" style="232" bestFit="1" customWidth="1"/>
    <col min="151" max="154" width="9.33203125" style="232" bestFit="1" customWidth="1"/>
    <col min="155" max="155" width="10.109375" style="232" bestFit="1" customWidth="1"/>
    <col min="156" max="159" width="9.33203125" style="232" bestFit="1" customWidth="1"/>
    <col min="160" max="160" width="10.109375" style="232" bestFit="1" customWidth="1"/>
    <col min="161" max="164" width="9.33203125" style="232" bestFit="1" customWidth="1"/>
    <col min="165" max="165" width="10.109375" style="232" bestFit="1" customWidth="1"/>
    <col min="166" max="169" width="9.33203125" style="232" bestFit="1" customWidth="1"/>
    <col min="170" max="170" width="10.109375" style="232" bestFit="1" customWidth="1"/>
    <col min="171" max="174" width="9.33203125" style="232" bestFit="1" customWidth="1"/>
    <col min="175" max="175" width="10.109375" style="232" bestFit="1" customWidth="1"/>
    <col min="176" max="179" width="9.33203125" style="232" bestFit="1" customWidth="1"/>
    <col min="180" max="180" width="10.109375" style="232" bestFit="1" customWidth="1"/>
    <col min="181" max="184" width="9.33203125" style="232" bestFit="1" customWidth="1"/>
    <col min="185" max="185" width="10.109375" style="232" bestFit="1" customWidth="1"/>
    <col min="186" max="187" width="9.33203125" style="232" bestFit="1" customWidth="1"/>
    <col min="188" max="16384" width="9.109375" style="232"/>
  </cols>
  <sheetData>
    <row r="1" spans="1:104" s="227" customFormat="1">
      <c r="A1" s="224"/>
      <c r="B1" s="225" t="str">
        <f>Worksheet!AD3</f>
      </c>
      <c r="C1" s="225" t="str">
        <f>Worksheet!AE3</f>
      </c>
      <c r="D1" s="225" t="str">
        <f>Worksheet!AF3</f>
      </c>
      <c r="E1" s="225" t="str">
        <f>Worksheet!AG3</f>
      </c>
      <c r="F1" s="225" t="str">
        <f>Worksheet!AH3</f>
      </c>
      <c r="G1" s="225" t="str">
        <f>Worksheet!AI3</f>
      </c>
      <c r="H1" s="225" t="str">
        <f>Worksheet!AJ3</f>
      </c>
      <c r="I1" s="225" t="str">
        <f>Worksheet!AK3</f>
      </c>
      <c r="J1" s="225" t="str">
        <f>Worksheet!AL3</f>
      </c>
      <c r="K1" s="225" t="str">
        <f>Worksheet!AM3</f>
      </c>
      <c r="L1" s="225" t="str">
        <f>Worksheet!AN3</f>
      </c>
      <c r="M1" s="225" t="str">
        <f>Worksheet!AO3</f>
      </c>
      <c r="N1" s="225" t="str">
        <f>Worksheet!AP3</f>
      </c>
      <c r="O1" s="225" t="str">
        <f>Worksheet!AQ3</f>
      </c>
      <c r="P1" s="225" t="str">
        <f>Worksheet!AR3</f>
      </c>
      <c r="Q1" s="225" t="str">
        <f>Worksheet!AS3</f>
      </c>
      <c r="R1" s="225" t="str">
        <f>Worksheet!AT3</f>
      </c>
      <c r="S1" s="225" t="str">
        <f>Worksheet!AU3</f>
      </c>
      <c r="T1" s="225" t="str">
        <f>Worksheet!AV3</f>
      </c>
      <c r="U1" s="225" t="str">
        <f>Worksheet!AW3</f>
      </c>
      <c r="V1" s="225" t="str">
        <f>Worksheet!AX3</f>
      </c>
      <c r="W1" s="225" t="str">
        <f>Worksheet!AY3</f>
      </c>
      <c r="X1" s="225" t="str">
        <f>Worksheet!AZ3</f>
      </c>
      <c r="Y1" s="225" t="str">
        <f>Worksheet!BA3</f>
      </c>
      <c r="Z1" s="225" t="str">
        <f>Worksheet!BB3</f>
      </c>
      <c r="AA1" s="225" t="str">
        <f>Worksheet!BC3</f>
      </c>
      <c r="AB1" s="225" t="str">
        <f>Worksheet!BD3</f>
      </c>
      <c r="AC1" s="225" t="str">
        <f>Worksheet!BE3</f>
      </c>
      <c r="AD1" s="225" t="str">
        <f>Worksheet!BF3</f>
      </c>
      <c r="AE1" s="225" t="str">
        <f>Worksheet!BG3</f>
      </c>
      <c r="AF1" s="225" t="str">
        <f>Worksheet!BH3</f>
      </c>
      <c r="AG1" s="225" t="str">
        <f>Worksheet!BI3</f>
      </c>
      <c r="AH1" s="225" t="str">
        <f>Worksheet!BJ3</f>
      </c>
      <c r="AI1" s="225" t="str">
        <f>Worksheet!BK3</f>
      </c>
      <c r="AJ1" s="225" t="str">
        <f>Worksheet!BL3</f>
      </c>
      <c r="AK1" s="225" t="str">
        <f>Worksheet!BM3</f>
      </c>
      <c r="AL1" s="225" t="str">
        <f>Worksheet!BN3</f>
      </c>
      <c r="AM1" s="225" t="str">
        <f>Worksheet!BO3</f>
      </c>
      <c r="AN1" s="225" t="str">
        <f>Worksheet!BP3</f>
      </c>
      <c r="AO1" s="225" t="str">
        <f>Worksheet!BQ3</f>
      </c>
      <c r="AP1" s="225" t="str">
        <f>Worksheet!BR3</f>
      </c>
      <c r="AQ1" s="225" t="str">
        <f>Worksheet!BS3</f>
      </c>
      <c r="AR1" s="225" t="str">
        <f>Worksheet!BT3</f>
      </c>
      <c r="AS1" s="225" t="str">
        <f>Worksheet!BU3</f>
      </c>
      <c r="AT1" s="225" t="str">
        <f>Worksheet!BV3</f>
      </c>
      <c r="AU1" s="225" t="str">
        <f>Worksheet!BW3</f>
      </c>
      <c r="AV1" s="225" t="str">
        <f>Worksheet!BX3</f>
      </c>
      <c r="AW1" s="225" t="str">
        <f>Worksheet!BY3</f>
      </c>
      <c r="AX1" s="225" t="str">
        <f>Worksheet!BZ3</f>
      </c>
      <c r="AY1" s="225" t="str">
        <f>Worksheet!CA3</f>
      </c>
      <c r="AZ1" s="225" t="str">
        <f>Worksheet!CB3</f>
      </c>
      <c r="BA1" s="225" t="str">
        <f>Worksheet!CC3</f>
      </c>
      <c r="BB1" s="225" t="str">
        <f>Worksheet!CD3</f>
      </c>
      <c r="BC1" s="225" t="str">
        <f>Worksheet!CE3</f>
      </c>
      <c r="BD1" s="225" t="str">
        <f>Worksheet!CF3</f>
      </c>
      <c r="BE1" s="225" t="str">
        <f>Worksheet!CG3</f>
      </c>
      <c r="BF1" s="225" t="str">
        <f>Worksheet!CH3</f>
      </c>
      <c r="BG1" s="225" t="str">
        <f>Worksheet!CI3</f>
      </c>
      <c r="BH1" s="225" t="str">
        <f>Worksheet!CJ3</f>
      </c>
      <c r="BI1" s="225" t="str">
        <f>Worksheet!CK3</f>
      </c>
      <c r="BJ1" s="225" t="str">
        <f>Worksheet!CL3</f>
      </c>
      <c r="BK1" s="225" t="str">
        <f>Worksheet!CM3</f>
      </c>
      <c r="BL1" s="225" t="str">
        <f>Worksheet!CN3</f>
      </c>
      <c r="BM1" s="225" t="str">
        <f>Worksheet!CO3</f>
      </c>
      <c r="BN1" s="225" t="str">
        <f>Worksheet!CP3</f>
      </c>
      <c r="BO1" s="225" t="str">
        <f>Worksheet!CQ3</f>
      </c>
      <c r="BP1" s="225" t="str">
        <f>Worksheet!CR3</f>
      </c>
      <c r="BQ1" s="225" t="str">
        <f>Worksheet!CS3</f>
      </c>
      <c r="BR1" s="225" t="s">
        <v>159</v>
      </c>
      <c r="BS1" s="225" t="s">
        <v>160</v>
      </c>
      <c r="BT1" s="225" t="s">
        <v>161</v>
      </c>
      <c r="BU1" s="225" t="s">
        <v>162</v>
      </c>
      <c r="BV1" s="225" t="str">
        <f>Worksheet!CX3</f>
      </c>
      <c r="BW1" s="225" t="str">
        <f>Worksheet!CY3</f>
      </c>
      <c r="BX1" s="225" t="str">
        <f>Worksheet!CZ3</f>
      </c>
      <c r="BY1" s="225" t="str">
        <f>Worksheet!DA3</f>
      </c>
      <c r="BZ1" s="225" t="str">
        <f>Worksheet!DB3</f>
      </c>
      <c r="CA1" s="225" t="str">
        <f>Worksheet!DC3</f>
      </c>
      <c r="CB1" s="225" t="str">
        <f>Worksheet!DD3</f>
      </c>
      <c r="CC1" s="225" t="str">
        <f>Worksheet!DE3</f>
      </c>
      <c r="CD1" s="226"/>
      <c r="CE1" s="225">
        <v>2008</v>
      </c>
      <c r="CF1" s="225">
        <v>2009</v>
      </c>
      <c r="CG1" s="225">
        <v>2010</v>
      </c>
      <c r="CH1" s="225">
        <v>2011</v>
      </c>
      <c r="CI1" s="225">
        <v>2012</v>
      </c>
      <c r="CJ1" s="225">
        <v>2013</v>
      </c>
      <c r="CK1" s="225">
        <v>2014</v>
      </c>
      <c r="CL1" s="225">
        <v>2015</v>
      </c>
      <c r="CM1" s="225">
        <v>2016</v>
      </c>
      <c r="CN1" s="225">
        <v>2017</v>
      </c>
      <c r="CO1" s="225">
        <v>2018</v>
      </c>
      <c r="CP1" s="225">
        <v>2019</v>
      </c>
      <c r="CQ1" s="225">
        <v>2020</v>
      </c>
      <c r="CR1" s="225">
        <v>2021</v>
      </c>
      <c r="CS1" s="225">
        <v>2022</v>
      </c>
      <c r="CT1" s="225">
        <v>2023</v>
      </c>
      <c r="CU1" s="225">
        <v>2024</v>
      </c>
      <c r="CV1" s="225" t="s">
        <v>192</v>
      </c>
      <c r="CW1" s="225" t="s">
        <v>193</v>
      </c>
      <c r="CX1" s="225" t="s">
        <v>194</v>
      </c>
      <c r="CZ1" s="229"/>
    </row>
    <row r="2" spans="1:104">
      <c r="A2" s="230" t="s">
        <v>499</v>
      </c>
      <c r="B2" s="230"/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  <c r="W2" s="230"/>
      <c r="X2" s="230"/>
      <c r="Y2" s="230"/>
      <c r="Z2" s="230"/>
      <c r="AA2" s="230"/>
      <c r="AB2" s="230"/>
      <c r="AC2" s="230"/>
      <c r="AD2" s="230"/>
      <c r="AE2" s="230"/>
      <c r="AF2" s="230"/>
      <c r="AG2" s="230"/>
      <c r="AH2" s="230"/>
      <c r="AI2" s="230"/>
      <c r="AJ2" s="230"/>
      <c r="AK2" s="230"/>
      <c r="AL2" s="230"/>
      <c r="AM2" s="230"/>
      <c r="AN2" s="230"/>
      <c r="AO2" s="230"/>
      <c r="AP2" s="230"/>
      <c r="AQ2" s="230"/>
      <c r="AR2" s="230"/>
      <c r="AS2" s="230"/>
      <c r="AT2" s="230"/>
      <c r="AU2" s="230"/>
      <c r="AV2" s="230"/>
      <c r="AW2" s="230"/>
      <c r="AX2" s="230"/>
      <c r="AY2" s="230"/>
      <c r="AZ2" s="230"/>
      <c r="BA2" s="230"/>
      <c r="BB2" s="230"/>
      <c r="BC2" s="230"/>
      <c r="BD2" s="230"/>
      <c r="BE2" s="230"/>
      <c r="BF2" s="230"/>
      <c r="BG2" s="230"/>
      <c r="BH2" s="230"/>
      <c r="BI2" s="230"/>
      <c r="BJ2" s="230"/>
      <c r="BK2" s="230"/>
      <c r="BL2" s="230"/>
      <c r="BM2" s="230"/>
      <c r="BN2" s="230"/>
      <c r="BO2" s="230"/>
      <c r="BP2" s="230"/>
      <c r="BQ2" s="230"/>
      <c r="BR2" s="230"/>
      <c r="BS2" s="230"/>
      <c r="BT2" s="230"/>
      <c r="BU2" s="230"/>
      <c r="BV2" s="230"/>
      <c r="BW2" s="230"/>
      <c r="BX2" s="230"/>
      <c r="BY2" s="230"/>
      <c r="BZ2" s="230"/>
      <c r="CA2" s="230"/>
      <c r="CB2" s="230"/>
      <c r="CC2" s="230"/>
      <c r="CD2" s="231"/>
      <c r="CE2" s="230">
        <f>CE1</f>
      </c>
      <c r="CF2" s="230">
        <f t="shared" ref="CF2:CR2" si="0">CF1</f>
      </c>
      <c r="CG2" s="230">
        <f t="shared" si="0"/>
      </c>
      <c r="CH2" s="230">
        <f t="shared" si="0"/>
      </c>
      <c r="CI2" s="230">
        <f t="shared" si="0"/>
      </c>
      <c r="CJ2" s="230">
        <f t="shared" si="0"/>
      </c>
      <c r="CK2" s="230">
        <f t="shared" si="0"/>
      </c>
      <c r="CL2" s="230">
        <f t="shared" si="0"/>
      </c>
      <c r="CM2" s="230">
        <f t="shared" si="0"/>
      </c>
      <c r="CN2" s="225">
        <f t="shared" si="0"/>
      </c>
      <c r="CO2" s="225">
        <f t="shared" si="0"/>
      </c>
      <c r="CP2" s="225">
        <f t="shared" si="0"/>
      </c>
      <c r="CQ2" s="225">
        <f t="shared" si="0"/>
      </c>
      <c r="CR2" s="225">
        <f t="shared" si="0"/>
      </c>
      <c r="CS2" s="225">
        <f>CS1</f>
      </c>
      <c r="CT2" s="225">
        <v>2023</v>
      </c>
      <c r="CU2" s="225">
        <v>2024</v>
      </c>
      <c r="CV2" s="225" t="s">
        <v>192</v>
      </c>
      <c r="CW2" s="225" t="s">
        <v>193</v>
      </c>
      <c r="CX2" s="225" t="s">
        <v>194</v>
      </c>
      <c r="CZ2" s="233"/>
    </row>
    <row r="3" spans="1:104" s="234" customFormat="1">
      <c r="A3" s="616" t="s">
        <v>500</v>
      </c>
      <c r="V3" s="234">
        <v>165.01887888469358</v>
      </c>
      <c r="W3" s="234">
        <v>210.58379320360152</v>
      </c>
      <c r="X3" s="234">
        <v>255.65611385419695</v>
      </c>
      <c r="Y3" s="234">
        <v>216.74121405750799</v>
      </c>
      <c r="Z3" s="234">
        <v>272.20768601798852</v>
      </c>
      <c r="AA3" s="234">
        <v>325.13695829926405</v>
      </c>
      <c r="AB3" s="234">
        <v>347.31684382665577</v>
      </c>
      <c r="AC3" s="234">
        <v>288.33851185609154</v>
      </c>
      <c r="AD3" s="234">
        <v>170.85876198779425</v>
      </c>
      <c r="AE3" s="234">
        <v>237.94681778552749</v>
      </c>
      <c r="AF3" s="234">
        <v>234.41586748038361</v>
      </c>
      <c r="AG3" s="234">
        <v>256.77855274629468</v>
      </c>
      <c r="AH3" s="234">
        <v>832.32087446245464</v>
      </c>
      <c r="AI3" s="234">
        <v>1207.8889026338084</v>
      </c>
      <c r="AJ3" s="234">
        <v>1299.6630448561316</v>
      </c>
      <c r="AK3" s="234">
        <v>1415.4396550442932</v>
      </c>
      <c r="AL3" s="234">
        <v>1124.4986191607811</v>
      </c>
      <c r="AM3" s="234">
        <v>1511.2149632031778</v>
      </c>
      <c r="AN3" s="234">
        <v>1606.6855606386443</v>
      </c>
      <c r="AO3" s="234">
        <v>1834.4856570511186</v>
      </c>
      <c r="AP3" s="234">
        <v>2062.013907640217</v>
      </c>
      <c r="AQ3" s="234">
        <v>2229.8786261939858</v>
      </c>
      <c r="AR3" s="234">
        <v>1910.7844314656504</v>
      </c>
      <c r="AS3" s="234">
        <v>2358.4236809423678</v>
      </c>
      <c r="AT3" s="234">
        <v>2388.3808031650669</v>
      </c>
      <c r="AU3" s="234">
        <v>2319.9156423246127</v>
      </c>
      <c r="AV3" s="234">
        <v>2971.2124287812389</v>
      </c>
      <c r="AW3" s="234">
        <v>3459.2461393875519</v>
      </c>
      <c r="AX3" s="234">
        <v>1949.6501861445979</v>
      </c>
      <c r="AY3" s="234">
        <v>2376.0014704028217</v>
      </c>
      <c r="AZ3" s="234">
        <v>3522.8756495405705</v>
      </c>
      <c r="BA3" s="234">
        <v>4739.4315044543055</v>
      </c>
      <c r="BB3" s="234">
        <v>3682.3764096074806</v>
      </c>
      <c r="BC3" s="234">
        <v>4275.2037908270277</v>
      </c>
      <c r="BD3" s="234">
        <v>4855.5228763850855</v>
      </c>
      <c r="BE3" s="234">
        <v>5421.3586722298387</v>
      </c>
      <c r="BF3" s="234">
        <v>6301.6078977173684</v>
      </c>
      <c r="BG3" s="234">
        <v>6464.8572363571138</v>
      </c>
      <c r="BH3" s="234">
        <v>6897.2845575292495</v>
      </c>
      <c r="BI3" s="234">
        <v>7080.2522151619987</v>
      </c>
      <c r="BJ3" s="234">
        <v>6759.6645618269858</v>
      </c>
      <c r="BK3" s="234">
        <v>5384.9753188785453</v>
      </c>
      <c r="BL3" s="234">
        <v>5843.2050665280258</v>
      </c>
      <c r="BM3" s="234">
        <v>6906.0291426224749</v>
      </c>
      <c r="BN3" s="234">
        <v>8719.8312792173147</v>
      </c>
      <c r="BO3" s="234">
        <v>10257.925666322886</v>
      </c>
      <c r="BP3" s="234">
        <v>13314.716179345964</v>
      </c>
      <c r="BQ3" s="234">
        <v>16302.048402308536</v>
      </c>
      <c r="BR3" s="234">
        <v>17656.956339868473</v>
      </c>
      <c r="BS3" s="234">
        <v>22835.019850298668</v>
      </c>
      <c r="BT3" s="617">
        <v>22928.812266547771</v>
      </c>
      <c r="BU3" s="617">
        <v>23254.211543285088</v>
      </c>
      <c r="BV3" s="617">
        <v>22696.254518170939</v>
      </c>
      <c r="BW3" s="617">
        <v>28286.093478324383</v>
      </c>
      <c r="BX3" s="617">
        <v>28894.00517095915</v>
      </c>
      <c r="BY3" s="617">
        <v>29626.646832545543</v>
      </c>
      <c r="BZ3" s="617">
        <v>25693.213730617746</v>
      </c>
      <c r="CA3" s="617">
        <v>31335.835533675789</v>
      </c>
      <c r="CB3" s="617">
        <v>32423.467027191324</v>
      </c>
      <c r="CC3" s="617">
        <v>33209.483708515138</v>
      </c>
      <c r="CE3" s="234">
        <f t="shared" ref="CE3:CE9" si="1">SUM(B3:E3)</f>
      </c>
      <c r="CF3" s="234">
        <f t="shared" ref="CF3:CF9" si="2">SUM(F3:I3)</f>
      </c>
      <c r="CG3" s="234">
        <f t="shared" ref="CG3:CG9" si="3">SUM(J3:M3)</f>
      </c>
      <c r="CH3" s="234">
        <f t="shared" ref="CH3:CH9" si="4">SUM(N3:Q3)</f>
      </c>
      <c r="CI3" s="234">
        <f t="shared" ref="CI3:CI9" si="5">SUM(R3:U3)</f>
      </c>
      <c r="CJ3" s="234">
        <f t="shared" ref="CJ3:CJ9" si="6">SUM(V3:Y3)</f>
      </c>
      <c r="CK3" s="234">
        <f>SUM(Z3:AC3)</f>
      </c>
      <c r="CL3" s="234">
        <f>SUM(AD3:AG3)</f>
      </c>
      <c r="CM3" s="234">
        <f>SUM(AH3:AK3)</f>
      </c>
      <c r="CN3" s="234">
        <f>SUM(AL3:AO3)</f>
      </c>
      <c r="CO3" s="234">
        <f>SUM(AP3:AS3)</f>
      </c>
      <c r="CP3" s="234">
        <f>SUM(AT3:AW3)</f>
      </c>
      <c r="CQ3" s="234">
        <f>SUM(AX3:BA3)</f>
      </c>
      <c r="CR3" s="234">
        <f>SUM(BB3:BE3)</f>
      </c>
      <c r="CS3" s="234">
        <f>SUM(BF3:BI3)</f>
      </c>
      <c r="CT3" s="234">
        <f>SUM(BJ3:BM3)</f>
      </c>
      <c r="CU3" s="234">
        <f>SUM(BN3:BQ3)</f>
      </c>
      <c r="CV3" s="234">
        <f>SUM(BR3:BU3)</f>
      </c>
      <c r="CW3" s="234">
        <f>SUM(BV3:BY3)</f>
      </c>
      <c r="CX3" s="234">
        <f>SUM(BZ3:CC3)</f>
      </c>
    </row>
    <row r="4" spans="1:104" s="234" customFormat="1">
      <c r="A4" s="616" t="s">
        <v>501</v>
      </c>
      <c r="N4" s="234">
        <v>153</v>
      </c>
      <c r="O4" s="234">
        <v>132</v>
      </c>
      <c r="P4" s="234">
        <v>321</v>
      </c>
      <c r="Q4" s="234">
        <v>185</v>
      </c>
      <c r="R4" s="234">
        <v>453</v>
      </c>
      <c r="S4" s="234">
        <v>413</v>
      </c>
      <c r="T4" s="234">
        <v>171</v>
      </c>
      <c r="U4" s="234">
        <v>198</v>
      </c>
      <c r="V4" s="234">
        <v>327</v>
      </c>
      <c r="W4" s="234">
        <v>268</v>
      </c>
      <c r="X4" s="234">
        <v>284</v>
      </c>
      <c r="Y4" s="234">
        <v>483</v>
      </c>
      <c r="Z4" s="234">
        <v>363</v>
      </c>
      <c r="AA4" s="234">
        <v>469</v>
      </c>
      <c r="AB4" s="234">
        <v>482</v>
      </c>
      <c r="AC4" s="234">
        <v>517</v>
      </c>
      <c r="AD4" s="234">
        <v>502</v>
      </c>
      <c r="AE4" s="234">
        <v>549</v>
      </c>
      <c r="AF4" s="234">
        <v>780</v>
      </c>
      <c r="AG4" s="234">
        <v>692</v>
      </c>
      <c r="AH4" s="234">
        <v>1132</v>
      </c>
      <c r="AI4" s="234">
        <v>995</v>
      </c>
      <c r="AJ4" s="234">
        <v>1095</v>
      </c>
      <c r="AK4" s="234">
        <v>1269</v>
      </c>
      <c r="AL4" s="234">
        <v>1271</v>
      </c>
      <c r="AM4" s="234">
        <v>1444</v>
      </c>
      <c r="AN4" s="234">
        <v>1755</v>
      </c>
      <c r="AO4" s="234">
        <v>2262</v>
      </c>
      <c r="AP4" s="234">
        <v>2812</v>
      </c>
      <c r="AQ4" s="234">
        <v>3459</v>
      </c>
      <c r="AR4" s="234">
        <v>3343</v>
      </c>
      <c r="AS4" s="234">
        <v>4366</v>
      </c>
      <c r="AT4" s="234">
        <v>3837</v>
      </c>
      <c r="AU4" s="234">
        <v>3633</v>
      </c>
      <c r="AV4" s="234">
        <v>3532</v>
      </c>
      <c r="AW4" s="234">
        <v>4100</v>
      </c>
      <c r="AX4" s="234">
        <v>3558</v>
      </c>
      <c r="AY4" s="234">
        <v>3255</v>
      </c>
      <c r="AZ4" s="234">
        <v>3689</v>
      </c>
      <c r="BA4" s="234">
        <v>4613</v>
      </c>
      <c r="BB4" s="234">
        <v>4272</v>
      </c>
      <c r="BC4" s="234">
        <v>4612</v>
      </c>
      <c r="BD4" s="234">
        <v>4313</v>
      </c>
      <c r="BE4" s="234">
        <v>5370</v>
      </c>
      <c r="BF4" s="234">
        <v>5315</v>
      </c>
      <c r="BG4" s="234">
        <v>7528</v>
      </c>
      <c r="BH4" s="234">
        <v>9355</v>
      </c>
      <c r="BI4" s="234">
        <v>8988</v>
      </c>
      <c r="BJ4" s="234">
        <v>6823</v>
      </c>
      <c r="BK4" s="234">
        <v>6134</v>
      </c>
      <c r="BL4" s="234">
        <v>6496</v>
      </c>
      <c r="BM4" s="234">
        <v>7592</v>
      </c>
      <c r="BN4" s="234">
        <v>6400</v>
      </c>
      <c r="BO4" s="234">
        <v>8173</v>
      </c>
      <c r="BP4" s="234">
        <v>8258</v>
      </c>
      <c r="BQ4" s="234">
        <v>14425</v>
      </c>
      <c r="BR4" s="234">
        <v>12941</v>
      </c>
      <c r="BS4" s="234">
        <v>16538</v>
      </c>
      <c r="BT4" s="617">
        <v>19637.067999999999</v>
      </c>
      <c r="BU4" s="617">
        <v>17988.649999999998</v>
      </c>
      <c r="BV4" s="617">
        <v>19124.9856</v>
      </c>
      <c r="BW4" s="617">
        <v>23762.361599999997</v>
      </c>
      <c r="BX4" s="617">
        <v>28277.377919999999</v>
      </c>
      <c r="BY4" s="617">
        <v>25903.655999999999</v>
      </c>
      <c r="BZ4" s="617">
        <v>21037.48416</v>
      </c>
      <c r="CA4" s="617">
        <v>26138.597760000001</v>
      </c>
      <c r="CB4" s="617">
        <v>31105.115712000003</v>
      </c>
      <c r="CC4" s="617">
        <v>28494.0216</v>
      </c>
      <c r="CE4" s="234">
        <f t="shared" si="1"/>
      </c>
      <c r="CF4" s="234">
        <f t="shared" si="2"/>
      </c>
      <c r="CG4" s="234">
        <f t="shared" si="3"/>
      </c>
      <c r="CH4" s="234">
        <f t="shared" si="4"/>
      </c>
      <c r="CI4" s="234">
        <f t="shared" si="5"/>
      </c>
      <c r="CJ4" s="234">
        <f t="shared" si="6"/>
      </c>
      <c r="CK4" s="234">
        <f t="shared" ref="CK4:CK9" si="7">SUM(Z4:AC4)</f>
      </c>
      <c r="CL4" s="234">
        <f t="shared" ref="CL4:CL9" si="8">SUM(AD4:AG4)</f>
      </c>
      <c r="CM4" s="234">
        <f t="shared" ref="CM4:CM9" si="9">SUM(AH4:AK4)</f>
      </c>
      <c r="CN4" s="234">
        <f t="shared" ref="CN4:CN9" si="10">SUM(AL4:AO4)</f>
      </c>
      <c r="CO4" s="234">
        <f t="shared" ref="CO4:CO9" si="11">SUM(AP4:AS4)</f>
      </c>
      <c r="CP4" s="234">
        <f t="shared" ref="CP4:CP9" si="12">SUM(AT4:AW4)</f>
      </c>
      <c r="CQ4" s="234">
        <f t="shared" ref="CQ4:CQ9" si="13">SUM(AX4:BA4)</f>
      </c>
      <c r="CR4" s="234">
        <f t="shared" ref="CR4:CR9" si="14">SUM(BB4:BE4)</f>
      </c>
      <c r="CS4" s="234">
        <f t="shared" ref="CS4:CS9" si="15">SUM(BF4:BI4)</f>
      </c>
      <c r="CT4" s="234">
        <f t="shared" ref="CT4:CT9" si="16">SUM(BJ4:BM4)</f>
      </c>
      <c r="CU4" s="234">
        <f t="shared" ref="CU4:CU9" si="17">SUM(BN4:BQ4)</f>
      </c>
      <c r="CV4" s="234">
        <f t="shared" ref="CV4:CV9" si="18">SUM(BR4:BU4)</f>
      </c>
      <c r="CW4" s="234">
        <f t="shared" ref="CW4:CW9" si="19">SUM(BV4:BY4)</f>
      </c>
      <c r="CX4" s="234">
        <f t="shared" ref="CX4:CX9" si="20">SUM(BZ4:CC4)</f>
      </c>
    </row>
    <row r="5" spans="1:104" s="234" customFormat="1">
      <c r="A5" s="616" t="s">
        <v>502</v>
      </c>
      <c r="B5" s="234">
        <v>776.74391005785901</v>
      </c>
      <c r="C5" s="234">
        <v>643.76665067939609</v>
      </c>
      <c r="D5" s="234">
        <v>416.7103799358286</v>
      </c>
      <c r="E5" s="234">
        <v>339.49810521107264</v>
      </c>
      <c r="F5" s="234">
        <v>242.50721674061666</v>
      </c>
      <c r="G5" s="234">
        <v>128.69204689030224</v>
      </c>
      <c r="H5" s="234">
        <v>171.97979966215587</v>
      </c>
      <c r="I5" s="234">
        <v>204.29932818044443</v>
      </c>
      <c r="J5" s="234">
        <v>220.5827664592772</v>
      </c>
      <c r="K5" s="234">
        <v>439.3196520276818</v>
      </c>
      <c r="L5" s="234">
        <v>699.58885764072011</v>
      </c>
      <c r="M5" s="234">
        <v>2348.8834336353993</v>
      </c>
      <c r="N5" s="234">
        <v>821.41699643831259</v>
      </c>
      <c r="O5" s="234">
        <v>846.3363884650928</v>
      </c>
      <c r="P5" s="234">
        <v>627.59950289668825</v>
      </c>
      <c r="Q5" s="234">
        <v>877.71636360992727</v>
      </c>
      <c r="R5" s="234">
        <v>560.2248503798379</v>
      </c>
      <c r="S5" s="234">
        <v>714.35590476770108</v>
      </c>
      <c r="T5" s="234">
        <v>804.80406842045909</v>
      </c>
      <c r="U5" s="234">
        <v>941.39925434503243</v>
      </c>
      <c r="V5" s="234">
        <v>1110.2973558598765</v>
      </c>
      <c r="W5" s="234">
        <v>1486.8570575978895</v>
      </c>
      <c r="X5" s="234">
        <v>2112.6106796037052</v>
      </c>
      <c r="Y5" s="234">
        <v>2081.2307044588706</v>
      </c>
      <c r="Z5" s="234">
        <v>2345</v>
      </c>
      <c r="AA5" s="234">
        <v>2646</v>
      </c>
      <c r="AB5" s="234">
        <v>2417</v>
      </c>
      <c r="AC5" s="234">
        <v>3551</v>
      </c>
      <c r="AD5" s="234">
        <v>2927</v>
      </c>
      <c r="AE5" s="234">
        <v>2515</v>
      </c>
      <c r="AF5" s="234">
        <v>2373</v>
      </c>
      <c r="AG5" s="234">
        <v>2100</v>
      </c>
      <c r="AH5" s="234">
        <v>2428</v>
      </c>
      <c r="AI5" s="234">
        <v>2123</v>
      </c>
      <c r="AJ5" s="234">
        <v>2583</v>
      </c>
      <c r="AK5" s="234">
        <v>3078</v>
      </c>
      <c r="AL5" s="234">
        <v>2508</v>
      </c>
      <c r="AM5" s="234">
        <v>2831</v>
      </c>
      <c r="AN5" s="234">
        <v>3538</v>
      </c>
      <c r="AO5" s="234">
        <v>4307</v>
      </c>
      <c r="AP5" s="234">
        <v>7299</v>
      </c>
      <c r="AQ5" s="234">
        <v>5477</v>
      </c>
      <c r="AR5" s="234">
        <v>5282</v>
      </c>
      <c r="AS5" s="234">
        <v>7081</v>
      </c>
      <c r="AT5" s="234">
        <v>4638</v>
      </c>
      <c r="AU5" s="234">
        <v>6126</v>
      </c>
      <c r="AV5" s="234">
        <v>6732</v>
      </c>
      <c r="AW5" s="234">
        <v>6052</v>
      </c>
      <c r="AX5" s="234">
        <v>6005</v>
      </c>
      <c r="AY5" s="234">
        <v>5391</v>
      </c>
      <c r="AZ5" s="234">
        <v>5406</v>
      </c>
      <c r="BA5" s="234">
        <v>5479</v>
      </c>
      <c r="BB5" s="234">
        <v>5942</v>
      </c>
      <c r="BC5" s="234">
        <v>5496</v>
      </c>
      <c r="BD5" s="234">
        <v>6819</v>
      </c>
      <c r="BE5" s="234">
        <v>6383</v>
      </c>
      <c r="BF5" s="234">
        <v>9786</v>
      </c>
      <c r="BG5" s="234">
        <v>6828</v>
      </c>
      <c r="BH5" s="234">
        <v>7276</v>
      </c>
      <c r="BI5" s="234">
        <v>7595</v>
      </c>
      <c r="BJ5" s="234">
        <v>6289</v>
      </c>
      <c r="BK5" s="234">
        <v>6888</v>
      </c>
      <c r="BL5" s="234">
        <v>8055</v>
      </c>
      <c r="BM5" s="234">
        <v>11019</v>
      </c>
      <c r="BN5" s="234">
        <v>12012</v>
      </c>
      <c r="BO5" s="234">
        <v>13186</v>
      </c>
      <c r="BP5" s="234">
        <v>13061</v>
      </c>
      <c r="BQ5" s="234">
        <v>14276</v>
      </c>
      <c r="BR5" s="234">
        <v>17197</v>
      </c>
      <c r="BS5" s="234">
        <v>22446</v>
      </c>
      <c r="BT5" s="617">
        <v>21550.65</v>
      </c>
      <c r="BU5" s="617">
        <v>23555.4</v>
      </c>
      <c r="BV5" s="617">
        <v>20636.400000000001</v>
      </c>
      <c r="BW5" s="617">
        <v>26935.200000000001</v>
      </c>
      <c r="BX5" s="617">
        <v>25860.78</v>
      </c>
      <c r="BY5" s="617">
        <v>28266.48</v>
      </c>
      <c r="BZ5" s="617">
        <v>23731.86</v>
      </c>
      <c r="CA5" s="617">
        <v>30975.48</v>
      </c>
      <c r="CB5" s="617">
        <v>29739.897000000001</v>
      </c>
      <c r="CC5" s="617">
        <v>32506.452000000001</v>
      </c>
      <c r="CE5" s="234">
        <f t="shared" si="1"/>
      </c>
      <c r="CF5" s="234">
        <f t="shared" si="2"/>
      </c>
      <c r="CG5" s="234">
        <f t="shared" si="3"/>
      </c>
      <c r="CH5" s="234">
        <f t="shared" si="4"/>
      </c>
      <c r="CI5" s="234">
        <f t="shared" si="5"/>
      </c>
      <c r="CJ5" s="234">
        <f t="shared" si="6"/>
      </c>
      <c r="CK5" s="234">
        <f t="shared" si="7"/>
      </c>
      <c r="CL5" s="234">
        <f t="shared" si="8"/>
      </c>
      <c r="CM5" s="234">
        <f t="shared" si="9"/>
      </c>
      <c r="CN5" s="234">
        <f t="shared" si="10"/>
      </c>
      <c r="CO5" s="234">
        <f t="shared" si="11"/>
      </c>
      <c r="CP5" s="234">
        <f t="shared" si="12"/>
      </c>
      <c r="CQ5" s="234">
        <f t="shared" si="13"/>
      </c>
      <c r="CR5" s="234">
        <f t="shared" si="14"/>
      </c>
      <c r="CS5" s="234">
        <f t="shared" si="15"/>
      </c>
      <c r="CT5" s="234">
        <f t="shared" si="16"/>
      </c>
      <c r="CU5" s="234">
        <f t="shared" si="17"/>
      </c>
      <c r="CV5" s="234">
        <f t="shared" si="18"/>
      </c>
      <c r="CW5" s="234">
        <f t="shared" si="19"/>
      </c>
      <c r="CX5" s="234">
        <f t="shared" si="20"/>
      </c>
    </row>
    <row r="6" spans="1:104" s="234" customFormat="1">
      <c r="A6" s="616" t="s">
        <v>503</v>
      </c>
      <c r="B6" s="234">
        <v>759</v>
      </c>
      <c r="C6" s="234">
        <v>1218</v>
      </c>
      <c r="D6" s="234">
        <v>778</v>
      </c>
      <c r="E6" s="234">
        <v>842</v>
      </c>
      <c r="F6" s="234">
        <v>632</v>
      </c>
      <c r="G6" s="234">
        <v>867</v>
      </c>
      <c r="H6" s="234">
        <v>435</v>
      </c>
      <c r="I6" s="234">
        <v>376</v>
      </c>
      <c r="J6" s="234">
        <v>408</v>
      </c>
      <c r="K6" s="234">
        <v>758</v>
      </c>
      <c r="L6" s="234">
        <v>564</v>
      </c>
      <c r="M6" s="234">
        <v>491</v>
      </c>
      <c r="N6" s="234">
        <v>658</v>
      </c>
      <c r="O6" s="234">
        <v>642</v>
      </c>
      <c r="P6" s="234">
        <v>436</v>
      </c>
      <c r="Q6" s="234">
        <v>498</v>
      </c>
      <c r="R6" s="234">
        <v>749</v>
      </c>
      <c r="S6" s="234">
        <v>622</v>
      </c>
      <c r="T6" s="234">
        <v>603</v>
      </c>
      <c r="U6" s="234">
        <v>930</v>
      </c>
      <c r="V6" s="234">
        <v>930</v>
      </c>
      <c r="W6" s="234">
        <v>1794</v>
      </c>
      <c r="X6" s="234">
        <v>1231</v>
      </c>
      <c r="Y6" s="234">
        <v>1732</v>
      </c>
      <c r="Z6" s="234">
        <v>1192</v>
      </c>
      <c r="AA6" s="234">
        <v>1330</v>
      </c>
      <c r="AB6" s="234">
        <v>1282</v>
      </c>
      <c r="AC6" s="234">
        <v>1490</v>
      </c>
      <c r="AD6" s="234">
        <v>1391</v>
      </c>
      <c r="AE6" s="234">
        <v>1781</v>
      </c>
      <c r="AF6" s="234">
        <v>1356</v>
      </c>
      <c r="AG6" s="234">
        <v>2024</v>
      </c>
      <c r="AH6" s="234">
        <v>2300</v>
      </c>
      <c r="AI6" s="234">
        <v>3100</v>
      </c>
      <c r="AJ6" s="234">
        <v>2300</v>
      </c>
      <c r="AK6" s="234">
        <v>2500</v>
      </c>
      <c r="AL6" s="234">
        <v>2100</v>
      </c>
      <c r="AM6" s="234">
        <v>3300</v>
      </c>
      <c r="AN6" s="234">
        <v>2700</v>
      </c>
      <c r="AO6" s="234">
        <v>3300</v>
      </c>
      <c r="AP6" s="234">
        <v>3500</v>
      </c>
      <c r="AQ6" s="234">
        <v>4100</v>
      </c>
      <c r="AR6" s="234">
        <v>4300</v>
      </c>
      <c r="AS6" s="234">
        <v>3900</v>
      </c>
      <c r="AT6" s="234">
        <v>3400</v>
      </c>
      <c r="AU6" s="234">
        <v>5300</v>
      </c>
      <c r="AV6" s="234">
        <v>4800</v>
      </c>
      <c r="AW6" s="234">
        <v>4500</v>
      </c>
      <c r="AX6" s="234">
        <v>3900</v>
      </c>
      <c r="AY6" s="234">
        <v>5800</v>
      </c>
      <c r="AZ6" s="234">
        <v>5500</v>
      </c>
      <c r="BA6" s="234">
        <v>5400</v>
      </c>
      <c r="BB6" s="234">
        <v>6000</v>
      </c>
      <c r="BC6" s="234">
        <v>7300</v>
      </c>
      <c r="BD6" s="234">
        <v>7400</v>
      </c>
      <c r="BE6" s="234">
        <v>6800</v>
      </c>
      <c r="BF6" s="234">
        <v>6300</v>
      </c>
      <c r="BG6" s="234">
        <v>8700</v>
      </c>
      <c r="BH6" s="234">
        <v>6600</v>
      </c>
      <c r="BI6" s="234">
        <v>6800</v>
      </c>
      <c r="BJ6" s="234">
        <v>7800</v>
      </c>
      <c r="BK6" s="234">
        <v>10700</v>
      </c>
      <c r="BL6" s="234">
        <v>11200</v>
      </c>
      <c r="BM6" s="234">
        <v>11500</v>
      </c>
      <c r="BN6" s="234">
        <v>14000</v>
      </c>
      <c r="BO6" s="234">
        <v>19000</v>
      </c>
      <c r="BP6" s="234">
        <v>20000</v>
      </c>
      <c r="BQ6" s="234">
        <v>22600</v>
      </c>
      <c r="BR6" s="234">
        <v>21400</v>
      </c>
      <c r="BS6" s="234">
        <v>24200</v>
      </c>
      <c r="BT6" s="617">
        <v>31048.995229759123</v>
      </c>
      <c r="BU6" s="617">
        <v>30907.283315999452</v>
      </c>
      <c r="BV6" s="617">
        <v>26495.818305759098</v>
      </c>
      <c r="BW6" s="617">
        <v>27269.764181069084</v>
      </c>
      <c r="BX6" s="617">
        <v>32231.818658829492</v>
      </c>
      <c r="BY6" s="617">
        <v>34079.87518365679</v>
      </c>
      <c r="BZ6" s="617">
        <v>34116.204593858187</v>
      </c>
      <c r="CA6" s="617">
        <v>37541.932289135075</v>
      </c>
      <c r="CB6" s="617">
        <v>36944.539862799138</v>
      </c>
      <c r="CC6" s="617">
        <v>39021.939743754156</v>
      </c>
      <c r="CE6" s="234">
        <f t="shared" si="1"/>
      </c>
      <c r="CF6" s="234">
        <f t="shared" si="2"/>
      </c>
      <c r="CG6" s="234">
        <f t="shared" si="3"/>
      </c>
      <c r="CH6" s="234">
        <f t="shared" si="4"/>
      </c>
      <c r="CI6" s="234">
        <f t="shared" si="5"/>
      </c>
      <c r="CJ6" s="234">
        <f t="shared" si="6"/>
      </c>
      <c r="CK6" s="234">
        <f t="shared" si="7"/>
      </c>
      <c r="CL6" s="234">
        <f t="shared" si="8"/>
      </c>
      <c r="CM6" s="234">
        <f t="shared" si="9"/>
      </c>
      <c r="CN6" s="234">
        <f t="shared" si="10"/>
      </c>
      <c r="CO6" s="234">
        <f t="shared" si="11"/>
      </c>
      <c r="CP6" s="234">
        <f t="shared" si="12"/>
      </c>
      <c r="CQ6" s="234">
        <f t="shared" si="13"/>
      </c>
      <c r="CR6" s="234">
        <f t="shared" si="14"/>
      </c>
      <c r="CS6" s="234">
        <f t="shared" si="15"/>
      </c>
      <c r="CT6" s="234">
        <f t="shared" si="16"/>
      </c>
      <c r="CU6" s="234">
        <f t="shared" si="17"/>
      </c>
      <c r="CV6" s="234">
        <f t="shared" si="18"/>
      </c>
      <c r="CW6" s="234">
        <f t="shared" si="19"/>
      </c>
      <c r="CX6" s="234">
        <f t="shared" si="20"/>
      </c>
    </row>
    <row r="7" spans="1:104" s="234" customFormat="1">
      <c r="A7" s="616" t="s">
        <v>504</v>
      </c>
      <c r="B7" s="234">
        <v>39</v>
      </c>
      <c r="C7" s="234">
        <v>48</v>
      </c>
      <c r="D7" s="234">
        <v>323</v>
      </c>
      <c r="E7" s="234">
        <v>76</v>
      </c>
      <c r="F7" s="234">
        <v>92</v>
      </c>
      <c r="G7" s="234">
        <v>38</v>
      </c>
      <c r="H7" s="234">
        <v>55</v>
      </c>
      <c r="I7" s="234">
        <v>45</v>
      </c>
      <c r="J7" s="234">
        <v>61</v>
      </c>
      <c r="K7" s="234">
        <v>69</v>
      </c>
      <c r="L7" s="234">
        <v>118</v>
      </c>
      <c r="M7" s="234">
        <v>121</v>
      </c>
      <c r="N7" s="234">
        <v>133</v>
      </c>
      <c r="O7" s="234">
        <v>78</v>
      </c>
      <c r="P7" s="234">
        <v>160</v>
      </c>
      <c r="Q7" s="234">
        <v>129</v>
      </c>
      <c r="R7" s="234">
        <v>142</v>
      </c>
      <c r="S7" s="234">
        <v>217</v>
      </c>
      <c r="T7" s="234">
        <v>139</v>
      </c>
      <c r="U7" s="234">
        <v>212</v>
      </c>
      <c r="V7" s="234">
        <v>116</v>
      </c>
      <c r="W7" s="234">
        <v>183</v>
      </c>
      <c r="X7" s="234">
        <v>153</v>
      </c>
      <c r="Y7" s="234">
        <v>126</v>
      </c>
      <c r="Z7" s="234">
        <v>147</v>
      </c>
      <c r="AA7" s="234">
        <v>154</v>
      </c>
      <c r="AB7" s="234">
        <v>201</v>
      </c>
      <c r="AC7" s="234">
        <v>225</v>
      </c>
      <c r="AD7" s="234">
        <v>368</v>
      </c>
      <c r="AE7" s="234">
        <v>597</v>
      </c>
      <c r="AF7" s="234">
        <v>446</v>
      </c>
      <c r="AG7" s="234">
        <v>195</v>
      </c>
      <c r="AH7" s="234">
        <v>368</v>
      </c>
      <c r="AI7" s="234">
        <v>180</v>
      </c>
      <c r="AJ7" s="234">
        <v>299</v>
      </c>
      <c r="AK7" s="234">
        <v>757</v>
      </c>
      <c r="AL7" s="234">
        <v>440</v>
      </c>
      <c r="AM7" s="234">
        <v>525</v>
      </c>
      <c r="AN7" s="234">
        <v>473</v>
      </c>
      <c r="AO7" s="234">
        <v>599</v>
      </c>
      <c r="AP7" s="234">
        <v>286</v>
      </c>
      <c r="AQ7" s="234">
        <v>378</v>
      </c>
      <c r="AR7" s="234">
        <v>383</v>
      </c>
      <c r="AS7" s="234">
        <v>421</v>
      </c>
      <c r="AT7" s="234">
        <v>443</v>
      </c>
      <c r="AU7" s="234">
        <v>413</v>
      </c>
      <c r="AV7" s="234">
        <v>386</v>
      </c>
      <c r="AW7" s="234">
        <v>349</v>
      </c>
      <c r="AX7" s="234">
        <v>396</v>
      </c>
      <c r="AY7" s="234">
        <v>433</v>
      </c>
      <c r="AZ7" s="234">
        <v>436</v>
      </c>
      <c r="BA7" s="234">
        <v>568</v>
      </c>
      <c r="BB7" s="234">
        <v>414</v>
      </c>
      <c r="BC7" s="234">
        <v>717</v>
      </c>
      <c r="BD7" s="234">
        <v>1062</v>
      </c>
      <c r="BE7" s="234">
        <v>925</v>
      </c>
      <c r="BF7" s="234">
        <v>1101</v>
      </c>
      <c r="BG7" s="234">
        <v>1423</v>
      </c>
      <c r="BH7" s="234">
        <v>1719</v>
      </c>
      <c r="BI7" s="234">
        <v>2435</v>
      </c>
      <c r="BJ7" s="234">
        <v>2628</v>
      </c>
      <c r="BK7" s="234">
        <v>1913</v>
      </c>
      <c r="BL7" s="234">
        <v>1314</v>
      </c>
      <c r="BM7" s="234">
        <v>1080</v>
      </c>
      <c r="BN7" s="234">
        <v>1674</v>
      </c>
      <c r="BO7" s="234">
        <v>2798</v>
      </c>
      <c r="BP7" s="234">
        <v>2303</v>
      </c>
      <c r="BQ7" s="234">
        <v>3970</v>
      </c>
      <c r="BR7" s="234">
        <v>5862</v>
      </c>
      <c r="BS7" s="234">
        <v>9080</v>
      </c>
      <c r="BT7" s="617">
        <v>8502</v>
      </c>
      <c r="BU7" s="617">
        <v>8734</v>
      </c>
      <c r="BV7" s="617">
        <v>8793</v>
      </c>
      <c r="BW7" s="617">
        <v>9080</v>
      </c>
      <c r="BX7" s="617">
        <v>10202.4</v>
      </c>
      <c r="BY7" s="617">
        <v>10480.799999999999</v>
      </c>
      <c r="BZ7" s="617">
        <v>10551.6</v>
      </c>
      <c r="CA7" s="617">
        <v>10896</v>
      </c>
      <c r="CB7" s="617">
        <v>11222.64</v>
      </c>
      <c r="CC7" s="617">
        <v>11528.88</v>
      </c>
      <c r="CE7" s="234">
        <f t="shared" si="1"/>
      </c>
      <c r="CF7" s="234">
        <f t="shared" si="2"/>
      </c>
      <c r="CG7" s="234">
        <f t="shared" si="3"/>
      </c>
      <c r="CH7" s="234">
        <f t="shared" si="4"/>
      </c>
      <c r="CI7" s="234">
        <f t="shared" si="5"/>
      </c>
      <c r="CJ7" s="234">
        <f t="shared" si="6"/>
      </c>
      <c r="CK7" s="234">
        <f t="shared" si="7"/>
      </c>
      <c r="CL7" s="234">
        <f t="shared" si="8"/>
      </c>
      <c r="CM7" s="234">
        <f t="shared" si="9"/>
      </c>
      <c r="CN7" s="234">
        <f t="shared" si="10"/>
      </c>
      <c r="CO7" s="234">
        <f t="shared" si="11"/>
      </c>
      <c r="CP7" s="234">
        <f t="shared" si="12"/>
      </c>
      <c r="CQ7" s="234">
        <f t="shared" si="13"/>
      </c>
      <c r="CR7" s="234">
        <f t="shared" si="14"/>
      </c>
      <c r="CS7" s="234">
        <f t="shared" si="15"/>
      </c>
      <c r="CT7" s="234">
        <f t="shared" si="16"/>
      </c>
      <c r="CU7" s="234">
        <f t="shared" si="17"/>
      </c>
      <c r="CV7" s="234">
        <f t="shared" si="18"/>
      </c>
      <c r="CW7" s="234">
        <f t="shared" si="19"/>
      </c>
      <c r="CX7" s="234">
        <f t="shared" si="20"/>
      </c>
    </row>
    <row r="8" spans="1:104" s="234" customFormat="1">
      <c r="A8" s="616" t="s">
        <v>505</v>
      </c>
      <c r="B8" s="234">
        <v>24.177</v>
      </c>
      <c r="C8" s="234">
        <v>13.036</v>
      </c>
      <c r="D8" s="234">
        <v>11.614000000000001</v>
      </c>
      <c r="E8" s="234">
        <v>12.231999999999999</v>
      </c>
      <c r="F8" s="234">
        <v>13.428000000000001</v>
      </c>
      <c r="G8" s="234">
        <v>19.327999999999999</v>
      </c>
      <c r="H8" s="234">
        <v>14.089</v>
      </c>
      <c r="I8" s="234">
        <v>7.056</v>
      </c>
      <c r="J8" s="234">
        <v>12.19</v>
      </c>
      <c r="K8" s="234">
        <v>27.831</v>
      </c>
      <c r="L8" s="234">
        <v>20.79</v>
      </c>
      <c r="M8" s="234">
        <v>30.576000000000001</v>
      </c>
      <c r="N8" s="234">
        <v>27.314</v>
      </c>
      <c r="O8" s="234">
        <v>50.472999999999999</v>
      </c>
      <c r="P8" s="234">
        <v>41.332000000000001</v>
      </c>
      <c r="Q8" s="234">
        <v>44.601999999999997</v>
      </c>
      <c r="R8" s="234">
        <v>44.720999999999997</v>
      </c>
      <c r="S8" s="234">
        <v>29.303999999999998</v>
      </c>
      <c r="T8" s="234">
        <v>51.054000000000002</v>
      </c>
      <c r="U8" s="234">
        <v>50.521999999999998</v>
      </c>
      <c r="V8" s="234">
        <v>54.01</v>
      </c>
      <c r="W8" s="234">
        <v>102.54900000000001</v>
      </c>
      <c r="X8" s="234">
        <v>72.701999999999998</v>
      </c>
      <c r="Y8" s="234">
        <v>69.849000000000004</v>
      </c>
      <c r="Z8" s="234">
        <v>60.097999999999999</v>
      </c>
      <c r="AA8" s="234">
        <v>71.575999999999993</v>
      </c>
      <c r="AB8" s="234">
        <v>73.426000000000002</v>
      </c>
      <c r="AC8" s="234">
        <v>85.353999999999999</v>
      </c>
      <c r="AD8" s="234">
        <v>71.087000000000003</v>
      </c>
      <c r="AE8" s="234">
        <v>64.882999999999996</v>
      </c>
      <c r="AF8" s="234">
        <v>80.040999999999997</v>
      </c>
      <c r="AG8" s="234">
        <v>68.465000000000003</v>
      </c>
      <c r="AH8" s="234">
        <v>83.301000000000002</v>
      </c>
      <c r="AI8" s="234">
        <v>96.03</v>
      </c>
      <c r="AJ8" s="234">
        <v>140.65299999999999</v>
      </c>
      <c r="AK8" s="234">
        <v>143.97399999999999</v>
      </c>
      <c r="AL8" s="234">
        <v>156.602</v>
      </c>
      <c r="AM8" s="234">
        <v>128.38800000000001</v>
      </c>
      <c r="AN8" s="234">
        <v>111.27800000000001</v>
      </c>
      <c r="AO8" s="234">
        <v>137.75899999999999</v>
      </c>
      <c r="AP8" s="234">
        <v>122</v>
      </c>
      <c r="AQ8" s="234">
        <v>170</v>
      </c>
      <c r="AR8" s="234">
        <v>136</v>
      </c>
      <c r="AS8" s="234">
        <v>167</v>
      </c>
      <c r="AT8" s="234">
        <v>159</v>
      </c>
      <c r="AU8" s="234">
        <v>178</v>
      </c>
      <c r="AV8" s="234">
        <v>170</v>
      </c>
      <c r="AW8" s="234">
        <v>136</v>
      </c>
      <c r="AX8" s="234">
        <v>323</v>
      </c>
      <c r="AY8" s="234">
        <v>114</v>
      </c>
      <c r="AZ8" s="234">
        <v>124</v>
      </c>
      <c r="BA8" s="234">
        <v>149</v>
      </c>
      <c r="BB8" s="234">
        <v>171</v>
      </c>
      <c r="BC8" s="234">
        <v>213</v>
      </c>
      <c r="BD8" s="234">
        <v>166</v>
      </c>
      <c r="BE8" s="234">
        <v>167</v>
      </c>
      <c r="BF8" s="234">
        <v>179</v>
      </c>
      <c r="BG8" s="234">
        <v>203</v>
      </c>
      <c r="BH8" s="234">
        <v>198</v>
      </c>
      <c r="BI8" s="234">
        <v>218</v>
      </c>
      <c r="BJ8" s="234">
        <v>243</v>
      </c>
      <c r="BK8" s="234">
        <v>180</v>
      </c>
      <c r="BL8" s="234">
        <v>166</v>
      </c>
      <c r="BM8" s="234">
        <v>147</v>
      </c>
      <c r="BN8" s="234">
        <v>163</v>
      </c>
      <c r="BO8" s="234">
        <v>137</v>
      </c>
      <c r="BP8" s="234">
        <v>204</v>
      </c>
      <c r="BQ8" s="234">
        <v>154</v>
      </c>
      <c r="BR8" s="234">
        <v>179</v>
      </c>
      <c r="BS8" s="234">
        <v>135</v>
      </c>
      <c r="BT8" s="617">
        <v>206.00842</v>
      </c>
      <c r="BU8" s="617">
        <v>220.21860000000001</v>
      </c>
      <c r="BV8" s="617">
        <v>196.64559</v>
      </c>
      <c r="BW8" s="617">
        <v>214.33425</v>
      </c>
      <c r="BX8" s="617">
        <v>214.76351890000001</v>
      </c>
      <c r="BY8" s="617">
        <v>229.63413299999999</v>
      </c>
      <c r="BZ8" s="617">
        <v>216.63981494999999</v>
      </c>
      <c r="CA8" s="617">
        <v>223.70335650000001</v>
      </c>
      <c r="CB8" s="617">
        <v>224.157155859</v>
      </c>
      <c r="CC8" s="617">
        <v>239.75146611</v>
      </c>
      <c r="CE8" s="234">
        <f t="shared" si="1"/>
      </c>
      <c r="CF8" s="234">
        <f t="shared" si="2"/>
      </c>
      <c r="CG8" s="234">
        <f t="shared" si="3"/>
      </c>
      <c r="CH8" s="234">
        <f t="shared" si="4"/>
      </c>
      <c r="CI8" s="234">
        <f t="shared" si="5"/>
      </c>
      <c r="CJ8" s="234">
        <f t="shared" si="6"/>
      </c>
      <c r="CK8" s="234">
        <f t="shared" si="7"/>
      </c>
      <c r="CL8" s="234">
        <f t="shared" si="8"/>
      </c>
      <c r="CM8" s="234">
        <f t="shared" si="9"/>
      </c>
      <c r="CN8" s="234">
        <f t="shared" si="10"/>
      </c>
      <c r="CO8" s="234">
        <f t="shared" si="11"/>
      </c>
      <c r="CP8" s="234">
        <f t="shared" si="12"/>
      </c>
      <c r="CQ8" s="234">
        <f t="shared" si="13"/>
      </c>
      <c r="CR8" s="234">
        <f t="shared" si="14"/>
      </c>
      <c r="CS8" s="234">
        <f t="shared" si="15"/>
      </c>
      <c r="CT8" s="234">
        <f t="shared" si="16"/>
      </c>
      <c r="CU8" s="234">
        <f t="shared" si="17"/>
      </c>
      <c r="CV8" s="234">
        <f t="shared" si="18"/>
      </c>
      <c r="CW8" s="234">
        <f t="shared" si="19"/>
      </c>
      <c r="CX8" s="234">
        <f t="shared" si="20"/>
      </c>
    </row>
    <row r="9" spans="1:104" s="234" customFormat="1">
      <c r="A9" s="616" t="s">
        <v>506</v>
      </c>
      <c r="B9" s="234">
        <v>10.598864735871196</v>
      </c>
      <c r="C9" s="234">
        <v>7.5496014427751295</v>
      </c>
      <c r="D9" s="234">
        <v>5.6906207509314752</v>
      </c>
      <c r="E9" s="234">
        <v>4.1058062762302301</v>
      </c>
      <c r="F9" s="234">
        <v>3.1748337974924086</v>
      </c>
      <c r="G9" s="234">
        <v>6.2202379197872846</v>
      </c>
      <c r="H9" s="234">
        <v>9.8671093562353978</v>
      </c>
      <c r="I9" s="234">
        <v>11.138565577293511</v>
      </c>
      <c r="J9" s="234">
        <v>54.466725985148173</v>
      </c>
      <c r="K9" s="234">
        <v>87.069688524863111</v>
      </c>
      <c r="L9" s="234">
        <v>99.826737878998827</v>
      </c>
      <c r="M9" s="234">
        <v>105.73828970425518</v>
      </c>
      <c r="N9" s="234">
        <v>143.03060091841132</v>
      </c>
      <c r="O9" s="234">
        <v>169.99483216830626</v>
      </c>
      <c r="P9" s="234">
        <v>208.29088490951352</v>
      </c>
      <c r="Q9" s="234">
        <v>225.97624688144697</v>
      </c>
      <c r="R9" s="234">
        <v>103.87630110382128</v>
      </c>
      <c r="S9" s="234">
        <v>177.33831667026408</v>
      </c>
      <c r="T9" s="234">
        <v>160.41792457155768</v>
      </c>
      <c r="U9" s="234">
        <v>204.47876148507208</v>
      </c>
      <c r="V9" s="234">
        <v>136.75234516070535</v>
      </c>
      <c r="W9" s="234">
        <v>182.58816503788975</v>
      </c>
      <c r="X9" s="234">
        <v>218.63318900454141</v>
      </c>
      <c r="Y9" s="234">
        <v>241.08817744759125</v>
      </c>
      <c r="Z9" s="234">
        <v>202.91217174886782</v>
      </c>
      <c r="AA9" s="234">
        <v>165.99898127716256</v>
      </c>
      <c r="AB9" s="234">
        <v>232.69141876132045</v>
      </c>
      <c r="AC9" s="234">
        <v>285.02509155919853</v>
      </c>
      <c r="AD9" s="234">
        <v>235.17228403161926</v>
      </c>
      <c r="AE9" s="234">
        <v>347.31983346894395</v>
      </c>
      <c r="AF9" s="234">
        <v>390.0826993601479</v>
      </c>
      <c r="AG9" s="234">
        <v>418.9570774701138</v>
      </c>
      <c r="AH9" s="234">
        <v>407.84210351018339</v>
      </c>
      <c r="AI9" s="234">
        <v>343.63759296987428</v>
      </c>
      <c r="AJ9" s="234">
        <v>526.97642160858686</v>
      </c>
      <c r="AK9" s="234">
        <v>641.3450552888155</v>
      </c>
      <c r="AL9" s="234">
        <v>489.08480279700962</v>
      </c>
      <c r="AM9" s="234">
        <v>522.01505632588089</v>
      </c>
      <c r="AN9" s="234">
        <v>697.00083704284214</v>
      </c>
      <c r="AO9" s="234">
        <v>1051.7806302433978</v>
      </c>
      <c r="AP9" s="234">
        <v>1323.1289912465131</v>
      </c>
      <c r="AQ9" s="234">
        <v>1587.0970098814369</v>
      </c>
      <c r="AR9" s="234">
        <v>1809.9679997080698</v>
      </c>
      <c r="AS9" s="234">
        <v>1600.8022023393755</v>
      </c>
      <c r="AT9" s="234">
        <v>1254.6861295447538</v>
      </c>
      <c r="AU9" s="234">
        <v>1012.5754870505127</v>
      </c>
      <c r="AV9" s="234">
        <v>1563.138047510779</v>
      </c>
      <c r="AW9" s="234">
        <v>1920.2690474871515</v>
      </c>
      <c r="AX9" s="234">
        <v>1772.4658154120843</v>
      </c>
      <c r="AY9" s="234">
        <v>1623.586002877882</v>
      </c>
      <c r="AZ9" s="234">
        <v>2241.9699684385687</v>
      </c>
      <c r="BA9" s="234">
        <v>1888.3652081748498</v>
      </c>
      <c r="BB9" s="234">
        <v>1780.8610415716394</v>
      </c>
      <c r="BC9" s="234">
        <v>1506.7287332419255</v>
      </c>
      <c r="BD9" s="234">
        <v>2022.2072546292097</v>
      </c>
      <c r="BE9" s="234">
        <v>2191.7189990339757</v>
      </c>
      <c r="BF9" s="234">
        <v>997.75518605654827</v>
      </c>
      <c r="BG9" s="234">
        <v>833.88453234270446</v>
      </c>
      <c r="BH9" s="234">
        <v>1223.7704804127109</v>
      </c>
      <c r="BI9" s="234">
        <v>1169.8346749590053</v>
      </c>
      <c r="BJ9" s="234">
        <v>1236.4280008064459</v>
      </c>
      <c r="BK9" s="234">
        <v>1036.1067792748261</v>
      </c>
      <c r="BL9" s="234">
        <v>1405.5417963583709</v>
      </c>
      <c r="BM9" s="234">
        <v>1404.9513512590561</v>
      </c>
      <c r="BN9" s="234">
        <v>2712.1049142188576</v>
      </c>
      <c r="BO9" s="234">
        <v>2436.4676783043724</v>
      </c>
      <c r="BP9" s="234">
        <v>3467.7888233905651</v>
      </c>
      <c r="BQ9" s="234">
        <v>3540.8422927574575</v>
      </c>
      <c r="BR9" s="234">
        <v>4752.7869927331922</v>
      </c>
      <c r="BS9" s="234">
        <v>4294.7694238157137</v>
      </c>
      <c r="BT9" s="617">
        <v>6136.6995988981034</v>
      </c>
      <c r="BU9" s="617">
        <v>6259.9824435157498</v>
      </c>
      <c r="BV9" s="617">
        <v>5334.124861631557</v>
      </c>
      <c r="BW9" s="617">
        <v>4843.5985353535161</v>
      </c>
      <c r="BX9" s="617">
        <v>6884.0242069399656</v>
      </c>
      <c r="BY9" s="617">
        <v>6969.6967028404688</v>
      </c>
      <c r="BZ9" s="617">
        <v>5506.3704309702125</v>
      </c>
      <c r="CA9" s="617">
        <v>4990.3944838754069</v>
      </c>
      <c r="CB9" s="617">
        <v>7088.895900021651</v>
      </c>
      <c r="CC9" s="617">
        <v>7263.341850323146</v>
      </c>
      <c r="CE9" s="234">
        <f t="shared" si="1"/>
      </c>
      <c r="CF9" s="234">
        <f t="shared" si="2"/>
      </c>
      <c r="CG9" s="234">
        <f t="shared" si="3"/>
      </c>
      <c r="CH9" s="234">
        <f t="shared" si="4"/>
      </c>
      <c r="CI9" s="234">
        <f t="shared" si="5"/>
      </c>
      <c r="CJ9" s="234">
        <f t="shared" si="6"/>
      </c>
      <c r="CK9" s="234">
        <f t="shared" si="7"/>
      </c>
      <c r="CL9" s="234">
        <f t="shared" si="8"/>
      </c>
      <c r="CM9" s="234">
        <f t="shared" si="9"/>
      </c>
      <c r="CN9" s="234">
        <f t="shared" si="10"/>
      </c>
      <c r="CO9" s="234">
        <f t="shared" si="11"/>
      </c>
      <c r="CP9" s="234">
        <f t="shared" si="12"/>
      </c>
      <c r="CQ9" s="234">
        <f t="shared" si="13"/>
      </c>
      <c r="CR9" s="234">
        <f t="shared" si="14"/>
      </c>
      <c r="CS9" s="234">
        <f t="shared" si="15"/>
      </c>
      <c r="CT9" s="234">
        <f t="shared" si="16"/>
      </c>
      <c r="CU9" s="234">
        <f t="shared" si="17"/>
      </c>
      <c r="CV9" s="234">
        <f t="shared" si="18"/>
      </c>
      <c r="CW9" s="234">
        <f t="shared" si="19"/>
      </c>
      <c r="CX9" s="234">
        <f t="shared" si="20"/>
      </c>
    </row>
    <row r="10" spans="1:104" s="234" customFormat="1">
      <c r="A10" s="618" t="s">
        <v>507</v>
      </c>
      <c r="B10" s="235">
        <f>SUM(B3:B9)</f>
      </c>
      <c r="C10" s="235">
        <f t="shared" ref="C10:BN10" si="21">SUM(C3:C9)</f>
      </c>
      <c r="D10" s="235">
        <f t="shared" si="21"/>
      </c>
      <c r="E10" s="235">
        <f t="shared" si="21"/>
      </c>
      <c r="F10" s="235">
        <f t="shared" si="21"/>
      </c>
      <c r="G10" s="235">
        <f t="shared" si="21"/>
      </c>
      <c r="H10" s="235">
        <f t="shared" si="21"/>
      </c>
      <c r="I10" s="235">
        <f t="shared" si="21"/>
      </c>
      <c r="J10" s="235">
        <f t="shared" si="21"/>
      </c>
      <c r="K10" s="235">
        <f t="shared" si="21"/>
      </c>
      <c r="L10" s="235">
        <f t="shared" si="21"/>
      </c>
      <c r="M10" s="235">
        <f t="shared" si="21"/>
      </c>
      <c r="N10" s="235">
        <f t="shared" si="21"/>
      </c>
      <c r="O10" s="235">
        <f t="shared" si="21"/>
      </c>
      <c r="P10" s="235">
        <f t="shared" si="21"/>
      </c>
      <c r="Q10" s="235">
        <f t="shared" si="21"/>
      </c>
      <c r="R10" s="235">
        <f t="shared" si="21"/>
      </c>
      <c r="S10" s="235">
        <f t="shared" si="21"/>
      </c>
      <c r="T10" s="235">
        <f t="shared" si="21"/>
      </c>
      <c r="U10" s="235">
        <f t="shared" si="21"/>
      </c>
      <c r="V10" s="235">
        <f t="shared" si="21"/>
      </c>
      <c r="W10" s="235">
        <f t="shared" si="21"/>
      </c>
      <c r="X10" s="235">
        <f t="shared" si="21"/>
      </c>
      <c r="Y10" s="235">
        <f t="shared" si="21"/>
      </c>
      <c r="Z10" s="235">
        <f t="shared" si="21"/>
      </c>
      <c r="AA10" s="235">
        <f t="shared" si="21"/>
      </c>
      <c r="AB10" s="235">
        <f t="shared" si="21"/>
      </c>
      <c r="AC10" s="235">
        <f t="shared" si="21"/>
      </c>
      <c r="AD10" s="235">
        <f t="shared" si="21"/>
      </c>
      <c r="AE10" s="235">
        <f t="shared" si="21"/>
      </c>
      <c r="AF10" s="235">
        <f t="shared" si="21"/>
      </c>
      <c r="AG10" s="235">
        <f t="shared" si="21"/>
      </c>
      <c r="AH10" s="235">
        <f t="shared" si="21"/>
      </c>
      <c r="AI10" s="235">
        <f t="shared" si="21"/>
      </c>
      <c r="AJ10" s="235">
        <f t="shared" si="21"/>
      </c>
      <c r="AK10" s="235">
        <f t="shared" si="21"/>
      </c>
      <c r="AL10" s="235">
        <f t="shared" si="21"/>
      </c>
      <c r="AM10" s="235">
        <f t="shared" si="21"/>
      </c>
      <c r="AN10" s="235">
        <f t="shared" si="21"/>
      </c>
      <c r="AO10" s="235">
        <f t="shared" si="21"/>
      </c>
      <c r="AP10" s="235">
        <f t="shared" si="21"/>
      </c>
      <c r="AQ10" s="235">
        <f t="shared" si="21"/>
      </c>
      <c r="AR10" s="235">
        <f t="shared" si="21"/>
      </c>
      <c r="AS10" s="235">
        <f t="shared" si="21"/>
      </c>
      <c r="AT10" s="235">
        <f t="shared" si="21"/>
      </c>
      <c r="AU10" s="235">
        <f t="shared" si="21"/>
      </c>
      <c r="AV10" s="235">
        <f t="shared" si="21"/>
      </c>
      <c r="AW10" s="235">
        <f t="shared" si="21"/>
      </c>
      <c r="AX10" s="235">
        <f t="shared" si="21"/>
      </c>
      <c r="AY10" s="235">
        <f t="shared" si="21"/>
      </c>
      <c r="AZ10" s="235">
        <f t="shared" si="21"/>
      </c>
      <c r="BA10" s="235">
        <f t="shared" si="21"/>
      </c>
      <c r="BB10" s="235">
        <f t="shared" si="21"/>
      </c>
      <c r="BC10" s="235">
        <f t="shared" si="21"/>
      </c>
      <c r="BD10" s="235">
        <f t="shared" si="21"/>
      </c>
      <c r="BE10" s="235">
        <f t="shared" si="21"/>
      </c>
      <c r="BF10" s="235">
        <f t="shared" si="21"/>
      </c>
      <c r="BG10" s="235">
        <f t="shared" si="21"/>
      </c>
      <c r="BH10" s="235">
        <f t="shared" si="21"/>
      </c>
      <c r="BI10" s="235">
        <f t="shared" si="21"/>
      </c>
      <c r="BJ10" s="235">
        <f t="shared" si="21"/>
      </c>
      <c r="BK10" s="235">
        <f t="shared" si="21"/>
      </c>
      <c r="BL10" s="235">
        <f t="shared" si="21"/>
      </c>
      <c r="BM10" s="235">
        <f t="shared" si="21"/>
      </c>
      <c r="BN10" s="235">
        <f t="shared" si="21"/>
      </c>
      <c r="BO10" s="235">
        <f t="shared" ref="BO10:CC10" si="22">SUM(BO3:BO9)</f>
      </c>
      <c r="BP10" s="235">
        <f t="shared" si="22"/>
      </c>
      <c r="BQ10" s="235">
        <f t="shared" si="22"/>
      </c>
      <c r="BR10" s="235">
        <f t="shared" si="22"/>
      </c>
      <c r="BS10" s="235">
        <f t="shared" si="22"/>
      </c>
      <c r="BT10" s="236">
        <f t="shared" si="22"/>
      </c>
      <c r="BU10" s="236">
        <f t="shared" si="22"/>
      </c>
      <c r="BV10" s="236">
        <f t="shared" si="22"/>
      </c>
      <c r="BW10" s="236">
        <f t="shared" si="22"/>
      </c>
      <c r="BX10" s="236">
        <f t="shared" si="22"/>
      </c>
      <c r="BY10" s="236">
        <f t="shared" si="22"/>
      </c>
      <c r="BZ10" s="236">
        <f t="shared" si="22"/>
      </c>
      <c r="CA10" s="236">
        <f t="shared" si="22"/>
      </c>
      <c r="CB10" s="236">
        <f t="shared" si="22"/>
      </c>
      <c r="CC10" s="236">
        <f t="shared" si="22"/>
      </c>
      <c r="CD10" s="235"/>
      <c r="CE10" s="235">
        <f>SUM(CE3:CE9)</f>
      </c>
      <c r="CF10" s="235">
        <f t="shared" ref="CF10:CV10" si="23">SUM(CF3:CF9)</f>
      </c>
      <c r="CG10" s="235">
        <f t="shared" si="23"/>
      </c>
      <c r="CH10" s="235">
        <f t="shared" si="23"/>
      </c>
      <c r="CI10" s="235">
        <f t="shared" si="23"/>
      </c>
      <c r="CJ10" s="235">
        <f t="shared" si="23"/>
      </c>
      <c r="CK10" s="235">
        <f t="shared" si="23"/>
      </c>
      <c r="CL10" s="235">
        <f t="shared" si="23"/>
      </c>
      <c r="CM10" s="235">
        <f t="shared" si="23"/>
      </c>
      <c r="CN10" s="235">
        <f t="shared" si="23"/>
      </c>
      <c r="CO10" s="235">
        <f t="shared" si="23"/>
      </c>
      <c r="CP10" s="235">
        <f t="shared" si="23"/>
      </c>
      <c r="CQ10" s="235">
        <f t="shared" si="23"/>
      </c>
      <c r="CR10" s="235">
        <f t="shared" si="23"/>
      </c>
      <c r="CS10" s="235">
        <f t="shared" si="23"/>
      </c>
      <c r="CT10" s="235">
        <f t="shared" si="23"/>
      </c>
      <c r="CU10" s="235">
        <f t="shared" si="23"/>
      </c>
      <c r="CV10" s="235">
        <f t="shared" si="23"/>
      </c>
      <c r="CW10" s="235">
        <f>SUM(CW3:CW9)</f>
      </c>
      <c r="CX10" s="235">
        <f>SUM(CX3:CX9)</f>
      </c>
      <c r="CZ10" s="237"/>
    </row>
    <row r="11" spans="1:104" s="238" customFormat="1">
      <c r="A11" s="619" t="s">
        <v>196</v>
      </c>
      <c r="C11" s="238">
        <f>C10/B10-1</f>
      </c>
      <c r="D11" s="238">
        <f t="shared" ref="D11:BO11" si="24">D10/C10-1</f>
      </c>
      <c r="E11" s="238">
        <f t="shared" si="24"/>
      </c>
      <c r="F11" s="238">
        <f t="shared" si="24"/>
      </c>
      <c r="G11" s="238">
        <f t="shared" si="24"/>
      </c>
      <c r="H11" s="238">
        <f t="shared" si="24"/>
      </c>
      <c r="I11" s="238">
        <f t="shared" si="24"/>
      </c>
      <c r="J11" s="238">
        <f t="shared" si="24"/>
      </c>
      <c r="K11" s="238">
        <f t="shared" si="24"/>
      </c>
      <c r="L11" s="238">
        <f t="shared" si="24"/>
      </c>
      <c r="M11" s="238">
        <f t="shared" si="24"/>
      </c>
      <c r="N11" s="238">
        <f t="shared" si="24"/>
      </c>
      <c r="O11" s="238">
        <f t="shared" si="24"/>
      </c>
      <c r="P11" s="238">
        <f t="shared" si="24"/>
      </c>
      <c r="Q11" s="238">
        <f t="shared" si="24"/>
      </c>
      <c r="R11" s="238">
        <f t="shared" si="24"/>
      </c>
      <c r="S11" s="238">
        <f t="shared" si="24"/>
      </c>
      <c r="T11" s="238">
        <f t="shared" si="24"/>
      </c>
      <c r="U11" s="238">
        <f t="shared" si="24"/>
      </c>
      <c r="V11" s="238">
        <f t="shared" si="24"/>
      </c>
      <c r="W11" s="238">
        <f t="shared" si="24"/>
      </c>
      <c r="X11" s="238">
        <f t="shared" si="24"/>
      </c>
      <c r="Y11" s="238">
        <f t="shared" si="24"/>
      </c>
      <c r="Z11" s="238">
        <f t="shared" si="24"/>
      </c>
      <c r="AA11" s="238">
        <f t="shared" si="24"/>
      </c>
      <c r="AB11" s="238">
        <f t="shared" si="24"/>
      </c>
      <c r="AC11" s="238">
        <f t="shared" si="24"/>
      </c>
      <c r="AD11" s="238">
        <f t="shared" si="24"/>
      </c>
      <c r="AE11" s="238">
        <f t="shared" si="24"/>
      </c>
      <c r="AF11" s="238">
        <f t="shared" si="24"/>
      </c>
      <c r="AG11" s="238">
        <f t="shared" si="24"/>
      </c>
      <c r="AH11" s="238">
        <f t="shared" si="24"/>
      </c>
      <c r="AI11" s="238">
        <f t="shared" si="24"/>
      </c>
      <c r="AJ11" s="238">
        <f t="shared" si="24"/>
      </c>
      <c r="AK11" s="238">
        <f t="shared" si="24"/>
      </c>
      <c r="AL11" s="238">
        <f t="shared" si="24"/>
      </c>
      <c r="AM11" s="238">
        <f t="shared" si="24"/>
      </c>
      <c r="AN11" s="238">
        <f t="shared" si="24"/>
      </c>
      <c r="AO11" s="238">
        <f t="shared" si="24"/>
      </c>
      <c r="AP11" s="238">
        <f t="shared" si="24"/>
      </c>
      <c r="AQ11" s="238">
        <f t="shared" si="24"/>
      </c>
      <c r="AR11" s="238">
        <f t="shared" si="24"/>
      </c>
      <c r="AS11" s="238">
        <f t="shared" si="24"/>
      </c>
      <c r="AT11" s="238">
        <f t="shared" si="24"/>
      </c>
      <c r="AU11" s="238">
        <f t="shared" si="24"/>
      </c>
      <c r="AV11" s="238">
        <f t="shared" si="24"/>
      </c>
      <c r="AW11" s="238">
        <f t="shared" si="24"/>
      </c>
      <c r="AX11" s="238">
        <f t="shared" si="24"/>
      </c>
      <c r="AY11" s="238">
        <f t="shared" si="24"/>
      </c>
      <c r="AZ11" s="238">
        <f t="shared" si="24"/>
      </c>
      <c r="BA11" s="238">
        <f t="shared" si="24"/>
      </c>
      <c r="BB11" s="238">
        <f t="shared" si="24"/>
      </c>
      <c r="BC11" s="238">
        <f t="shared" si="24"/>
      </c>
      <c r="BD11" s="238">
        <f t="shared" si="24"/>
      </c>
      <c r="BE11" s="238">
        <f t="shared" si="24"/>
      </c>
      <c r="BF11" s="238">
        <f t="shared" si="24"/>
      </c>
      <c r="BG11" s="238">
        <f t="shared" si="24"/>
      </c>
      <c r="BH11" s="238">
        <f t="shared" si="24"/>
      </c>
      <c r="BI11" s="238">
        <f t="shared" si="24"/>
      </c>
      <c r="BJ11" s="238">
        <f t="shared" si="24"/>
      </c>
      <c r="BK11" s="238">
        <f t="shared" si="24"/>
      </c>
      <c r="BL11" s="238">
        <f t="shared" si="24"/>
      </c>
      <c r="BM11" s="238">
        <f t="shared" si="24"/>
      </c>
      <c r="BN11" s="238">
        <f t="shared" si="24"/>
      </c>
      <c r="BO11" s="238">
        <f t="shared" si="24"/>
      </c>
      <c r="BP11" s="238">
        <f t="shared" ref="BP11:BY11" si="25">BP10/BO10-1</f>
      </c>
      <c r="BQ11" s="238">
        <f t="shared" si="25"/>
      </c>
      <c r="BR11" s="238">
        <f t="shared" si="25"/>
      </c>
      <c r="BS11" s="238">
        <f t="shared" si="25"/>
      </c>
      <c r="BT11" s="239">
        <f t="shared" si="25"/>
      </c>
      <c r="BU11" s="239">
        <f t="shared" si="25"/>
      </c>
      <c r="BV11" s="239">
        <f t="shared" si="25"/>
      </c>
      <c r="BW11" s="239">
        <f t="shared" si="25"/>
      </c>
      <c r="BX11" s="239">
        <f t="shared" si="25"/>
      </c>
      <c r="BY11" s="239">
        <f t="shared" si="25"/>
      </c>
      <c r="BZ11" s="239">
        <f>BZ10/BY10-1</f>
      </c>
      <c r="CA11" s="239">
        <f>CA10/BZ10-1</f>
      </c>
      <c r="CB11" s="239">
        <f>CB10/CA10-1</f>
      </c>
      <c r="CC11" s="239">
        <f>CC10/CB10-1</f>
      </c>
      <c r="CL11" s="118"/>
      <c r="CM11" s="118"/>
      <c r="CN11" s="118"/>
      <c r="CO11" s="118"/>
      <c r="CP11" s="118"/>
      <c r="CQ11" s="118"/>
      <c r="CR11" s="118"/>
      <c r="CS11" s="118"/>
      <c r="CT11" s="118"/>
      <c r="CU11" s="118"/>
      <c r="CV11" s="118"/>
      <c r="CW11" s="118"/>
      <c r="CX11" s="118"/>
    </row>
    <row r="12" spans="1:104" s="238" customFormat="1">
      <c r="A12" s="619" t="s">
        <v>198</v>
      </c>
      <c r="F12" s="238">
        <f>F10/B10-1</f>
      </c>
      <c r="G12" s="238">
        <f t="shared" ref="G12:BR12" si="26">G10/C10-1</f>
      </c>
      <c r="H12" s="238">
        <f t="shared" si="26"/>
      </c>
      <c r="I12" s="238">
        <f t="shared" si="26"/>
      </c>
      <c r="J12" s="238">
        <f t="shared" si="26"/>
      </c>
      <c r="K12" s="238">
        <f t="shared" si="26"/>
      </c>
      <c r="L12" s="238">
        <f t="shared" si="26"/>
      </c>
      <c r="M12" s="238">
        <f t="shared" si="26"/>
      </c>
      <c r="N12" s="238">
        <f t="shared" si="26"/>
      </c>
      <c r="O12" s="238">
        <f t="shared" si="26"/>
      </c>
      <c r="P12" s="238">
        <f t="shared" si="26"/>
      </c>
      <c r="Q12" s="238">
        <f t="shared" si="26"/>
      </c>
      <c r="R12" s="238">
        <f t="shared" si="26"/>
      </c>
      <c r="S12" s="238">
        <f t="shared" si="26"/>
      </c>
      <c r="T12" s="238">
        <f t="shared" si="26"/>
      </c>
      <c r="U12" s="238">
        <f t="shared" si="26"/>
      </c>
      <c r="V12" s="238">
        <f t="shared" si="26"/>
      </c>
      <c r="W12" s="238">
        <f t="shared" si="26"/>
      </c>
      <c r="X12" s="238">
        <f t="shared" si="26"/>
      </c>
      <c r="Y12" s="238">
        <f t="shared" si="26"/>
      </c>
      <c r="Z12" s="238">
        <f t="shared" si="26"/>
      </c>
      <c r="AA12" s="238">
        <f t="shared" si="26"/>
      </c>
      <c r="AB12" s="238">
        <f t="shared" si="26"/>
      </c>
      <c r="AC12" s="238">
        <f t="shared" si="26"/>
      </c>
      <c r="AD12" s="238">
        <f t="shared" si="26"/>
      </c>
      <c r="AE12" s="238">
        <f t="shared" si="26"/>
      </c>
      <c r="AF12" s="238">
        <f t="shared" si="26"/>
      </c>
      <c r="AG12" s="238">
        <f t="shared" si="26"/>
      </c>
      <c r="AH12" s="238">
        <f t="shared" si="26"/>
      </c>
      <c r="AI12" s="238">
        <f t="shared" si="26"/>
      </c>
      <c r="AJ12" s="238">
        <f t="shared" si="26"/>
      </c>
      <c r="AK12" s="238">
        <f t="shared" si="26"/>
      </c>
      <c r="AL12" s="238">
        <f t="shared" si="26"/>
      </c>
      <c r="AM12" s="238">
        <f t="shared" si="26"/>
      </c>
      <c r="AN12" s="238">
        <f t="shared" si="26"/>
      </c>
      <c r="AO12" s="238">
        <f t="shared" si="26"/>
      </c>
      <c r="AP12" s="238">
        <f t="shared" si="26"/>
      </c>
      <c r="AQ12" s="238">
        <f t="shared" si="26"/>
      </c>
      <c r="AR12" s="238">
        <f t="shared" si="26"/>
      </c>
      <c r="AS12" s="238">
        <f t="shared" si="26"/>
      </c>
      <c r="AT12" s="238">
        <f t="shared" si="26"/>
      </c>
      <c r="AU12" s="238">
        <f t="shared" si="26"/>
      </c>
      <c r="AV12" s="238">
        <f t="shared" si="26"/>
      </c>
      <c r="AW12" s="238">
        <f t="shared" si="26"/>
      </c>
      <c r="AX12" s="238">
        <f t="shared" si="26"/>
      </c>
      <c r="AY12" s="238">
        <f t="shared" si="26"/>
      </c>
      <c r="AZ12" s="238">
        <f t="shared" si="26"/>
      </c>
      <c r="BA12" s="238">
        <f t="shared" si="26"/>
      </c>
      <c r="BB12" s="238">
        <f t="shared" si="26"/>
      </c>
      <c r="BC12" s="238">
        <f t="shared" si="26"/>
      </c>
      <c r="BD12" s="238">
        <f t="shared" si="26"/>
      </c>
      <c r="BE12" s="238">
        <f t="shared" si="26"/>
      </c>
      <c r="BF12" s="238">
        <f t="shared" si="26"/>
      </c>
      <c r="BG12" s="238">
        <f t="shared" si="26"/>
      </c>
      <c r="BH12" s="238">
        <f t="shared" si="26"/>
      </c>
      <c r="BI12" s="238">
        <f t="shared" si="26"/>
      </c>
      <c r="BJ12" s="238">
        <f t="shared" si="26"/>
      </c>
      <c r="BK12" s="238">
        <f t="shared" si="26"/>
      </c>
      <c r="BL12" s="238">
        <f t="shared" si="26"/>
      </c>
      <c r="BM12" s="238">
        <f t="shared" si="26"/>
      </c>
      <c r="BN12" s="238">
        <f t="shared" si="26"/>
      </c>
      <c r="BO12" s="238">
        <f t="shared" si="26"/>
      </c>
      <c r="BP12" s="238">
        <f t="shared" si="26"/>
      </c>
      <c r="BQ12" s="238">
        <f t="shared" si="26"/>
      </c>
      <c r="BR12" s="238">
        <f t="shared" si="26"/>
      </c>
      <c r="BS12" s="238">
        <f t="shared" ref="BS12:BY12" si="27">BS10/BO10-1</f>
      </c>
      <c r="BT12" s="239">
        <f t="shared" si="27"/>
      </c>
      <c r="BU12" s="239">
        <f t="shared" si="27"/>
      </c>
      <c r="BV12" s="239">
        <f t="shared" si="27"/>
      </c>
      <c r="BW12" s="239">
        <f t="shared" si="27"/>
      </c>
      <c r="BX12" s="239">
        <f t="shared" si="27"/>
      </c>
      <c r="BY12" s="239">
        <f t="shared" si="27"/>
      </c>
      <c r="BZ12" s="239">
        <f>BZ10/BV10-1</f>
      </c>
      <c r="CA12" s="239">
        <f>CA10/BW10-1</f>
      </c>
      <c r="CB12" s="239">
        <f>CB10/BX10-1</f>
      </c>
      <c r="CC12" s="239">
        <f>CC10/BY10-1</f>
      </c>
      <c r="CF12" s="238">
        <f>CF10/CE10-1</f>
      </c>
      <c r="CG12" s="238">
        <f t="shared" ref="CG12:CT12" si="28">CG10/CF10-1</f>
      </c>
      <c r="CH12" s="238">
        <f t="shared" si="28"/>
      </c>
      <c r="CI12" s="238">
        <f t="shared" si="28"/>
      </c>
      <c r="CJ12" s="238">
        <f t="shared" si="28"/>
      </c>
      <c r="CK12" s="238">
        <f t="shared" si="28"/>
      </c>
      <c r="CL12" s="238">
        <f t="shared" si="28"/>
      </c>
      <c r="CM12" s="238">
        <f t="shared" si="28"/>
      </c>
      <c r="CN12" s="238">
        <f t="shared" si="28"/>
      </c>
      <c r="CO12" s="238">
        <f>CO10/CN10-1</f>
      </c>
      <c r="CP12" s="238">
        <f t="shared" si="28"/>
      </c>
      <c r="CQ12" s="238">
        <f t="shared" si="28"/>
      </c>
      <c r="CR12" s="238">
        <f t="shared" si="28"/>
      </c>
      <c r="CS12" s="238">
        <f t="shared" si="28"/>
      </c>
      <c r="CT12" s="238">
        <f t="shared" si="28"/>
      </c>
      <c r="CU12" s="244">
        <f>CU10/CT10-1</f>
      </c>
      <c r="CV12" s="244">
        <f>CV10/CU10-1</f>
      </c>
      <c r="CW12" s="244">
        <f>CW10/CV10-1</f>
      </c>
      <c r="CX12" s="244">
        <f>CX10/CW10-1</f>
      </c>
    </row>
    <row r="13" spans="1:104" s="238" customFormat="1">
      <c r="A13" s="619"/>
      <c r="AL13" s="239"/>
      <c r="AM13" s="239"/>
      <c r="AN13" s="239"/>
      <c r="AO13" s="239"/>
      <c r="AP13" s="239"/>
      <c r="AQ13" s="239"/>
      <c r="AR13" s="239"/>
      <c r="AS13" s="239"/>
      <c r="AT13" s="239"/>
      <c r="AU13" s="239"/>
      <c r="AV13" s="239"/>
      <c r="AW13" s="239"/>
      <c r="AX13" s="239"/>
      <c r="AY13" s="239"/>
      <c r="AZ13" s="239"/>
      <c r="BA13" s="239"/>
      <c r="BB13" s="239"/>
      <c r="BC13" s="239"/>
      <c r="BD13" s="239"/>
      <c r="BE13" s="239"/>
      <c r="BF13" s="239"/>
      <c r="BG13" s="239"/>
      <c r="BH13" s="239"/>
      <c r="BI13" s="239"/>
      <c r="BJ13" s="239"/>
      <c r="BK13" s="239"/>
      <c r="BL13" s="239"/>
      <c r="BM13" s="239"/>
      <c r="BN13" s="239"/>
      <c r="BO13" s="239"/>
      <c r="BP13" s="239"/>
      <c r="BQ13" s="239"/>
      <c r="BR13" s="239"/>
      <c r="BS13" s="239"/>
      <c r="BT13" s="239"/>
      <c r="BU13" s="239"/>
      <c r="BV13" s="239"/>
      <c r="BW13" s="239"/>
      <c r="BX13" s="239"/>
      <c r="BY13" s="239"/>
      <c r="BZ13" s="239"/>
      <c r="CA13" s="239"/>
      <c r="CB13" s="239"/>
      <c r="CC13" s="239"/>
      <c r="CL13" s="240"/>
      <c r="CN13" s="241"/>
      <c r="CO13" s="241"/>
      <c r="CP13" s="241"/>
      <c r="CQ13" s="241"/>
      <c r="CR13" s="241"/>
      <c r="CS13" s="241"/>
      <c r="CT13" s="241"/>
      <c r="CU13" s="298"/>
      <c r="CV13" s="620"/>
      <c r="CW13" s="620"/>
      <c r="CX13" s="620"/>
    </row>
    <row r="14" spans="1:104">
      <c r="A14" s="230" t="s">
        <v>508</v>
      </c>
      <c r="B14" s="230"/>
      <c r="C14" s="230"/>
      <c r="D14" s="230"/>
      <c r="E14" s="230"/>
      <c r="F14" s="230"/>
      <c r="G14" s="230"/>
      <c r="H14" s="230"/>
      <c r="I14" s="230"/>
      <c r="J14" s="230"/>
      <c r="K14" s="230"/>
      <c r="L14" s="230"/>
      <c r="M14" s="230"/>
      <c r="N14" s="230"/>
      <c r="O14" s="230"/>
      <c r="P14" s="230"/>
      <c r="Q14" s="230"/>
      <c r="R14" s="230"/>
      <c r="S14" s="230"/>
      <c r="T14" s="230"/>
      <c r="U14" s="230"/>
      <c r="V14" s="230"/>
      <c r="W14" s="230"/>
      <c r="X14" s="230"/>
      <c r="Y14" s="230"/>
      <c r="Z14" s="230"/>
      <c r="AA14" s="230"/>
      <c r="AB14" s="230"/>
      <c r="AC14" s="230"/>
      <c r="AD14" s="230"/>
      <c r="AE14" s="230"/>
      <c r="AF14" s="230"/>
      <c r="AG14" s="230"/>
      <c r="AH14" s="230"/>
      <c r="AI14" s="230"/>
      <c r="AJ14" s="230"/>
      <c r="AK14" s="230"/>
      <c r="AL14" s="230"/>
      <c r="AM14" s="230"/>
      <c r="AN14" s="230"/>
      <c r="AO14" s="230"/>
      <c r="AP14" s="230"/>
      <c r="AQ14" s="230"/>
      <c r="AR14" s="225"/>
      <c r="AS14" s="225"/>
      <c r="AT14" s="225"/>
      <c r="AU14" s="225"/>
      <c r="AV14" s="225"/>
      <c r="AW14" s="230"/>
      <c r="AX14" s="230"/>
      <c r="AY14" s="230"/>
      <c r="AZ14" s="230"/>
      <c r="BA14" s="230"/>
      <c r="BB14" s="230"/>
      <c r="BC14" s="230"/>
      <c r="BD14" s="243"/>
      <c r="BE14" s="230"/>
      <c r="BF14" s="230"/>
      <c r="BG14" s="230"/>
      <c r="BH14" s="230"/>
      <c r="BI14" s="230"/>
      <c r="BJ14" s="230"/>
      <c r="BK14" s="230"/>
      <c r="BL14" s="230"/>
      <c r="BM14" s="230"/>
      <c r="BN14" s="230"/>
      <c r="BO14" s="230"/>
      <c r="BP14" s="230"/>
      <c r="BQ14" s="230"/>
      <c r="BR14" s="230"/>
      <c r="BS14" s="230"/>
      <c r="BT14" s="230"/>
      <c r="BU14" s="230"/>
      <c r="BV14" s="230"/>
      <c r="BW14" s="230"/>
      <c r="BX14" s="230"/>
      <c r="BY14" s="230"/>
      <c r="BZ14" s="230"/>
      <c r="CA14" s="230"/>
      <c r="CB14" s="230"/>
      <c r="CC14" s="230"/>
      <c r="CD14" s="231"/>
      <c r="CE14" s="230"/>
      <c r="CF14" s="230"/>
      <c r="CG14" s="230"/>
      <c r="CH14" s="230"/>
      <c r="CI14" s="230"/>
      <c r="CJ14" s="230"/>
      <c r="CK14" s="230"/>
      <c r="CL14" s="230"/>
      <c r="CM14" s="230"/>
      <c r="CN14" s="230"/>
      <c r="CO14" s="230"/>
      <c r="CP14" s="230"/>
      <c r="CQ14" s="230"/>
      <c r="CR14" s="230"/>
      <c r="CS14" s="230"/>
      <c r="CT14" s="230"/>
      <c r="CU14" s="243"/>
      <c r="CV14" s="243"/>
      <c r="CW14" s="243"/>
      <c r="CX14" s="243"/>
      <c r="CZ14" s="233"/>
    </row>
    <row r="15" spans="1:104" s="234" customFormat="1">
      <c r="A15" s="235" t="s">
        <v>509</v>
      </c>
      <c r="Z15" s="235">
        <f>Worksheet!BB99</f>
      </c>
      <c r="AA15" s="235">
        <f>Worksheet!BC99</f>
      </c>
      <c r="AB15" s="235">
        <f>Worksheet!BD99</f>
      </c>
      <c r="AC15" s="235">
        <f>Worksheet!BE99</f>
      </c>
      <c r="AD15" s="235">
        <f>Worksheet!BF99</f>
      </c>
      <c r="AE15" s="235">
        <f>Worksheet!BG99</f>
      </c>
      <c r="AF15" s="235">
        <f>Worksheet!BH99</f>
      </c>
      <c r="AG15" s="235">
        <f>Worksheet!BI99</f>
      </c>
      <c r="AH15" s="235">
        <f>Worksheet!BJ99</f>
      </c>
      <c r="AI15" s="235">
        <f>Worksheet!BK99</f>
      </c>
      <c r="AJ15" s="235">
        <f>Worksheet!BL99</f>
      </c>
      <c r="AK15" s="235">
        <f>Worksheet!BM99</f>
      </c>
      <c r="AL15" s="235">
        <f>Worksheet!BN99</f>
      </c>
      <c r="AM15" s="235">
        <f>Worksheet!BO99</f>
      </c>
      <c r="AN15" s="235">
        <f>Worksheet!BP99</f>
      </c>
      <c r="AO15" s="235">
        <f>Worksheet!BQ99</f>
      </c>
      <c r="AP15" s="235">
        <f>Worksheet!BR99</f>
      </c>
      <c r="AQ15" s="235">
        <f>Worksheet!BS99</f>
      </c>
      <c r="AR15" s="235">
        <f>Worksheet!BT99</f>
      </c>
      <c r="AS15" s="235">
        <f>Worksheet!BU99</f>
      </c>
      <c r="AT15" s="235">
        <f>Worksheet!BV99</f>
      </c>
      <c r="AU15" s="235">
        <f>Worksheet!BW99</f>
      </c>
      <c r="AV15" s="235">
        <f>Worksheet!BX99</f>
      </c>
      <c r="AW15" s="235">
        <f>Worksheet!BY99</f>
      </c>
      <c r="AX15" s="235">
        <f>Worksheet!BZ99</f>
      </c>
      <c r="AY15" s="235">
        <f>Worksheet!CA99</f>
      </c>
      <c r="AZ15" s="235">
        <f>Worksheet!CB99</f>
      </c>
      <c r="BA15" s="235">
        <f>Worksheet!CC99</f>
      </c>
      <c r="BB15" s="235">
        <f>Worksheet!CD99</f>
      </c>
      <c r="BC15" s="235">
        <f>Worksheet!CE99</f>
      </c>
      <c r="BD15" s="235">
        <f>Worksheet!CF99</f>
      </c>
      <c r="BE15" s="235">
        <f>Worksheet!CG99</f>
      </c>
      <c r="BF15" s="235">
        <f>Worksheet!CH99</f>
      </c>
      <c r="BG15" s="235">
        <f>Worksheet!CI99</f>
      </c>
      <c r="BH15" s="235">
        <f>Worksheet!CJ99</f>
      </c>
      <c r="BI15" s="235">
        <f>Worksheet!CK99</f>
      </c>
      <c r="BJ15" s="235">
        <f>Worksheet!CL99</f>
      </c>
      <c r="BK15" s="235">
        <f>Worksheet!CM99</f>
      </c>
      <c r="BL15" s="235">
        <f>Worksheet!CN99</f>
      </c>
      <c r="BM15" s="235">
        <f>Worksheet!CO99</f>
      </c>
      <c r="BN15" s="235">
        <f>Worksheet!CP99</f>
      </c>
      <c r="BO15" s="235">
        <f>Worksheet!CQ99</f>
      </c>
      <c r="BP15" s="235">
        <f>Worksheet!CR99</f>
      </c>
      <c r="BQ15" s="235">
        <f>Worksheet!CS99</f>
      </c>
      <c r="BR15" s="235">
        <f>Worksheet!CT99</f>
      </c>
      <c r="BS15" s="235">
        <f>Worksheet!CU99</f>
      </c>
      <c r="BT15" s="236">
        <f t="shared" ref="BT15:BY15" si="29">+BS15*(1+BT16)</f>
      </c>
      <c r="BU15" s="236">
        <f t="shared" si="29"/>
      </c>
      <c r="BV15" s="236">
        <f t="shared" si="29"/>
      </c>
      <c r="BW15" s="236">
        <f t="shared" si="29"/>
      </c>
      <c r="BX15" s="236">
        <f t="shared" si="29"/>
      </c>
      <c r="BY15" s="236">
        <f t="shared" si="29"/>
      </c>
      <c r="BZ15" s="236">
        <f>+BY15*(1+BZ16)</f>
      </c>
      <c r="CA15" s="236">
        <f>+BZ15*(1+CA16)</f>
      </c>
      <c r="CB15" s="236">
        <f>+CA15*(1+CB16)</f>
      </c>
      <c r="CC15" s="236">
        <f>+CB15*(1+CC16)</f>
      </c>
      <c r="CI15" s="235">
        <f>Worksheet!DS99</f>
      </c>
      <c r="CJ15" s="235">
        <f>Worksheet!DT99</f>
      </c>
      <c r="CK15" s="235">
        <f>SUM(Z15:AC15)</f>
      </c>
      <c r="CL15" s="235">
        <f>SUM(AD15:AG15)</f>
      </c>
      <c r="CM15" s="235">
        <f>SUM(AH15:AK15)</f>
      </c>
      <c r="CN15" s="235">
        <f>SUM(AL15:AO15)</f>
      </c>
      <c r="CO15" s="235">
        <f>SUM(AP15:AS15)</f>
      </c>
      <c r="CP15" s="235">
        <f>SUM(AT15:AW15)</f>
      </c>
      <c r="CQ15" s="235">
        <f>SUM(AX15:BA15)</f>
      </c>
      <c r="CR15" s="235">
        <f>+BB15+BC15+BD15+BE15</f>
      </c>
      <c r="CS15" s="235">
        <f>+SUM(BF15:BI15)</f>
      </c>
      <c r="CT15" s="235">
        <f>+SUM(BJ15:BM15)</f>
      </c>
      <c r="CU15" s="235">
        <f>+SUM(BN15:BQ15)</f>
      </c>
      <c r="CV15" s="235">
        <f>+SUM(BR15:BU15)</f>
      </c>
      <c r="CW15" s="235">
        <f>SUM(BV15:BY15)</f>
      </c>
      <c r="CX15" s="235">
        <f>SUM(BZ15:CC15)</f>
      </c>
    </row>
    <row r="16" spans="1:104" s="238" customFormat="1" ht="12" customHeight="1">
      <c r="A16" s="63" t="s">
        <v>196</v>
      </c>
      <c r="Z16" s="244"/>
      <c r="AA16" s="238">
        <f>AA15/Z15-1</f>
      </c>
      <c r="AB16" s="238">
        <f t="shared" ref="AB16:BN16" si="30">AB15/AA15-1</f>
      </c>
      <c r="AC16" s="238">
        <f t="shared" si="30"/>
      </c>
      <c r="AD16" s="238">
        <f t="shared" si="30"/>
      </c>
      <c r="AE16" s="238">
        <f t="shared" si="30"/>
      </c>
      <c r="AF16" s="238">
        <f t="shared" si="30"/>
      </c>
      <c r="AG16" s="238">
        <f t="shared" si="30"/>
      </c>
      <c r="AH16" s="238">
        <f t="shared" si="30"/>
      </c>
      <c r="AI16" s="238">
        <f t="shared" si="30"/>
      </c>
      <c r="AJ16" s="238">
        <f t="shared" si="30"/>
      </c>
      <c r="AK16" s="238">
        <f t="shared" si="30"/>
      </c>
      <c r="AL16" s="238">
        <f t="shared" si="30"/>
      </c>
      <c r="AM16" s="238">
        <f t="shared" si="30"/>
      </c>
      <c r="AN16" s="238">
        <f t="shared" si="30"/>
      </c>
      <c r="AO16" s="238">
        <f t="shared" si="30"/>
      </c>
      <c r="AP16" s="238">
        <f t="shared" si="30"/>
      </c>
      <c r="AQ16" s="238">
        <f t="shared" si="30"/>
      </c>
      <c r="AR16" s="238">
        <f t="shared" si="30"/>
      </c>
      <c r="AS16" s="238">
        <f t="shared" si="30"/>
      </c>
      <c r="AT16" s="238">
        <f t="shared" si="30"/>
      </c>
      <c r="AU16" s="238">
        <f t="shared" si="30"/>
      </c>
      <c r="AV16" s="238">
        <f t="shared" si="30"/>
      </c>
      <c r="AW16" s="238">
        <f t="shared" si="30"/>
      </c>
      <c r="AX16" s="238">
        <f t="shared" si="30"/>
      </c>
      <c r="AY16" s="238">
        <f t="shared" si="30"/>
      </c>
      <c r="AZ16" s="238">
        <f t="shared" si="30"/>
      </c>
      <c r="BA16" s="238">
        <f t="shared" si="30"/>
      </c>
      <c r="BB16" s="238">
        <f t="shared" si="30"/>
      </c>
      <c r="BC16" s="238">
        <f t="shared" si="30"/>
      </c>
      <c r="BD16" s="238">
        <f t="shared" si="30"/>
      </c>
      <c r="BE16" s="238">
        <f t="shared" si="30"/>
      </c>
      <c r="BF16" s="238">
        <f t="shared" si="30"/>
      </c>
      <c r="BG16" s="238">
        <f t="shared" si="30"/>
      </c>
      <c r="BH16" s="238">
        <f t="shared" si="30"/>
      </c>
      <c r="BI16" s="238">
        <f t="shared" si="30"/>
      </c>
      <c r="BJ16" s="238">
        <f t="shared" si="30"/>
      </c>
      <c r="BK16" s="238">
        <f t="shared" si="30"/>
      </c>
      <c r="BL16" s="238">
        <f t="shared" si="30"/>
      </c>
      <c r="BM16" s="238">
        <f t="shared" si="30"/>
      </c>
      <c r="BN16" s="238">
        <f t="shared" si="30"/>
      </c>
      <c r="BO16" s="238">
        <f>BO15/BN15-1</f>
      </c>
      <c r="BP16" s="238">
        <f>BP15/BO15-1</f>
      </c>
      <c r="BQ16" s="238">
        <f>BQ15/BP15-1</f>
      </c>
      <c r="BR16" s="238">
        <f>BR15/BQ15-1</f>
      </c>
      <c r="BS16" s="238">
        <f>BS15/BR15-1</f>
      </c>
      <c r="BT16" s="239">
        <v>0.2</v>
      </c>
      <c r="BU16" s="239">
        <v>0.13</v>
      </c>
      <c r="BV16" s="239">
        <v>0.05</v>
      </c>
      <c r="BW16" s="239">
        <v>0.08</v>
      </c>
      <c r="BX16" s="239">
        <v>0.12</v>
      </c>
      <c r="BY16" s="239">
        <v>7.0000000000000007E-2</v>
      </c>
      <c r="BZ16" s="239">
        <v>0.02</v>
      </c>
      <c r="CA16" s="239">
        <v>0.02</v>
      </c>
      <c r="CB16" s="239">
        <v>0.03</v>
      </c>
      <c r="CC16" s="239">
        <v>0.03</v>
      </c>
      <c r="CJ16" s="245"/>
      <c r="CK16" s="245"/>
      <c r="CL16" s="245"/>
      <c r="CM16" s="245"/>
      <c r="CN16" s="245"/>
      <c r="CO16" s="245"/>
      <c r="CP16" s="245"/>
      <c r="CQ16" s="245"/>
      <c r="CR16" s="245"/>
      <c r="CS16" s="245"/>
      <c r="CT16" s="245"/>
      <c r="CU16" s="245"/>
      <c r="CV16" s="245"/>
      <c r="CW16" s="245"/>
      <c r="CX16" s="245"/>
    </row>
    <row r="17" spans="1:104" s="238" customFormat="1" ht="12.75" customHeight="1">
      <c r="A17" s="63" t="s">
        <v>198</v>
      </c>
      <c r="Z17" s="244"/>
      <c r="AA17" s="244"/>
      <c r="AB17" s="244"/>
      <c r="AC17" s="244"/>
      <c r="AD17" s="238">
        <f t="shared" ref="AD17:BN17" si="31">AD15/Z15-1</f>
      </c>
      <c r="AE17" s="238">
        <f t="shared" si="31"/>
      </c>
      <c r="AF17" s="238">
        <f t="shared" si="31"/>
      </c>
      <c r="AG17" s="238">
        <f t="shared" si="31"/>
      </c>
      <c r="AH17" s="238">
        <f t="shared" si="31"/>
      </c>
      <c r="AI17" s="238">
        <f t="shared" si="31"/>
      </c>
      <c r="AJ17" s="238">
        <f t="shared" si="31"/>
      </c>
      <c r="AK17" s="238">
        <f t="shared" si="31"/>
      </c>
      <c r="AL17" s="238">
        <f t="shared" si="31"/>
      </c>
      <c r="AM17" s="238">
        <f t="shared" si="31"/>
      </c>
      <c r="AN17" s="238">
        <f t="shared" si="31"/>
      </c>
      <c r="AO17" s="238">
        <f t="shared" si="31"/>
      </c>
      <c r="AP17" s="238">
        <f t="shared" si="31"/>
      </c>
      <c r="AQ17" s="238">
        <f t="shared" si="31"/>
      </c>
      <c r="AR17" s="238">
        <f t="shared" si="31"/>
      </c>
      <c r="AS17" s="238">
        <f t="shared" si="31"/>
      </c>
      <c r="AT17" s="238">
        <f t="shared" si="31"/>
      </c>
      <c r="AU17" s="238">
        <f t="shared" si="31"/>
      </c>
      <c r="AV17" s="238">
        <f t="shared" si="31"/>
      </c>
      <c r="AW17" s="238">
        <f t="shared" si="31"/>
      </c>
      <c r="AX17" s="238">
        <f t="shared" si="31"/>
      </c>
      <c r="AY17" s="238">
        <f t="shared" si="31"/>
      </c>
      <c r="AZ17" s="238">
        <f t="shared" si="31"/>
      </c>
      <c r="BA17" s="238">
        <f t="shared" si="31"/>
      </c>
      <c r="BB17" s="238">
        <f t="shared" si="31"/>
      </c>
      <c r="BC17" s="238">
        <f t="shared" si="31"/>
      </c>
      <c r="BD17" s="238">
        <f t="shared" si="31"/>
      </c>
      <c r="BE17" s="238">
        <f t="shared" si="31"/>
      </c>
      <c r="BF17" s="238">
        <f t="shared" si="31"/>
      </c>
      <c r="BG17" s="238">
        <f t="shared" si="31"/>
      </c>
      <c r="BH17" s="238">
        <f t="shared" si="31"/>
      </c>
      <c r="BI17" s="238">
        <f t="shared" si="31"/>
      </c>
      <c r="BJ17" s="238">
        <f t="shared" si="31"/>
      </c>
      <c r="BK17" s="238">
        <f t="shared" si="31"/>
      </c>
      <c r="BL17" s="238">
        <f t="shared" si="31"/>
      </c>
      <c r="BM17" s="238">
        <f t="shared" si="31"/>
      </c>
      <c r="BN17" s="238">
        <f t="shared" si="31"/>
      </c>
      <c r="BO17" s="238">
        <f>BO15/BK15-1</f>
      </c>
      <c r="BP17" s="238">
        <f>BP15/BL15-1</f>
      </c>
      <c r="BQ17" s="238">
        <f>BQ15/BM15-1</f>
      </c>
      <c r="BR17" s="238">
        <f>BR15/BN15-1</f>
      </c>
      <c r="BS17" s="238">
        <f t="shared" ref="BS17:BY17" si="32">BS15/BO15-1</f>
      </c>
      <c r="BT17" s="239">
        <f t="shared" si="32"/>
      </c>
      <c r="BU17" s="239">
        <f t="shared" si="32"/>
      </c>
      <c r="BV17" s="239">
        <f t="shared" si="32"/>
      </c>
      <c r="BW17" s="239">
        <f t="shared" si="32"/>
      </c>
      <c r="BX17" s="239">
        <f t="shared" si="32"/>
      </c>
      <c r="BY17" s="239">
        <f t="shared" si="32"/>
      </c>
      <c r="BZ17" s="239">
        <f>BZ15/BV15-1</f>
      </c>
      <c r="CA17" s="239">
        <f>CA15/BW15-1</f>
      </c>
      <c r="CB17" s="239">
        <f>CB15/BX15-1</f>
      </c>
      <c r="CC17" s="239">
        <f>CC15/BY15-1</f>
      </c>
      <c r="CJ17" s="118">
        <f t="shared" ref="CJ17:CX17" si="33">CJ15/CI15-1</f>
      </c>
      <c r="CK17" s="246">
        <f t="shared" si="33"/>
      </c>
      <c r="CL17" s="246">
        <f t="shared" si="33"/>
      </c>
      <c r="CM17" s="246">
        <f t="shared" si="33"/>
      </c>
      <c r="CN17" s="246">
        <f t="shared" si="33"/>
      </c>
      <c r="CO17" s="246">
        <f t="shared" si="33"/>
      </c>
      <c r="CP17" s="246">
        <f t="shared" si="33"/>
      </c>
      <c r="CQ17" s="246">
        <f t="shared" si="33"/>
      </c>
      <c r="CR17" s="246">
        <f t="shared" si="33"/>
      </c>
      <c r="CS17" s="246">
        <f t="shared" si="33"/>
      </c>
      <c r="CT17" s="246">
        <f t="shared" si="33"/>
      </c>
      <c r="CU17" s="246">
        <f t="shared" si="33"/>
      </c>
      <c r="CV17" s="246">
        <f t="shared" si="33"/>
      </c>
      <c r="CW17" s="246">
        <f t="shared" si="33"/>
      </c>
      <c r="CX17" s="246">
        <f t="shared" si="33"/>
      </c>
    </row>
    <row r="18" spans="1:104" s="238" customFormat="1" ht="12" customHeight="1">
      <c r="A18" s="621" t="s">
        <v>510</v>
      </c>
      <c r="B18" s="244"/>
      <c r="C18" s="244"/>
      <c r="D18" s="244"/>
      <c r="E18" s="244"/>
      <c r="F18" s="244"/>
      <c r="G18" s="244"/>
      <c r="H18" s="244"/>
      <c r="I18" s="244"/>
      <c r="J18" s="244"/>
      <c r="K18" s="244"/>
      <c r="L18" s="244"/>
      <c r="M18" s="244"/>
      <c r="N18" s="244"/>
      <c r="O18" s="244"/>
      <c r="P18" s="244"/>
      <c r="Q18" s="244"/>
      <c r="R18" s="244"/>
      <c r="S18" s="244"/>
      <c r="T18" s="244"/>
      <c r="U18" s="244"/>
      <c r="V18" s="244"/>
      <c r="W18" s="244"/>
      <c r="X18" s="244"/>
      <c r="Y18" s="244"/>
      <c r="Z18" s="244">
        <f>Z15/Z$10</f>
      </c>
      <c r="AA18" s="244">
        <f t="shared" ref="AA18:BL18" si="34">AA15/AA$10</f>
      </c>
      <c r="AB18" s="244">
        <f t="shared" si="34"/>
      </c>
      <c r="AC18" s="244">
        <f t="shared" si="34"/>
      </c>
      <c r="AD18" s="244">
        <f t="shared" si="34"/>
      </c>
      <c r="AE18" s="244">
        <f t="shared" si="34"/>
      </c>
      <c r="AF18" s="244">
        <f t="shared" si="34"/>
      </c>
      <c r="AG18" s="244">
        <f t="shared" si="34"/>
      </c>
      <c r="AH18" s="244">
        <f t="shared" si="34"/>
      </c>
      <c r="AI18" s="244">
        <f t="shared" si="34"/>
      </c>
      <c r="AJ18" s="244">
        <f t="shared" si="34"/>
      </c>
      <c r="AK18" s="244">
        <f t="shared" si="34"/>
      </c>
      <c r="AL18" s="244">
        <f t="shared" si="34"/>
      </c>
      <c r="AM18" s="244">
        <f t="shared" si="34"/>
      </c>
      <c r="AN18" s="244">
        <f t="shared" si="34"/>
      </c>
      <c r="AO18" s="244">
        <f t="shared" si="34"/>
      </c>
      <c r="AP18" s="244">
        <f t="shared" si="34"/>
      </c>
      <c r="AQ18" s="244">
        <f t="shared" si="34"/>
      </c>
      <c r="AR18" s="244">
        <f t="shared" si="34"/>
      </c>
      <c r="AS18" s="244">
        <f t="shared" si="34"/>
      </c>
      <c r="AT18" s="244">
        <f t="shared" si="34"/>
      </c>
      <c r="AU18" s="244">
        <f t="shared" si="34"/>
      </c>
      <c r="AV18" s="244">
        <f t="shared" si="34"/>
      </c>
      <c r="AW18" s="244">
        <f t="shared" si="34"/>
      </c>
      <c r="AX18" s="244">
        <f t="shared" si="34"/>
      </c>
      <c r="AY18" s="244">
        <f t="shared" si="34"/>
      </c>
      <c r="AZ18" s="244">
        <f t="shared" si="34"/>
      </c>
      <c r="BA18" s="244">
        <f t="shared" si="34"/>
      </c>
      <c r="BB18" s="244">
        <f t="shared" si="34"/>
      </c>
      <c r="BC18" s="244">
        <f t="shared" si="34"/>
      </c>
      <c r="BD18" s="244">
        <f t="shared" si="34"/>
      </c>
      <c r="BE18" s="244">
        <f t="shared" si="34"/>
      </c>
      <c r="BF18" s="244">
        <f t="shared" si="34"/>
      </c>
      <c r="BG18" s="244">
        <f t="shared" si="34"/>
      </c>
      <c r="BH18" s="244">
        <f t="shared" si="34"/>
      </c>
      <c r="BI18" s="244">
        <f t="shared" si="34"/>
      </c>
      <c r="BJ18" s="244">
        <f t="shared" si="34"/>
      </c>
      <c r="BK18" s="244">
        <f t="shared" si="34"/>
      </c>
      <c r="BL18" s="244">
        <f t="shared" si="34"/>
      </c>
      <c r="BM18" s="244">
        <f>BM15/BM$10</f>
      </c>
      <c r="BN18" s="244">
        <f>BN15/BN$10</f>
      </c>
      <c r="BO18" s="244">
        <f>+BO15/BO10</f>
      </c>
      <c r="BP18" s="244">
        <f>+BP15/BP10</f>
      </c>
      <c r="BQ18" s="244">
        <f>+BQ15/BQ10</f>
      </c>
      <c r="BR18" s="244">
        <f>+BR15/BR10</f>
      </c>
      <c r="BS18" s="244">
        <f t="shared" ref="BS18:BY18" si="35">+BS15/BS10</f>
      </c>
      <c r="BT18" s="247">
        <f t="shared" si="35"/>
      </c>
      <c r="BU18" s="247">
        <f t="shared" si="35"/>
      </c>
      <c r="BV18" s="247">
        <f t="shared" si="35"/>
      </c>
      <c r="BW18" s="247">
        <f t="shared" si="35"/>
      </c>
      <c r="BX18" s="247">
        <f t="shared" si="35"/>
      </c>
      <c r="BY18" s="247">
        <f t="shared" si="35"/>
      </c>
      <c r="BZ18" s="247">
        <f>+BZ15/BZ10</f>
      </c>
      <c r="CA18" s="247">
        <f>+CA15/CA10</f>
      </c>
      <c r="CB18" s="247">
        <f>+CB15/CB10</f>
      </c>
      <c r="CC18" s="247">
        <f>+CC15/CC10</f>
      </c>
      <c r="CD18" s="244"/>
      <c r="CE18" s="244"/>
      <c r="CF18" s="244"/>
      <c r="CG18" s="244"/>
      <c r="CH18" s="244"/>
      <c r="CI18" s="248">
        <f t="shared" ref="CI18:CW18" si="36">CI15/CI$10</f>
      </c>
      <c r="CJ18" s="248">
        <f t="shared" si="36"/>
      </c>
      <c r="CK18" s="248">
        <f t="shared" si="36"/>
      </c>
      <c r="CL18" s="248">
        <f t="shared" si="36"/>
      </c>
      <c r="CM18" s="248">
        <f t="shared" si="36"/>
      </c>
      <c r="CN18" s="248">
        <f t="shared" si="36"/>
      </c>
      <c r="CO18" s="248">
        <f t="shared" si="36"/>
      </c>
      <c r="CP18" s="248">
        <f t="shared" si="36"/>
      </c>
      <c r="CQ18" s="248">
        <f t="shared" si="36"/>
      </c>
      <c r="CR18" s="248">
        <f t="shared" si="36"/>
      </c>
      <c r="CS18" s="248">
        <f t="shared" si="36"/>
      </c>
      <c r="CT18" s="248">
        <f t="shared" si="36"/>
      </c>
      <c r="CU18" s="248">
        <f t="shared" si="36"/>
      </c>
      <c r="CV18" s="248">
        <f t="shared" si="36"/>
      </c>
      <c r="CW18" s="248">
        <f t="shared" si="36"/>
      </c>
      <c r="CX18" s="248">
        <f>CX15/CX$10</f>
      </c>
    </row>
    <row r="19" spans="1:104">
      <c r="A19" s="230" t="s">
        <v>513</v>
      </c>
      <c r="B19" s="230"/>
      <c r="C19" s="230"/>
      <c r="D19" s="230"/>
      <c r="E19" s="230"/>
      <c r="F19" s="230"/>
      <c r="G19" s="230"/>
      <c r="H19" s="230"/>
      <c r="I19" s="230"/>
      <c r="J19" s="230"/>
      <c r="K19" s="230"/>
      <c r="L19" s="230"/>
      <c r="M19" s="230"/>
      <c r="N19" s="230"/>
      <c r="O19" s="230"/>
      <c r="P19" s="230"/>
      <c r="Q19" s="230"/>
      <c r="R19" s="230"/>
      <c r="S19" s="230"/>
      <c r="T19" s="230"/>
      <c r="U19" s="230"/>
      <c r="V19" s="230"/>
      <c r="W19" s="230"/>
      <c r="X19" s="230"/>
      <c r="Y19" s="230"/>
      <c r="Z19" s="230"/>
      <c r="AA19" s="230"/>
      <c r="AB19" s="230"/>
      <c r="AC19" s="230"/>
      <c r="AD19" s="230"/>
      <c r="AE19" s="230"/>
      <c r="AF19" s="230"/>
      <c r="AG19" s="230"/>
      <c r="AH19" s="230"/>
      <c r="AI19" s="230"/>
      <c r="AJ19" s="230"/>
      <c r="AK19" s="230"/>
      <c r="AL19" s="230"/>
      <c r="AM19" s="230"/>
      <c r="AN19" s="230"/>
      <c r="AO19" s="230"/>
      <c r="AP19" s="230"/>
      <c r="AQ19" s="230"/>
      <c r="AR19" s="225"/>
      <c r="AS19" s="225"/>
      <c r="AT19" s="225"/>
      <c r="AU19" s="225"/>
      <c r="AV19" s="225"/>
      <c r="AW19" s="230"/>
      <c r="AX19" s="230"/>
      <c r="AY19" s="230"/>
      <c r="AZ19" s="230"/>
      <c r="BA19" s="230"/>
      <c r="BB19" s="230"/>
      <c r="BC19" s="230"/>
      <c r="BD19" s="243"/>
      <c r="BE19" s="230"/>
      <c r="BF19" s="230"/>
      <c r="BG19" s="230"/>
      <c r="BH19" s="230"/>
      <c r="BI19" s="230"/>
      <c r="BJ19" s="230"/>
      <c r="BK19" s="230"/>
      <c r="BL19" s="230"/>
      <c r="BM19" s="230"/>
      <c r="BN19" s="230"/>
      <c r="BO19" s="230"/>
      <c r="BP19" s="230"/>
      <c r="BQ19" s="230"/>
      <c r="BR19" s="230"/>
      <c r="BS19" s="230"/>
      <c r="BT19" s="230"/>
      <c r="BU19" s="230"/>
      <c r="BV19" s="230"/>
      <c r="BW19" s="230"/>
      <c r="BX19" s="230"/>
      <c r="BY19" s="230"/>
      <c r="BZ19" s="230"/>
      <c r="CA19" s="230"/>
      <c r="CB19" s="230"/>
      <c r="CC19" s="230"/>
      <c r="CD19" s="231"/>
      <c r="CE19" s="230"/>
      <c r="CF19" s="230"/>
      <c r="CG19" s="230"/>
      <c r="CH19" s="230"/>
      <c r="CI19" s="230"/>
      <c r="CJ19" s="230"/>
      <c r="CK19" s="230"/>
      <c r="CL19" s="230"/>
      <c r="CM19" s="230"/>
      <c r="CN19" s="230"/>
      <c r="CO19" s="230"/>
      <c r="CP19" s="230"/>
      <c r="CQ19" s="230"/>
      <c r="CR19" s="230"/>
      <c r="CS19" s="230"/>
      <c r="CT19" s="230"/>
      <c r="CU19" s="243"/>
      <c r="CV19" s="243"/>
      <c r="CW19" s="243"/>
      <c r="CX19" s="243"/>
      <c r="CZ19" s="233"/>
    </row>
    <row r="20" spans="1:104">
      <c r="A20" s="257" t="s">
        <v>514</v>
      </c>
      <c r="B20" s="258"/>
      <c r="C20" s="258"/>
      <c r="D20" s="258"/>
      <c r="E20" s="258"/>
      <c r="F20" s="258"/>
      <c r="G20" s="258"/>
      <c r="H20" s="258"/>
      <c r="I20" s="258"/>
      <c r="J20" s="258"/>
      <c r="K20" s="258"/>
      <c r="L20" s="258"/>
      <c r="M20" s="258"/>
      <c r="N20" s="258"/>
      <c r="O20" s="258"/>
      <c r="P20" s="258"/>
      <c r="Q20" s="258"/>
      <c r="R20" s="258"/>
      <c r="S20" s="258"/>
      <c r="T20" s="258"/>
      <c r="U20" s="258"/>
      <c r="V20" s="258"/>
      <c r="W20" s="258"/>
      <c r="X20" s="258"/>
      <c r="Y20" s="258"/>
      <c r="Z20" s="258"/>
      <c r="AA20" s="258"/>
      <c r="AB20" s="258"/>
      <c r="AC20" s="258"/>
      <c r="AD20" s="258"/>
      <c r="AE20" s="258"/>
      <c r="AF20" s="258"/>
      <c r="AG20" s="258"/>
      <c r="AH20" s="258"/>
      <c r="AI20" s="258"/>
      <c r="AJ20" s="258"/>
      <c r="AK20" s="258"/>
      <c r="AL20" s="258"/>
      <c r="AM20" s="258"/>
      <c r="AN20" s="258"/>
      <c r="AO20" s="258"/>
      <c r="AP20" s="258"/>
      <c r="AQ20" s="258"/>
      <c r="AR20" s="258"/>
      <c r="AS20" s="258"/>
      <c r="AT20" s="258"/>
      <c r="AU20" s="258"/>
      <c r="AV20" s="258"/>
      <c r="AW20" s="258"/>
      <c r="AX20" s="258"/>
      <c r="AY20" s="258"/>
      <c r="AZ20" s="258"/>
      <c r="BA20" s="258"/>
      <c r="BB20" s="258"/>
      <c r="BC20" s="258"/>
      <c r="BD20" s="258"/>
      <c r="BE20" s="258"/>
      <c r="BF20" s="258"/>
      <c r="BG20" s="258"/>
      <c r="BH20" s="258"/>
      <c r="BI20" s="258"/>
      <c r="BJ20" s="258"/>
      <c r="BK20" s="258"/>
      <c r="BL20" s="258"/>
      <c r="BM20" s="258"/>
      <c r="BN20" s="258"/>
      <c r="BO20" s="258"/>
      <c r="BP20" s="258"/>
      <c r="BQ20" s="258"/>
      <c r="BR20" s="258"/>
      <c r="BS20" s="258"/>
      <c r="BT20" s="258"/>
      <c r="BU20" s="258"/>
      <c r="BV20" s="258"/>
      <c r="BW20" s="258"/>
      <c r="BX20" s="258"/>
      <c r="BY20" s="258"/>
      <c r="BZ20" s="258"/>
      <c r="CA20" s="258"/>
      <c r="CB20" s="258"/>
      <c r="CC20" s="258"/>
      <c r="CD20" s="259"/>
      <c r="CE20" s="258"/>
      <c r="CF20" s="258"/>
      <c r="CG20" s="258"/>
      <c r="CH20" s="258"/>
      <c r="CI20" s="258"/>
      <c r="CJ20" s="258"/>
      <c r="CK20" s="258"/>
      <c r="CL20" s="258"/>
      <c r="CM20" s="258"/>
      <c r="CN20" s="258"/>
      <c r="CO20" s="258"/>
      <c r="CP20" s="258"/>
      <c r="CQ20" s="258"/>
      <c r="CR20" s="258"/>
      <c r="CS20" s="258"/>
      <c r="CT20" s="258"/>
      <c r="CU20" s="258"/>
      <c r="CV20" s="258"/>
      <c r="CW20" s="258"/>
      <c r="CX20" s="258"/>
    </row>
    <row r="21" spans="1:104">
      <c r="A21" s="622" t="s">
        <v>515</v>
      </c>
      <c r="W21" s="623"/>
      <c r="X21" s="623"/>
      <c r="Y21" s="623"/>
      <c r="Z21" s="623"/>
      <c r="AA21" s="623"/>
      <c r="AB21" s="623"/>
      <c r="AC21" s="623"/>
      <c r="AD21" s="623"/>
      <c r="AE21" s="623"/>
      <c r="AF21" s="623"/>
      <c r="AG21" s="623"/>
      <c r="AH21" s="623"/>
      <c r="AI21" s="623"/>
      <c r="AJ21" s="623"/>
      <c r="AK21" s="623"/>
      <c r="AL21" s="623"/>
      <c r="BJ21" s="624">
        <v>99</v>
      </c>
      <c r="BK21" s="624">
        <f>8612/40</f>
      </c>
      <c r="BL21" s="624">
        <f t="shared" ref="BL21:BY21" si="37">BK21*(1+BL22)</f>
      </c>
      <c r="BM21" s="624">
        <f t="shared" si="37"/>
      </c>
      <c r="BN21" s="624">
        <f t="shared" si="37"/>
      </c>
      <c r="BO21" s="624">
        <f t="shared" si="37"/>
      </c>
      <c r="BP21" s="624">
        <f t="shared" si="37"/>
      </c>
      <c r="BQ21" s="624">
        <f t="shared" si="37"/>
      </c>
      <c r="BR21" s="624">
        <f t="shared" si="37"/>
      </c>
      <c r="BS21" s="624">
        <f t="shared" si="37"/>
      </c>
      <c r="BT21" s="624">
        <f t="shared" si="37"/>
      </c>
      <c r="BU21" s="624">
        <f t="shared" si="37"/>
      </c>
      <c r="BV21" s="624">
        <f t="shared" si="37"/>
      </c>
      <c r="BW21" s="624">
        <f t="shared" si="37"/>
      </c>
      <c r="BX21" s="624">
        <f t="shared" si="37"/>
      </c>
      <c r="BY21" s="624">
        <f t="shared" si="37"/>
      </c>
      <c r="BZ21" s="624">
        <f>BY21*(1+BZ22)</f>
      </c>
      <c r="CA21" s="624">
        <f>BZ21*(1+CA22)</f>
      </c>
      <c r="CB21" s="624">
        <f>CA21*(1+CB22)</f>
      </c>
      <c r="CC21" s="624">
        <f>CB21*(1+CC22)</f>
      </c>
      <c r="CD21" s="624"/>
      <c r="CT21" s="624">
        <f>SUM(BJ21:BM21)</f>
      </c>
      <c r="CU21" s="624">
        <f>SUM(BN21:BQ21)</f>
      </c>
      <c r="CV21" s="624"/>
      <c r="CW21" s="624"/>
      <c r="CX21" s="624"/>
    </row>
    <row r="22" spans="1:104">
      <c r="A22" s="625" t="s">
        <v>511</v>
      </c>
      <c r="W22" s="626"/>
      <c r="X22" s="626"/>
      <c r="Y22" s="626"/>
      <c r="Z22" s="626"/>
      <c r="AA22" s="626"/>
      <c r="AB22" s="626"/>
      <c r="AC22" s="626"/>
      <c r="AD22" s="626"/>
      <c r="AE22" s="626"/>
      <c r="AF22" s="626"/>
      <c r="AG22" s="626"/>
      <c r="AH22" s="626"/>
      <c r="AI22" s="626"/>
      <c r="AJ22" s="626"/>
      <c r="AK22" s="626"/>
      <c r="AL22" s="626"/>
      <c r="BJ22" s="259"/>
      <c r="BK22" s="627">
        <f>BK21/BJ21-1</f>
      </c>
      <c r="BL22" s="627">
        <v>-0.02</v>
      </c>
      <c r="BM22" s="627">
        <v>-0.1</v>
      </c>
      <c r="BN22" s="627">
        <v>-0.1</v>
      </c>
      <c r="BO22" s="627">
        <v>-0.9</v>
      </c>
      <c r="BP22" s="627">
        <v>-1</v>
      </c>
      <c r="BQ22" s="627">
        <v>0</v>
      </c>
      <c r="BR22" s="627">
        <v>0</v>
      </c>
      <c r="BS22" s="627">
        <v>0</v>
      </c>
      <c r="BT22" s="627">
        <v>0</v>
      </c>
      <c r="BU22" s="627">
        <v>0</v>
      </c>
      <c r="BV22" s="627">
        <v>0</v>
      </c>
      <c r="BW22" s="627">
        <v>0</v>
      </c>
      <c r="BX22" s="627">
        <v>0</v>
      </c>
      <c r="BY22" s="627">
        <v>0</v>
      </c>
      <c r="BZ22" s="627">
        <v>0</v>
      </c>
      <c r="CA22" s="627">
        <v>0</v>
      </c>
      <c r="CB22" s="627">
        <v>0</v>
      </c>
      <c r="CC22" s="627">
        <v>0</v>
      </c>
      <c r="CD22" s="259"/>
      <c r="CT22" s="628" t="s">
        <v>197</v>
      </c>
      <c r="CU22" s="628" t="s">
        <v>197</v>
      </c>
      <c r="CV22" s="259"/>
      <c r="CW22" s="259"/>
      <c r="CX22" s="259"/>
    </row>
    <row r="23" spans="1:104">
      <c r="A23" s="625" t="s">
        <v>512</v>
      </c>
      <c r="W23" s="626"/>
      <c r="X23" s="626"/>
      <c r="Y23" s="626"/>
      <c r="Z23" s="626"/>
      <c r="AA23" s="626"/>
      <c r="AB23" s="626"/>
      <c r="AC23" s="626"/>
      <c r="AD23" s="626"/>
      <c r="AE23" s="626"/>
      <c r="AF23" s="626"/>
      <c r="AG23" s="626"/>
      <c r="AH23" s="626"/>
      <c r="AI23" s="626"/>
      <c r="AJ23" s="626"/>
      <c r="AK23" s="626"/>
      <c r="AL23" s="626"/>
      <c r="BJ23" s="259"/>
      <c r="BK23" s="259"/>
      <c r="BL23" s="259"/>
      <c r="BM23" s="259"/>
      <c r="BN23" s="259"/>
      <c r="BO23" s="259"/>
      <c r="BP23" s="259"/>
      <c r="BQ23" s="259"/>
      <c r="BR23" s="259"/>
      <c r="BS23" s="259"/>
      <c r="BT23" s="259"/>
      <c r="BU23" s="259"/>
      <c r="BV23" s="259"/>
      <c r="BW23" s="259"/>
      <c r="BX23" s="259"/>
      <c r="BY23" s="259"/>
      <c r="BZ23" s="259"/>
      <c r="CA23" s="259"/>
      <c r="CB23" s="259"/>
      <c r="CC23" s="259"/>
      <c r="CD23" s="259"/>
      <c r="CT23" s="259"/>
      <c r="CU23" s="629">
        <f>CU21/CT21-1</f>
      </c>
      <c r="CV23" s="629"/>
      <c r="CW23" s="629"/>
      <c r="CX23" s="629"/>
    </row>
    <row r="24" spans="1:104">
      <c r="A24" s="625" t="s">
        <v>516</v>
      </c>
      <c r="W24" s="626"/>
      <c r="X24" s="626"/>
      <c r="Y24" s="626"/>
      <c r="Z24" s="626"/>
      <c r="AA24" s="626"/>
      <c r="AB24" s="626"/>
      <c r="AC24" s="626"/>
      <c r="AD24" s="626"/>
      <c r="AE24" s="626"/>
      <c r="AF24" s="626"/>
      <c r="AG24" s="626"/>
      <c r="AH24" s="626"/>
      <c r="AI24" s="626"/>
      <c r="AJ24" s="626"/>
      <c r="AK24" s="626"/>
      <c r="AL24" s="626"/>
      <c r="BJ24" s="627">
        <f t="shared" ref="BJ24:CC24" si="38">BJ21/BJ101</f>
      </c>
      <c r="BK24" s="627">
        <f t="shared" si="38"/>
      </c>
      <c r="BL24" s="627">
        <f t="shared" si="38"/>
      </c>
      <c r="BM24" s="627">
        <f t="shared" si="38"/>
      </c>
      <c r="BN24" s="627">
        <f t="shared" si="38"/>
      </c>
      <c r="BO24" s="627">
        <f t="shared" si="38"/>
      </c>
      <c r="BP24" s="627">
        <f t="shared" si="38"/>
      </c>
      <c r="BQ24" s="627">
        <f t="shared" si="38"/>
      </c>
      <c r="BR24" s="627">
        <f t="shared" si="38"/>
      </c>
      <c r="BS24" s="627">
        <f t="shared" si="38"/>
      </c>
      <c r="BT24" s="627">
        <f t="shared" si="38"/>
      </c>
      <c r="BU24" s="627">
        <f t="shared" si="38"/>
      </c>
      <c r="BV24" s="627">
        <f t="shared" si="38"/>
      </c>
      <c r="BW24" s="627">
        <f t="shared" si="38"/>
      </c>
      <c r="BX24" s="627">
        <f t="shared" si="38"/>
      </c>
      <c r="BY24" s="627">
        <f t="shared" si="38"/>
      </c>
      <c r="BZ24" s="627">
        <f t="shared" si="38"/>
      </c>
      <c r="CA24" s="627">
        <f t="shared" si="38"/>
      </c>
      <c r="CB24" s="627">
        <f t="shared" si="38"/>
      </c>
      <c r="CC24" s="627">
        <f t="shared" si="38"/>
      </c>
      <c r="CD24" s="259"/>
      <c r="CT24" s="627">
        <f>CT21/CT101</f>
      </c>
      <c r="CU24" s="627">
        <f>CU21/CU101</f>
      </c>
      <c r="CV24" s="627"/>
      <c r="CW24" s="627"/>
      <c r="CX24" s="627"/>
    </row>
    <row r="25" spans="1:104">
      <c r="A25" s="622" t="s">
        <v>517</v>
      </c>
      <c r="W25" s="623"/>
      <c r="X25" s="623"/>
      <c r="Y25" s="623"/>
      <c r="Z25" s="623"/>
      <c r="AA25" s="623"/>
      <c r="AB25" s="623"/>
      <c r="AC25" s="623"/>
      <c r="AD25" s="623"/>
      <c r="AE25" s="623"/>
      <c r="AF25" s="623"/>
      <c r="AG25" s="623"/>
      <c r="AH25" s="623"/>
      <c r="AI25" s="623"/>
      <c r="AJ25" s="623"/>
      <c r="AK25" s="623"/>
      <c r="AL25" s="623"/>
      <c r="BJ25" s="624">
        <f>BK25</f>
      </c>
      <c r="BK25" s="630">
        <v>15000</v>
      </c>
      <c r="BL25" s="630">
        <f t="shared" ref="BL25:BY25" si="39">BK25</f>
      </c>
      <c r="BM25" s="630">
        <f t="shared" si="39"/>
      </c>
      <c r="BN25" s="630">
        <f t="shared" si="39"/>
      </c>
      <c r="BO25" s="630">
        <f t="shared" si="39"/>
      </c>
      <c r="BP25" s="630">
        <f t="shared" si="39"/>
      </c>
      <c r="BQ25" s="630">
        <f t="shared" si="39"/>
      </c>
      <c r="BR25" s="630">
        <f t="shared" si="39"/>
      </c>
      <c r="BS25" s="630">
        <f t="shared" si="39"/>
      </c>
      <c r="BT25" s="630">
        <f t="shared" si="39"/>
      </c>
      <c r="BU25" s="630">
        <f t="shared" si="39"/>
      </c>
      <c r="BV25" s="630">
        <f t="shared" si="39"/>
      </c>
      <c r="BW25" s="630">
        <f t="shared" si="39"/>
      </c>
      <c r="BX25" s="630">
        <f t="shared" si="39"/>
      </c>
      <c r="BY25" s="630">
        <f t="shared" si="39"/>
      </c>
      <c r="BZ25" s="630">
        <f>BY25</f>
      </c>
      <c r="CA25" s="630">
        <f>BZ25</f>
      </c>
      <c r="CB25" s="630">
        <f>CA25</f>
      </c>
      <c r="CC25" s="630">
        <f>CB25</f>
      </c>
      <c r="CD25" s="624"/>
      <c r="CT25" s="630">
        <f>CT26/CT21*1000</f>
      </c>
      <c r="CU25" s="630">
        <f>CU26/CU21*1000</f>
      </c>
      <c r="CV25" s="624"/>
      <c r="CW25" s="624"/>
      <c r="CX25" s="624"/>
    </row>
    <row r="26" spans="1:104">
      <c r="A26" s="631" t="s">
        <v>518</v>
      </c>
      <c r="W26" s="632"/>
      <c r="X26" s="632"/>
      <c r="Y26" s="632"/>
      <c r="Z26" s="632"/>
      <c r="AA26" s="632"/>
      <c r="AB26" s="632"/>
      <c r="AC26" s="632"/>
      <c r="AD26" s="632"/>
      <c r="AE26" s="632"/>
      <c r="AF26" s="632"/>
      <c r="AG26" s="632"/>
      <c r="AH26" s="632"/>
      <c r="AI26" s="632"/>
      <c r="AJ26" s="632"/>
      <c r="AK26" s="632"/>
      <c r="AL26" s="632"/>
      <c r="BJ26" s="633">
        <f t="shared" ref="BJ26:BY26" si="40">BJ25*BJ21/1000</f>
      </c>
      <c r="BK26" s="633">
        <f t="shared" si="40"/>
      </c>
      <c r="BL26" s="633">
        <f t="shared" si="40"/>
      </c>
      <c r="BM26" s="633">
        <f t="shared" si="40"/>
      </c>
      <c r="BN26" s="633">
        <f t="shared" si="40"/>
      </c>
      <c r="BO26" s="633">
        <f t="shared" si="40"/>
      </c>
      <c r="BP26" s="633">
        <f t="shared" si="40"/>
      </c>
      <c r="BQ26" s="633">
        <f t="shared" si="40"/>
      </c>
      <c r="BR26" s="633">
        <f t="shared" si="40"/>
      </c>
      <c r="BS26" s="633">
        <f t="shared" si="40"/>
      </c>
      <c r="BT26" s="633">
        <f t="shared" si="40"/>
      </c>
      <c r="BU26" s="633">
        <f t="shared" si="40"/>
      </c>
      <c r="BV26" s="633">
        <f t="shared" si="40"/>
      </c>
      <c r="BW26" s="633">
        <f t="shared" si="40"/>
      </c>
      <c r="BX26" s="633">
        <f t="shared" si="40"/>
      </c>
      <c r="BY26" s="633">
        <f t="shared" si="40"/>
      </c>
      <c r="BZ26" s="633">
        <f>BZ25*BZ21/1000</f>
      </c>
      <c r="CA26" s="633">
        <f>CA25*CA21/1000</f>
      </c>
      <c r="CB26" s="633">
        <f>CB25*CB21/1000</f>
      </c>
      <c r="CC26" s="633">
        <f>CC25*CC21/1000</f>
      </c>
      <c r="CD26" s="633"/>
      <c r="CT26" s="633">
        <f>SUM(BJ26:BM26)</f>
      </c>
      <c r="CU26" s="633">
        <f>SUM(BN26:BQ26)</f>
      </c>
      <c r="CV26" s="633"/>
      <c r="CW26" s="633"/>
      <c r="CX26" s="633"/>
    </row>
    <row r="27" spans="1:104">
      <c r="A27" s="625" t="s">
        <v>511</v>
      </c>
      <c r="W27" s="632"/>
      <c r="X27" s="632"/>
      <c r="Y27" s="632"/>
      <c r="Z27" s="632"/>
      <c r="AA27" s="632"/>
      <c r="AB27" s="632"/>
      <c r="AC27" s="632"/>
      <c r="AD27" s="632"/>
      <c r="AE27" s="632"/>
      <c r="AF27" s="632"/>
      <c r="AG27" s="632"/>
      <c r="AH27" s="632"/>
      <c r="AI27" s="632"/>
      <c r="AJ27" s="632"/>
      <c r="AK27" s="632"/>
      <c r="AL27" s="632"/>
      <c r="BJ27" s="633"/>
      <c r="BK27" s="634">
        <f>BK26/BJ26-1</f>
      </c>
      <c r="BL27" s="634">
        <f>BL26/BK26-1</f>
      </c>
      <c r="BM27" s="634">
        <f>BM26/BL26-1</f>
      </c>
      <c r="BN27" s="634">
        <f>BN26/BM26-1</f>
      </c>
      <c r="BO27" s="634">
        <f>BO26/BN26-1</f>
      </c>
      <c r="BP27" s="634"/>
      <c r="BQ27" s="634"/>
      <c r="BR27" s="634"/>
      <c r="BS27" s="634"/>
      <c r="BT27" s="634"/>
      <c r="BU27" s="634"/>
      <c r="BV27" s="634"/>
      <c r="BW27" s="634"/>
      <c r="BX27" s="634"/>
      <c r="BY27" s="634"/>
      <c r="BZ27" s="634"/>
      <c r="CA27" s="634"/>
      <c r="CB27" s="634"/>
      <c r="CC27" s="634"/>
      <c r="CD27" s="633"/>
      <c r="CT27" s="633"/>
      <c r="CU27" s="633"/>
      <c r="CV27" s="633"/>
      <c r="CW27" s="633"/>
      <c r="CX27" s="633"/>
    </row>
    <row r="28" spans="1:104">
      <c r="A28" s="625" t="s">
        <v>512</v>
      </c>
      <c r="W28" s="632"/>
      <c r="X28" s="632"/>
      <c r="Y28" s="632"/>
      <c r="Z28" s="632"/>
      <c r="AA28" s="632"/>
      <c r="AB28" s="632"/>
      <c r="AC28" s="632"/>
      <c r="AD28" s="632"/>
      <c r="AE28" s="632"/>
      <c r="AF28" s="632"/>
      <c r="AG28" s="632"/>
      <c r="AH28" s="632"/>
      <c r="AI28" s="632"/>
      <c r="AJ28" s="632"/>
      <c r="AK28" s="632"/>
      <c r="AL28" s="632"/>
      <c r="BJ28" s="633"/>
      <c r="BK28" s="633"/>
      <c r="BL28" s="633"/>
      <c r="BM28" s="633"/>
      <c r="BN28" s="634">
        <f>BN26/BJ26-1</f>
      </c>
      <c r="BO28" s="634">
        <f>BO26/BK26-1</f>
      </c>
      <c r="BP28" s="634"/>
      <c r="BQ28" s="634"/>
      <c r="BR28" s="634"/>
      <c r="BS28" s="634"/>
      <c r="BT28" s="634"/>
      <c r="BU28" s="634"/>
      <c r="BV28" s="634"/>
      <c r="BW28" s="634"/>
      <c r="BX28" s="634"/>
      <c r="BY28" s="634"/>
      <c r="BZ28" s="634"/>
      <c r="CA28" s="634"/>
      <c r="CB28" s="634"/>
      <c r="CC28" s="634"/>
      <c r="CD28" s="633"/>
      <c r="CT28" s="633"/>
      <c r="CU28" s="634">
        <f>+CU26/CT26-1</f>
      </c>
      <c r="CV28" s="633"/>
      <c r="CW28" s="633"/>
      <c r="CX28" s="633"/>
    </row>
    <row r="29" spans="1:104">
      <c r="A29" s="625" t="s">
        <v>519</v>
      </c>
      <c r="W29" s="632"/>
      <c r="X29" s="632"/>
      <c r="Y29" s="632"/>
      <c r="Z29" s="632"/>
      <c r="AA29" s="632"/>
      <c r="AB29" s="632"/>
      <c r="AC29" s="632"/>
      <c r="AD29" s="632"/>
      <c r="AE29" s="632"/>
      <c r="AF29" s="632"/>
      <c r="AG29" s="632"/>
      <c r="AH29" s="632"/>
      <c r="AI29" s="632"/>
      <c r="AJ29" s="632"/>
      <c r="AK29" s="632"/>
      <c r="AL29" s="632"/>
      <c r="BJ29" s="634">
        <f t="shared" ref="BJ29:CC29" si="41">BJ26/BJ$109</f>
      </c>
      <c r="BK29" s="634">
        <f t="shared" si="41"/>
      </c>
      <c r="BL29" s="634">
        <f t="shared" si="41"/>
      </c>
      <c r="BM29" s="634">
        <f t="shared" si="41"/>
      </c>
      <c r="BN29" s="634">
        <f t="shared" si="41"/>
      </c>
      <c r="BO29" s="634">
        <f t="shared" si="41"/>
      </c>
      <c r="BP29" s="634">
        <f t="shared" si="41"/>
      </c>
      <c r="BQ29" s="634">
        <f t="shared" si="41"/>
      </c>
      <c r="BR29" s="634">
        <f t="shared" si="41"/>
      </c>
      <c r="BS29" s="634">
        <f t="shared" si="41"/>
      </c>
      <c r="BT29" s="634">
        <f t="shared" si="41"/>
      </c>
      <c r="BU29" s="634">
        <f t="shared" si="41"/>
      </c>
      <c r="BV29" s="634">
        <f t="shared" si="41"/>
      </c>
      <c r="BW29" s="634">
        <f t="shared" si="41"/>
      </c>
      <c r="BX29" s="634">
        <f t="shared" si="41"/>
      </c>
      <c r="BY29" s="634">
        <f t="shared" si="41"/>
      </c>
      <c r="BZ29" s="634">
        <f t="shared" si="41"/>
      </c>
      <c r="CA29" s="634">
        <f t="shared" si="41"/>
      </c>
      <c r="CB29" s="634">
        <f t="shared" si="41"/>
      </c>
      <c r="CC29" s="634">
        <f t="shared" si="41"/>
      </c>
      <c r="CD29" s="633"/>
      <c r="CT29" s="634">
        <f>+CT26/CT$15</f>
      </c>
      <c r="CU29" s="634">
        <f>+CU26/CU$15</f>
      </c>
      <c r="CV29" s="633"/>
      <c r="CW29" s="633"/>
      <c r="CX29" s="633"/>
    </row>
    <row r="30" spans="1:104">
      <c r="A30" s="635"/>
      <c r="W30" s="626"/>
      <c r="X30" s="626"/>
      <c r="Y30" s="626"/>
      <c r="Z30" s="626"/>
      <c r="AA30" s="626"/>
      <c r="AB30" s="626"/>
      <c r="AC30" s="626"/>
      <c r="AD30" s="626"/>
      <c r="AE30" s="626"/>
      <c r="AF30" s="626"/>
      <c r="AG30" s="626"/>
      <c r="AH30" s="626"/>
      <c r="AI30" s="626"/>
      <c r="AJ30" s="626"/>
      <c r="AK30" s="626"/>
      <c r="AL30" s="626"/>
      <c r="BJ30" s="259"/>
      <c r="BK30" s="259"/>
      <c r="BL30" s="259"/>
      <c r="BM30" s="259"/>
      <c r="BN30" s="259"/>
      <c r="BO30" s="259"/>
      <c r="BP30" s="624"/>
      <c r="BQ30" s="624"/>
      <c r="BR30" s="259"/>
      <c r="BS30" s="259"/>
      <c r="BT30" s="259"/>
      <c r="BU30" s="259"/>
      <c r="BV30" s="259"/>
      <c r="BW30" s="259"/>
      <c r="BX30" s="259"/>
      <c r="BY30" s="259"/>
      <c r="BZ30" s="259"/>
      <c r="CA30" s="259"/>
      <c r="CB30" s="259"/>
      <c r="CC30" s="259"/>
      <c r="CD30" s="259"/>
      <c r="CT30" s="259"/>
      <c r="CU30" s="259"/>
      <c r="CV30" s="259"/>
      <c r="CW30" s="259"/>
      <c r="CX30" s="259"/>
    </row>
    <row r="31" spans="1:104">
      <c r="A31" s="636" t="s">
        <v>520</v>
      </c>
      <c r="B31" s="259"/>
      <c r="C31" s="259"/>
      <c r="D31" s="259"/>
      <c r="E31" s="259"/>
      <c r="F31" s="259"/>
      <c r="G31" s="259"/>
      <c r="H31" s="259"/>
      <c r="I31" s="259"/>
      <c r="J31" s="259"/>
      <c r="K31" s="259"/>
      <c r="L31" s="259"/>
      <c r="M31" s="259"/>
      <c r="N31" s="259"/>
      <c r="O31" s="259"/>
      <c r="P31" s="259"/>
      <c r="Q31" s="259"/>
      <c r="R31" s="259"/>
      <c r="S31" s="259"/>
      <c r="T31" s="259"/>
      <c r="U31" s="259"/>
      <c r="V31" s="259"/>
      <c r="W31" s="259"/>
      <c r="X31" s="259"/>
      <c r="Y31" s="259"/>
      <c r="Z31" s="259"/>
      <c r="AA31" s="259"/>
      <c r="AB31" s="259"/>
      <c r="AC31" s="259"/>
      <c r="AD31" s="259"/>
      <c r="AE31" s="259"/>
      <c r="AF31" s="259"/>
      <c r="AG31" s="259"/>
      <c r="AH31" s="259"/>
      <c r="AI31" s="259"/>
      <c r="AJ31" s="259"/>
      <c r="AK31" s="259"/>
      <c r="AL31" s="259"/>
      <c r="AM31" s="259"/>
      <c r="AN31" s="259"/>
      <c r="AO31" s="259"/>
      <c r="AP31" s="259"/>
      <c r="AQ31" s="259"/>
      <c r="AR31" s="259"/>
      <c r="AS31" s="259"/>
      <c r="AT31" s="259"/>
      <c r="AU31" s="259"/>
      <c r="AV31" s="259"/>
      <c r="AW31" s="259"/>
      <c r="AX31" s="259"/>
      <c r="AY31" s="259"/>
      <c r="AZ31" s="259"/>
      <c r="BA31" s="259"/>
      <c r="BB31" s="259"/>
      <c r="BC31" s="259"/>
      <c r="BD31" s="259"/>
      <c r="BE31" s="259"/>
      <c r="BF31" s="259"/>
      <c r="BG31" s="259"/>
      <c r="BH31" s="259"/>
      <c r="BI31" s="259"/>
      <c r="BJ31" s="259"/>
      <c r="BK31" s="259"/>
      <c r="BL31" s="259"/>
      <c r="BM31" s="259"/>
      <c r="BN31" s="259"/>
      <c r="BO31" s="259"/>
      <c r="BP31" s="259"/>
      <c r="BQ31" s="259"/>
      <c r="BR31" s="259"/>
      <c r="BS31" s="259"/>
      <c r="BT31" s="259"/>
      <c r="BU31" s="259"/>
      <c r="BV31" s="259"/>
      <c r="BW31" s="259"/>
      <c r="BX31" s="259"/>
      <c r="BY31" s="259"/>
      <c r="BZ31" s="259"/>
      <c r="CA31" s="259"/>
      <c r="CB31" s="259"/>
      <c r="CC31" s="259"/>
      <c r="CD31" s="259"/>
      <c r="CE31" s="259"/>
      <c r="CF31" s="259"/>
      <c r="CG31" s="259"/>
      <c r="CH31" s="259"/>
      <c r="CI31" s="259"/>
      <c r="CJ31" s="259"/>
      <c r="CK31" s="259"/>
      <c r="CL31" s="259"/>
      <c r="CM31" s="259"/>
      <c r="CN31" s="259"/>
      <c r="CO31" s="259"/>
      <c r="CP31" s="259"/>
      <c r="CQ31" s="259"/>
      <c r="CR31" s="259"/>
      <c r="CS31" s="259"/>
      <c r="CT31" s="259"/>
      <c r="CU31" s="259"/>
      <c r="CV31" s="259"/>
      <c r="CW31" s="259"/>
      <c r="CX31" s="259"/>
    </row>
    <row r="32" spans="1:104">
      <c r="A32" s="622" t="s">
        <v>515</v>
      </c>
      <c r="W32" s="623"/>
      <c r="X32" s="623"/>
      <c r="Y32" s="623"/>
      <c r="Z32" s="623"/>
      <c r="AA32" s="623"/>
      <c r="AB32" s="623"/>
      <c r="AC32" s="623"/>
      <c r="AD32" s="623"/>
      <c r="AE32" s="623"/>
      <c r="AF32" s="623"/>
      <c r="AG32" s="623"/>
      <c r="AH32" s="623"/>
      <c r="AI32" s="623"/>
      <c r="AJ32" s="623"/>
      <c r="AK32" s="623"/>
      <c r="AL32" s="623"/>
      <c r="BJ32" s="624">
        <v>75</v>
      </c>
      <c r="BK32" s="624">
        <f>8612/40</f>
      </c>
      <c r="BL32" s="624">
        <f t="shared" ref="BL32:BY32" si="42">BK32*(1+BL33)</f>
      </c>
      <c r="BM32" s="624">
        <f t="shared" si="42"/>
      </c>
      <c r="BN32" s="624">
        <f t="shared" si="42"/>
      </c>
      <c r="BO32" s="624">
        <f t="shared" si="42"/>
      </c>
      <c r="BP32" s="624">
        <f t="shared" si="42"/>
      </c>
      <c r="BQ32" s="624">
        <f t="shared" si="42"/>
      </c>
      <c r="BR32" s="624">
        <f t="shared" si="42"/>
      </c>
      <c r="BS32" s="624">
        <f t="shared" si="42"/>
      </c>
      <c r="BT32" s="624">
        <f t="shared" si="42"/>
      </c>
      <c r="BU32" s="624">
        <f t="shared" si="42"/>
      </c>
      <c r="BV32" s="624">
        <f t="shared" si="42"/>
      </c>
      <c r="BW32" s="624">
        <f t="shared" si="42"/>
      </c>
      <c r="BX32" s="624">
        <f t="shared" si="42"/>
      </c>
      <c r="BY32" s="624">
        <f t="shared" si="42"/>
      </c>
      <c r="BZ32" s="624">
        <f>BY32*(1+BZ33)</f>
      </c>
      <c r="CA32" s="624">
        <f>BZ32*(1+CA33)</f>
      </c>
      <c r="CB32" s="624">
        <f>CA32*(1+CB33)</f>
      </c>
      <c r="CC32" s="624">
        <f>CB32*(1+CC33)</f>
      </c>
      <c r="CD32" s="624"/>
      <c r="CT32" s="624">
        <f>SUM(BJ32:BM32)</f>
      </c>
      <c r="CU32" s="624">
        <f>SUM(BN32:BQ32)</f>
      </c>
      <c r="CV32" s="624">
        <f>SUM(BR32:BU32)</f>
      </c>
      <c r="CW32" s="624">
        <f>SUM(BV32:BY32)</f>
      </c>
      <c r="CX32" s="624">
        <f>SUM(BZ32:CC32)</f>
      </c>
      <c r="CZ32"/>
    </row>
    <row r="33" spans="1:104">
      <c r="A33" s="625" t="s">
        <v>511</v>
      </c>
      <c r="W33" s="626"/>
      <c r="X33" s="626"/>
      <c r="Y33" s="626"/>
      <c r="Z33" s="626"/>
      <c r="AA33" s="626"/>
      <c r="AB33" s="626"/>
      <c r="AC33" s="626"/>
      <c r="AD33" s="626"/>
      <c r="AE33" s="626"/>
      <c r="AF33" s="626"/>
      <c r="AG33" s="626"/>
      <c r="AH33" s="626"/>
      <c r="AI33" s="626"/>
      <c r="AJ33" s="626"/>
      <c r="AK33" s="626"/>
      <c r="AL33" s="626"/>
      <c r="BJ33" s="259"/>
      <c r="BK33" s="259"/>
      <c r="BL33" s="627">
        <v>0.627</v>
      </c>
      <c r="BM33" s="627">
        <v>0.4</v>
      </c>
      <c r="BN33" s="627">
        <v>0.372</v>
      </c>
      <c r="BO33" s="627">
        <v>-0.05</v>
      </c>
      <c r="BP33" s="627">
        <v>-5.5E-2</v>
      </c>
      <c r="BQ33" s="627">
        <v>-0.4</v>
      </c>
      <c r="BR33" s="627">
        <v>-0.75</v>
      </c>
      <c r="BS33" s="627">
        <v>-0.75</v>
      </c>
      <c r="BT33" s="627">
        <v>-1</v>
      </c>
      <c r="BU33" s="627">
        <v>0</v>
      </c>
      <c r="BV33" s="627">
        <v>0</v>
      </c>
      <c r="BW33" s="627">
        <v>0</v>
      </c>
      <c r="BX33" s="627">
        <v>0</v>
      </c>
      <c r="BY33" s="627">
        <v>0</v>
      </c>
      <c r="BZ33" s="627">
        <v>0</v>
      </c>
      <c r="CA33" s="627">
        <v>0</v>
      </c>
      <c r="CB33" s="627">
        <v>0</v>
      </c>
      <c r="CC33" s="627">
        <v>0</v>
      </c>
      <c r="CD33" s="259"/>
      <c r="CT33" s="259"/>
      <c r="CU33" s="259"/>
      <c r="CV33" s="259"/>
      <c r="CW33" s="259"/>
      <c r="CX33" s="259"/>
      <c r="CZ33"/>
    </row>
    <row r="34" spans="1:104">
      <c r="A34" s="625" t="s">
        <v>512</v>
      </c>
      <c r="W34" s="626"/>
      <c r="X34" s="626"/>
      <c r="Y34" s="626"/>
      <c r="Z34" s="626"/>
      <c r="AA34" s="626"/>
      <c r="AB34" s="626"/>
      <c r="AC34" s="626"/>
      <c r="AD34" s="626"/>
      <c r="AE34" s="626"/>
      <c r="AF34" s="626"/>
      <c r="AG34" s="626"/>
      <c r="AH34" s="626"/>
      <c r="AI34" s="626"/>
      <c r="AJ34" s="626"/>
      <c r="AK34" s="626"/>
      <c r="AL34" s="626"/>
      <c r="BJ34" s="259"/>
      <c r="BK34" s="259"/>
      <c r="BL34" s="259"/>
      <c r="BM34" s="259"/>
      <c r="BN34" s="259"/>
      <c r="BO34" s="259"/>
      <c r="BP34" s="259"/>
      <c r="BQ34" s="259"/>
      <c r="BR34" s="259"/>
      <c r="BS34" s="259"/>
      <c r="BT34" s="259"/>
      <c r="BU34" s="259"/>
      <c r="BV34" s="259"/>
      <c r="BW34" s="259"/>
      <c r="BX34" s="259"/>
      <c r="BY34" s="259"/>
      <c r="BZ34" s="259"/>
      <c r="CA34" s="259"/>
      <c r="CB34" s="259"/>
      <c r="CC34" s="259"/>
      <c r="CD34" s="259"/>
      <c r="CT34" s="259"/>
      <c r="CU34" s="260">
        <f>CU32/CT32-1</f>
      </c>
      <c r="CV34" s="260">
        <f>CV32/CU32-1</f>
      </c>
      <c r="CW34" s="260">
        <f>CW32/CV32-1</f>
      </c>
      <c r="CX34" s="260" t="e">
        <f>CX32/CW32-1</f>
      </c>
      <c r="CZ34"/>
    </row>
    <row r="35" spans="1:104">
      <c r="A35" s="625" t="s">
        <v>516</v>
      </c>
      <c r="W35" s="626"/>
      <c r="X35" s="626"/>
      <c r="Y35" s="626"/>
      <c r="Z35" s="626"/>
      <c r="AA35" s="626"/>
      <c r="AB35" s="626"/>
      <c r="AC35" s="626"/>
      <c r="AD35" s="626"/>
      <c r="AE35" s="626"/>
      <c r="AF35" s="626"/>
      <c r="AG35" s="626"/>
      <c r="AH35" s="626"/>
      <c r="AI35" s="626"/>
      <c r="AJ35" s="626"/>
      <c r="AK35" s="626"/>
      <c r="AL35" s="626"/>
      <c r="BJ35" s="627">
        <f t="shared" ref="BJ35:CC35" si="43">BJ32/BJ101</f>
      </c>
      <c r="BK35" s="627">
        <f t="shared" si="43"/>
      </c>
      <c r="BL35" s="627">
        <f t="shared" si="43"/>
      </c>
      <c r="BM35" s="627">
        <f t="shared" si="43"/>
      </c>
      <c r="BN35" s="627">
        <f t="shared" si="43"/>
      </c>
      <c r="BO35" s="627">
        <f t="shared" si="43"/>
      </c>
      <c r="BP35" s="627">
        <f t="shared" si="43"/>
      </c>
      <c r="BQ35" s="627">
        <f t="shared" si="43"/>
      </c>
      <c r="BR35" s="627">
        <f t="shared" si="43"/>
      </c>
      <c r="BS35" s="627">
        <f t="shared" si="43"/>
      </c>
      <c r="BT35" s="627">
        <f t="shared" si="43"/>
      </c>
      <c r="BU35" s="627">
        <f t="shared" si="43"/>
      </c>
      <c r="BV35" s="627">
        <f t="shared" si="43"/>
      </c>
      <c r="BW35" s="627">
        <f t="shared" si="43"/>
      </c>
      <c r="BX35" s="627">
        <f t="shared" si="43"/>
      </c>
      <c r="BY35" s="627">
        <f t="shared" si="43"/>
      </c>
      <c r="BZ35" s="627">
        <f t="shared" si="43"/>
      </c>
      <c r="CA35" s="627">
        <f t="shared" si="43"/>
      </c>
      <c r="CB35" s="627">
        <f t="shared" si="43"/>
      </c>
      <c r="CC35" s="627">
        <f t="shared" si="43"/>
      </c>
      <c r="CD35" s="259"/>
      <c r="CT35" s="627">
        <f>CT32/CT101</f>
      </c>
      <c r="CU35" s="627">
        <f>CU32/CU101</f>
      </c>
      <c r="CV35" s="627">
        <f>CV32/CV101</f>
      </c>
      <c r="CW35" s="627">
        <f>CW32/CW101</f>
      </c>
      <c r="CX35" s="627">
        <f>CX32/CX101</f>
      </c>
      <c r="CZ35"/>
    </row>
    <row r="36" spans="1:104">
      <c r="A36" s="622" t="s">
        <v>521</v>
      </c>
      <c r="W36" s="623"/>
      <c r="X36" s="623"/>
      <c r="Y36" s="623"/>
      <c r="Z36" s="623"/>
      <c r="AA36" s="623"/>
      <c r="AB36" s="623"/>
      <c r="AC36" s="623"/>
      <c r="AD36" s="623"/>
      <c r="AE36" s="623"/>
      <c r="AF36" s="623"/>
      <c r="AG36" s="623"/>
      <c r="AH36" s="623"/>
      <c r="AI36" s="623"/>
      <c r="AJ36" s="623"/>
      <c r="AK36" s="623"/>
      <c r="AL36" s="623"/>
      <c r="BJ36" s="624">
        <f>BK36</f>
      </c>
      <c r="BK36" s="630">
        <v>25000</v>
      </c>
      <c r="BL36" s="630">
        <f t="shared" ref="BL36:BY36" si="44">BK36</f>
      </c>
      <c r="BM36" s="630">
        <f t="shared" si="44"/>
      </c>
      <c r="BN36" s="630">
        <f t="shared" si="44"/>
      </c>
      <c r="BO36" s="630">
        <f t="shared" si="44"/>
      </c>
      <c r="BP36" s="630">
        <f t="shared" si="44"/>
      </c>
      <c r="BQ36" s="630">
        <f t="shared" si="44"/>
      </c>
      <c r="BR36" s="630">
        <f t="shared" si="44"/>
      </c>
      <c r="BS36" s="630">
        <f t="shared" si="44"/>
      </c>
      <c r="BT36" s="630">
        <f t="shared" si="44"/>
      </c>
      <c r="BU36" s="630">
        <f t="shared" si="44"/>
      </c>
      <c r="BV36" s="630">
        <f t="shared" si="44"/>
      </c>
      <c r="BW36" s="630">
        <f t="shared" si="44"/>
      </c>
      <c r="BX36" s="630">
        <f t="shared" si="44"/>
      </c>
      <c r="BY36" s="630">
        <f t="shared" si="44"/>
      </c>
      <c r="BZ36" s="630">
        <f>BY36</f>
      </c>
      <c r="CA36" s="630">
        <f>BZ36</f>
      </c>
      <c r="CB36" s="630">
        <f>CA36</f>
      </c>
      <c r="CC36" s="630">
        <f>CB36</f>
      </c>
      <c r="CD36" s="624"/>
      <c r="CT36" s="624"/>
      <c r="CU36" s="624"/>
      <c r="CV36" s="624"/>
      <c r="CW36" s="624"/>
      <c r="CX36" s="624"/>
      <c r="CZ36"/>
    </row>
    <row r="37" spans="1:104">
      <c r="A37" s="631" t="s">
        <v>518</v>
      </c>
      <c r="W37" s="632"/>
      <c r="X37" s="632"/>
      <c r="Y37" s="632"/>
      <c r="Z37" s="632"/>
      <c r="AA37" s="632"/>
      <c r="AB37" s="632"/>
      <c r="AC37" s="632"/>
      <c r="AD37" s="632"/>
      <c r="AE37" s="632"/>
      <c r="AF37" s="632"/>
      <c r="AG37" s="632"/>
      <c r="AH37" s="632"/>
      <c r="AI37" s="632"/>
      <c r="AJ37" s="632"/>
      <c r="AK37" s="632"/>
      <c r="AL37" s="632"/>
      <c r="BJ37" s="633">
        <f t="shared" ref="BJ37:BY37" si="45">BJ36*BJ32/1000</f>
      </c>
      <c r="BK37" s="633">
        <f t="shared" si="45"/>
      </c>
      <c r="BL37" s="633">
        <f t="shared" si="45"/>
      </c>
      <c r="BM37" s="633">
        <f t="shared" si="45"/>
      </c>
      <c r="BN37" s="633">
        <f t="shared" si="45"/>
      </c>
      <c r="BO37" s="633">
        <f t="shared" si="45"/>
      </c>
      <c r="BP37" s="633">
        <f t="shared" si="45"/>
      </c>
      <c r="BQ37" s="633">
        <f t="shared" si="45"/>
      </c>
      <c r="BR37" s="633">
        <f t="shared" si="45"/>
      </c>
      <c r="BS37" s="633">
        <f t="shared" si="45"/>
      </c>
      <c r="BT37" s="633">
        <f t="shared" si="45"/>
      </c>
      <c r="BU37" s="633">
        <f t="shared" si="45"/>
      </c>
      <c r="BV37" s="633">
        <f t="shared" si="45"/>
      </c>
      <c r="BW37" s="633">
        <f t="shared" si="45"/>
      </c>
      <c r="BX37" s="633">
        <f t="shared" si="45"/>
      </c>
      <c r="BY37" s="633">
        <f t="shared" si="45"/>
      </c>
      <c r="BZ37" s="633">
        <f>BZ36*BZ32/1000</f>
      </c>
      <c r="CA37" s="633">
        <f>CA36*CA32/1000</f>
      </c>
      <c r="CB37" s="633">
        <f>CB36*CB32/1000</f>
      </c>
      <c r="CC37" s="633">
        <f>CC36*CC32/1000</f>
      </c>
      <c r="CD37" s="633"/>
      <c r="CT37" s="633">
        <f>SUM(BJ37:BM37)</f>
      </c>
      <c r="CU37" s="633">
        <f>SUM(BN37:BQ37)</f>
      </c>
      <c r="CV37" s="633">
        <f>SUM(BR37:BU37)</f>
      </c>
      <c r="CW37" s="633">
        <f>SUM(BV37:BY37)</f>
      </c>
      <c r="CX37" s="624">
        <f>SUM(BZ37:CC37)</f>
      </c>
      <c r="CZ37"/>
    </row>
    <row r="38" spans="1:104">
      <c r="A38" s="625" t="s">
        <v>511</v>
      </c>
      <c r="W38" s="632"/>
      <c r="X38" s="632"/>
      <c r="Y38" s="632"/>
      <c r="Z38" s="632"/>
      <c r="AA38" s="632"/>
      <c r="AB38" s="632"/>
      <c r="AC38" s="632"/>
      <c r="AD38" s="632"/>
      <c r="AE38" s="632"/>
      <c r="AF38" s="632"/>
      <c r="AG38" s="632"/>
      <c r="AH38" s="632"/>
      <c r="AI38" s="632"/>
      <c r="AJ38" s="632"/>
      <c r="AK38" s="632"/>
      <c r="AL38" s="632"/>
      <c r="BJ38" s="633"/>
      <c r="BK38" s="634">
        <f t="shared" ref="BK38:BS38" si="46">BK37/BJ37-1</f>
      </c>
      <c r="BL38" s="634">
        <f t="shared" si="46"/>
      </c>
      <c r="BM38" s="634">
        <f t="shared" si="46"/>
      </c>
      <c r="BN38" s="634">
        <f t="shared" si="46"/>
      </c>
      <c r="BO38" s="634">
        <f t="shared" si="46"/>
      </c>
      <c r="BP38" s="634">
        <f t="shared" si="46"/>
      </c>
      <c r="BQ38" s="634">
        <f t="shared" si="46"/>
      </c>
      <c r="BR38" s="634">
        <f t="shared" si="46"/>
      </c>
      <c r="BS38" s="634">
        <f t="shared" si="46"/>
      </c>
      <c r="BT38" s="634"/>
      <c r="BU38" s="634"/>
      <c r="BV38" s="634"/>
      <c r="BW38" s="634"/>
      <c r="BX38" s="634"/>
      <c r="BY38" s="634"/>
      <c r="BZ38" s="634"/>
      <c r="CA38" s="634"/>
      <c r="CB38" s="634"/>
      <c r="CC38" s="634"/>
      <c r="CD38" s="633"/>
      <c r="CT38" s="633"/>
      <c r="CU38" s="633"/>
      <c r="CV38" s="633"/>
      <c r="CW38" s="633"/>
      <c r="CX38" s="633"/>
      <c r="CZ38"/>
    </row>
    <row r="39" spans="1:104" s="637" customFormat="1">
      <c r="A39" s="625" t="s">
        <v>512</v>
      </c>
      <c r="W39" s="632"/>
      <c r="X39" s="632"/>
      <c r="Y39" s="632"/>
      <c r="Z39" s="632"/>
      <c r="AA39" s="632"/>
      <c r="AB39" s="632"/>
      <c r="AC39" s="632"/>
      <c r="AD39" s="632"/>
      <c r="AE39" s="632"/>
      <c r="AF39" s="632"/>
      <c r="AG39" s="632"/>
      <c r="AH39" s="632"/>
      <c r="AI39" s="632"/>
      <c r="AJ39" s="632"/>
      <c r="AK39" s="632"/>
      <c r="AL39" s="632"/>
      <c r="BJ39" s="633"/>
      <c r="BK39" s="633"/>
      <c r="BL39" s="633"/>
      <c r="BM39" s="633"/>
      <c r="BN39" s="634">
        <f t="shared" ref="BN39:BS39" si="47">BN37/BJ37-1</f>
      </c>
      <c r="BO39" s="634">
        <f t="shared" si="47"/>
      </c>
      <c r="BP39" s="634">
        <f t="shared" si="47"/>
      </c>
      <c r="BQ39" s="634">
        <f t="shared" si="47"/>
      </c>
      <c r="BR39" s="634">
        <f t="shared" si="47"/>
      </c>
      <c r="BS39" s="634">
        <f t="shared" si="47"/>
      </c>
      <c r="BT39" s="634"/>
      <c r="BU39" s="634"/>
      <c r="BV39" s="634"/>
      <c r="BW39" s="634"/>
      <c r="BX39" s="634"/>
      <c r="BY39" s="634"/>
      <c r="BZ39" s="634"/>
      <c r="CA39" s="634"/>
      <c r="CB39" s="634"/>
      <c r="CC39" s="634"/>
      <c r="CD39" s="633"/>
      <c r="CT39" s="633"/>
      <c r="CU39" s="634">
        <f>+CU37/CT37-1</f>
      </c>
      <c r="CV39" s="634">
        <f>+CV37/CU37-1</f>
      </c>
      <c r="CW39" s="634"/>
      <c r="CX39" s="634"/>
      <c r="CZ39"/>
    </row>
    <row r="40" spans="1:104" s="637" customFormat="1">
      <c r="A40" s="625" t="s">
        <v>519</v>
      </c>
      <c r="W40" s="632"/>
      <c r="X40" s="632"/>
      <c r="Y40" s="632"/>
      <c r="Z40" s="632"/>
      <c r="AA40" s="632"/>
      <c r="AB40" s="632"/>
      <c r="AC40" s="632"/>
      <c r="AD40" s="632"/>
      <c r="AE40" s="632"/>
      <c r="AF40" s="632"/>
      <c r="AG40" s="632"/>
      <c r="AH40" s="632"/>
      <c r="AI40" s="632"/>
      <c r="AJ40" s="632"/>
      <c r="AK40" s="632"/>
      <c r="AL40" s="632"/>
      <c r="BJ40" s="634">
        <f t="shared" ref="BJ40:CC40" si="48">BJ37/BJ$109</f>
      </c>
      <c r="BK40" s="634">
        <f t="shared" si="48"/>
      </c>
      <c r="BL40" s="634">
        <f t="shared" si="48"/>
      </c>
      <c r="BM40" s="634">
        <f t="shared" si="48"/>
      </c>
      <c r="BN40" s="634">
        <f t="shared" si="48"/>
      </c>
      <c r="BO40" s="634">
        <f t="shared" si="48"/>
      </c>
      <c r="BP40" s="634">
        <f t="shared" si="48"/>
      </c>
      <c r="BQ40" s="634">
        <f t="shared" si="48"/>
      </c>
      <c r="BR40" s="634">
        <f t="shared" si="48"/>
      </c>
      <c r="BS40" s="634">
        <f t="shared" si="48"/>
      </c>
      <c r="BT40" s="634">
        <f t="shared" si="48"/>
      </c>
      <c r="BU40" s="634">
        <f t="shared" si="48"/>
      </c>
      <c r="BV40" s="634">
        <f t="shared" si="48"/>
      </c>
      <c r="BW40" s="634">
        <f t="shared" si="48"/>
      </c>
      <c r="BX40" s="634">
        <f t="shared" si="48"/>
      </c>
      <c r="BY40" s="634">
        <f t="shared" si="48"/>
      </c>
      <c r="BZ40" s="634">
        <f t="shared" si="48"/>
      </c>
      <c r="CA40" s="634">
        <f t="shared" si="48"/>
      </c>
      <c r="CB40" s="634">
        <f t="shared" si="48"/>
      </c>
      <c r="CC40" s="634">
        <f t="shared" si="48"/>
      </c>
      <c r="CD40" s="633"/>
      <c r="CT40" s="634">
        <f>+CT37/CT$15</f>
      </c>
      <c r="CU40" s="634">
        <f>+CU37/CU$15</f>
      </c>
      <c r="CV40" s="634">
        <f>+CV37/CV$15</f>
      </c>
      <c r="CW40" s="634"/>
      <c r="CX40" s="634"/>
      <c r="CZ40"/>
    </row>
    <row r="41" spans="1:104" s="637" customFormat="1">
      <c r="A41" s="635"/>
      <c r="W41" s="626"/>
      <c r="X41" s="626"/>
      <c r="Y41" s="626"/>
      <c r="Z41" s="626"/>
      <c r="AA41" s="626"/>
      <c r="AB41" s="626"/>
      <c r="AC41" s="626"/>
      <c r="AD41" s="626"/>
      <c r="AE41" s="626"/>
      <c r="AF41" s="626"/>
      <c r="AG41" s="626"/>
      <c r="AH41" s="626"/>
      <c r="AI41" s="626"/>
      <c r="AJ41" s="626"/>
      <c r="AK41" s="626"/>
      <c r="AL41" s="626"/>
      <c r="BJ41" s="259"/>
      <c r="BK41" s="259"/>
      <c r="BL41" s="259"/>
      <c r="BM41" s="259"/>
      <c r="BN41" s="259"/>
      <c r="BO41" s="259"/>
      <c r="BP41" s="259"/>
      <c r="BQ41" s="259"/>
      <c r="BR41" s="259"/>
      <c r="BS41" s="259"/>
      <c r="BT41" s="259"/>
      <c r="BU41" s="259"/>
      <c r="BV41" s="259"/>
      <c r="BW41" s="259"/>
      <c r="BX41" s="259"/>
      <c r="BY41" s="259"/>
      <c r="BZ41" s="259"/>
      <c r="CA41" s="259"/>
      <c r="CB41" s="259"/>
      <c r="CC41" s="259"/>
      <c r="CD41" s="259"/>
      <c r="CT41" s="259"/>
      <c r="CU41" s="259"/>
      <c r="CV41" s="638"/>
      <c r="CW41" s="638"/>
      <c r="CX41" s="638"/>
      <c r="CY41" s="639"/>
      <c r="CZ41"/>
    </row>
    <row r="42" spans="1:104" s="637" customFormat="1">
      <c r="A42" s="636" t="s">
        <v>522</v>
      </c>
      <c r="B42" s="640"/>
      <c r="C42" s="640"/>
      <c r="D42" s="640"/>
      <c r="E42" s="640"/>
      <c r="F42" s="640"/>
      <c r="G42" s="640"/>
      <c r="H42" s="640"/>
      <c r="I42" s="640"/>
      <c r="J42" s="640"/>
      <c r="K42" s="640"/>
      <c r="L42" s="640"/>
      <c r="M42" s="640"/>
      <c r="N42" s="640"/>
      <c r="O42" s="640"/>
      <c r="P42" s="640"/>
      <c r="Q42" s="640"/>
      <c r="R42" s="640"/>
      <c r="S42" s="640"/>
      <c r="T42" s="640"/>
      <c r="U42" s="640"/>
      <c r="V42" s="640"/>
      <c r="W42" s="640"/>
      <c r="X42" s="640"/>
      <c r="Y42" s="640"/>
      <c r="Z42" s="640"/>
      <c r="AA42" s="640"/>
      <c r="AB42" s="640"/>
      <c r="AC42" s="640"/>
      <c r="AD42" s="640"/>
      <c r="AE42" s="640"/>
      <c r="AF42" s="640"/>
      <c r="AG42" s="640"/>
      <c r="AH42" s="640"/>
      <c r="AI42" s="640"/>
      <c r="AJ42" s="640"/>
      <c r="AK42" s="640"/>
      <c r="AL42" s="640"/>
      <c r="AM42" s="640"/>
      <c r="AN42" s="640"/>
      <c r="AO42" s="640"/>
      <c r="AP42" s="640"/>
      <c r="AQ42" s="640"/>
      <c r="AR42" s="640"/>
      <c r="AS42" s="640"/>
      <c r="AT42" s="640"/>
      <c r="AU42" s="640"/>
      <c r="AV42" s="640"/>
      <c r="AW42" s="640"/>
      <c r="AX42" s="640"/>
      <c r="AY42" s="640"/>
      <c r="AZ42" s="640"/>
      <c r="BA42" s="640"/>
      <c r="BB42" s="640"/>
      <c r="BC42" s="640"/>
      <c r="BD42" s="640"/>
      <c r="BE42" s="640"/>
      <c r="BF42" s="640"/>
      <c r="BG42" s="640"/>
      <c r="BH42" s="640"/>
      <c r="BI42" s="640"/>
      <c r="BJ42" s="640"/>
      <c r="BK42" s="640"/>
      <c r="BL42" s="640"/>
      <c r="BM42" s="640"/>
      <c r="BN42" s="640"/>
      <c r="BO42" s="640"/>
      <c r="BP42" s="640"/>
      <c r="BQ42" s="640"/>
      <c r="BR42" s="640"/>
      <c r="BS42" s="640"/>
      <c r="BT42" s="640"/>
      <c r="BU42" s="640"/>
      <c r="BV42" s="640"/>
      <c r="BW42" s="640"/>
      <c r="BX42" s="640"/>
      <c r="BY42" s="640"/>
      <c r="BZ42" s="640"/>
      <c r="CA42" s="640"/>
      <c r="CB42" s="640"/>
      <c r="CC42" s="640"/>
      <c r="CD42" s="640"/>
      <c r="CE42" s="640"/>
      <c r="CF42" s="640"/>
      <c r="CG42" s="640"/>
      <c r="CH42" s="640"/>
      <c r="CI42" s="640"/>
      <c r="CJ42" s="640"/>
      <c r="CK42" s="640"/>
      <c r="CL42" s="640"/>
      <c r="CM42" s="640"/>
      <c r="CN42" s="640"/>
      <c r="CO42" s="640"/>
      <c r="CP42" s="640"/>
      <c r="CQ42" s="640"/>
      <c r="CR42" s="640"/>
      <c r="CS42" s="640"/>
      <c r="CT42" s="640"/>
      <c r="CU42" s="640"/>
      <c r="CV42" s="641"/>
      <c r="CW42" s="641"/>
      <c r="CX42" s="641"/>
      <c r="CY42" s="639"/>
      <c r="CZ42"/>
    </row>
    <row r="43" spans="1:104" s="637" customFormat="1">
      <c r="A43" s="622" t="s">
        <v>515</v>
      </c>
      <c r="W43" s="623"/>
      <c r="X43" s="623"/>
      <c r="Y43" s="623"/>
      <c r="Z43" s="623"/>
      <c r="AA43" s="623"/>
      <c r="AB43" s="623"/>
      <c r="AC43" s="623"/>
      <c r="AD43" s="623"/>
      <c r="AE43" s="623"/>
      <c r="AF43" s="623"/>
      <c r="AG43" s="623"/>
      <c r="AH43" s="623"/>
      <c r="AI43" s="623"/>
      <c r="AJ43" s="623"/>
      <c r="AK43" s="623"/>
      <c r="AL43" s="623"/>
      <c r="BJ43" s="624"/>
      <c r="BK43" s="624"/>
      <c r="BL43" s="624"/>
      <c r="BM43" s="624"/>
      <c r="BN43" s="624"/>
      <c r="BO43" s="624">
        <v>232</v>
      </c>
      <c r="BP43" s="624">
        <v>440</v>
      </c>
      <c r="BQ43" s="624">
        <f t="shared" ref="BQ43:BY43" si="49">BP43*(1+BQ44)</f>
      </c>
      <c r="BR43" s="624">
        <f t="shared" si="49"/>
      </c>
      <c r="BS43" s="624">
        <f t="shared" si="49"/>
      </c>
      <c r="BT43" s="624">
        <f t="shared" si="49"/>
      </c>
      <c r="BU43" s="624">
        <f t="shared" si="49"/>
      </c>
      <c r="BV43" s="624">
        <f t="shared" si="49"/>
      </c>
      <c r="BW43" s="624">
        <f t="shared" si="49"/>
      </c>
      <c r="BX43" s="624">
        <f t="shared" si="49"/>
      </c>
      <c r="BY43" s="624">
        <f t="shared" si="49"/>
      </c>
      <c r="BZ43" s="624">
        <f>BY43*(1+BZ44)</f>
      </c>
      <c r="CA43" s="624">
        <f>BZ43*(1+CA44)</f>
      </c>
      <c r="CB43" s="624">
        <f>CA43*(1+CB44)</f>
      </c>
      <c r="CC43" s="624">
        <f>CB43*(1+CC44)</f>
      </c>
      <c r="CD43" s="624"/>
      <c r="CT43" s="624"/>
      <c r="CU43" s="624">
        <f>SUM(BN43:BQ43)</f>
      </c>
      <c r="CV43" s="624">
        <f>SUM(BR43:BU43)</f>
      </c>
      <c r="CW43" s="624">
        <f>SUM(BV43:BY43)</f>
      </c>
      <c r="CX43" s="624">
        <f>SUM(BZ43:CC43)</f>
      </c>
      <c r="CY43" s="639"/>
      <c r="CZ43"/>
    </row>
    <row r="44" spans="1:104">
      <c r="A44" s="625" t="s">
        <v>511</v>
      </c>
      <c r="W44" s="626"/>
      <c r="X44" s="626"/>
      <c r="Y44" s="626"/>
      <c r="Z44" s="626"/>
      <c r="AA44" s="626"/>
      <c r="AB44" s="626"/>
      <c r="AC44" s="626"/>
      <c r="AD44" s="626"/>
      <c r="AE44" s="626"/>
      <c r="AF44" s="626"/>
      <c r="AG44" s="626"/>
      <c r="AH44" s="626"/>
      <c r="AI44" s="626"/>
      <c r="AJ44" s="626"/>
      <c r="AK44" s="626"/>
      <c r="AL44" s="626"/>
      <c r="BJ44" s="259"/>
      <c r="BK44" s="259"/>
      <c r="BL44" s="627"/>
      <c r="BM44" s="627"/>
      <c r="BN44" s="627"/>
      <c r="BO44" s="627"/>
      <c r="BP44" s="627">
        <f>BP43/BO43-1</f>
      </c>
      <c r="BQ44" s="627">
        <v>0.03</v>
      </c>
      <c r="BR44" s="627">
        <v>-0.36</v>
      </c>
      <c r="BS44" s="627">
        <v>-0.35</v>
      </c>
      <c r="BT44" s="627">
        <v>-0.5</v>
      </c>
      <c r="BU44" s="627">
        <v>-0.3</v>
      </c>
      <c r="BV44" s="627">
        <v>-1</v>
      </c>
      <c r="BW44" s="627">
        <v>0</v>
      </c>
      <c r="BX44" s="627">
        <v>0</v>
      </c>
      <c r="BY44" s="627">
        <v>0</v>
      </c>
      <c r="BZ44" s="627">
        <v>0</v>
      </c>
      <c r="CA44" s="627">
        <v>0</v>
      </c>
      <c r="CB44" s="627">
        <v>0</v>
      </c>
      <c r="CC44" s="627">
        <v>0</v>
      </c>
      <c r="CD44" s="259"/>
      <c r="CT44" s="259"/>
      <c r="CU44" s="628" t="s">
        <v>197</v>
      </c>
      <c r="CV44" s="628" t="s">
        <v>197</v>
      </c>
      <c r="CW44" s="628" t="s">
        <v>197</v>
      </c>
      <c r="CX44" s="628" t="s">
        <v>197</v>
      </c>
      <c r="CZ44"/>
    </row>
    <row r="45" spans="1:104">
      <c r="A45" s="625" t="s">
        <v>512</v>
      </c>
      <c r="W45" s="626"/>
      <c r="X45" s="626"/>
      <c r="Y45" s="626"/>
      <c r="Z45" s="626"/>
      <c r="AA45" s="623"/>
      <c r="AB45" s="626"/>
      <c r="AC45" s="626"/>
      <c r="AD45" s="626"/>
      <c r="AE45" s="626"/>
      <c r="AF45" s="626"/>
      <c r="AG45" s="626"/>
      <c r="AH45" s="626"/>
      <c r="AI45" s="626"/>
      <c r="AJ45" s="626"/>
      <c r="AK45" s="626"/>
      <c r="AL45" s="626"/>
      <c r="BJ45" s="259"/>
      <c r="BK45" s="259"/>
      <c r="BL45" s="259"/>
      <c r="BM45" s="259"/>
      <c r="BN45" s="259"/>
      <c r="BO45" s="259"/>
      <c r="BP45" s="259"/>
      <c r="BQ45" s="259"/>
      <c r="BR45" s="259"/>
      <c r="BS45" s="259"/>
      <c r="BT45" s="259"/>
      <c r="BU45" s="259"/>
      <c r="BV45" s="259"/>
      <c r="BW45" s="259"/>
      <c r="BX45" s="259"/>
      <c r="BY45" s="259"/>
      <c r="BZ45" s="259"/>
      <c r="CA45" s="259"/>
      <c r="CB45" s="259"/>
      <c r="CC45" s="259"/>
      <c r="CD45" s="259"/>
      <c r="CT45" s="259"/>
      <c r="CU45" s="259"/>
      <c r="CV45" s="260">
        <f>CV43/CU43-1</f>
      </c>
      <c r="CW45" s="260">
        <f>CW43/CV43-1</f>
      </c>
      <c r="CX45" s="260" t="e">
        <f>CX43/CW43-1</f>
      </c>
      <c r="CZ45"/>
    </row>
    <row r="46" spans="1:104">
      <c r="A46" s="625" t="s">
        <v>516</v>
      </c>
      <c r="W46" s="626"/>
      <c r="X46" s="626"/>
      <c r="Y46" s="626"/>
      <c r="Z46" s="626"/>
      <c r="AA46" s="626"/>
      <c r="AB46" s="626"/>
      <c r="AC46" s="626"/>
      <c r="AD46" s="626"/>
      <c r="AE46" s="626"/>
      <c r="AF46" s="626"/>
      <c r="AG46" s="626"/>
      <c r="AH46" s="626"/>
      <c r="AI46" s="626"/>
      <c r="AJ46" s="626"/>
      <c r="AK46" s="626"/>
      <c r="AL46" s="626"/>
      <c r="BJ46" s="259"/>
      <c r="BK46" s="259"/>
      <c r="BL46" s="259"/>
      <c r="BM46" s="259"/>
      <c r="BN46" s="259"/>
      <c r="BO46" s="627">
        <f t="shared" ref="BO46:CC46" si="50">BO43/BO101</f>
      </c>
      <c r="BP46" s="627">
        <f t="shared" si="50"/>
      </c>
      <c r="BQ46" s="627">
        <f t="shared" si="50"/>
      </c>
      <c r="BR46" s="627">
        <f t="shared" si="50"/>
      </c>
      <c r="BS46" s="627">
        <f t="shared" si="50"/>
      </c>
      <c r="BT46" s="627">
        <f t="shared" si="50"/>
      </c>
      <c r="BU46" s="627">
        <f t="shared" si="50"/>
      </c>
      <c r="BV46" s="627">
        <f t="shared" si="50"/>
      </c>
      <c r="BW46" s="627">
        <f t="shared" si="50"/>
      </c>
      <c r="BX46" s="627">
        <f t="shared" si="50"/>
      </c>
      <c r="BY46" s="627">
        <f t="shared" si="50"/>
      </c>
      <c r="BZ46" s="627">
        <f t="shared" si="50"/>
      </c>
      <c r="CA46" s="627">
        <f t="shared" si="50"/>
      </c>
      <c r="CB46" s="627">
        <f t="shared" si="50"/>
      </c>
      <c r="CC46" s="627">
        <f t="shared" si="50"/>
      </c>
      <c r="CD46" s="259"/>
      <c r="CT46" s="259"/>
      <c r="CU46" s="627">
        <f>CU43/CU101</f>
      </c>
      <c r="CV46" s="627">
        <f>CV43/CV101</f>
      </c>
      <c r="CW46" s="627">
        <f>CW43/CW101</f>
      </c>
      <c r="CX46" s="627">
        <f>CX43/CX101</f>
      </c>
      <c r="CZ46"/>
    </row>
    <row r="47" spans="1:104">
      <c r="A47" s="622" t="s">
        <v>521</v>
      </c>
      <c r="W47" s="623"/>
      <c r="X47" s="623"/>
      <c r="Y47" s="623"/>
      <c r="Z47" s="623"/>
      <c r="AA47" s="623"/>
      <c r="AB47" s="623"/>
      <c r="AC47" s="623"/>
      <c r="AD47" s="623"/>
      <c r="AE47" s="623"/>
      <c r="AF47" s="623"/>
      <c r="AG47" s="623"/>
      <c r="AH47" s="623"/>
      <c r="AI47" s="623"/>
      <c r="AJ47" s="623"/>
      <c r="AK47" s="623"/>
      <c r="AL47" s="623"/>
      <c r="BJ47" s="624"/>
      <c r="BK47" s="630"/>
      <c r="BL47" s="624"/>
      <c r="BM47" s="624"/>
      <c r="BN47" s="624"/>
      <c r="BO47" s="624">
        <v>27500</v>
      </c>
      <c r="BP47" s="624">
        <f t="shared" ref="BP47:BY47" si="51">BO47</f>
      </c>
      <c r="BQ47" s="624">
        <f t="shared" si="51"/>
      </c>
      <c r="BR47" s="624">
        <f t="shared" si="51"/>
      </c>
      <c r="BS47" s="624">
        <f t="shared" si="51"/>
      </c>
      <c r="BT47" s="624">
        <f t="shared" si="51"/>
      </c>
      <c r="BU47" s="624">
        <f t="shared" si="51"/>
      </c>
      <c r="BV47" s="624">
        <f t="shared" si="51"/>
      </c>
      <c r="BW47" s="624">
        <f t="shared" si="51"/>
      </c>
      <c r="BX47" s="624">
        <f t="shared" si="51"/>
      </c>
      <c r="BY47" s="624">
        <f t="shared" si="51"/>
      </c>
      <c r="BZ47" s="624">
        <f>BY47</f>
      </c>
      <c r="CA47" s="624">
        <f>BZ47</f>
      </c>
      <c r="CB47" s="624">
        <f>CA47</f>
      </c>
      <c r="CC47" s="624">
        <f>CB47</f>
      </c>
      <c r="CD47" s="624"/>
      <c r="CT47" s="624"/>
      <c r="CU47" s="624">
        <f>CU48/CU43*1000</f>
      </c>
      <c r="CV47" s="624">
        <f>CV48/CV43*1000</f>
      </c>
      <c r="CW47" s="624" t="e">
        <f>CW48/CW43*1000</f>
      </c>
      <c r="CX47" s="624" t="e">
        <f>CX48/CX43*1000</f>
      </c>
      <c r="CZ47"/>
    </row>
    <row r="48" spans="1:104">
      <c r="A48" s="631" t="s">
        <v>523</v>
      </c>
      <c r="W48" s="632"/>
      <c r="X48" s="632"/>
      <c r="Y48" s="632"/>
      <c r="Z48" s="632"/>
      <c r="AA48" s="632"/>
      <c r="AB48" s="632"/>
      <c r="AC48" s="632"/>
      <c r="AD48" s="632"/>
      <c r="AE48" s="632"/>
      <c r="AF48" s="632"/>
      <c r="AG48" s="632"/>
      <c r="AH48" s="632"/>
      <c r="AI48" s="632"/>
      <c r="AJ48" s="632"/>
      <c r="AK48" s="632"/>
      <c r="AL48" s="632"/>
      <c r="BJ48" s="633"/>
      <c r="BK48" s="633"/>
      <c r="BL48" s="633"/>
      <c r="BM48" s="633"/>
      <c r="BN48" s="633"/>
      <c r="BO48" s="633">
        <f t="shared" ref="BO48:BY48" si="52">BO47*BO43/1000</f>
      </c>
      <c r="BP48" s="633">
        <f t="shared" si="52"/>
      </c>
      <c r="BQ48" s="633">
        <f t="shared" si="52"/>
      </c>
      <c r="BR48" s="633">
        <f t="shared" si="52"/>
      </c>
      <c r="BS48" s="633">
        <f t="shared" si="52"/>
      </c>
      <c r="BT48" s="633">
        <f t="shared" si="52"/>
      </c>
      <c r="BU48" s="633">
        <f t="shared" si="52"/>
      </c>
      <c r="BV48" s="633">
        <f t="shared" si="52"/>
      </c>
      <c r="BW48" s="633">
        <f t="shared" si="52"/>
      </c>
      <c r="BX48" s="633">
        <f t="shared" si="52"/>
      </c>
      <c r="BY48" s="633">
        <f t="shared" si="52"/>
      </c>
      <c r="BZ48" s="633">
        <f>BZ47*BZ43/1000</f>
      </c>
      <c r="CA48" s="633">
        <f>CA47*CA43/1000</f>
      </c>
      <c r="CB48" s="633">
        <f>CB47*CB43/1000</f>
      </c>
      <c r="CC48" s="633">
        <f>CC47*CC43/1000</f>
      </c>
      <c r="CD48" s="633"/>
      <c r="CT48" s="633"/>
      <c r="CU48" s="633">
        <f>SUM(BN48:BQ48)</f>
      </c>
      <c r="CV48" s="633">
        <f>SUM(BR48:BU48)</f>
      </c>
      <c r="CW48" s="633">
        <f>SUM(BV48:BY48)</f>
      </c>
      <c r="CX48" s="624">
        <f>SUM(BZ48:CC48)</f>
      </c>
      <c r="CZ48"/>
    </row>
    <row r="49" spans="1:104">
      <c r="A49" s="625" t="s">
        <v>511</v>
      </c>
      <c r="W49" s="632"/>
      <c r="X49" s="632"/>
      <c r="Y49" s="632"/>
      <c r="Z49" s="632"/>
      <c r="AA49" s="632"/>
      <c r="AB49" s="632"/>
      <c r="AC49" s="632"/>
      <c r="AD49" s="632"/>
      <c r="AE49" s="632"/>
      <c r="AF49" s="632"/>
      <c r="AG49" s="632"/>
      <c r="AH49" s="632"/>
      <c r="AI49" s="632"/>
      <c r="AJ49" s="632"/>
      <c r="AK49" s="632"/>
      <c r="AL49" s="632"/>
      <c r="BJ49" s="633"/>
      <c r="BK49" s="634"/>
      <c r="BL49" s="634"/>
      <c r="BM49" s="634"/>
      <c r="BN49" s="634"/>
      <c r="BO49" s="634"/>
      <c r="BP49" s="634">
        <f>BP48/BO48-1</f>
      </c>
      <c r="BQ49" s="634">
        <f>BQ48/BP48-1</f>
      </c>
      <c r="BR49" s="634">
        <f>BR48/BQ48-1</f>
      </c>
      <c r="BS49" s="634">
        <f>BS48/BR48-1</f>
      </c>
      <c r="BT49" s="634"/>
      <c r="BU49" s="634"/>
      <c r="BV49" s="634"/>
      <c r="BW49" s="634"/>
      <c r="BX49" s="634"/>
      <c r="BY49" s="634"/>
      <c r="BZ49" s="634"/>
      <c r="CA49" s="634"/>
      <c r="CB49" s="634"/>
      <c r="CC49" s="634"/>
      <c r="CD49" s="633"/>
      <c r="CT49" s="633"/>
      <c r="CU49" s="633"/>
      <c r="CV49" s="633"/>
      <c r="CW49" s="633"/>
      <c r="CX49" s="633"/>
      <c r="CZ49"/>
    </row>
    <row r="50" spans="1:104">
      <c r="A50" s="625" t="s">
        <v>512</v>
      </c>
      <c r="W50" s="632"/>
      <c r="X50" s="632"/>
      <c r="Y50" s="632"/>
      <c r="Z50" s="632"/>
      <c r="AA50" s="632"/>
      <c r="AB50" s="632"/>
      <c r="AC50" s="632"/>
      <c r="AD50" s="632"/>
      <c r="AE50" s="632"/>
      <c r="AF50" s="632"/>
      <c r="AG50" s="632"/>
      <c r="AH50" s="632"/>
      <c r="AI50" s="632"/>
      <c r="AJ50" s="632"/>
      <c r="AK50" s="632"/>
      <c r="AL50" s="632"/>
      <c r="BJ50" s="633"/>
      <c r="BK50" s="633"/>
      <c r="BL50" s="633"/>
      <c r="BM50" s="633"/>
      <c r="BN50" s="634"/>
      <c r="BO50" s="634"/>
      <c r="BP50" s="634"/>
      <c r="BQ50" s="634"/>
      <c r="BR50" s="634"/>
      <c r="BS50" s="634">
        <f>BS48/BO48-1</f>
      </c>
      <c r="BT50" s="634"/>
      <c r="BU50" s="634"/>
      <c r="BV50" s="634"/>
      <c r="BW50" s="634"/>
      <c r="BX50" s="634"/>
      <c r="BY50" s="634"/>
      <c r="BZ50" s="634"/>
      <c r="CA50" s="634"/>
      <c r="CB50" s="634"/>
      <c r="CC50" s="634"/>
      <c r="CD50" s="633"/>
      <c r="CT50" s="633"/>
      <c r="CU50" s="633"/>
      <c r="CV50" s="634">
        <f>+CV48/CU48-1</f>
      </c>
      <c r="CW50" s="634">
        <f>+CW48/CV48-1</f>
      </c>
      <c r="CX50" s="634" t="e">
        <f>+CX48/CW48-1</f>
      </c>
      <c r="CZ50"/>
    </row>
    <row r="51" spans="1:104">
      <c r="A51" s="625" t="s">
        <v>519</v>
      </c>
      <c r="W51" s="632"/>
      <c r="X51" s="632"/>
      <c r="Y51" s="632"/>
      <c r="Z51" s="632"/>
      <c r="AA51" s="632"/>
      <c r="AB51" s="632"/>
      <c r="AC51" s="632"/>
      <c r="AD51" s="632"/>
      <c r="AE51" s="632"/>
      <c r="AF51" s="632"/>
      <c r="AG51" s="632"/>
      <c r="AH51" s="632"/>
      <c r="AI51" s="632"/>
      <c r="AJ51" s="632"/>
      <c r="AK51" s="632"/>
      <c r="AL51" s="632"/>
      <c r="BJ51" s="634">
        <f t="shared" ref="BJ51:CC51" si="53">BJ48/BJ$109</f>
      </c>
      <c r="BK51" s="634">
        <f t="shared" si="53"/>
      </c>
      <c r="BL51" s="634">
        <f t="shared" si="53"/>
      </c>
      <c r="BM51" s="634">
        <f t="shared" si="53"/>
      </c>
      <c r="BN51" s="634">
        <f t="shared" si="53"/>
      </c>
      <c r="BO51" s="634">
        <f t="shared" si="53"/>
      </c>
      <c r="BP51" s="634">
        <f t="shared" si="53"/>
      </c>
      <c r="BQ51" s="634">
        <f t="shared" si="53"/>
      </c>
      <c r="BR51" s="634">
        <f t="shared" si="53"/>
      </c>
      <c r="BS51" s="634">
        <f t="shared" si="53"/>
      </c>
      <c r="BT51" s="634">
        <f t="shared" si="53"/>
      </c>
      <c r="BU51" s="634">
        <f t="shared" si="53"/>
      </c>
      <c r="BV51" s="634">
        <f t="shared" si="53"/>
      </c>
      <c r="BW51" s="634">
        <f t="shared" si="53"/>
      </c>
      <c r="BX51" s="634">
        <f t="shared" si="53"/>
      </c>
      <c r="BY51" s="634">
        <f t="shared" si="53"/>
      </c>
      <c r="BZ51" s="634">
        <f t="shared" si="53"/>
      </c>
      <c r="CA51" s="634">
        <f t="shared" si="53"/>
      </c>
      <c r="CB51" s="634">
        <f t="shared" si="53"/>
      </c>
      <c r="CC51" s="634">
        <f t="shared" si="53"/>
      </c>
      <c r="CD51" s="633"/>
      <c r="CT51" s="633"/>
      <c r="CU51" s="634">
        <f>+CU48/CU$15</f>
      </c>
      <c r="CV51" s="634">
        <f>+CV48/CV$15</f>
      </c>
      <c r="CW51" s="634">
        <f>+CW48/CW$15</f>
      </c>
      <c r="CX51" s="634">
        <f>+CX48/CX$15</f>
      </c>
      <c r="CZ51"/>
    </row>
    <row r="52" spans="1:104">
      <c r="A52" s="635"/>
      <c r="W52" s="626"/>
      <c r="X52" s="626"/>
      <c r="Y52" s="626"/>
      <c r="Z52" s="626"/>
      <c r="AA52" s="626"/>
      <c r="AB52" s="626"/>
      <c r="AC52" s="626"/>
      <c r="AD52" s="626"/>
      <c r="AE52" s="626"/>
      <c r="AF52" s="626"/>
      <c r="AG52" s="626"/>
      <c r="AH52" s="626"/>
      <c r="AI52" s="626"/>
      <c r="AJ52" s="626"/>
      <c r="AK52" s="626"/>
      <c r="AL52" s="626"/>
      <c r="BJ52" s="259"/>
      <c r="BK52" s="259"/>
      <c r="BL52" s="259"/>
      <c r="BM52" s="259"/>
      <c r="BN52" s="259"/>
      <c r="BO52" s="259"/>
      <c r="BP52" s="259"/>
      <c r="BQ52" s="259"/>
      <c r="BR52" s="259"/>
      <c r="BS52" s="259"/>
      <c r="BT52" s="259"/>
      <c r="BU52" s="259"/>
      <c r="BV52" s="259"/>
      <c r="BW52" s="259"/>
      <c r="BX52" s="259"/>
      <c r="BY52" s="259"/>
      <c r="BZ52" s="259"/>
      <c r="CA52" s="259"/>
      <c r="CB52" s="259"/>
      <c r="CC52" s="259"/>
      <c r="CD52" s="259"/>
      <c r="CT52" s="259"/>
      <c r="CU52" s="259"/>
      <c r="CV52" s="259"/>
      <c r="CW52" s="259"/>
      <c r="CX52" s="259"/>
      <c r="CZ52"/>
    </row>
    <row r="53" spans="1:104">
      <c r="A53" s="636" t="s">
        <v>524</v>
      </c>
      <c r="B53" s="640"/>
      <c r="C53" s="640"/>
      <c r="D53" s="640"/>
      <c r="E53" s="640"/>
      <c r="F53" s="640"/>
      <c r="G53" s="640"/>
      <c r="H53" s="640"/>
      <c r="I53" s="640"/>
      <c r="J53" s="640"/>
      <c r="K53" s="640"/>
      <c r="L53" s="640"/>
      <c r="M53" s="640"/>
      <c r="N53" s="640"/>
      <c r="O53" s="640"/>
      <c r="P53" s="640"/>
      <c r="Q53" s="640"/>
      <c r="R53" s="640"/>
      <c r="S53" s="640"/>
      <c r="T53" s="640"/>
      <c r="U53" s="640"/>
      <c r="V53" s="640"/>
      <c r="W53" s="640"/>
      <c r="X53" s="640"/>
      <c r="Y53" s="640"/>
      <c r="Z53" s="640"/>
      <c r="AA53" s="640"/>
      <c r="AB53" s="640"/>
      <c r="AC53" s="640"/>
      <c r="AD53" s="640"/>
      <c r="AE53" s="640"/>
      <c r="AF53" s="640"/>
      <c r="AG53" s="640"/>
      <c r="AH53" s="640"/>
      <c r="AI53" s="640"/>
      <c r="AJ53" s="640"/>
      <c r="AK53" s="640"/>
      <c r="AL53" s="640"/>
      <c r="AM53" s="640"/>
      <c r="AN53" s="640"/>
      <c r="AO53" s="640"/>
      <c r="AP53" s="640"/>
      <c r="AQ53" s="640"/>
      <c r="AR53" s="640"/>
      <c r="AS53" s="640"/>
      <c r="AT53" s="640"/>
      <c r="AU53" s="640"/>
      <c r="AV53" s="640"/>
      <c r="AW53" s="640"/>
      <c r="AX53" s="640"/>
      <c r="AY53" s="640"/>
      <c r="AZ53" s="640"/>
      <c r="BA53" s="640"/>
      <c r="BB53" s="640"/>
      <c r="BC53" s="640"/>
      <c r="BD53" s="640"/>
      <c r="BE53" s="640"/>
      <c r="BF53" s="640"/>
      <c r="BG53" s="640"/>
      <c r="BH53" s="640"/>
      <c r="BI53" s="640"/>
      <c r="BJ53" s="640"/>
      <c r="BK53" s="640"/>
      <c r="BL53" s="640"/>
      <c r="BM53" s="640"/>
      <c r="BN53" s="640"/>
      <c r="BO53" s="640"/>
      <c r="BP53" s="640"/>
      <c r="BQ53" s="640"/>
      <c r="BR53" s="640"/>
      <c r="BS53" s="640"/>
      <c r="BT53" s="640"/>
      <c r="BU53" s="640"/>
      <c r="BV53" s="640"/>
      <c r="BW53" s="640"/>
      <c r="BX53" s="640"/>
      <c r="BY53" s="640"/>
      <c r="BZ53" s="640"/>
      <c r="CA53" s="640"/>
      <c r="CB53" s="640"/>
      <c r="CC53" s="640"/>
      <c r="CD53" s="640"/>
      <c r="CE53" s="640"/>
      <c r="CF53" s="640"/>
      <c r="CG53" s="640"/>
      <c r="CH53" s="640"/>
      <c r="CI53" s="640"/>
      <c r="CJ53" s="640"/>
      <c r="CK53" s="640"/>
      <c r="CL53" s="640"/>
      <c r="CM53" s="640"/>
      <c r="CN53" s="640"/>
      <c r="CO53" s="640"/>
      <c r="CP53" s="640"/>
      <c r="CQ53" s="640"/>
      <c r="CR53" s="640"/>
      <c r="CS53" s="640"/>
      <c r="CT53" s="640"/>
      <c r="CU53" s="640"/>
      <c r="CV53" s="640"/>
      <c r="CW53" s="640"/>
      <c r="CX53" s="640"/>
      <c r="CZ53"/>
    </row>
    <row r="54" spans="1:104">
      <c r="A54" s="622" t="s">
        <v>515</v>
      </c>
      <c r="W54" s="623"/>
      <c r="X54" s="623"/>
      <c r="Y54" s="623"/>
      <c r="Z54" s="623"/>
      <c r="AA54" s="623"/>
      <c r="AB54" s="623"/>
      <c r="AC54" s="623"/>
      <c r="AD54" s="623"/>
      <c r="AE54" s="623"/>
      <c r="AF54" s="623"/>
      <c r="AG54" s="623"/>
      <c r="AH54" s="623"/>
      <c r="AI54" s="623"/>
      <c r="AJ54" s="623"/>
      <c r="AK54" s="623"/>
      <c r="AL54" s="623"/>
      <c r="BJ54" s="624"/>
      <c r="BK54" s="624"/>
      <c r="BL54" s="624"/>
      <c r="BM54" s="624"/>
      <c r="BN54" s="624"/>
      <c r="BO54" s="624"/>
      <c r="BP54" s="624">
        <v>13</v>
      </c>
      <c r="BQ54" s="624">
        <v>315</v>
      </c>
      <c r="BR54" s="624">
        <f t="shared" ref="BR54:BY54" si="54">BQ54*(1+BR55)</f>
      </c>
      <c r="BS54" s="624">
        <f t="shared" si="54"/>
      </c>
      <c r="BT54" s="624">
        <f>BS54*(1+BT55)</f>
      </c>
      <c r="BU54" s="624">
        <f t="shared" si="54"/>
      </c>
      <c r="BV54" s="624">
        <f t="shared" si="54"/>
      </c>
      <c r="BW54" s="624">
        <f t="shared" si="54"/>
      </c>
      <c r="BX54" s="624">
        <f t="shared" si="54"/>
      </c>
      <c r="BY54" s="624">
        <f t="shared" si="54"/>
      </c>
      <c r="BZ54" s="624">
        <f>BY54*(1+BZ55)</f>
      </c>
      <c r="CA54" s="624">
        <f>BZ54*(1+CA55)</f>
      </c>
      <c r="CB54" s="624">
        <f>CA54*(1+CB55)</f>
      </c>
      <c r="CC54" s="624">
        <f>CB54*(1+CC55)</f>
      </c>
      <c r="CD54" s="624"/>
      <c r="CE54" s="624"/>
      <c r="CF54" s="624"/>
      <c r="CG54" s="624"/>
      <c r="CH54" s="624"/>
      <c r="CI54" s="624"/>
      <c r="CJ54" s="624"/>
      <c r="CK54" s="624"/>
      <c r="CL54" s="624"/>
      <c r="CM54" s="624"/>
      <c r="CN54" s="624"/>
      <c r="CO54" s="624"/>
      <c r="CP54" s="624"/>
      <c r="CQ54" s="624"/>
      <c r="CR54" s="624"/>
      <c r="CS54" s="624"/>
      <c r="CT54" s="624"/>
      <c r="CU54" s="624">
        <f>SUM(BN54:BQ54)</f>
      </c>
      <c r="CV54" s="624">
        <f>SUM(BR54:BU54)</f>
      </c>
      <c r="CW54" s="624">
        <f>SUM(BV54:BY54)</f>
      </c>
      <c r="CX54" s="624">
        <f>SUM(BZ54:CC54)</f>
      </c>
      <c r="CZ54"/>
    </row>
    <row r="55" spans="1:104">
      <c r="A55" s="625" t="s">
        <v>511</v>
      </c>
      <c r="W55" s="626"/>
      <c r="X55" s="626"/>
      <c r="Y55" s="626"/>
      <c r="Z55" s="626"/>
      <c r="AA55" s="626"/>
      <c r="AB55" s="626"/>
      <c r="AC55" s="626"/>
      <c r="AD55" s="626"/>
      <c r="AE55" s="626"/>
      <c r="AF55" s="626"/>
      <c r="AG55" s="626"/>
      <c r="AH55" s="626"/>
      <c r="AI55" s="626"/>
      <c r="AJ55" s="626"/>
      <c r="AK55" s="626"/>
      <c r="AL55" s="626"/>
      <c r="BJ55" s="259"/>
      <c r="BK55" s="259"/>
      <c r="BL55" s="627"/>
      <c r="BM55" s="627"/>
      <c r="BN55" s="627"/>
      <c r="BO55" s="627"/>
      <c r="BP55" s="627">
        <v>0</v>
      </c>
      <c r="BQ55" s="627">
        <f>BQ54/BP54-1</f>
      </c>
      <c r="BR55" s="627">
        <v>1.17</v>
      </c>
      <c r="BS55" s="627">
        <v>-0.4</v>
      </c>
      <c r="BT55" s="627">
        <v>-0.05</v>
      </c>
      <c r="BU55" s="627">
        <v>-0.15</v>
      </c>
      <c r="BV55" s="627">
        <v>-0.3</v>
      </c>
      <c r="BW55" s="627">
        <v>-0.3</v>
      </c>
      <c r="BX55" s="627">
        <v>-0.5</v>
      </c>
      <c r="BY55" s="627">
        <v>-1</v>
      </c>
      <c r="BZ55" s="627">
        <v>0</v>
      </c>
      <c r="CA55" s="627">
        <v>0</v>
      </c>
      <c r="CB55" s="627">
        <v>0</v>
      </c>
      <c r="CC55" s="627">
        <v>0</v>
      </c>
      <c r="CD55" s="259"/>
      <c r="CE55" s="259"/>
      <c r="CF55" s="259"/>
      <c r="CG55" s="259"/>
      <c r="CH55" s="259"/>
      <c r="CI55" s="259"/>
      <c r="CJ55" s="259"/>
      <c r="CK55" s="259"/>
      <c r="CL55" s="259"/>
      <c r="CM55" s="259"/>
      <c r="CN55" s="259"/>
      <c r="CO55" s="259"/>
      <c r="CP55" s="259"/>
      <c r="CQ55" s="259"/>
      <c r="CR55" s="259"/>
      <c r="CS55" s="259"/>
      <c r="CT55" s="259"/>
      <c r="CU55" s="628" t="s">
        <v>197</v>
      </c>
      <c r="CV55" s="259"/>
      <c r="CW55" s="259"/>
      <c r="CX55" s="259"/>
      <c r="CZ55"/>
    </row>
    <row r="56" spans="1:104">
      <c r="A56" s="625" t="s">
        <v>512</v>
      </c>
      <c r="W56" s="626"/>
      <c r="X56" s="626"/>
      <c r="Y56" s="626"/>
      <c r="Z56" s="626"/>
      <c r="AA56" s="626"/>
      <c r="AB56" s="626"/>
      <c r="AC56" s="626"/>
      <c r="AD56" s="626"/>
      <c r="AE56" s="626"/>
      <c r="AF56" s="626"/>
      <c r="AG56" s="626"/>
      <c r="AH56" s="626"/>
      <c r="AI56" s="626"/>
      <c r="AJ56" s="626"/>
      <c r="AK56" s="626"/>
      <c r="AL56" s="626"/>
      <c r="BJ56" s="259"/>
      <c r="BK56" s="259"/>
      <c r="BL56" s="259"/>
      <c r="BM56" s="259"/>
      <c r="BN56" s="259"/>
      <c r="BO56" s="259"/>
      <c r="BP56" s="259"/>
      <c r="BQ56" s="259"/>
      <c r="BR56" s="259"/>
      <c r="BS56" s="259"/>
      <c r="BT56" s="259"/>
      <c r="BU56" s="259"/>
      <c r="BV56" s="259"/>
      <c r="BW56" s="259"/>
      <c r="BX56" s="259"/>
      <c r="BY56" s="259"/>
      <c r="BZ56" s="259"/>
      <c r="CA56" s="259"/>
      <c r="CB56" s="259"/>
      <c r="CC56" s="259"/>
      <c r="CD56" s="259"/>
      <c r="CE56" s="259"/>
      <c r="CF56" s="259"/>
      <c r="CG56" s="259"/>
      <c r="CH56" s="259"/>
      <c r="CI56" s="259"/>
      <c r="CJ56" s="259"/>
      <c r="CK56" s="259"/>
      <c r="CL56" s="259"/>
      <c r="CM56" s="259"/>
      <c r="CN56" s="259"/>
      <c r="CO56" s="259"/>
      <c r="CP56" s="259"/>
      <c r="CQ56" s="259"/>
      <c r="CR56" s="259"/>
      <c r="CS56" s="259"/>
      <c r="CT56" s="259"/>
      <c r="CU56" s="259"/>
      <c r="CV56" s="260">
        <f>CV54/CU54-1</f>
      </c>
      <c r="CW56" s="260">
        <f>CW54/CV54-1</f>
      </c>
      <c r="CX56" s="260">
        <f>CX54/CW54-1</f>
      </c>
      <c r="CZ56"/>
    </row>
    <row r="57" spans="1:104">
      <c r="A57" s="625" t="s">
        <v>516</v>
      </c>
      <c r="W57" s="626"/>
      <c r="X57" s="626"/>
      <c r="Y57" s="626"/>
      <c r="Z57" s="626"/>
      <c r="AA57" s="626"/>
      <c r="AB57" s="626"/>
      <c r="AC57" s="626"/>
      <c r="AD57" s="626"/>
      <c r="AE57" s="626"/>
      <c r="AF57" s="626"/>
      <c r="AG57" s="626"/>
      <c r="AH57" s="626"/>
      <c r="AI57" s="626"/>
      <c r="AJ57" s="626"/>
      <c r="AK57" s="626"/>
      <c r="AL57" s="626"/>
      <c r="BJ57" s="259"/>
      <c r="BK57" s="259"/>
      <c r="BL57" s="259"/>
      <c r="BM57" s="259"/>
      <c r="BN57" s="259"/>
      <c r="BO57" s="259"/>
      <c r="BP57" s="627">
        <f t="shared" ref="BP57:CC57" si="55">BP54/BP101</f>
      </c>
      <c r="BQ57" s="627">
        <f t="shared" si="55"/>
      </c>
      <c r="BR57" s="627">
        <f t="shared" si="55"/>
      </c>
      <c r="BS57" s="627">
        <f t="shared" si="55"/>
      </c>
      <c r="BT57" s="627">
        <f t="shared" si="55"/>
      </c>
      <c r="BU57" s="627">
        <f t="shared" si="55"/>
      </c>
      <c r="BV57" s="627">
        <f t="shared" si="55"/>
      </c>
      <c r="BW57" s="627">
        <f t="shared" si="55"/>
      </c>
      <c r="BX57" s="627">
        <f t="shared" si="55"/>
      </c>
      <c r="BY57" s="627">
        <f t="shared" si="55"/>
      </c>
      <c r="BZ57" s="627">
        <f t="shared" si="55"/>
      </c>
      <c r="CA57" s="627">
        <f t="shared" si="55"/>
      </c>
      <c r="CB57" s="627">
        <f t="shared" si="55"/>
      </c>
      <c r="CC57" s="627">
        <f t="shared" si="55"/>
      </c>
      <c r="CD57" s="259"/>
      <c r="CE57" s="259"/>
      <c r="CF57" s="259"/>
      <c r="CG57" s="259"/>
      <c r="CH57" s="259"/>
      <c r="CI57" s="259"/>
      <c r="CJ57" s="259"/>
      <c r="CK57" s="259"/>
      <c r="CL57" s="259"/>
      <c r="CM57" s="259"/>
      <c r="CN57" s="259"/>
      <c r="CO57" s="259"/>
      <c r="CP57" s="259"/>
      <c r="CQ57" s="259"/>
      <c r="CR57" s="259"/>
      <c r="CS57" s="259"/>
      <c r="CT57" s="259"/>
      <c r="CU57" s="627">
        <f>CU54/CU101</f>
      </c>
      <c r="CV57" s="627">
        <f>CV54/CV101</f>
      </c>
      <c r="CW57" s="627">
        <f>CW54/CW101</f>
      </c>
      <c r="CX57" s="627">
        <f>CX54/CX101</f>
      </c>
      <c r="CZ57"/>
    </row>
    <row r="58" spans="1:104">
      <c r="A58" s="622" t="s">
        <v>521</v>
      </c>
      <c r="W58" s="623"/>
      <c r="X58" s="623"/>
      <c r="Y58" s="623"/>
      <c r="Z58" s="623"/>
      <c r="AA58" s="623"/>
      <c r="AB58" s="623"/>
      <c r="AC58" s="623"/>
      <c r="AD58" s="623"/>
      <c r="AE58" s="623"/>
      <c r="AF58" s="623"/>
      <c r="AG58" s="623"/>
      <c r="AH58" s="623"/>
      <c r="AI58" s="623"/>
      <c r="AJ58" s="623"/>
      <c r="AK58" s="623"/>
      <c r="AL58" s="623"/>
      <c r="BJ58" s="624"/>
      <c r="BK58" s="630"/>
      <c r="BL58" s="624"/>
      <c r="BM58" s="624"/>
      <c r="BN58" s="624"/>
      <c r="BO58" s="624"/>
      <c r="BP58" s="624">
        <v>35000</v>
      </c>
      <c r="BQ58" s="624">
        <f t="shared" ref="BQ58:BY58" si="56">BP58</f>
      </c>
      <c r="BR58" s="624">
        <f t="shared" si="56"/>
      </c>
      <c r="BS58" s="624">
        <f t="shared" si="56"/>
      </c>
      <c r="BT58" s="624">
        <f t="shared" si="56"/>
      </c>
      <c r="BU58" s="624">
        <f t="shared" si="56"/>
      </c>
      <c r="BV58" s="624">
        <f t="shared" si="56"/>
      </c>
      <c r="BW58" s="624">
        <f t="shared" si="56"/>
      </c>
      <c r="BX58" s="624">
        <f t="shared" si="56"/>
      </c>
      <c r="BY58" s="624">
        <f t="shared" si="56"/>
      </c>
      <c r="BZ58" s="624">
        <f>BY58</f>
      </c>
      <c r="CA58" s="624">
        <f>BZ58</f>
      </c>
      <c r="CB58" s="624">
        <f>CA58</f>
      </c>
      <c r="CC58" s="624">
        <f>CB58</f>
      </c>
      <c r="CD58" s="624"/>
      <c r="CE58" s="624"/>
      <c r="CF58" s="624"/>
      <c r="CG58" s="624"/>
      <c r="CH58" s="624"/>
      <c r="CI58" s="624"/>
      <c r="CJ58" s="624"/>
      <c r="CK58" s="624"/>
      <c r="CL58" s="624"/>
      <c r="CM58" s="624"/>
      <c r="CN58" s="624"/>
      <c r="CO58" s="624"/>
      <c r="CP58" s="624"/>
      <c r="CQ58" s="624"/>
      <c r="CR58" s="624"/>
      <c r="CS58" s="624"/>
      <c r="CT58" s="624"/>
      <c r="CU58" s="624"/>
      <c r="CV58" s="624"/>
      <c r="CW58" s="624"/>
      <c r="CX58" s="624"/>
      <c r="CZ58"/>
    </row>
    <row r="59" spans="1:104">
      <c r="A59" s="631" t="s">
        <v>523</v>
      </c>
      <c r="W59" s="632"/>
      <c r="X59" s="632"/>
      <c r="Y59" s="632"/>
      <c r="Z59" s="632"/>
      <c r="AA59" s="632"/>
      <c r="AB59" s="632"/>
      <c r="AC59" s="632"/>
      <c r="AD59" s="632"/>
      <c r="AE59" s="632"/>
      <c r="AF59" s="632"/>
      <c r="AG59" s="632"/>
      <c r="AH59" s="632"/>
      <c r="AI59" s="632"/>
      <c r="AJ59" s="632"/>
      <c r="AK59" s="632"/>
      <c r="AL59" s="632"/>
      <c r="BJ59" s="633"/>
      <c r="BK59" s="633"/>
      <c r="BL59" s="633"/>
      <c r="BM59" s="633"/>
      <c r="BN59" s="633"/>
      <c r="BO59" s="633"/>
      <c r="BP59" s="633">
        <f t="shared" ref="BP59:BY59" si="57">BP58*BP54/1000</f>
      </c>
      <c r="BQ59" s="633">
        <f t="shared" si="57"/>
      </c>
      <c r="BR59" s="633">
        <f t="shared" si="57"/>
      </c>
      <c r="BS59" s="633">
        <f t="shared" si="57"/>
      </c>
      <c r="BT59" s="633">
        <f t="shared" si="57"/>
      </c>
      <c r="BU59" s="633">
        <f t="shared" si="57"/>
      </c>
      <c r="BV59" s="633">
        <f t="shared" si="57"/>
      </c>
      <c r="BW59" s="633">
        <f t="shared" si="57"/>
      </c>
      <c r="BX59" s="633">
        <f t="shared" si="57"/>
      </c>
      <c r="BY59" s="633">
        <f t="shared" si="57"/>
      </c>
      <c r="BZ59" s="633">
        <f>BZ58*BZ54/1000</f>
      </c>
      <c r="CA59" s="633">
        <f>CA58*CA54/1000</f>
      </c>
      <c r="CB59" s="633">
        <f>CB58*CB54/1000</f>
      </c>
      <c r="CC59" s="633">
        <f>CC58*CC54/1000</f>
      </c>
      <c r="CD59" s="633"/>
      <c r="CE59" s="633"/>
      <c r="CF59" s="633"/>
      <c r="CG59" s="633"/>
      <c r="CH59" s="633"/>
      <c r="CI59" s="633"/>
      <c r="CJ59" s="633"/>
      <c r="CK59" s="633"/>
      <c r="CL59" s="633"/>
      <c r="CM59" s="633"/>
      <c r="CN59" s="633"/>
      <c r="CO59" s="633"/>
      <c r="CP59" s="633"/>
      <c r="CQ59" s="633"/>
      <c r="CR59" s="633"/>
      <c r="CS59" s="633"/>
      <c r="CT59" s="633"/>
      <c r="CU59" s="633">
        <f>SUM(BN59:BQ59)</f>
      </c>
      <c r="CV59" s="633">
        <f>SUM(BR59:BU59)</f>
      </c>
      <c r="CW59" s="633">
        <f>SUM(BV59:BY59)</f>
      </c>
      <c r="CX59" s="624">
        <f>SUM(BZ59:CC59)</f>
      </c>
      <c r="CZ59"/>
    </row>
    <row r="60" spans="1:104">
      <c r="A60" s="625" t="s">
        <v>511</v>
      </c>
      <c r="W60" s="632"/>
      <c r="X60" s="632"/>
      <c r="Y60" s="632"/>
      <c r="Z60" s="632"/>
      <c r="AA60" s="632"/>
      <c r="AB60" s="632"/>
      <c r="AC60" s="632"/>
      <c r="AD60" s="632"/>
      <c r="AE60" s="632"/>
      <c r="AF60" s="632"/>
      <c r="AG60" s="632"/>
      <c r="AH60" s="632"/>
      <c r="AI60" s="632"/>
      <c r="AJ60" s="632"/>
      <c r="AK60" s="632"/>
      <c r="AL60" s="632"/>
      <c r="BJ60" s="633"/>
      <c r="BK60" s="634"/>
      <c r="BL60" s="634"/>
      <c r="BM60" s="634"/>
      <c r="BN60" s="634"/>
      <c r="BO60" s="634"/>
      <c r="BP60" s="634"/>
      <c r="BQ60" s="634">
        <f t="shared" ref="BQ60:BY60" si="58">BQ59/BP59-1</f>
      </c>
      <c r="BR60" s="634">
        <f t="shared" si="58"/>
      </c>
      <c r="BS60" s="634">
        <f t="shared" si="58"/>
      </c>
      <c r="BT60" s="634">
        <f t="shared" si="58"/>
      </c>
      <c r="BU60" s="634">
        <f t="shared" si="58"/>
      </c>
      <c r="BV60" s="634">
        <f t="shared" si="58"/>
      </c>
      <c r="BW60" s="634">
        <f t="shared" si="58"/>
      </c>
      <c r="BX60" s="634">
        <f t="shared" si="58"/>
      </c>
      <c r="BY60" s="634">
        <f t="shared" si="58"/>
      </c>
      <c r="BZ60" s="634" t="e">
        <f>BZ59/BY59-1</f>
      </c>
      <c r="CA60" s="634" t="e">
        <f>CA59/BZ59-1</f>
      </c>
      <c r="CB60" s="634" t="e">
        <f>CB59/CA59-1</f>
      </c>
      <c r="CC60" s="634" t="e">
        <f>CC59/CB59-1</f>
      </c>
      <c r="CD60" s="633"/>
      <c r="CE60" s="633"/>
      <c r="CF60" s="633"/>
      <c r="CG60" s="633"/>
      <c r="CH60" s="633"/>
      <c r="CI60" s="633"/>
      <c r="CJ60" s="633"/>
      <c r="CK60" s="633"/>
      <c r="CL60" s="633"/>
      <c r="CM60" s="633"/>
      <c r="CN60" s="633"/>
      <c r="CO60" s="633"/>
      <c r="CP60" s="633"/>
      <c r="CQ60" s="633"/>
      <c r="CR60" s="633"/>
      <c r="CS60" s="633"/>
      <c r="CT60" s="633"/>
      <c r="CU60" s="633"/>
      <c r="CV60" s="633"/>
      <c r="CW60" s="633"/>
      <c r="CX60" s="633"/>
      <c r="CZ60"/>
    </row>
    <row r="61" spans="1:104">
      <c r="A61" s="625" t="s">
        <v>512</v>
      </c>
      <c r="W61" s="632"/>
      <c r="X61" s="632"/>
      <c r="Y61" s="632"/>
      <c r="Z61" s="632"/>
      <c r="AA61" s="632"/>
      <c r="AB61" s="632"/>
      <c r="AC61" s="632"/>
      <c r="AD61" s="632"/>
      <c r="AE61" s="632"/>
      <c r="AF61" s="632"/>
      <c r="AG61" s="632"/>
      <c r="AH61" s="632"/>
      <c r="AI61" s="632"/>
      <c r="AJ61" s="632"/>
      <c r="AK61" s="632"/>
      <c r="AL61" s="632"/>
      <c r="BJ61" s="633"/>
      <c r="BK61" s="633"/>
      <c r="BL61" s="633"/>
      <c r="BM61" s="633"/>
      <c r="BN61" s="634"/>
      <c r="BO61" s="634"/>
      <c r="BP61" s="634"/>
      <c r="BQ61" s="634"/>
      <c r="BR61" s="634"/>
      <c r="BS61" s="634"/>
      <c r="BT61" s="634">
        <f t="shared" ref="BT61:BY61" si="59">BT59/BP59-1</f>
      </c>
      <c r="BU61" s="634">
        <f t="shared" si="59"/>
      </c>
      <c r="BV61" s="634">
        <f t="shared" si="59"/>
      </c>
      <c r="BW61" s="634">
        <f t="shared" si="59"/>
      </c>
      <c r="BX61" s="634">
        <f t="shared" si="59"/>
      </c>
      <c r="BY61" s="634">
        <f t="shared" si="59"/>
      </c>
      <c r="BZ61" s="634">
        <f>BZ59/BV59-1</f>
      </c>
      <c r="CA61" s="634">
        <f>CA59/BW59-1</f>
      </c>
      <c r="CB61" s="634">
        <f>CB59/BX59-1</f>
      </c>
      <c r="CC61" s="634" t="e">
        <f>CC59/BY59-1</f>
      </c>
      <c r="CD61" s="633"/>
      <c r="CE61" s="633"/>
      <c r="CF61" s="633"/>
      <c r="CG61" s="633"/>
      <c r="CH61" s="633"/>
      <c r="CI61" s="633"/>
      <c r="CJ61" s="633"/>
      <c r="CK61" s="633"/>
      <c r="CL61" s="633"/>
      <c r="CM61" s="633"/>
      <c r="CN61" s="633"/>
      <c r="CO61" s="633"/>
      <c r="CP61" s="633"/>
      <c r="CQ61" s="633"/>
      <c r="CR61" s="633"/>
      <c r="CS61" s="633"/>
      <c r="CT61" s="633"/>
      <c r="CU61" s="633"/>
      <c r="CV61" s="634">
        <f>+CV59/CU59-1</f>
      </c>
      <c r="CW61" s="634">
        <f>+CW59/CV59-1</f>
      </c>
      <c r="CX61" s="634">
        <f>+CX59/CW59-1</f>
      </c>
      <c r="CZ61"/>
    </row>
    <row r="62" spans="1:104">
      <c r="A62" s="625" t="s">
        <v>519</v>
      </c>
      <c r="W62" s="632"/>
      <c r="X62" s="632"/>
      <c r="Y62" s="632"/>
      <c r="Z62" s="632"/>
      <c r="AA62" s="632"/>
      <c r="AB62" s="632"/>
      <c r="AC62" s="632"/>
      <c r="AD62" s="632"/>
      <c r="AE62" s="632"/>
      <c r="AF62" s="632"/>
      <c r="AG62" s="632"/>
      <c r="AH62" s="632"/>
      <c r="AI62" s="632"/>
      <c r="AJ62" s="632"/>
      <c r="AK62" s="632"/>
      <c r="AL62" s="632"/>
      <c r="BJ62" s="634">
        <f t="shared" ref="BJ62:CC62" si="60">BJ59/BJ$109</f>
      </c>
      <c r="BK62" s="634">
        <f t="shared" si="60"/>
      </c>
      <c r="BL62" s="634">
        <f t="shared" si="60"/>
      </c>
      <c r="BM62" s="634">
        <f t="shared" si="60"/>
      </c>
      <c r="BN62" s="634">
        <f t="shared" si="60"/>
      </c>
      <c r="BO62" s="634">
        <f t="shared" si="60"/>
      </c>
      <c r="BP62" s="634">
        <f t="shared" si="60"/>
      </c>
      <c r="BQ62" s="634">
        <f t="shared" si="60"/>
      </c>
      <c r="BR62" s="634">
        <f t="shared" si="60"/>
      </c>
      <c r="BS62" s="634">
        <f t="shared" si="60"/>
      </c>
      <c r="BT62" s="634">
        <f t="shared" si="60"/>
      </c>
      <c r="BU62" s="634">
        <f t="shared" si="60"/>
      </c>
      <c r="BV62" s="634">
        <f t="shared" si="60"/>
      </c>
      <c r="BW62" s="634">
        <f t="shared" si="60"/>
      </c>
      <c r="BX62" s="634">
        <f t="shared" si="60"/>
      </c>
      <c r="BY62" s="634">
        <f t="shared" si="60"/>
      </c>
      <c r="BZ62" s="634">
        <f t="shared" si="60"/>
      </c>
      <c r="CA62" s="634">
        <f t="shared" si="60"/>
      </c>
      <c r="CB62" s="634">
        <f t="shared" si="60"/>
      </c>
      <c r="CC62" s="634">
        <f t="shared" si="60"/>
      </c>
      <c r="CD62" s="633"/>
      <c r="CE62" s="633"/>
      <c r="CF62" s="633"/>
      <c r="CG62" s="633"/>
      <c r="CH62" s="633"/>
      <c r="CI62" s="633"/>
      <c r="CJ62" s="633"/>
      <c r="CK62" s="633"/>
      <c r="CL62" s="633"/>
      <c r="CM62" s="633"/>
      <c r="CN62" s="633"/>
      <c r="CO62" s="633"/>
      <c r="CP62" s="633"/>
      <c r="CQ62" s="633"/>
      <c r="CR62" s="633"/>
      <c r="CS62" s="633"/>
      <c r="CT62" s="633"/>
      <c r="CU62" s="634">
        <f>+CU59/CU$15</f>
      </c>
      <c r="CV62" s="634">
        <f>+CV59/CV$15</f>
      </c>
      <c r="CW62" s="634">
        <f>+CW59/CW$15</f>
      </c>
      <c r="CX62" s="634">
        <f>+CX59/CX$15</f>
      </c>
      <c r="CZ62"/>
    </row>
    <row r="63" spans="1:104">
      <c r="A63" s="635"/>
      <c r="W63" s="626"/>
      <c r="X63" s="626"/>
      <c r="Y63" s="626"/>
      <c r="Z63" s="626"/>
      <c r="AA63" s="626"/>
      <c r="AB63" s="626"/>
      <c r="AC63" s="626"/>
      <c r="AD63" s="626"/>
      <c r="AE63" s="626"/>
      <c r="AF63" s="626"/>
      <c r="AG63" s="626"/>
      <c r="AH63" s="626"/>
      <c r="AI63" s="626"/>
      <c r="AJ63" s="626"/>
      <c r="AK63" s="626"/>
      <c r="AL63" s="626"/>
      <c r="BJ63" s="259"/>
      <c r="BK63" s="259"/>
      <c r="BL63" s="259"/>
      <c r="BM63" s="259"/>
      <c r="BN63" s="259"/>
      <c r="BO63" s="259"/>
      <c r="BP63" s="259"/>
      <c r="BQ63" s="259"/>
      <c r="BR63" s="259"/>
      <c r="BS63" s="259"/>
      <c r="BT63" s="259"/>
      <c r="BU63" s="259"/>
      <c r="BV63" s="259"/>
      <c r="BW63" s="259"/>
      <c r="BX63" s="259"/>
      <c r="BY63" s="259"/>
      <c r="BZ63" s="259"/>
      <c r="CA63" s="259"/>
      <c r="CB63" s="259"/>
      <c r="CC63" s="259"/>
      <c r="CD63" s="259"/>
      <c r="CE63" s="259"/>
      <c r="CF63" s="259"/>
      <c r="CG63" s="259"/>
      <c r="CH63" s="259"/>
      <c r="CI63" s="259"/>
      <c r="CJ63" s="259"/>
      <c r="CK63" s="259"/>
      <c r="CL63" s="259"/>
      <c r="CM63" s="259"/>
      <c r="CN63" s="259"/>
      <c r="CO63" s="259"/>
      <c r="CP63" s="259"/>
      <c r="CQ63" s="259"/>
      <c r="CR63" s="259"/>
      <c r="CS63" s="259"/>
      <c r="CT63" s="259"/>
      <c r="CU63" s="259"/>
      <c r="CV63" s="259"/>
      <c r="CW63" s="259"/>
      <c r="CX63" s="259"/>
      <c r="CZ63"/>
    </row>
    <row r="64" spans="1:104">
      <c r="A64" s="636" t="s">
        <v>525</v>
      </c>
      <c r="B64" s="259"/>
      <c r="C64" s="259"/>
      <c r="D64" s="259"/>
      <c r="E64" s="259"/>
      <c r="F64" s="259"/>
      <c r="G64" s="259"/>
      <c r="H64" s="259"/>
      <c r="I64" s="259"/>
      <c r="J64" s="259"/>
      <c r="K64" s="259"/>
      <c r="L64" s="259"/>
      <c r="M64" s="259"/>
      <c r="N64" s="259"/>
      <c r="O64" s="259"/>
      <c r="P64" s="259"/>
      <c r="Q64" s="259"/>
      <c r="R64" s="259"/>
      <c r="S64" s="259"/>
      <c r="T64" s="259"/>
      <c r="U64" s="259"/>
      <c r="V64" s="259"/>
      <c r="W64" s="259"/>
      <c r="X64" s="259"/>
      <c r="Y64" s="259"/>
      <c r="Z64" s="259"/>
      <c r="AA64" s="259"/>
      <c r="AB64" s="259"/>
      <c r="AC64" s="259"/>
      <c r="AD64" s="259"/>
      <c r="AE64" s="259"/>
      <c r="AF64" s="259"/>
      <c r="AG64" s="259"/>
      <c r="AH64" s="259"/>
      <c r="AI64" s="259"/>
      <c r="AJ64" s="259"/>
      <c r="AK64" s="259"/>
      <c r="AL64" s="259"/>
      <c r="AM64" s="259"/>
      <c r="AN64" s="259"/>
      <c r="AO64" s="259"/>
      <c r="AP64" s="259"/>
      <c r="AQ64" s="259"/>
      <c r="AR64" s="259"/>
      <c r="AS64" s="259"/>
      <c r="AT64" s="259"/>
      <c r="AU64" s="259"/>
      <c r="AV64" s="259"/>
      <c r="AW64" s="259"/>
      <c r="AX64" s="259"/>
      <c r="AY64" s="259"/>
      <c r="AZ64" s="259"/>
      <c r="BA64" s="259"/>
      <c r="BB64" s="259"/>
      <c r="BC64" s="259"/>
      <c r="BD64" s="259"/>
      <c r="BE64" s="259"/>
      <c r="BF64" s="259"/>
      <c r="BG64" s="259"/>
      <c r="BH64" s="259"/>
      <c r="BI64" s="259"/>
      <c r="BJ64" s="259"/>
      <c r="BK64" s="259"/>
      <c r="BL64" s="259"/>
      <c r="BM64" s="259"/>
      <c r="BN64" s="259"/>
      <c r="BO64" s="259"/>
      <c r="BP64" s="259"/>
      <c r="BQ64" s="259"/>
      <c r="BR64" s="259"/>
      <c r="BS64" s="259"/>
      <c r="BT64" s="259"/>
      <c r="BU64" s="259"/>
      <c r="BV64" s="259"/>
      <c r="BW64" s="259"/>
      <c r="BX64" s="259"/>
      <c r="BY64" s="259"/>
      <c r="BZ64" s="259"/>
      <c r="CA64" s="259"/>
      <c r="CB64" s="259"/>
      <c r="CC64" s="259"/>
      <c r="CD64" s="259"/>
      <c r="CE64" s="259"/>
      <c r="CF64" s="259"/>
      <c r="CG64" s="259"/>
      <c r="CH64" s="259"/>
      <c r="CI64" s="259"/>
      <c r="CJ64" s="259"/>
      <c r="CK64" s="259"/>
      <c r="CL64" s="259"/>
      <c r="CM64" s="259"/>
      <c r="CN64" s="259"/>
      <c r="CO64" s="259"/>
      <c r="CP64" s="259"/>
      <c r="CQ64" s="259"/>
      <c r="CR64" s="259"/>
      <c r="CS64" s="259"/>
      <c r="CT64" s="259"/>
      <c r="CU64" s="259"/>
      <c r="CV64" s="259"/>
      <c r="CW64" s="259"/>
      <c r="CX64" s="259"/>
      <c r="CZ64"/>
    </row>
    <row r="65" spans="1:104">
      <c r="A65" s="622" t="s">
        <v>515</v>
      </c>
      <c r="B65" s="624"/>
      <c r="C65" s="624"/>
      <c r="D65" s="624"/>
      <c r="E65" s="624"/>
      <c r="F65" s="624"/>
      <c r="G65" s="624"/>
      <c r="H65" s="624"/>
      <c r="I65" s="624"/>
      <c r="J65" s="624"/>
      <c r="K65" s="624"/>
      <c r="L65" s="624"/>
      <c r="M65" s="624"/>
      <c r="N65" s="624"/>
      <c r="O65" s="624"/>
      <c r="P65" s="624"/>
      <c r="Q65" s="624"/>
      <c r="R65" s="624"/>
      <c r="S65" s="624"/>
      <c r="T65" s="624"/>
      <c r="U65" s="624"/>
      <c r="V65" s="624"/>
      <c r="W65" s="624"/>
      <c r="X65" s="624"/>
      <c r="Y65" s="624"/>
      <c r="Z65" s="624"/>
      <c r="AA65" s="624"/>
      <c r="AB65" s="624"/>
      <c r="AC65" s="624"/>
      <c r="AD65" s="624"/>
      <c r="AE65" s="624"/>
      <c r="AF65" s="624"/>
      <c r="AG65" s="624"/>
      <c r="AH65" s="624"/>
      <c r="AI65" s="624"/>
      <c r="AJ65" s="624"/>
      <c r="AK65" s="624"/>
      <c r="AL65" s="624"/>
      <c r="AM65" s="624"/>
      <c r="AN65" s="624"/>
      <c r="AO65" s="624"/>
      <c r="AP65" s="624"/>
      <c r="AQ65" s="624"/>
      <c r="AR65" s="624"/>
      <c r="AS65" s="624"/>
      <c r="AT65" s="624"/>
      <c r="AU65" s="624"/>
      <c r="AV65" s="624"/>
      <c r="AW65" s="624"/>
      <c r="AX65" s="624"/>
      <c r="AY65" s="624"/>
      <c r="AZ65" s="624"/>
      <c r="BA65" s="624"/>
      <c r="BB65" s="624"/>
      <c r="BC65" s="624"/>
      <c r="BD65" s="624"/>
      <c r="BE65" s="624"/>
      <c r="BF65" s="624"/>
      <c r="BG65" s="624"/>
      <c r="BH65" s="624"/>
      <c r="BI65" s="624"/>
      <c r="BJ65" s="624"/>
      <c r="BK65" s="624"/>
      <c r="BL65" s="624"/>
      <c r="BM65" s="624"/>
      <c r="BN65" s="624"/>
      <c r="BO65" s="624"/>
      <c r="BP65" s="240"/>
      <c r="BS65" s="624">
        <v>360</v>
      </c>
      <c r="BT65" s="624">
        <f>BS65*(1+BT66)</f>
      </c>
      <c r="BU65" s="624">
        <f t="shared" ref="BU65:CC65" si="61">BT65*(1+BU66)</f>
      </c>
      <c r="BV65" s="624">
        <f t="shared" si="61"/>
      </c>
      <c r="BW65" s="624">
        <f t="shared" si="61"/>
      </c>
      <c r="BX65" s="624">
        <f t="shared" si="61"/>
      </c>
      <c r="BY65" s="624">
        <f t="shared" si="61"/>
      </c>
      <c r="BZ65" s="624">
        <f t="shared" si="61"/>
      </c>
      <c r="CA65" s="624">
        <f t="shared" si="61"/>
      </c>
      <c r="CB65" s="624">
        <f t="shared" si="61"/>
      </c>
      <c r="CC65" s="624">
        <f t="shared" si="61"/>
      </c>
      <c r="CD65" s="624"/>
      <c r="CT65" s="624"/>
      <c r="CU65" s="624">
        <f>SUM(BN65:BQ65)</f>
      </c>
      <c r="CV65" s="624">
        <f>SUM(BR65:BU65)</f>
      </c>
      <c r="CW65" s="624">
        <f>SUM(BV65:BY65)</f>
      </c>
      <c r="CX65" s="624">
        <f>SUM(BZ65:CC65)</f>
      </c>
      <c r="CZ65"/>
    </row>
    <row r="66" spans="1:104">
      <c r="A66" s="625" t="s">
        <v>511</v>
      </c>
      <c r="B66" s="259"/>
      <c r="C66" s="259"/>
      <c r="D66" s="259"/>
      <c r="E66" s="259"/>
      <c r="F66" s="259"/>
      <c r="G66" s="259"/>
      <c r="H66" s="259"/>
      <c r="I66" s="259"/>
      <c r="J66" s="259"/>
      <c r="K66" s="259"/>
      <c r="L66" s="259"/>
      <c r="M66" s="259"/>
      <c r="N66" s="259"/>
      <c r="O66" s="259"/>
      <c r="P66" s="259"/>
      <c r="Q66" s="259"/>
      <c r="R66" s="259"/>
      <c r="S66" s="259"/>
      <c r="T66" s="259"/>
      <c r="U66" s="259"/>
      <c r="V66" s="259"/>
      <c r="W66" s="259"/>
      <c r="X66" s="259"/>
      <c r="Y66" s="259"/>
      <c r="Z66" s="259"/>
      <c r="AA66" s="259"/>
      <c r="AB66" s="259"/>
      <c r="AC66" s="259"/>
      <c r="AD66" s="259"/>
      <c r="AE66" s="259"/>
      <c r="AF66" s="259"/>
      <c r="AG66" s="259"/>
      <c r="AH66" s="259"/>
      <c r="AI66" s="259"/>
      <c r="AJ66" s="259"/>
      <c r="AK66" s="259"/>
      <c r="AL66" s="259"/>
      <c r="AM66" s="259"/>
      <c r="AN66" s="259"/>
      <c r="AO66" s="259"/>
      <c r="AP66" s="259"/>
      <c r="AQ66" s="259"/>
      <c r="AR66" s="259"/>
      <c r="AS66" s="259"/>
      <c r="AT66" s="259"/>
      <c r="AU66" s="259"/>
      <c r="AV66" s="259"/>
      <c r="AW66" s="259"/>
      <c r="AX66" s="259"/>
      <c r="AY66" s="259"/>
      <c r="AZ66" s="259"/>
      <c r="BA66" s="259"/>
      <c r="BB66" s="259"/>
      <c r="BC66" s="259"/>
      <c r="BD66" s="259"/>
      <c r="BE66" s="259"/>
      <c r="BF66" s="259"/>
      <c r="BG66" s="259"/>
      <c r="BH66" s="259"/>
      <c r="BI66" s="259"/>
      <c r="BJ66" s="259"/>
      <c r="BK66" s="259"/>
      <c r="BL66" s="627"/>
      <c r="BM66" s="627"/>
      <c r="BN66" s="627"/>
      <c r="BO66" s="627"/>
      <c r="BT66" s="627">
        <v>0.75</v>
      </c>
      <c r="BU66" s="627">
        <v>0.33</v>
      </c>
      <c r="BV66" s="627">
        <v>0.23</v>
      </c>
      <c r="BW66" s="627">
        <v>0.17</v>
      </c>
      <c r="BX66" s="627">
        <v>-0.15</v>
      </c>
      <c r="BY66" s="627">
        <v>-0.15</v>
      </c>
      <c r="BZ66" s="627">
        <v>-0.4</v>
      </c>
      <c r="CA66" s="627">
        <v>-0.6</v>
      </c>
      <c r="CB66" s="627">
        <v>-1</v>
      </c>
      <c r="CC66" s="627">
        <v>-1</v>
      </c>
      <c r="CD66" s="259"/>
      <c r="CT66" s="259"/>
      <c r="CU66" s="628" t="s">
        <v>197</v>
      </c>
      <c r="CV66" s="259"/>
      <c r="CW66" s="259"/>
      <c r="CX66" s="259"/>
      <c r="CZ66"/>
    </row>
    <row r="67" spans="1:104">
      <c r="A67" s="625" t="s">
        <v>512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X67" s="259"/>
      <c r="Y67" s="259"/>
      <c r="Z67" s="259"/>
      <c r="AA67" s="259"/>
      <c r="AB67" s="259"/>
      <c r="AC67" s="259"/>
      <c r="AD67" s="259"/>
      <c r="AE67" s="259"/>
      <c r="AF67" s="259"/>
      <c r="AG67" s="259"/>
      <c r="AH67" s="259"/>
      <c r="AI67" s="259"/>
      <c r="AJ67" s="259"/>
      <c r="AK67" s="259"/>
      <c r="AL67" s="259"/>
      <c r="AM67" s="259"/>
      <c r="AN67" s="259"/>
      <c r="AO67" s="259"/>
      <c r="AP67" s="259"/>
      <c r="AQ67" s="259"/>
      <c r="AR67" s="259"/>
      <c r="AS67" s="259"/>
      <c r="AT67" s="259"/>
      <c r="AU67" s="259"/>
      <c r="AV67" s="259"/>
      <c r="AW67" s="259"/>
      <c r="AX67" s="259"/>
      <c r="AY67" s="259"/>
      <c r="AZ67" s="259"/>
      <c r="BA67" s="259"/>
      <c r="BB67" s="259"/>
      <c r="BC67" s="259"/>
      <c r="BD67" s="259"/>
      <c r="BE67" s="259"/>
      <c r="BF67" s="259"/>
      <c r="BG67" s="259"/>
      <c r="BH67" s="259"/>
      <c r="BI67" s="259"/>
      <c r="BJ67" s="259"/>
      <c r="BK67" s="259"/>
      <c r="BL67" s="259"/>
      <c r="BM67" s="259"/>
      <c r="BN67" s="259"/>
      <c r="BO67" s="259"/>
      <c r="BS67" s="259"/>
      <c r="BT67" s="259"/>
      <c r="BU67" s="259"/>
      <c r="BV67" s="259"/>
      <c r="BW67" s="259"/>
      <c r="BX67" s="260">
        <f>BX65/BT65-1</f>
      </c>
      <c r="BY67" s="260">
        <f>BY65/BU65-1</f>
      </c>
      <c r="BZ67" s="260">
        <f>BZ65/BV65-1</f>
      </c>
      <c r="CA67" s="260">
        <f>CA65/BW65-1</f>
      </c>
      <c r="CB67" s="260"/>
      <c r="CC67" s="260"/>
      <c r="CD67" s="259"/>
      <c r="CT67" s="259"/>
      <c r="CU67" s="259"/>
      <c r="CV67" s="259"/>
      <c r="CW67" s="260">
        <f>CW65/CV65-1</f>
      </c>
      <c r="CX67" s="260">
        <f>CX65/CW65-1</f>
      </c>
      <c r="CZ67"/>
    </row>
    <row r="68" spans="1:104">
      <c r="A68" s="625" t="s">
        <v>516</v>
      </c>
      <c r="B68" s="259"/>
      <c r="C68" s="259"/>
      <c r="D68" s="259"/>
      <c r="E68" s="259"/>
      <c r="F68" s="259"/>
      <c r="G68" s="259"/>
      <c r="H68" s="259"/>
      <c r="I68" s="259"/>
      <c r="J68" s="259"/>
      <c r="K68" s="259"/>
      <c r="L68" s="259"/>
      <c r="M68" s="259"/>
      <c r="N68" s="259"/>
      <c r="O68" s="259"/>
      <c r="P68" s="259"/>
      <c r="Q68" s="259"/>
      <c r="R68" s="259"/>
      <c r="S68" s="259"/>
      <c r="T68" s="259"/>
      <c r="U68" s="259"/>
      <c r="V68" s="259"/>
      <c r="W68" s="259"/>
      <c r="X68" s="259"/>
      <c r="Y68" s="259"/>
      <c r="Z68" s="259"/>
      <c r="AA68" s="259"/>
      <c r="AB68" s="259"/>
      <c r="AC68" s="259"/>
      <c r="AD68" s="259"/>
      <c r="AE68" s="259"/>
      <c r="AF68" s="259"/>
      <c r="AG68" s="259"/>
      <c r="AH68" s="259"/>
      <c r="AI68" s="259"/>
      <c r="AJ68" s="259"/>
      <c r="AK68" s="259"/>
      <c r="AL68" s="259"/>
      <c r="AM68" s="259"/>
      <c r="AN68" s="259"/>
      <c r="AO68" s="259"/>
      <c r="AP68" s="259"/>
      <c r="AQ68" s="259"/>
      <c r="AR68" s="259"/>
      <c r="AS68" s="259"/>
      <c r="AT68" s="259"/>
      <c r="AU68" s="259"/>
      <c r="AV68" s="259"/>
      <c r="AW68" s="259"/>
      <c r="AX68" s="259"/>
      <c r="AY68" s="259"/>
      <c r="AZ68" s="259"/>
      <c r="BA68" s="259"/>
      <c r="BB68" s="259"/>
      <c r="BC68" s="259"/>
      <c r="BD68" s="259"/>
      <c r="BE68" s="259"/>
      <c r="BF68" s="259"/>
      <c r="BG68" s="259"/>
      <c r="BH68" s="259"/>
      <c r="BI68" s="259"/>
      <c r="BJ68" s="259"/>
      <c r="BK68" s="259"/>
      <c r="BL68" s="259"/>
      <c r="BM68" s="259"/>
      <c r="BN68" s="259"/>
      <c r="BO68" s="259"/>
      <c r="BS68" s="627">
        <f t="shared" ref="BS68:CC68" si="62">BS65/BS101</f>
      </c>
      <c r="BT68" s="627">
        <f t="shared" si="62"/>
      </c>
      <c r="BU68" s="627">
        <f t="shared" si="62"/>
      </c>
      <c r="BV68" s="627">
        <f t="shared" si="62"/>
      </c>
      <c r="BW68" s="627">
        <f t="shared" si="62"/>
      </c>
      <c r="BX68" s="627">
        <f t="shared" si="62"/>
      </c>
      <c r="BY68" s="627">
        <f t="shared" si="62"/>
      </c>
      <c r="BZ68" s="627">
        <f t="shared" si="62"/>
      </c>
      <c r="CA68" s="627">
        <f t="shared" si="62"/>
      </c>
      <c r="CB68" s="627">
        <f t="shared" si="62"/>
      </c>
      <c r="CC68" s="627">
        <f t="shared" si="62"/>
      </c>
      <c r="CD68" s="259"/>
      <c r="CT68" s="259"/>
      <c r="CU68" s="627">
        <f>CU65/CU101</f>
      </c>
      <c r="CV68" s="627">
        <f>CV65/CV101</f>
      </c>
      <c r="CW68" s="627">
        <f>CW65/CW101</f>
      </c>
      <c r="CX68" s="627">
        <f>CX65/CX101</f>
      </c>
      <c r="CZ68"/>
    </row>
    <row r="69" spans="1:104">
      <c r="A69" s="622" t="s">
        <v>521</v>
      </c>
      <c r="B69" s="624"/>
      <c r="C69" s="624"/>
      <c r="D69" s="624"/>
      <c r="E69" s="624"/>
      <c r="F69" s="624"/>
      <c r="G69" s="624"/>
      <c r="H69" s="624"/>
      <c r="I69" s="624"/>
      <c r="J69" s="624"/>
      <c r="K69" s="624"/>
      <c r="L69" s="624"/>
      <c r="M69" s="624"/>
      <c r="N69" s="624"/>
      <c r="O69" s="624"/>
      <c r="P69" s="624"/>
      <c r="Q69" s="624"/>
      <c r="R69" s="624"/>
      <c r="S69" s="624"/>
      <c r="T69" s="624"/>
      <c r="U69" s="624"/>
      <c r="V69" s="624"/>
      <c r="W69" s="624"/>
      <c r="X69" s="624"/>
      <c r="Y69" s="624"/>
      <c r="Z69" s="624"/>
      <c r="AA69" s="624"/>
      <c r="AB69" s="624"/>
      <c r="AC69" s="624"/>
      <c r="AD69" s="624"/>
      <c r="AE69" s="624"/>
      <c r="AF69" s="624"/>
      <c r="AG69" s="624"/>
      <c r="AH69" s="624"/>
      <c r="AI69" s="624"/>
      <c r="AJ69" s="624"/>
      <c r="AK69" s="624"/>
      <c r="AL69" s="624"/>
      <c r="AM69" s="624"/>
      <c r="AN69" s="624"/>
      <c r="AO69" s="624"/>
      <c r="AP69" s="624"/>
      <c r="AQ69" s="624"/>
      <c r="AR69" s="624"/>
      <c r="AS69" s="624"/>
      <c r="AT69" s="624"/>
      <c r="AU69" s="624"/>
      <c r="AV69" s="624"/>
      <c r="AW69" s="624"/>
      <c r="AX69" s="624"/>
      <c r="AY69" s="624"/>
      <c r="AZ69" s="624"/>
      <c r="BA69" s="624"/>
      <c r="BB69" s="624"/>
      <c r="BC69" s="624"/>
      <c r="BD69" s="624"/>
      <c r="BE69" s="624"/>
      <c r="BF69" s="624"/>
      <c r="BG69" s="624"/>
      <c r="BH69" s="624"/>
      <c r="BI69" s="624"/>
      <c r="BJ69" s="624"/>
      <c r="BK69" s="630"/>
      <c r="BL69" s="624"/>
      <c r="BM69" s="624"/>
      <c r="BN69" s="624"/>
      <c r="BO69" s="624"/>
      <c r="BS69" s="624">
        <f>BS58*1.1</f>
      </c>
      <c r="BT69" s="624">
        <f>BT58*1.1</f>
      </c>
      <c r="BU69" s="624">
        <f>35000*1.1</f>
      </c>
      <c r="BV69" s="624">
        <f t="shared" ref="BV69:CC69" si="63">BU69</f>
      </c>
      <c r="BW69" s="624">
        <f t="shared" si="63"/>
      </c>
      <c r="BX69" s="624">
        <f t="shared" si="63"/>
      </c>
      <c r="BY69" s="624">
        <f t="shared" si="63"/>
      </c>
      <c r="BZ69" s="624">
        <f t="shared" si="63"/>
      </c>
      <c r="CA69" s="624">
        <f t="shared" si="63"/>
      </c>
      <c r="CB69" s="624">
        <f t="shared" si="63"/>
      </c>
      <c r="CC69" s="624">
        <f t="shared" si="63"/>
      </c>
      <c r="CD69" s="624"/>
      <c r="CT69" s="624"/>
      <c r="CU69" s="624"/>
      <c r="CV69" s="624"/>
      <c r="CW69" s="624"/>
      <c r="CX69" s="624"/>
      <c r="CZ69"/>
    </row>
    <row r="70" spans="1:104">
      <c r="A70" s="631" t="s">
        <v>523</v>
      </c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3"/>
      <c r="Q70" s="633"/>
      <c r="R70" s="633"/>
      <c r="S70" s="633"/>
      <c r="T70" s="633"/>
      <c r="U70" s="633"/>
      <c r="V70" s="633"/>
      <c r="W70" s="633"/>
      <c r="X70" s="633"/>
      <c r="Y70" s="633"/>
      <c r="Z70" s="633"/>
      <c r="AA70" s="633"/>
      <c r="AB70" s="633"/>
      <c r="AC70" s="633"/>
      <c r="AD70" s="633"/>
      <c r="AE70" s="633"/>
      <c r="AF70" s="633"/>
      <c r="AG70" s="633"/>
      <c r="AH70" s="633"/>
      <c r="AI70" s="633"/>
      <c r="AJ70" s="633"/>
      <c r="AK70" s="633"/>
      <c r="AL70" s="633"/>
      <c r="AM70" s="633"/>
      <c r="AN70" s="633"/>
      <c r="AO70" s="633"/>
      <c r="AP70" s="633"/>
      <c r="AQ70" s="633"/>
      <c r="AR70" s="633"/>
      <c r="AS70" s="633"/>
      <c r="AT70" s="633"/>
      <c r="AU70" s="633"/>
      <c r="AV70" s="633"/>
      <c r="AW70" s="633"/>
      <c r="AX70" s="633"/>
      <c r="AY70" s="633"/>
      <c r="AZ70" s="633"/>
      <c r="BA70" s="633"/>
      <c r="BB70" s="633"/>
      <c r="BC70" s="633"/>
      <c r="BD70" s="633"/>
      <c r="BE70" s="633"/>
      <c r="BF70" s="633"/>
      <c r="BG70" s="633"/>
      <c r="BH70" s="633"/>
      <c r="BI70" s="633"/>
      <c r="BJ70" s="633"/>
      <c r="BK70" s="633"/>
      <c r="BL70" s="633"/>
      <c r="BM70" s="633"/>
      <c r="BN70" s="633"/>
      <c r="BO70" s="633"/>
      <c r="BP70" s="231"/>
      <c r="BQ70" s="231"/>
      <c r="BR70" s="231"/>
      <c r="BS70" s="633">
        <f>BS69*BS65/1000</f>
      </c>
      <c r="BT70" s="633">
        <f t="shared" ref="BT70:CC70" si="64">BT69*BT65/1000</f>
      </c>
      <c r="BU70" s="633">
        <f t="shared" si="64"/>
      </c>
      <c r="BV70" s="633">
        <f t="shared" si="64"/>
      </c>
      <c r="BW70" s="633">
        <f t="shared" si="64"/>
      </c>
      <c r="BX70" s="633">
        <f t="shared" si="64"/>
      </c>
      <c r="BY70" s="633">
        <f t="shared" si="64"/>
      </c>
      <c r="BZ70" s="633">
        <f t="shared" si="64"/>
      </c>
      <c r="CA70" s="633">
        <f t="shared" si="64"/>
      </c>
      <c r="CB70" s="633">
        <f t="shared" si="64"/>
      </c>
      <c r="CC70" s="633">
        <f t="shared" si="64"/>
      </c>
      <c r="CD70" s="633"/>
      <c r="CT70" s="633"/>
      <c r="CU70" s="633">
        <f>SUM(BN70:BQ70)</f>
      </c>
      <c r="CV70" s="633">
        <f>SUM(BR70:BU70)</f>
      </c>
      <c r="CW70" s="633">
        <f>SUM(BV70:BY70)</f>
      </c>
      <c r="CX70" s="633">
        <f>SUM(BZ70:CC70)</f>
      </c>
      <c r="CZ70"/>
    </row>
    <row r="71" spans="1:104">
      <c r="A71" s="625" t="s">
        <v>511</v>
      </c>
      <c r="B71" s="633"/>
      <c r="C71" s="633"/>
      <c r="D71" s="633"/>
      <c r="E71" s="633"/>
      <c r="F71" s="633"/>
      <c r="G71" s="633"/>
      <c r="H71" s="633"/>
      <c r="I71" s="633"/>
      <c r="J71" s="633"/>
      <c r="K71" s="633"/>
      <c r="L71" s="633"/>
      <c r="M71" s="633"/>
      <c r="N71" s="633"/>
      <c r="O71" s="633"/>
      <c r="P71" s="633"/>
      <c r="Q71" s="633"/>
      <c r="R71" s="633"/>
      <c r="S71" s="633"/>
      <c r="T71" s="633"/>
      <c r="U71" s="633"/>
      <c r="V71" s="633"/>
      <c r="W71" s="633"/>
      <c r="X71" s="633"/>
      <c r="Y71" s="633"/>
      <c r="Z71" s="633"/>
      <c r="AA71" s="633"/>
      <c r="AB71" s="633"/>
      <c r="AC71" s="633"/>
      <c r="AD71" s="633"/>
      <c r="AE71" s="633"/>
      <c r="AF71" s="633"/>
      <c r="AG71" s="633"/>
      <c r="AH71" s="633"/>
      <c r="AI71" s="633"/>
      <c r="AJ71" s="633"/>
      <c r="AK71" s="633"/>
      <c r="AL71" s="633"/>
      <c r="AM71" s="633"/>
      <c r="AN71" s="633"/>
      <c r="AO71" s="633"/>
      <c r="AP71" s="633"/>
      <c r="AQ71" s="633"/>
      <c r="AR71" s="633"/>
      <c r="AS71" s="633"/>
      <c r="AT71" s="633"/>
      <c r="AU71" s="633"/>
      <c r="AV71" s="633"/>
      <c r="AW71" s="633"/>
      <c r="AX71" s="633"/>
      <c r="AY71" s="633"/>
      <c r="AZ71" s="633"/>
      <c r="BA71" s="633"/>
      <c r="BB71" s="633"/>
      <c r="BC71" s="633"/>
      <c r="BD71" s="633"/>
      <c r="BE71" s="633"/>
      <c r="BF71" s="633"/>
      <c r="BG71" s="633"/>
      <c r="BH71" s="633"/>
      <c r="BI71" s="633"/>
      <c r="BJ71" s="633"/>
      <c r="BK71" s="634"/>
      <c r="BL71" s="634"/>
      <c r="BM71" s="634"/>
      <c r="BN71" s="634"/>
      <c r="BO71" s="634"/>
      <c r="BP71" s="634"/>
      <c r="BQ71" s="634"/>
      <c r="BR71" s="634"/>
      <c r="BS71" s="634"/>
      <c r="BT71" s="634"/>
      <c r="BU71" s="634">
        <f t="shared" ref="BU71:CC71" si="65">BU70/BT70-1</f>
      </c>
      <c r="BV71" s="634">
        <f t="shared" si="65"/>
      </c>
      <c r="BW71" s="634">
        <f t="shared" si="65"/>
      </c>
      <c r="BX71" s="634">
        <f t="shared" si="65"/>
      </c>
      <c r="BY71" s="634">
        <f t="shared" si="65"/>
      </c>
      <c r="BZ71" s="634">
        <f t="shared" si="65"/>
      </c>
      <c r="CA71" s="634">
        <f t="shared" si="65"/>
      </c>
      <c r="CB71" s="634">
        <f t="shared" si="65"/>
      </c>
      <c r="CC71" s="634" t="e">
        <f t="shared" si="65"/>
      </c>
      <c r="CD71" s="633"/>
      <c r="CT71" s="633"/>
      <c r="CU71" s="633"/>
      <c r="CV71" s="633"/>
      <c r="CW71" s="633"/>
      <c r="CX71" s="633"/>
      <c r="CZ71"/>
    </row>
    <row r="72" spans="1:104">
      <c r="A72" s="625" t="s">
        <v>512</v>
      </c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3"/>
      <c r="Q72" s="633"/>
      <c r="R72" s="633"/>
      <c r="S72" s="633"/>
      <c r="T72" s="633"/>
      <c r="U72" s="633"/>
      <c r="V72" s="633"/>
      <c r="W72" s="633"/>
      <c r="X72" s="633"/>
      <c r="Y72" s="633"/>
      <c r="Z72" s="633"/>
      <c r="AA72" s="633"/>
      <c r="AB72" s="633"/>
      <c r="AC72" s="633"/>
      <c r="AD72" s="633"/>
      <c r="AE72" s="633"/>
      <c r="AF72" s="633"/>
      <c r="AG72" s="633"/>
      <c r="AH72" s="633"/>
      <c r="AI72" s="633"/>
      <c r="AJ72" s="633"/>
      <c r="AK72" s="633"/>
      <c r="AL72" s="633"/>
      <c r="AM72" s="633"/>
      <c r="AN72" s="633"/>
      <c r="AO72" s="633"/>
      <c r="AP72" s="633"/>
      <c r="AQ72" s="633"/>
      <c r="AR72" s="633"/>
      <c r="AS72" s="633"/>
      <c r="AT72" s="633"/>
      <c r="AU72" s="633"/>
      <c r="AV72" s="633"/>
      <c r="AW72" s="633"/>
      <c r="AX72" s="633"/>
      <c r="AY72" s="633"/>
      <c r="AZ72" s="633"/>
      <c r="BA72" s="633"/>
      <c r="BB72" s="633"/>
      <c r="BC72" s="633"/>
      <c r="BD72" s="633"/>
      <c r="BE72" s="633"/>
      <c r="BF72" s="633"/>
      <c r="BG72" s="633"/>
      <c r="BH72" s="633"/>
      <c r="BI72" s="633"/>
      <c r="BJ72" s="633"/>
      <c r="BK72" s="633"/>
      <c r="BL72" s="633"/>
      <c r="BM72" s="633"/>
      <c r="BN72" s="634"/>
      <c r="BO72" s="634"/>
      <c r="BP72" s="634"/>
      <c r="BQ72" s="634"/>
      <c r="BR72" s="634"/>
      <c r="BS72" s="634"/>
      <c r="BT72" s="634"/>
      <c r="BU72" s="634"/>
      <c r="BV72" s="634"/>
      <c r="BW72" s="634"/>
      <c r="BX72" s="634">
        <f>BX70/BT70-1</f>
      </c>
      <c r="BY72" s="634">
        <f>BY70/BU70-1</f>
      </c>
      <c r="BZ72" s="634"/>
      <c r="CA72" s="634"/>
      <c r="CB72" s="634">
        <f>CB70/BX70-1</f>
      </c>
      <c r="CC72" s="634">
        <f>CC70/BY70-1</f>
      </c>
      <c r="CD72" s="633"/>
      <c r="CT72" s="633"/>
      <c r="CU72" s="633"/>
      <c r="CV72" s="634"/>
      <c r="CW72" s="634">
        <f>+CW70/CV70-1</f>
      </c>
      <c r="CX72" s="634">
        <f>+CX70/CW70-1</f>
      </c>
      <c r="CZ72"/>
    </row>
    <row r="73" spans="1:104">
      <c r="A73" s="625" t="s">
        <v>519</v>
      </c>
      <c r="B73" s="634"/>
      <c r="C73" s="634"/>
      <c r="D73" s="634"/>
      <c r="E73" s="634"/>
      <c r="F73" s="634"/>
      <c r="G73" s="634"/>
      <c r="H73" s="634"/>
      <c r="I73" s="634"/>
      <c r="J73" s="634"/>
      <c r="K73" s="634"/>
      <c r="L73" s="634"/>
      <c r="M73" s="634"/>
      <c r="N73" s="634"/>
      <c r="O73" s="634"/>
      <c r="P73" s="634"/>
      <c r="Q73" s="634"/>
      <c r="R73" s="634"/>
      <c r="S73" s="634"/>
      <c r="T73" s="634"/>
      <c r="U73" s="634"/>
      <c r="V73" s="634"/>
      <c r="W73" s="634"/>
      <c r="X73" s="634"/>
      <c r="Y73" s="634"/>
      <c r="Z73" s="634"/>
      <c r="AA73" s="634"/>
      <c r="AB73" s="634"/>
      <c r="AC73" s="634"/>
      <c r="AD73" s="634"/>
      <c r="AE73" s="634"/>
      <c r="AF73" s="634"/>
      <c r="AG73" s="634"/>
      <c r="AH73" s="634"/>
      <c r="AI73" s="634"/>
      <c r="AJ73" s="634"/>
      <c r="AK73" s="634"/>
      <c r="AL73" s="634"/>
      <c r="AM73" s="634"/>
      <c r="AN73" s="634"/>
      <c r="AO73" s="634"/>
      <c r="AP73" s="634"/>
      <c r="AQ73" s="634"/>
      <c r="AR73" s="634"/>
      <c r="AS73" s="634"/>
      <c r="AT73" s="634"/>
      <c r="AU73" s="634"/>
      <c r="AV73" s="634"/>
      <c r="AW73" s="634"/>
      <c r="AX73" s="634"/>
      <c r="AY73" s="634"/>
      <c r="AZ73" s="634"/>
      <c r="BA73" s="634"/>
      <c r="BB73" s="634"/>
      <c r="BC73" s="634"/>
      <c r="BD73" s="634"/>
      <c r="BE73" s="634"/>
      <c r="BF73" s="634"/>
      <c r="BG73" s="634"/>
      <c r="BH73" s="634"/>
      <c r="BI73" s="634"/>
      <c r="BJ73" s="634">
        <f t="shared" ref="BJ73:CC73" si="66">BJ70/BJ$109</f>
      </c>
      <c r="BK73" s="634">
        <f t="shared" si="66"/>
      </c>
      <c r="BL73" s="634">
        <f t="shared" si="66"/>
      </c>
      <c r="BM73" s="634">
        <f t="shared" si="66"/>
      </c>
      <c r="BN73" s="634">
        <f t="shared" si="66"/>
      </c>
      <c r="BO73" s="634">
        <f t="shared" si="66"/>
      </c>
      <c r="BP73" s="634">
        <f t="shared" si="66"/>
      </c>
      <c r="BQ73" s="634">
        <f t="shared" si="66"/>
      </c>
      <c r="BR73" s="634">
        <f t="shared" si="66"/>
      </c>
      <c r="BS73" s="634">
        <f t="shared" si="66"/>
      </c>
      <c r="BT73" s="634">
        <f t="shared" si="66"/>
      </c>
      <c r="BU73" s="634">
        <f t="shared" si="66"/>
      </c>
      <c r="BV73" s="634">
        <f t="shared" si="66"/>
      </c>
      <c r="BW73" s="634">
        <f t="shared" si="66"/>
      </c>
      <c r="BX73" s="634">
        <f t="shared" si="66"/>
      </c>
      <c r="BY73" s="634">
        <f t="shared" si="66"/>
      </c>
      <c r="BZ73" s="634">
        <f t="shared" si="66"/>
      </c>
      <c r="CA73" s="634">
        <f t="shared" si="66"/>
      </c>
      <c r="CB73" s="634">
        <f t="shared" si="66"/>
      </c>
      <c r="CC73" s="634">
        <f t="shared" si="66"/>
      </c>
      <c r="CD73" s="633"/>
      <c r="CT73" s="633"/>
      <c r="CU73" s="634"/>
      <c r="CV73" s="634">
        <f>+CV70/CV$15</f>
      </c>
      <c r="CW73" s="634">
        <f>+CW70/CW$15</f>
      </c>
      <c r="CX73" s="634">
        <f>+CX70/CX$15</f>
      </c>
      <c r="CZ73"/>
    </row>
    <row r="74" spans="1:104">
      <c r="A74" s="635"/>
      <c r="B74" s="259"/>
      <c r="C74" s="259"/>
      <c r="D74" s="259"/>
      <c r="E74" s="259"/>
      <c r="F74" s="259"/>
      <c r="G74" s="259"/>
      <c r="H74" s="259"/>
      <c r="I74" s="259"/>
      <c r="J74" s="259"/>
      <c r="K74" s="259"/>
      <c r="L74" s="259"/>
      <c r="M74" s="259"/>
      <c r="N74" s="259"/>
      <c r="O74" s="259"/>
      <c r="P74" s="259"/>
      <c r="Q74" s="259"/>
      <c r="R74" s="259"/>
      <c r="S74" s="259"/>
      <c r="T74" s="259"/>
      <c r="U74" s="259"/>
      <c r="V74" s="259"/>
      <c r="W74" s="259"/>
      <c r="X74" s="259"/>
      <c r="Y74" s="259"/>
      <c r="Z74" s="259"/>
      <c r="AA74" s="259"/>
      <c r="AB74" s="259"/>
      <c r="AC74" s="259"/>
      <c r="AD74" s="259"/>
      <c r="AE74" s="259"/>
      <c r="AF74" s="259"/>
      <c r="AG74" s="259"/>
      <c r="AH74" s="259"/>
      <c r="AI74" s="259"/>
      <c r="AJ74" s="259"/>
      <c r="AK74" s="259"/>
      <c r="AL74" s="259"/>
      <c r="AM74" s="259"/>
      <c r="AN74" s="259"/>
      <c r="AO74" s="259"/>
      <c r="AP74" s="259"/>
      <c r="AQ74" s="259"/>
      <c r="AR74" s="259"/>
      <c r="AS74" s="259"/>
      <c r="AT74" s="259"/>
      <c r="AU74" s="259"/>
      <c r="AV74" s="259"/>
      <c r="AW74" s="259"/>
      <c r="AX74" s="259"/>
      <c r="AY74" s="259"/>
      <c r="AZ74" s="259"/>
      <c r="BA74" s="259"/>
      <c r="BB74" s="259"/>
      <c r="BC74" s="259"/>
      <c r="BD74" s="259"/>
      <c r="BE74" s="259"/>
      <c r="BF74" s="259"/>
      <c r="BG74" s="259"/>
      <c r="BH74" s="259"/>
      <c r="BI74" s="259"/>
      <c r="BJ74" s="259"/>
      <c r="BK74" s="259"/>
      <c r="BL74" s="259"/>
      <c r="BM74" s="259"/>
      <c r="BN74" s="259"/>
      <c r="BO74" s="259"/>
      <c r="BP74" s="259"/>
      <c r="BQ74" s="259"/>
      <c r="BR74" s="259"/>
      <c r="BS74" s="259"/>
      <c r="BT74" s="259"/>
      <c r="BU74" s="259"/>
      <c r="BV74" s="259"/>
      <c r="BW74" s="259"/>
      <c r="BX74" s="259"/>
      <c r="BY74" s="259"/>
      <c r="BZ74" s="259"/>
      <c r="CA74" s="259"/>
      <c r="CB74" s="259"/>
      <c r="CC74" s="259"/>
      <c r="CD74" s="259"/>
      <c r="CT74" s="259"/>
      <c r="CU74" s="259"/>
      <c r="CV74" s="627"/>
      <c r="CW74" s="627"/>
      <c r="CX74" s="627"/>
      <c r="CZ74"/>
    </row>
    <row r="75" spans="1:104">
      <c r="A75" s="636" t="s">
        <v>526</v>
      </c>
      <c r="B75" s="259"/>
      <c r="C75" s="259"/>
      <c r="D75" s="259"/>
      <c r="E75" s="259"/>
      <c r="F75" s="259"/>
      <c r="G75" s="259"/>
      <c r="H75" s="259"/>
      <c r="I75" s="259"/>
      <c r="J75" s="259"/>
      <c r="K75" s="259"/>
      <c r="L75" s="259"/>
      <c r="M75" s="259"/>
      <c r="N75" s="259"/>
      <c r="O75" s="259"/>
      <c r="P75" s="259"/>
      <c r="Q75" s="259"/>
      <c r="R75" s="259"/>
      <c r="S75" s="259"/>
      <c r="T75" s="259"/>
      <c r="U75" s="259"/>
      <c r="V75" s="259"/>
      <c r="W75" s="259"/>
      <c r="X75" s="259"/>
      <c r="Y75" s="259"/>
      <c r="Z75" s="259"/>
      <c r="AA75" s="259"/>
      <c r="AB75" s="259"/>
      <c r="AC75" s="259"/>
      <c r="AD75" s="259"/>
      <c r="AE75" s="259"/>
      <c r="AF75" s="259"/>
      <c r="AG75" s="259"/>
      <c r="AH75" s="259"/>
      <c r="AI75" s="259"/>
      <c r="AJ75" s="259"/>
      <c r="AK75" s="259"/>
      <c r="AL75" s="259"/>
      <c r="AM75" s="259"/>
      <c r="AN75" s="259"/>
      <c r="AO75" s="259"/>
      <c r="AP75" s="259"/>
      <c r="AQ75" s="259"/>
      <c r="AR75" s="259"/>
      <c r="AS75" s="259"/>
      <c r="AT75" s="259"/>
      <c r="AU75" s="259"/>
      <c r="AV75" s="259"/>
      <c r="AW75" s="259"/>
      <c r="AX75" s="259"/>
      <c r="AY75" s="259"/>
      <c r="AZ75" s="259"/>
      <c r="BA75" s="259"/>
      <c r="BB75" s="259"/>
      <c r="BC75" s="259"/>
      <c r="BD75" s="259"/>
      <c r="BE75" s="259"/>
      <c r="BF75" s="259"/>
      <c r="BG75" s="259"/>
      <c r="BH75" s="259"/>
      <c r="BI75" s="259"/>
      <c r="BJ75" s="259"/>
      <c r="BK75" s="259"/>
      <c r="BL75" s="259"/>
      <c r="BM75" s="259"/>
      <c r="BN75" s="259"/>
      <c r="BO75" s="259"/>
      <c r="BP75" s="259"/>
      <c r="BQ75" s="259"/>
      <c r="BR75" s="259"/>
      <c r="BS75" s="259"/>
      <c r="BT75" s="259"/>
      <c r="BU75" s="259"/>
      <c r="BV75" s="259"/>
      <c r="BW75" s="259"/>
      <c r="BX75" s="259"/>
      <c r="BY75" s="259"/>
      <c r="BZ75" s="259"/>
      <c r="CA75" s="259"/>
      <c r="CB75" s="259"/>
      <c r="CC75" s="259"/>
      <c r="CD75" s="259"/>
      <c r="CE75" s="259"/>
      <c r="CF75" s="259"/>
      <c r="CG75" s="259"/>
      <c r="CH75" s="259"/>
      <c r="CI75" s="259"/>
      <c r="CJ75" s="259"/>
      <c r="CK75" s="259"/>
      <c r="CL75" s="259"/>
      <c r="CM75" s="259"/>
      <c r="CN75" s="259"/>
      <c r="CO75" s="259"/>
      <c r="CP75" s="259"/>
      <c r="CQ75" s="259"/>
      <c r="CR75" s="259"/>
      <c r="CS75" s="259"/>
      <c r="CT75" s="259"/>
      <c r="CU75" s="259"/>
      <c r="CV75" s="627"/>
      <c r="CW75" s="627"/>
      <c r="CX75" s="627"/>
      <c r="CZ75"/>
    </row>
    <row r="76" spans="1:104">
      <c r="A76" s="622" t="s">
        <v>515</v>
      </c>
      <c r="B76" s="624"/>
      <c r="C76" s="624"/>
      <c r="D76" s="624"/>
      <c r="E76" s="624"/>
      <c r="F76" s="624"/>
      <c r="G76" s="624"/>
      <c r="H76" s="624"/>
      <c r="I76" s="624"/>
      <c r="J76" s="624"/>
      <c r="K76" s="624"/>
      <c r="L76" s="624"/>
      <c r="M76" s="624"/>
      <c r="N76" s="624"/>
      <c r="O76" s="624"/>
      <c r="P76" s="624"/>
      <c r="Q76" s="624"/>
      <c r="R76" s="624"/>
      <c r="S76" s="624"/>
      <c r="T76" s="624"/>
      <c r="U76" s="624"/>
      <c r="V76" s="624"/>
      <c r="W76" s="624"/>
      <c r="X76" s="624"/>
      <c r="Y76" s="624"/>
      <c r="Z76" s="624"/>
      <c r="AA76" s="624"/>
      <c r="AB76" s="624"/>
      <c r="AC76" s="624"/>
      <c r="AD76" s="624"/>
      <c r="AE76" s="624"/>
      <c r="AF76" s="624"/>
      <c r="AG76" s="624"/>
      <c r="AH76" s="624"/>
      <c r="AI76" s="624"/>
      <c r="AJ76" s="624"/>
      <c r="AK76" s="624"/>
      <c r="AL76" s="624"/>
      <c r="AM76" s="624"/>
      <c r="AN76" s="624"/>
      <c r="AO76" s="624"/>
      <c r="AP76" s="624"/>
      <c r="AQ76" s="624"/>
      <c r="AR76" s="624"/>
      <c r="AS76" s="624"/>
      <c r="AT76" s="624"/>
      <c r="AU76" s="624"/>
      <c r="AV76" s="624"/>
      <c r="AW76" s="624"/>
      <c r="AX76" s="624"/>
      <c r="AY76" s="624"/>
      <c r="AZ76" s="624"/>
      <c r="BA76" s="624"/>
      <c r="BB76" s="624"/>
      <c r="BC76" s="624"/>
      <c r="BD76" s="624"/>
      <c r="BE76" s="624"/>
      <c r="BF76" s="624"/>
      <c r="BG76" s="624"/>
      <c r="BH76" s="624"/>
      <c r="BI76" s="624"/>
      <c r="BJ76" s="624"/>
      <c r="BK76" s="624"/>
      <c r="BL76" s="624"/>
      <c r="BM76" s="624"/>
      <c r="BN76" s="624"/>
      <c r="BO76" s="624"/>
      <c r="BX76" s="624">
        <v>360</v>
      </c>
      <c r="BY76" s="624">
        <f>BX76*(1+BY77)</f>
      </c>
      <c r="BZ76" s="624">
        <f>BY76*(1+BZ77)</f>
      </c>
      <c r="CA76" s="624">
        <f>BZ76*(1+CA77)</f>
      </c>
      <c r="CB76" s="624">
        <f>CA76*(1+CB77)</f>
      </c>
      <c r="CC76" s="624">
        <f>CB76*(1+CC77)</f>
      </c>
      <c r="CD76" s="624"/>
      <c r="CE76" s="624"/>
      <c r="CF76" s="624"/>
      <c r="CG76" s="624"/>
      <c r="CH76" s="624"/>
      <c r="CI76" s="624"/>
      <c r="CJ76" s="624"/>
      <c r="CK76" s="624"/>
      <c r="CL76" s="624"/>
      <c r="CM76" s="624"/>
      <c r="CN76" s="624"/>
      <c r="CO76" s="624"/>
      <c r="CP76" s="624"/>
      <c r="CQ76" s="624"/>
      <c r="CR76" s="624"/>
      <c r="CS76" s="624"/>
      <c r="CT76" s="624"/>
      <c r="CU76" s="624">
        <f>SUM(BN76:BQ76)</f>
      </c>
      <c r="CV76" s="624">
        <f>SUM(BR76:BU76)</f>
      </c>
      <c r="CW76" s="624">
        <f>SUM(BV76:BY76)</f>
      </c>
      <c r="CX76" s="624">
        <f>SUM(BZ76:CC76)</f>
      </c>
      <c r="CZ76"/>
    </row>
    <row r="77" spans="1:104">
      <c r="A77" s="625" t="s">
        <v>511</v>
      </c>
      <c r="B77" s="259"/>
      <c r="C77" s="259"/>
      <c r="D77" s="259"/>
      <c r="E77" s="259"/>
      <c r="F77" s="259"/>
      <c r="G77" s="259"/>
      <c r="H77" s="259"/>
      <c r="I77" s="259"/>
      <c r="J77" s="259"/>
      <c r="K77" s="259"/>
      <c r="L77" s="259"/>
      <c r="M77" s="259"/>
      <c r="N77" s="259"/>
      <c r="O77" s="259"/>
      <c r="P77" s="259"/>
      <c r="Q77" s="259"/>
      <c r="R77" s="259"/>
      <c r="S77" s="259"/>
      <c r="T77" s="259"/>
      <c r="U77" s="259"/>
      <c r="V77" s="259"/>
      <c r="W77" s="259"/>
      <c r="X77" s="259"/>
      <c r="Y77" s="259"/>
      <c r="Z77" s="259"/>
      <c r="AA77" s="259"/>
      <c r="AB77" s="259"/>
      <c r="AC77" s="259"/>
      <c r="AD77" s="259"/>
      <c r="AE77" s="259"/>
      <c r="AF77" s="259"/>
      <c r="AG77" s="259"/>
      <c r="AH77" s="259"/>
      <c r="AI77" s="259"/>
      <c r="AJ77" s="259"/>
      <c r="AK77" s="259"/>
      <c r="AL77" s="259"/>
      <c r="AM77" s="259"/>
      <c r="AN77" s="259"/>
      <c r="AO77" s="259"/>
      <c r="AP77" s="259"/>
      <c r="AQ77" s="259"/>
      <c r="AR77" s="259"/>
      <c r="AS77" s="259"/>
      <c r="AT77" s="259"/>
      <c r="AU77" s="259"/>
      <c r="AV77" s="259"/>
      <c r="AW77" s="259"/>
      <c r="AX77" s="259"/>
      <c r="AY77" s="259"/>
      <c r="AZ77" s="259"/>
      <c r="BA77" s="259"/>
      <c r="BB77" s="259"/>
      <c r="BC77" s="259"/>
      <c r="BD77" s="259"/>
      <c r="BE77" s="259"/>
      <c r="BF77" s="259"/>
      <c r="BG77" s="259"/>
      <c r="BH77" s="259"/>
      <c r="BI77" s="259"/>
      <c r="BJ77" s="259"/>
      <c r="BK77" s="259"/>
      <c r="BL77" s="627"/>
      <c r="BM77" s="627"/>
      <c r="BN77" s="627"/>
      <c r="BO77" s="627"/>
      <c r="BY77" s="627">
        <v>0.75</v>
      </c>
      <c r="BZ77" s="627">
        <v>0.5</v>
      </c>
      <c r="CA77" s="627">
        <v>0.33</v>
      </c>
      <c r="CB77" s="627">
        <v>0.05</v>
      </c>
      <c r="CC77" s="627">
        <v>-0.19</v>
      </c>
      <c r="CD77" s="259"/>
      <c r="CE77" s="259"/>
      <c r="CF77" s="259"/>
      <c r="CG77" s="259"/>
      <c r="CH77" s="259"/>
      <c r="CI77" s="259"/>
      <c r="CJ77" s="259"/>
      <c r="CK77" s="259"/>
      <c r="CL77" s="259"/>
      <c r="CM77" s="259"/>
      <c r="CN77" s="259"/>
      <c r="CO77" s="259"/>
      <c r="CP77" s="259"/>
      <c r="CQ77" s="259"/>
      <c r="CR77" s="259"/>
      <c r="CS77" s="259"/>
      <c r="CT77" s="259"/>
      <c r="CU77" s="628" t="s">
        <v>197</v>
      </c>
      <c r="CV77" s="259"/>
      <c r="CW77" s="259"/>
      <c r="CX77" s="259"/>
      <c r="CZ77"/>
    </row>
    <row r="78" spans="1:104">
      <c r="A78" s="625" t="s">
        <v>512</v>
      </c>
      <c r="B78" s="259"/>
      <c r="C78" s="259"/>
      <c r="D78" s="259"/>
      <c r="E78" s="259"/>
      <c r="F78" s="259"/>
      <c r="G78" s="259"/>
      <c r="H78" s="259"/>
      <c r="I78" s="259"/>
      <c r="J78" s="259"/>
      <c r="K78" s="259"/>
      <c r="L78" s="259"/>
      <c r="M78" s="259"/>
      <c r="N78" s="259"/>
      <c r="O78" s="259"/>
      <c r="P78" s="259"/>
      <c r="Q78" s="259"/>
      <c r="R78" s="259"/>
      <c r="S78" s="259"/>
      <c r="T78" s="259"/>
      <c r="U78" s="259"/>
      <c r="V78" s="259"/>
      <c r="W78" s="259"/>
      <c r="X78" s="259"/>
      <c r="Y78" s="259"/>
      <c r="Z78" s="259"/>
      <c r="AA78" s="259"/>
      <c r="AB78" s="259"/>
      <c r="AC78" s="259"/>
      <c r="AD78" s="259"/>
      <c r="AE78" s="259"/>
      <c r="AF78" s="259"/>
      <c r="AG78" s="259"/>
      <c r="AH78" s="259"/>
      <c r="AI78" s="259"/>
      <c r="AJ78" s="259"/>
      <c r="AK78" s="259"/>
      <c r="AL78" s="259"/>
      <c r="AM78" s="259"/>
      <c r="AN78" s="259"/>
      <c r="AO78" s="259"/>
      <c r="AP78" s="259"/>
      <c r="AQ78" s="259"/>
      <c r="AR78" s="259"/>
      <c r="AS78" s="259"/>
      <c r="AT78" s="259"/>
      <c r="AU78" s="259"/>
      <c r="AV78" s="259"/>
      <c r="AW78" s="259"/>
      <c r="AX78" s="259"/>
      <c r="AY78" s="259"/>
      <c r="AZ78" s="259"/>
      <c r="BA78" s="259"/>
      <c r="BB78" s="259"/>
      <c r="BC78" s="259"/>
      <c r="BD78" s="259"/>
      <c r="BE78" s="259"/>
      <c r="BF78" s="259"/>
      <c r="BG78" s="259"/>
      <c r="BH78" s="259"/>
      <c r="BI78" s="259"/>
      <c r="BJ78" s="259"/>
      <c r="BK78" s="259"/>
      <c r="BL78" s="259"/>
      <c r="BM78" s="259"/>
      <c r="BN78" s="259"/>
      <c r="BO78" s="259"/>
      <c r="BX78" s="259"/>
      <c r="BY78" s="259"/>
      <c r="CB78" s="259"/>
      <c r="CC78" s="259"/>
      <c r="CD78" s="259"/>
      <c r="CE78" s="259"/>
      <c r="CF78" s="259"/>
      <c r="CG78" s="259"/>
      <c r="CH78" s="259"/>
      <c r="CI78" s="259"/>
      <c r="CJ78" s="259"/>
      <c r="CK78" s="259"/>
      <c r="CL78" s="259"/>
      <c r="CM78" s="259"/>
      <c r="CN78" s="259"/>
      <c r="CO78" s="259"/>
      <c r="CP78" s="259"/>
      <c r="CQ78" s="259"/>
      <c r="CR78" s="259"/>
      <c r="CS78" s="259"/>
      <c r="CT78" s="259"/>
      <c r="CU78" s="259"/>
      <c r="CV78" s="259"/>
      <c r="CW78" s="259"/>
      <c r="CX78" s="259"/>
      <c r="CZ78"/>
    </row>
    <row r="79" spans="1:104">
      <c r="A79" s="625" t="s">
        <v>516</v>
      </c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V79" s="259"/>
      <c r="AW79" s="259"/>
      <c r="AX79" s="259"/>
      <c r="AY79" s="259"/>
      <c r="AZ79" s="259"/>
      <c r="BA79" s="259"/>
      <c r="BB79" s="259"/>
      <c r="BC79" s="259"/>
      <c r="BD79" s="259"/>
      <c r="BE79" s="259"/>
      <c r="BF79" s="259"/>
      <c r="BG79" s="259"/>
      <c r="BH79" s="259"/>
      <c r="BI79" s="259"/>
      <c r="BJ79" s="259"/>
      <c r="BK79" s="259"/>
      <c r="BL79" s="259"/>
      <c r="BM79" s="259"/>
      <c r="BN79" s="259"/>
      <c r="BO79" s="259"/>
      <c r="BX79" s="627">
        <f t="shared" ref="BX79:CC79" si="67">BX76/BX101</f>
      </c>
      <c r="BY79" s="627">
        <f t="shared" si="67"/>
      </c>
      <c r="BZ79" s="627">
        <f t="shared" si="67"/>
      </c>
      <c r="CA79" s="627">
        <f t="shared" si="67"/>
      </c>
      <c r="CB79" s="627">
        <f t="shared" si="67"/>
      </c>
      <c r="CC79" s="627">
        <f t="shared" si="67"/>
      </c>
      <c r="CD79" s="259"/>
      <c r="CE79" s="259"/>
      <c r="CF79" s="259"/>
      <c r="CG79" s="259"/>
      <c r="CH79" s="259"/>
      <c r="CI79" s="259"/>
      <c r="CJ79" s="259"/>
      <c r="CK79" s="259"/>
      <c r="CL79" s="259"/>
      <c r="CM79" s="259"/>
      <c r="CN79" s="259"/>
      <c r="CO79" s="259"/>
      <c r="CP79" s="259"/>
      <c r="CQ79" s="259"/>
      <c r="CR79" s="259"/>
      <c r="CS79" s="259"/>
      <c r="CT79" s="259"/>
      <c r="CU79" s="627">
        <f>CU76/CU101</f>
      </c>
      <c r="CV79" s="627">
        <f>CV76/CV101</f>
      </c>
      <c r="CW79" s="627">
        <f>CW76/CW101</f>
      </c>
      <c r="CX79" s="627">
        <f>CX76/CX101</f>
      </c>
      <c r="CZ79"/>
    </row>
    <row r="80" spans="1:104">
      <c r="A80" s="622" t="s">
        <v>521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  <c r="Y80" s="624"/>
      <c r="Z80" s="624"/>
      <c r="AA80" s="624"/>
      <c r="AB80" s="624"/>
      <c r="AC80" s="624"/>
      <c r="AD80" s="624"/>
      <c r="AE80" s="624"/>
      <c r="AF80" s="624"/>
      <c r="AG80" s="624"/>
      <c r="AH80" s="624"/>
      <c r="AI80" s="624"/>
      <c r="AJ80" s="624"/>
      <c r="AK80" s="624"/>
      <c r="AL80" s="624"/>
      <c r="AM80" s="624"/>
      <c r="AN80" s="624"/>
      <c r="AO80" s="624"/>
      <c r="AP80" s="624"/>
      <c r="AQ80" s="624"/>
      <c r="AR80" s="624"/>
      <c r="AS80" s="624"/>
      <c r="AT80" s="624"/>
      <c r="AU80" s="624"/>
      <c r="AV80" s="624"/>
      <c r="AW80" s="624"/>
      <c r="AX80" s="624"/>
      <c r="AY80" s="624"/>
      <c r="AZ80" s="624"/>
      <c r="BA80" s="624"/>
      <c r="BB80" s="624"/>
      <c r="BC80" s="624"/>
      <c r="BD80" s="624"/>
      <c r="BE80" s="624"/>
      <c r="BF80" s="624"/>
      <c r="BG80" s="624"/>
      <c r="BH80" s="624"/>
      <c r="BI80" s="624"/>
      <c r="BJ80" s="624"/>
      <c r="BK80" s="630"/>
      <c r="BL80" s="624"/>
      <c r="BM80" s="624"/>
      <c r="BN80" s="624"/>
      <c r="BO80" s="624"/>
      <c r="BX80" s="624">
        <f>35000*1.3</f>
      </c>
      <c r="BY80" s="624">
        <f>BX80</f>
      </c>
      <c r="BZ80" s="624">
        <f>BY80</f>
      </c>
      <c r="CA80" s="624">
        <f>BZ80</f>
      </c>
      <c r="CB80" s="624">
        <f>CA80</f>
      </c>
      <c r="CC80" s="624">
        <f>CB80</f>
      </c>
      <c r="CD80" s="624"/>
      <c r="CE80" s="624"/>
      <c r="CF80" s="624"/>
      <c r="CG80" s="624"/>
      <c r="CH80" s="624"/>
      <c r="CI80" s="624"/>
      <c r="CJ80" s="624"/>
      <c r="CK80" s="624"/>
      <c r="CL80" s="624"/>
      <c r="CM80" s="624"/>
      <c r="CN80" s="624"/>
      <c r="CO80" s="624"/>
      <c r="CP80" s="624"/>
      <c r="CQ80" s="624"/>
      <c r="CR80" s="624"/>
      <c r="CS80" s="624"/>
      <c r="CT80" s="624"/>
      <c r="CU80" s="624"/>
      <c r="CV80" s="624"/>
      <c r="CW80" s="624"/>
      <c r="CX80" s="624"/>
      <c r="CZ80"/>
    </row>
    <row r="81" spans="1:104">
      <c r="A81" s="631" t="s">
        <v>523</v>
      </c>
      <c r="B81" s="633"/>
      <c r="C81" s="633"/>
      <c r="D81" s="633"/>
      <c r="E81" s="633"/>
      <c r="F81" s="633"/>
      <c r="G81" s="633"/>
      <c r="H81" s="633"/>
      <c r="I81" s="633"/>
      <c r="J81" s="633"/>
      <c r="K81" s="633"/>
      <c r="L81" s="633"/>
      <c r="M81" s="633"/>
      <c r="N81" s="633"/>
      <c r="O81" s="633"/>
      <c r="P81" s="633"/>
      <c r="Q81" s="633"/>
      <c r="R81" s="633"/>
      <c r="S81" s="633"/>
      <c r="T81" s="633"/>
      <c r="U81" s="633"/>
      <c r="V81" s="633"/>
      <c r="W81" s="633"/>
      <c r="X81" s="633"/>
      <c r="Y81" s="633"/>
      <c r="Z81" s="633"/>
      <c r="AA81" s="633"/>
      <c r="AB81" s="633"/>
      <c r="AC81" s="633"/>
      <c r="AD81" s="633"/>
      <c r="AE81" s="633"/>
      <c r="AF81" s="633"/>
      <c r="AG81" s="633"/>
      <c r="AH81" s="633"/>
      <c r="AI81" s="633"/>
      <c r="AJ81" s="633"/>
      <c r="AK81" s="633"/>
      <c r="AL81" s="633"/>
      <c r="AM81" s="633"/>
      <c r="AN81" s="633"/>
      <c r="AO81" s="633"/>
      <c r="AP81" s="633"/>
      <c r="AQ81" s="633"/>
      <c r="AR81" s="633"/>
      <c r="AS81" s="633"/>
      <c r="AT81" s="633"/>
      <c r="AU81" s="633"/>
      <c r="AV81" s="633"/>
      <c r="AW81" s="633"/>
      <c r="AX81" s="633"/>
      <c r="AY81" s="633"/>
      <c r="AZ81" s="633"/>
      <c r="BA81" s="633"/>
      <c r="BB81" s="633"/>
      <c r="BC81" s="633"/>
      <c r="BD81" s="633"/>
      <c r="BE81" s="633"/>
      <c r="BF81" s="633"/>
      <c r="BG81" s="633"/>
      <c r="BH81" s="633"/>
      <c r="BI81" s="633"/>
      <c r="BJ81" s="633"/>
      <c r="BK81" s="633"/>
      <c r="BL81" s="633"/>
      <c r="BM81" s="633"/>
      <c r="BN81" s="633"/>
      <c r="BO81" s="633"/>
      <c r="BP81" s="231"/>
      <c r="BQ81" s="231"/>
      <c r="BR81" s="231"/>
      <c r="BS81" s="231"/>
      <c r="BT81" s="231"/>
      <c r="BU81" s="231"/>
      <c r="BV81" s="231"/>
      <c r="BW81" s="231"/>
      <c r="BX81" s="633">
        <f t="shared" ref="BX81:CC81" si="68">BX80*BX76/1000</f>
      </c>
      <c r="BY81" s="633">
        <f t="shared" si="68"/>
      </c>
      <c r="BZ81" s="633">
        <f t="shared" si="68"/>
      </c>
      <c r="CA81" s="633">
        <f t="shared" si="68"/>
      </c>
      <c r="CB81" s="633">
        <f t="shared" si="68"/>
      </c>
      <c r="CC81" s="633">
        <f t="shared" si="68"/>
      </c>
      <c r="CD81" s="633"/>
      <c r="CE81" s="633"/>
      <c r="CF81" s="633"/>
      <c r="CG81" s="633"/>
      <c r="CH81" s="633"/>
      <c r="CI81" s="633"/>
      <c r="CJ81" s="633"/>
      <c r="CK81" s="633"/>
      <c r="CL81" s="633"/>
      <c r="CM81" s="633"/>
      <c r="CN81" s="633"/>
      <c r="CO81" s="633"/>
      <c r="CP81" s="633"/>
      <c r="CQ81" s="633"/>
      <c r="CR81" s="633"/>
      <c r="CS81" s="633"/>
      <c r="CT81" s="633"/>
      <c r="CU81" s="633">
        <f>SUM(BN81:BQ81)</f>
      </c>
      <c r="CV81" s="633">
        <f>SUM(BR81:BU81)</f>
      </c>
      <c r="CW81" s="633">
        <f>SUM(BV81:BY81)</f>
      </c>
      <c r="CX81" s="633">
        <f>SUM(BZ81:CC81)</f>
      </c>
      <c r="CZ81"/>
    </row>
    <row r="82" spans="1:104">
      <c r="A82" s="625" t="s">
        <v>511</v>
      </c>
      <c r="B82" s="633"/>
      <c r="C82" s="633"/>
      <c r="D82" s="633"/>
      <c r="E82" s="633"/>
      <c r="F82" s="633"/>
      <c r="G82" s="633"/>
      <c r="H82" s="633"/>
      <c r="I82" s="633"/>
      <c r="J82" s="633"/>
      <c r="K82" s="633"/>
      <c r="L82" s="633"/>
      <c r="M82" s="633"/>
      <c r="N82" s="633"/>
      <c r="O82" s="633"/>
      <c r="P82" s="633"/>
      <c r="Q82" s="633"/>
      <c r="R82" s="633"/>
      <c r="S82" s="633"/>
      <c r="T82" s="633"/>
      <c r="U82" s="633"/>
      <c r="V82" s="633"/>
      <c r="W82" s="633"/>
      <c r="X82" s="633"/>
      <c r="Y82" s="633"/>
      <c r="Z82" s="633"/>
      <c r="AA82" s="633"/>
      <c r="AB82" s="633"/>
      <c r="AC82" s="633"/>
      <c r="AD82" s="633"/>
      <c r="AE82" s="633"/>
      <c r="AF82" s="633"/>
      <c r="AG82" s="633"/>
      <c r="AH82" s="633"/>
      <c r="AI82" s="633"/>
      <c r="AJ82" s="633"/>
      <c r="AK82" s="633"/>
      <c r="AL82" s="633"/>
      <c r="AM82" s="633"/>
      <c r="AN82" s="633"/>
      <c r="AO82" s="633"/>
      <c r="AP82" s="633"/>
      <c r="AQ82" s="633"/>
      <c r="AR82" s="633"/>
      <c r="AS82" s="633"/>
      <c r="AT82" s="633"/>
      <c r="AU82" s="633"/>
      <c r="AV82" s="633"/>
      <c r="AW82" s="633"/>
      <c r="AX82" s="633"/>
      <c r="AY82" s="633"/>
      <c r="AZ82" s="633"/>
      <c r="BA82" s="633"/>
      <c r="BB82" s="633"/>
      <c r="BC82" s="633"/>
      <c r="BD82" s="633"/>
      <c r="BE82" s="633"/>
      <c r="BF82" s="633"/>
      <c r="BG82" s="633"/>
      <c r="BH82" s="633"/>
      <c r="BI82" s="633"/>
      <c r="BJ82" s="633"/>
      <c r="BK82" s="634"/>
      <c r="BL82" s="634"/>
      <c r="BM82" s="634"/>
      <c r="BN82" s="634"/>
      <c r="BO82" s="634"/>
      <c r="BP82" s="634"/>
      <c r="BQ82" s="634"/>
      <c r="BR82" s="634"/>
      <c r="BS82" s="634"/>
      <c r="BT82" s="634"/>
      <c r="BU82" s="634"/>
      <c r="BV82" s="634"/>
      <c r="BW82" s="634"/>
      <c r="BX82" s="634"/>
      <c r="BY82" s="634">
        <f>BY81/BX81-1</f>
      </c>
      <c r="BZ82" s="634">
        <f>BZ81/BY81-1</f>
      </c>
      <c r="CA82" s="634">
        <f>CA81/BZ81-1</f>
      </c>
      <c r="CB82" s="634">
        <f>CB81/CA81-1</f>
      </c>
      <c r="CC82" s="634">
        <f>CC81/CB81-1</f>
      </c>
      <c r="CD82" s="624"/>
      <c r="CE82" s="624"/>
      <c r="CF82" s="624"/>
      <c r="CG82" s="624"/>
      <c r="CH82" s="624"/>
      <c r="CI82" s="624"/>
      <c r="CJ82" s="624"/>
      <c r="CK82" s="624"/>
      <c r="CL82" s="624"/>
      <c r="CM82" s="624"/>
      <c r="CN82" s="624"/>
      <c r="CO82" s="624"/>
      <c r="CP82" s="624"/>
      <c r="CQ82" s="624"/>
      <c r="CR82" s="624"/>
      <c r="CS82" s="624"/>
      <c r="CT82" s="624"/>
      <c r="CU82" s="624"/>
      <c r="CV82" s="624"/>
      <c r="CW82" s="624"/>
      <c r="CX82" s="624"/>
      <c r="CZ82"/>
    </row>
    <row r="83" spans="1:104">
      <c r="A83" s="625" t="s">
        <v>512</v>
      </c>
      <c r="B83" s="633"/>
      <c r="C83" s="633"/>
      <c r="D83" s="633"/>
      <c r="E83" s="633"/>
      <c r="F83" s="633"/>
      <c r="G83" s="633"/>
      <c r="H83" s="633"/>
      <c r="I83" s="633"/>
      <c r="J83" s="633"/>
      <c r="K83" s="633"/>
      <c r="L83" s="633"/>
      <c r="M83" s="633"/>
      <c r="N83" s="633"/>
      <c r="O83" s="633"/>
      <c r="P83" s="633"/>
      <c r="Q83" s="633"/>
      <c r="R83" s="633"/>
      <c r="S83" s="633"/>
      <c r="T83" s="633"/>
      <c r="U83" s="633"/>
      <c r="V83" s="633"/>
      <c r="W83" s="633"/>
      <c r="X83" s="633"/>
      <c r="Y83" s="633"/>
      <c r="Z83" s="633"/>
      <c r="AA83" s="633"/>
      <c r="AB83" s="633"/>
      <c r="AC83" s="633"/>
      <c r="AD83" s="633"/>
      <c r="AE83" s="633"/>
      <c r="AF83" s="633"/>
      <c r="AG83" s="633"/>
      <c r="AH83" s="633"/>
      <c r="AI83" s="633"/>
      <c r="AJ83" s="633"/>
      <c r="AK83" s="633"/>
      <c r="AL83" s="633"/>
      <c r="AM83" s="633"/>
      <c r="AN83" s="633"/>
      <c r="AO83" s="633"/>
      <c r="AP83" s="633"/>
      <c r="AQ83" s="633"/>
      <c r="AR83" s="633"/>
      <c r="AS83" s="633"/>
      <c r="AT83" s="633"/>
      <c r="AU83" s="633"/>
      <c r="AV83" s="633"/>
      <c r="AW83" s="633"/>
      <c r="AX83" s="633"/>
      <c r="AY83" s="633"/>
      <c r="AZ83" s="633"/>
      <c r="BA83" s="633"/>
      <c r="BB83" s="633"/>
      <c r="BC83" s="633"/>
      <c r="BD83" s="633"/>
      <c r="BE83" s="633"/>
      <c r="BF83" s="633"/>
      <c r="BG83" s="633"/>
      <c r="BH83" s="633"/>
      <c r="BI83" s="633"/>
      <c r="BJ83" s="633"/>
      <c r="BK83" s="633"/>
      <c r="BL83" s="633"/>
      <c r="BM83" s="633"/>
      <c r="BN83" s="634"/>
      <c r="BO83" s="634"/>
      <c r="BP83" s="634"/>
      <c r="BQ83" s="634"/>
      <c r="BR83" s="634"/>
      <c r="BS83" s="634"/>
      <c r="BT83" s="634"/>
      <c r="BU83" s="634"/>
      <c r="BV83" s="634"/>
      <c r="BW83" s="634"/>
      <c r="BX83" s="634"/>
      <c r="BY83" s="634"/>
      <c r="BZ83" s="634"/>
      <c r="CA83" s="634"/>
      <c r="CB83" s="634"/>
      <c r="CC83" s="634"/>
      <c r="CD83" s="624"/>
      <c r="CE83" s="624"/>
      <c r="CF83" s="624"/>
      <c r="CG83" s="624"/>
      <c r="CH83" s="624"/>
      <c r="CI83" s="624"/>
      <c r="CJ83" s="624"/>
      <c r="CK83" s="624"/>
      <c r="CL83" s="624"/>
      <c r="CM83" s="624"/>
      <c r="CN83" s="624"/>
      <c r="CO83" s="624"/>
      <c r="CP83" s="624"/>
      <c r="CQ83" s="624"/>
      <c r="CR83" s="624"/>
      <c r="CS83" s="624"/>
      <c r="CT83" s="624"/>
      <c r="CU83" s="624"/>
      <c r="CV83" s="624"/>
      <c r="CW83" s="624"/>
      <c r="CX83" s="624"/>
      <c r="CZ83"/>
    </row>
    <row r="84" spans="1:104">
      <c r="A84" s="625" t="s">
        <v>519</v>
      </c>
      <c r="B84" s="634"/>
      <c r="C84" s="634"/>
      <c r="D84" s="634"/>
      <c r="E84" s="634"/>
      <c r="F84" s="634"/>
      <c r="G84" s="634"/>
      <c r="H84" s="634"/>
      <c r="I84" s="634"/>
      <c r="J84" s="634"/>
      <c r="K84" s="634"/>
      <c r="L84" s="634"/>
      <c r="M84" s="634"/>
      <c r="N84" s="634"/>
      <c r="O84" s="634"/>
      <c r="P84" s="634"/>
      <c r="Q84" s="634"/>
      <c r="R84" s="634"/>
      <c r="S84" s="634"/>
      <c r="T84" s="634"/>
      <c r="U84" s="634"/>
      <c r="V84" s="634"/>
      <c r="W84" s="634"/>
      <c r="X84" s="634"/>
      <c r="Y84" s="634"/>
      <c r="Z84" s="634"/>
      <c r="AA84" s="634"/>
      <c r="AB84" s="634"/>
      <c r="AC84" s="634"/>
      <c r="AD84" s="634"/>
      <c r="AE84" s="634"/>
      <c r="AF84" s="634"/>
      <c r="AG84" s="634"/>
      <c r="AH84" s="634"/>
      <c r="AI84" s="634"/>
      <c r="AJ84" s="634"/>
      <c r="AK84" s="634"/>
      <c r="AL84" s="634"/>
      <c r="AM84" s="634"/>
      <c r="AN84" s="634"/>
      <c r="AO84" s="634"/>
      <c r="AP84" s="634"/>
      <c r="AQ84" s="634"/>
      <c r="AR84" s="634"/>
      <c r="AS84" s="634"/>
      <c r="AT84" s="634"/>
      <c r="AU84" s="634"/>
      <c r="AV84" s="634"/>
      <c r="AW84" s="634"/>
      <c r="AX84" s="634"/>
      <c r="AY84" s="634"/>
      <c r="AZ84" s="634"/>
      <c r="BA84" s="634"/>
      <c r="BB84" s="634"/>
      <c r="BC84" s="634"/>
      <c r="BD84" s="634"/>
      <c r="BE84" s="634"/>
      <c r="BF84" s="634"/>
      <c r="BG84" s="634"/>
      <c r="BH84" s="634"/>
      <c r="BI84" s="634"/>
      <c r="BJ84" s="634">
        <f t="shared" ref="BJ84:CC84" si="69">BJ81/BJ$109</f>
      </c>
      <c r="BK84" s="634">
        <f t="shared" si="69"/>
      </c>
      <c r="BL84" s="634">
        <f t="shared" si="69"/>
      </c>
      <c r="BM84" s="634">
        <f t="shared" si="69"/>
      </c>
      <c r="BN84" s="634">
        <f t="shared" si="69"/>
      </c>
      <c r="BO84" s="634">
        <f t="shared" si="69"/>
      </c>
      <c r="BP84" s="634">
        <f t="shared" si="69"/>
      </c>
      <c r="BQ84" s="634">
        <f t="shared" si="69"/>
      </c>
      <c r="BR84" s="634">
        <f t="shared" si="69"/>
      </c>
      <c r="BS84" s="634">
        <f t="shared" si="69"/>
      </c>
      <c r="BT84" s="634">
        <f t="shared" si="69"/>
      </c>
      <c r="BU84" s="634">
        <f t="shared" si="69"/>
      </c>
      <c r="BV84" s="634">
        <f t="shared" si="69"/>
      </c>
      <c r="BW84" s="634">
        <f t="shared" si="69"/>
      </c>
      <c r="BX84" s="634">
        <f t="shared" si="69"/>
      </c>
      <c r="BY84" s="634">
        <f t="shared" si="69"/>
      </c>
      <c r="BZ84" s="634">
        <f t="shared" si="69"/>
      </c>
      <c r="CA84" s="634">
        <f t="shared" si="69"/>
      </c>
      <c r="CB84" s="634">
        <f t="shared" si="69"/>
      </c>
      <c r="CC84" s="634">
        <f t="shared" si="69"/>
      </c>
      <c r="CD84" s="624"/>
      <c r="CE84" s="624"/>
      <c r="CF84" s="624"/>
      <c r="CG84" s="624"/>
      <c r="CH84" s="624"/>
      <c r="CI84" s="624"/>
      <c r="CJ84" s="624"/>
      <c r="CK84" s="624"/>
      <c r="CL84" s="624"/>
      <c r="CM84" s="624"/>
      <c r="CN84" s="624"/>
      <c r="CO84" s="624"/>
      <c r="CP84" s="624"/>
      <c r="CQ84" s="624"/>
      <c r="CR84" s="624"/>
      <c r="CS84" s="624"/>
      <c r="CT84" s="624"/>
      <c r="CU84" s="624"/>
      <c r="CV84" s="624"/>
      <c r="CW84" s="634">
        <f>+CW81/CW$15</f>
      </c>
      <c r="CX84" s="634">
        <f>+CX81/CX$15</f>
      </c>
      <c r="CZ84"/>
    </row>
    <row r="85" spans="1:104">
      <c r="A85" s="635"/>
      <c r="B85" s="259"/>
      <c r="C85" s="259"/>
      <c r="D85" s="259"/>
      <c r="E85" s="259"/>
      <c r="F85" s="259"/>
      <c r="G85" s="259"/>
      <c r="H85" s="259"/>
      <c r="I85" s="259"/>
      <c r="J85" s="259"/>
      <c r="K85" s="259"/>
      <c r="L85" s="259"/>
      <c r="M85" s="259"/>
      <c r="N85" s="259"/>
      <c r="O85" s="259"/>
      <c r="P85" s="259"/>
      <c r="Q85" s="259"/>
      <c r="R85" s="259"/>
      <c r="S85" s="259"/>
      <c r="T85" s="259"/>
      <c r="U85" s="259"/>
      <c r="V85" s="259"/>
      <c r="W85" s="259"/>
      <c r="X85" s="259"/>
      <c r="Y85" s="259"/>
      <c r="Z85" s="259"/>
      <c r="AA85" s="259"/>
      <c r="AB85" s="259"/>
      <c r="AC85" s="259"/>
      <c r="AD85" s="259"/>
      <c r="AE85" s="259"/>
      <c r="AF85" s="259"/>
      <c r="AG85" s="259"/>
      <c r="AH85" s="259"/>
      <c r="AI85" s="259"/>
      <c r="AJ85" s="259"/>
      <c r="AK85" s="259"/>
      <c r="AL85" s="259"/>
      <c r="AM85" s="259"/>
      <c r="AN85" s="259"/>
      <c r="AO85" s="259"/>
      <c r="AP85" s="259"/>
      <c r="AQ85" s="259"/>
      <c r="AR85" s="259"/>
      <c r="AS85" s="259"/>
      <c r="AT85" s="259"/>
      <c r="AU85" s="259"/>
      <c r="AV85" s="259"/>
      <c r="AW85" s="259"/>
      <c r="AX85" s="259"/>
      <c r="AY85" s="259"/>
      <c r="AZ85" s="259"/>
      <c r="BA85" s="259"/>
      <c r="BB85" s="259"/>
      <c r="BC85" s="259"/>
      <c r="BD85" s="259"/>
      <c r="BE85" s="259"/>
      <c r="BF85" s="259"/>
      <c r="BG85" s="259"/>
      <c r="BH85" s="259"/>
      <c r="BI85" s="259"/>
      <c r="BJ85" s="259"/>
      <c r="BK85" s="259"/>
      <c r="BL85" s="259"/>
      <c r="BM85" s="259"/>
      <c r="BN85" s="259"/>
      <c r="BO85" s="259"/>
      <c r="BP85" s="259"/>
      <c r="BQ85" s="259"/>
      <c r="BR85" s="259"/>
      <c r="BS85" s="259"/>
      <c r="BT85" s="259"/>
      <c r="BU85" s="259"/>
      <c r="BV85" s="259"/>
      <c r="BW85" s="259"/>
      <c r="BX85" s="259"/>
      <c r="BY85" s="259"/>
      <c r="BZ85" s="259"/>
      <c r="CA85" s="259"/>
      <c r="CB85" s="259"/>
      <c r="CC85" s="259"/>
      <c r="CD85" s="259"/>
      <c r="CT85" s="259"/>
      <c r="CU85" s="259"/>
      <c r="CV85" s="627"/>
      <c r="CW85" s="627"/>
      <c r="CX85" s="627"/>
      <c r="CZ85"/>
    </row>
    <row r="86" spans="1:104">
      <c r="A86" s="636" t="s">
        <v>527</v>
      </c>
      <c r="B86" s="259"/>
      <c r="C86" s="259"/>
      <c r="D86" s="259"/>
      <c r="E86" s="259"/>
      <c r="F86" s="259"/>
      <c r="G86" s="259"/>
      <c r="H86" s="259"/>
      <c r="I86" s="259"/>
      <c r="J86" s="259"/>
      <c r="K86" s="259"/>
      <c r="L86" s="259"/>
      <c r="M86" s="259"/>
      <c r="N86" s="259"/>
      <c r="O86" s="259"/>
      <c r="P86" s="259"/>
      <c r="Q86" s="259"/>
      <c r="R86" s="259"/>
      <c r="S86" s="259"/>
      <c r="T86" s="259"/>
      <c r="U86" s="259"/>
      <c r="V86" s="259"/>
      <c r="W86" s="259"/>
      <c r="X86" s="259"/>
      <c r="Y86" s="259"/>
      <c r="Z86" s="259"/>
      <c r="AA86" s="259"/>
      <c r="AB86" s="259"/>
      <c r="AC86" s="259"/>
      <c r="AD86" s="259"/>
      <c r="AE86" s="259"/>
      <c r="AF86" s="259"/>
      <c r="AG86" s="259"/>
      <c r="AH86" s="259"/>
      <c r="AI86" s="259"/>
      <c r="AJ86" s="259"/>
      <c r="AK86" s="259"/>
      <c r="AL86" s="259"/>
      <c r="AM86" s="259"/>
      <c r="AN86" s="259"/>
      <c r="AO86" s="259"/>
      <c r="AP86" s="259"/>
      <c r="AQ86" s="259"/>
      <c r="AR86" s="259"/>
      <c r="AS86" s="259"/>
      <c r="AT86" s="259"/>
      <c r="AU86" s="259"/>
      <c r="AV86" s="259"/>
      <c r="AW86" s="259"/>
      <c r="AX86" s="259"/>
      <c r="AY86" s="259"/>
      <c r="AZ86" s="259"/>
      <c r="BA86" s="259"/>
      <c r="BB86" s="259"/>
      <c r="BC86" s="259"/>
      <c r="BD86" s="259"/>
      <c r="BE86" s="259"/>
      <c r="BF86" s="259"/>
      <c r="BG86" s="259"/>
      <c r="BH86" s="259"/>
      <c r="BI86" s="259"/>
      <c r="BJ86" s="259"/>
      <c r="BK86" s="259"/>
      <c r="BL86" s="259"/>
      <c r="BM86" s="259"/>
      <c r="BN86" s="259"/>
      <c r="BO86" s="259"/>
      <c r="BP86" s="259"/>
      <c r="BQ86" s="259"/>
      <c r="BR86" s="259"/>
      <c r="BS86" s="259"/>
      <c r="BT86" s="259"/>
      <c r="BU86" s="259"/>
      <c r="BV86" s="259"/>
      <c r="BW86" s="259"/>
      <c r="BX86" s="259"/>
      <c r="BY86" s="259"/>
      <c r="BZ86" s="259"/>
      <c r="CA86" s="259"/>
      <c r="CB86" s="259"/>
      <c r="CC86" s="259"/>
      <c r="CD86" s="259"/>
      <c r="CE86" s="259"/>
      <c r="CF86" s="259"/>
      <c r="CG86" s="259"/>
      <c r="CH86" s="259"/>
      <c r="CI86" s="259"/>
      <c r="CJ86" s="259"/>
      <c r="CK86" s="259"/>
      <c r="CL86" s="259"/>
      <c r="CM86" s="259"/>
      <c r="CN86" s="259"/>
      <c r="CO86" s="259"/>
      <c r="CP86" s="259"/>
      <c r="CQ86" s="259"/>
      <c r="CR86" s="259"/>
      <c r="CS86" s="259"/>
      <c r="CT86" s="259"/>
      <c r="CU86" s="259"/>
      <c r="CV86" s="627"/>
      <c r="CW86" s="627"/>
      <c r="CX86" s="627"/>
      <c r="CZ86"/>
    </row>
    <row r="87" spans="1:104">
      <c r="A87" s="622" t="s">
        <v>515</v>
      </c>
      <c r="B87" s="624"/>
      <c r="C87" s="624"/>
      <c r="D87" s="624"/>
      <c r="E87" s="624"/>
      <c r="F87" s="624"/>
      <c r="G87" s="624"/>
      <c r="H87" s="624"/>
      <c r="I87" s="624"/>
      <c r="J87" s="624"/>
      <c r="K87" s="624"/>
      <c r="L87" s="624"/>
      <c r="M87" s="624"/>
      <c r="N87" s="624"/>
      <c r="O87" s="624"/>
      <c r="P87" s="624"/>
      <c r="Q87" s="624"/>
      <c r="R87" s="624"/>
      <c r="S87" s="624"/>
      <c r="T87" s="624"/>
      <c r="U87" s="624"/>
      <c r="V87" s="624"/>
      <c r="W87" s="624"/>
      <c r="X87" s="624"/>
      <c r="Y87" s="624"/>
      <c r="Z87" s="624"/>
      <c r="AA87" s="624"/>
      <c r="AB87" s="624"/>
      <c r="AC87" s="624"/>
      <c r="AD87" s="624"/>
      <c r="AE87" s="624"/>
      <c r="AF87" s="624"/>
      <c r="AG87" s="624"/>
      <c r="AH87" s="624"/>
      <c r="AI87" s="624"/>
      <c r="AJ87" s="624"/>
      <c r="AK87" s="624"/>
      <c r="AL87" s="624"/>
      <c r="AM87" s="624"/>
      <c r="AN87" s="624"/>
      <c r="AO87" s="624"/>
      <c r="AP87" s="624"/>
      <c r="AQ87" s="624"/>
      <c r="AR87" s="624"/>
      <c r="AS87" s="624"/>
      <c r="AT87" s="624"/>
      <c r="AU87" s="624"/>
      <c r="AV87" s="624"/>
      <c r="AW87" s="624"/>
      <c r="AX87" s="624"/>
      <c r="AY87" s="624"/>
      <c r="AZ87" s="624"/>
      <c r="BA87" s="624"/>
      <c r="BB87" s="624"/>
      <c r="BC87" s="624"/>
      <c r="BD87" s="624"/>
      <c r="BE87" s="624"/>
      <c r="BF87" s="624"/>
      <c r="BG87" s="624"/>
      <c r="BH87" s="624"/>
      <c r="BI87" s="624"/>
      <c r="BJ87" s="624"/>
      <c r="BK87" s="624"/>
      <c r="BL87" s="624"/>
      <c r="BM87" s="624"/>
      <c r="BN87" s="624"/>
      <c r="BO87" s="624"/>
      <c r="BX87" s="624"/>
      <c r="BY87" s="624"/>
      <c r="BZ87" s="624"/>
      <c r="CA87" s="624"/>
      <c r="CB87" s="624">
        <v>150</v>
      </c>
      <c r="CC87" s="624">
        <f>CB87*(1+CC88)</f>
      </c>
      <c r="CD87" s="624"/>
      <c r="CE87" s="624"/>
      <c r="CF87" s="624"/>
      <c r="CG87" s="624"/>
      <c r="CH87" s="624"/>
      <c r="CI87" s="624"/>
      <c r="CJ87" s="624"/>
      <c r="CK87" s="624"/>
      <c r="CL87" s="624"/>
      <c r="CM87" s="624"/>
      <c r="CN87" s="624"/>
      <c r="CO87" s="624"/>
      <c r="CP87" s="624"/>
      <c r="CQ87" s="624"/>
      <c r="CR87" s="624"/>
      <c r="CS87" s="624"/>
      <c r="CT87" s="624"/>
      <c r="CU87" s="624">
        <f>SUM(BN87:BQ87)</f>
      </c>
      <c r="CV87" s="624">
        <f>SUM(BR87:BU87)</f>
      </c>
      <c r="CW87" s="624">
        <f>SUM(BV87:BY87)</f>
      </c>
      <c r="CX87" s="624">
        <f>SUM(BZ87:CC87)</f>
      </c>
      <c r="CZ87"/>
    </row>
    <row r="88" spans="1:104">
      <c r="A88" s="625" t="s">
        <v>511</v>
      </c>
      <c r="B88" s="259"/>
      <c r="C88" s="259"/>
      <c r="D88" s="259"/>
      <c r="E88" s="259"/>
      <c r="F88" s="259"/>
      <c r="G88" s="259"/>
      <c r="H88" s="259"/>
      <c r="I88" s="259"/>
      <c r="J88" s="259"/>
      <c r="K88" s="259"/>
      <c r="L88" s="259"/>
      <c r="M88" s="259"/>
      <c r="N88" s="259"/>
      <c r="O88" s="259"/>
      <c r="P88" s="259"/>
      <c r="Q88" s="259"/>
      <c r="R88" s="259"/>
      <c r="S88" s="259"/>
      <c r="T88" s="259"/>
      <c r="U88" s="259"/>
      <c r="V88" s="259"/>
      <c r="W88" s="259"/>
      <c r="X88" s="259"/>
      <c r="Y88" s="259"/>
      <c r="Z88" s="259"/>
      <c r="AA88" s="259"/>
      <c r="AB88" s="259"/>
      <c r="AC88" s="259"/>
      <c r="AD88" s="259"/>
      <c r="AE88" s="259"/>
      <c r="AF88" s="259"/>
      <c r="AG88" s="259"/>
      <c r="AH88" s="259"/>
      <c r="AI88" s="259"/>
      <c r="AJ88" s="259"/>
      <c r="AK88" s="259"/>
      <c r="AL88" s="259"/>
      <c r="AM88" s="259"/>
      <c r="AN88" s="259"/>
      <c r="AO88" s="259"/>
      <c r="AP88" s="259"/>
      <c r="AQ88" s="259"/>
      <c r="AR88" s="259"/>
      <c r="AS88" s="259"/>
      <c r="AT88" s="259"/>
      <c r="AU88" s="259"/>
      <c r="AV88" s="259"/>
      <c r="AW88" s="259"/>
      <c r="AX88" s="259"/>
      <c r="AY88" s="259"/>
      <c r="AZ88" s="259"/>
      <c r="BA88" s="259"/>
      <c r="BB88" s="259"/>
      <c r="BC88" s="259"/>
      <c r="BD88" s="259"/>
      <c r="BE88" s="259"/>
      <c r="BF88" s="259"/>
      <c r="BG88" s="259"/>
      <c r="BH88" s="259"/>
      <c r="BI88" s="259"/>
      <c r="BJ88" s="259"/>
      <c r="BK88" s="259"/>
      <c r="BL88" s="627"/>
      <c r="BM88" s="627"/>
      <c r="BN88" s="627"/>
      <c r="BO88" s="627"/>
      <c r="BY88" s="627"/>
      <c r="BZ88" s="627"/>
      <c r="CA88" s="627"/>
      <c r="CB88" s="627"/>
      <c r="CC88" s="627">
        <v>1.8</v>
      </c>
      <c r="CD88" s="259"/>
      <c r="CE88" s="259"/>
      <c r="CF88" s="259"/>
      <c r="CG88" s="259"/>
      <c r="CH88" s="259"/>
      <c r="CI88" s="259"/>
      <c r="CJ88" s="259"/>
      <c r="CK88" s="259"/>
      <c r="CL88" s="259"/>
      <c r="CM88" s="259"/>
      <c r="CN88" s="259"/>
      <c r="CO88" s="259"/>
      <c r="CP88" s="259"/>
      <c r="CQ88" s="259"/>
      <c r="CR88" s="259"/>
      <c r="CS88" s="259"/>
      <c r="CT88" s="259"/>
      <c r="CU88" s="628" t="s">
        <v>197</v>
      </c>
      <c r="CV88" s="259"/>
      <c r="CW88" s="259"/>
      <c r="CX88" s="259"/>
      <c r="CZ88"/>
    </row>
    <row r="89" spans="1:104">
      <c r="A89" s="625" t="s">
        <v>512</v>
      </c>
      <c r="B89" s="259"/>
      <c r="C89" s="259"/>
      <c r="D89" s="259"/>
      <c r="E89" s="259"/>
      <c r="F89" s="259"/>
      <c r="G89" s="259"/>
      <c r="H89" s="259"/>
      <c r="I89" s="259"/>
      <c r="J89" s="259"/>
      <c r="K89" s="259"/>
      <c r="L89" s="259"/>
      <c r="M89" s="259"/>
      <c r="N89" s="259"/>
      <c r="O89" s="259"/>
      <c r="P89" s="259"/>
      <c r="Q89" s="259"/>
      <c r="R89" s="259"/>
      <c r="S89" s="259"/>
      <c r="T89" s="259"/>
      <c r="U89" s="259"/>
      <c r="V89" s="259"/>
      <c r="W89" s="259"/>
      <c r="X89" s="259"/>
      <c r="Y89" s="259"/>
      <c r="Z89" s="259"/>
      <c r="AA89" s="259"/>
      <c r="AB89" s="259"/>
      <c r="AC89" s="259"/>
      <c r="AD89" s="259"/>
      <c r="AE89" s="259"/>
      <c r="AF89" s="259"/>
      <c r="AG89" s="259"/>
      <c r="AH89" s="259"/>
      <c r="AI89" s="259"/>
      <c r="AJ89" s="259"/>
      <c r="AK89" s="259"/>
      <c r="AL89" s="259"/>
      <c r="AM89" s="259"/>
      <c r="AN89" s="259"/>
      <c r="AO89" s="259"/>
      <c r="AP89" s="259"/>
      <c r="AQ89" s="259"/>
      <c r="AR89" s="259"/>
      <c r="AS89" s="259"/>
      <c r="AT89" s="259"/>
      <c r="AU89" s="259"/>
      <c r="AV89" s="259"/>
      <c r="AW89" s="259"/>
      <c r="AX89" s="259"/>
      <c r="AY89" s="259"/>
      <c r="AZ89" s="259"/>
      <c r="BA89" s="259"/>
      <c r="BB89" s="259"/>
      <c r="BC89" s="259"/>
      <c r="BD89" s="259"/>
      <c r="BE89" s="259"/>
      <c r="BF89" s="259"/>
      <c r="BG89" s="259"/>
      <c r="BH89" s="259"/>
      <c r="BI89" s="259"/>
      <c r="BJ89" s="259"/>
      <c r="BK89" s="259"/>
      <c r="BL89" s="259"/>
      <c r="BM89" s="259"/>
      <c r="BN89" s="259"/>
      <c r="BO89" s="259"/>
      <c r="BX89" s="259"/>
      <c r="BY89" s="259"/>
      <c r="CB89" s="628" t="s">
        <v>197</v>
      </c>
      <c r="CC89" s="628" t="s">
        <v>197</v>
      </c>
      <c r="CD89" s="259"/>
      <c r="CE89" s="259"/>
      <c r="CF89" s="259"/>
      <c r="CG89" s="259"/>
      <c r="CH89" s="259"/>
      <c r="CI89" s="259"/>
      <c r="CJ89" s="259"/>
      <c r="CK89" s="259"/>
      <c r="CL89" s="259"/>
      <c r="CM89" s="259"/>
      <c r="CN89" s="259"/>
      <c r="CO89" s="259"/>
      <c r="CP89" s="259"/>
      <c r="CQ89" s="259"/>
      <c r="CR89" s="259"/>
      <c r="CS89" s="259"/>
      <c r="CT89" s="259"/>
      <c r="CU89" s="259"/>
      <c r="CV89" s="259"/>
      <c r="CW89" s="259"/>
      <c r="CX89" s="259"/>
      <c r="CZ89"/>
    </row>
    <row r="90" spans="1:104">
      <c r="A90" s="625" t="s">
        <v>516</v>
      </c>
      <c r="B90" s="259"/>
      <c r="C90" s="259"/>
      <c r="D90" s="259"/>
      <c r="E90" s="259"/>
      <c r="F90" s="259"/>
      <c r="G90" s="259"/>
      <c r="H90" s="259"/>
      <c r="I90" s="259"/>
      <c r="J90" s="259"/>
      <c r="K90" s="259"/>
      <c r="L90" s="259"/>
      <c r="M90" s="259"/>
      <c r="N90" s="259"/>
      <c r="O90" s="259"/>
      <c r="P90" s="259"/>
      <c r="Q90" s="259"/>
      <c r="R90" s="259"/>
      <c r="S90" s="259"/>
      <c r="T90" s="259"/>
      <c r="U90" s="259"/>
      <c r="V90" s="259"/>
      <c r="W90" s="259"/>
      <c r="X90" s="259"/>
      <c r="Y90" s="259"/>
      <c r="Z90" s="259"/>
      <c r="AA90" s="259"/>
      <c r="AB90" s="259"/>
      <c r="AC90" s="259"/>
      <c r="AD90" s="259"/>
      <c r="AE90" s="259"/>
      <c r="AF90" s="259"/>
      <c r="AG90" s="259"/>
      <c r="AH90" s="259"/>
      <c r="AI90" s="259"/>
      <c r="AJ90" s="259"/>
      <c r="AK90" s="259"/>
      <c r="AL90" s="259"/>
      <c r="AM90" s="259"/>
      <c r="AN90" s="259"/>
      <c r="AO90" s="259"/>
      <c r="AP90" s="259"/>
      <c r="AQ90" s="259"/>
      <c r="AR90" s="259"/>
      <c r="AS90" s="259"/>
      <c r="AT90" s="259"/>
      <c r="AU90" s="259"/>
      <c r="AV90" s="259"/>
      <c r="AW90" s="259"/>
      <c r="AX90" s="259"/>
      <c r="AY90" s="259"/>
      <c r="AZ90" s="259"/>
      <c r="BA90" s="259"/>
      <c r="BB90" s="259"/>
      <c r="BC90" s="259"/>
      <c r="BD90" s="259"/>
      <c r="BE90" s="259"/>
      <c r="BF90" s="259"/>
      <c r="BG90" s="259"/>
      <c r="BH90" s="259"/>
      <c r="BI90" s="259"/>
      <c r="BJ90" s="259"/>
      <c r="BK90" s="259"/>
      <c r="BL90" s="259"/>
      <c r="BM90" s="259"/>
      <c r="BN90" s="259"/>
      <c r="BO90" s="259"/>
      <c r="BX90" s="627"/>
      <c r="BY90" s="627"/>
      <c r="BZ90" s="627"/>
      <c r="CA90" s="627"/>
      <c r="CB90" s="627">
        <f>CB87/CB101</f>
      </c>
      <c r="CC90" s="627">
        <f>CC87/CC101</f>
      </c>
      <c r="CD90" s="259"/>
      <c r="CE90" s="259"/>
      <c r="CF90" s="259"/>
      <c r="CG90" s="259"/>
      <c r="CH90" s="259"/>
      <c r="CI90" s="259"/>
      <c r="CJ90" s="259"/>
      <c r="CK90" s="259"/>
      <c r="CL90" s="259"/>
      <c r="CM90" s="259"/>
      <c r="CN90" s="259"/>
      <c r="CO90" s="259"/>
      <c r="CP90" s="259"/>
      <c r="CQ90" s="259"/>
      <c r="CR90" s="259"/>
      <c r="CS90" s="259"/>
      <c r="CT90" s="259"/>
      <c r="CU90" s="627"/>
      <c r="CV90" s="627"/>
      <c r="CW90" s="627">
        <f>CW87/CW101</f>
      </c>
      <c r="CX90" s="627">
        <f>CX87/CX101</f>
      </c>
      <c r="CZ90"/>
    </row>
    <row r="91" spans="1:104">
      <c r="A91" s="622" t="s">
        <v>521</v>
      </c>
      <c r="B91" s="624"/>
      <c r="C91" s="624"/>
      <c r="D91" s="624"/>
      <c r="E91" s="624"/>
      <c r="F91" s="624"/>
      <c r="G91" s="624"/>
      <c r="H91" s="624"/>
      <c r="I91" s="624"/>
      <c r="J91" s="624"/>
      <c r="K91" s="624"/>
      <c r="L91" s="624"/>
      <c r="M91" s="624"/>
      <c r="N91" s="624"/>
      <c r="O91" s="624"/>
      <c r="P91" s="624"/>
      <c r="Q91" s="624"/>
      <c r="R91" s="624"/>
      <c r="S91" s="624"/>
      <c r="T91" s="624"/>
      <c r="U91" s="624"/>
      <c r="V91" s="624"/>
      <c r="W91" s="624"/>
      <c r="X91" s="624"/>
      <c r="Y91" s="624"/>
      <c r="Z91" s="624"/>
      <c r="AA91" s="624"/>
      <c r="AB91" s="624"/>
      <c r="AC91" s="624"/>
      <c r="AD91" s="624"/>
      <c r="AE91" s="624"/>
      <c r="AF91" s="624"/>
      <c r="AG91" s="624"/>
      <c r="AH91" s="624"/>
      <c r="AI91" s="624"/>
      <c r="AJ91" s="624"/>
      <c r="AK91" s="624"/>
      <c r="AL91" s="624"/>
      <c r="AM91" s="624"/>
      <c r="AN91" s="624"/>
      <c r="AO91" s="624"/>
      <c r="AP91" s="624"/>
      <c r="AQ91" s="624"/>
      <c r="AR91" s="624"/>
      <c r="AS91" s="624"/>
      <c r="AT91" s="624"/>
      <c r="AU91" s="624"/>
      <c r="AV91" s="624"/>
      <c r="AW91" s="624"/>
      <c r="AX91" s="624"/>
      <c r="AY91" s="624"/>
      <c r="AZ91" s="624"/>
      <c r="BA91" s="624"/>
      <c r="BB91" s="624"/>
      <c r="BC91" s="624"/>
      <c r="BD91" s="624"/>
      <c r="BE91" s="624"/>
      <c r="BF91" s="624"/>
      <c r="BG91" s="624"/>
      <c r="BH91" s="624"/>
      <c r="BI91" s="624"/>
      <c r="BJ91" s="624"/>
      <c r="BK91" s="630"/>
      <c r="BL91" s="624"/>
      <c r="BM91" s="624"/>
      <c r="BN91" s="624"/>
      <c r="BO91" s="624"/>
      <c r="BX91" s="624"/>
      <c r="BY91" s="624"/>
      <c r="BZ91" s="624"/>
      <c r="CA91" s="624"/>
      <c r="CB91" s="624">
        <f>CB80*1.05</f>
      </c>
      <c r="CC91" s="624">
        <f>CB91</f>
      </c>
      <c r="CD91" s="624"/>
      <c r="CE91" s="624"/>
      <c r="CF91" s="624"/>
      <c r="CG91" s="624"/>
      <c r="CH91" s="624"/>
      <c r="CI91" s="624"/>
      <c r="CJ91" s="624"/>
      <c r="CK91" s="624"/>
      <c r="CL91" s="624"/>
      <c r="CM91" s="624"/>
      <c r="CN91" s="624"/>
      <c r="CO91" s="624"/>
      <c r="CP91" s="624"/>
      <c r="CQ91" s="624"/>
      <c r="CR91" s="624"/>
      <c r="CS91" s="624"/>
      <c r="CT91" s="624"/>
      <c r="CU91" s="624"/>
      <c r="CV91" s="624"/>
      <c r="CW91" s="624"/>
      <c r="CX91" s="624"/>
      <c r="CZ91"/>
    </row>
    <row r="92" spans="1:104">
      <c r="A92" s="631" t="s">
        <v>523</v>
      </c>
      <c r="B92" s="633"/>
      <c r="C92" s="633"/>
      <c r="D92" s="633"/>
      <c r="E92" s="633"/>
      <c r="F92" s="633"/>
      <c r="G92" s="633"/>
      <c r="H92" s="633"/>
      <c r="I92" s="633"/>
      <c r="J92" s="633"/>
      <c r="K92" s="633"/>
      <c r="L92" s="633"/>
      <c r="M92" s="633"/>
      <c r="N92" s="633"/>
      <c r="O92" s="633"/>
      <c r="P92" s="633"/>
      <c r="Q92" s="633"/>
      <c r="R92" s="633"/>
      <c r="S92" s="633"/>
      <c r="T92" s="633"/>
      <c r="U92" s="633"/>
      <c r="V92" s="633"/>
      <c r="W92" s="633"/>
      <c r="X92" s="633"/>
      <c r="Y92" s="633"/>
      <c r="Z92" s="633"/>
      <c r="AA92" s="633"/>
      <c r="AB92" s="633"/>
      <c r="AC92" s="633"/>
      <c r="AD92" s="633"/>
      <c r="AE92" s="633"/>
      <c r="AF92" s="633"/>
      <c r="AG92" s="633"/>
      <c r="AH92" s="633"/>
      <c r="AI92" s="633"/>
      <c r="AJ92" s="633"/>
      <c r="AK92" s="633"/>
      <c r="AL92" s="633"/>
      <c r="AM92" s="633"/>
      <c r="AN92" s="633"/>
      <c r="AO92" s="633"/>
      <c r="AP92" s="633"/>
      <c r="AQ92" s="633"/>
      <c r="AR92" s="633"/>
      <c r="AS92" s="633"/>
      <c r="AT92" s="633"/>
      <c r="AU92" s="633"/>
      <c r="AV92" s="633"/>
      <c r="AW92" s="633"/>
      <c r="AX92" s="633"/>
      <c r="AY92" s="633"/>
      <c r="AZ92" s="633"/>
      <c r="BA92" s="633"/>
      <c r="BB92" s="633"/>
      <c r="BC92" s="633"/>
      <c r="BD92" s="633"/>
      <c r="BE92" s="633"/>
      <c r="BF92" s="633"/>
      <c r="BG92" s="633"/>
      <c r="BH92" s="633"/>
      <c r="BI92" s="633"/>
      <c r="BJ92" s="633"/>
      <c r="BK92" s="633"/>
      <c r="BL92" s="633"/>
      <c r="BM92" s="633"/>
      <c r="BN92" s="633"/>
      <c r="BO92" s="633"/>
      <c r="BP92" s="231"/>
      <c r="BQ92" s="231"/>
      <c r="BR92" s="231"/>
      <c r="BS92" s="231"/>
      <c r="BT92" s="231"/>
      <c r="BU92" s="231"/>
      <c r="BV92" s="231"/>
      <c r="BW92" s="231"/>
      <c r="BX92" s="633"/>
      <c r="BY92" s="633"/>
      <c r="BZ92" s="633"/>
      <c r="CA92" s="633"/>
      <c r="CB92" s="633">
        <f>CB91*CB87/1000</f>
      </c>
      <c r="CC92" s="633">
        <f>CC91*CC87/1000</f>
      </c>
      <c r="CD92" s="633"/>
      <c r="CE92" s="633"/>
      <c r="CF92" s="633"/>
      <c r="CG92" s="633"/>
      <c r="CH92" s="633"/>
      <c r="CI92" s="633"/>
      <c r="CJ92" s="633"/>
      <c r="CK92" s="633"/>
      <c r="CL92" s="633"/>
      <c r="CM92" s="633"/>
      <c r="CN92" s="633"/>
      <c r="CO92" s="633"/>
      <c r="CP92" s="633"/>
      <c r="CQ92" s="633"/>
      <c r="CR92" s="633"/>
      <c r="CS92" s="633"/>
      <c r="CT92" s="633"/>
      <c r="CU92" s="633">
        <f>SUM(BN92:BQ92)</f>
      </c>
      <c r="CV92" s="633">
        <f>SUM(BR92:BU92)</f>
      </c>
      <c r="CW92" s="633">
        <f>SUM(BV92:BY92)</f>
      </c>
      <c r="CX92" s="633">
        <f>SUM(BZ92:CC92)</f>
      </c>
      <c r="CZ92"/>
    </row>
    <row r="93" spans="1:104">
      <c r="A93" s="625" t="s">
        <v>511</v>
      </c>
      <c r="B93" s="633"/>
      <c r="C93" s="633"/>
      <c r="D93" s="633"/>
      <c r="E93" s="633"/>
      <c r="F93" s="633"/>
      <c r="G93" s="633"/>
      <c r="H93" s="633"/>
      <c r="I93" s="633"/>
      <c r="J93" s="633"/>
      <c r="K93" s="633"/>
      <c r="L93" s="633"/>
      <c r="M93" s="633"/>
      <c r="N93" s="633"/>
      <c r="O93" s="633"/>
      <c r="P93" s="633"/>
      <c r="Q93" s="633"/>
      <c r="R93" s="633"/>
      <c r="S93" s="633"/>
      <c r="T93" s="633"/>
      <c r="U93" s="633"/>
      <c r="V93" s="633"/>
      <c r="W93" s="633"/>
      <c r="X93" s="633"/>
      <c r="Y93" s="633"/>
      <c r="Z93" s="633"/>
      <c r="AA93" s="633"/>
      <c r="AB93" s="633"/>
      <c r="AC93" s="633"/>
      <c r="AD93" s="633"/>
      <c r="AE93" s="633"/>
      <c r="AF93" s="633"/>
      <c r="AG93" s="633"/>
      <c r="AH93" s="633"/>
      <c r="AI93" s="633"/>
      <c r="AJ93" s="633"/>
      <c r="AK93" s="633"/>
      <c r="AL93" s="633"/>
      <c r="AM93" s="633"/>
      <c r="AN93" s="633"/>
      <c r="AO93" s="633"/>
      <c r="AP93" s="633"/>
      <c r="AQ93" s="633"/>
      <c r="AR93" s="633"/>
      <c r="AS93" s="633"/>
      <c r="AT93" s="633"/>
      <c r="AU93" s="633"/>
      <c r="AV93" s="633"/>
      <c r="AW93" s="633"/>
      <c r="AX93" s="633"/>
      <c r="AY93" s="633"/>
      <c r="AZ93" s="633"/>
      <c r="BA93" s="633"/>
      <c r="BB93" s="633"/>
      <c r="BC93" s="633"/>
      <c r="BD93" s="633"/>
      <c r="BE93" s="633"/>
      <c r="BF93" s="633"/>
      <c r="BG93" s="633"/>
      <c r="BH93" s="633"/>
      <c r="BI93" s="633"/>
      <c r="BJ93" s="633"/>
      <c r="BK93" s="634"/>
      <c r="BL93" s="634"/>
      <c r="BM93" s="634"/>
      <c r="BN93" s="634"/>
      <c r="BO93" s="634"/>
      <c r="BP93" s="634"/>
      <c r="BQ93" s="634"/>
      <c r="BR93" s="634"/>
      <c r="BS93" s="634"/>
      <c r="BT93" s="634"/>
      <c r="BU93" s="634"/>
      <c r="BV93" s="634"/>
      <c r="BW93" s="634"/>
      <c r="BX93" s="634"/>
      <c r="BY93" s="634"/>
      <c r="BZ93" s="634"/>
      <c r="CA93" s="634"/>
      <c r="CB93" s="634" t="e">
        <f>CB92/CA92-1</f>
      </c>
      <c r="CC93" s="634">
        <f>CC92/CB92-1</f>
      </c>
      <c r="CD93" s="624"/>
      <c r="CE93" s="624"/>
      <c r="CF93" s="624"/>
      <c r="CG93" s="624"/>
      <c r="CH93" s="624"/>
      <c r="CI93" s="624"/>
      <c r="CJ93" s="624"/>
      <c r="CK93" s="624"/>
      <c r="CL93" s="624"/>
      <c r="CM93" s="624"/>
      <c r="CN93" s="624"/>
      <c r="CO93" s="624"/>
      <c r="CP93" s="624"/>
      <c r="CQ93" s="624"/>
      <c r="CR93" s="624"/>
      <c r="CS93" s="624"/>
      <c r="CT93" s="624"/>
      <c r="CU93" s="624"/>
      <c r="CV93" s="624"/>
      <c r="CW93" s="624"/>
      <c r="CX93" s="624"/>
      <c r="CZ93"/>
    </row>
    <row r="94" spans="1:104">
      <c r="A94" s="625" t="s">
        <v>512</v>
      </c>
      <c r="B94" s="633"/>
      <c r="C94" s="633"/>
      <c r="D94" s="633"/>
      <c r="E94" s="633"/>
      <c r="F94" s="633"/>
      <c r="G94" s="633"/>
      <c r="H94" s="633"/>
      <c r="I94" s="633"/>
      <c r="J94" s="633"/>
      <c r="K94" s="633"/>
      <c r="L94" s="633"/>
      <c r="M94" s="633"/>
      <c r="N94" s="633"/>
      <c r="O94" s="633"/>
      <c r="P94" s="633"/>
      <c r="Q94" s="633"/>
      <c r="R94" s="633"/>
      <c r="S94" s="633"/>
      <c r="T94" s="633"/>
      <c r="U94" s="633"/>
      <c r="V94" s="633"/>
      <c r="W94" s="633"/>
      <c r="X94" s="633"/>
      <c r="Y94" s="633"/>
      <c r="Z94" s="633"/>
      <c r="AA94" s="633"/>
      <c r="AB94" s="633"/>
      <c r="AC94" s="633"/>
      <c r="AD94" s="633"/>
      <c r="AE94" s="633"/>
      <c r="AF94" s="633"/>
      <c r="AG94" s="633"/>
      <c r="AH94" s="633"/>
      <c r="AI94" s="633"/>
      <c r="AJ94" s="633"/>
      <c r="AK94" s="633"/>
      <c r="AL94" s="633"/>
      <c r="AM94" s="633"/>
      <c r="AN94" s="633"/>
      <c r="AO94" s="633"/>
      <c r="AP94" s="633"/>
      <c r="AQ94" s="633"/>
      <c r="AR94" s="633"/>
      <c r="AS94" s="633"/>
      <c r="AT94" s="633"/>
      <c r="AU94" s="633"/>
      <c r="AV94" s="633"/>
      <c r="AW94" s="633"/>
      <c r="AX94" s="633"/>
      <c r="AY94" s="633"/>
      <c r="AZ94" s="633"/>
      <c r="BA94" s="633"/>
      <c r="BB94" s="633"/>
      <c r="BC94" s="633"/>
      <c r="BD94" s="633"/>
      <c r="BE94" s="633"/>
      <c r="BF94" s="633"/>
      <c r="BG94" s="633"/>
      <c r="BH94" s="633"/>
      <c r="BI94" s="633"/>
      <c r="BJ94" s="633"/>
      <c r="BK94" s="633"/>
      <c r="BL94" s="633"/>
      <c r="BM94" s="633"/>
      <c r="BN94" s="634"/>
      <c r="BO94" s="634"/>
      <c r="BP94" s="634"/>
      <c r="BQ94" s="634"/>
      <c r="BR94" s="634"/>
      <c r="BS94" s="634"/>
      <c r="BT94" s="634"/>
      <c r="BU94" s="634"/>
      <c r="BV94" s="634"/>
      <c r="BW94" s="634"/>
      <c r="BX94" s="634"/>
      <c r="BY94" s="634"/>
      <c r="BZ94" s="634"/>
      <c r="CA94" s="634"/>
      <c r="CB94" s="634"/>
      <c r="CC94" s="634"/>
      <c r="CD94" s="624"/>
      <c r="CE94" s="624"/>
      <c r="CF94" s="624"/>
      <c r="CG94" s="624"/>
      <c r="CH94" s="624"/>
      <c r="CI94" s="624"/>
      <c r="CJ94" s="624"/>
      <c r="CK94" s="624"/>
      <c r="CL94" s="624"/>
      <c r="CM94" s="624"/>
      <c r="CN94" s="624"/>
      <c r="CO94" s="624"/>
      <c r="CP94" s="624"/>
      <c r="CQ94" s="624"/>
      <c r="CR94" s="624"/>
      <c r="CS94" s="624"/>
      <c r="CT94" s="624"/>
      <c r="CU94" s="624"/>
      <c r="CV94" s="624"/>
      <c r="CW94" s="624"/>
      <c r="CX94" s="624"/>
      <c r="CZ94"/>
    </row>
    <row r="95" spans="1:104">
      <c r="A95" s="625" t="s">
        <v>519</v>
      </c>
      <c r="B95" s="634"/>
      <c r="C95" s="634"/>
      <c r="D95" s="634"/>
      <c r="E95" s="634"/>
      <c r="F95" s="634"/>
      <c r="G95" s="634"/>
      <c r="H95" s="634"/>
      <c r="I95" s="634"/>
      <c r="J95" s="634"/>
      <c r="K95" s="634"/>
      <c r="L95" s="634"/>
      <c r="M95" s="634"/>
      <c r="N95" s="634"/>
      <c r="O95" s="634"/>
      <c r="P95" s="634"/>
      <c r="Q95" s="634"/>
      <c r="R95" s="634"/>
      <c r="S95" s="634"/>
      <c r="T95" s="634"/>
      <c r="U95" s="634"/>
      <c r="V95" s="634"/>
      <c r="W95" s="634"/>
      <c r="X95" s="634"/>
      <c r="Y95" s="634"/>
      <c r="Z95" s="634"/>
      <c r="AA95" s="634"/>
      <c r="AB95" s="634"/>
      <c r="AC95" s="634"/>
      <c r="AD95" s="634"/>
      <c r="AE95" s="634"/>
      <c r="AF95" s="634"/>
      <c r="AG95" s="634"/>
      <c r="AH95" s="634"/>
      <c r="AI95" s="634"/>
      <c r="AJ95" s="634"/>
      <c r="AK95" s="634"/>
      <c r="AL95" s="634"/>
      <c r="AM95" s="634"/>
      <c r="AN95" s="634"/>
      <c r="AO95" s="634"/>
      <c r="AP95" s="634"/>
      <c r="AQ95" s="634"/>
      <c r="AR95" s="634"/>
      <c r="AS95" s="634"/>
      <c r="AT95" s="634"/>
      <c r="AU95" s="634"/>
      <c r="AV95" s="634"/>
      <c r="AW95" s="634"/>
      <c r="AX95" s="634"/>
      <c r="AY95" s="634"/>
      <c r="AZ95" s="634"/>
      <c r="BA95" s="634"/>
      <c r="BB95" s="634"/>
      <c r="BC95" s="634"/>
      <c r="BD95" s="634"/>
      <c r="BE95" s="634"/>
      <c r="BF95" s="634"/>
      <c r="BG95" s="634"/>
      <c r="BH95" s="634"/>
      <c r="BI95" s="634"/>
      <c r="BJ95" s="634"/>
      <c r="BK95" s="634"/>
      <c r="BL95" s="634"/>
      <c r="BM95" s="634"/>
      <c r="BN95" s="634"/>
      <c r="BO95" s="634"/>
      <c r="BP95" s="634"/>
      <c r="BQ95" s="634"/>
      <c r="BR95" s="634"/>
      <c r="BS95" s="634"/>
      <c r="BT95" s="634"/>
      <c r="BU95" s="634"/>
      <c r="BV95" s="634"/>
      <c r="BW95" s="634"/>
      <c r="BX95" s="634"/>
      <c r="BY95" s="634"/>
      <c r="BZ95" s="634"/>
      <c r="CA95" s="634"/>
      <c r="CB95" s="634">
        <f>CB92/CB$109</f>
      </c>
      <c r="CC95" s="634">
        <f>CC92/CC$109</f>
      </c>
      <c r="CD95" s="624"/>
      <c r="CE95" s="624"/>
      <c r="CF95" s="624"/>
      <c r="CG95" s="624"/>
      <c r="CH95" s="624"/>
      <c r="CI95" s="624"/>
      <c r="CJ95" s="624"/>
      <c r="CK95" s="624"/>
      <c r="CL95" s="624"/>
      <c r="CM95" s="624"/>
      <c r="CN95" s="624"/>
      <c r="CO95" s="624"/>
      <c r="CP95" s="624"/>
      <c r="CQ95" s="624"/>
      <c r="CR95" s="624"/>
      <c r="CS95" s="624"/>
      <c r="CT95" s="624"/>
      <c r="CU95" s="624"/>
      <c r="CV95" s="624"/>
      <c r="CW95" s="634">
        <f>+CW92/CW$15</f>
      </c>
      <c r="CX95" s="634">
        <f>+CX92/CX$15</f>
      </c>
      <c r="CZ95"/>
    </row>
    <row r="96" spans="1:104">
      <c r="A96" s="635"/>
      <c r="B96" s="259"/>
      <c r="C96" s="259"/>
      <c r="D96" s="259"/>
      <c r="E96" s="259"/>
      <c r="F96" s="259"/>
      <c r="G96" s="259"/>
      <c r="H96" s="259"/>
      <c r="I96" s="259"/>
      <c r="J96" s="259"/>
      <c r="K96" s="259"/>
      <c r="L96" s="259"/>
      <c r="M96" s="259"/>
      <c r="N96" s="259"/>
      <c r="O96" s="259"/>
      <c r="P96" s="259"/>
      <c r="Q96" s="259"/>
      <c r="R96" s="259"/>
      <c r="S96" s="259"/>
      <c r="T96" s="259"/>
      <c r="U96" s="259"/>
      <c r="V96" s="259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V96" s="259"/>
      <c r="AW96" s="259"/>
      <c r="AX96" s="259"/>
      <c r="AY96" s="259"/>
      <c r="AZ96" s="259"/>
      <c r="BA96" s="259"/>
      <c r="BB96" s="259"/>
      <c r="BC96" s="259"/>
      <c r="BD96" s="259"/>
      <c r="BE96" s="259"/>
      <c r="BF96" s="259"/>
      <c r="BG96" s="259"/>
      <c r="BH96" s="259"/>
      <c r="BI96" s="259"/>
      <c r="BJ96" s="259"/>
      <c r="BK96" s="259"/>
      <c r="BL96" s="259"/>
      <c r="BM96" s="259"/>
      <c r="BN96" s="259"/>
      <c r="BO96" s="259"/>
      <c r="BP96" s="259"/>
      <c r="BQ96" s="259"/>
      <c r="BR96" s="259"/>
      <c r="BS96" s="259"/>
      <c r="BT96" s="259"/>
      <c r="BU96" s="259"/>
      <c r="BV96" s="259"/>
      <c r="BW96" s="259"/>
      <c r="BX96" s="259"/>
      <c r="BY96" s="259"/>
      <c r="BZ96" s="259"/>
      <c r="CA96" s="259"/>
      <c r="CB96" s="259"/>
      <c r="CC96" s="259"/>
      <c r="CD96" s="259"/>
      <c r="CE96" s="259"/>
      <c r="CF96" s="259"/>
      <c r="CG96" s="259"/>
      <c r="CH96" s="259"/>
      <c r="CI96" s="259"/>
      <c r="CJ96" s="259"/>
      <c r="CK96" s="259"/>
      <c r="CL96" s="259"/>
      <c r="CM96" s="259"/>
      <c r="CN96" s="259"/>
      <c r="CO96" s="259"/>
      <c r="CP96" s="259"/>
      <c r="CQ96" s="259"/>
      <c r="CR96" s="259"/>
      <c r="CS96" s="259"/>
      <c r="CT96" s="259"/>
      <c r="CU96" s="259"/>
      <c r="CV96" s="627"/>
      <c r="CW96" s="627"/>
      <c r="CX96" s="627"/>
      <c r="CZ96"/>
    </row>
    <row r="97" spans="1:104">
      <c r="A97" s="636" t="s">
        <v>243</v>
      </c>
      <c r="B97" s="259"/>
      <c r="C97" s="259"/>
      <c r="D97" s="259"/>
      <c r="E97" s="259"/>
      <c r="F97" s="259"/>
      <c r="G97" s="259"/>
      <c r="H97" s="259"/>
      <c r="I97" s="259"/>
      <c r="J97" s="259"/>
      <c r="K97" s="259"/>
      <c r="L97" s="259"/>
      <c r="M97" s="259"/>
      <c r="N97" s="259"/>
      <c r="O97" s="259"/>
      <c r="P97" s="259"/>
      <c r="Q97" s="259"/>
      <c r="R97" s="259"/>
      <c r="S97" s="259"/>
      <c r="T97" s="259"/>
      <c r="U97" s="259"/>
      <c r="V97" s="259"/>
      <c r="W97" s="259"/>
      <c r="X97" s="259"/>
      <c r="Y97" s="259"/>
      <c r="Z97" s="259"/>
      <c r="AA97" s="259"/>
      <c r="AB97" s="259"/>
      <c r="AC97" s="259"/>
      <c r="AD97" s="259"/>
      <c r="AE97" s="259"/>
      <c r="AF97" s="259"/>
      <c r="AG97" s="259"/>
      <c r="AH97" s="259"/>
      <c r="AI97" s="259"/>
      <c r="AJ97" s="259"/>
      <c r="AK97" s="259"/>
      <c r="AL97" s="259"/>
      <c r="AM97" s="259"/>
      <c r="AN97" s="259"/>
      <c r="AO97" s="259"/>
      <c r="AP97" s="259"/>
      <c r="AQ97" s="259"/>
      <c r="AR97" s="259"/>
      <c r="AS97" s="259"/>
      <c r="AT97" s="259"/>
      <c r="AU97" s="259"/>
      <c r="AV97" s="259"/>
      <c r="AW97" s="259"/>
      <c r="AX97" s="259"/>
      <c r="AY97" s="259"/>
      <c r="AZ97" s="259"/>
      <c r="BA97" s="259"/>
      <c r="BB97" s="259"/>
      <c r="BC97" s="259"/>
      <c r="BD97" s="259"/>
      <c r="BE97" s="259"/>
      <c r="BF97" s="259"/>
      <c r="BG97" s="259"/>
      <c r="BH97" s="259"/>
      <c r="BI97" s="259"/>
      <c r="BJ97" s="259"/>
      <c r="BK97" s="259"/>
      <c r="BL97" s="259"/>
      <c r="BM97" s="259"/>
      <c r="BN97" s="259"/>
      <c r="BO97" s="259"/>
      <c r="BP97" s="259"/>
      <c r="BQ97" s="259"/>
      <c r="BR97" s="259"/>
      <c r="BS97" s="259"/>
      <c r="BT97" s="259"/>
      <c r="BU97" s="259"/>
      <c r="BV97" s="259"/>
      <c r="BW97" s="259"/>
      <c r="BX97" s="259"/>
      <c r="BY97" s="259"/>
      <c r="BZ97" s="259"/>
      <c r="CA97" s="259"/>
      <c r="CB97" s="259"/>
      <c r="CC97" s="259"/>
      <c r="CD97" s="259"/>
      <c r="CE97" s="259"/>
      <c r="CF97" s="259"/>
      <c r="CG97" s="259"/>
      <c r="CH97" s="259"/>
      <c r="CI97" s="259"/>
      <c r="CJ97" s="259"/>
      <c r="CK97" s="259"/>
      <c r="CL97" s="259"/>
      <c r="CM97" s="259"/>
      <c r="CN97" s="259"/>
      <c r="CO97" s="259"/>
      <c r="CP97" s="259"/>
      <c r="CQ97" s="259"/>
      <c r="CR97" s="259"/>
      <c r="CS97" s="259"/>
      <c r="CT97" s="259"/>
      <c r="CU97" s="259"/>
      <c r="CV97" s="627"/>
      <c r="CW97" s="627"/>
      <c r="CX97" s="627"/>
      <c r="CZ97"/>
    </row>
    <row r="98" spans="1:104">
      <c r="A98" s="631" t="s">
        <v>528</v>
      </c>
      <c r="B98" s="633"/>
      <c r="C98" s="633"/>
      <c r="D98" s="633"/>
      <c r="E98" s="633"/>
      <c r="F98" s="633"/>
      <c r="G98" s="633"/>
      <c r="H98" s="633"/>
      <c r="I98" s="633"/>
      <c r="J98" s="633"/>
      <c r="K98" s="633"/>
      <c r="L98" s="633"/>
      <c r="M98" s="633"/>
      <c r="N98" s="633"/>
      <c r="O98" s="633"/>
      <c r="P98" s="633"/>
      <c r="Q98" s="633"/>
      <c r="R98" s="633"/>
      <c r="S98" s="633"/>
      <c r="T98" s="633"/>
      <c r="U98" s="633"/>
      <c r="V98" s="633"/>
      <c r="W98" s="633"/>
      <c r="X98" s="633"/>
      <c r="Y98" s="633"/>
      <c r="Z98" s="633"/>
      <c r="AA98" s="633"/>
      <c r="AB98" s="633"/>
      <c r="AC98" s="633"/>
      <c r="AD98" s="633"/>
      <c r="AE98" s="633"/>
      <c r="AF98" s="633"/>
      <c r="AG98" s="633"/>
      <c r="AH98" s="633"/>
      <c r="AI98" s="633"/>
      <c r="AJ98" s="633"/>
      <c r="AK98" s="633"/>
      <c r="AL98" s="633"/>
      <c r="AM98" s="633"/>
      <c r="AN98" s="633"/>
      <c r="AO98" s="633"/>
      <c r="AP98" s="633"/>
      <c r="AQ98" s="633"/>
      <c r="AR98" s="633"/>
      <c r="AS98" s="633"/>
      <c r="AT98" s="633"/>
      <c r="AU98" s="633"/>
      <c r="AV98" s="633"/>
      <c r="AW98" s="633"/>
      <c r="AX98" s="633"/>
      <c r="AY98" s="633"/>
      <c r="AZ98" s="633"/>
      <c r="BA98" s="633"/>
      <c r="BB98" s="633"/>
      <c r="BC98" s="633"/>
      <c r="BD98" s="633"/>
      <c r="BE98" s="633"/>
      <c r="BF98" s="633"/>
      <c r="BG98" s="633"/>
      <c r="BH98" s="633"/>
      <c r="BI98" s="633"/>
      <c r="BJ98" s="633">
        <f t="shared" ref="BJ98:BR98" si="70">BJ26+BJ37+BJ48+BJ59</f>
      </c>
      <c r="BK98" s="633">
        <f t="shared" si="70"/>
      </c>
      <c r="BL98" s="633">
        <f t="shared" si="70"/>
      </c>
      <c r="BM98" s="633">
        <f t="shared" si="70"/>
      </c>
      <c r="BN98" s="633">
        <f t="shared" si="70"/>
      </c>
      <c r="BO98" s="633">
        <f t="shared" si="70"/>
      </c>
      <c r="BP98" s="633">
        <f t="shared" si="70"/>
      </c>
      <c r="BQ98" s="633">
        <f t="shared" si="70"/>
      </c>
      <c r="BR98" s="633">
        <f t="shared" si="70"/>
      </c>
      <c r="BS98" s="633">
        <f>BS26+BS37+BS48+BS59+BS70</f>
      </c>
      <c r="BT98" s="633">
        <f t="shared" ref="BT98:CA98" si="71">BT26+BT37+BT48+BT59+BT70+BT81</f>
      </c>
      <c r="BU98" s="633">
        <f t="shared" si="71"/>
      </c>
      <c r="BV98" s="633">
        <f t="shared" si="71"/>
      </c>
      <c r="BW98" s="633">
        <f t="shared" si="71"/>
      </c>
      <c r="BX98" s="633">
        <f t="shared" si="71"/>
      </c>
      <c r="BY98" s="633">
        <f t="shared" si="71"/>
      </c>
      <c r="BZ98" s="633">
        <f t="shared" si="71"/>
      </c>
      <c r="CA98" s="633">
        <f t="shared" si="71"/>
      </c>
      <c r="CB98" s="633">
        <f>CB26+CB37+CB48+CB59+CB70+CB81+CB92</f>
      </c>
      <c r="CC98" s="633">
        <f>CC26+CC37+CC48+CC59+CC70+CC81+CC92</f>
      </c>
      <c r="CD98" s="633"/>
      <c r="CT98" s="633">
        <f>SUM(BJ98:BM98)</f>
      </c>
      <c r="CU98" s="633">
        <f>SUM(BN98:BQ98)</f>
      </c>
      <c r="CV98" s="633">
        <f>SUM(BR98:BU98)</f>
      </c>
      <c r="CW98" s="633">
        <f>SUM(BV98:BY98)</f>
      </c>
      <c r="CX98" s="633">
        <f>SUM(BZ98:CC98)</f>
      </c>
      <c r="CZ98"/>
    </row>
    <row r="99" spans="1:104">
      <c r="A99" s="625" t="s">
        <v>511</v>
      </c>
      <c r="B99" s="624"/>
      <c r="C99" s="624"/>
      <c r="D99" s="624"/>
      <c r="E99" s="624"/>
      <c r="F99" s="624"/>
      <c r="G99" s="624"/>
      <c r="H99" s="624"/>
      <c r="I99" s="624"/>
      <c r="J99" s="624"/>
      <c r="K99" s="624"/>
      <c r="L99" s="624"/>
      <c r="M99" s="624"/>
      <c r="N99" s="624"/>
      <c r="O99" s="624"/>
      <c r="P99" s="624"/>
      <c r="Q99" s="624"/>
      <c r="R99" s="624"/>
      <c r="S99" s="624"/>
      <c r="T99" s="624"/>
      <c r="U99" s="624"/>
      <c r="V99" s="624"/>
      <c r="W99" s="624"/>
      <c r="X99" s="624"/>
      <c r="Y99" s="624"/>
      <c r="Z99" s="624"/>
      <c r="AA99" s="624"/>
      <c r="AB99" s="624"/>
      <c r="AC99" s="624"/>
      <c r="AD99" s="624"/>
      <c r="AE99" s="624"/>
      <c r="AF99" s="624"/>
      <c r="AG99" s="624"/>
      <c r="AH99" s="624"/>
      <c r="AI99" s="624"/>
      <c r="AJ99" s="624"/>
      <c r="AK99" s="624"/>
      <c r="AL99" s="624"/>
      <c r="AM99" s="624"/>
      <c r="AN99" s="624"/>
      <c r="AO99" s="624"/>
      <c r="AP99" s="624"/>
      <c r="AQ99" s="624"/>
      <c r="AR99" s="624"/>
      <c r="AS99" s="624"/>
      <c r="AT99" s="624"/>
      <c r="AU99" s="624"/>
      <c r="AV99" s="624"/>
      <c r="AW99" s="624"/>
      <c r="AX99" s="624"/>
      <c r="AY99" s="624"/>
      <c r="AZ99" s="624"/>
      <c r="BA99" s="624"/>
      <c r="BB99" s="624"/>
      <c r="BC99" s="624"/>
      <c r="BD99" s="624"/>
      <c r="BE99" s="624"/>
      <c r="BF99" s="624"/>
      <c r="BG99" s="624"/>
      <c r="BH99" s="624"/>
      <c r="BI99" s="624"/>
      <c r="BJ99" s="624"/>
      <c r="BK99" s="260">
        <f t="shared" ref="BK99:BY99" si="72">BK98/BJ98-1</f>
      </c>
      <c r="BL99" s="260">
        <f t="shared" si="72"/>
      </c>
      <c r="BM99" s="260">
        <f t="shared" si="72"/>
      </c>
      <c r="BN99" s="260">
        <f t="shared" si="72"/>
      </c>
      <c r="BO99" s="260">
        <f t="shared" si="72"/>
      </c>
      <c r="BP99" s="260">
        <f t="shared" si="72"/>
      </c>
      <c r="BQ99" s="260">
        <f t="shared" si="72"/>
      </c>
      <c r="BR99" s="260">
        <f t="shared" si="72"/>
      </c>
      <c r="BS99" s="260">
        <f t="shared" si="72"/>
      </c>
      <c r="BT99" s="260">
        <f t="shared" si="72"/>
      </c>
      <c r="BU99" s="260">
        <f t="shared" si="72"/>
      </c>
      <c r="BV99" s="260">
        <f t="shared" si="72"/>
      </c>
      <c r="BW99" s="260">
        <f t="shared" si="72"/>
      </c>
      <c r="BX99" s="260">
        <f t="shared" si="72"/>
      </c>
      <c r="BY99" s="260">
        <f t="shared" si="72"/>
      </c>
      <c r="BZ99" s="260">
        <f>BZ98/BY98-1</f>
      </c>
      <c r="CA99" s="260">
        <f>CA98/BZ98-1</f>
      </c>
      <c r="CB99" s="260">
        <f>CB98/CA98-1</f>
      </c>
      <c r="CC99" s="260">
        <f>CC98/CB98-1</f>
      </c>
      <c r="CD99" s="624"/>
      <c r="CT99" s="628" t="s">
        <v>197</v>
      </c>
      <c r="CU99" s="628" t="s">
        <v>197</v>
      </c>
      <c r="CV99" s="628" t="s">
        <v>197</v>
      </c>
      <c r="CW99" s="628" t="s">
        <v>197</v>
      </c>
      <c r="CX99" s="628" t="s">
        <v>197</v>
      </c>
      <c r="CZ99"/>
    </row>
    <row r="100" spans="1:104">
      <c r="A100" s="625" t="s">
        <v>512</v>
      </c>
      <c r="B100" s="624"/>
      <c r="C100" s="624"/>
      <c r="D100" s="624"/>
      <c r="E100" s="624"/>
      <c r="F100" s="624"/>
      <c r="G100" s="624"/>
      <c r="H100" s="624"/>
      <c r="I100" s="624"/>
      <c r="J100" s="624"/>
      <c r="K100" s="624"/>
      <c r="L100" s="624"/>
      <c r="M100" s="624"/>
      <c r="N100" s="624"/>
      <c r="O100" s="624"/>
      <c r="P100" s="624"/>
      <c r="Q100" s="624"/>
      <c r="R100" s="624"/>
      <c r="S100" s="624"/>
      <c r="T100" s="624"/>
      <c r="U100" s="624"/>
      <c r="V100" s="624"/>
      <c r="W100" s="624"/>
      <c r="X100" s="624"/>
      <c r="Y100" s="624"/>
      <c r="Z100" s="624"/>
      <c r="AA100" s="624"/>
      <c r="AB100" s="624"/>
      <c r="AC100" s="624"/>
      <c r="AD100" s="624"/>
      <c r="AE100" s="624"/>
      <c r="AF100" s="624"/>
      <c r="AG100" s="624"/>
      <c r="AH100" s="624"/>
      <c r="AI100" s="624"/>
      <c r="AJ100" s="624"/>
      <c r="AK100" s="624"/>
      <c r="AL100" s="624"/>
      <c r="AM100" s="624"/>
      <c r="AN100" s="624"/>
      <c r="AO100" s="624"/>
      <c r="AP100" s="624"/>
      <c r="AQ100" s="624"/>
      <c r="AR100" s="624"/>
      <c r="AS100" s="624"/>
      <c r="AT100" s="624"/>
      <c r="AU100" s="624"/>
      <c r="AV100" s="624"/>
      <c r="AW100" s="624"/>
      <c r="AX100" s="624"/>
      <c r="AY100" s="624"/>
      <c r="AZ100" s="624"/>
      <c r="BA100" s="624"/>
      <c r="BB100" s="624"/>
      <c r="BC100" s="624"/>
      <c r="BD100" s="624"/>
      <c r="BE100" s="624"/>
      <c r="BF100" s="624"/>
      <c r="BG100" s="624"/>
      <c r="BH100" s="624"/>
      <c r="BI100" s="624"/>
      <c r="BJ100" s="624"/>
      <c r="BK100" s="624"/>
      <c r="BL100" s="624"/>
      <c r="BM100" s="624"/>
      <c r="BN100" s="260">
        <f t="shared" ref="BN100:BY100" si="73">BN98/BJ98-1</f>
      </c>
      <c r="BO100" s="260">
        <f t="shared" si="73"/>
      </c>
      <c r="BP100" s="260">
        <f t="shared" si="73"/>
      </c>
      <c r="BQ100" s="260">
        <f t="shared" si="73"/>
      </c>
      <c r="BR100" s="260">
        <f t="shared" si="73"/>
      </c>
      <c r="BS100" s="260">
        <f t="shared" si="73"/>
      </c>
      <c r="BT100" s="260">
        <f t="shared" si="73"/>
      </c>
      <c r="BU100" s="260">
        <f t="shared" si="73"/>
      </c>
      <c r="BV100" s="260">
        <f t="shared" si="73"/>
      </c>
      <c r="BW100" s="260">
        <f t="shared" si="73"/>
      </c>
      <c r="BX100" s="260">
        <f t="shared" si="73"/>
      </c>
      <c r="BY100" s="260">
        <f t="shared" si="73"/>
      </c>
      <c r="BZ100" s="260">
        <f>BZ98/BV98-1</f>
      </c>
      <c r="CA100" s="260">
        <f>CA98/BW98-1</f>
      </c>
      <c r="CB100" s="260">
        <f>CB98/BX98-1</f>
      </c>
      <c r="CC100" s="260">
        <f>CC98/BY98-1</f>
      </c>
      <c r="CD100" s="624"/>
      <c r="CT100" s="628" t="s">
        <v>197</v>
      </c>
      <c r="CU100" s="260">
        <f>CU98/CT98-1</f>
      </c>
      <c r="CV100" s="260">
        <f>CV98/CU98-1</f>
      </c>
      <c r="CW100" s="260">
        <f>CW98/CV98-1</f>
      </c>
      <c r="CX100" s="260">
        <f>CX98/CW98-1</f>
      </c>
      <c r="CZ100"/>
    </row>
    <row r="101" spans="1:104">
      <c r="A101" s="631" t="s">
        <v>529</v>
      </c>
      <c r="B101" s="633"/>
      <c r="C101" s="633"/>
      <c r="D101" s="633"/>
      <c r="E101" s="633"/>
      <c r="F101" s="633"/>
      <c r="G101" s="633"/>
      <c r="H101" s="633"/>
      <c r="I101" s="633"/>
      <c r="J101" s="633"/>
      <c r="K101" s="633"/>
      <c r="L101" s="633"/>
      <c r="M101" s="633"/>
      <c r="N101" s="633"/>
      <c r="O101" s="633"/>
      <c r="P101" s="633"/>
      <c r="Q101" s="633"/>
      <c r="R101" s="633"/>
      <c r="S101" s="633"/>
      <c r="T101" s="633"/>
      <c r="U101" s="633"/>
      <c r="V101" s="633"/>
      <c r="W101" s="633"/>
      <c r="X101" s="633"/>
      <c r="Y101" s="633"/>
      <c r="Z101" s="633"/>
      <c r="AA101" s="633"/>
      <c r="AB101" s="633"/>
      <c r="AC101" s="633"/>
      <c r="AD101" s="633"/>
      <c r="AE101" s="633"/>
      <c r="AF101" s="633"/>
      <c r="AG101" s="633"/>
      <c r="AH101" s="633"/>
      <c r="AI101" s="633"/>
      <c r="AJ101" s="633"/>
      <c r="AK101" s="633"/>
      <c r="AL101" s="633"/>
      <c r="AM101" s="633"/>
      <c r="AN101" s="633"/>
      <c r="AO101" s="633"/>
      <c r="AP101" s="633"/>
      <c r="AQ101" s="633"/>
      <c r="AR101" s="633"/>
      <c r="AS101" s="633"/>
      <c r="AT101" s="633"/>
      <c r="AU101" s="633"/>
      <c r="AV101" s="633"/>
      <c r="AW101" s="633"/>
      <c r="AX101" s="633"/>
      <c r="AY101" s="633"/>
      <c r="AZ101" s="633"/>
      <c r="BA101" s="633"/>
      <c r="BB101" s="633"/>
      <c r="BC101" s="633"/>
      <c r="BD101" s="633"/>
      <c r="BE101" s="633"/>
      <c r="BF101" s="633"/>
      <c r="BG101" s="633"/>
      <c r="BH101" s="633"/>
      <c r="BI101" s="633"/>
      <c r="BJ101" s="633">
        <f t="shared" ref="BJ101:BR101" si="74">BJ21+BJ32+BJ43+BJ54</f>
      </c>
      <c r="BK101" s="633">
        <f t="shared" si="74"/>
      </c>
      <c r="BL101" s="633">
        <f t="shared" si="74"/>
      </c>
      <c r="BM101" s="633">
        <f t="shared" si="74"/>
      </c>
      <c r="BN101" s="633">
        <f t="shared" si="74"/>
      </c>
      <c r="BO101" s="633">
        <f t="shared" si="74"/>
      </c>
      <c r="BP101" s="633">
        <f t="shared" si="74"/>
      </c>
      <c r="BQ101" s="633">
        <f t="shared" si="74"/>
      </c>
      <c r="BR101" s="633">
        <f t="shared" si="74"/>
      </c>
      <c r="BS101" s="633">
        <f>BS21+BS32+BS43+BS54+BS65</f>
      </c>
      <c r="BT101" s="633">
        <f t="shared" ref="BT101:CA101" si="75">BT21+BT32+BT43+BT54+BT65+BT76</f>
      </c>
      <c r="BU101" s="633">
        <f t="shared" si="75"/>
      </c>
      <c r="BV101" s="633">
        <f t="shared" si="75"/>
      </c>
      <c r="BW101" s="633">
        <f t="shared" si="75"/>
      </c>
      <c r="BX101" s="633">
        <f t="shared" si="75"/>
      </c>
      <c r="BY101" s="633">
        <f t="shared" si="75"/>
      </c>
      <c r="BZ101" s="633">
        <f t="shared" si="75"/>
      </c>
      <c r="CA101" s="633">
        <f t="shared" si="75"/>
      </c>
      <c r="CB101" s="633">
        <f>CB21+CB32+CB43+CB54+CB65+CB76+CB87</f>
      </c>
      <c r="CC101" s="633">
        <f>CC21+CC32+CC43+CC54+CC65+CC76+CC87</f>
      </c>
      <c r="CD101" s="633"/>
      <c r="CT101" s="633">
        <f>SUM(BJ101:BM101)</f>
      </c>
      <c r="CU101" s="633">
        <f>SUM(BN101:BQ101)</f>
      </c>
      <c r="CV101" s="633">
        <f>SUM(BR101:BU101)</f>
      </c>
      <c r="CW101" s="633">
        <f>SUM(BV101:BY101)</f>
      </c>
      <c r="CX101" s="633">
        <f>SUM(BZ101:CC101)</f>
      </c>
      <c r="CZ101"/>
    </row>
    <row r="102" spans="1:104">
      <c r="A102" s="625" t="s">
        <v>511</v>
      </c>
      <c r="B102" s="624"/>
      <c r="C102" s="624"/>
      <c r="D102" s="624"/>
      <c r="E102" s="624"/>
      <c r="F102" s="624"/>
      <c r="G102" s="624"/>
      <c r="H102" s="624"/>
      <c r="I102" s="624"/>
      <c r="J102" s="624"/>
      <c r="K102" s="624"/>
      <c r="L102" s="624"/>
      <c r="M102" s="624"/>
      <c r="N102" s="624"/>
      <c r="O102" s="624"/>
      <c r="P102" s="624"/>
      <c r="Q102" s="624"/>
      <c r="R102" s="624"/>
      <c r="S102" s="624"/>
      <c r="T102" s="624"/>
      <c r="U102" s="624"/>
      <c r="V102" s="624"/>
      <c r="W102" s="624"/>
      <c r="X102" s="624"/>
      <c r="Y102" s="624"/>
      <c r="Z102" s="624"/>
      <c r="AA102" s="624"/>
      <c r="AB102" s="624"/>
      <c r="AC102" s="624"/>
      <c r="AD102" s="624"/>
      <c r="AE102" s="624"/>
      <c r="AF102" s="624"/>
      <c r="AG102" s="624"/>
      <c r="AH102" s="624"/>
      <c r="AI102" s="624"/>
      <c r="AJ102" s="624"/>
      <c r="AK102" s="624"/>
      <c r="AL102" s="624"/>
      <c r="AM102" s="624"/>
      <c r="AN102" s="624"/>
      <c r="AO102" s="624"/>
      <c r="AP102" s="624"/>
      <c r="AQ102" s="624"/>
      <c r="AR102" s="624"/>
      <c r="AS102" s="624"/>
      <c r="AT102" s="624"/>
      <c r="AU102" s="624"/>
      <c r="AV102" s="624"/>
      <c r="AW102" s="624"/>
      <c r="AX102" s="624"/>
      <c r="AY102" s="624"/>
      <c r="AZ102" s="624"/>
      <c r="BA102" s="624"/>
      <c r="BB102" s="624"/>
      <c r="BC102" s="624"/>
      <c r="BD102" s="624"/>
      <c r="BE102" s="624"/>
      <c r="BF102" s="624"/>
      <c r="BG102" s="624"/>
      <c r="BH102" s="624"/>
      <c r="BI102" s="624"/>
      <c r="BJ102" s="624"/>
      <c r="BK102" s="260">
        <f t="shared" ref="BK102:BY102" si="76">BK101/BJ101-1</f>
      </c>
      <c r="BL102" s="260">
        <f t="shared" si="76"/>
      </c>
      <c r="BM102" s="260">
        <f t="shared" si="76"/>
      </c>
      <c r="BN102" s="260">
        <f t="shared" si="76"/>
      </c>
      <c r="BO102" s="260">
        <f t="shared" si="76"/>
      </c>
      <c r="BP102" s="260">
        <f t="shared" si="76"/>
      </c>
      <c r="BQ102" s="260">
        <f t="shared" si="76"/>
      </c>
      <c r="BR102" s="260">
        <f t="shared" si="76"/>
      </c>
      <c r="BS102" s="260">
        <f t="shared" si="76"/>
      </c>
      <c r="BT102" s="260">
        <f t="shared" si="76"/>
      </c>
      <c r="BU102" s="260">
        <f t="shared" si="76"/>
      </c>
      <c r="BV102" s="260">
        <f t="shared" si="76"/>
      </c>
      <c r="BW102" s="260">
        <f t="shared" si="76"/>
      </c>
      <c r="BX102" s="260">
        <f t="shared" si="76"/>
      </c>
      <c r="BY102" s="260">
        <f t="shared" si="76"/>
      </c>
      <c r="BZ102" s="260">
        <f>BZ101/BY101-1</f>
      </c>
      <c r="CA102" s="260">
        <f>CA101/BZ101-1</f>
      </c>
      <c r="CB102" s="260">
        <f>CB101/CA101-1</f>
      </c>
      <c r="CC102" s="260">
        <f>CC101/CB101-1</f>
      </c>
      <c r="CD102" s="624"/>
      <c r="CT102" s="628" t="s">
        <v>197</v>
      </c>
      <c r="CU102" s="628" t="s">
        <v>197</v>
      </c>
      <c r="CV102" s="628" t="s">
        <v>197</v>
      </c>
      <c r="CW102" s="628" t="s">
        <v>197</v>
      </c>
      <c r="CX102" s="628" t="s">
        <v>197</v>
      </c>
      <c r="CZ102"/>
    </row>
    <row r="103" spans="1:104">
      <c r="A103" s="625" t="s">
        <v>512</v>
      </c>
      <c r="B103" s="624"/>
      <c r="C103" s="624"/>
      <c r="D103" s="624"/>
      <c r="E103" s="624"/>
      <c r="F103" s="624"/>
      <c r="G103" s="624"/>
      <c r="H103" s="624"/>
      <c r="I103" s="624"/>
      <c r="J103" s="624"/>
      <c r="K103" s="624"/>
      <c r="L103" s="624"/>
      <c r="M103" s="624"/>
      <c r="N103" s="624"/>
      <c r="O103" s="624"/>
      <c r="P103" s="624"/>
      <c r="Q103" s="624"/>
      <c r="R103" s="624"/>
      <c r="S103" s="624"/>
      <c r="T103" s="624"/>
      <c r="U103" s="624"/>
      <c r="V103" s="624"/>
      <c r="W103" s="624"/>
      <c r="X103" s="624"/>
      <c r="Y103" s="624"/>
      <c r="Z103" s="624"/>
      <c r="AA103" s="624"/>
      <c r="AB103" s="624"/>
      <c r="AC103" s="624"/>
      <c r="AD103" s="624"/>
      <c r="AE103" s="624"/>
      <c r="AF103" s="624"/>
      <c r="AG103" s="624"/>
      <c r="AH103" s="624"/>
      <c r="AI103" s="624"/>
      <c r="AJ103" s="624"/>
      <c r="AK103" s="624"/>
      <c r="AL103" s="624"/>
      <c r="AM103" s="624"/>
      <c r="AN103" s="624"/>
      <c r="AO103" s="624"/>
      <c r="AP103" s="624"/>
      <c r="AQ103" s="624"/>
      <c r="AR103" s="624"/>
      <c r="AS103" s="624"/>
      <c r="AT103" s="624"/>
      <c r="AU103" s="624"/>
      <c r="AV103" s="624"/>
      <c r="AW103" s="624"/>
      <c r="AX103" s="624"/>
      <c r="AY103" s="624"/>
      <c r="AZ103" s="624"/>
      <c r="BA103" s="624"/>
      <c r="BB103" s="624"/>
      <c r="BC103" s="624"/>
      <c r="BD103" s="624"/>
      <c r="BE103" s="624"/>
      <c r="BF103" s="624"/>
      <c r="BG103" s="624"/>
      <c r="BH103" s="624"/>
      <c r="BI103" s="624"/>
      <c r="BJ103" s="624"/>
      <c r="BK103" s="624"/>
      <c r="BL103" s="624"/>
      <c r="BM103" s="624"/>
      <c r="BN103" s="260">
        <f t="shared" ref="BN103:BY103" si="77">BN101/BJ101-1</f>
      </c>
      <c r="BO103" s="260">
        <f t="shared" si="77"/>
      </c>
      <c r="BP103" s="260">
        <f t="shared" si="77"/>
      </c>
      <c r="BQ103" s="260">
        <f t="shared" si="77"/>
      </c>
      <c r="BR103" s="260">
        <f t="shared" si="77"/>
      </c>
      <c r="BS103" s="260">
        <f t="shared" si="77"/>
      </c>
      <c r="BT103" s="260">
        <f t="shared" si="77"/>
      </c>
      <c r="BU103" s="260">
        <f t="shared" si="77"/>
      </c>
      <c r="BV103" s="260">
        <f t="shared" si="77"/>
      </c>
      <c r="BW103" s="260">
        <f t="shared" si="77"/>
      </c>
      <c r="BX103" s="260">
        <f t="shared" si="77"/>
      </c>
      <c r="BY103" s="260">
        <f t="shared" si="77"/>
      </c>
      <c r="BZ103" s="260">
        <f>BZ101/BV101-1</f>
      </c>
      <c r="CA103" s="260">
        <f>CA101/BW101-1</f>
      </c>
      <c r="CB103" s="260">
        <f>CB101/BX101-1</f>
      </c>
      <c r="CC103" s="260">
        <f>CC101/BY101-1</f>
      </c>
      <c r="CD103" s="624"/>
      <c r="CT103" s="628" t="s">
        <v>197</v>
      </c>
      <c r="CU103" s="260">
        <f>CU101/CT101-1</f>
      </c>
      <c r="CV103" s="260">
        <f>CV101/CU101-1</f>
      </c>
      <c r="CW103" s="260">
        <f>CW101/CV101-1</f>
      </c>
      <c r="CX103" s="260">
        <f>CX101/CW101-1</f>
      </c>
      <c r="CZ103"/>
    </row>
    <row r="104" spans="1:104">
      <c r="A104" s="631" t="s">
        <v>530</v>
      </c>
      <c r="B104" s="642"/>
      <c r="C104" s="642"/>
      <c r="D104" s="642"/>
      <c r="E104" s="642"/>
      <c r="F104" s="642"/>
      <c r="G104" s="642"/>
      <c r="H104" s="642"/>
      <c r="I104" s="642"/>
      <c r="J104" s="642"/>
      <c r="K104" s="642"/>
      <c r="L104" s="642"/>
      <c r="M104" s="642"/>
      <c r="N104" s="642"/>
      <c r="O104" s="642"/>
      <c r="P104" s="642"/>
      <c r="Q104" s="642"/>
      <c r="R104" s="642"/>
      <c r="S104" s="642"/>
      <c r="T104" s="642"/>
      <c r="U104" s="642"/>
      <c r="V104" s="642"/>
      <c r="W104" s="642"/>
      <c r="X104" s="642"/>
      <c r="Y104" s="642"/>
      <c r="Z104" s="642"/>
      <c r="AA104" s="642"/>
      <c r="AB104" s="642"/>
      <c r="AC104" s="642"/>
      <c r="AD104" s="642"/>
      <c r="AE104" s="642"/>
      <c r="AF104" s="642"/>
      <c r="AG104" s="642"/>
      <c r="AH104" s="642"/>
      <c r="AI104" s="642"/>
      <c r="AJ104" s="642"/>
      <c r="AK104" s="642"/>
      <c r="AL104" s="642"/>
      <c r="AM104" s="642"/>
      <c r="AN104" s="642"/>
      <c r="AO104" s="642"/>
      <c r="AP104" s="642"/>
      <c r="AQ104" s="642"/>
      <c r="AR104" s="642"/>
      <c r="AS104" s="642"/>
      <c r="AT104" s="642"/>
      <c r="AU104" s="642"/>
      <c r="AV104" s="642"/>
      <c r="AW104" s="642"/>
      <c r="AX104" s="642"/>
      <c r="AY104" s="642"/>
      <c r="AZ104" s="642"/>
      <c r="BA104" s="642"/>
      <c r="BB104" s="642"/>
      <c r="BC104" s="642"/>
      <c r="BD104" s="642"/>
      <c r="BE104" s="642"/>
      <c r="BF104" s="642"/>
      <c r="BG104" s="642"/>
      <c r="BH104" s="642"/>
      <c r="BI104" s="642"/>
      <c r="BJ104" s="642">
        <f t="shared" ref="BJ104:BY104" si="78">BJ98/BJ101*1000</f>
      </c>
      <c r="BK104" s="642">
        <f t="shared" si="78"/>
      </c>
      <c r="BL104" s="642">
        <f t="shared" si="78"/>
      </c>
      <c r="BM104" s="642">
        <f t="shared" si="78"/>
      </c>
      <c r="BN104" s="642">
        <f t="shared" si="78"/>
      </c>
      <c r="BO104" s="642">
        <f t="shared" si="78"/>
      </c>
      <c r="BP104" s="642">
        <f t="shared" si="78"/>
      </c>
      <c r="BQ104" s="642">
        <f t="shared" si="78"/>
      </c>
      <c r="BR104" s="642">
        <f t="shared" si="78"/>
      </c>
      <c r="BS104" s="642">
        <f t="shared" si="78"/>
      </c>
      <c r="BT104" s="642">
        <f t="shared" si="78"/>
      </c>
      <c r="BU104" s="642">
        <f t="shared" si="78"/>
      </c>
      <c r="BV104" s="642">
        <f t="shared" si="78"/>
      </c>
      <c r="BW104" s="642">
        <f t="shared" si="78"/>
      </c>
      <c r="BX104" s="642">
        <f t="shared" si="78"/>
      </c>
      <c r="BY104" s="642">
        <f t="shared" si="78"/>
      </c>
      <c r="BZ104" s="642">
        <f>BZ98/BZ101*1000</f>
      </c>
      <c r="CA104" s="642">
        <f>CA98/CA101*1000</f>
      </c>
      <c r="CB104" s="642">
        <f>CB98/CB101*1000</f>
      </c>
      <c r="CC104" s="642">
        <f>CC98/CC101*1000</f>
      </c>
      <c r="CD104" s="633"/>
      <c r="CT104" s="643">
        <f>CT98/CT101*1000</f>
      </c>
      <c r="CU104" s="643">
        <f>CU98/CU101*1000</f>
      </c>
      <c r="CV104" s="643">
        <f>CV98/CV101*1000</f>
      </c>
      <c r="CW104" s="643">
        <f>CW98/CW101*1000</f>
      </c>
      <c r="CX104" s="643">
        <f>CX98/CX101*1000</f>
      </c>
      <c r="CZ104"/>
    </row>
    <row r="105" spans="1:104">
      <c r="A105" s="625" t="s">
        <v>511</v>
      </c>
      <c r="B105" s="624"/>
      <c r="C105" s="624"/>
      <c r="D105" s="624"/>
      <c r="E105" s="624"/>
      <c r="F105" s="624"/>
      <c r="G105" s="624"/>
      <c r="H105" s="624"/>
      <c r="I105" s="624"/>
      <c r="J105" s="624"/>
      <c r="K105" s="624"/>
      <c r="L105" s="624"/>
      <c r="M105" s="624"/>
      <c r="N105" s="624"/>
      <c r="O105" s="624"/>
      <c r="P105" s="624"/>
      <c r="Q105" s="624"/>
      <c r="R105" s="624"/>
      <c r="S105" s="624"/>
      <c r="T105" s="624"/>
      <c r="U105" s="624"/>
      <c r="V105" s="624"/>
      <c r="W105" s="624"/>
      <c r="X105" s="624"/>
      <c r="Y105" s="624"/>
      <c r="Z105" s="624"/>
      <c r="AA105" s="624"/>
      <c r="AB105" s="624"/>
      <c r="AC105" s="624"/>
      <c r="AD105" s="624"/>
      <c r="AE105" s="624"/>
      <c r="AF105" s="624"/>
      <c r="AG105" s="624"/>
      <c r="AH105" s="624"/>
      <c r="AI105" s="624"/>
      <c r="AJ105" s="624"/>
      <c r="AK105" s="624"/>
      <c r="AL105" s="624"/>
      <c r="AM105" s="624"/>
      <c r="AN105" s="624"/>
      <c r="AO105" s="624"/>
      <c r="AP105" s="624"/>
      <c r="AQ105" s="624"/>
      <c r="AR105" s="624"/>
      <c r="AS105" s="624"/>
      <c r="AT105" s="624"/>
      <c r="AU105" s="624"/>
      <c r="AV105" s="624"/>
      <c r="AW105" s="624"/>
      <c r="AX105" s="624"/>
      <c r="AY105" s="624"/>
      <c r="AZ105" s="624"/>
      <c r="BA105" s="624"/>
      <c r="BB105" s="624"/>
      <c r="BC105" s="624"/>
      <c r="BD105" s="624"/>
      <c r="BE105" s="624"/>
      <c r="BF105" s="624"/>
      <c r="BG105" s="624"/>
      <c r="BH105" s="624"/>
      <c r="BI105" s="624"/>
      <c r="BJ105" s="624"/>
      <c r="BK105" s="260">
        <f t="shared" ref="BK105:BY105" si="79">BK104/BJ104-1</f>
      </c>
      <c r="BL105" s="260">
        <f t="shared" si="79"/>
      </c>
      <c r="BM105" s="260">
        <f t="shared" si="79"/>
      </c>
      <c r="BN105" s="260">
        <f t="shared" si="79"/>
      </c>
      <c r="BO105" s="260">
        <f t="shared" si="79"/>
      </c>
      <c r="BP105" s="260">
        <f t="shared" si="79"/>
      </c>
      <c r="BQ105" s="260">
        <f t="shared" si="79"/>
      </c>
      <c r="BR105" s="260">
        <f t="shared" si="79"/>
      </c>
      <c r="BS105" s="260">
        <f t="shared" si="79"/>
      </c>
      <c r="BT105" s="260">
        <f t="shared" si="79"/>
      </c>
      <c r="BU105" s="260">
        <f t="shared" si="79"/>
      </c>
      <c r="BV105" s="260">
        <f t="shared" si="79"/>
      </c>
      <c r="BW105" s="260">
        <f t="shared" si="79"/>
      </c>
      <c r="BX105" s="260">
        <f t="shared" si="79"/>
      </c>
      <c r="BY105" s="260">
        <f t="shared" si="79"/>
      </c>
      <c r="BZ105" s="260">
        <f>BZ104/BY104-1</f>
      </c>
      <c r="CA105" s="260">
        <f>CA104/BZ104-1</f>
      </c>
      <c r="CB105" s="260">
        <f>CB104/CA104-1</f>
      </c>
      <c r="CC105" s="260">
        <f>CC104/CB104-1</f>
      </c>
      <c r="CD105" s="624"/>
      <c r="CT105" s="628" t="s">
        <v>197</v>
      </c>
      <c r="CU105" s="628" t="s">
        <v>197</v>
      </c>
      <c r="CV105" s="628" t="s">
        <v>197</v>
      </c>
      <c r="CW105" s="628" t="s">
        <v>197</v>
      </c>
      <c r="CX105" s="628" t="s">
        <v>197</v>
      </c>
      <c r="CZ105"/>
    </row>
    <row r="106" spans="1:104">
      <c r="A106" s="625" t="s">
        <v>512</v>
      </c>
      <c r="B106" s="624"/>
      <c r="C106" s="624"/>
      <c r="D106" s="624"/>
      <c r="E106" s="624"/>
      <c r="F106" s="624"/>
      <c r="G106" s="624"/>
      <c r="H106" s="624"/>
      <c r="I106" s="624"/>
      <c r="J106" s="624"/>
      <c r="K106" s="624"/>
      <c r="L106" s="624"/>
      <c r="M106" s="624"/>
      <c r="N106" s="624"/>
      <c r="O106" s="624"/>
      <c r="P106" s="624"/>
      <c r="Q106" s="624"/>
      <c r="R106" s="624"/>
      <c r="S106" s="624"/>
      <c r="T106" s="624"/>
      <c r="U106" s="624"/>
      <c r="V106" s="624"/>
      <c r="W106" s="624"/>
      <c r="X106" s="624"/>
      <c r="Y106" s="624"/>
      <c r="Z106" s="624"/>
      <c r="AA106" s="624"/>
      <c r="AB106" s="624"/>
      <c r="AC106" s="624"/>
      <c r="AD106" s="624"/>
      <c r="AE106" s="624"/>
      <c r="AF106" s="624"/>
      <c r="AG106" s="624"/>
      <c r="AH106" s="624"/>
      <c r="AI106" s="624"/>
      <c r="AJ106" s="624"/>
      <c r="AK106" s="624"/>
      <c r="AL106" s="624"/>
      <c r="AM106" s="624"/>
      <c r="AN106" s="624"/>
      <c r="AO106" s="624"/>
      <c r="AP106" s="624"/>
      <c r="AQ106" s="624"/>
      <c r="AR106" s="624"/>
      <c r="AS106" s="624"/>
      <c r="AT106" s="624"/>
      <c r="AU106" s="624"/>
      <c r="AV106" s="624"/>
      <c r="AW106" s="624"/>
      <c r="AX106" s="624"/>
      <c r="AY106" s="624"/>
      <c r="AZ106" s="624"/>
      <c r="BA106" s="624"/>
      <c r="BB106" s="624"/>
      <c r="BC106" s="624"/>
      <c r="BD106" s="624"/>
      <c r="BE106" s="624"/>
      <c r="BF106" s="624"/>
      <c r="BG106" s="624"/>
      <c r="BH106" s="624"/>
      <c r="BI106" s="624"/>
      <c r="BJ106" s="624"/>
      <c r="BK106" s="624"/>
      <c r="BL106" s="624"/>
      <c r="BM106" s="624"/>
      <c r="BN106" s="260">
        <f t="shared" ref="BN106:BY106" si="80">BN104/BJ104-1</f>
      </c>
      <c r="BO106" s="260">
        <f t="shared" si="80"/>
      </c>
      <c r="BP106" s="260">
        <f t="shared" si="80"/>
      </c>
      <c r="BQ106" s="260">
        <f t="shared" si="80"/>
      </c>
      <c r="BR106" s="260">
        <f t="shared" si="80"/>
      </c>
      <c r="BS106" s="260">
        <f t="shared" si="80"/>
      </c>
      <c r="BT106" s="260">
        <f t="shared" si="80"/>
      </c>
      <c r="BU106" s="260">
        <f t="shared" si="80"/>
      </c>
      <c r="BV106" s="260">
        <f t="shared" si="80"/>
      </c>
      <c r="BW106" s="260">
        <f t="shared" si="80"/>
      </c>
      <c r="BX106" s="260">
        <f t="shared" si="80"/>
      </c>
      <c r="BY106" s="260">
        <f t="shared" si="80"/>
      </c>
      <c r="BZ106" s="260">
        <f>BZ104/BV104-1</f>
      </c>
      <c r="CA106" s="260">
        <f>CA104/BW104-1</f>
      </c>
      <c r="CB106" s="260">
        <f>CB104/BX104-1</f>
      </c>
      <c r="CC106" s="260">
        <f>CC104/BY104-1</f>
      </c>
      <c r="CD106" s="624"/>
      <c r="CT106" s="628" t="s">
        <v>197</v>
      </c>
      <c r="CU106" s="260">
        <f>CU104/CT104-1</f>
      </c>
      <c r="CV106" s="260">
        <f>CV104/CU104-1</f>
      </c>
      <c r="CW106" s="260">
        <f>CW104/CV104-1</f>
      </c>
      <c r="CX106" s="260">
        <f>CX104/CW104-1</f>
      </c>
      <c r="CZ106"/>
    </row>
    <row r="107" spans="1:104">
      <c r="A107" s="622"/>
      <c r="B107" s="624"/>
      <c r="C107" s="624"/>
      <c r="D107" s="624"/>
      <c r="E107" s="624"/>
      <c r="F107" s="624"/>
      <c r="G107" s="624"/>
      <c r="H107" s="624"/>
      <c r="I107" s="624"/>
      <c r="J107" s="624"/>
      <c r="K107" s="624"/>
      <c r="L107" s="624"/>
      <c r="M107" s="624"/>
      <c r="N107" s="624"/>
      <c r="O107" s="624"/>
      <c r="P107" s="624"/>
      <c r="Q107" s="624"/>
      <c r="R107" s="624"/>
      <c r="S107" s="624"/>
      <c r="T107" s="624"/>
      <c r="U107" s="624"/>
      <c r="V107" s="624"/>
      <c r="W107" s="624"/>
      <c r="X107" s="624"/>
      <c r="Y107" s="624"/>
      <c r="Z107" s="624"/>
      <c r="AA107" s="624"/>
      <c r="AB107" s="624"/>
      <c r="AC107" s="624"/>
      <c r="AD107" s="624"/>
      <c r="AE107" s="624"/>
      <c r="AF107" s="624"/>
      <c r="AG107" s="624"/>
      <c r="AH107" s="624"/>
      <c r="AI107" s="624"/>
      <c r="AJ107" s="624"/>
      <c r="AK107" s="624"/>
      <c r="AL107" s="624"/>
      <c r="AM107" s="624"/>
      <c r="AN107" s="624"/>
      <c r="AO107" s="624"/>
      <c r="AP107" s="624"/>
      <c r="AQ107" s="624"/>
      <c r="AR107" s="624"/>
      <c r="AS107" s="624"/>
      <c r="AT107" s="624"/>
      <c r="AU107" s="624"/>
      <c r="AV107" s="624"/>
      <c r="AW107" s="624"/>
      <c r="AX107" s="624"/>
      <c r="AY107" s="624"/>
      <c r="AZ107" s="624"/>
      <c r="BA107" s="624"/>
      <c r="BB107" s="624"/>
      <c r="BC107" s="624"/>
      <c r="BD107" s="624"/>
      <c r="BE107" s="624"/>
      <c r="BF107" s="624"/>
      <c r="BG107" s="624"/>
      <c r="BH107" s="624"/>
      <c r="BI107" s="624"/>
      <c r="BJ107" s="624"/>
      <c r="BK107" s="624"/>
      <c r="BL107" s="624"/>
      <c r="BM107" s="624"/>
      <c r="BN107" s="624"/>
      <c r="BO107" s="624"/>
      <c r="BP107" s="624"/>
      <c r="BQ107" s="624"/>
      <c r="BR107" s="624"/>
      <c r="BS107" s="624"/>
      <c r="BT107" s="624"/>
      <c r="BU107" s="624"/>
      <c r="BV107" s="624"/>
      <c r="BW107" s="624"/>
      <c r="BX107" s="624"/>
      <c r="BY107" s="624"/>
      <c r="BZ107" s="624"/>
      <c r="CA107" s="624"/>
      <c r="CB107" s="624"/>
      <c r="CC107" s="624"/>
      <c r="CD107" s="624"/>
      <c r="CT107" s="624"/>
      <c r="CU107" s="624"/>
      <c r="CV107" s="624"/>
      <c r="CW107" s="624"/>
      <c r="CX107" s="624"/>
      <c r="CZ107"/>
    </row>
    <row r="108" spans="1:104">
      <c r="A108" s="644" t="s">
        <v>531</v>
      </c>
      <c r="B108" s="624"/>
      <c r="C108" s="624"/>
      <c r="D108" s="624"/>
      <c r="E108" s="624"/>
      <c r="F108" s="624"/>
      <c r="G108" s="624"/>
      <c r="H108" s="624"/>
      <c r="I108" s="624"/>
      <c r="J108" s="624"/>
      <c r="K108" s="624"/>
      <c r="L108" s="624"/>
      <c r="M108" s="624"/>
      <c r="N108" s="624"/>
      <c r="O108" s="624"/>
      <c r="P108" s="624"/>
      <c r="Q108" s="624"/>
      <c r="R108" s="624"/>
      <c r="S108" s="624"/>
      <c r="T108" s="624"/>
      <c r="U108" s="624"/>
      <c r="V108" s="624"/>
      <c r="W108" s="624"/>
      <c r="X108" s="624"/>
      <c r="Y108" s="624"/>
      <c r="Z108" s="624"/>
      <c r="AA108" s="624"/>
      <c r="AB108" s="624"/>
      <c r="AC108" s="624"/>
      <c r="AD108" s="624"/>
      <c r="AE108" s="624"/>
      <c r="AF108" s="624"/>
      <c r="AG108" s="624"/>
      <c r="AH108" s="624"/>
      <c r="AI108" s="624"/>
      <c r="AJ108" s="624"/>
      <c r="AK108" s="624"/>
      <c r="AL108" s="624"/>
      <c r="AM108" s="624"/>
      <c r="AN108" s="624"/>
      <c r="AO108" s="624"/>
      <c r="AP108" s="624"/>
      <c r="AQ108" s="624"/>
      <c r="AR108" s="624"/>
      <c r="AS108" s="624"/>
      <c r="AT108" s="624"/>
      <c r="AU108" s="624"/>
      <c r="AV108" s="624"/>
      <c r="AW108" s="624"/>
      <c r="AX108" s="624"/>
      <c r="AY108" s="624"/>
      <c r="AZ108" s="624"/>
      <c r="BA108" s="624"/>
      <c r="BB108" s="624"/>
      <c r="BC108" s="624"/>
      <c r="BD108" s="624"/>
      <c r="BE108" s="624"/>
      <c r="BF108" s="624"/>
      <c r="BG108" s="624"/>
      <c r="BH108" s="624"/>
      <c r="BI108" s="624"/>
      <c r="BJ108" s="624"/>
      <c r="BK108" s="624"/>
      <c r="BL108" s="624"/>
      <c r="BM108" s="624"/>
      <c r="BN108" s="624"/>
      <c r="BO108" s="624"/>
      <c r="BP108" s="624"/>
      <c r="BQ108" s="624"/>
      <c r="BR108" s="624"/>
      <c r="BS108" s="624"/>
      <c r="BT108" s="624"/>
      <c r="BU108" s="624"/>
      <c r="BV108" s="624"/>
      <c r="BW108" s="624"/>
      <c r="BX108" s="624"/>
      <c r="BY108" s="624"/>
      <c r="BZ108" s="624"/>
      <c r="CA108" s="624"/>
      <c r="CB108" s="624"/>
      <c r="CC108" s="624"/>
      <c r="CD108" s="624"/>
      <c r="CT108" s="624"/>
      <c r="CU108" s="624"/>
      <c r="CV108" s="624"/>
      <c r="CW108" s="624"/>
      <c r="CX108" s="624"/>
      <c r="CZ108"/>
    </row>
    <row r="109" spans="1:104">
      <c r="A109" s="631" t="s">
        <v>532</v>
      </c>
      <c r="B109" s="633"/>
      <c r="C109" s="633"/>
      <c r="D109" s="633"/>
      <c r="E109" s="633"/>
      <c r="F109" s="633"/>
      <c r="G109" s="633"/>
      <c r="H109" s="633"/>
      <c r="I109" s="633"/>
      <c r="J109" s="633"/>
      <c r="K109" s="633"/>
      <c r="L109" s="633"/>
      <c r="M109" s="633"/>
      <c r="N109" s="633"/>
      <c r="O109" s="633"/>
      <c r="P109" s="633"/>
      <c r="Q109" s="633"/>
      <c r="R109" s="633"/>
      <c r="S109" s="633"/>
      <c r="T109" s="633"/>
      <c r="U109" s="633"/>
      <c r="V109" s="633"/>
      <c r="W109" s="633"/>
      <c r="X109" s="633"/>
      <c r="Y109" s="633"/>
      <c r="Z109" s="633"/>
      <c r="AA109" s="633"/>
      <c r="AB109" s="633"/>
      <c r="AC109" s="633"/>
      <c r="AD109" s="633"/>
      <c r="AE109" s="633"/>
      <c r="AF109" s="633"/>
      <c r="AG109" s="633"/>
      <c r="AH109" s="633"/>
      <c r="AI109" s="633"/>
      <c r="AJ109" s="633"/>
      <c r="AK109" s="633"/>
      <c r="AL109" s="633"/>
      <c r="AM109" s="633"/>
      <c r="AN109" s="633"/>
      <c r="AO109" s="633"/>
      <c r="AP109" s="633"/>
      <c r="AQ109" s="633"/>
      <c r="AR109" s="633"/>
      <c r="AS109" s="633"/>
      <c r="AT109" s="633"/>
      <c r="AU109" s="633"/>
      <c r="AV109" s="633"/>
      <c r="AW109" s="633"/>
      <c r="AX109" s="633"/>
      <c r="AY109" s="633"/>
      <c r="AZ109" s="633"/>
      <c r="BA109" s="633"/>
      <c r="BB109" s="633"/>
      <c r="BC109" s="633"/>
      <c r="BD109" s="633"/>
      <c r="BE109" s="633"/>
      <c r="BF109" s="633"/>
      <c r="BG109" s="633"/>
      <c r="BH109" s="633"/>
      <c r="BI109" s="633"/>
      <c r="BJ109" s="633">
        <v>3357</v>
      </c>
      <c r="BK109" s="633">
        <v>8612</v>
      </c>
      <c r="BL109" s="633">
        <v>11911.65625</v>
      </c>
      <c r="BM109" s="633">
        <v>15073</v>
      </c>
      <c r="BN109" s="633">
        <v>19392</v>
      </c>
      <c r="BO109" s="633">
        <v>22604</v>
      </c>
      <c r="BP109" s="633">
        <v>27644</v>
      </c>
      <c r="BQ109" s="633">
        <v>32556</v>
      </c>
      <c r="BR109" s="633">
        <v>34155</v>
      </c>
      <c r="BS109" s="633">
        <v>33844</v>
      </c>
      <c r="BT109" s="633">
        <v>40612.799999999996</v>
      </c>
      <c r="BU109" s="633">
        <v>45892.463999999993</v>
      </c>
      <c r="BV109" s="633">
        <v>48187.087199999994</v>
      </c>
      <c r="BW109" s="633">
        <v>52042.054175999998</v>
      </c>
      <c r="BX109" s="633">
        <v>58287.100677120005</v>
      </c>
      <c r="BY109" s="633">
        <v>62367.19772451841</v>
      </c>
      <c r="BZ109" s="633">
        <v>63614.541679008777</v>
      </c>
      <c r="CA109" s="633">
        <v>64886.832512588953</v>
      </c>
      <c r="CB109" s="633">
        <v>66833.437487966628</v>
      </c>
      <c r="CC109" s="633">
        <v>68838.440612605627</v>
      </c>
      <c r="CD109" s="633"/>
      <c r="CT109" s="633">
        <v>38953.65625</v>
      </c>
      <c r="CU109" s="633">
        <v>102196</v>
      </c>
      <c r="CV109" s="633">
        <v>154504.26399999997</v>
      </c>
      <c r="CW109" s="633">
        <v>220883.43977763841</v>
      </c>
      <c r="CX109" s="633">
        <v>264173.25229216996</v>
      </c>
      <c r="CZ109"/>
    </row>
    <row r="110" spans="1:104">
      <c r="A110" s="625" t="s">
        <v>511</v>
      </c>
      <c r="B110" s="629"/>
      <c r="C110" s="629"/>
      <c r="D110" s="629"/>
      <c r="E110" s="629"/>
      <c r="F110" s="629"/>
      <c r="G110" s="629"/>
      <c r="H110" s="629"/>
      <c r="I110" s="629"/>
      <c r="J110" s="629"/>
      <c r="K110" s="629"/>
      <c r="L110" s="629"/>
      <c r="M110" s="629"/>
      <c r="N110" s="629"/>
      <c r="O110" s="629"/>
      <c r="P110" s="629"/>
      <c r="Q110" s="629"/>
      <c r="R110" s="629"/>
      <c r="S110" s="629"/>
      <c r="T110" s="629"/>
      <c r="U110" s="629"/>
      <c r="V110" s="629"/>
      <c r="W110" s="629"/>
      <c r="X110" s="629"/>
      <c r="Y110" s="629"/>
      <c r="Z110" s="629"/>
      <c r="AA110" s="629"/>
      <c r="AB110" s="629"/>
      <c r="AC110" s="629"/>
      <c r="AD110" s="629"/>
      <c r="AE110" s="629"/>
      <c r="AF110" s="629"/>
      <c r="AG110" s="629"/>
      <c r="AH110" s="629"/>
      <c r="AI110" s="629"/>
      <c r="AJ110" s="629"/>
      <c r="AK110" s="629"/>
      <c r="AL110" s="629"/>
      <c r="AM110" s="629"/>
      <c r="AN110" s="629"/>
      <c r="AO110" s="629"/>
      <c r="AP110" s="629"/>
      <c r="AQ110" s="629"/>
      <c r="AR110" s="629"/>
      <c r="AS110" s="629"/>
      <c r="AT110" s="629"/>
      <c r="AU110" s="629"/>
      <c r="AV110" s="629"/>
      <c r="AW110" s="629"/>
      <c r="AX110" s="629"/>
      <c r="AY110" s="629"/>
      <c r="AZ110" s="629"/>
      <c r="BA110" s="629"/>
      <c r="BB110" s="629"/>
      <c r="BC110" s="629"/>
      <c r="BD110" s="629"/>
      <c r="BE110" s="629"/>
      <c r="BF110" s="629"/>
      <c r="BG110" s="629"/>
      <c r="BH110" s="629"/>
      <c r="BI110" s="629"/>
      <c r="BJ110" s="629"/>
      <c r="BK110" s="629">
        <f t="shared" ref="BK110:BY110" si="81">BK109/BJ109-1</f>
      </c>
      <c r="BL110" s="629">
        <f t="shared" si="81"/>
      </c>
      <c r="BM110" s="629">
        <f t="shared" si="81"/>
      </c>
      <c r="BN110" s="629">
        <f t="shared" si="81"/>
      </c>
      <c r="BO110" s="629">
        <f t="shared" si="81"/>
      </c>
      <c r="BP110" s="629">
        <f t="shared" si="81"/>
      </c>
      <c r="BQ110" s="629">
        <f t="shared" si="81"/>
      </c>
      <c r="BR110" s="629">
        <f t="shared" si="81"/>
      </c>
      <c r="BS110" s="629">
        <f t="shared" si="81"/>
      </c>
      <c r="BT110" s="629">
        <f t="shared" si="81"/>
      </c>
      <c r="BU110" s="629">
        <f t="shared" si="81"/>
      </c>
      <c r="BV110" s="629">
        <f t="shared" si="81"/>
      </c>
      <c r="BW110" s="629">
        <f t="shared" si="81"/>
      </c>
      <c r="BX110" s="629">
        <f t="shared" si="81"/>
      </c>
      <c r="BY110" s="629">
        <f t="shared" si="81"/>
      </c>
      <c r="BZ110" s="629">
        <f>BZ109/BY109-1</f>
      </c>
      <c r="CA110" s="629">
        <f>CA109/BZ109-1</f>
      </c>
      <c r="CB110" s="629">
        <f>CB109/CA109-1</f>
      </c>
      <c r="CC110" s="629">
        <f>CC109/CB109-1</f>
      </c>
      <c r="CD110" s="259"/>
      <c r="CT110" s="628" t="s">
        <v>197</v>
      </c>
      <c r="CU110" s="628" t="s">
        <v>197</v>
      </c>
      <c r="CV110" s="628" t="s">
        <v>197</v>
      </c>
      <c r="CW110" s="628" t="s">
        <v>197</v>
      </c>
      <c r="CX110" s="628" t="s">
        <v>197</v>
      </c>
      <c r="CZ110"/>
    </row>
    <row r="111" spans="1:104">
      <c r="A111" s="625" t="s">
        <v>512</v>
      </c>
      <c r="B111" s="624"/>
      <c r="C111" s="624"/>
      <c r="D111" s="624"/>
      <c r="E111" s="624"/>
      <c r="F111" s="624"/>
      <c r="G111" s="624"/>
      <c r="H111" s="624"/>
      <c r="I111" s="624"/>
      <c r="J111" s="624"/>
      <c r="K111" s="624"/>
      <c r="L111" s="624"/>
      <c r="M111" s="624"/>
      <c r="N111" s="624"/>
      <c r="O111" s="624"/>
      <c r="P111" s="624"/>
      <c r="Q111" s="624"/>
      <c r="R111" s="624"/>
      <c r="S111" s="624"/>
      <c r="T111" s="624"/>
      <c r="U111" s="624"/>
      <c r="V111" s="624"/>
      <c r="W111" s="624"/>
      <c r="X111" s="624"/>
      <c r="Y111" s="624"/>
      <c r="Z111" s="624"/>
      <c r="AA111" s="624"/>
      <c r="AB111" s="624"/>
      <c r="AC111" s="624"/>
      <c r="AD111" s="624"/>
      <c r="AE111" s="624"/>
      <c r="AF111" s="624"/>
      <c r="AG111" s="624"/>
      <c r="AH111" s="624"/>
      <c r="AI111" s="624"/>
      <c r="AJ111" s="624"/>
      <c r="AK111" s="624"/>
      <c r="AL111" s="624"/>
      <c r="AM111" s="624"/>
      <c r="AN111" s="624"/>
      <c r="AO111" s="624"/>
      <c r="AP111" s="624"/>
      <c r="AQ111" s="624"/>
      <c r="AR111" s="624"/>
      <c r="AS111" s="624"/>
      <c r="AT111" s="624"/>
      <c r="AU111" s="624"/>
      <c r="AV111" s="624"/>
      <c r="AW111" s="624"/>
      <c r="AX111" s="624"/>
      <c r="AY111" s="624"/>
      <c r="AZ111" s="624"/>
      <c r="BA111" s="624"/>
      <c r="BB111" s="624"/>
      <c r="BC111" s="624"/>
      <c r="BD111" s="624"/>
      <c r="BE111" s="624"/>
      <c r="BF111" s="624"/>
      <c r="BG111" s="624"/>
      <c r="BH111" s="624"/>
      <c r="BI111" s="624"/>
      <c r="BJ111" s="624"/>
      <c r="BK111" s="624"/>
      <c r="BL111" s="624"/>
      <c r="BM111" s="624"/>
      <c r="BN111" s="260">
        <f t="shared" ref="BN111:BY111" si="82">BN109/BJ109-1</f>
      </c>
      <c r="BO111" s="260">
        <f t="shared" si="82"/>
      </c>
      <c r="BP111" s="260">
        <f t="shared" si="82"/>
      </c>
      <c r="BQ111" s="260">
        <f t="shared" si="82"/>
      </c>
      <c r="BR111" s="260">
        <f t="shared" si="82"/>
      </c>
      <c r="BS111" s="260">
        <f t="shared" si="82"/>
      </c>
      <c r="BT111" s="260">
        <f t="shared" si="82"/>
      </c>
      <c r="BU111" s="260">
        <f t="shared" si="82"/>
      </c>
      <c r="BV111" s="260">
        <f t="shared" si="82"/>
      </c>
      <c r="BW111" s="260">
        <f t="shared" si="82"/>
      </c>
      <c r="BX111" s="260">
        <f t="shared" si="82"/>
      </c>
      <c r="BY111" s="260">
        <f t="shared" si="82"/>
      </c>
      <c r="BZ111" s="260">
        <f>BZ109/BV109-1</f>
      </c>
      <c r="CA111" s="260">
        <f>CA109/BW109-1</f>
      </c>
      <c r="CB111" s="260">
        <f>CB109/BX109-1</f>
      </c>
      <c r="CC111" s="260">
        <f>CC109/BY109-1</f>
      </c>
      <c r="CD111" s="624"/>
      <c r="CT111" s="628" t="s">
        <v>197</v>
      </c>
      <c r="CU111" s="260">
        <f>CU109/CT109-1</f>
      </c>
      <c r="CV111" s="260">
        <f>CV109/CU109-1</f>
      </c>
      <c r="CW111" s="260">
        <f>CW109/CV109-1</f>
      </c>
      <c r="CX111" s="260">
        <f>CX109/CW109-1</f>
      </c>
      <c r="CZ111"/>
    </row>
    <row r="112" spans="1:104">
      <c r="CZ112"/>
    </row>
    <row r="113" spans="104:104">
      <c r="CZ113"/>
    </row>
    <row r="114" spans="104:104">
      <c r="CZ114"/>
    </row>
    <row r="115" spans="104:104">
      <c r="CZ115"/>
    </row>
    <row r="116" spans="104:104">
      <c r="CZ116"/>
    </row>
    <row r="117" spans="104:104">
      <c r="CZ117"/>
    </row>
    <row r="118" spans="104:104">
      <c r="CZ118"/>
    </row>
    <row r="119" spans="104:104">
      <c r="CZ119"/>
    </row>
    <row r="120" spans="104:104">
      <c r="CZ120"/>
    </row>
    <row r="121" spans="104:104">
      <c r="CZ121"/>
    </row>
    <row r="122" spans="104:104">
      <c r="CZ122"/>
    </row>
  </sheetData>
  <printOptions horizontalCentered="1" verticalCentered="1"/>
  <pageMargins left="0.7" right="0.7" top="0.75" bottom="0.75" header="0.3" footer="0.3"/>
  <pageSetup scale="10" orientation="portrait" r:id="rId1"/>
  <customProperties>
    <customPr name="Qube.Worksheet.ID" r:id="rId2"/>
    <customPr name="Qube.Worksheet.Visibility" r:id="rId3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B2CCC-8434-4CF4-94C5-8200EF69D06D}">
  <sheetPr>
    <tabColor rgb="FF92D050"/>
    <pageSetUpPr autoPageBreaks="0"/>
  </sheetPr>
  <dimension ref="A1:CZ105"/>
  <sheetViews>
    <sheetView zoomScaleNormal="100" workbookViewId="0">
      <pane xSplit="1" ySplit="3" topLeftCell="BF4" activePane="bottomRight" state="frozen"/>
      <selection activeCell="C22" sqref="C22"/>
      <selection pane="topRight" activeCell="C22" sqref="C22"/>
      <selection pane="bottomLeft" activeCell="C22" sqref="C22"/>
      <selection pane="bottomRight"/>
    </sheetView>
  </sheetViews>
  <sheetFormatPr defaultColWidth="9.109375" defaultRowHeight="13.2" outlineLevelRow="1" outlineLevelCol="1"/>
  <cols>
    <col min="1" max="1" width="41.44140625" style="37" bestFit="1" customWidth="1"/>
    <col min="2" max="2" width="10.33203125" style="37" bestFit="1" customWidth="1"/>
    <col min="3" max="25" width="7.44140625" style="37" customWidth="1"/>
    <col min="26" max="26" width="8.44140625" style="37" customWidth="1"/>
    <col min="27" max="30" width="7.44140625" style="37" customWidth="1"/>
    <col min="31" max="31" width="10.33203125" style="37" bestFit="1" customWidth="1"/>
    <col min="32" max="33" width="7.44140625" style="37" customWidth="1"/>
    <col min="34" max="34" width="10.33203125" style="37" bestFit="1" customWidth="1"/>
    <col min="35" max="35" width="8.44140625" style="37" customWidth="1"/>
    <col min="36" max="36" width="8" style="37" customWidth="1"/>
    <col min="37" max="37" width="8.44140625" style="37" customWidth="1"/>
    <col min="38" max="38" width="7.6640625" style="37" customWidth="1"/>
    <col min="39" max="42" width="7.6640625" style="37" bestFit="1" customWidth="1"/>
    <col min="43" max="46" width="7.88671875" style="37" bestFit="1" customWidth="1"/>
    <col min="47" max="47" width="7.6640625" style="37" bestFit="1" customWidth="1"/>
    <col min="48" max="51" width="7.88671875" style="37" customWidth="1"/>
    <col min="52" max="57" width="7.6640625" style="37" bestFit="1" customWidth="1"/>
    <col min="58" max="58" width="7.88671875" style="37" customWidth="1"/>
    <col min="59" max="62" width="7.6640625" style="37" bestFit="1" customWidth="1"/>
    <col min="63" max="67" width="7.6640625" style="37" customWidth="1"/>
    <col min="68" max="69" width="7.88671875" style="37" bestFit="1" customWidth="1"/>
    <col min="70" max="81" width="7.44140625" style="37" bestFit="1" customWidth="1"/>
    <col min="82" max="82" width="2.33203125" style="250" hidden="1" customWidth="1" outlineLevel="1"/>
    <col min="83" max="83" width="2.33203125" style="37" customWidth="1" collapsed="1"/>
    <col min="84" max="89" width="7.5546875" style="37" hidden="1" customWidth="1" outlineLevel="1"/>
    <col min="90" max="90" width="7.5546875" style="37" hidden="1" customWidth="1" outlineLevel="1" collapsed="1"/>
    <col min="91" max="93" width="7.5546875" style="37" hidden="1" customWidth="1" outlineLevel="1"/>
    <col min="94" max="94" width="7.6640625" style="37" hidden="1" customWidth="1" outlineLevel="1"/>
    <col min="95" max="95" width="8" style="37" hidden="1" customWidth="1" outlineLevel="1"/>
    <col min="96" max="97" width="7.6640625" style="37" hidden="1" customWidth="1" outlineLevel="1"/>
    <col min="98" max="98" width="8" style="37" hidden="1" customWidth="1" outlineLevel="1"/>
    <col min="99" max="99" width="7.5546875" style="37" hidden="1" customWidth="1" outlineLevel="1"/>
    <col min="100" max="100" width="8" style="37" customWidth="1" collapsed="1"/>
    <col min="101" max="103" width="7.6640625" style="37" customWidth="1"/>
    <col min="104" max="104" width="2.109375" style="250" customWidth="1"/>
    <col min="105" max="108" width="9.109375" style="37"/>
    <col min="109" max="109" width="16.109375" style="37" bestFit="1" customWidth="1"/>
    <col min="110" max="16384" width="9.109375" style="37"/>
  </cols>
  <sheetData>
    <row r="1" spans="1:104">
      <c r="Z1" s="261"/>
      <c r="AA1" s="261"/>
      <c r="AB1" s="261"/>
      <c r="AC1" s="261"/>
      <c r="AD1" s="261"/>
      <c r="AE1" s="261"/>
      <c r="AF1" s="261"/>
      <c r="AG1" s="261"/>
      <c r="AH1" s="261"/>
      <c r="AI1" s="261"/>
      <c r="AJ1" s="261"/>
      <c r="AK1" s="261"/>
      <c r="AL1" s="261"/>
      <c r="AM1" s="261"/>
      <c r="AN1" s="261"/>
      <c r="AO1" s="261"/>
      <c r="AP1" s="261"/>
      <c r="AQ1" s="261"/>
      <c r="AR1" s="261"/>
      <c r="AS1" s="261"/>
      <c r="AT1" s="261"/>
      <c r="AU1" s="262">
        <f>AU4/AP4-1</f>
      </c>
      <c r="AV1" s="261"/>
      <c r="AW1" s="261"/>
      <c r="AX1" s="261"/>
      <c r="AY1" s="261"/>
      <c r="AZ1" s="261"/>
      <c r="BA1" s="261"/>
      <c r="BB1" s="261"/>
      <c r="BC1" s="261"/>
      <c r="BD1" s="261"/>
      <c r="BE1" s="261"/>
      <c r="BF1" s="262"/>
      <c r="BG1" s="253"/>
      <c r="BH1" s="112"/>
      <c r="BI1" s="112"/>
      <c r="BJ1" s="242"/>
      <c r="BK1" s="112"/>
      <c r="BL1" s="112"/>
      <c r="BM1" s="112"/>
      <c r="BN1" s="242"/>
      <c r="BO1" s="242"/>
      <c r="BP1" s="112"/>
      <c r="BQ1" s="112"/>
      <c r="BR1" s="112"/>
      <c r="BS1" s="112"/>
      <c r="BT1" s="112"/>
      <c r="BU1" s="112"/>
      <c r="BV1" s="112"/>
      <c r="BW1" s="112"/>
      <c r="BX1" s="112"/>
      <c r="BY1" s="112"/>
      <c r="BZ1" s="112"/>
      <c r="CA1" s="112"/>
      <c r="CB1" s="112"/>
      <c r="CC1" s="112"/>
      <c r="CQ1" s="37" t="s">
        <v>53</v>
      </c>
      <c r="CR1" s="37" t="s">
        <v>54</v>
      </c>
      <c r="CS1" s="37" t="s">
        <v>533</v>
      </c>
      <c r="CT1" s="37" t="s">
        <v>441</v>
      </c>
      <c r="CU1" s="37" t="s">
        <v>442</v>
      </c>
      <c r="CV1" s="232" t="s">
        <v>443</v>
      </c>
      <c r="CW1" s="232" t="s">
        <v>59</v>
      </c>
      <c r="CX1" s="232" t="s">
        <v>60</v>
      </c>
      <c r="CY1" s="232" t="s">
        <v>61</v>
      </c>
    </row>
    <row r="2" spans="1:104">
      <c r="A2" s="263"/>
      <c r="B2" s="263"/>
      <c r="C2" s="263"/>
      <c r="D2" s="264"/>
      <c r="E2" s="264"/>
      <c r="F2" s="263"/>
      <c r="G2" s="263"/>
      <c r="H2" s="263"/>
      <c r="I2" s="264"/>
      <c r="J2" s="263"/>
      <c r="K2" s="263"/>
      <c r="L2" s="263"/>
      <c r="M2" s="264"/>
      <c r="N2" s="263"/>
      <c r="O2" s="263"/>
      <c r="P2" s="264"/>
      <c r="Q2" s="263"/>
      <c r="R2" s="263"/>
      <c r="S2" s="263"/>
      <c r="T2" s="264"/>
      <c r="U2" s="264"/>
      <c r="V2" s="263"/>
      <c r="W2" s="263"/>
      <c r="X2" s="264"/>
      <c r="Y2" s="264"/>
      <c r="Z2" s="265"/>
      <c r="AA2" s="265"/>
      <c r="AB2" s="265"/>
      <c r="AC2" s="265"/>
      <c r="AD2" s="265"/>
      <c r="AE2" s="265"/>
      <c r="AF2" s="265"/>
      <c r="AG2" s="265"/>
      <c r="AH2" s="265"/>
      <c r="AI2" s="265"/>
      <c r="AJ2" s="265"/>
      <c r="AK2" s="265"/>
      <c r="AL2" s="265"/>
      <c r="AM2" s="265"/>
      <c r="AN2" s="265"/>
      <c r="AO2" s="265"/>
      <c r="AP2" s="265"/>
      <c r="AQ2" s="265"/>
      <c r="AR2" s="265"/>
      <c r="AS2" s="266"/>
      <c r="AT2" s="266"/>
      <c r="AU2" s="266"/>
      <c r="AV2" s="266"/>
      <c r="AW2" s="266"/>
      <c r="AX2" s="266"/>
      <c r="AY2" s="266"/>
      <c r="AZ2" s="266"/>
      <c r="BA2" s="266"/>
      <c r="BB2" s="266"/>
      <c r="BC2" s="266"/>
      <c r="BD2" s="266"/>
      <c r="BE2" s="266"/>
      <c r="BF2" s="266"/>
      <c r="BG2" s="267"/>
      <c r="BH2" s="267"/>
      <c r="BI2" s="267"/>
      <c r="BJ2" s="267"/>
      <c r="BK2" s="267"/>
      <c r="BL2" s="267"/>
      <c r="BM2" s="267"/>
      <c r="BN2" s="267"/>
      <c r="BO2" s="267"/>
      <c r="BP2" s="267"/>
      <c r="BQ2" s="267"/>
      <c r="BR2" s="267"/>
      <c r="BS2" s="267"/>
      <c r="BT2" s="267"/>
      <c r="BU2" s="267"/>
      <c r="BV2" s="267"/>
      <c r="BW2" s="267"/>
      <c r="BX2" s="267"/>
      <c r="BY2" s="267"/>
      <c r="BZ2" s="267"/>
      <c r="CA2" s="267"/>
      <c r="CB2" s="267"/>
      <c r="CC2" s="267"/>
      <c r="CG2" s="230"/>
      <c r="CH2" s="230"/>
      <c r="CI2" s="230"/>
      <c r="CJ2" s="230"/>
      <c r="CK2" s="230"/>
      <c r="CL2" s="230"/>
      <c r="CM2" s="230"/>
      <c r="CN2" s="230"/>
      <c r="CO2" s="230"/>
      <c r="CP2" s="230"/>
      <c r="CQ2" s="230"/>
      <c r="CR2" s="230"/>
      <c r="CS2" s="230"/>
      <c r="CU2" s="230"/>
      <c r="CV2" s="230" t="s">
        <v>534</v>
      </c>
      <c r="CW2" s="228"/>
      <c r="CX2" s="228"/>
      <c r="CY2" s="228"/>
    </row>
    <row r="3" spans="1:104" s="227" customFormat="1">
      <c r="A3" s="225"/>
      <c r="B3" s="225" t="str">
        <f>+Worksheet!AD3</f>
      </c>
      <c r="C3" s="225" t="str">
        <f>+Worksheet!AE3</f>
      </c>
      <c r="D3" s="225" t="str">
        <f>+Worksheet!AF3</f>
      </c>
      <c r="E3" s="225" t="str">
        <f>+Worksheet!AG3</f>
      </c>
      <c r="F3" s="225" t="str">
        <f>+Worksheet!AH3</f>
      </c>
      <c r="G3" s="225" t="str">
        <f>+Worksheet!AI3</f>
      </c>
      <c r="H3" s="225" t="str">
        <f>+Worksheet!AJ3</f>
      </c>
      <c r="I3" s="225" t="str">
        <f>+Worksheet!AK3</f>
      </c>
      <c r="J3" s="225" t="str">
        <f>+Worksheet!AL3</f>
      </c>
      <c r="K3" s="225" t="str">
        <f>+Worksheet!AM3</f>
      </c>
      <c r="L3" s="225" t="str">
        <f>+Worksheet!AN3</f>
      </c>
      <c r="M3" s="225" t="str">
        <f>+Worksheet!AO3</f>
      </c>
      <c r="N3" s="225" t="str">
        <f>+Worksheet!AP3</f>
      </c>
      <c r="O3" s="225" t="str">
        <f>+Worksheet!AQ3</f>
      </c>
      <c r="P3" s="225" t="str">
        <f>+Worksheet!AR3</f>
      </c>
      <c r="Q3" s="225" t="str">
        <f>+Worksheet!AS3</f>
      </c>
      <c r="R3" s="225" t="str">
        <f>+Worksheet!AT3</f>
      </c>
      <c r="S3" s="225" t="str">
        <f>+Worksheet!AU3</f>
      </c>
      <c r="T3" s="225" t="str">
        <f>+Worksheet!AV3</f>
      </c>
      <c r="U3" s="225" t="str">
        <f>+Worksheet!AW3</f>
      </c>
      <c r="V3" s="225" t="str">
        <f>+Worksheet!AX3</f>
      </c>
      <c r="W3" s="225" t="str">
        <f>+Worksheet!AY3</f>
      </c>
      <c r="X3" s="225" t="str">
        <f>+Worksheet!AZ3</f>
      </c>
      <c r="Y3" s="225" t="str">
        <f>+Worksheet!BA3</f>
      </c>
      <c r="Z3" s="225" t="str">
        <f>+Worksheet!BB3</f>
      </c>
      <c r="AA3" s="225" t="str">
        <f>+Worksheet!BC3</f>
      </c>
      <c r="AB3" s="225" t="str">
        <f>+Worksheet!BD3</f>
      </c>
      <c r="AC3" s="225" t="str">
        <f>+Worksheet!BE3</f>
      </c>
      <c r="AD3" s="225" t="str">
        <f>+Worksheet!BF3</f>
      </c>
      <c r="AE3" s="225" t="str">
        <f>+Worksheet!BG3</f>
      </c>
      <c r="AF3" s="225" t="str">
        <f>+Worksheet!BH3</f>
      </c>
      <c r="AG3" s="225" t="str">
        <f>+Worksheet!BI3</f>
      </c>
      <c r="AH3" s="225" t="str">
        <f>+Worksheet!BJ3</f>
      </c>
      <c r="AI3" s="225" t="str">
        <f>+Worksheet!BK3</f>
      </c>
      <c r="AJ3" s="225" t="str">
        <f>+Worksheet!BL3</f>
      </c>
      <c r="AK3" s="225" t="str">
        <f>+Worksheet!BM3</f>
      </c>
      <c r="AL3" s="225" t="str">
        <f>+Worksheet!BN3</f>
      </c>
      <c r="AM3" s="225" t="str">
        <f>+Worksheet!BO3</f>
      </c>
      <c r="AN3" s="225" t="str">
        <f>+Worksheet!BP3</f>
      </c>
      <c r="AO3" s="225" t="str">
        <f>+Worksheet!BQ3</f>
      </c>
      <c r="AP3" s="225" t="str">
        <f>+Worksheet!BR3</f>
      </c>
      <c r="AQ3" s="225" t="str">
        <f>+Worksheet!BS3</f>
      </c>
      <c r="AR3" s="225" t="str">
        <f>+Worksheet!BT3</f>
      </c>
      <c r="AS3" s="225" t="str">
        <f>+Worksheet!BU3</f>
      </c>
      <c r="AT3" s="225" t="str">
        <f>+Worksheet!BV3</f>
      </c>
      <c r="AU3" s="225" t="str">
        <f>+Worksheet!BW3</f>
      </c>
      <c r="AV3" s="225" t="str">
        <f>+Worksheet!BX3</f>
      </c>
      <c r="AW3" s="225" t="str">
        <f>+Worksheet!BY3</f>
      </c>
      <c r="AX3" s="225" t="str">
        <f>+Worksheet!BZ3</f>
      </c>
      <c r="AY3" s="225" t="str">
        <f>+Worksheet!CA3</f>
      </c>
      <c r="AZ3" s="225" t="str">
        <f>+Worksheet!CB3</f>
      </c>
      <c r="BA3" s="225" t="str">
        <f>+Worksheet!CC3</f>
      </c>
      <c r="BB3" s="225" t="str">
        <f>+Worksheet!CD3</f>
      </c>
      <c r="BC3" s="225" t="str">
        <f>+Worksheet!CE3</f>
      </c>
      <c r="BD3" s="225" t="str">
        <f>+Worksheet!CF3</f>
      </c>
      <c r="BE3" s="225" t="str">
        <f>+Worksheet!CG3</f>
      </c>
      <c r="BF3" s="225" t="str">
        <f>+Worksheet!CH3</f>
      </c>
      <c r="BG3" s="225" t="str">
        <f>+Worksheet!CI3</f>
      </c>
      <c r="BH3" s="225" t="str">
        <f>+Worksheet!CJ3</f>
      </c>
      <c r="BI3" s="225" t="str">
        <f>+Worksheet!CK3</f>
      </c>
      <c r="BJ3" s="225" t="str">
        <f>+Worksheet!CL3</f>
      </c>
      <c r="BK3" s="225" t="str">
        <f>+Worksheet!CM3</f>
      </c>
      <c r="BL3" s="225" t="str">
        <f>+Worksheet!CN3</f>
      </c>
      <c r="BM3" s="225" t="str">
        <f>+Worksheet!CO3</f>
      </c>
      <c r="BN3" s="225" t="str">
        <f>+Worksheet!CP3</f>
      </c>
      <c r="BO3" s="225" t="str">
        <f>+Worksheet!CQ3</f>
      </c>
      <c r="BP3" s="225" t="str">
        <f>+Worksheet!CR3</f>
      </c>
      <c r="BQ3" s="225" t="str">
        <f>+Worksheet!CS3</f>
      </c>
      <c r="BR3" s="225" t="str">
        <f>+Worksheet!CT3</f>
      </c>
      <c r="BS3" s="225" t="str">
        <f>+Worksheet!CU3</f>
      </c>
      <c r="BT3" s="225" t="str">
        <f>+Worksheet!CV3</f>
      </c>
      <c r="BU3" s="225" t="str">
        <f>+Worksheet!CW3</f>
      </c>
      <c r="BV3" s="225" t="str">
        <f>+Worksheet!CX3</f>
      </c>
      <c r="BW3" s="225" t="str">
        <f>+Worksheet!CY3</f>
      </c>
      <c r="BX3" s="225" t="str">
        <f>+Worksheet!CZ3</f>
      </c>
      <c r="BY3" s="225" t="str">
        <f>+Worksheet!DA3</f>
      </c>
      <c r="BZ3" s="225" t="str">
        <f>+Worksheet!DB3</f>
      </c>
      <c r="CA3" s="225" t="str">
        <f>+Worksheet!DC3</f>
      </c>
      <c r="CB3" s="225" t="str">
        <f>+Worksheet!DD3</f>
      </c>
      <c r="CC3" s="225" t="str">
        <f>+Worksheet!DE3</f>
      </c>
      <c r="CF3" s="225">
        <v>2008</v>
      </c>
      <c r="CG3" s="225">
        <v>2009</v>
      </c>
      <c r="CH3" s="225">
        <v>2010</v>
      </c>
      <c r="CI3" s="225">
        <v>2011</v>
      </c>
      <c r="CJ3" s="225">
        <v>2012</v>
      </c>
      <c r="CK3" s="225">
        <v>2013</v>
      </c>
      <c r="CL3" s="225">
        <v>2014</v>
      </c>
      <c r="CM3" s="225">
        <v>2015</v>
      </c>
      <c r="CN3" s="225">
        <v>2016</v>
      </c>
      <c r="CO3" s="225">
        <v>2017</v>
      </c>
      <c r="CP3" s="225">
        <v>2018</v>
      </c>
      <c r="CQ3" s="225">
        <v>2019</v>
      </c>
      <c r="CR3" s="225">
        <v>2020</v>
      </c>
      <c r="CS3" s="225">
        <v>2021</v>
      </c>
      <c r="CT3" s="225">
        <v>2022</v>
      </c>
      <c r="CU3" s="225">
        <v>2023</v>
      </c>
      <c r="CV3" s="225">
        <v>2024</v>
      </c>
      <c r="CW3" s="225" t="s">
        <v>192</v>
      </c>
      <c r="CX3" s="225" t="s">
        <v>193</v>
      </c>
      <c r="CY3" s="225" t="s">
        <v>194</v>
      </c>
    </row>
    <row r="4" spans="1:104" s="270" customFormat="1" ht="15.6">
      <c r="A4" s="268" t="s">
        <v>535</v>
      </c>
      <c r="B4" s="225"/>
      <c r="C4" s="225"/>
      <c r="D4" s="225"/>
      <c r="E4" s="225"/>
      <c r="F4" s="225"/>
      <c r="G4" s="225"/>
      <c r="H4" s="225"/>
      <c r="I4" s="225"/>
      <c r="J4" s="225"/>
      <c r="K4" s="225"/>
      <c r="L4" s="225"/>
      <c r="M4" s="225"/>
      <c r="N4" s="225"/>
      <c r="O4" s="225"/>
      <c r="P4" s="225"/>
      <c r="Q4" s="225"/>
      <c r="R4" s="225"/>
      <c r="S4" s="225"/>
      <c r="T4" s="225"/>
      <c r="U4" s="225"/>
      <c r="V4" s="225"/>
      <c r="W4" s="225"/>
      <c r="X4" s="225"/>
      <c r="Y4" s="225"/>
      <c r="Z4" s="225"/>
      <c r="AA4" s="225"/>
      <c r="AB4" s="225"/>
      <c r="AC4" s="225"/>
      <c r="AD4" s="225"/>
      <c r="AE4" s="225"/>
      <c r="AF4" s="225"/>
      <c r="AG4" s="225"/>
      <c r="AH4" s="225"/>
      <c r="AI4" s="225"/>
      <c r="AJ4" s="225"/>
      <c r="AK4" s="225"/>
      <c r="AL4" s="269">
        <f>SUM(AI5:AL5)</f>
      </c>
      <c r="AM4" s="269">
        <f t="shared" ref="AM4:AS4" si="0">SUM(AJ5:AM5)</f>
      </c>
      <c r="AN4" s="269">
        <f t="shared" si="0"/>
      </c>
      <c r="AO4" s="269">
        <f t="shared" si="0"/>
      </c>
      <c r="AP4" s="269">
        <f t="shared" si="0"/>
      </c>
      <c r="AQ4" s="269">
        <f t="shared" si="0"/>
      </c>
      <c r="AR4" s="269">
        <f t="shared" si="0"/>
      </c>
      <c r="AS4" s="269">
        <f t="shared" si="0"/>
      </c>
      <c r="AT4" s="269">
        <f>SUM(AQ5:AT5)</f>
      </c>
      <c r="AU4" s="269">
        <f>SUM(AR5:AU5)</f>
      </c>
      <c r="AV4" s="269">
        <f>SUM(AS5:AV5)</f>
      </c>
      <c r="AW4" s="269">
        <f>SUM(AT5:AW5)</f>
      </c>
      <c r="AX4" s="269">
        <f>SUM(AU5:AX5)</f>
      </c>
      <c r="AY4" s="225"/>
      <c r="AZ4" s="225"/>
      <c r="BA4" s="225"/>
      <c r="BB4" s="225"/>
      <c r="BC4" s="225"/>
      <c r="BD4" s="225"/>
      <c r="BE4" s="225"/>
      <c r="BF4" s="225"/>
      <c r="BG4" s="225"/>
      <c r="BH4" s="225"/>
      <c r="BI4" s="225"/>
      <c r="BJ4" s="225"/>
      <c r="BK4" s="225"/>
      <c r="BL4" s="225"/>
      <c r="BM4" s="225"/>
      <c r="BN4" s="225"/>
      <c r="BO4" s="225"/>
      <c r="BP4" s="225"/>
      <c r="BQ4" s="225"/>
      <c r="BR4" s="225"/>
      <c r="BS4" s="225"/>
      <c r="BT4" s="225"/>
      <c r="BU4" s="225"/>
      <c r="BV4" s="225"/>
      <c r="BW4" s="225"/>
      <c r="BX4" s="225"/>
      <c r="BY4" s="225"/>
      <c r="BZ4" s="225"/>
      <c r="CA4" s="225"/>
      <c r="CB4" s="225"/>
      <c r="CC4" s="225"/>
      <c r="CD4" s="227"/>
      <c r="CE4" s="227"/>
      <c r="CF4" s="225"/>
      <c r="CG4" s="225"/>
      <c r="CH4" s="225"/>
      <c r="CI4" s="225"/>
      <c r="CJ4" s="225"/>
      <c r="CK4" s="225"/>
      <c r="CL4" s="225"/>
      <c r="CM4" s="225"/>
      <c r="CN4" s="225"/>
      <c r="CO4" s="225"/>
      <c r="CP4" s="225"/>
      <c r="CQ4" s="225"/>
      <c r="CR4" s="225"/>
      <c r="CS4" s="225"/>
      <c r="CT4" s="225">
        <v>2022</v>
      </c>
      <c r="CU4" s="225">
        <v>2023</v>
      </c>
      <c r="CV4" s="225">
        <v>2024</v>
      </c>
      <c r="CW4" s="225">
        <v>2025</v>
      </c>
      <c r="CX4" s="225">
        <v>2026</v>
      </c>
      <c r="CY4" s="225">
        <v>2027</v>
      </c>
      <c r="CZ4" s="227"/>
    </row>
    <row r="5" spans="1:104">
      <c r="A5" s="231" t="s">
        <v>536</v>
      </c>
      <c r="B5" s="235">
        <v>15575</v>
      </c>
      <c r="C5" s="235">
        <v>11400</v>
      </c>
      <c r="D5" s="235">
        <v>12950</v>
      </c>
      <c r="E5" s="235">
        <v>9600</v>
      </c>
      <c r="F5" s="235">
        <v>11160</v>
      </c>
      <c r="G5" s="235">
        <v>11720</v>
      </c>
      <c r="H5" s="235">
        <v>12770</v>
      </c>
      <c r="I5" s="235">
        <v>14100</v>
      </c>
      <c r="J5" s="235">
        <v>12700</v>
      </c>
      <c r="K5" s="235">
        <v>8550</v>
      </c>
      <c r="L5" s="235">
        <v>11000</v>
      </c>
      <c r="M5" s="235">
        <v>11450</v>
      </c>
      <c r="N5" s="235">
        <v>11250</v>
      </c>
      <c r="O5" s="235">
        <v>9520</v>
      </c>
      <c r="P5" s="235">
        <v>10500</v>
      </c>
      <c r="Q5" s="235">
        <v>10200</v>
      </c>
      <c r="R5" s="235">
        <v>9750</v>
      </c>
      <c r="S5" s="235">
        <v>8750</v>
      </c>
      <c r="T5" s="235">
        <v>11230</v>
      </c>
      <c r="U5" s="235">
        <v>9530</v>
      </c>
      <c r="V5" s="235">
        <v>9510</v>
      </c>
      <c r="W5" s="235">
        <v>8670</v>
      </c>
      <c r="X5" s="235">
        <v>9375</v>
      </c>
      <c r="Y5" s="235">
        <v>9720</v>
      </c>
      <c r="Z5" s="235">
        <v>9038.5152838427948</v>
      </c>
      <c r="AA5" s="235">
        <v>7106.8289557975659</v>
      </c>
      <c r="AB5" s="235">
        <v>8893.4883720930229</v>
      </c>
      <c r="AC5" s="235">
        <v>9344.5219638242888</v>
      </c>
      <c r="AD5" s="235">
        <v>8692.1567672833498</v>
      </c>
      <c r="AE5" s="235">
        <v>7653.1500872600345</v>
      </c>
      <c r="AF5" s="235">
        <v>9675.9892160929066</v>
      </c>
      <c r="AG5" s="235">
        <v>9036.9159795838241</v>
      </c>
      <c r="AH5" s="235">
        <v>9160.2922755741129</v>
      </c>
      <c r="AI5" s="235">
        <v>6567.4980959634422</v>
      </c>
      <c r="AJ5" s="235">
        <v>9158.4668192219688</v>
      </c>
      <c r="AK5" s="235">
        <v>9717.878787878788</v>
      </c>
      <c r="AL5" s="235">
        <v>7008.863636363636</v>
      </c>
      <c r="AM5" s="235">
        <v>8590.8010963858833</v>
      </c>
      <c r="AN5" s="235">
        <v>11432.60407777919</v>
      </c>
      <c r="AO5" s="235">
        <v>9966.1027903797149</v>
      </c>
      <c r="AP5" s="235">
        <v>10365.042584706536</v>
      </c>
      <c r="AQ5" s="235">
        <v>7990.4344459185941</v>
      </c>
      <c r="AR5" s="235">
        <v>7546.7110731351713</v>
      </c>
      <c r="AS5" s="235">
        <v>6366.0261173439349</v>
      </c>
      <c r="AT5" s="235">
        <v>6652.7955055301309</v>
      </c>
      <c r="AU5" s="235">
        <v>5205.7973935217806</v>
      </c>
      <c r="AV5" s="235">
        <v>8033.7444952587311</v>
      </c>
      <c r="AW5" s="235">
        <v>8372.3090646143028</v>
      </c>
      <c r="AX5" s="235">
        <v>6742.9790394538395</v>
      </c>
      <c r="AY5" s="235">
        <v>8061.764005667771</v>
      </c>
      <c r="AZ5" s="235">
        <v>8909.0095494950001</v>
      </c>
      <c r="BA5" s="235">
        <v>9258.2941811340461</v>
      </c>
      <c r="BB5" s="235">
        <v>8851.2997229103294</v>
      </c>
      <c r="BC5" s="235">
        <v>7948.7974135408776</v>
      </c>
      <c r="BD5" s="235">
        <v>10125.680974016439</v>
      </c>
      <c r="BE5" s="235">
        <v>9821.6534827060968</v>
      </c>
      <c r="BF5" s="235">
        <v>9464.1561002783001</v>
      </c>
      <c r="BG5" s="235">
        <v>7859.1397849462364</v>
      </c>
      <c r="BH5" s="235">
        <v>4838.8671875</v>
      </c>
      <c r="BI5" s="235">
        <v>5668.073878627968</v>
      </c>
      <c r="BJ5" s="235">
        <v>4889.3264733395699</v>
      </c>
      <c r="BK5" s="235">
        <v>4515.1952250903005</v>
      </c>
      <c r="BL5" s="235">
        <v>6349.5871327254308</v>
      </c>
      <c r="BM5" s="235">
        <v>6742.9755922469485</v>
      </c>
      <c r="BN5" s="235">
        <v>6563.4970639032817</v>
      </c>
      <c r="BO5" s="235">
        <v>7170.3132058077899</v>
      </c>
      <c r="BP5" s="235">
        <v>6764.562744235398</v>
      </c>
      <c r="BQ5" s="235">
        <v>5605.0326797385624</v>
      </c>
      <c r="BR5" s="235">
        <v>8005.3279301745633</v>
      </c>
      <c r="BS5" s="235">
        <f t="shared" ref="BS5:BY5" si="1">BS9+BS12</f>
      </c>
      <c r="BT5" s="236">
        <f t="shared" si="1"/>
      </c>
      <c r="BU5" s="236">
        <f t="shared" si="1"/>
      </c>
      <c r="BV5" s="236">
        <f t="shared" si="1"/>
      </c>
      <c r="BW5" s="236">
        <f t="shared" si="1"/>
      </c>
      <c r="BX5" s="236">
        <f t="shared" si="1"/>
      </c>
      <c r="BY5" s="236">
        <f t="shared" si="1"/>
      </c>
      <c r="BZ5" s="236">
        <f>BZ9+BZ12</f>
      </c>
      <c r="CA5" s="236">
        <f>CA9+CA12</f>
      </c>
      <c r="CB5" s="236">
        <f>CB9+CB12</f>
      </c>
      <c r="CC5" s="236">
        <f>CC9+CC12</f>
      </c>
      <c r="CD5" s="273"/>
      <c r="CE5" s="274"/>
      <c r="CF5" s="235">
        <f>SUM(B5:E5)</f>
      </c>
      <c r="CG5" s="235">
        <f>SUM(F5:I5)</f>
      </c>
      <c r="CH5" s="235">
        <f>SUM(J5:M5)</f>
      </c>
      <c r="CI5" s="235">
        <f>SUM(N5:Q5)</f>
      </c>
      <c r="CJ5" s="235">
        <f>SUM(R5:U5)</f>
      </c>
      <c r="CK5" s="235">
        <f>SUM(V5:Y5)</f>
      </c>
      <c r="CL5" s="235">
        <f>SUM(Z5:AC5)</f>
      </c>
      <c r="CM5" s="235">
        <f>SUM(AD5:AG5)</f>
      </c>
      <c r="CN5" s="235">
        <f>SUM(AH5:AK5)</f>
      </c>
      <c r="CO5" s="235">
        <f>SUM(AL5:AO5)</f>
      </c>
      <c r="CP5" s="235">
        <f>SUM(AP5:AS5)</f>
      </c>
      <c r="CQ5" s="235">
        <f>AT5+AU5+AV5+AW5</f>
      </c>
      <c r="CR5" s="235">
        <f>AX5+AY5+AZ5+BA5</f>
      </c>
      <c r="CS5" s="235">
        <f>BB5+BC5+BD5+BE5</f>
      </c>
      <c r="CT5" s="235">
        <f>+SUM(BF5:BI5)</f>
      </c>
      <c r="CU5" s="235">
        <f>+SUM(BJ5:BM5)</f>
      </c>
      <c r="CV5" s="235">
        <f>+SUM(BN5:BQ5)</f>
      </c>
      <c r="CW5" s="236">
        <f>+SUM(BR5:BU5)</f>
      </c>
      <c r="CX5" s="236">
        <f>SUM(BV5:BY5)</f>
      </c>
      <c r="CY5" s="236">
        <f>SUM(BZ5:CC5)</f>
      </c>
      <c r="CZ5" s="273"/>
    </row>
    <row r="6" spans="1:104" s="276" customFormat="1">
      <c r="A6" s="63" t="s">
        <v>196</v>
      </c>
      <c r="B6" s="238"/>
      <c r="C6" s="238">
        <f t="shared" ref="C6:BN6" si="2">C5/B5-1</f>
      </c>
      <c r="D6" s="238">
        <f t="shared" si="2"/>
      </c>
      <c r="E6" s="238">
        <f t="shared" si="2"/>
      </c>
      <c r="F6" s="238">
        <f t="shared" si="2"/>
      </c>
      <c r="G6" s="238">
        <f t="shared" si="2"/>
      </c>
      <c r="H6" s="238">
        <f t="shared" si="2"/>
      </c>
      <c r="I6" s="238">
        <f t="shared" si="2"/>
      </c>
      <c r="J6" s="238">
        <f t="shared" si="2"/>
      </c>
      <c r="K6" s="238">
        <f t="shared" si="2"/>
      </c>
      <c r="L6" s="238">
        <f t="shared" si="2"/>
      </c>
      <c r="M6" s="238">
        <f t="shared" si="2"/>
      </c>
      <c r="N6" s="238">
        <f t="shared" si="2"/>
      </c>
      <c r="O6" s="238">
        <f t="shared" si="2"/>
      </c>
      <c r="P6" s="238">
        <f t="shared" si="2"/>
      </c>
      <c r="Q6" s="238">
        <f t="shared" si="2"/>
      </c>
      <c r="R6" s="238">
        <f t="shared" si="2"/>
      </c>
      <c r="S6" s="238">
        <f t="shared" si="2"/>
      </c>
      <c r="T6" s="238">
        <f t="shared" si="2"/>
      </c>
      <c r="U6" s="238">
        <f t="shared" si="2"/>
      </c>
      <c r="V6" s="238">
        <f t="shared" si="2"/>
      </c>
      <c r="W6" s="238">
        <f t="shared" si="2"/>
      </c>
      <c r="X6" s="238">
        <f t="shared" si="2"/>
      </c>
      <c r="Y6" s="238">
        <f t="shared" si="2"/>
      </c>
      <c r="Z6" s="238">
        <f t="shared" si="2"/>
      </c>
      <c r="AA6" s="238">
        <f t="shared" si="2"/>
      </c>
      <c r="AB6" s="238">
        <f t="shared" si="2"/>
      </c>
      <c r="AC6" s="238">
        <f t="shared" si="2"/>
      </c>
      <c r="AD6" s="238">
        <f t="shared" si="2"/>
      </c>
      <c r="AE6" s="238">
        <f t="shared" si="2"/>
      </c>
      <c r="AF6" s="238">
        <f t="shared" si="2"/>
      </c>
      <c r="AG6" s="238">
        <f t="shared" si="2"/>
      </c>
      <c r="AH6" s="238">
        <f t="shared" si="2"/>
      </c>
      <c r="AI6" s="238">
        <f t="shared" si="2"/>
      </c>
      <c r="AJ6" s="238">
        <f t="shared" si="2"/>
      </c>
      <c r="AK6" s="238">
        <f t="shared" si="2"/>
      </c>
      <c r="AL6" s="238">
        <f t="shared" si="2"/>
      </c>
      <c r="AM6" s="238">
        <f t="shared" si="2"/>
      </c>
      <c r="AN6" s="238">
        <f t="shared" si="2"/>
      </c>
      <c r="AO6" s="238">
        <f t="shared" si="2"/>
      </c>
      <c r="AP6" s="238">
        <f t="shared" si="2"/>
      </c>
      <c r="AQ6" s="238">
        <f t="shared" si="2"/>
      </c>
      <c r="AR6" s="238">
        <f t="shared" si="2"/>
      </c>
      <c r="AS6" s="238">
        <f t="shared" si="2"/>
      </c>
      <c r="AT6" s="238">
        <f t="shared" si="2"/>
      </c>
      <c r="AU6" s="238">
        <f t="shared" si="2"/>
      </c>
      <c r="AV6" s="238">
        <f t="shared" si="2"/>
      </c>
      <c r="AW6" s="238">
        <f t="shared" si="2"/>
      </c>
      <c r="AX6" s="238">
        <f t="shared" si="2"/>
      </c>
      <c r="AY6" s="238">
        <f t="shared" si="2"/>
      </c>
      <c r="AZ6" s="238">
        <f t="shared" si="2"/>
      </c>
      <c r="BA6" s="238">
        <f t="shared" si="2"/>
      </c>
      <c r="BB6" s="238">
        <f t="shared" si="2"/>
      </c>
      <c r="BC6" s="238">
        <f t="shared" si="2"/>
      </c>
      <c r="BD6" s="238">
        <f t="shared" si="2"/>
      </c>
      <c r="BE6" s="238">
        <f t="shared" si="2"/>
      </c>
      <c r="BF6" s="238">
        <f t="shared" si="2"/>
      </c>
      <c r="BG6" s="238">
        <f t="shared" si="2"/>
      </c>
      <c r="BH6" s="238">
        <f t="shared" si="2"/>
      </c>
      <c r="BI6" s="238">
        <f t="shared" si="2"/>
      </c>
      <c r="BJ6" s="238">
        <f t="shared" si="2"/>
      </c>
      <c r="BK6" s="238">
        <f t="shared" si="2"/>
      </c>
      <c r="BL6" s="238">
        <f t="shared" si="2"/>
      </c>
      <c r="BM6" s="238">
        <f t="shared" si="2"/>
      </c>
      <c r="BN6" s="238">
        <f t="shared" si="2"/>
      </c>
      <c r="BO6" s="238">
        <f t="shared" ref="BO6:CC6" si="3">BO5/BN5-1</f>
      </c>
      <c r="BP6" s="238">
        <f t="shared" si="3"/>
      </c>
      <c r="BQ6" s="238">
        <f t="shared" si="3"/>
      </c>
      <c r="BR6" s="238">
        <f t="shared" si="3"/>
      </c>
      <c r="BS6" s="238">
        <f t="shared" si="3"/>
      </c>
      <c r="BT6" s="239">
        <f t="shared" si="3"/>
      </c>
      <c r="BU6" s="239">
        <f t="shared" si="3"/>
      </c>
      <c r="BV6" s="239">
        <f t="shared" si="3"/>
      </c>
      <c r="BW6" s="239">
        <f t="shared" si="3"/>
      </c>
      <c r="BX6" s="239">
        <f t="shared" si="3"/>
      </c>
      <c r="BY6" s="239">
        <f t="shared" si="3"/>
      </c>
      <c r="BZ6" s="239">
        <f t="shared" si="3"/>
      </c>
      <c r="CA6" s="239">
        <f t="shared" si="3"/>
      </c>
      <c r="CB6" s="239">
        <f t="shared" si="3"/>
      </c>
      <c r="CC6" s="239">
        <f t="shared" si="3"/>
      </c>
      <c r="CD6" s="275"/>
      <c r="CE6" s="63"/>
      <c r="CF6" s="244"/>
      <c r="CG6" s="244"/>
      <c r="CH6" s="244"/>
      <c r="CI6" s="244"/>
      <c r="CJ6" s="244"/>
      <c r="CK6" s="244"/>
      <c r="CL6" s="244"/>
      <c r="CM6" s="244"/>
      <c r="CN6" s="245"/>
      <c r="CO6" s="245"/>
      <c r="CP6" s="245"/>
      <c r="CQ6" s="245"/>
      <c r="CR6" s="245"/>
      <c r="CS6" s="254"/>
      <c r="CT6" s="254"/>
      <c r="CU6" s="254"/>
      <c r="CV6" s="254"/>
      <c r="CW6" s="245"/>
      <c r="CX6" s="245"/>
      <c r="CY6" s="245"/>
      <c r="CZ6" s="275"/>
    </row>
    <row r="7" spans="1:104" s="276" customFormat="1">
      <c r="A7" s="63" t="s">
        <v>198</v>
      </c>
      <c r="B7" s="238"/>
      <c r="C7" s="238"/>
      <c r="D7" s="238"/>
      <c r="E7" s="238"/>
      <c r="F7" s="238">
        <f t="shared" ref="F7:BQ7" si="4">F5/B5-1</f>
      </c>
      <c r="G7" s="238">
        <f t="shared" si="4"/>
      </c>
      <c r="H7" s="238">
        <f t="shared" si="4"/>
      </c>
      <c r="I7" s="238">
        <f t="shared" si="4"/>
      </c>
      <c r="J7" s="238">
        <f t="shared" si="4"/>
      </c>
      <c r="K7" s="238">
        <f t="shared" si="4"/>
      </c>
      <c r="L7" s="238">
        <f t="shared" si="4"/>
      </c>
      <c r="M7" s="238">
        <f t="shared" si="4"/>
      </c>
      <c r="N7" s="238">
        <f t="shared" si="4"/>
      </c>
      <c r="O7" s="238">
        <f t="shared" si="4"/>
      </c>
      <c r="P7" s="238">
        <f t="shared" si="4"/>
      </c>
      <c r="Q7" s="238">
        <f t="shared" si="4"/>
      </c>
      <c r="R7" s="238">
        <f t="shared" si="4"/>
      </c>
      <c r="S7" s="238">
        <f t="shared" si="4"/>
      </c>
      <c r="T7" s="238">
        <f t="shared" si="4"/>
      </c>
      <c r="U7" s="238">
        <f t="shared" si="4"/>
      </c>
      <c r="V7" s="238">
        <f t="shared" si="4"/>
      </c>
      <c r="W7" s="238">
        <f t="shared" si="4"/>
      </c>
      <c r="X7" s="238">
        <f t="shared" si="4"/>
      </c>
      <c r="Y7" s="238">
        <f t="shared" si="4"/>
      </c>
      <c r="Z7" s="238">
        <f t="shared" si="4"/>
      </c>
      <c r="AA7" s="238">
        <f t="shared" si="4"/>
      </c>
      <c r="AB7" s="238">
        <f t="shared" si="4"/>
      </c>
      <c r="AC7" s="238">
        <f t="shared" si="4"/>
      </c>
      <c r="AD7" s="238">
        <f t="shared" si="4"/>
      </c>
      <c r="AE7" s="238">
        <f t="shared" si="4"/>
      </c>
      <c r="AF7" s="238">
        <f t="shared" si="4"/>
      </c>
      <c r="AG7" s="238">
        <f t="shared" si="4"/>
      </c>
      <c r="AH7" s="238">
        <f t="shared" si="4"/>
      </c>
      <c r="AI7" s="238">
        <f t="shared" si="4"/>
      </c>
      <c r="AJ7" s="238">
        <f t="shared" si="4"/>
      </c>
      <c r="AK7" s="238">
        <f t="shared" si="4"/>
      </c>
      <c r="AL7" s="238">
        <f t="shared" si="4"/>
      </c>
      <c r="AM7" s="238">
        <f t="shared" si="4"/>
      </c>
      <c r="AN7" s="238">
        <f t="shared" si="4"/>
      </c>
      <c r="AO7" s="238">
        <f t="shared" si="4"/>
      </c>
      <c r="AP7" s="238">
        <f t="shared" si="4"/>
      </c>
      <c r="AQ7" s="238">
        <f t="shared" si="4"/>
      </c>
      <c r="AR7" s="238">
        <f t="shared" si="4"/>
      </c>
      <c r="AS7" s="238">
        <f t="shared" si="4"/>
      </c>
      <c r="AT7" s="238">
        <f t="shared" si="4"/>
      </c>
      <c r="AU7" s="238">
        <f t="shared" si="4"/>
      </c>
      <c r="AV7" s="238">
        <f t="shared" si="4"/>
      </c>
      <c r="AW7" s="238">
        <f t="shared" si="4"/>
      </c>
      <c r="AX7" s="238">
        <f t="shared" si="4"/>
      </c>
      <c r="AY7" s="238">
        <f t="shared" si="4"/>
      </c>
      <c r="AZ7" s="238">
        <f t="shared" si="4"/>
      </c>
      <c r="BA7" s="238">
        <f t="shared" si="4"/>
      </c>
      <c r="BB7" s="238">
        <f t="shared" si="4"/>
      </c>
      <c r="BC7" s="238">
        <f t="shared" si="4"/>
      </c>
      <c r="BD7" s="238">
        <f t="shared" si="4"/>
      </c>
      <c r="BE7" s="238">
        <f t="shared" si="4"/>
      </c>
      <c r="BF7" s="238">
        <f t="shared" si="4"/>
      </c>
      <c r="BG7" s="238">
        <f t="shared" si="4"/>
      </c>
      <c r="BH7" s="238">
        <f t="shared" si="4"/>
      </c>
      <c r="BI7" s="238">
        <f t="shared" si="4"/>
      </c>
      <c r="BJ7" s="238">
        <f t="shared" si="4"/>
      </c>
      <c r="BK7" s="238">
        <f t="shared" si="4"/>
      </c>
      <c r="BL7" s="238">
        <f t="shared" si="4"/>
      </c>
      <c r="BM7" s="238">
        <f t="shared" si="4"/>
      </c>
      <c r="BN7" s="238">
        <f t="shared" si="4"/>
      </c>
      <c r="BO7" s="238">
        <f t="shared" si="4"/>
      </c>
      <c r="BP7" s="238">
        <f t="shared" si="4"/>
      </c>
      <c r="BQ7" s="238">
        <f t="shared" si="4"/>
      </c>
      <c r="BR7" s="238">
        <f t="shared" ref="BR7:CC7" si="5">BR5/BN5-1</f>
      </c>
      <c r="BS7" s="238">
        <f t="shared" si="5"/>
      </c>
      <c r="BT7" s="239">
        <f t="shared" si="5"/>
      </c>
      <c r="BU7" s="239">
        <f t="shared" si="5"/>
      </c>
      <c r="BV7" s="239">
        <f t="shared" si="5"/>
      </c>
      <c r="BW7" s="239">
        <f t="shared" si="5"/>
      </c>
      <c r="BX7" s="239">
        <f t="shared" si="5"/>
      </c>
      <c r="BY7" s="239">
        <f t="shared" si="5"/>
      </c>
      <c r="BZ7" s="239">
        <f t="shared" si="5"/>
      </c>
      <c r="CA7" s="239">
        <f t="shared" si="5"/>
      </c>
      <c r="CB7" s="239">
        <f t="shared" si="5"/>
      </c>
      <c r="CC7" s="239">
        <f t="shared" si="5"/>
      </c>
      <c r="CD7" s="275"/>
      <c r="CE7" s="63"/>
      <c r="CF7" s="645"/>
      <c r="CG7" s="276">
        <f t="shared" ref="CG7:CY7" si="6">CG5/CF5-1</f>
      </c>
      <c r="CH7" s="276">
        <f t="shared" si="6"/>
      </c>
      <c r="CI7" s="276">
        <f t="shared" si="6"/>
      </c>
      <c r="CJ7" s="276">
        <f t="shared" si="6"/>
      </c>
      <c r="CK7" s="276">
        <f t="shared" si="6"/>
      </c>
      <c r="CL7" s="276">
        <f t="shared" si="6"/>
      </c>
      <c r="CM7" s="276">
        <f t="shared" si="6"/>
      </c>
      <c r="CN7" s="238">
        <f t="shared" si="6"/>
      </c>
      <c r="CO7" s="238">
        <f t="shared" si="6"/>
      </c>
      <c r="CP7" s="238">
        <f t="shared" si="6"/>
      </c>
      <c r="CQ7" s="238">
        <f t="shared" si="6"/>
      </c>
      <c r="CR7" s="238">
        <f t="shared" si="6"/>
      </c>
      <c r="CS7" s="238">
        <f t="shared" si="6"/>
      </c>
      <c r="CT7" s="238">
        <f t="shared" si="6"/>
      </c>
      <c r="CU7" s="238">
        <f t="shared" si="6"/>
      </c>
      <c r="CV7" s="238">
        <f t="shared" si="6"/>
      </c>
      <c r="CW7" s="247">
        <f t="shared" si="6"/>
      </c>
      <c r="CX7" s="247">
        <f t="shared" si="6"/>
      </c>
      <c r="CY7" s="247">
        <f t="shared" si="6"/>
      </c>
      <c r="CZ7" s="275"/>
    </row>
    <row r="8" spans="1:104" s="276" customFormat="1">
      <c r="A8" s="646"/>
      <c r="B8" s="647"/>
      <c r="C8" s="647"/>
      <c r="D8" s="647"/>
      <c r="E8" s="647"/>
      <c r="F8" s="647"/>
      <c r="G8" s="647"/>
      <c r="H8" s="647"/>
      <c r="I8" s="647"/>
      <c r="J8" s="647"/>
      <c r="K8" s="647"/>
      <c r="L8" s="647"/>
      <c r="M8" s="647"/>
      <c r="N8" s="647"/>
      <c r="O8" s="647"/>
      <c r="P8" s="647"/>
      <c r="Q8" s="647"/>
      <c r="R8" s="647"/>
      <c r="S8" s="647"/>
      <c r="T8" s="647"/>
      <c r="U8" s="647"/>
      <c r="V8" s="647"/>
      <c r="W8" s="647"/>
      <c r="X8" s="647"/>
      <c r="Y8" s="647"/>
      <c r="Z8" s="647"/>
      <c r="AA8" s="647"/>
      <c r="AB8" s="647"/>
      <c r="AC8" s="647"/>
      <c r="AD8" s="647"/>
      <c r="AE8" s="647"/>
      <c r="AF8" s="647"/>
      <c r="AG8" s="647"/>
      <c r="AH8" s="647"/>
      <c r="AI8" s="647"/>
      <c r="AJ8" s="647"/>
      <c r="AK8" s="647"/>
      <c r="AL8" s="647"/>
      <c r="AM8" s="647"/>
      <c r="AN8" s="648"/>
      <c r="AO8" s="648"/>
      <c r="AP8" s="648"/>
      <c r="AQ8" s="648"/>
      <c r="AR8" s="648"/>
      <c r="AS8" s="648"/>
      <c r="AT8" s="647"/>
      <c r="AU8" s="647"/>
      <c r="AV8" s="647"/>
      <c r="AW8" s="647"/>
      <c r="AX8" s="647"/>
      <c r="AY8" s="647"/>
      <c r="AZ8" s="647"/>
      <c r="BA8" s="647"/>
      <c r="BB8" s="647"/>
      <c r="BC8" s="647"/>
      <c r="BD8" s="647"/>
      <c r="BE8" s="647"/>
      <c r="BF8" s="647"/>
      <c r="BG8" s="647"/>
      <c r="BH8" s="647"/>
      <c r="BI8" s="647"/>
      <c r="BJ8" s="647"/>
      <c r="BK8" s="647"/>
      <c r="BL8" s="647"/>
      <c r="BM8" s="647"/>
      <c r="BN8" s="647"/>
      <c r="BO8" s="647"/>
      <c r="BP8" s="647"/>
      <c r="BQ8" s="647"/>
      <c r="BR8" s="647"/>
      <c r="BS8" s="647"/>
      <c r="BT8" s="647"/>
      <c r="BU8" s="647"/>
      <c r="BV8" s="647"/>
      <c r="BW8" s="647"/>
      <c r="BX8" s="647"/>
      <c r="BY8" s="647"/>
      <c r="BZ8" s="647"/>
      <c r="CA8" s="647"/>
      <c r="CB8" s="647"/>
      <c r="CC8" s="647"/>
      <c r="CD8" s="649"/>
      <c r="CE8" s="646"/>
      <c r="CF8" s="650"/>
      <c r="CG8" s="650"/>
      <c r="CH8" s="650"/>
      <c r="CI8" s="650"/>
      <c r="CJ8" s="650"/>
      <c r="CK8" s="650"/>
      <c r="CL8" s="650"/>
      <c r="CM8" s="650"/>
      <c r="CN8" s="294"/>
      <c r="CO8" s="294"/>
      <c r="CP8" s="294"/>
      <c r="CQ8" s="294"/>
      <c r="CR8" s="294"/>
      <c r="CS8" s="294"/>
      <c r="CT8" s="294"/>
      <c r="CU8" s="294"/>
      <c r="CV8" s="294"/>
      <c r="CW8" s="294"/>
      <c r="CX8" s="294"/>
      <c r="CY8" s="294"/>
      <c r="CZ8" s="275"/>
    </row>
    <row r="9" spans="1:104" s="276" customFormat="1">
      <c r="A9" s="621" t="s">
        <v>226</v>
      </c>
      <c r="B9" s="238"/>
      <c r="C9" s="238"/>
      <c r="D9" s="238"/>
      <c r="E9" s="238"/>
      <c r="F9" s="238"/>
      <c r="G9" s="238"/>
      <c r="H9" s="238"/>
      <c r="I9" s="238"/>
      <c r="J9" s="238"/>
      <c r="K9" s="238"/>
      <c r="L9" s="238"/>
      <c r="M9" s="238"/>
      <c r="N9" s="238"/>
      <c r="O9" s="238"/>
      <c r="P9" s="238"/>
      <c r="Q9" s="238"/>
      <c r="R9" s="238"/>
      <c r="S9" s="238"/>
      <c r="T9" s="238"/>
      <c r="U9" s="238"/>
      <c r="V9" s="238"/>
      <c r="W9" s="238"/>
      <c r="X9" s="238"/>
      <c r="Y9" s="238"/>
      <c r="Z9" s="235">
        <f t="shared" ref="Z9:BR9" si="7">Z5-Z12</f>
      </c>
      <c r="AA9" s="235">
        <f t="shared" si="7"/>
      </c>
      <c r="AB9" s="235">
        <f t="shared" si="7"/>
      </c>
      <c r="AC9" s="235">
        <f t="shared" si="7"/>
      </c>
      <c r="AD9" s="235">
        <f t="shared" si="7"/>
      </c>
      <c r="AE9" s="235">
        <f t="shared" si="7"/>
      </c>
      <c r="AF9" s="235">
        <f t="shared" si="7"/>
      </c>
      <c r="AG9" s="235">
        <f t="shared" si="7"/>
      </c>
      <c r="AH9" s="235">
        <f t="shared" si="7"/>
      </c>
      <c r="AI9" s="235">
        <f t="shared" si="7"/>
      </c>
      <c r="AJ9" s="235">
        <f t="shared" si="7"/>
      </c>
      <c r="AK9" s="235">
        <f t="shared" si="7"/>
      </c>
      <c r="AL9" s="235">
        <f t="shared" si="7"/>
      </c>
      <c r="AM9" s="235">
        <f t="shared" si="7"/>
      </c>
      <c r="AN9" s="235">
        <f t="shared" si="7"/>
      </c>
      <c r="AO9" s="235">
        <f t="shared" si="7"/>
      </c>
      <c r="AP9" s="235">
        <f t="shared" si="7"/>
      </c>
      <c r="AQ9" s="235">
        <f t="shared" si="7"/>
      </c>
      <c r="AR9" s="235">
        <f t="shared" si="7"/>
      </c>
      <c r="AS9" s="235">
        <f t="shared" si="7"/>
      </c>
      <c r="AT9" s="235">
        <f t="shared" si="7"/>
      </c>
      <c r="AU9" s="235">
        <f t="shared" si="7"/>
      </c>
      <c r="AV9" s="235">
        <f t="shared" si="7"/>
      </c>
      <c r="AW9" s="235">
        <f t="shared" si="7"/>
      </c>
      <c r="AX9" s="235">
        <f t="shared" si="7"/>
      </c>
      <c r="AY9" s="235">
        <f t="shared" si="7"/>
      </c>
      <c r="AZ9" s="235">
        <f t="shared" si="7"/>
      </c>
      <c r="BA9" s="235">
        <f t="shared" si="7"/>
      </c>
      <c r="BB9" s="235">
        <f t="shared" si="7"/>
      </c>
      <c r="BC9" s="235">
        <f t="shared" si="7"/>
      </c>
      <c r="BD9" s="235">
        <f t="shared" si="7"/>
      </c>
      <c r="BE9" s="235">
        <f t="shared" si="7"/>
      </c>
      <c r="BF9" s="235">
        <f t="shared" si="7"/>
      </c>
      <c r="BG9" s="235">
        <f t="shared" si="7"/>
      </c>
      <c r="BH9" s="235">
        <f t="shared" si="7"/>
      </c>
      <c r="BI9" s="235">
        <f t="shared" si="7"/>
      </c>
      <c r="BJ9" s="235">
        <f t="shared" si="7"/>
      </c>
      <c r="BK9" s="235">
        <f t="shared" si="7"/>
      </c>
      <c r="BL9" s="235">
        <f t="shared" si="7"/>
      </c>
      <c r="BM9" s="235">
        <f t="shared" si="7"/>
      </c>
      <c r="BN9" s="235">
        <f t="shared" si="7"/>
      </c>
      <c r="BO9" s="235">
        <f t="shared" si="7"/>
      </c>
      <c r="BP9" s="235">
        <f t="shared" si="7"/>
      </c>
      <c r="BQ9" s="235">
        <f t="shared" si="7"/>
      </c>
      <c r="BR9" s="235">
        <f t="shared" si="7"/>
      </c>
      <c r="BS9" s="235">
        <f t="shared" ref="BS9:BY9" si="8">BR9*(1+BS10)</f>
      </c>
      <c r="BT9" s="236">
        <f t="shared" si="8"/>
      </c>
      <c r="BU9" s="236">
        <f t="shared" si="8"/>
      </c>
      <c r="BV9" s="236">
        <f t="shared" si="8"/>
      </c>
      <c r="BW9" s="236">
        <f t="shared" si="8"/>
      </c>
      <c r="BX9" s="236">
        <f t="shared" si="8"/>
      </c>
      <c r="BY9" s="236">
        <f t="shared" si="8"/>
      </c>
      <c r="BZ9" s="236">
        <f>BY9*(1+BZ10)</f>
      </c>
      <c r="CA9" s="236">
        <f>BZ9*(1+CA10)</f>
      </c>
      <c r="CB9" s="236">
        <f>CA9*(1+CB10)</f>
      </c>
      <c r="CC9" s="236">
        <f>CB9*(1+CC10)</f>
      </c>
      <c r="CD9" s="275"/>
      <c r="CE9" s="63"/>
      <c r="CL9" s="235">
        <f>SUM(Z9:AC9)</f>
      </c>
      <c r="CM9" s="235">
        <f>SUM(AD9:AG9)</f>
      </c>
      <c r="CN9" s="235">
        <f>SUM(AH9:AK9)</f>
      </c>
      <c r="CO9" s="235">
        <f>SUM(AL9:AO9)</f>
      </c>
      <c r="CP9" s="235">
        <f>SUM(AP9:AS9)</f>
      </c>
      <c r="CQ9" s="235">
        <f>AT9+AU9+AV9+AW9</f>
      </c>
      <c r="CR9" s="235">
        <f>AX9+AY9+AZ9+BA9</f>
      </c>
      <c r="CS9" s="235">
        <f>BB9+BC9+BD9+BE9</f>
      </c>
      <c r="CT9" s="235">
        <f>+SUM(BF9:BI9)</f>
      </c>
      <c r="CU9" s="235">
        <f>+SUM(BJ9:BM9)</f>
      </c>
      <c r="CV9" s="235">
        <f>+SUM(BN9:BQ9)</f>
      </c>
      <c r="CW9" s="236">
        <f>+SUM(BR9:BU9)</f>
      </c>
      <c r="CX9" s="236">
        <f>SUM(BV9:BY9)</f>
      </c>
      <c r="CY9" s="236">
        <f>SUM(BZ9:CC9)</f>
      </c>
      <c r="CZ9" s="275"/>
    </row>
    <row r="10" spans="1:104" s="276" customFormat="1">
      <c r="A10" s="277" t="s">
        <v>196</v>
      </c>
      <c r="B10" s="238"/>
      <c r="C10" s="238"/>
      <c r="D10" s="238"/>
      <c r="E10" s="238"/>
      <c r="F10" s="238"/>
      <c r="G10" s="238"/>
      <c r="H10" s="238"/>
      <c r="I10" s="238"/>
      <c r="J10" s="238"/>
      <c r="K10" s="238"/>
      <c r="L10" s="238"/>
      <c r="M10" s="238"/>
      <c r="N10" s="238"/>
      <c r="O10" s="238"/>
      <c r="P10" s="238"/>
      <c r="Q10" s="238"/>
      <c r="R10" s="238"/>
      <c r="S10" s="238"/>
      <c r="T10" s="238"/>
      <c r="U10" s="238"/>
      <c r="V10" s="238"/>
      <c r="W10" s="238"/>
      <c r="X10" s="238"/>
      <c r="Y10" s="238"/>
      <c r="Z10" s="239"/>
      <c r="AA10" s="238">
        <f t="shared" ref="AA10:BN10" si="9">AA9/Z9-1</f>
      </c>
      <c r="AB10" s="238">
        <f t="shared" si="9"/>
      </c>
      <c r="AC10" s="238">
        <f t="shared" si="9"/>
      </c>
      <c r="AD10" s="238">
        <f t="shared" si="9"/>
      </c>
      <c r="AE10" s="238">
        <f t="shared" si="9"/>
      </c>
      <c r="AF10" s="238">
        <f t="shared" si="9"/>
      </c>
      <c r="AG10" s="238">
        <f t="shared" si="9"/>
      </c>
      <c r="AH10" s="238">
        <f t="shared" si="9"/>
      </c>
      <c r="AI10" s="238">
        <f t="shared" si="9"/>
      </c>
      <c r="AJ10" s="238">
        <f t="shared" si="9"/>
      </c>
      <c r="AK10" s="238">
        <f t="shared" si="9"/>
      </c>
      <c r="AL10" s="238">
        <f t="shared" si="9"/>
      </c>
      <c r="AM10" s="238">
        <f t="shared" si="9"/>
      </c>
      <c r="AN10" s="238">
        <f t="shared" si="9"/>
      </c>
      <c r="AO10" s="238">
        <f t="shared" si="9"/>
      </c>
      <c r="AP10" s="238">
        <f t="shared" si="9"/>
      </c>
      <c r="AQ10" s="238">
        <f t="shared" si="9"/>
      </c>
      <c r="AR10" s="238">
        <f t="shared" si="9"/>
      </c>
      <c r="AS10" s="238">
        <f t="shared" si="9"/>
      </c>
      <c r="AT10" s="238">
        <f t="shared" si="9"/>
      </c>
      <c r="AU10" s="238">
        <f t="shared" si="9"/>
      </c>
      <c r="AV10" s="238">
        <f t="shared" si="9"/>
      </c>
      <c r="AW10" s="238">
        <f t="shared" si="9"/>
      </c>
      <c r="AX10" s="238">
        <f t="shared" si="9"/>
      </c>
      <c r="AY10" s="238">
        <f t="shared" si="9"/>
      </c>
      <c r="AZ10" s="238">
        <f t="shared" si="9"/>
      </c>
      <c r="BA10" s="238">
        <f t="shared" si="9"/>
      </c>
      <c r="BB10" s="238">
        <f t="shared" si="9"/>
      </c>
      <c r="BC10" s="238">
        <f t="shared" si="9"/>
      </c>
      <c r="BD10" s="238">
        <f t="shared" si="9"/>
      </c>
      <c r="BE10" s="238">
        <f t="shared" si="9"/>
      </c>
      <c r="BF10" s="238">
        <f t="shared" si="9"/>
      </c>
      <c r="BG10" s="238">
        <f t="shared" si="9"/>
      </c>
      <c r="BH10" s="238">
        <f t="shared" si="9"/>
      </c>
      <c r="BI10" s="238">
        <f t="shared" si="9"/>
      </c>
      <c r="BJ10" s="238">
        <f t="shared" si="9"/>
      </c>
      <c r="BK10" s="238">
        <f t="shared" si="9"/>
      </c>
      <c r="BL10" s="238">
        <f t="shared" si="9"/>
      </c>
      <c r="BM10" s="238">
        <f t="shared" si="9"/>
      </c>
      <c r="BN10" s="238">
        <f t="shared" si="9"/>
      </c>
      <c r="BO10" s="238">
        <v>0.05</v>
      </c>
      <c r="BP10" s="238">
        <v>5.3499999999999999E-2</v>
      </c>
      <c r="BQ10" s="238">
        <v>-0.2</v>
      </c>
      <c r="BR10" s="238">
        <v>0.35</v>
      </c>
      <c r="BS10" s="238">
        <v>3.7999999999999999E-2</v>
      </c>
      <c r="BT10" s="239">
        <v>0.04</v>
      </c>
      <c r="BU10" s="239">
        <v>0.03</v>
      </c>
      <c r="BV10" s="239">
        <v>-0.11</v>
      </c>
      <c r="BW10" s="239">
        <v>0.04</v>
      </c>
      <c r="BX10" s="239">
        <v>7.0000000000000007E-2</v>
      </c>
      <c r="BY10" s="239">
        <v>0.05</v>
      </c>
      <c r="BZ10" s="239">
        <v>-0.12</v>
      </c>
      <c r="CA10" s="239">
        <v>0.04</v>
      </c>
      <c r="CB10" s="239">
        <v>0.06</v>
      </c>
      <c r="CC10" s="239">
        <v>0.04</v>
      </c>
      <c r="CD10" s="275"/>
      <c r="CE10" s="63"/>
      <c r="CL10" s="651"/>
      <c r="CM10" s="651"/>
      <c r="CN10" s="651"/>
      <c r="CO10" s="245"/>
      <c r="CP10" s="245"/>
      <c r="CQ10" s="245"/>
      <c r="CR10" s="245"/>
      <c r="CS10" s="278"/>
      <c r="CT10" s="278"/>
      <c r="CU10" s="278"/>
      <c r="CV10" s="278"/>
      <c r="CZ10" s="275"/>
    </row>
    <row r="11" spans="1:104" s="276" customFormat="1">
      <c r="A11" s="277" t="s">
        <v>198</v>
      </c>
      <c r="B11" s="238"/>
      <c r="C11" s="238"/>
      <c r="D11" s="238"/>
      <c r="E11" s="238"/>
      <c r="F11" s="238"/>
      <c r="G11" s="238"/>
      <c r="H11" s="238"/>
      <c r="I11" s="238"/>
      <c r="J11" s="238"/>
      <c r="K11" s="238"/>
      <c r="L11" s="238"/>
      <c r="M11" s="238"/>
      <c r="N11" s="238"/>
      <c r="O11" s="238"/>
      <c r="P11" s="238"/>
      <c r="Q11" s="238"/>
      <c r="R11" s="238"/>
      <c r="S11" s="238"/>
      <c r="T11" s="238"/>
      <c r="U11" s="238"/>
      <c r="V11" s="238"/>
      <c r="W11" s="238"/>
      <c r="X11" s="238"/>
      <c r="Y11" s="238"/>
      <c r="Z11" s="239"/>
      <c r="AA11" s="238"/>
      <c r="AB11" s="238"/>
      <c r="AC11" s="238"/>
      <c r="AD11" s="238">
        <v>0.34</v>
      </c>
      <c r="AE11" s="238">
        <f t="shared" ref="AE11:CC11" si="10">AE9/AA9-1</f>
      </c>
      <c r="AF11" s="238">
        <f t="shared" si="10"/>
      </c>
      <c r="AG11" s="238">
        <f t="shared" si="10"/>
      </c>
      <c r="AH11" s="238">
        <f t="shared" si="10"/>
      </c>
      <c r="AI11" s="238">
        <f t="shared" si="10"/>
      </c>
      <c r="AJ11" s="238">
        <f t="shared" si="10"/>
      </c>
      <c r="AK11" s="238">
        <f t="shared" si="10"/>
      </c>
      <c r="AL11" s="238">
        <f t="shared" si="10"/>
      </c>
      <c r="AM11" s="238">
        <f t="shared" si="10"/>
      </c>
      <c r="AN11" s="238">
        <f t="shared" si="10"/>
      </c>
      <c r="AO11" s="238">
        <f t="shared" si="10"/>
      </c>
      <c r="AP11" s="238">
        <f t="shared" si="10"/>
      </c>
      <c r="AQ11" s="238">
        <f t="shared" si="10"/>
      </c>
      <c r="AR11" s="238">
        <f t="shared" si="10"/>
      </c>
      <c r="AS11" s="238">
        <f t="shared" si="10"/>
      </c>
      <c r="AT11" s="238">
        <f t="shared" si="10"/>
      </c>
      <c r="AU11" s="238">
        <f t="shared" si="10"/>
      </c>
      <c r="AV11" s="238">
        <f t="shared" si="10"/>
      </c>
      <c r="AW11" s="238">
        <f t="shared" si="10"/>
      </c>
      <c r="AX11" s="238">
        <f t="shared" si="10"/>
      </c>
      <c r="AY11" s="238">
        <f t="shared" si="10"/>
      </c>
      <c r="AZ11" s="238">
        <f t="shared" si="10"/>
      </c>
      <c r="BA11" s="238">
        <f t="shared" si="10"/>
      </c>
      <c r="BB11" s="238">
        <f t="shared" si="10"/>
      </c>
      <c r="BC11" s="238">
        <f t="shared" si="10"/>
      </c>
      <c r="BD11" s="238">
        <f t="shared" si="10"/>
      </c>
      <c r="BE11" s="238">
        <f t="shared" si="10"/>
      </c>
      <c r="BF11" s="238">
        <f t="shared" si="10"/>
      </c>
      <c r="BG11" s="238">
        <f t="shared" si="10"/>
      </c>
      <c r="BH11" s="238">
        <f t="shared" si="10"/>
      </c>
      <c r="BI11" s="238">
        <f t="shared" si="10"/>
      </c>
      <c r="BJ11" s="238">
        <f t="shared" si="10"/>
      </c>
      <c r="BK11" s="238">
        <f t="shared" si="10"/>
      </c>
      <c r="BL11" s="238">
        <f t="shared" si="10"/>
      </c>
      <c r="BM11" s="238">
        <f t="shared" si="10"/>
      </c>
      <c r="BN11" s="238">
        <f t="shared" si="10"/>
      </c>
      <c r="BO11" s="238">
        <f t="shared" si="10"/>
      </c>
      <c r="BP11" s="238">
        <f t="shared" si="10"/>
      </c>
      <c r="BQ11" s="238">
        <f t="shared" si="10"/>
      </c>
      <c r="BR11" s="238">
        <f t="shared" si="10"/>
      </c>
      <c r="BS11" s="238">
        <f t="shared" si="10"/>
      </c>
      <c r="BT11" s="239">
        <f t="shared" si="10"/>
      </c>
      <c r="BU11" s="239">
        <f t="shared" si="10"/>
      </c>
      <c r="BV11" s="239">
        <f t="shared" si="10"/>
      </c>
      <c r="BW11" s="239">
        <f t="shared" si="10"/>
      </c>
      <c r="BX11" s="239">
        <f t="shared" si="10"/>
      </c>
      <c r="BY11" s="239">
        <f t="shared" si="10"/>
      </c>
      <c r="BZ11" s="239">
        <f t="shared" si="10"/>
      </c>
      <c r="CA11" s="239">
        <f t="shared" si="10"/>
      </c>
      <c r="CB11" s="239">
        <f t="shared" si="10"/>
      </c>
      <c r="CC11" s="239">
        <f t="shared" si="10"/>
      </c>
      <c r="CD11" s="275"/>
      <c r="CE11" s="63"/>
      <c r="CL11" s="651"/>
      <c r="CM11" s="238">
        <f t="shared" ref="CM11:CY11" si="11">CM9/CL9-1</f>
      </c>
      <c r="CN11" s="238">
        <f t="shared" si="11"/>
      </c>
      <c r="CO11" s="238">
        <f t="shared" si="11"/>
      </c>
      <c r="CP11" s="238">
        <f t="shared" si="11"/>
      </c>
      <c r="CQ11" s="238">
        <f t="shared" si="11"/>
      </c>
      <c r="CR11" s="238">
        <f t="shared" si="11"/>
      </c>
      <c r="CS11" s="238">
        <f t="shared" si="11"/>
      </c>
      <c r="CT11" s="238">
        <f t="shared" si="11"/>
      </c>
      <c r="CU11" s="238">
        <f t="shared" si="11"/>
      </c>
      <c r="CV11" s="238">
        <f t="shared" si="11"/>
      </c>
      <c r="CW11" s="247">
        <f t="shared" si="11"/>
      </c>
      <c r="CX11" s="247">
        <f t="shared" si="11"/>
      </c>
      <c r="CY11" s="247">
        <f t="shared" si="11"/>
      </c>
      <c r="CZ11" s="275"/>
    </row>
    <row r="12" spans="1:104" s="276" customFormat="1">
      <c r="A12" s="621" t="s">
        <v>230</v>
      </c>
      <c r="B12" s="238"/>
      <c r="C12" s="238"/>
      <c r="D12" s="238"/>
      <c r="E12" s="238"/>
      <c r="F12" s="238"/>
      <c r="G12" s="238"/>
      <c r="H12" s="238"/>
      <c r="I12" s="238"/>
      <c r="J12" s="238"/>
      <c r="K12" s="238"/>
      <c r="L12" s="238"/>
      <c r="M12" s="238"/>
      <c r="N12" s="238"/>
      <c r="O12" s="238"/>
      <c r="P12" s="238"/>
      <c r="Q12" s="238"/>
      <c r="R12" s="238"/>
      <c r="S12" s="238"/>
      <c r="T12" s="238"/>
      <c r="U12" s="238"/>
      <c r="V12" s="238"/>
      <c r="W12" s="238"/>
      <c r="X12" s="238"/>
      <c r="Y12" s="238"/>
      <c r="Z12" s="239"/>
      <c r="AA12" s="239"/>
      <c r="AB12" s="239"/>
      <c r="AC12" s="239"/>
      <c r="AD12" s="239"/>
      <c r="AE12" s="239"/>
      <c r="AF12" s="239"/>
      <c r="AG12" s="239"/>
      <c r="AH12" s="239"/>
      <c r="AI12" s="239"/>
      <c r="AJ12" s="239"/>
      <c r="AK12" s="239"/>
      <c r="AL12" s="235">
        <f t="shared" ref="AL12:AQ12" si="12">AL37/AL28*1000</f>
      </c>
      <c r="AM12" s="235">
        <f t="shared" si="12"/>
      </c>
      <c r="AN12" s="235">
        <f t="shared" si="12"/>
      </c>
      <c r="AO12" s="235">
        <f t="shared" si="12"/>
      </c>
      <c r="AP12" s="235">
        <f t="shared" si="12"/>
      </c>
      <c r="AQ12" s="235">
        <f t="shared" si="12"/>
      </c>
      <c r="AR12" s="235">
        <f t="shared" ref="AR12:BB12" si="13">AQ12*(1+AR13)</f>
      </c>
      <c r="AS12" s="235">
        <f t="shared" si="13"/>
      </c>
      <c r="AT12" s="235">
        <f t="shared" si="13"/>
      </c>
      <c r="AU12" s="235">
        <f t="shared" si="13"/>
      </c>
      <c r="AV12" s="235">
        <f t="shared" si="13"/>
      </c>
      <c r="AW12" s="235">
        <f t="shared" si="13"/>
      </c>
      <c r="AX12" s="235">
        <f t="shared" si="13"/>
      </c>
      <c r="AY12" s="235">
        <f t="shared" si="13"/>
      </c>
      <c r="AZ12" s="235">
        <f t="shared" si="13"/>
      </c>
      <c r="BA12" s="235">
        <v>668</v>
      </c>
      <c r="BB12" s="235">
        <f t="shared" si="13"/>
      </c>
      <c r="BC12" s="235">
        <f>BB12*(1+BC13)</f>
      </c>
      <c r="BD12" s="235">
        <f>BC12*(1+BD13)</f>
      </c>
      <c r="BE12" s="235">
        <f>BD12*(1+BE13)</f>
      </c>
      <c r="BF12" s="235">
        <f t="shared" ref="BF12:CC12" si="14">BE12*(1+BF13)</f>
      </c>
      <c r="BG12" s="235">
        <f t="shared" si="14"/>
      </c>
      <c r="BH12" s="235">
        <f t="shared" si="14"/>
      </c>
      <c r="BI12" s="235">
        <f t="shared" si="14"/>
      </c>
      <c r="BJ12" s="235">
        <f t="shared" si="14"/>
      </c>
      <c r="BK12" s="235">
        <f t="shared" si="14"/>
      </c>
      <c r="BL12" s="235">
        <f t="shared" si="14"/>
      </c>
      <c r="BM12" s="235">
        <f t="shared" si="14"/>
      </c>
      <c r="BN12" s="235">
        <f t="shared" si="14"/>
      </c>
      <c r="BO12" s="235">
        <f t="shared" si="14"/>
      </c>
      <c r="BP12" s="235">
        <f t="shared" si="14"/>
      </c>
      <c r="BQ12" s="235">
        <f t="shared" si="14"/>
      </c>
      <c r="BR12" s="235">
        <f t="shared" si="14"/>
      </c>
      <c r="BS12" s="235">
        <f t="shared" si="14"/>
      </c>
      <c r="BT12" s="236">
        <f t="shared" si="14"/>
      </c>
      <c r="BU12" s="236">
        <f t="shared" si="14"/>
      </c>
      <c r="BV12" s="236">
        <f t="shared" si="14"/>
      </c>
      <c r="BW12" s="236">
        <f t="shared" si="14"/>
      </c>
      <c r="BX12" s="236">
        <f t="shared" si="14"/>
      </c>
      <c r="BY12" s="236">
        <f t="shared" si="14"/>
      </c>
      <c r="BZ12" s="236">
        <f t="shared" si="14"/>
      </c>
      <c r="CA12" s="236">
        <f t="shared" si="14"/>
      </c>
      <c r="CB12" s="236">
        <f t="shared" si="14"/>
      </c>
      <c r="CC12" s="236">
        <f t="shared" si="14"/>
      </c>
      <c r="CD12" s="275"/>
      <c r="CE12" s="63"/>
      <c r="CL12" s="235">
        <f>SUM(Z12:AC12)</f>
      </c>
      <c r="CM12" s="235">
        <f>SUM(AD12:AG12)</f>
      </c>
      <c r="CN12" s="235">
        <f>SUM(AH12:AK12)</f>
      </c>
      <c r="CO12" s="235">
        <f>SUM(AL12:AO12)</f>
      </c>
      <c r="CP12" s="235">
        <f>SUM(AP12:AS12)</f>
      </c>
      <c r="CQ12" s="235">
        <f>AT12+AU12+AV12+AW12</f>
      </c>
      <c r="CR12" s="235">
        <f>AX12+AY12+AZ12+BA12</f>
      </c>
      <c r="CS12" s="235">
        <f>BB12+BC12+BD12+BE12</f>
      </c>
      <c r="CT12" s="235">
        <f>+SUM(BF12:BI12)</f>
      </c>
      <c r="CU12" s="235">
        <f>+SUM(BJ12:BM12)</f>
      </c>
      <c r="CV12" s="235">
        <f>+SUM(BN12:BQ12)</f>
      </c>
      <c r="CW12" s="236">
        <f>+SUM(BR12:BU12)</f>
      </c>
      <c r="CX12" s="236">
        <f>+SUM(BS12:BV12)</f>
      </c>
      <c r="CY12" s="236">
        <f>+SUM(BT12:BW12)</f>
      </c>
      <c r="CZ12" s="275"/>
    </row>
    <row r="13" spans="1:104" s="276" customFormat="1">
      <c r="A13" s="277" t="s">
        <v>196</v>
      </c>
      <c r="B13" s="238"/>
      <c r="C13" s="238"/>
      <c r="D13" s="238"/>
      <c r="E13" s="238"/>
      <c r="F13" s="238"/>
      <c r="G13" s="238"/>
      <c r="H13" s="238"/>
      <c r="I13" s="238"/>
      <c r="J13" s="238"/>
      <c r="K13" s="238"/>
      <c r="L13" s="238"/>
      <c r="M13" s="238"/>
      <c r="N13" s="238"/>
      <c r="O13" s="238"/>
      <c r="P13" s="238"/>
      <c r="Q13" s="238"/>
      <c r="R13" s="238"/>
      <c r="S13" s="238"/>
      <c r="T13" s="238"/>
      <c r="U13" s="238"/>
      <c r="V13" s="238"/>
      <c r="W13" s="238"/>
      <c r="X13" s="238"/>
      <c r="Y13" s="238"/>
      <c r="Z13" s="239"/>
      <c r="AA13" s="239"/>
      <c r="AB13" s="239"/>
      <c r="AC13" s="239"/>
      <c r="AD13" s="239"/>
      <c r="AE13" s="239"/>
      <c r="AF13" s="239"/>
      <c r="AG13" s="239"/>
      <c r="AH13" s="239"/>
      <c r="AI13" s="239"/>
      <c r="AJ13" s="239"/>
      <c r="AK13" s="239"/>
      <c r="AL13" s="238"/>
      <c r="AM13" s="238"/>
      <c r="AN13" s="238"/>
      <c r="AO13" s="238">
        <f>AO12/AN12-1</f>
      </c>
      <c r="AP13" s="238">
        <f>AP12/AO12-1</f>
      </c>
      <c r="AQ13" s="238">
        <f>AQ12/AP12-1</f>
      </c>
      <c r="AR13" s="238">
        <v>-1</v>
      </c>
      <c r="AS13" s="238">
        <v>0</v>
      </c>
      <c r="AT13" s="238">
        <v>0</v>
      </c>
      <c r="AU13" s="238">
        <v>0</v>
      </c>
      <c r="AV13" s="238">
        <v>0</v>
      </c>
      <c r="AW13" s="238">
        <v>0</v>
      </c>
      <c r="AX13" s="238">
        <v>0</v>
      </c>
      <c r="AY13" s="238">
        <v>0</v>
      </c>
      <c r="AZ13" s="238">
        <v>0</v>
      </c>
      <c r="BA13" s="238">
        <v>0</v>
      </c>
      <c r="BB13" s="238">
        <v>0.745</v>
      </c>
      <c r="BC13" s="238">
        <v>0</v>
      </c>
      <c r="BD13" s="238">
        <v>-0.5</v>
      </c>
      <c r="BE13" s="238">
        <v>-0.75</v>
      </c>
      <c r="BF13" s="238">
        <v>-1</v>
      </c>
      <c r="BG13" s="238">
        <v>0</v>
      </c>
      <c r="BH13" s="238">
        <v>0</v>
      </c>
      <c r="BI13" s="238">
        <v>0</v>
      </c>
      <c r="BJ13" s="238">
        <v>0</v>
      </c>
      <c r="BK13" s="238">
        <v>0</v>
      </c>
      <c r="BL13" s="238">
        <v>0</v>
      </c>
      <c r="BM13" s="238">
        <v>0</v>
      </c>
      <c r="BN13" s="238">
        <v>0</v>
      </c>
      <c r="BO13" s="238">
        <v>0</v>
      </c>
      <c r="BP13" s="238">
        <v>0</v>
      </c>
      <c r="BQ13" s="238">
        <v>0</v>
      </c>
      <c r="BR13" s="238">
        <v>0</v>
      </c>
      <c r="BS13" s="238">
        <v>0</v>
      </c>
      <c r="BT13" s="239">
        <v>0</v>
      </c>
      <c r="BU13" s="239">
        <v>0</v>
      </c>
      <c r="BV13" s="239">
        <v>0</v>
      </c>
      <c r="BW13" s="239">
        <v>0</v>
      </c>
      <c r="BX13" s="239">
        <v>0</v>
      </c>
      <c r="BY13" s="239">
        <v>0</v>
      </c>
      <c r="BZ13" s="239">
        <v>0</v>
      </c>
      <c r="CA13" s="239">
        <v>0</v>
      </c>
      <c r="CB13" s="239">
        <v>0</v>
      </c>
      <c r="CC13" s="239">
        <v>0</v>
      </c>
      <c r="CD13" s="275"/>
      <c r="CE13" s="63"/>
      <c r="CL13" s="651"/>
      <c r="CM13" s="651"/>
      <c r="CN13" s="651"/>
      <c r="CO13" s="651"/>
      <c r="CP13" s="651"/>
      <c r="CQ13" s="651"/>
      <c r="CR13" s="651"/>
      <c r="CS13" s="652"/>
      <c r="CT13" s="652"/>
      <c r="CU13" s="652"/>
      <c r="CV13" s="652"/>
      <c r="CW13" s="652"/>
      <c r="CX13" s="652"/>
      <c r="CY13" s="652"/>
      <c r="CZ13" s="275"/>
    </row>
    <row r="14" spans="1:104" s="276" customFormat="1">
      <c r="A14" s="277" t="s">
        <v>198</v>
      </c>
      <c r="B14" s="238"/>
      <c r="C14" s="238"/>
      <c r="D14" s="238"/>
      <c r="E14" s="238"/>
      <c r="F14" s="238"/>
      <c r="G14" s="238"/>
      <c r="H14" s="238"/>
      <c r="I14" s="238"/>
      <c r="J14" s="238"/>
      <c r="K14" s="238"/>
      <c r="L14" s="238"/>
      <c r="M14" s="238"/>
      <c r="N14" s="238"/>
      <c r="O14" s="238"/>
      <c r="P14" s="238"/>
      <c r="Q14" s="238"/>
      <c r="R14" s="238"/>
      <c r="S14" s="238"/>
      <c r="T14" s="238"/>
      <c r="U14" s="238"/>
      <c r="V14" s="238"/>
      <c r="W14" s="238"/>
      <c r="X14" s="238"/>
      <c r="Y14" s="238"/>
      <c r="Z14" s="239"/>
      <c r="AA14" s="239"/>
      <c r="AB14" s="239"/>
      <c r="AC14" s="239"/>
      <c r="AD14" s="239"/>
      <c r="AE14" s="239"/>
      <c r="AF14" s="239"/>
      <c r="AG14" s="239"/>
      <c r="AH14" s="239"/>
      <c r="AI14" s="239"/>
      <c r="AJ14" s="239"/>
      <c r="AK14" s="239"/>
      <c r="AL14" s="238"/>
      <c r="AM14" s="238"/>
      <c r="AN14" s="238"/>
      <c r="AO14" s="238"/>
      <c r="AP14" s="239"/>
      <c r="AQ14" s="239"/>
      <c r="AR14" s="238">
        <f>AR12/AN12-1</f>
      </c>
      <c r="AS14" s="238">
        <f>AS12/AO12-1</f>
      </c>
      <c r="AT14" s="238">
        <f>AT12/AP12-1</f>
      </c>
      <c r="AU14" s="238"/>
      <c r="AV14" s="239"/>
      <c r="AW14" s="239"/>
      <c r="AX14" s="239"/>
      <c r="AY14" s="239"/>
      <c r="AZ14" s="239"/>
      <c r="BA14" s="239"/>
      <c r="BB14" s="239"/>
      <c r="BC14" s="239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  <c r="BV14" s="37"/>
      <c r="BW14" s="37"/>
      <c r="BX14" s="37"/>
      <c r="BY14" s="37"/>
      <c r="BZ14" s="37"/>
      <c r="CA14" s="37"/>
      <c r="CB14" s="37"/>
      <c r="CC14" s="37"/>
      <c r="CD14" s="275"/>
      <c r="CE14" s="63"/>
      <c r="CL14" s="651"/>
      <c r="CM14" s="238"/>
      <c r="CN14" s="238"/>
      <c r="CO14" s="238"/>
      <c r="CP14" s="238">
        <f>CP12/CO12-1</f>
      </c>
      <c r="CQ14" s="238">
        <f>CQ12/CP12-1</f>
      </c>
      <c r="CR14" s="238"/>
      <c r="CS14" s="239"/>
      <c r="CT14" s="239"/>
      <c r="CU14" s="239"/>
      <c r="CV14" s="239"/>
      <c r="CW14" s="239"/>
      <c r="CX14" s="239"/>
      <c r="CY14" s="239"/>
      <c r="CZ14" s="275"/>
    </row>
    <row r="15" spans="1:104" s="235" customFormat="1" hidden="1" outlineLevel="1">
      <c r="A15" s="653" t="s">
        <v>537</v>
      </c>
      <c r="B15" s="235">
        <v>8500</v>
      </c>
      <c r="C15" s="235">
        <v>7090</v>
      </c>
      <c r="D15" s="235">
        <v>8860</v>
      </c>
      <c r="E15" s="235">
        <v>5550</v>
      </c>
      <c r="F15" s="235">
        <v>5055</v>
      </c>
      <c r="G15" s="235">
        <v>5950</v>
      </c>
      <c r="H15" s="235">
        <v>7140</v>
      </c>
      <c r="I15" s="235">
        <v>7515</v>
      </c>
      <c r="J15" s="235">
        <v>6850</v>
      </c>
      <c r="K15" s="235">
        <v>6900</v>
      </c>
      <c r="L15" s="235">
        <v>7670</v>
      </c>
      <c r="M15" s="235">
        <v>7305</v>
      </c>
      <c r="N15" s="235">
        <v>7690</v>
      </c>
      <c r="O15" s="235">
        <v>6550</v>
      </c>
      <c r="P15" s="235">
        <v>6895</v>
      </c>
      <c r="Q15" s="235">
        <v>5860</v>
      </c>
      <c r="R15" s="235">
        <v>9333</v>
      </c>
      <c r="S15" s="235">
        <v>6000</v>
      </c>
      <c r="T15" s="235">
        <v>6240</v>
      </c>
      <c r="U15" s="235">
        <v>4990</v>
      </c>
      <c r="V15" s="235">
        <v>5265</v>
      </c>
      <c r="W15" s="235">
        <v>5270</v>
      </c>
      <c r="X15" s="235">
        <v>5355</v>
      </c>
      <c r="Y15" s="235">
        <v>5405</v>
      </c>
      <c r="Z15" s="235">
        <v>4975</v>
      </c>
      <c r="AA15" s="235">
        <v>4325</v>
      </c>
      <c r="AB15" s="235">
        <v>3460</v>
      </c>
      <c r="AC15" s="235">
        <v>3010</v>
      </c>
      <c r="AD15" s="235">
        <v>2560</v>
      </c>
      <c r="AE15" s="235">
        <v>1710</v>
      </c>
      <c r="AF15" s="235">
        <v>2280</v>
      </c>
      <c r="AG15" s="235">
        <v>2395</v>
      </c>
      <c r="AH15" s="235">
        <v>2700</v>
      </c>
      <c r="AI15" s="235">
        <v>2830</v>
      </c>
      <c r="AJ15" s="235">
        <v>3800</v>
      </c>
      <c r="AK15" s="235">
        <v>3985</v>
      </c>
      <c r="AL15" s="235">
        <v>2600</v>
      </c>
      <c r="AM15" s="235">
        <v>3615</v>
      </c>
      <c r="AN15" s="235">
        <v>4221.666666666667</v>
      </c>
      <c r="AO15" s="235">
        <v>4988.75</v>
      </c>
      <c r="AP15" s="235">
        <v>5391.1764705882351</v>
      </c>
      <c r="AQ15" s="235">
        <v>4327.5</v>
      </c>
      <c r="AR15" s="235">
        <v>2532.5</v>
      </c>
      <c r="AS15" s="235">
        <v>1575</v>
      </c>
      <c r="AT15" s="235">
        <v>1975</v>
      </c>
      <c r="AU15" s="235">
        <v>2296.6666666666665</v>
      </c>
      <c r="AV15" s="235">
        <v>2775</v>
      </c>
      <c r="AW15" s="235">
        <v>3633.5294117647059</v>
      </c>
      <c r="AX15" s="235">
        <v>2907.1428571428573</v>
      </c>
      <c r="AY15" s="235">
        <v>2188.3333333333335</v>
      </c>
      <c r="AZ15" s="235">
        <v>2626.8115942028985</v>
      </c>
      <c r="BA15" s="235">
        <v>2282.2972972972975</v>
      </c>
      <c r="BB15" s="235">
        <v>2324.9333333333334</v>
      </c>
      <c r="BC15" s="235">
        <v>2221.3636363636365</v>
      </c>
      <c r="BD15" s="235">
        <v>2598.3333333333335</v>
      </c>
      <c r="BE15" s="235">
        <v>2933.3333333333335</v>
      </c>
      <c r="BF15" s="235">
        <v>3089.3333333333335</v>
      </c>
      <c r="BG15" s="235">
        <v>2065</v>
      </c>
      <c r="BH15" s="235">
        <v>670</v>
      </c>
      <c r="BI15" s="235">
        <v>820</v>
      </c>
      <c r="BJ15" s="235">
        <v>916.66666666666663</v>
      </c>
      <c r="BK15" s="235">
        <v>1146.6666666666667</v>
      </c>
      <c r="BL15" s="235">
        <v>1526.6666666666667</v>
      </c>
      <c r="BM15" s="235">
        <v>1752.2222222222222</v>
      </c>
      <c r="BN15" s="235">
        <v>1004.8623853211009</v>
      </c>
      <c r="BO15" s="235">
        <v>1105.8098591549297</v>
      </c>
      <c r="BP15" s="235">
        <v>687.40474174428448</v>
      </c>
      <c r="BQ15" s="235">
        <v>1153.5437881873727</v>
      </c>
      <c r="BR15" s="235">
        <v>626.68465718752327</v>
      </c>
      <c r="BS15" s="235">
        <v>786.87943262411352</v>
      </c>
      <c r="BT15" s="236">
        <v>810.48581560283696</v>
      </c>
      <c r="BU15" s="236">
        <v>851.01010638297885</v>
      </c>
      <c r="BV15" s="236">
        <v>748.88889361702138</v>
      </c>
      <c r="BW15" s="236">
        <v>778.84444936170223</v>
      </c>
      <c r="BX15" s="236">
        <v>817.78667182978734</v>
      </c>
      <c r="BY15" s="236">
        <v>858.67600542127673</v>
      </c>
      <c r="BZ15" s="236">
        <v>755.63488477072349</v>
      </c>
      <c r="CA15" s="236">
        <v>785.86028016155251</v>
      </c>
      <c r="CB15" s="236">
        <v>825.15329416963016</v>
      </c>
      <c r="CC15" s="236">
        <v>866.41095887811173</v>
      </c>
      <c r="CD15" s="654"/>
      <c r="CE15" s="654"/>
      <c r="CF15" s="235">
        <f>SUM(B15:E15)</f>
      </c>
      <c r="CG15" s="235">
        <f>SUM(F15:I15)</f>
      </c>
      <c r="CH15" s="235">
        <f>SUM(J15:M15)</f>
      </c>
      <c r="CI15" s="235">
        <f>SUM(N15:Q15)</f>
      </c>
      <c r="CJ15" s="235">
        <f>SUM(R15:U15)</f>
      </c>
      <c r="CK15" s="235">
        <f>SUM(V15:Y15)</f>
      </c>
      <c r="CL15" s="235">
        <f>SUM(Z15:AC15)</f>
      </c>
      <c r="CM15" s="235">
        <f>SUM(AD15:AG15)</f>
      </c>
      <c r="CN15" s="235">
        <f>SUM(AH15:AK15)</f>
      </c>
      <c r="CO15" s="235">
        <f>SUM(AL15:AO15)</f>
      </c>
      <c r="CP15" s="235">
        <f>SUM(AP15:AS15)</f>
      </c>
      <c r="CQ15" s="235">
        <f>AT15+AU15+AV15+AW15</f>
      </c>
      <c r="CR15" s="235">
        <f>AX15+AY15+AZ15+BA15</f>
      </c>
      <c r="CS15" s="235">
        <f>BB15+BC15+BD15+BE15</f>
      </c>
      <c r="CT15" s="235">
        <f>+SUM(BF15:BI15)</f>
      </c>
      <c r="CU15" s="235">
        <f>+SUM(BJ15:BM15)</f>
      </c>
      <c r="CV15" s="235">
        <f>+SUM(BN15:BQ15)</f>
      </c>
      <c r="CW15" s="236">
        <f>+SUM(BR15:BU15)</f>
      </c>
      <c r="CX15" s="236">
        <f>SUM(BV15:BY15)</f>
      </c>
      <c r="CY15" s="236">
        <f>SUM(BZ15:CC15)</f>
      </c>
      <c r="CZ15" s="273"/>
    </row>
    <row r="16" spans="1:104" s="235" customFormat="1" hidden="1" outlineLevel="1">
      <c r="A16" s="63" t="s">
        <v>196</v>
      </c>
      <c r="C16" s="238">
        <f t="shared" ref="C16:BA16" si="15">C15/B15-1</f>
      </c>
      <c r="D16" s="238">
        <f t="shared" si="15"/>
      </c>
      <c r="E16" s="238">
        <f t="shared" si="15"/>
      </c>
      <c r="F16" s="238">
        <f t="shared" si="15"/>
      </c>
      <c r="G16" s="238">
        <f t="shared" si="15"/>
      </c>
      <c r="H16" s="238">
        <f t="shared" si="15"/>
      </c>
      <c r="I16" s="238">
        <f t="shared" si="15"/>
      </c>
      <c r="J16" s="238">
        <f t="shared" si="15"/>
      </c>
      <c r="K16" s="238">
        <f t="shared" si="15"/>
      </c>
      <c r="L16" s="238">
        <f t="shared" si="15"/>
      </c>
      <c r="M16" s="238">
        <f t="shared" si="15"/>
      </c>
      <c r="N16" s="238">
        <f t="shared" si="15"/>
      </c>
      <c r="O16" s="238">
        <f t="shared" si="15"/>
      </c>
      <c r="P16" s="238">
        <f t="shared" si="15"/>
      </c>
      <c r="Q16" s="238">
        <f t="shared" si="15"/>
      </c>
      <c r="R16" s="238">
        <f t="shared" si="15"/>
      </c>
      <c r="S16" s="238">
        <f t="shared" si="15"/>
      </c>
      <c r="T16" s="238">
        <f t="shared" si="15"/>
      </c>
      <c r="U16" s="238">
        <f t="shared" si="15"/>
      </c>
      <c r="V16" s="238">
        <f t="shared" si="15"/>
      </c>
      <c r="W16" s="238">
        <f t="shared" si="15"/>
      </c>
      <c r="X16" s="238">
        <f t="shared" si="15"/>
      </c>
      <c r="Y16" s="238">
        <f t="shared" si="15"/>
      </c>
      <c r="Z16" s="238">
        <f t="shared" si="15"/>
      </c>
      <c r="AA16" s="238">
        <f t="shared" si="15"/>
      </c>
      <c r="AB16" s="238">
        <f t="shared" si="15"/>
      </c>
      <c r="AC16" s="238">
        <f t="shared" si="15"/>
      </c>
      <c r="AD16" s="238">
        <f t="shared" si="15"/>
      </c>
      <c r="AE16" s="238">
        <f t="shared" si="15"/>
      </c>
      <c r="AF16" s="238">
        <f t="shared" si="15"/>
      </c>
      <c r="AG16" s="238">
        <f t="shared" si="15"/>
      </c>
      <c r="AH16" s="238">
        <f t="shared" si="15"/>
      </c>
      <c r="AI16" s="238">
        <f t="shared" si="15"/>
      </c>
      <c r="AJ16" s="238">
        <f t="shared" si="15"/>
      </c>
      <c r="AK16" s="238">
        <f t="shared" si="15"/>
      </c>
      <c r="AL16" s="238">
        <f t="shared" si="15"/>
      </c>
      <c r="AM16" s="238">
        <f t="shared" si="15"/>
      </c>
      <c r="AN16" s="238">
        <f t="shared" si="15"/>
      </c>
      <c r="AO16" s="238">
        <f t="shared" si="15"/>
      </c>
      <c r="AP16" s="238">
        <f t="shared" si="15"/>
      </c>
      <c r="AQ16" s="238">
        <f t="shared" si="15"/>
      </c>
      <c r="AR16" s="238">
        <f t="shared" si="15"/>
      </c>
      <c r="AS16" s="238">
        <f t="shared" si="15"/>
      </c>
      <c r="AT16" s="238">
        <f t="shared" si="15"/>
      </c>
      <c r="AU16" s="238">
        <f t="shared" si="15"/>
      </c>
      <c r="AV16" s="238">
        <f t="shared" si="15"/>
      </c>
      <c r="AW16" s="238">
        <f t="shared" si="15"/>
      </c>
      <c r="AX16" s="238">
        <f t="shared" si="15"/>
      </c>
      <c r="AY16" s="238">
        <f t="shared" si="15"/>
      </c>
      <c r="AZ16" s="238">
        <f t="shared" si="15"/>
      </c>
      <c r="BA16" s="238">
        <f t="shared" si="15"/>
      </c>
      <c r="BB16" s="238">
        <f>BB15/BA15-1</f>
      </c>
      <c r="BC16" s="238">
        <f>BC15/BB15-1</f>
      </c>
      <c r="BD16" s="238">
        <f t="shared" ref="BD16:CC16" si="16">BD15/BC15-1</f>
      </c>
      <c r="BE16" s="238">
        <f t="shared" si="16"/>
      </c>
      <c r="BF16" s="238">
        <f t="shared" si="16"/>
      </c>
      <c r="BG16" s="238">
        <f>BG15/BF15-1</f>
      </c>
      <c r="BH16" s="238">
        <f>BH15/BG15-1</f>
      </c>
      <c r="BI16" s="238">
        <f t="shared" si="16"/>
      </c>
      <c r="BJ16" s="238">
        <f t="shared" si="16"/>
      </c>
      <c r="BK16" s="238">
        <f t="shared" si="16"/>
      </c>
      <c r="BL16" s="238">
        <f t="shared" si="16"/>
      </c>
      <c r="BM16" s="238">
        <f t="shared" si="16"/>
      </c>
      <c r="BN16" s="238">
        <f t="shared" si="16"/>
      </c>
      <c r="BO16" s="238">
        <f t="shared" si="16"/>
      </c>
      <c r="BP16" s="238">
        <f t="shared" si="16"/>
      </c>
      <c r="BQ16" s="238">
        <f t="shared" si="16"/>
      </c>
      <c r="BR16" s="238">
        <f t="shared" si="16"/>
      </c>
      <c r="BS16" s="238">
        <f t="shared" si="16"/>
      </c>
      <c r="BT16" s="239">
        <f t="shared" si="16"/>
      </c>
      <c r="BU16" s="239">
        <f t="shared" si="16"/>
      </c>
      <c r="BV16" s="239">
        <f t="shared" si="16"/>
      </c>
      <c r="BW16" s="239">
        <f t="shared" si="16"/>
      </c>
      <c r="BX16" s="239">
        <f t="shared" si="16"/>
      </c>
      <c r="BY16" s="239">
        <f t="shared" si="16"/>
      </c>
      <c r="BZ16" s="239">
        <f t="shared" si="16"/>
      </c>
      <c r="CA16" s="239">
        <f t="shared" si="16"/>
      </c>
      <c r="CB16" s="239">
        <f t="shared" si="16"/>
      </c>
      <c r="CC16" s="239">
        <f t="shared" si="16"/>
      </c>
      <c r="CD16" s="654"/>
      <c r="CE16" s="654"/>
      <c r="CF16" s="244"/>
      <c r="CG16" s="244"/>
      <c r="CH16" s="244"/>
      <c r="CI16" s="244"/>
      <c r="CJ16" s="244"/>
      <c r="CK16" s="244"/>
      <c r="CL16" s="244"/>
      <c r="CM16" s="244"/>
      <c r="CN16" s="245"/>
      <c r="CO16" s="245"/>
      <c r="CP16" s="245"/>
      <c r="CQ16" s="245"/>
      <c r="CR16" s="245"/>
      <c r="CS16" s="254"/>
      <c r="CT16" s="254"/>
      <c r="CU16" s="254"/>
      <c r="CV16" s="254"/>
      <c r="CW16" s="245"/>
      <c r="CX16" s="245"/>
      <c r="CY16" s="245"/>
      <c r="CZ16" s="273"/>
    </row>
    <row r="17" spans="1:104" s="235" customFormat="1" hidden="1" outlineLevel="1">
      <c r="A17" s="63" t="s">
        <v>198</v>
      </c>
      <c r="C17" s="238"/>
      <c r="D17" s="238"/>
      <c r="E17" s="238"/>
      <c r="F17" s="238">
        <f t="shared" ref="F17:BA17" si="17">F15/B15-1</f>
      </c>
      <c r="G17" s="238">
        <f t="shared" si="17"/>
      </c>
      <c r="H17" s="238">
        <f t="shared" si="17"/>
      </c>
      <c r="I17" s="238">
        <f t="shared" si="17"/>
      </c>
      <c r="J17" s="238">
        <f t="shared" si="17"/>
      </c>
      <c r="K17" s="238">
        <f t="shared" si="17"/>
      </c>
      <c r="L17" s="238">
        <f t="shared" si="17"/>
      </c>
      <c r="M17" s="238">
        <f t="shared" si="17"/>
      </c>
      <c r="N17" s="238">
        <f t="shared" si="17"/>
      </c>
      <c r="O17" s="238">
        <f t="shared" si="17"/>
      </c>
      <c r="P17" s="238">
        <f t="shared" si="17"/>
      </c>
      <c r="Q17" s="238">
        <f t="shared" si="17"/>
      </c>
      <c r="R17" s="238">
        <f t="shared" si="17"/>
      </c>
      <c r="S17" s="238">
        <f t="shared" si="17"/>
      </c>
      <c r="T17" s="238">
        <f t="shared" si="17"/>
      </c>
      <c r="U17" s="238">
        <f t="shared" si="17"/>
      </c>
      <c r="V17" s="238">
        <f t="shared" si="17"/>
      </c>
      <c r="W17" s="238">
        <f t="shared" si="17"/>
      </c>
      <c r="X17" s="238">
        <f t="shared" si="17"/>
      </c>
      <c r="Y17" s="238">
        <f t="shared" si="17"/>
      </c>
      <c r="Z17" s="238">
        <f t="shared" si="17"/>
      </c>
      <c r="AA17" s="238">
        <f t="shared" si="17"/>
      </c>
      <c r="AB17" s="238">
        <f t="shared" si="17"/>
      </c>
      <c r="AC17" s="238">
        <f t="shared" si="17"/>
      </c>
      <c r="AD17" s="238">
        <f t="shared" si="17"/>
      </c>
      <c r="AE17" s="238">
        <f t="shared" si="17"/>
      </c>
      <c r="AF17" s="238">
        <f t="shared" si="17"/>
      </c>
      <c r="AG17" s="238">
        <f t="shared" si="17"/>
      </c>
      <c r="AH17" s="238">
        <f t="shared" si="17"/>
      </c>
      <c r="AI17" s="238">
        <f t="shared" si="17"/>
      </c>
      <c r="AJ17" s="238">
        <f t="shared" si="17"/>
      </c>
      <c r="AK17" s="238">
        <f t="shared" si="17"/>
      </c>
      <c r="AL17" s="238">
        <f t="shared" si="17"/>
      </c>
      <c r="AM17" s="238">
        <f t="shared" si="17"/>
      </c>
      <c r="AN17" s="238">
        <f t="shared" si="17"/>
      </c>
      <c r="AO17" s="238">
        <f t="shared" si="17"/>
      </c>
      <c r="AP17" s="238">
        <f t="shared" si="17"/>
      </c>
      <c r="AQ17" s="238">
        <f t="shared" si="17"/>
      </c>
      <c r="AR17" s="238">
        <f t="shared" si="17"/>
      </c>
      <c r="AS17" s="238">
        <f t="shared" si="17"/>
      </c>
      <c r="AT17" s="238">
        <f t="shared" si="17"/>
      </c>
      <c r="AU17" s="238">
        <f t="shared" si="17"/>
      </c>
      <c r="AV17" s="238">
        <f t="shared" si="17"/>
      </c>
      <c r="AW17" s="238">
        <f t="shared" si="17"/>
      </c>
      <c r="AX17" s="238">
        <f t="shared" si="17"/>
      </c>
      <c r="AY17" s="238">
        <f t="shared" si="17"/>
      </c>
      <c r="AZ17" s="238">
        <f t="shared" si="17"/>
      </c>
      <c r="BA17" s="238">
        <f t="shared" si="17"/>
      </c>
      <c r="BB17" s="238">
        <f>BB15/AX15-1</f>
      </c>
      <c r="BC17" s="238">
        <f>BC15/AY15-1</f>
      </c>
      <c r="BD17" s="238">
        <f t="shared" ref="BD17:CC17" si="18">BD15/AZ15-1</f>
      </c>
      <c r="BE17" s="238">
        <f t="shared" si="18"/>
      </c>
      <c r="BF17" s="238">
        <f t="shared" si="18"/>
      </c>
      <c r="BG17" s="238">
        <f>BG15/BC15-1</f>
      </c>
      <c r="BH17" s="238">
        <f>BH15/BD15-1</f>
      </c>
      <c r="BI17" s="238">
        <f t="shared" si="18"/>
      </c>
      <c r="BJ17" s="238">
        <f t="shared" si="18"/>
      </c>
      <c r="BK17" s="238">
        <f t="shared" si="18"/>
      </c>
      <c r="BL17" s="238">
        <f t="shared" si="18"/>
      </c>
      <c r="BM17" s="238">
        <f t="shared" si="18"/>
      </c>
      <c r="BN17" s="238">
        <f t="shared" si="18"/>
      </c>
      <c r="BO17" s="238">
        <f t="shared" si="18"/>
      </c>
      <c r="BP17" s="238">
        <f t="shared" si="18"/>
      </c>
      <c r="BQ17" s="238">
        <f t="shared" si="18"/>
      </c>
      <c r="BR17" s="238">
        <f t="shared" si="18"/>
      </c>
      <c r="BS17" s="238">
        <f t="shared" si="18"/>
      </c>
      <c r="BT17" s="239">
        <f t="shared" si="18"/>
      </c>
      <c r="BU17" s="239">
        <f t="shared" si="18"/>
      </c>
      <c r="BV17" s="239">
        <f t="shared" si="18"/>
      </c>
      <c r="BW17" s="239">
        <f t="shared" si="18"/>
      </c>
      <c r="BX17" s="239">
        <f t="shared" si="18"/>
      </c>
      <c r="BY17" s="239">
        <f t="shared" si="18"/>
      </c>
      <c r="BZ17" s="239">
        <f t="shared" si="18"/>
      </c>
      <c r="CA17" s="239">
        <f t="shared" si="18"/>
      </c>
      <c r="CB17" s="239">
        <f t="shared" si="18"/>
      </c>
      <c r="CC17" s="239">
        <f t="shared" si="18"/>
      </c>
      <c r="CD17" s="654"/>
      <c r="CE17" s="654"/>
      <c r="CF17" s="645"/>
      <c r="CG17" s="276">
        <f t="shared" ref="CG17:CY17" si="19">CG15/CF15-1</f>
      </c>
      <c r="CH17" s="276">
        <f t="shared" si="19"/>
      </c>
      <c r="CI17" s="276">
        <f t="shared" si="19"/>
      </c>
      <c r="CJ17" s="276">
        <f t="shared" si="19"/>
      </c>
      <c r="CK17" s="276">
        <f t="shared" si="19"/>
      </c>
      <c r="CL17" s="276">
        <f t="shared" si="19"/>
      </c>
      <c r="CM17" s="276">
        <f t="shared" si="19"/>
      </c>
      <c r="CN17" s="238">
        <f t="shared" si="19"/>
      </c>
      <c r="CO17" s="238">
        <f t="shared" si="19"/>
      </c>
      <c r="CP17" s="238">
        <f t="shared" si="19"/>
      </c>
      <c r="CQ17" s="238">
        <f t="shared" si="19"/>
      </c>
      <c r="CR17" s="238">
        <f t="shared" si="19"/>
      </c>
      <c r="CS17" s="238">
        <f t="shared" si="19"/>
      </c>
      <c r="CT17" s="238">
        <f t="shared" si="19"/>
      </c>
      <c r="CU17" s="238">
        <f t="shared" si="19"/>
      </c>
      <c r="CV17" s="238">
        <f t="shared" si="19"/>
      </c>
      <c r="CW17" s="239">
        <f t="shared" si="19"/>
      </c>
      <c r="CX17" s="239">
        <f t="shared" si="19"/>
      </c>
      <c r="CY17" s="239">
        <f t="shared" si="19"/>
      </c>
      <c r="CZ17" s="273"/>
    </row>
    <row r="18" spans="1:104" s="235" customFormat="1" hidden="1" outlineLevel="1">
      <c r="A18" s="235" t="s">
        <v>538</v>
      </c>
      <c r="B18" s="235">
        <v>24075</v>
      </c>
      <c r="C18" s="235">
        <v>18490</v>
      </c>
      <c r="D18" s="235">
        <v>21810</v>
      </c>
      <c r="E18" s="235">
        <v>15150</v>
      </c>
      <c r="F18" s="235">
        <v>16215</v>
      </c>
      <c r="G18" s="235">
        <v>17670</v>
      </c>
      <c r="H18" s="235">
        <v>19910</v>
      </c>
      <c r="I18" s="235">
        <v>21615</v>
      </c>
      <c r="J18" s="235">
        <v>19550</v>
      </c>
      <c r="K18" s="235">
        <v>15450</v>
      </c>
      <c r="L18" s="235">
        <v>18670</v>
      </c>
      <c r="M18" s="235">
        <v>18755</v>
      </c>
      <c r="N18" s="235">
        <v>18940</v>
      </c>
      <c r="O18" s="235">
        <v>16070</v>
      </c>
      <c r="P18" s="235">
        <v>17395</v>
      </c>
      <c r="Q18" s="235">
        <v>16060</v>
      </c>
      <c r="R18" s="235">
        <v>19083</v>
      </c>
      <c r="S18" s="235">
        <v>14750</v>
      </c>
      <c r="T18" s="235">
        <v>17470</v>
      </c>
      <c r="U18" s="235">
        <v>14520</v>
      </c>
      <c r="V18" s="235">
        <v>14775</v>
      </c>
      <c r="W18" s="235">
        <v>13940</v>
      </c>
      <c r="X18" s="235">
        <v>14730</v>
      </c>
      <c r="Y18" s="235">
        <v>15125</v>
      </c>
      <c r="Z18" s="235">
        <v>14013.515283842795</v>
      </c>
      <c r="AA18" s="235">
        <v>11431.828955797566</v>
      </c>
      <c r="AB18" s="235">
        <v>12353.488372093023</v>
      </c>
      <c r="AC18" s="235">
        <v>12354.521963824289</v>
      </c>
      <c r="AD18" s="235">
        <v>11252.15676728335</v>
      </c>
      <c r="AE18" s="235">
        <v>9363.1500872600336</v>
      </c>
      <c r="AF18" s="235">
        <v>11955.989216092907</v>
      </c>
      <c r="AG18" s="235">
        <v>11431.915979583824</v>
      </c>
      <c r="AH18" s="235">
        <v>11860.292275574113</v>
      </c>
      <c r="AI18" s="235">
        <v>9397.4980959634413</v>
      </c>
      <c r="AJ18" s="235">
        <v>12958.466819221969</v>
      </c>
      <c r="AK18" s="235">
        <v>13702.878787878788</v>
      </c>
      <c r="AL18" s="235">
        <v>9608.863636363636</v>
      </c>
      <c r="AM18" s="235">
        <v>12205.801096385883</v>
      </c>
      <c r="AN18" s="235">
        <v>15654.270744445857</v>
      </c>
      <c r="AO18" s="235">
        <v>14954.852790379715</v>
      </c>
      <c r="AP18" s="235">
        <v>15756.219055294772</v>
      </c>
      <c r="AQ18" s="235">
        <v>12317.934445918594</v>
      </c>
      <c r="AR18" s="235">
        <v>10079.211073135171</v>
      </c>
      <c r="AS18" s="235">
        <v>7941.0261173439349</v>
      </c>
      <c r="AT18" s="235">
        <v>8627.7955055301318</v>
      </c>
      <c r="AU18" s="235">
        <v>7502.4640601884475</v>
      </c>
      <c r="AV18" s="235">
        <v>10808.744495258732</v>
      </c>
      <c r="AW18" s="235">
        <v>12005.838476379009</v>
      </c>
      <c r="AX18" s="235">
        <v>9650.1218965966964</v>
      </c>
      <c r="AY18" s="235">
        <v>10250.097339001104</v>
      </c>
      <c r="AZ18" s="235">
        <v>11535.821143697898</v>
      </c>
      <c r="BA18" s="235">
        <v>11540.591478431343</v>
      </c>
      <c r="BB18" s="235">
        <v>11176.233056243662</v>
      </c>
      <c r="BC18" s="235">
        <v>10170.161049904515</v>
      </c>
      <c r="BD18" s="235">
        <v>12724.014307349773</v>
      </c>
      <c r="BE18" s="235">
        <v>12754.986816039431</v>
      </c>
      <c r="BF18" s="235">
        <v>12553.489433611634</v>
      </c>
      <c r="BG18" s="235">
        <v>9924.1397849462373</v>
      </c>
      <c r="BH18" s="235">
        <v>5508.8671875</v>
      </c>
      <c r="BI18" s="235">
        <v>6488.073878627968</v>
      </c>
      <c r="BJ18" s="235">
        <v>5805.9931400062369</v>
      </c>
      <c r="BK18" s="235">
        <v>5661.8618917569675</v>
      </c>
      <c r="BL18" s="235">
        <v>7876.2537993920978</v>
      </c>
      <c r="BM18" s="235">
        <v>8495.1978144691711</v>
      </c>
      <c r="BN18" s="235">
        <v>7568.3594492243828</v>
      </c>
      <c r="BO18" s="235">
        <v>8276.1230649627196</v>
      </c>
      <c r="BP18" s="235">
        <v>7451.9674859796824</v>
      </c>
      <c r="BQ18" s="235">
        <v>6758.5764679259355</v>
      </c>
      <c r="BR18" s="235">
        <v>8632.0125873620873</v>
      </c>
      <c r="BS18" s="235">
        <v>9096.4098241453103</v>
      </c>
      <c r="BT18" s="236">
        <v>9452.3974227848812</v>
      </c>
      <c r="BU18" s="236">
        <v>9752.1790617804854</v>
      </c>
      <c r="BV18" s="236">
        <v>8670.9292639208015</v>
      </c>
      <c r="BW18" s="236">
        <v>9017.7664344776349</v>
      </c>
      <c r="BX18" s="236">
        <v>9633.4331959038354</v>
      </c>
      <c r="BY18" s="236">
        <v>10115.10485569903</v>
      </c>
      <c r="BZ18" s="236">
        <v>8901.2922730151458</v>
      </c>
      <c r="CA18" s="236">
        <v>9257.343963935753</v>
      </c>
      <c r="CB18" s="236">
        <v>9804.9259989702823</v>
      </c>
      <c r="CC18" s="236">
        <v>10205.374571870791</v>
      </c>
      <c r="CD18" s="273"/>
      <c r="CE18" s="280"/>
      <c r="CF18" s="235">
        <f>SUM(B18:E18)</f>
      </c>
      <c r="CG18" s="235">
        <f>SUM(F18:I18)</f>
      </c>
      <c r="CH18" s="235">
        <f>SUM(J18:M18)</f>
      </c>
      <c r="CI18" s="235">
        <f>SUM(N18:Q18)</f>
      </c>
      <c r="CJ18" s="235">
        <f>SUM(R18:U18)</f>
      </c>
      <c r="CK18" s="235">
        <f>SUM(V18:Y18)</f>
      </c>
      <c r="CL18" s="235">
        <f>SUM(Z18:AC18)</f>
      </c>
      <c r="CM18" s="235">
        <f>SUM(AD18:AG18)</f>
      </c>
      <c r="CN18" s="235">
        <f>SUM(AH18:AK18)</f>
      </c>
      <c r="CO18" s="235">
        <f>SUM(AL18:AO18)</f>
      </c>
      <c r="CP18" s="235">
        <f>SUM(AP18:AS18)</f>
      </c>
      <c r="CQ18" s="235">
        <f>AT18+AU18+AV18+AW18</f>
      </c>
      <c r="CR18" s="235">
        <f>AX18+AY18+AZ18+BA18</f>
      </c>
      <c r="CS18" s="235">
        <f>BB18+BC18+BD18+BE18</f>
      </c>
      <c r="CT18" s="235">
        <f>+SUM(BF18:BI18)</f>
      </c>
      <c r="CU18" s="235">
        <f>+SUM(BJ18:BM18)</f>
      </c>
      <c r="CV18" s="235">
        <f>+SUM(BN18:BQ18)</f>
      </c>
      <c r="CW18" s="236">
        <f>+SUM(BR18:BU18)</f>
      </c>
      <c r="CX18" s="236">
        <f>SUM(BV18:BY18)</f>
      </c>
      <c r="CY18" s="236">
        <f>SUM(BZ18:CC18)</f>
      </c>
      <c r="CZ18" s="273"/>
    </row>
    <row r="19" spans="1:104" s="276" customFormat="1" hidden="1" outlineLevel="1">
      <c r="A19" s="63" t="s">
        <v>196</v>
      </c>
      <c r="B19" s="238"/>
      <c r="C19" s="238">
        <f t="shared" ref="C19:BN19" si="20">C18/B18-1</f>
      </c>
      <c r="D19" s="238">
        <f t="shared" si="20"/>
      </c>
      <c r="E19" s="238">
        <f t="shared" si="20"/>
      </c>
      <c r="F19" s="238">
        <f t="shared" si="20"/>
      </c>
      <c r="G19" s="238">
        <f t="shared" si="20"/>
      </c>
      <c r="H19" s="238">
        <f t="shared" si="20"/>
      </c>
      <c r="I19" s="238">
        <f t="shared" si="20"/>
      </c>
      <c r="J19" s="238">
        <f t="shared" si="20"/>
      </c>
      <c r="K19" s="238">
        <f t="shared" si="20"/>
      </c>
      <c r="L19" s="238">
        <f t="shared" si="20"/>
      </c>
      <c r="M19" s="238">
        <f t="shared" si="20"/>
      </c>
      <c r="N19" s="238">
        <f t="shared" si="20"/>
      </c>
      <c r="O19" s="238">
        <f t="shared" si="20"/>
      </c>
      <c r="P19" s="238">
        <f t="shared" si="20"/>
      </c>
      <c r="Q19" s="238">
        <f t="shared" si="20"/>
      </c>
      <c r="R19" s="238">
        <f t="shared" si="20"/>
      </c>
      <c r="S19" s="238">
        <f t="shared" si="20"/>
      </c>
      <c r="T19" s="238">
        <f t="shared" si="20"/>
      </c>
      <c r="U19" s="238">
        <f t="shared" si="20"/>
      </c>
      <c r="V19" s="238">
        <f t="shared" si="20"/>
      </c>
      <c r="W19" s="238">
        <f t="shared" si="20"/>
      </c>
      <c r="X19" s="238">
        <f t="shared" si="20"/>
      </c>
      <c r="Y19" s="238">
        <f t="shared" si="20"/>
      </c>
      <c r="Z19" s="238">
        <f t="shared" si="20"/>
      </c>
      <c r="AA19" s="238">
        <f t="shared" si="20"/>
      </c>
      <c r="AB19" s="238">
        <f t="shared" si="20"/>
      </c>
      <c r="AC19" s="238">
        <f t="shared" si="20"/>
      </c>
      <c r="AD19" s="238">
        <f t="shared" si="20"/>
      </c>
      <c r="AE19" s="238">
        <f t="shared" si="20"/>
      </c>
      <c r="AF19" s="238">
        <f t="shared" si="20"/>
      </c>
      <c r="AG19" s="238">
        <f t="shared" si="20"/>
      </c>
      <c r="AH19" s="238">
        <f t="shared" si="20"/>
      </c>
      <c r="AI19" s="238">
        <f t="shared" si="20"/>
      </c>
      <c r="AJ19" s="238">
        <f t="shared" si="20"/>
      </c>
      <c r="AK19" s="238">
        <f t="shared" si="20"/>
      </c>
      <c r="AL19" s="238">
        <f t="shared" si="20"/>
      </c>
      <c r="AM19" s="238">
        <f t="shared" si="20"/>
      </c>
      <c r="AN19" s="238">
        <f t="shared" si="20"/>
      </c>
      <c r="AO19" s="238">
        <f t="shared" si="20"/>
      </c>
      <c r="AP19" s="238">
        <f t="shared" si="20"/>
      </c>
      <c r="AQ19" s="238">
        <f t="shared" si="20"/>
      </c>
      <c r="AR19" s="238">
        <f t="shared" si="20"/>
      </c>
      <c r="AS19" s="238">
        <f t="shared" si="20"/>
      </c>
      <c r="AT19" s="238">
        <f t="shared" si="20"/>
      </c>
      <c r="AU19" s="238">
        <f t="shared" si="20"/>
      </c>
      <c r="AV19" s="238">
        <f t="shared" si="20"/>
      </c>
      <c r="AW19" s="238">
        <f t="shared" si="20"/>
      </c>
      <c r="AX19" s="238">
        <f t="shared" si="20"/>
      </c>
      <c r="AY19" s="238">
        <f t="shared" si="20"/>
      </c>
      <c r="AZ19" s="238">
        <f t="shared" si="20"/>
      </c>
      <c r="BA19" s="238">
        <f t="shared" si="20"/>
      </c>
      <c r="BB19" s="238">
        <f t="shared" si="20"/>
      </c>
      <c r="BC19" s="238">
        <f t="shared" si="20"/>
      </c>
      <c r="BD19" s="238">
        <f t="shared" si="20"/>
      </c>
      <c r="BE19" s="238">
        <f t="shared" si="20"/>
      </c>
      <c r="BF19" s="238">
        <f t="shared" si="20"/>
      </c>
      <c r="BG19" s="238">
        <f>BG18/BF18-1</f>
      </c>
      <c r="BH19" s="238">
        <f>BH18/BG18-1</f>
      </c>
      <c r="BI19" s="238">
        <f t="shared" si="20"/>
      </c>
      <c r="BJ19" s="238">
        <f t="shared" si="20"/>
      </c>
      <c r="BK19" s="238">
        <f t="shared" si="20"/>
      </c>
      <c r="BL19" s="238">
        <f t="shared" si="20"/>
      </c>
      <c r="BM19" s="238">
        <f t="shared" si="20"/>
      </c>
      <c r="BN19" s="238">
        <f t="shared" si="20"/>
      </c>
      <c r="BO19" s="238">
        <f t="shared" ref="BO19:CC19" si="21">BO18/BN18-1</f>
      </c>
      <c r="BP19" s="238">
        <f t="shared" si="21"/>
      </c>
      <c r="BQ19" s="238">
        <f t="shared" si="21"/>
      </c>
      <c r="BR19" s="238">
        <f t="shared" si="21"/>
      </c>
      <c r="BS19" s="238">
        <f t="shared" si="21"/>
      </c>
      <c r="BT19" s="239">
        <f t="shared" si="21"/>
      </c>
      <c r="BU19" s="239">
        <f t="shared" si="21"/>
      </c>
      <c r="BV19" s="239">
        <f t="shared" si="21"/>
      </c>
      <c r="BW19" s="239">
        <f t="shared" si="21"/>
      </c>
      <c r="BX19" s="239">
        <f t="shared" si="21"/>
      </c>
      <c r="BY19" s="239">
        <f t="shared" si="21"/>
      </c>
      <c r="BZ19" s="239">
        <f t="shared" si="21"/>
      </c>
      <c r="CA19" s="239">
        <f t="shared" si="21"/>
      </c>
      <c r="CB19" s="239">
        <f t="shared" si="21"/>
      </c>
      <c r="CC19" s="239">
        <f t="shared" si="21"/>
      </c>
      <c r="CD19" s="275"/>
      <c r="CE19" s="277"/>
      <c r="CF19" s="244"/>
      <c r="CG19" s="244"/>
      <c r="CH19" s="244"/>
      <c r="CI19" s="244"/>
      <c r="CJ19" s="244"/>
      <c r="CK19" s="244"/>
      <c r="CL19" s="244"/>
      <c r="CM19" s="244"/>
      <c r="CN19" s="245"/>
      <c r="CO19" s="245"/>
      <c r="CP19" s="245"/>
      <c r="CQ19" s="245"/>
      <c r="CR19" s="245"/>
      <c r="CS19" s="254"/>
      <c r="CT19" s="254"/>
      <c r="CU19" s="254"/>
      <c r="CV19" s="254"/>
      <c r="CW19" s="245"/>
      <c r="CX19" s="245"/>
      <c r="CY19" s="245"/>
      <c r="CZ19" s="275"/>
    </row>
    <row r="20" spans="1:104" s="276" customFormat="1" hidden="1" outlineLevel="1">
      <c r="A20" s="63" t="s">
        <v>198</v>
      </c>
      <c r="B20" s="238"/>
      <c r="C20" s="238"/>
      <c r="D20" s="238"/>
      <c r="E20" s="238"/>
      <c r="F20" s="238">
        <f t="shared" ref="F20:BQ20" si="22">F18/B18-1</f>
      </c>
      <c r="G20" s="238">
        <f t="shared" si="22"/>
      </c>
      <c r="H20" s="238">
        <f t="shared" si="22"/>
      </c>
      <c r="I20" s="238">
        <f t="shared" si="22"/>
      </c>
      <c r="J20" s="238">
        <f t="shared" si="22"/>
      </c>
      <c r="K20" s="238">
        <f t="shared" si="22"/>
      </c>
      <c r="L20" s="238">
        <f t="shared" si="22"/>
      </c>
      <c r="M20" s="238">
        <f t="shared" si="22"/>
      </c>
      <c r="N20" s="238">
        <f t="shared" si="22"/>
      </c>
      <c r="O20" s="238">
        <f t="shared" si="22"/>
      </c>
      <c r="P20" s="238">
        <f t="shared" si="22"/>
      </c>
      <c r="Q20" s="238">
        <f t="shared" si="22"/>
      </c>
      <c r="R20" s="238">
        <f t="shared" si="22"/>
      </c>
      <c r="S20" s="238">
        <f t="shared" si="22"/>
      </c>
      <c r="T20" s="238">
        <f t="shared" si="22"/>
      </c>
      <c r="U20" s="238">
        <f t="shared" si="22"/>
      </c>
      <c r="V20" s="238">
        <f t="shared" si="22"/>
      </c>
      <c r="W20" s="238">
        <f t="shared" si="22"/>
      </c>
      <c r="X20" s="238">
        <f t="shared" si="22"/>
      </c>
      <c r="Y20" s="238">
        <f t="shared" si="22"/>
      </c>
      <c r="Z20" s="238">
        <f t="shared" si="22"/>
      </c>
      <c r="AA20" s="238">
        <f t="shared" si="22"/>
      </c>
      <c r="AB20" s="238">
        <f t="shared" si="22"/>
      </c>
      <c r="AC20" s="238">
        <f t="shared" si="22"/>
      </c>
      <c r="AD20" s="238">
        <f t="shared" si="22"/>
      </c>
      <c r="AE20" s="238">
        <f t="shared" si="22"/>
      </c>
      <c r="AF20" s="238">
        <f t="shared" si="22"/>
      </c>
      <c r="AG20" s="238">
        <f t="shared" si="22"/>
      </c>
      <c r="AH20" s="238">
        <f t="shared" si="22"/>
      </c>
      <c r="AI20" s="238">
        <f t="shared" si="22"/>
      </c>
      <c r="AJ20" s="238">
        <f t="shared" si="22"/>
      </c>
      <c r="AK20" s="238">
        <f t="shared" si="22"/>
      </c>
      <c r="AL20" s="238">
        <f t="shared" si="22"/>
      </c>
      <c r="AM20" s="238">
        <f t="shared" si="22"/>
      </c>
      <c r="AN20" s="238">
        <f t="shared" si="22"/>
      </c>
      <c r="AO20" s="238">
        <f t="shared" si="22"/>
      </c>
      <c r="AP20" s="238">
        <f t="shared" si="22"/>
      </c>
      <c r="AQ20" s="238">
        <f t="shared" si="22"/>
      </c>
      <c r="AR20" s="238">
        <f t="shared" si="22"/>
      </c>
      <c r="AS20" s="238">
        <f t="shared" si="22"/>
      </c>
      <c r="AT20" s="238">
        <f t="shared" si="22"/>
      </c>
      <c r="AU20" s="238">
        <f t="shared" si="22"/>
      </c>
      <c r="AV20" s="238">
        <f t="shared" si="22"/>
      </c>
      <c r="AW20" s="238">
        <f t="shared" si="22"/>
      </c>
      <c r="AX20" s="238">
        <f t="shared" si="22"/>
      </c>
      <c r="AY20" s="238">
        <f t="shared" si="22"/>
      </c>
      <c r="AZ20" s="238">
        <f t="shared" si="22"/>
      </c>
      <c r="BA20" s="238">
        <f t="shared" si="22"/>
      </c>
      <c r="BB20" s="238">
        <f t="shared" si="22"/>
      </c>
      <c r="BC20" s="238">
        <f t="shared" si="22"/>
      </c>
      <c r="BD20" s="238">
        <f t="shared" si="22"/>
      </c>
      <c r="BE20" s="238">
        <f t="shared" si="22"/>
      </c>
      <c r="BF20" s="238">
        <f t="shared" si="22"/>
      </c>
      <c r="BG20" s="238">
        <f>BG18/BC18-1</f>
      </c>
      <c r="BH20" s="238">
        <f>BH18/BD18-1</f>
      </c>
      <c r="BI20" s="238">
        <f t="shared" si="22"/>
      </c>
      <c r="BJ20" s="238">
        <f t="shared" si="22"/>
      </c>
      <c r="BK20" s="238">
        <f t="shared" si="22"/>
      </c>
      <c r="BL20" s="238">
        <f t="shared" si="22"/>
      </c>
      <c r="BM20" s="238">
        <f t="shared" si="22"/>
      </c>
      <c r="BN20" s="238">
        <f t="shared" si="22"/>
      </c>
      <c r="BO20" s="238">
        <f t="shared" si="22"/>
      </c>
      <c r="BP20" s="238">
        <f t="shared" si="22"/>
      </c>
      <c r="BQ20" s="238">
        <f t="shared" si="22"/>
      </c>
      <c r="BR20" s="238">
        <f t="shared" ref="BR20:CC20" si="23">BR18/BN18-1</f>
      </c>
      <c r="BS20" s="238">
        <f t="shared" si="23"/>
      </c>
      <c r="BT20" s="239">
        <f t="shared" si="23"/>
      </c>
      <c r="BU20" s="239">
        <f t="shared" si="23"/>
      </c>
      <c r="BV20" s="239">
        <f t="shared" si="23"/>
      </c>
      <c r="BW20" s="239">
        <f t="shared" si="23"/>
      </c>
      <c r="BX20" s="239">
        <f t="shared" si="23"/>
      </c>
      <c r="BY20" s="239">
        <f t="shared" si="23"/>
      </c>
      <c r="BZ20" s="239">
        <f t="shared" si="23"/>
      </c>
      <c r="CA20" s="239">
        <f t="shared" si="23"/>
      </c>
      <c r="CB20" s="239">
        <f t="shared" si="23"/>
      </c>
      <c r="CC20" s="239">
        <f t="shared" si="23"/>
      </c>
      <c r="CD20" s="275"/>
      <c r="CE20" s="277"/>
      <c r="CF20" s="238"/>
      <c r="CG20" s="276">
        <f>CG18/CF18-1</f>
      </c>
      <c r="CH20" s="276">
        <f t="shared" ref="CH20:CY20" si="24">CH18/CG18-1</f>
      </c>
      <c r="CI20" s="276">
        <f t="shared" si="24"/>
      </c>
      <c r="CJ20" s="276">
        <f t="shared" si="24"/>
      </c>
      <c r="CK20" s="276">
        <f t="shared" si="24"/>
      </c>
      <c r="CL20" s="276">
        <f t="shared" si="24"/>
      </c>
      <c r="CM20" s="276">
        <f t="shared" si="24"/>
      </c>
      <c r="CN20" s="238">
        <f t="shared" si="24"/>
      </c>
      <c r="CO20" s="238">
        <f t="shared" si="24"/>
      </c>
      <c r="CP20" s="238">
        <f t="shared" si="24"/>
      </c>
      <c r="CQ20" s="238">
        <f t="shared" si="24"/>
      </c>
      <c r="CR20" s="238">
        <f t="shared" si="24"/>
      </c>
      <c r="CS20" s="238">
        <f t="shared" si="24"/>
      </c>
      <c r="CT20" s="238">
        <f t="shared" si="24"/>
      </c>
      <c r="CU20" s="238">
        <f t="shared" si="24"/>
      </c>
      <c r="CV20" s="238">
        <f t="shared" si="24"/>
      </c>
      <c r="CW20" s="247">
        <f t="shared" si="24"/>
      </c>
      <c r="CX20" s="247">
        <f t="shared" si="24"/>
      </c>
      <c r="CY20" s="247">
        <f t="shared" si="24"/>
      </c>
      <c r="CZ20" s="275"/>
    </row>
    <row r="21" spans="1:104" collapsed="1">
      <c r="A21" s="231" t="s">
        <v>539</v>
      </c>
      <c r="B21" s="655"/>
      <c r="C21" s="655"/>
      <c r="D21" s="655"/>
      <c r="E21" s="655"/>
      <c r="F21" s="655"/>
      <c r="G21" s="655"/>
      <c r="H21" s="655"/>
      <c r="I21" s="655"/>
      <c r="J21" s="655"/>
      <c r="K21" s="655"/>
      <c r="L21" s="655"/>
      <c r="M21" s="655"/>
      <c r="N21" s="655"/>
      <c r="O21" s="655"/>
      <c r="P21" s="655"/>
      <c r="Q21" s="655"/>
      <c r="R21" s="655"/>
      <c r="S21" s="655"/>
      <c r="T21" s="655"/>
      <c r="U21" s="655"/>
      <c r="V21" s="655"/>
      <c r="W21" s="655"/>
      <c r="X21" s="655"/>
      <c r="Y21" s="655"/>
      <c r="Z21" s="235">
        <f t="shared" ref="Z21:BE21" si="25">+Z31/Z5*1000</f>
      </c>
      <c r="AA21" s="235">
        <f t="shared" si="25"/>
      </c>
      <c r="AB21" s="235">
        <f t="shared" si="25"/>
      </c>
      <c r="AC21" s="235">
        <f t="shared" si="25"/>
      </c>
      <c r="AD21" s="235">
        <f t="shared" si="25"/>
      </c>
      <c r="AE21" s="235">
        <f t="shared" si="25"/>
      </c>
      <c r="AF21" s="235">
        <f t="shared" si="25"/>
      </c>
      <c r="AG21" s="235">
        <f t="shared" si="25"/>
      </c>
      <c r="AH21" s="235">
        <f t="shared" si="25"/>
      </c>
      <c r="AI21" s="235">
        <f t="shared" si="25"/>
      </c>
      <c r="AJ21" s="235">
        <f t="shared" si="25"/>
      </c>
      <c r="AK21" s="235">
        <f t="shared" si="25"/>
      </c>
      <c r="AL21" s="235">
        <f t="shared" si="25"/>
      </c>
      <c r="AM21" s="235">
        <f t="shared" si="25"/>
      </c>
      <c r="AN21" s="235">
        <f t="shared" si="25"/>
      </c>
      <c r="AO21" s="235">
        <f t="shared" si="25"/>
      </c>
      <c r="AP21" s="235">
        <f t="shared" si="25"/>
      </c>
      <c r="AQ21" s="235">
        <f t="shared" si="25"/>
      </c>
      <c r="AR21" s="235">
        <f t="shared" si="25"/>
      </c>
      <c r="AS21" s="235">
        <f t="shared" si="25"/>
      </c>
      <c r="AT21" s="235">
        <f t="shared" si="25"/>
      </c>
      <c r="AU21" s="235">
        <f t="shared" si="25"/>
      </c>
      <c r="AV21" s="235">
        <f t="shared" si="25"/>
      </c>
      <c r="AW21" s="235">
        <f t="shared" si="25"/>
      </c>
      <c r="AX21" s="235">
        <f t="shared" si="25"/>
      </c>
      <c r="AY21" s="235">
        <f t="shared" si="25"/>
      </c>
      <c r="AZ21" s="235">
        <f t="shared" si="25"/>
      </c>
      <c r="BA21" s="235">
        <f t="shared" si="25"/>
      </c>
      <c r="BB21" s="235">
        <f t="shared" si="25"/>
      </c>
      <c r="BC21" s="235">
        <f t="shared" si="25"/>
      </c>
      <c r="BD21" s="235">
        <f t="shared" si="25"/>
      </c>
      <c r="BE21" s="235">
        <f t="shared" si="25"/>
      </c>
      <c r="BF21" s="235">
        <f t="shared" ref="BF21:CC21" si="26">+BF31/BF5*1000</f>
      </c>
      <c r="BG21" s="235">
        <f t="shared" si="26"/>
      </c>
      <c r="BH21" s="235">
        <f t="shared" si="26"/>
      </c>
      <c r="BI21" s="235">
        <f t="shared" si="26"/>
      </c>
      <c r="BJ21" s="235">
        <f t="shared" si="26"/>
      </c>
      <c r="BK21" s="235">
        <f t="shared" si="26"/>
      </c>
      <c r="BL21" s="235">
        <f t="shared" si="26"/>
      </c>
      <c r="BM21" s="235">
        <f t="shared" si="26"/>
      </c>
      <c r="BN21" s="235">
        <f t="shared" si="26"/>
      </c>
      <c r="BO21" s="235">
        <f t="shared" si="26"/>
      </c>
      <c r="BP21" s="235">
        <f t="shared" si="26"/>
      </c>
      <c r="BQ21" s="235">
        <f t="shared" si="26"/>
      </c>
      <c r="BR21" s="235">
        <f t="shared" si="26"/>
      </c>
      <c r="BS21" s="235">
        <f t="shared" si="26"/>
      </c>
      <c r="BT21" s="236">
        <f t="shared" si="26"/>
      </c>
      <c r="BU21" s="236">
        <f t="shared" si="26"/>
      </c>
      <c r="BV21" s="236">
        <f t="shared" si="26"/>
      </c>
      <c r="BW21" s="236">
        <f t="shared" si="26"/>
      </c>
      <c r="BX21" s="236">
        <f t="shared" si="26"/>
      </c>
      <c r="BY21" s="236">
        <f t="shared" si="26"/>
      </c>
      <c r="BZ21" s="236">
        <f t="shared" si="26"/>
      </c>
      <c r="CA21" s="236">
        <f t="shared" si="26"/>
      </c>
      <c r="CB21" s="236">
        <f t="shared" si="26"/>
      </c>
      <c r="CC21" s="236">
        <f t="shared" si="26"/>
      </c>
      <c r="CE21" s="255"/>
      <c r="CF21" s="655"/>
      <c r="CG21" s="655"/>
      <c r="CH21" s="655"/>
      <c r="CI21" s="655"/>
      <c r="CJ21" s="655"/>
      <c r="CK21" s="655"/>
      <c r="CL21" s="235">
        <f t="shared" ref="CL21:CY21" si="27">+CL31/CL5*1000</f>
      </c>
      <c r="CM21" s="235">
        <f t="shared" si="27"/>
      </c>
      <c r="CN21" s="235">
        <f t="shared" si="27"/>
      </c>
      <c r="CO21" s="235">
        <f t="shared" si="27"/>
      </c>
      <c r="CP21" s="235">
        <f t="shared" si="27"/>
      </c>
      <c r="CQ21" s="235">
        <f t="shared" si="27"/>
      </c>
      <c r="CR21" s="235">
        <f t="shared" si="27"/>
      </c>
      <c r="CS21" s="235">
        <f t="shared" si="27"/>
      </c>
      <c r="CT21" s="235">
        <f t="shared" si="27"/>
      </c>
      <c r="CU21" s="235">
        <f t="shared" si="27"/>
      </c>
      <c r="CV21" s="235">
        <f t="shared" si="27"/>
      </c>
      <c r="CW21" s="236">
        <f t="shared" si="27"/>
      </c>
      <c r="CX21" s="236">
        <f t="shared" si="27"/>
      </c>
      <c r="CY21" s="236">
        <f t="shared" si="27"/>
      </c>
    </row>
    <row r="22" spans="1:104" s="250" customFormat="1">
      <c r="A22" s="63" t="s">
        <v>196</v>
      </c>
      <c r="B22" s="651"/>
      <c r="C22" s="651"/>
      <c r="D22" s="651"/>
      <c r="E22" s="651"/>
      <c r="F22" s="651"/>
      <c r="G22" s="651"/>
      <c r="H22" s="651"/>
      <c r="I22" s="651"/>
      <c r="J22" s="651"/>
      <c r="K22" s="651"/>
      <c r="L22" s="651"/>
      <c r="M22" s="651"/>
      <c r="N22" s="651"/>
      <c r="O22" s="651"/>
      <c r="P22" s="651"/>
      <c r="Q22" s="651"/>
      <c r="R22" s="651"/>
      <c r="S22" s="651"/>
      <c r="T22" s="651"/>
      <c r="U22" s="651"/>
      <c r="V22" s="651"/>
      <c r="W22" s="651"/>
      <c r="X22" s="651"/>
      <c r="Y22" s="651"/>
      <c r="Z22" s="651"/>
      <c r="AA22" s="279">
        <f t="shared" ref="AA22:CC22" si="28">AA21/Z21-1</f>
      </c>
      <c r="AB22" s="279">
        <f t="shared" si="28"/>
      </c>
      <c r="AC22" s="279">
        <f t="shared" si="28"/>
      </c>
      <c r="AD22" s="279">
        <f t="shared" si="28"/>
      </c>
      <c r="AE22" s="279">
        <f t="shared" si="28"/>
      </c>
      <c r="AF22" s="279">
        <f t="shared" si="28"/>
      </c>
      <c r="AG22" s="279">
        <f t="shared" si="28"/>
      </c>
      <c r="AH22" s="279">
        <f t="shared" si="28"/>
      </c>
      <c r="AI22" s="279">
        <f t="shared" si="28"/>
      </c>
      <c r="AJ22" s="279">
        <f t="shared" si="28"/>
      </c>
      <c r="AK22" s="279">
        <f t="shared" si="28"/>
      </c>
      <c r="AL22" s="279">
        <f t="shared" si="28"/>
      </c>
      <c r="AM22" s="279">
        <f t="shared" si="28"/>
      </c>
      <c r="AN22" s="279">
        <f t="shared" si="28"/>
      </c>
      <c r="AO22" s="279">
        <f t="shared" si="28"/>
      </c>
      <c r="AP22" s="279">
        <f t="shared" si="28"/>
      </c>
      <c r="AQ22" s="279">
        <f t="shared" si="28"/>
      </c>
      <c r="AR22" s="279">
        <f t="shared" si="28"/>
      </c>
      <c r="AS22" s="279">
        <f t="shared" si="28"/>
      </c>
      <c r="AT22" s="279">
        <f t="shared" si="28"/>
      </c>
      <c r="AU22" s="279">
        <f t="shared" si="28"/>
      </c>
      <c r="AV22" s="279">
        <f t="shared" si="28"/>
      </c>
      <c r="AW22" s="279">
        <f t="shared" si="28"/>
      </c>
      <c r="AX22" s="279">
        <f t="shared" si="28"/>
      </c>
      <c r="AY22" s="279">
        <f t="shared" si="28"/>
      </c>
      <c r="AZ22" s="279">
        <f t="shared" si="28"/>
      </c>
      <c r="BA22" s="279">
        <f t="shared" si="28"/>
      </c>
      <c r="BB22" s="279">
        <f t="shared" si="28"/>
      </c>
      <c r="BC22" s="279">
        <f t="shared" si="28"/>
      </c>
      <c r="BD22" s="279">
        <f t="shared" si="28"/>
      </c>
      <c r="BE22" s="279">
        <f t="shared" si="28"/>
      </c>
      <c r="BF22" s="279">
        <f t="shared" si="28"/>
      </c>
      <c r="BG22" s="279">
        <f t="shared" si="28"/>
      </c>
      <c r="BH22" s="279">
        <f t="shared" si="28"/>
      </c>
      <c r="BI22" s="279">
        <f t="shared" si="28"/>
      </c>
      <c r="BJ22" s="279">
        <f t="shared" si="28"/>
      </c>
      <c r="BK22" s="279">
        <f t="shared" si="28"/>
      </c>
      <c r="BL22" s="279">
        <f t="shared" si="28"/>
      </c>
      <c r="BM22" s="279">
        <f t="shared" si="28"/>
      </c>
      <c r="BN22" s="279">
        <f t="shared" si="28"/>
      </c>
      <c r="BO22" s="279">
        <f t="shared" si="28"/>
      </c>
      <c r="BP22" s="279">
        <f t="shared" si="28"/>
      </c>
      <c r="BQ22" s="279">
        <f t="shared" si="28"/>
      </c>
      <c r="BR22" s="279">
        <f t="shared" si="28"/>
      </c>
      <c r="BS22" s="279">
        <f t="shared" si="28"/>
      </c>
      <c r="BT22" s="282">
        <f t="shared" si="28"/>
      </c>
      <c r="BU22" s="282">
        <f t="shared" si="28"/>
      </c>
      <c r="BV22" s="282">
        <f t="shared" si="28"/>
      </c>
      <c r="BW22" s="282">
        <f t="shared" si="28"/>
      </c>
      <c r="BX22" s="282">
        <f t="shared" si="28"/>
      </c>
      <c r="BY22" s="282">
        <f t="shared" si="28"/>
      </c>
      <c r="BZ22" s="282">
        <f t="shared" si="28"/>
      </c>
      <c r="CA22" s="282">
        <f t="shared" si="28"/>
      </c>
      <c r="CB22" s="282">
        <f t="shared" si="28"/>
      </c>
      <c r="CC22" s="282">
        <f t="shared" si="28"/>
      </c>
      <c r="CE22" s="255"/>
      <c r="CF22" s="651"/>
      <c r="CG22" s="651"/>
      <c r="CH22" s="651"/>
      <c r="CI22" s="651"/>
      <c r="CJ22" s="651"/>
      <c r="CK22" s="651"/>
      <c r="CL22" s="651"/>
      <c r="CM22" s="651"/>
      <c r="CN22" s="651"/>
      <c r="CO22" s="651"/>
      <c r="CP22" s="651"/>
      <c r="CQ22" s="651"/>
      <c r="CR22" s="651"/>
      <c r="CS22" s="651"/>
      <c r="CT22" s="651"/>
      <c r="CU22" s="651"/>
      <c r="CV22" s="651"/>
      <c r="CW22" s="656"/>
      <c r="CX22" s="656"/>
      <c r="CY22" s="656"/>
    </row>
    <row r="23" spans="1:104" s="250" customFormat="1">
      <c r="A23" s="63" t="s">
        <v>198</v>
      </c>
      <c r="B23" s="651"/>
      <c r="C23" s="651"/>
      <c r="D23" s="651"/>
      <c r="E23" s="651"/>
      <c r="F23" s="651"/>
      <c r="G23" s="651"/>
      <c r="H23" s="651"/>
      <c r="I23" s="651"/>
      <c r="J23" s="651"/>
      <c r="K23" s="651"/>
      <c r="L23" s="651"/>
      <c r="M23" s="651"/>
      <c r="N23" s="651"/>
      <c r="O23" s="651"/>
      <c r="P23" s="651"/>
      <c r="Q23" s="651"/>
      <c r="R23" s="651"/>
      <c r="S23" s="651"/>
      <c r="T23" s="651"/>
      <c r="U23" s="651"/>
      <c r="V23" s="651"/>
      <c r="W23" s="651"/>
      <c r="X23" s="651"/>
      <c r="Y23" s="651"/>
      <c r="Z23" s="651"/>
      <c r="AA23" s="279"/>
      <c r="AB23" s="279"/>
      <c r="AC23" s="279"/>
      <c r="AD23" s="279">
        <f t="shared" ref="AD23:CC23" si="29">AD21/Z21-1</f>
      </c>
      <c r="AE23" s="279">
        <f t="shared" si="29"/>
      </c>
      <c r="AF23" s="279">
        <f t="shared" si="29"/>
      </c>
      <c r="AG23" s="279">
        <f t="shared" si="29"/>
      </c>
      <c r="AH23" s="279">
        <f t="shared" si="29"/>
      </c>
      <c r="AI23" s="279">
        <f t="shared" si="29"/>
      </c>
      <c r="AJ23" s="279">
        <f t="shared" si="29"/>
      </c>
      <c r="AK23" s="279">
        <f t="shared" si="29"/>
      </c>
      <c r="AL23" s="279">
        <f t="shared" si="29"/>
      </c>
      <c r="AM23" s="279">
        <f t="shared" si="29"/>
      </c>
      <c r="AN23" s="279">
        <f t="shared" si="29"/>
      </c>
      <c r="AO23" s="279">
        <f t="shared" si="29"/>
      </c>
      <c r="AP23" s="279">
        <f t="shared" si="29"/>
      </c>
      <c r="AQ23" s="279">
        <f t="shared" si="29"/>
      </c>
      <c r="AR23" s="279">
        <f t="shared" si="29"/>
      </c>
      <c r="AS23" s="279">
        <f t="shared" si="29"/>
      </c>
      <c r="AT23" s="279">
        <f t="shared" si="29"/>
      </c>
      <c r="AU23" s="279">
        <f t="shared" si="29"/>
      </c>
      <c r="AV23" s="279">
        <f t="shared" si="29"/>
      </c>
      <c r="AW23" s="279">
        <f t="shared" si="29"/>
      </c>
      <c r="AX23" s="279">
        <f t="shared" si="29"/>
      </c>
      <c r="AY23" s="279">
        <f t="shared" si="29"/>
      </c>
      <c r="AZ23" s="279">
        <f t="shared" si="29"/>
      </c>
      <c r="BA23" s="279">
        <f t="shared" si="29"/>
      </c>
      <c r="BB23" s="279">
        <f t="shared" si="29"/>
      </c>
      <c r="BC23" s="279">
        <f t="shared" si="29"/>
      </c>
      <c r="BD23" s="279">
        <f t="shared" si="29"/>
      </c>
      <c r="BE23" s="279">
        <f t="shared" si="29"/>
      </c>
      <c r="BF23" s="279">
        <f t="shared" si="29"/>
      </c>
      <c r="BG23" s="279">
        <f t="shared" si="29"/>
      </c>
      <c r="BH23" s="279">
        <f t="shared" si="29"/>
      </c>
      <c r="BI23" s="279">
        <f t="shared" si="29"/>
      </c>
      <c r="BJ23" s="279">
        <f t="shared" si="29"/>
      </c>
      <c r="BK23" s="279">
        <f t="shared" si="29"/>
      </c>
      <c r="BL23" s="279">
        <f t="shared" si="29"/>
      </c>
      <c r="BM23" s="279">
        <f t="shared" si="29"/>
      </c>
      <c r="BN23" s="279">
        <f t="shared" si="29"/>
      </c>
      <c r="BO23" s="279">
        <f t="shared" si="29"/>
      </c>
      <c r="BP23" s="279">
        <f t="shared" si="29"/>
      </c>
      <c r="BQ23" s="279">
        <f t="shared" si="29"/>
      </c>
      <c r="BR23" s="279">
        <f t="shared" si="29"/>
      </c>
      <c r="BS23" s="279">
        <f t="shared" si="29"/>
      </c>
      <c r="BT23" s="282">
        <f t="shared" si="29"/>
      </c>
      <c r="BU23" s="282">
        <f t="shared" si="29"/>
      </c>
      <c r="BV23" s="282">
        <f t="shared" si="29"/>
      </c>
      <c r="BW23" s="282">
        <f t="shared" si="29"/>
      </c>
      <c r="BX23" s="282">
        <f t="shared" si="29"/>
      </c>
      <c r="BY23" s="282">
        <f t="shared" si="29"/>
      </c>
      <c r="BZ23" s="282">
        <f t="shared" si="29"/>
      </c>
      <c r="CA23" s="282">
        <f t="shared" si="29"/>
      </c>
      <c r="CB23" s="282">
        <f t="shared" si="29"/>
      </c>
      <c r="CC23" s="282">
        <f t="shared" si="29"/>
      </c>
      <c r="CE23" s="255"/>
      <c r="CF23" s="651"/>
      <c r="CG23" s="651"/>
      <c r="CH23" s="651"/>
      <c r="CI23" s="651"/>
      <c r="CJ23" s="651"/>
      <c r="CK23" s="651"/>
      <c r="CL23" s="238"/>
      <c r="CM23" s="276">
        <f t="shared" ref="CM23:CY23" si="30">CM21/CL21-1</f>
      </c>
      <c r="CN23" s="238">
        <f t="shared" si="30"/>
      </c>
      <c r="CO23" s="238">
        <f t="shared" si="30"/>
      </c>
      <c r="CP23" s="238">
        <f t="shared" si="30"/>
      </c>
      <c r="CQ23" s="238">
        <f t="shared" si="30"/>
      </c>
      <c r="CR23" s="238">
        <f t="shared" si="30"/>
      </c>
      <c r="CS23" s="238">
        <f t="shared" si="30"/>
      </c>
      <c r="CT23" s="238">
        <f t="shared" si="30"/>
      </c>
      <c r="CU23" s="238">
        <f t="shared" si="30"/>
      </c>
      <c r="CV23" s="238">
        <f t="shared" si="30"/>
      </c>
      <c r="CW23" s="247">
        <f t="shared" si="30"/>
      </c>
      <c r="CX23" s="247">
        <f t="shared" si="30"/>
      </c>
      <c r="CY23" s="247">
        <f t="shared" si="30"/>
      </c>
    </row>
    <row r="24" spans="1:104" s="261" customFormat="1">
      <c r="A24" s="274" t="s">
        <v>226</v>
      </c>
      <c r="B24" s="235"/>
      <c r="C24" s="235"/>
      <c r="D24" s="235"/>
      <c r="E24" s="235"/>
      <c r="F24" s="235"/>
      <c r="G24" s="235"/>
      <c r="H24" s="235"/>
      <c r="I24" s="235"/>
      <c r="J24" s="235"/>
      <c r="K24" s="235"/>
      <c r="L24" s="235"/>
      <c r="M24" s="235"/>
      <c r="N24" s="235"/>
      <c r="O24" s="235"/>
      <c r="P24" s="235"/>
      <c r="Q24" s="235"/>
      <c r="R24" s="235"/>
      <c r="S24" s="235"/>
      <c r="T24" s="235"/>
      <c r="U24" s="235"/>
      <c r="V24" s="235"/>
      <c r="W24" s="235"/>
      <c r="X24" s="235"/>
      <c r="Y24" s="235"/>
      <c r="Z24" s="235">
        <v>42.192770385830656</v>
      </c>
      <c r="AA24" s="235">
        <v>43.943328584717889</v>
      </c>
      <c r="AB24" s="235">
        <v>46.617252921918308</v>
      </c>
      <c r="AC24" s="235">
        <v>54.689958216476775</v>
      </c>
      <c r="AD24" s="235">
        <v>56.626084609963264</v>
      </c>
      <c r="AE24" s="235">
        <v>75.465354946802222</v>
      </c>
      <c r="AF24" s="235">
        <v>69.649085667573246</v>
      </c>
      <c r="AG24" s="235">
        <v>74.560245722230363</v>
      </c>
      <c r="AH24" s="235">
        <v>65.510918874096063</v>
      </c>
      <c r="AI24" s="235">
        <v>97.066032934920074</v>
      </c>
      <c r="AJ24" s="235">
        <v>103.96145817046397</v>
      </c>
      <c r="AK24" s="235">
        <v>104.49892774415991</v>
      </c>
      <c r="AL24" s="235">
        <v>99.826632267842839</v>
      </c>
      <c r="AM24" s="235">
        <v>96.863982762425621</v>
      </c>
      <c r="AN24" s="235">
        <v>90.980794420044987</v>
      </c>
      <c r="AO24" s="235">
        <v>107.48512413584254</v>
      </c>
      <c r="AP24" s="235">
        <v>113.31327805327476</v>
      </c>
      <c r="AQ24" s="235">
        <v>147.12965965885141</v>
      </c>
      <c r="AR24" s="235">
        <v>156.56126725391698</v>
      </c>
      <c r="AS24" s="235">
        <v>97.39162364357226</v>
      </c>
      <c r="AT24" s="235">
        <v>111.65508703861616</v>
      </c>
      <c r="AU24" s="235">
        <v>127.35137895760842</v>
      </c>
      <c r="AV24" s="235">
        <v>105.95901730590967</v>
      </c>
      <c r="AW24" s="235">
        <v>108.37451013656106</v>
      </c>
      <c r="AX24" s="235">
        <v>101.29246110688302</v>
      </c>
      <c r="AY24" s="235">
        <v>98.210342292808136</v>
      </c>
      <c r="AZ24" s="235">
        <v>135.97194559790177</v>
      </c>
      <c r="BA24" s="235">
        <v>162.94707381199495</v>
      </c>
      <c r="BB24" s="235">
        <f>BA24*1.1</f>
      </c>
      <c r="BC24" s="235">
        <v>194.33174556508109</v>
      </c>
      <c r="BD24" s="235">
        <v>174.02787542006334</v>
      </c>
      <c r="BE24" s="235">
        <v>204.73487385772418</v>
      </c>
      <c r="BF24" s="235">
        <v>208.82957133487866</v>
      </c>
      <c r="BG24" s="235">
        <v>125</v>
      </c>
      <c r="BH24" s="235">
        <f>BG24*1</f>
      </c>
      <c r="BI24" s="235">
        <f t="shared" ref="BI24:CC24" si="31">BH24*(1+BI25)</f>
      </c>
      <c r="BJ24" s="235">
        <f t="shared" si="31"/>
      </c>
      <c r="BK24" s="235">
        <f t="shared" si="31"/>
      </c>
      <c r="BL24" s="235">
        <f t="shared" si="31"/>
      </c>
      <c r="BM24" s="235">
        <f t="shared" si="31"/>
      </c>
      <c r="BN24" s="235">
        <f t="shared" si="31"/>
      </c>
      <c r="BO24" s="235">
        <f t="shared" si="31"/>
      </c>
      <c r="BP24" s="235">
        <f t="shared" si="31"/>
      </c>
      <c r="BQ24" s="235">
        <f t="shared" si="31"/>
      </c>
      <c r="BR24" s="235">
        <f t="shared" si="31"/>
      </c>
      <c r="BS24" s="235">
        <f t="shared" si="31"/>
      </c>
      <c r="BT24" s="236">
        <f t="shared" si="31"/>
      </c>
      <c r="BU24" s="236">
        <f t="shared" si="31"/>
      </c>
      <c r="BV24" s="236">
        <f t="shared" si="31"/>
      </c>
      <c r="BW24" s="236">
        <f t="shared" si="31"/>
      </c>
      <c r="BX24" s="236">
        <f t="shared" si="31"/>
      </c>
      <c r="BY24" s="236">
        <f t="shared" si="31"/>
      </c>
      <c r="BZ24" s="236">
        <f t="shared" si="31"/>
      </c>
      <c r="CA24" s="236">
        <f t="shared" si="31"/>
      </c>
      <c r="CB24" s="236">
        <f t="shared" si="31"/>
      </c>
      <c r="CC24" s="236">
        <f t="shared" si="31"/>
      </c>
      <c r="CD24" s="283"/>
      <c r="CE24" s="284"/>
      <c r="CF24" s="235"/>
      <c r="CG24" s="235"/>
      <c r="CH24" s="235"/>
      <c r="CI24" s="235"/>
      <c r="CJ24" s="235"/>
      <c r="CK24" s="235"/>
      <c r="CL24" s="235">
        <f t="shared" ref="CL24:CY24" si="32">+CL34/CL9*1000</f>
      </c>
      <c r="CM24" s="235">
        <f t="shared" si="32"/>
      </c>
      <c r="CN24" s="235">
        <f t="shared" si="32"/>
      </c>
      <c r="CO24" s="235">
        <f t="shared" si="32"/>
      </c>
      <c r="CP24" s="235">
        <f t="shared" si="32"/>
      </c>
      <c r="CQ24" s="235">
        <f t="shared" si="32"/>
      </c>
      <c r="CR24" s="235">
        <f t="shared" si="32"/>
      </c>
      <c r="CS24" s="235">
        <f t="shared" si="32"/>
      </c>
      <c r="CT24" s="235">
        <f t="shared" si="32"/>
      </c>
      <c r="CU24" s="235">
        <f t="shared" si="32"/>
      </c>
      <c r="CV24" s="235">
        <f t="shared" si="32"/>
      </c>
      <c r="CW24" s="236">
        <f t="shared" si="32"/>
      </c>
      <c r="CX24" s="236">
        <f t="shared" si="32"/>
      </c>
      <c r="CY24" s="236">
        <f t="shared" si="32"/>
      </c>
      <c r="CZ24" s="283"/>
    </row>
    <row r="25" spans="1:104" s="276" customFormat="1">
      <c r="A25" s="277" t="s">
        <v>196</v>
      </c>
      <c r="B25" s="238"/>
      <c r="C25" s="238"/>
      <c r="D25" s="238"/>
      <c r="E25" s="238"/>
      <c r="F25" s="238"/>
      <c r="G25" s="238"/>
      <c r="H25" s="238"/>
      <c r="I25" s="238"/>
      <c r="J25" s="238"/>
      <c r="K25" s="238"/>
      <c r="L25" s="238"/>
      <c r="M25" s="238"/>
      <c r="N25" s="238"/>
      <c r="O25" s="238"/>
      <c r="P25" s="238"/>
      <c r="Q25" s="238"/>
      <c r="R25" s="238"/>
      <c r="S25" s="238"/>
      <c r="T25" s="238"/>
      <c r="U25" s="238"/>
      <c r="V25" s="238"/>
      <c r="W25" s="238"/>
      <c r="X25" s="238"/>
      <c r="Y25" s="238"/>
      <c r="Z25" s="238"/>
      <c r="AA25" s="279">
        <f t="shared" ref="AA25:BH25" si="33">AA24/Z24-1</f>
      </c>
      <c r="AB25" s="279">
        <f t="shared" si="33"/>
      </c>
      <c r="AC25" s="279">
        <f t="shared" si="33"/>
      </c>
      <c r="AD25" s="279">
        <f t="shared" si="33"/>
      </c>
      <c r="AE25" s="279">
        <f t="shared" si="33"/>
      </c>
      <c r="AF25" s="279">
        <f t="shared" si="33"/>
      </c>
      <c r="AG25" s="279">
        <f t="shared" si="33"/>
      </c>
      <c r="AH25" s="279">
        <f t="shared" si="33"/>
      </c>
      <c r="AI25" s="279">
        <f t="shared" si="33"/>
      </c>
      <c r="AJ25" s="279">
        <f t="shared" si="33"/>
      </c>
      <c r="AK25" s="279">
        <f t="shared" si="33"/>
      </c>
      <c r="AL25" s="279">
        <f t="shared" si="33"/>
      </c>
      <c r="AM25" s="279">
        <f t="shared" si="33"/>
      </c>
      <c r="AN25" s="279">
        <f t="shared" si="33"/>
      </c>
      <c r="AO25" s="279">
        <f t="shared" si="33"/>
      </c>
      <c r="AP25" s="279">
        <f t="shared" si="33"/>
      </c>
      <c r="AQ25" s="279">
        <f t="shared" si="33"/>
      </c>
      <c r="AR25" s="279">
        <f t="shared" si="33"/>
      </c>
      <c r="AS25" s="279">
        <f t="shared" si="33"/>
      </c>
      <c r="AT25" s="279">
        <f t="shared" si="33"/>
      </c>
      <c r="AU25" s="279">
        <f t="shared" si="33"/>
      </c>
      <c r="AV25" s="279">
        <f t="shared" si="33"/>
      </c>
      <c r="AW25" s="279">
        <f t="shared" si="33"/>
      </c>
      <c r="AX25" s="279">
        <f t="shared" si="33"/>
      </c>
      <c r="AY25" s="279">
        <f t="shared" si="33"/>
      </c>
      <c r="AZ25" s="279">
        <f t="shared" si="33"/>
      </c>
      <c r="BA25" s="279">
        <f t="shared" si="33"/>
      </c>
      <c r="BB25" s="279">
        <f t="shared" si="33"/>
      </c>
      <c r="BC25" s="279">
        <f t="shared" si="33"/>
      </c>
      <c r="BD25" s="279">
        <f t="shared" si="33"/>
      </c>
      <c r="BE25" s="279">
        <f t="shared" si="33"/>
      </c>
      <c r="BF25" s="279">
        <f t="shared" si="33"/>
      </c>
      <c r="BG25" s="279">
        <f t="shared" si="33"/>
      </c>
      <c r="BH25" s="279">
        <f t="shared" si="33"/>
      </c>
      <c r="BI25" s="279">
        <v>0.34</v>
      </c>
      <c r="BJ25" s="279">
        <v>0.3</v>
      </c>
      <c r="BK25" s="279">
        <v>7.0000000000000007E-2</v>
      </c>
      <c r="BL25" s="279">
        <v>-7.0000000000000007E-2</v>
      </c>
      <c r="BM25" s="279">
        <v>3.1699999999999999E-2</v>
      </c>
      <c r="BN25" s="279">
        <v>0.04</v>
      </c>
      <c r="BO25" s="279">
        <v>-0.03</v>
      </c>
      <c r="BP25" s="279">
        <v>0.1169</v>
      </c>
      <c r="BQ25" s="279">
        <v>-8.3000000000000004E-2</v>
      </c>
      <c r="BR25" s="279">
        <v>0.3</v>
      </c>
      <c r="BS25" s="279">
        <v>0.08</v>
      </c>
      <c r="BT25" s="239">
        <v>0.02</v>
      </c>
      <c r="BU25" s="239">
        <v>0.01</v>
      </c>
      <c r="BV25" s="239">
        <v>0.01</v>
      </c>
      <c r="BW25" s="239">
        <v>0.01</v>
      </c>
      <c r="BX25" s="239">
        <v>0.01</v>
      </c>
      <c r="BY25" s="239">
        <v>0.01</v>
      </c>
      <c r="BZ25" s="239">
        <v>0.01</v>
      </c>
      <c r="CA25" s="239">
        <v>0.01</v>
      </c>
      <c r="CB25" s="239">
        <v>0.01</v>
      </c>
      <c r="CC25" s="239">
        <v>0.01</v>
      </c>
      <c r="CD25" s="275"/>
      <c r="CE25" s="255"/>
      <c r="CF25" s="239"/>
      <c r="CG25" s="239"/>
      <c r="CH25" s="239"/>
      <c r="CI25" s="239"/>
      <c r="CJ25" s="239"/>
      <c r="CK25" s="239"/>
      <c r="CL25" s="239"/>
      <c r="CM25" s="239"/>
      <c r="CN25" s="241"/>
      <c r="CO25" s="245"/>
      <c r="CP25" s="245"/>
      <c r="CQ25" s="245"/>
      <c r="CR25" s="245"/>
      <c r="CS25" s="254"/>
      <c r="CT25" s="254"/>
      <c r="CU25" s="254"/>
      <c r="CV25" s="254"/>
      <c r="CW25" s="245"/>
      <c r="CX25" s="245"/>
      <c r="CY25" s="245"/>
      <c r="CZ25" s="275"/>
    </row>
    <row r="26" spans="1:104" s="276" customFormat="1">
      <c r="A26" s="277" t="s">
        <v>198</v>
      </c>
      <c r="B26" s="238"/>
      <c r="C26" s="238"/>
      <c r="D26" s="238"/>
      <c r="E26" s="238"/>
      <c r="F26" s="238"/>
      <c r="G26" s="238"/>
      <c r="H26" s="238"/>
      <c r="I26" s="238"/>
      <c r="J26" s="238"/>
      <c r="K26" s="238"/>
      <c r="L26" s="238"/>
      <c r="M26" s="238"/>
      <c r="N26" s="238"/>
      <c r="O26" s="238"/>
      <c r="P26" s="238"/>
      <c r="Q26" s="238"/>
      <c r="R26" s="238"/>
      <c r="S26" s="238"/>
      <c r="T26" s="238"/>
      <c r="U26" s="238"/>
      <c r="V26" s="238"/>
      <c r="W26" s="238"/>
      <c r="X26" s="238"/>
      <c r="Y26" s="238"/>
      <c r="Z26" s="238"/>
      <c r="AA26" s="279"/>
      <c r="AB26" s="279"/>
      <c r="AC26" s="279"/>
      <c r="AD26" s="279">
        <f t="shared" ref="AD26:CC26" si="34">AD24/Z24-1</f>
      </c>
      <c r="AE26" s="279">
        <f t="shared" si="34"/>
      </c>
      <c r="AF26" s="279">
        <f t="shared" si="34"/>
      </c>
      <c r="AG26" s="279">
        <f t="shared" si="34"/>
      </c>
      <c r="AH26" s="279">
        <f t="shared" si="34"/>
      </c>
      <c r="AI26" s="279">
        <f t="shared" si="34"/>
      </c>
      <c r="AJ26" s="279">
        <f t="shared" si="34"/>
      </c>
      <c r="AK26" s="279">
        <f t="shared" si="34"/>
      </c>
      <c r="AL26" s="279">
        <f t="shared" si="34"/>
      </c>
      <c r="AM26" s="279">
        <f t="shared" si="34"/>
      </c>
      <c r="AN26" s="279">
        <f t="shared" si="34"/>
      </c>
      <c r="AO26" s="279">
        <f t="shared" si="34"/>
      </c>
      <c r="AP26" s="279">
        <f t="shared" si="34"/>
      </c>
      <c r="AQ26" s="279">
        <f t="shared" si="34"/>
      </c>
      <c r="AR26" s="279">
        <f t="shared" si="34"/>
      </c>
      <c r="AS26" s="279">
        <f t="shared" si="34"/>
      </c>
      <c r="AT26" s="279">
        <f t="shared" si="34"/>
      </c>
      <c r="AU26" s="279">
        <f t="shared" si="34"/>
      </c>
      <c r="AV26" s="279">
        <f t="shared" si="34"/>
      </c>
      <c r="AW26" s="279">
        <f t="shared" si="34"/>
      </c>
      <c r="AX26" s="279">
        <f t="shared" si="34"/>
      </c>
      <c r="AY26" s="279">
        <f t="shared" si="34"/>
      </c>
      <c r="AZ26" s="279">
        <f t="shared" si="34"/>
      </c>
      <c r="BA26" s="279">
        <f t="shared" si="34"/>
      </c>
      <c r="BB26" s="279">
        <f t="shared" si="34"/>
      </c>
      <c r="BC26" s="279">
        <f t="shared" si="34"/>
      </c>
      <c r="BD26" s="279">
        <f t="shared" si="34"/>
      </c>
      <c r="BE26" s="279">
        <f t="shared" si="34"/>
      </c>
      <c r="BF26" s="279">
        <f t="shared" si="34"/>
      </c>
      <c r="BG26" s="279">
        <f>BG24/BC24-1</f>
      </c>
      <c r="BH26" s="279">
        <f>BH24/BD24-1</f>
      </c>
      <c r="BI26" s="279">
        <f t="shared" si="34"/>
      </c>
      <c r="BJ26" s="279">
        <f t="shared" si="34"/>
      </c>
      <c r="BK26" s="279">
        <f t="shared" si="34"/>
      </c>
      <c r="BL26" s="279">
        <f t="shared" si="34"/>
      </c>
      <c r="BM26" s="279">
        <f t="shared" si="34"/>
      </c>
      <c r="BN26" s="279">
        <f t="shared" si="34"/>
      </c>
      <c r="BO26" s="279">
        <f t="shared" si="34"/>
      </c>
      <c r="BP26" s="279">
        <f t="shared" si="34"/>
      </c>
      <c r="BQ26" s="279">
        <f t="shared" si="34"/>
      </c>
      <c r="BR26" s="279">
        <f t="shared" si="34"/>
      </c>
      <c r="BS26" s="279">
        <f t="shared" si="34"/>
      </c>
      <c r="BT26" s="239">
        <f t="shared" si="34"/>
      </c>
      <c r="BU26" s="239">
        <f t="shared" si="34"/>
      </c>
      <c r="BV26" s="239">
        <f t="shared" si="34"/>
      </c>
      <c r="BW26" s="239">
        <f t="shared" si="34"/>
      </c>
      <c r="BX26" s="239">
        <f t="shared" si="34"/>
      </c>
      <c r="BY26" s="239">
        <f t="shared" si="34"/>
      </c>
      <c r="BZ26" s="239">
        <f t="shared" si="34"/>
      </c>
      <c r="CA26" s="239">
        <f t="shared" si="34"/>
      </c>
      <c r="CB26" s="239">
        <f t="shared" si="34"/>
      </c>
      <c r="CC26" s="239">
        <f t="shared" si="34"/>
      </c>
      <c r="CD26" s="275"/>
      <c r="CE26" s="255"/>
      <c r="CF26" s="238"/>
      <c r="CG26" s="238"/>
      <c r="CH26" s="238"/>
      <c r="CI26" s="238"/>
      <c r="CJ26" s="238"/>
      <c r="CK26" s="238"/>
      <c r="CL26" s="238"/>
      <c r="CM26" s="238">
        <f t="shared" ref="CM26:CY26" si="35">CM24/CL24-1</f>
      </c>
      <c r="CN26" s="238">
        <f t="shared" si="35"/>
      </c>
      <c r="CO26" s="238">
        <f t="shared" si="35"/>
      </c>
      <c r="CP26" s="238">
        <f t="shared" si="35"/>
      </c>
      <c r="CQ26" s="238">
        <f t="shared" si="35"/>
      </c>
      <c r="CR26" s="238">
        <f t="shared" si="35"/>
      </c>
      <c r="CS26" s="238">
        <f t="shared" si="35"/>
      </c>
      <c r="CT26" s="238">
        <f t="shared" si="35"/>
      </c>
      <c r="CU26" s="238">
        <f t="shared" si="35"/>
      </c>
      <c r="CV26" s="238">
        <f t="shared" si="35"/>
      </c>
      <c r="CW26" s="247">
        <f t="shared" si="35"/>
      </c>
      <c r="CX26" s="247">
        <f t="shared" si="35"/>
      </c>
      <c r="CY26" s="247">
        <f t="shared" si="35"/>
      </c>
      <c r="CZ26" s="275"/>
    </row>
    <row r="27" spans="1:104" s="276" customFormat="1">
      <c r="A27" s="277" t="s">
        <v>540</v>
      </c>
      <c r="B27" s="238"/>
      <c r="C27" s="238"/>
      <c r="D27" s="238"/>
      <c r="E27" s="238"/>
      <c r="F27" s="238"/>
      <c r="G27" s="238"/>
      <c r="H27" s="238"/>
      <c r="I27" s="238"/>
      <c r="J27" s="238"/>
      <c r="K27" s="238"/>
      <c r="L27" s="238"/>
      <c r="M27" s="238"/>
      <c r="N27" s="238"/>
      <c r="O27" s="238"/>
      <c r="P27" s="238"/>
      <c r="Q27" s="238"/>
      <c r="R27" s="238"/>
      <c r="S27" s="238"/>
      <c r="T27" s="238"/>
      <c r="U27" s="238"/>
      <c r="V27" s="238"/>
      <c r="W27" s="238"/>
      <c r="X27" s="238"/>
      <c r="Y27" s="238"/>
      <c r="Z27" s="238">
        <f t="shared" ref="Z27:BE27" si="36">Z24/Z48-1</f>
      </c>
      <c r="AA27" s="238">
        <f t="shared" si="36"/>
      </c>
      <c r="AB27" s="238">
        <f t="shared" si="36"/>
      </c>
      <c r="AC27" s="238">
        <f t="shared" si="36"/>
      </c>
      <c r="AD27" s="238">
        <f t="shared" si="36"/>
      </c>
      <c r="AE27" s="238">
        <f t="shared" si="36"/>
      </c>
      <c r="AF27" s="238">
        <f t="shared" si="36"/>
      </c>
      <c r="AG27" s="238">
        <f t="shared" si="36"/>
      </c>
      <c r="AH27" s="238">
        <f t="shared" si="36"/>
      </c>
      <c r="AI27" s="238">
        <f t="shared" si="36"/>
      </c>
      <c r="AJ27" s="238">
        <f t="shared" si="36"/>
      </c>
      <c r="AK27" s="238">
        <f t="shared" si="36"/>
      </c>
      <c r="AL27" s="238">
        <f t="shared" si="36"/>
      </c>
      <c r="AM27" s="238">
        <f t="shared" si="36"/>
      </c>
      <c r="AN27" s="238">
        <f t="shared" si="36"/>
      </c>
      <c r="AO27" s="238">
        <f t="shared" si="36"/>
      </c>
      <c r="AP27" s="238">
        <f t="shared" si="36"/>
      </c>
      <c r="AQ27" s="238">
        <f t="shared" si="36"/>
      </c>
      <c r="AR27" s="238">
        <f t="shared" si="36"/>
      </c>
      <c r="AS27" s="238">
        <f t="shared" si="36"/>
      </c>
      <c r="AT27" s="238">
        <f t="shared" si="36"/>
      </c>
      <c r="AU27" s="238">
        <f t="shared" si="36"/>
      </c>
      <c r="AV27" s="238">
        <f t="shared" si="36"/>
      </c>
      <c r="AW27" s="238">
        <f t="shared" si="36"/>
      </c>
      <c r="AX27" s="238">
        <f t="shared" si="36"/>
      </c>
      <c r="AY27" s="238">
        <f t="shared" si="36"/>
      </c>
      <c r="AZ27" s="238">
        <f t="shared" si="36"/>
      </c>
      <c r="BA27" s="238">
        <f t="shared" si="36"/>
      </c>
      <c r="BB27" s="238">
        <f t="shared" si="36"/>
      </c>
      <c r="BC27" s="238">
        <f t="shared" si="36"/>
      </c>
      <c r="BD27" s="238">
        <f t="shared" si="36"/>
      </c>
      <c r="BE27" s="238">
        <f t="shared" si="36"/>
      </c>
      <c r="BF27" s="238">
        <f t="shared" ref="BF27:CC27" si="37">BF24/BF48-1</f>
      </c>
      <c r="BG27" s="238">
        <f t="shared" si="37"/>
      </c>
      <c r="BH27" s="238">
        <f t="shared" si="37"/>
      </c>
      <c r="BI27" s="238">
        <f t="shared" si="37"/>
      </c>
      <c r="BJ27" s="238">
        <f t="shared" si="37"/>
      </c>
      <c r="BK27" s="238">
        <f t="shared" si="37"/>
      </c>
      <c r="BL27" s="238">
        <f t="shared" si="37"/>
      </c>
      <c r="BM27" s="238">
        <f t="shared" si="37"/>
      </c>
      <c r="BN27" s="238">
        <f t="shared" si="37"/>
      </c>
      <c r="BO27" s="238">
        <f t="shared" si="37"/>
      </c>
      <c r="BP27" s="238">
        <f t="shared" si="37"/>
      </c>
      <c r="BQ27" s="238">
        <f t="shared" si="37"/>
      </c>
      <c r="BR27" s="238">
        <f t="shared" si="37"/>
      </c>
      <c r="BS27" s="238">
        <f t="shared" si="37"/>
      </c>
      <c r="BT27" s="239">
        <f t="shared" si="37"/>
      </c>
      <c r="BU27" s="239">
        <f t="shared" si="37"/>
      </c>
      <c r="BV27" s="239">
        <f t="shared" si="37"/>
      </c>
      <c r="BW27" s="239">
        <f t="shared" si="37"/>
      </c>
      <c r="BX27" s="239">
        <f t="shared" si="37"/>
      </c>
      <c r="BY27" s="239">
        <f t="shared" si="37"/>
      </c>
      <c r="BZ27" s="239">
        <f t="shared" si="37"/>
      </c>
      <c r="CA27" s="239">
        <f t="shared" si="37"/>
      </c>
      <c r="CB27" s="239">
        <f t="shared" si="37"/>
      </c>
      <c r="CC27" s="239">
        <f t="shared" si="37"/>
      </c>
      <c r="CD27" s="275"/>
      <c r="CE27" s="255"/>
      <c r="CF27" s="238"/>
      <c r="CG27" s="238"/>
      <c r="CH27" s="238"/>
      <c r="CI27" s="238"/>
      <c r="CJ27" s="238"/>
      <c r="CK27" s="238"/>
      <c r="CL27" s="238">
        <f t="shared" ref="CL27:CY27" si="38">CL24/CL48-1</f>
      </c>
      <c r="CM27" s="238">
        <f t="shared" si="38"/>
      </c>
      <c r="CN27" s="238">
        <f t="shared" si="38"/>
      </c>
      <c r="CO27" s="238">
        <f t="shared" si="38"/>
      </c>
      <c r="CP27" s="238">
        <f t="shared" si="38"/>
      </c>
      <c r="CQ27" s="238">
        <f t="shared" si="38"/>
      </c>
      <c r="CR27" s="238">
        <f t="shared" si="38"/>
      </c>
      <c r="CS27" s="238">
        <f t="shared" si="38"/>
      </c>
      <c r="CT27" s="238">
        <f t="shared" si="38"/>
      </c>
      <c r="CU27" s="238">
        <f t="shared" si="38"/>
      </c>
      <c r="CV27" s="238">
        <f t="shared" si="38"/>
      </c>
      <c r="CW27" s="239">
        <f t="shared" si="38"/>
      </c>
      <c r="CX27" s="239">
        <f t="shared" si="38"/>
      </c>
      <c r="CY27" s="239">
        <f t="shared" si="38"/>
      </c>
      <c r="CZ27" s="275"/>
    </row>
    <row r="28" spans="1:104" s="276" customFormat="1">
      <c r="A28" s="621" t="s">
        <v>230</v>
      </c>
      <c r="B28" s="238"/>
      <c r="C28" s="238"/>
      <c r="D28" s="238"/>
      <c r="E28" s="238"/>
      <c r="F28" s="238"/>
      <c r="G28" s="238"/>
      <c r="H28" s="238"/>
      <c r="I28" s="238"/>
      <c r="J28" s="238"/>
      <c r="K28" s="238"/>
      <c r="L28" s="238"/>
      <c r="M28" s="238"/>
      <c r="N28" s="238"/>
      <c r="O28" s="238"/>
      <c r="P28" s="238"/>
      <c r="Q28" s="238"/>
      <c r="R28" s="238"/>
      <c r="S28" s="238"/>
      <c r="T28" s="238"/>
      <c r="U28" s="238"/>
      <c r="V28" s="238"/>
      <c r="W28" s="238"/>
      <c r="X28" s="238"/>
      <c r="Y28" s="238"/>
      <c r="Z28" s="238"/>
      <c r="AA28" s="238"/>
      <c r="AB28" s="238"/>
      <c r="AC28" s="238"/>
      <c r="AD28" s="238"/>
      <c r="AE28" s="238"/>
      <c r="AF28" s="238"/>
      <c r="AG28" s="238"/>
      <c r="AH28" s="238"/>
      <c r="AI28" s="238"/>
      <c r="AJ28" s="238"/>
      <c r="AK28" s="238"/>
      <c r="AL28" s="235">
        <v>215</v>
      </c>
      <c r="AM28" s="235">
        <f>AL28</f>
      </c>
      <c r="AN28" s="235">
        <f t="shared" ref="AN28:AV28" si="39">AM28</f>
      </c>
      <c r="AO28" s="235">
        <f t="shared" si="39"/>
      </c>
      <c r="AP28" s="235">
        <f t="shared" si="39"/>
      </c>
      <c r="AQ28" s="235">
        <f t="shared" si="39"/>
      </c>
      <c r="AR28" s="235">
        <f t="shared" si="39"/>
      </c>
      <c r="AS28" s="235">
        <f t="shared" si="39"/>
      </c>
      <c r="AT28" s="235">
        <f t="shared" si="39"/>
      </c>
      <c r="AU28" s="235">
        <f t="shared" si="39"/>
      </c>
      <c r="AV28" s="235">
        <f t="shared" si="39"/>
      </c>
      <c r="AW28" s="236"/>
      <c r="AX28" s="236"/>
      <c r="AY28" s="236"/>
      <c r="AZ28" s="236"/>
      <c r="BA28" s="236">
        <v>300</v>
      </c>
      <c r="BB28" s="236">
        <v>300</v>
      </c>
      <c r="BC28" s="236">
        <v>300</v>
      </c>
      <c r="BD28" s="236">
        <v>300</v>
      </c>
      <c r="BE28" s="236">
        <v>300</v>
      </c>
      <c r="BF28" s="236">
        <v>300</v>
      </c>
      <c r="BG28" s="236">
        <v>300</v>
      </c>
      <c r="BH28" s="236">
        <v>300</v>
      </c>
      <c r="BI28" s="236">
        <v>300</v>
      </c>
      <c r="BJ28" s="236">
        <v>300</v>
      </c>
      <c r="BK28" s="236">
        <v>300</v>
      </c>
      <c r="BL28" s="236">
        <v>300</v>
      </c>
      <c r="BM28" s="236">
        <v>300</v>
      </c>
      <c r="BN28" s="236">
        <v>300</v>
      </c>
      <c r="BO28" s="236">
        <v>300</v>
      </c>
      <c r="BP28" s="236">
        <v>300</v>
      </c>
      <c r="BQ28" s="236">
        <v>300</v>
      </c>
      <c r="BR28" s="236">
        <v>300</v>
      </c>
      <c r="BS28" s="236">
        <v>300</v>
      </c>
      <c r="BT28" s="236">
        <v>300</v>
      </c>
      <c r="BU28" s="236">
        <v>300</v>
      </c>
      <c r="BV28" s="236">
        <v>300</v>
      </c>
      <c r="BW28" s="236">
        <v>300</v>
      </c>
      <c r="BX28" s="236">
        <v>300</v>
      </c>
      <c r="BY28" s="236">
        <v>300</v>
      </c>
      <c r="BZ28" s="236">
        <v>300</v>
      </c>
      <c r="CA28" s="236">
        <v>300</v>
      </c>
      <c r="CB28" s="236">
        <v>300</v>
      </c>
      <c r="CC28" s="236">
        <v>300</v>
      </c>
      <c r="CD28" s="275"/>
      <c r="CE28" s="255"/>
      <c r="CF28" s="238"/>
      <c r="CG28" s="238"/>
      <c r="CH28" s="238"/>
      <c r="CI28" s="238"/>
      <c r="CJ28" s="238"/>
      <c r="CK28" s="236"/>
      <c r="CL28" s="236"/>
      <c r="CM28" s="235"/>
      <c r="CN28" s="238"/>
      <c r="CO28" s="235">
        <f t="shared" ref="CO28:CY28" si="40">CO37/CO12*1000</f>
      </c>
      <c r="CP28" s="235">
        <f t="shared" si="40"/>
      </c>
      <c r="CQ28" s="235" t="e">
        <f t="shared" si="40"/>
      </c>
      <c r="CR28" s="235">
        <f t="shared" si="40"/>
      </c>
      <c r="CS28" s="235">
        <f t="shared" si="40"/>
      </c>
      <c r="CT28" s="235" t="e">
        <f t="shared" si="40"/>
      </c>
      <c r="CU28" s="235" t="e">
        <f t="shared" si="40"/>
      </c>
      <c r="CV28" s="235" t="e">
        <f t="shared" si="40"/>
      </c>
      <c r="CW28" s="235" t="e">
        <f t="shared" si="40"/>
      </c>
      <c r="CX28" s="235" t="e">
        <f t="shared" si="40"/>
      </c>
      <c r="CY28" s="235" t="e">
        <f t="shared" si="40"/>
      </c>
      <c r="CZ28" s="236"/>
    </row>
    <row r="29" spans="1:104" s="276" customFormat="1">
      <c r="A29" s="277" t="s">
        <v>196</v>
      </c>
      <c r="B29" s="238"/>
      <c r="C29" s="238"/>
      <c r="D29" s="238"/>
      <c r="E29" s="238"/>
      <c r="F29" s="238"/>
      <c r="G29" s="238"/>
      <c r="H29" s="238"/>
      <c r="I29" s="238"/>
      <c r="J29" s="238"/>
      <c r="K29" s="238"/>
      <c r="L29" s="238"/>
      <c r="M29" s="238"/>
      <c r="N29" s="238"/>
      <c r="O29" s="238"/>
      <c r="P29" s="238"/>
      <c r="Q29" s="238"/>
      <c r="R29" s="238"/>
      <c r="S29" s="238"/>
      <c r="T29" s="238"/>
      <c r="U29" s="238"/>
      <c r="V29" s="238"/>
      <c r="W29" s="238"/>
      <c r="X29" s="238"/>
      <c r="Y29" s="238"/>
      <c r="Z29" s="238"/>
      <c r="AA29" s="238"/>
      <c r="AB29" s="238"/>
      <c r="AC29" s="238"/>
      <c r="AD29" s="238"/>
      <c r="AE29" s="238"/>
      <c r="AF29" s="238"/>
      <c r="AG29" s="238"/>
      <c r="AH29" s="238"/>
      <c r="AI29" s="238"/>
      <c r="AJ29" s="238"/>
      <c r="AK29" s="238"/>
      <c r="AL29" s="238"/>
      <c r="AM29" s="238">
        <f t="shared" ref="AM29:AV29" si="41">AM28/AL28-1</f>
      </c>
      <c r="AN29" s="238">
        <f t="shared" si="41"/>
      </c>
      <c r="AO29" s="238">
        <f t="shared" si="41"/>
      </c>
      <c r="AP29" s="238">
        <f t="shared" si="41"/>
      </c>
      <c r="AQ29" s="238">
        <f t="shared" si="41"/>
      </c>
      <c r="AR29" s="238">
        <f t="shared" si="41"/>
      </c>
      <c r="AS29" s="238">
        <f t="shared" si="41"/>
      </c>
      <c r="AT29" s="238">
        <f t="shared" si="41"/>
      </c>
      <c r="AU29" s="238">
        <f t="shared" si="41"/>
      </c>
      <c r="AV29" s="238">
        <f t="shared" si="41"/>
      </c>
      <c r="AW29" s="239"/>
      <c r="AX29" s="239"/>
      <c r="AY29" s="239"/>
      <c r="AZ29" s="239"/>
      <c r="BA29" s="239"/>
      <c r="BB29" s="239"/>
      <c r="BC29" s="239"/>
      <c r="BD29" s="37"/>
      <c r="BE29" s="37"/>
      <c r="BF29" s="37"/>
      <c r="BG29" s="37"/>
      <c r="BH29" s="657"/>
      <c r="BI29" s="657"/>
      <c r="BJ29" s="657"/>
      <c r="BK29" s="657"/>
      <c r="BL29" s="657"/>
      <c r="BM29" s="657"/>
      <c r="BN29" s="657"/>
      <c r="BO29" s="657"/>
      <c r="BP29" s="657"/>
      <c r="BQ29" s="657"/>
      <c r="BR29" s="657"/>
      <c r="BS29" s="657"/>
      <c r="BT29" s="657"/>
      <c r="BU29" s="657"/>
      <c r="BV29" s="657"/>
      <c r="BW29" s="657"/>
      <c r="BX29" s="657"/>
      <c r="BY29" s="657"/>
      <c r="BZ29" s="657"/>
      <c r="CA29" s="657"/>
      <c r="CB29" s="657"/>
      <c r="CC29" s="657"/>
      <c r="CD29" s="275"/>
      <c r="CE29" s="255"/>
      <c r="CF29" s="238"/>
      <c r="CG29" s="238"/>
      <c r="CH29" s="238"/>
      <c r="CI29" s="238"/>
      <c r="CJ29" s="238"/>
      <c r="CK29" s="238"/>
      <c r="CL29" s="238"/>
      <c r="CM29" s="238"/>
      <c r="CN29" s="238"/>
      <c r="CO29" s="238"/>
      <c r="CP29" s="238"/>
      <c r="CQ29" s="238"/>
      <c r="CR29" s="238"/>
      <c r="CS29" s="238"/>
      <c r="CT29" s="238"/>
      <c r="CU29" s="238"/>
      <c r="CV29" s="238"/>
      <c r="CW29" s="239"/>
      <c r="CX29" s="239"/>
      <c r="CY29" s="239"/>
      <c r="CZ29" s="275"/>
    </row>
    <row r="30" spans="1:104" s="276" customFormat="1">
      <c r="A30" s="277" t="s">
        <v>198</v>
      </c>
      <c r="B30" s="238"/>
      <c r="C30" s="238"/>
      <c r="D30" s="238"/>
      <c r="E30" s="238"/>
      <c r="F30" s="238"/>
      <c r="G30" s="238"/>
      <c r="H30" s="238"/>
      <c r="I30" s="238"/>
      <c r="J30" s="238"/>
      <c r="K30" s="238"/>
      <c r="L30" s="238"/>
      <c r="M30" s="238"/>
      <c r="N30" s="238"/>
      <c r="O30" s="238"/>
      <c r="P30" s="238"/>
      <c r="Q30" s="238"/>
      <c r="R30" s="238"/>
      <c r="S30" s="238"/>
      <c r="T30" s="238"/>
      <c r="U30" s="238"/>
      <c r="V30" s="238"/>
      <c r="W30" s="238"/>
      <c r="X30" s="238"/>
      <c r="Y30" s="238"/>
      <c r="Z30" s="238"/>
      <c r="AA30" s="238"/>
      <c r="AB30" s="238"/>
      <c r="AC30" s="238"/>
      <c r="AD30" s="238"/>
      <c r="AE30" s="238"/>
      <c r="AF30" s="238"/>
      <c r="AG30" s="238"/>
      <c r="AH30" s="238"/>
      <c r="AI30" s="238"/>
      <c r="AJ30" s="238"/>
      <c r="AK30" s="238"/>
      <c r="AL30" s="238"/>
      <c r="AM30" s="238"/>
      <c r="AN30" s="238"/>
      <c r="AO30" s="238"/>
      <c r="AP30" s="238">
        <f t="shared" ref="AP30:AV30" si="42">AP28/AL28-1</f>
      </c>
      <c r="AQ30" s="238">
        <f t="shared" si="42"/>
      </c>
      <c r="AR30" s="238">
        <f t="shared" si="42"/>
      </c>
      <c r="AS30" s="238">
        <f t="shared" si="42"/>
      </c>
      <c r="AT30" s="238">
        <f t="shared" si="42"/>
      </c>
      <c r="AU30" s="238">
        <f t="shared" si="42"/>
      </c>
      <c r="AV30" s="238">
        <f t="shared" si="42"/>
      </c>
      <c r="AW30" s="239"/>
      <c r="AX30" s="239"/>
      <c r="AY30" s="239"/>
      <c r="AZ30" s="239"/>
      <c r="BA30" s="239"/>
      <c r="BB30" s="239"/>
      <c r="BC30" s="239"/>
      <c r="BD30" s="239"/>
      <c r="BE30" s="239"/>
      <c r="BF30" s="239"/>
      <c r="BG30" s="234"/>
      <c r="BH30" s="234"/>
      <c r="BI30" s="234"/>
      <c r="BJ30" s="234"/>
      <c r="BK30" s="234"/>
      <c r="BL30" s="234"/>
      <c r="BM30" s="234"/>
      <c r="BN30" s="234"/>
      <c r="BO30" s="234"/>
      <c r="BP30" s="234"/>
      <c r="BQ30" s="234"/>
      <c r="BR30" s="234"/>
      <c r="BS30" s="234"/>
      <c r="BT30" s="239"/>
      <c r="BU30" s="239"/>
      <c r="BV30" s="239"/>
      <c r="BW30" s="239"/>
      <c r="BX30" s="239"/>
      <c r="BY30" s="239"/>
      <c r="BZ30" s="239"/>
      <c r="CA30" s="239"/>
      <c r="CB30" s="239"/>
      <c r="CC30" s="239"/>
      <c r="CD30" s="275"/>
      <c r="CE30" s="255"/>
      <c r="CF30" s="238"/>
      <c r="CG30" s="238"/>
      <c r="CH30" s="238"/>
      <c r="CI30" s="238"/>
      <c r="CJ30" s="238"/>
      <c r="CK30" s="238"/>
      <c r="CL30" s="238"/>
      <c r="CM30" s="238"/>
      <c r="CN30" s="238"/>
      <c r="CO30" s="238"/>
      <c r="CP30" s="238"/>
      <c r="CQ30" s="238"/>
      <c r="CR30" s="238"/>
      <c r="CS30" s="238"/>
      <c r="CT30" s="238"/>
      <c r="CU30" s="238"/>
      <c r="CV30" s="238"/>
      <c r="CW30" s="239"/>
      <c r="CX30" s="239"/>
      <c r="CY30" s="239"/>
      <c r="CZ30" s="275"/>
    </row>
    <row r="31" spans="1:104">
      <c r="A31" s="231" t="s">
        <v>541</v>
      </c>
      <c r="B31" s="655"/>
      <c r="C31" s="655"/>
      <c r="D31" s="655"/>
      <c r="E31" s="655"/>
      <c r="F31" s="655"/>
      <c r="G31" s="655"/>
      <c r="H31" s="655"/>
      <c r="I31" s="655"/>
      <c r="J31" s="655"/>
      <c r="K31" s="655"/>
      <c r="L31" s="655"/>
      <c r="M31" s="655"/>
      <c r="N31" s="655"/>
      <c r="O31" s="655"/>
      <c r="P31" s="655"/>
      <c r="Q31" s="655"/>
      <c r="R31" s="655"/>
      <c r="S31" s="655"/>
      <c r="T31" s="655"/>
      <c r="U31" s="655"/>
      <c r="V31" s="655"/>
      <c r="W31" s="655"/>
      <c r="X31" s="655"/>
      <c r="Y31" s="655"/>
      <c r="Z31" s="235">
        <f t="shared" ref="Z31:BY31" si="43">+Z34+Z37</f>
      </c>
      <c r="AA31" s="235">
        <f t="shared" si="43"/>
      </c>
      <c r="AB31" s="235">
        <f t="shared" si="43"/>
      </c>
      <c r="AC31" s="235">
        <f t="shared" si="43"/>
      </c>
      <c r="AD31" s="235">
        <f t="shared" si="43"/>
      </c>
      <c r="AE31" s="235">
        <f t="shared" si="43"/>
      </c>
      <c r="AF31" s="235">
        <f t="shared" si="43"/>
      </c>
      <c r="AG31" s="235">
        <f t="shared" si="43"/>
      </c>
      <c r="AH31" s="235">
        <f t="shared" si="43"/>
      </c>
      <c r="AI31" s="235">
        <f t="shared" si="43"/>
      </c>
      <c r="AJ31" s="235">
        <f t="shared" si="43"/>
      </c>
      <c r="AK31" s="235">
        <f t="shared" si="43"/>
      </c>
      <c r="AL31" s="235">
        <f t="shared" si="43"/>
      </c>
      <c r="AM31" s="235">
        <f t="shared" si="43"/>
      </c>
      <c r="AN31" s="235">
        <f t="shared" si="43"/>
      </c>
      <c r="AO31" s="235">
        <f t="shared" si="43"/>
      </c>
      <c r="AP31" s="235">
        <f t="shared" si="43"/>
      </c>
      <c r="AQ31" s="235">
        <f t="shared" si="43"/>
      </c>
      <c r="AR31" s="235">
        <f t="shared" si="43"/>
      </c>
      <c r="AS31" s="235">
        <f t="shared" si="43"/>
      </c>
      <c r="AT31" s="235">
        <f t="shared" si="43"/>
      </c>
      <c r="AU31" s="235">
        <f t="shared" si="43"/>
      </c>
      <c r="AV31" s="235">
        <f t="shared" si="43"/>
      </c>
      <c r="AW31" s="235">
        <f t="shared" si="43"/>
      </c>
      <c r="AX31" s="235">
        <f t="shared" si="43"/>
      </c>
      <c r="AY31" s="235">
        <f t="shared" si="43"/>
      </c>
      <c r="AZ31" s="235">
        <f t="shared" si="43"/>
      </c>
      <c r="BA31" s="235">
        <f t="shared" si="43"/>
      </c>
      <c r="BB31" s="235">
        <f>+BB34+BB37</f>
      </c>
      <c r="BC31" s="235">
        <f>+BC34+BC37</f>
      </c>
      <c r="BD31" s="235">
        <f t="shared" si="43"/>
      </c>
      <c r="BE31" s="235">
        <f t="shared" si="43"/>
      </c>
      <c r="BF31" s="235">
        <f t="shared" si="43"/>
      </c>
      <c r="BG31" s="235">
        <f>+BG34+BG37</f>
      </c>
      <c r="BH31" s="235">
        <f>+BH34+BH37</f>
      </c>
      <c r="BI31" s="235">
        <f t="shared" si="43"/>
      </c>
      <c r="BJ31" s="235">
        <f t="shared" si="43"/>
      </c>
      <c r="BK31" s="235">
        <f t="shared" si="43"/>
      </c>
      <c r="BL31" s="235">
        <f t="shared" si="43"/>
      </c>
      <c r="BM31" s="235">
        <f t="shared" si="43"/>
      </c>
      <c r="BN31" s="235">
        <f t="shared" si="43"/>
      </c>
      <c r="BO31" s="235">
        <f t="shared" si="43"/>
      </c>
      <c r="BP31" s="235">
        <f t="shared" si="43"/>
      </c>
      <c r="BQ31" s="235">
        <f t="shared" si="43"/>
      </c>
      <c r="BR31" s="235">
        <f t="shared" si="43"/>
      </c>
      <c r="BS31" s="235">
        <f t="shared" si="43"/>
      </c>
      <c r="BT31" s="236">
        <f t="shared" si="43"/>
      </c>
      <c r="BU31" s="236">
        <f t="shared" si="43"/>
      </c>
      <c r="BV31" s="236">
        <f t="shared" si="43"/>
      </c>
      <c r="BW31" s="236">
        <f t="shared" si="43"/>
      </c>
      <c r="BX31" s="236">
        <f t="shared" si="43"/>
      </c>
      <c r="BY31" s="236">
        <f t="shared" si="43"/>
      </c>
      <c r="BZ31" s="236">
        <f>+BZ34+BZ37</f>
      </c>
      <c r="CA31" s="236">
        <f>+CA34+CA37</f>
      </c>
      <c r="CB31" s="236">
        <f>+CB34+CB37</f>
      </c>
      <c r="CC31" s="236">
        <f>+CC34+CC37</f>
      </c>
      <c r="CD31" s="283"/>
      <c r="CE31" s="284"/>
      <c r="CF31" s="235"/>
      <c r="CG31" s="235"/>
      <c r="CH31" s="235"/>
      <c r="CI31" s="235"/>
      <c r="CJ31" s="235"/>
      <c r="CK31" s="235"/>
      <c r="CL31" s="235">
        <f>SUM(Z31:AC31)</f>
      </c>
      <c r="CM31" s="235">
        <f>SUM(AD31:AG31)</f>
      </c>
      <c r="CN31" s="235">
        <f>SUM(AH31:AK31)</f>
      </c>
      <c r="CO31" s="235">
        <f>SUM(AL31:AO31)</f>
      </c>
      <c r="CP31" s="235">
        <f>SUM(AP31:AS31)</f>
      </c>
      <c r="CQ31" s="235">
        <f>AT31+AU31+AV31+AW31</f>
      </c>
      <c r="CR31" s="235">
        <f>AX31+AY31+AZ31+BA31</f>
      </c>
      <c r="CS31" s="235">
        <f>BB31+BC31+BD31+BE31</f>
      </c>
      <c r="CT31" s="235">
        <f>+SUM(BF31:BI31)</f>
      </c>
      <c r="CU31" s="235">
        <f>+SUM(BJ31:BM31)</f>
      </c>
      <c r="CV31" s="235">
        <f>+SUM(BN31:BQ31)</f>
      </c>
      <c r="CW31" s="236">
        <f>+SUM(BR31:BU31)</f>
      </c>
      <c r="CX31" s="236">
        <f>SUM(BV31:BY31)</f>
      </c>
      <c r="CY31" s="236">
        <f>SUM(BZ31:CC31)</f>
      </c>
    </row>
    <row r="32" spans="1:104" s="276" customFormat="1">
      <c r="A32" s="63" t="s">
        <v>196</v>
      </c>
      <c r="B32" s="238"/>
      <c r="C32" s="238"/>
      <c r="D32" s="238"/>
      <c r="E32" s="238"/>
      <c r="F32" s="238"/>
      <c r="G32" s="238"/>
      <c r="H32" s="238"/>
      <c r="I32" s="238"/>
      <c r="J32" s="238"/>
      <c r="K32" s="238"/>
      <c r="L32" s="238"/>
      <c r="M32" s="238"/>
      <c r="N32" s="238"/>
      <c r="O32" s="238"/>
      <c r="P32" s="238"/>
      <c r="Q32" s="238"/>
      <c r="R32" s="238"/>
      <c r="S32" s="238"/>
      <c r="T32" s="238"/>
      <c r="U32" s="238"/>
      <c r="V32" s="238"/>
      <c r="W32" s="238"/>
      <c r="X32" s="238"/>
      <c r="Y32" s="238"/>
      <c r="Z32" s="238"/>
      <c r="AA32" s="238">
        <f t="shared" ref="AA32:CC32" si="44">AA31/Z31-1</f>
      </c>
      <c r="AB32" s="238">
        <f t="shared" si="44"/>
      </c>
      <c r="AC32" s="238">
        <f t="shared" si="44"/>
      </c>
      <c r="AD32" s="238">
        <f t="shared" si="44"/>
      </c>
      <c r="AE32" s="238">
        <f t="shared" si="44"/>
      </c>
      <c r="AF32" s="238">
        <f t="shared" si="44"/>
      </c>
      <c r="AG32" s="238">
        <f t="shared" si="44"/>
      </c>
      <c r="AH32" s="238">
        <f t="shared" si="44"/>
      </c>
      <c r="AI32" s="238">
        <f t="shared" si="44"/>
      </c>
      <c r="AJ32" s="238">
        <f t="shared" si="44"/>
      </c>
      <c r="AK32" s="238">
        <f t="shared" si="44"/>
      </c>
      <c r="AL32" s="238">
        <f t="shared" si="44"/>
      </c>
      <c r="AM32" s="238">
        <f t="shared" si="44"/>
      </c>
      <c r="AN32" s="238">
        <f t="shared" si="44"/>
      </c>
      <c r="AO32" s="238">
        <f t="shared" si="44"/>
      </c>
      <c r="AP32" s="238">
        <f t="shared" si="44"/>
      </c>
      <c r="AQ32" s="238">
        <f t="shared" si="44"/>
      </c>
      <c r="AR32" s="238">
        <f t="shared" si="44"/>
      </c>
      <c r="AS32" s="238">
        <f t="shared" si="44"/>
      </c>
      <c r="AT32" s="238">
        <f t="shared" si="44"/>
      </c>
      <c r="AU32" s="238">
        <f t="shared" si="44"/>
      </c>
      <c r="AV32" s="238">
        <f t="shared" si="44"/>
      </c>
      <c r="AW32" s="238">
        <f t="shared" si="44"/>
      </c>
      <c r="AX32" s="238">
        <f t="shared" si="44"/>
      </c>
      <c r="AY32" s="238">
        <f t="shared" si="44"/>
      </c>
      <c r="AZ32" s="238">
        <f t="shared" si="44"/>
      </c>
      <c r="BA32" s="238">
        <f t="shared" si="44"/>
      </c>
      <c r="BB32" s="238">
        <f t="shared" si="44"/>
      </c>
      <c r="BC32" s="238">
        <f t="shared" si="44"/>
      </c>
      <c r="BD32" s="238">
        <f t="shared" si="44"/>
      </c>
      <c r="BE32" s="238">
        <f t="shared" si="44"/>
      </c>
      <c r="BF32" s="238">
        <f t="shared" si="44"/>
      </c>
      <c r="BG32" s="238">
        <f>BG31/BF31-1</f>
      </c>
      <c r="BH32" s="238">
        <f>BH31/BG31-1</f>
      </c>
      <c r="BI32" s="238">
        <f t="shared" si="44"/>
      </c>
      <c r="BJ32" s="238">
        <f t="shared" si="44"/>
      </c>
      <c r="BK32" s="238">
        <f t="shared" si="44"/>
      </c>
      <c r="BL32" s="238">
        <f t="shared" si="44"/>
      </c>
      <c r="BM32" s="238">
        <f t="shared" si="44"/>
      </c>
      <c r="BN32" s="238">
        <f t="shared" si="44"/>
      </c>
      <c r="BO32" s="238">
        <f t="shared" si="44"/>
      </c>
      <c r="BP32" s="238">
        <f t="shared" si="44"/>
      </c>
      <c r="BQ32" s="238">
        <f t="shared" si="44"/>
      </c>
      <c r="BR32" s="238">
        <f t="shared" si="44"/>
      </c>
      <c r="BS32" s="238">
        <f t="shared" si="44"/>
      </c>
      <c r="BT32" s="239">
        <f t="shared" si="44"/>
      </c>
      <c r="BU32" s="239">
        <f t="shared" si="44"/>
      </c>
      <c r="BV32" s="239">
        <f t="shared" si="44"/>
      </c>
      <c r="BW32" s="239">
        <f t="shared" si="44"/>
      </c>
      <c r="BX32" s="239">
        <f t="shared" si="44"/>
      </c>
      <c r="BY32" s="239">
        <f t="shared" si="44"/>
      </c>
      <c r="BZ32" s="239">
        <f t="shared" si="44"/>
      </c>
      <c r="CA32" s="239">
        <f t="shared" si="44"/>
      </c>
      <c r="CB32" s="239">
        <f t="shared" si="44"/>
      </c>
      <c r="CC32" s="239">
        <f t="shared" si="44"/>
      </c>
      <c r="CD32" s="250"/>
      <c r="CE32" s="255"/>
      <c r="CF32" s="285"/>
      <c r="CG32" s="285"/>
      <c r="CH32" s="286"/>
      <c r="CI32" s="286"/>
      <c r="CJ32" s="285"/>
      <c r="CK32" s="285"/>
      <c r="CL32" s="285"/>
      <c r="CM32" s="244"/>
      <c r="CN32" s="241"/>
      <c r="CO32" s="245"/>
      <c r="CP32" s="245"/>
      <c r="CQ32" s="245"/>
      <c r="CR32" s="245"/>
      <c r="CS32" s="254"/>
      <c r="CT32" s="254"/>
      <c r="CU32" s="254"/>
      <c r="CV32" s="254"/>
      <c r="CW32" s="245"/>
      <c r="CX32" s="245"/>
      <c r="CY32" s="245"/>
      <c r="CZ32" s="275"/>
    </row>
    <row r="33" spans="1:104" s="276" customFormat="1">
      <c r="A33" s="63" t="s">
        <v>198</v>
      </c>
      <c r="B33" s="238"/>
      <c r="C33" s="238"/>
      <c r="D33" s="238"/>
      <c r="E33" s="238"/>
      <c r="F33" s="238"/>
      <c r="G33" s="238"/>
      <c r="H33" s="238"/>
      <c r="I33" s="238"/>
      <c r="J33" s="238"/>
      <c r="K33" s="238"/>
      <c r="L33" s="238"/>
      <c r="M33" s="238"/>
      <c r="N33" s="238"/>
      <c r="O33" s="238"/>
      <c r="P33" s="238"/>
      <c r="Q33" s="238"/>
      <c r="R33" s="238"/>
      <c r="S33" s="238"/>
      <c r="T33" s="238"/>
      <c r="U33" s="238"/>
      <c r="V33" s="238"/>
      <c r="W33" s="238"/>
      <c r="X33" s="238"/>
      <c r="Y33" s="238"/>
      <c r="Z33" s="238"/>
      <c r="AA33" s="238"/>
      <c r="AB33" s="238"/>
      <c r="AC33" s="238"/>
      <c r="AD33" s="238">
        <f t="shared" ref="AD33:CC33" si="45">AD31/Z31-1</f>
      </c>
      <c r="AE33" s="238">
        <f t="shared" si="45"/>
      </c>
      <c r="AF33" s="238">
        <f t="shared" si="45"/>
      </c>
      <c r="AG33" s="238">
        <f t="shared" si="45"/>
      </c>
      <c r="AH33" s="238">
        <f t="shared" si="45"/>
      </c>
      <c r="AI33" s="238">
        <f t="shared" si="45"/>
      </c>
      <c r="AJ33" s="238">
        <f t="shared" si="45"/>
      </c>
      <c r="AK33" s="238">
        <f t="shared" si="45"/>
      </c>
      <c r="AL33" s="238">
        <f t="shared" si="45"/>
      </c>
      <c r="AM33" s="238">
        <f t="shared" si="45"/>
      </c>
      <c r="AN33" s="238">
        <f t="shared" si="45"/>
      </c>
      <c r="AO33" s="238">
        <f t="shared" si="45"/>
      </c>
      <c r="AP33" s="238">
        <f t="shared" si="45"/>
      </c>
      <c r="AQ33" s="238">
        <f t="shared" si="45"/>
      </c>
      <c r="AR33" s="238">
        <f t="shared" si="45"/>
      </c>
      <c r="AS33" s="238">
        <f t="shared" si="45"/>
      </c>
      <c r="AT33" s="238">
        <f t="shared" si="45"/>
      </c>
      <c r="AU33" s="238">
        <f t="shared" si="45"/>
      </c>
      <c r="AV33" s="238">
        <f t="shared" si="45"/>
      </c>
      <c r="AW33" s="238">
        <f t="shared" si="45"/>
      </c>
      <c r="AX33" s="238">
        <f t="shared" si="45"/>
      </c>
      <c r="AY33" s="238">
        <f t="shared" si="45"/>
      </c>
      <c r="AZ33" s="238">
        <f t="shared" si="45"/>
      </c>
      <c r="BA33" s="238">
        <f t="shared" si="45"/>
      </c>
      <c r="BB33" s="238">
        <f t="shared" si="45"/>
      </c>
      <c r="BC33" s="238">
        <f t="shared" si="45"/>
      </c>
      <c r="BD33" s="238">
        <f t="shared" si="45"/>
      </c>
      <c r="BE33" s="238">
        <f t="shared" si="45"/>
      </c>
      <c r="BF33" s="238">
        <f t="shared" si="45"/>
      </c>
      <c r="BG33" s="238">
        <f>BG31/BC31-1</f>
      </c>
      <c r="BH33" s="238">
        <f>BH31/BD31-1</f>
      </c>
      <c r="BI33" s="238">
        <f t="shared" si="45"/>
      </c>
      <c r="BJ33" s="238">
        <f t="shared" si="45"/>
      </c>
      <c r="BK33" s="238">
        <f t="shared" si="45"/>
      </c>
      <c r="BL33" s="238">
        <f t="shared" si="45"/>
      </c>
      <c r="BM33" s="238">
        <f t="shared" si="45"/>
      </c>
      <c r="BN33" s="238">
        <f t="shared" si="45"/>
      </c>
      <c r="BO33" s="238">
        <f t="shared" si="45"/>
      </c>
      <c r="BP33" s="238">
        <f t="shared" si="45"/>
      </c>
      <c r="BQ33" s="238">
        <f t="shared" si="45"/>
      </c>
      <c r="BR33" s="238">
        <f t="shared" si="45"/>
      </c>
      <c r="BS33" s="238">
        <f t="shared" si="45"/>
      </c>
      <c r="BT33" s="239">
        <f t="shared" si="45"/>
      </c>
      <c r="BU33" s="239">
        <f t="shared" si="45"/>
      </c>
      <c r="BV33" s="239">
        <f t="shared" si="45"/>
      </c>
      <c r="BW33" s="239">
        <f t="shared" si="45"/>
      </c>
      <c r="BX33" s="239">
        <f t="shared" si="45"/>
      </c>
      <c r="BY33" s="239">
        <f t="shared" si="45"/>
      </c>
      <c r="BZ33" s="239">
        <f t="shared" si="45"/>
      </c>
      <c r="CA33" s="239">
        <f t="shared" si="45"/>
      </c>
      <c r="CB33" s="239">
        <f t="shared" si="45"/>
      </c>
      <c r="CC33" s="239">
        <f t="shared" si="45"/>
      </c>
      <c r="CD33" s="250"/>
      <c r="CE33" s="255"/>
      <c r="CF33" s="285"/>
      <c r="CG33" s="285"/>
      <c r="CH33" s="285"/>
      <c r="CI33" s="286"/>
      <c r="CJ33" s="285"/>
      <c r="CK33" s="285"/>
      <c r="CL33" s="285"/>
      <c r="CM33" s="238">
        <f t="shared" ref="CM33:CY33" si="46">CM31/CL31-1</f>
      </c>
      <c r="CN33" s="238">
        <f t="shared" si="46"/>
      </c>
      <c r="CO33" s="238">
        <f t="shared" si="46"/>
      </c>
      <c r="CP33" s="238">
        <f t="shared" si="46"/>
      </c>
      <c r="CQ33" s="238">
        <f t="shared" si="46"/>
      </c>
      <c r="CR33" s="238">
        <f t="shared" si="46"/>
      </c>
      <c r="CS33" s="238">
        <f t="shared" si="46"/>
      </c>
      <c r="CT33" s="238">
        <f t="shared" si="46"/>
      </c>
      <c r="CU33" s="238">
        <f t="shared" si="46"/>
      </c>
      <c r="CV33" s="238">
        <f t="shared" si="46"/>
      </c>
      <c r="CW33" s="247">
        <f t="shared" si="46"/>
      </c>
      <c r="CX33" s="247">
        <f t="shared" si="46"/>
      </c>
      <c r="CY33" s="247">
        <f t="shared" si="46"/>
      </c>
      <c r="CZ33" s="275"/>
    </row>
    <row r="34" spans="1:104" s="276" customFormat="1">
      <c r="A34" s="621" t="s">
        <v>226</v>
      </c>
      <c r="B34" s="238"/>
      <c r="C34" s="238"/>
      <c r="D34" s="238"/>
      <c r="E34" s="238"/>
      <c r="F34" s="238"/>
      <c r="G34" s="238"/>
      <c r="H34" s="238"/>
      <c r="I34" s="238"/>
      <c r="J34" s="238"/>
      <c r="K34" s="238"/>
      <c r="L34" s="238"/>
      <c r="M34" s="238"/>
      <c r="N34" s="238"/>
      <c r="O34" s="238"/>
      <c r="P34" s="238"/>
      <c r="Q34" s="238"/>
      <c r="R34" s="238"/>
      <c r="S34" s="238"/>
      <c r="T34" s="238"/>
      <c r="U34" s="238"/>
      <c r="V34" s="238"/>
      <c r="W34" s="238"/>
      <c r="X34" s="238"/>
      <c r="Y34" s="238"/>
      <c r="Z34" s="235">
        <f t="shared" ref="Z34:BE34" si="47">+Z24*Z9/1000</f>
      </c>
      <c r="AA34" s="235">
        <f t="shared" si="47"/>
      </c>
      <c r="AB34" s="235">
        <f t="shared" si="47"/>
      </c>
      <c r="AC34" s="235">
        <f t="shared" si="47"/>
      </c>
      <c r="AD34" s="235">
        <f t="shared" si="47"/>
      </c>
      <c r="AE34" s="235">
        <f t="shared" si="47"/>
      </c>
      <c r="AF34" s="235">
        <f t="shared" si="47"/>
      </c>
      <c r="AG34" s="235">
        <f t="shared" si="47"/>
      </c>
      <c r="AH34" s="235">
        <f t="shared" si="47"/>
      </c>
      <c r="AI34" s="235">
        <f t="shared" si="47"/>
      </c>
      <c r="AJ34" s="235">
        <f t="shared" si="47"/>
      </c>
      <c r="AK34" s="235">
        <f t="shared" si="47"/>
      </c>
      <c r="AL34" s="235">
        <f t="shared" si="47"/>
      </c>
      <c r="AM34" s="235">
        <f t="shared" si="47"/>
      </c>
      <c r="AN34" s="235">
        <f t="shared" si="47"/>
      </c>
      <c r="AO34" s="235">
        <f t="shared" si="47"/>
      </c>
      <c r="AP34" s="235">
        <f t="shared" si="47"/>
      </c>
      <c r="AQ34" s="235">
        <f t="shared" si="47"/>
      </c>
      <c r="AR34" s="235">
        <f t="shared" si="47"/>
      </c>
      <c r="AS34" s="235">
        <f t="shared" si="47"/>
      </c>
      <c r="AT34" s="235">
        <f t="shared" si="47"/>
      </c>
      <c r="AU34" s="235">
        <f t="shared" si="47"/>
      </c>
      <c r="AV34" s="235">
        <f t="shared" si="47"/>
      </c>
      <c r="AW34" s="235">
        <f t="shared" si="47"/>
      </c>
      <c r="AX34" s="235">
        <f t="shared" si="47"/>
      </c>
      <c r="AY34" s="235">
        <f t="shared" si="47"/>
      </c>
      <c r="AZ34" s="235">
        <f t="shared" si="47"/>
      </c>
      <c r="BA34" s="235">
        <f t="shared" si="47"/>
      </c>
      <c r="BB34" s="235">
        <f t="shared" si="47"/>
      </c>
      <c r="BC34" s="235">
        <f t="shared" si="47"/>
      </c>
      <c r="BD34" s="235">
        <f t="shared" si="47"/>
      </c>
      <c r="BE34" s="235">
        <f t="shared" si="47"/>
      </c>
      <c r="BF34" s="235">
        <f t="shared" ref="BF34:CC34" si="48">+BF24*BF9/1000</f>
      </c>
      <c r="BG34" s="235">
        <f t="shared" si="48"/>
      </c>
      <c r="BH34" s="235">
        <f t="shared" si="48"/>
      </c>
      <c r="BI34" s="235">
        <f t="shared" si="48"/>
      </c>
      <c r="BJ34" s="235">
        <f t="shared" si="48"/>
      </c>
      <c r="BK34" s="235">
        <f t="shared" si="48"/>
      </c>
      <c r="BL34" s="235">
        <f t="shared" si="48"/>
      </c>
      <c r="BM34" s="235">
        <f t="shared" si="48"/>
      </c>
      <c r="BN34" s="235">
        <f t="shared" si="48"/>
      </c>
      <c r="BO34" s="235">
        <f t="shared" si="48"/>
      </c>
      <c r="BP34" s="235">
        <f t="shared" si="48"/>
      </c>
      <c r="BQ34" s="235">
        <f t="shared" si="48"/>
      </c>
      <c r="BR34" s="235">
        <f t="shared" si="48"/>
      </c>
      <c r="BS34" s="235">
        <f t="shared" si="48"/>
      </c>
      <c r="BT34" s="236">
        <f t="shared" si="48"/>
      </c>
      <c r="BU34" s="236">
        <f t="shared" si="48"/>
      </c>
      <c r="BV34" s="236">
        <f t="shared" si="48"/>
      </c>
      <c r="BW34" s="236">
        <f t="shared" si="48"/>
      </c>
      <c r="BX34" s="236">
        <f t="shared" si="48"/>
      </c>
      <c r="BY34" s="236">
        <f t="shared" si="48"/>
      </c>
      <c r="BZ34" s="236">
        <f t="shared" si="48"/>
      </c>
      <c r="CA34" s="236">
        <f t="shared" si="48"/>
      </c>
      <c r="CB34" s="236">
        <f t="shared" si="48"/>
      </c>
      <c r="CC34" s="236">
        <f t="shared" si="48"/>
      </c>
      <c r="CD34" s="250"/>
      <c r="CE34" s="277"/>
      <c r="CF34" s="285"/>
      <c r="CG34" s="285"/>
      <c r="CH34" s="285"/>
      <c r="CI34" s="285"/>
      <c r="CJ34" s="285"/>
      <c r="CK34" s="285"/>
      <c r="CL34" s="235">
        <f>SUM(Z34:AC34)</f>
      </c>
      <c r="CM34" s="235">
        <f>SUM(AD34:AG34)</f>
      </c>
      <c r="CN34" s="235">
        <f>SUM(AH34:AK34)</f>
      </c>
      <c r="CO34" s="235">
        <f>SUM(AL34:AO34)</f>
      </c>
      <c r="CP34" s="235">
        <f>SUM(AP34:AS34)</f>
      </c>
      <c r="CQ34" s="235">
        <f>AT34+AU34+AV34+AW34</f>
      </c>
      <c r="CR34" s="235">
        <f>AX34+AY34+AZ34+BA34</f>
      </c>
      <c r="CS34" s="235">
        <f>BB34+BC34+BD34+BE34</f>
      </c>
      <c r="CT34" s="235">
        <f>+SUM(BF34:BI34)</f>
      </c>
      <c r="CU34" s="235">
        <f>+SUM(BJ34:BM34)</f>
      </c>
      <c r="CV34" s="235">
        <f>+SUM(BN34:BQ34)</f>
      </c>
      <c r="CW34" s="236">
        <f>+SUM(BR34:BU34)</f>
      </c>
      <c r="CX34" s="236">
        <f>SUM(BV34:BY34)</f>
      </c>
      <c r="CY34" s="236">
        <f>SUM(BZ34:CC34)</f>
      </c>
      <c r="CZ34" s="275"/>
    </row>
    <row r="35" spans="1:104" s="276" customFormat="1">
      <c r="A35" s="277" t="s">
        <v>196</v>
      </c>
      <c r="B35" s="238"/>
      <c r="C35" s="238"/>
      <c r="D35" s="238"/>
      <c r="E35" s="238"/>
      <c r="F35" s="238"/>
      <c r="G35" s="238"/>
      <c r="H35" s="238"/>
      <c r="I35" s="238"/>
      <c r="J35" s="238"/>
      <c r="K35" s="238"/>
      <c r="L35" s="238"/>
      <c r="M35" s="238"/>
      <c r="N35" s="238"/>
      <c r="O35" s="238"/>
      <c r="P35" s="238"/>
      <c r="Q35" s="238"/>
      <c r="R35" s="238"/>
      <c r="S35" s="238"/>
      <c r="T35" s="238"/>
      <c r="U35" s="238"/>
      <c r="V35" s="238"/>
      <c r="W35" s="238"/>
      <c r="X35" s="238"/>
      <c r="Y35" s="238"/>
      <c r="Z35" s="238"/>
      <c r="AA35" s="238">
        <f t="shared" ref="AA35:CC35" si="49">AA34/Z34-1</f>
      </c>
      <c r="AB35" s="238">
        <f t="shared" si="49"/>
      </c>
      <c r="AC35" s="238">
        <f t="shared" si="49"/>
      </c>
      <c r="AD35" s="238">
        <f t="shared" si="49"/>
      </c>
      <c r="AE35" s="238">
        <f t="shared" si="49"/>
      </c>
      <c r="AF35" s="238">
        <f t="shared" si="49"/>
      </c>
      <c r="AG35" s="238">
        <f t="shared" si="49"/>
      </c>
      <c r="AH35" s="238">
        <f t="shared" si="49"/>
      </c>
      <c r="AI35" s="238">
        <f t="shared" si="49"/>
      </c>
      <c r="AJ35" s="238">
        <f t="shared" si="49"/>
      </c>
      <c r="AK35" s="238">
        <f t="shared" si="49"/>
      </c>
      <c r="AL35" s="238">
        <f t="shared" si="49"/>
      </c>
      <c r="AM35" s="238">
        <f t="shared" si="49"/>
      </c>
      <c r="AN35" s="238">
        <f t="shared" si="49"/>
      </c>
      <c r="AO35" s="238">
        <f t="shared" si="49"/>
      </c>
      <c r="AP35" s="238">
        <f t="shared" si="49"/>
      </c>
      <c r="AQ35" s="238">
        <f t="shared" si="49"/>
      </c>
      <c r="AR35" s="238">
        <f t="shared" si="49"/>
      </c>
      <c r="AS35" s="238">
        <f t="shared" si="49"/>
      </c>
      <c r="AT35" s="238">
        <f t="shared" si="49"/>
      </c>
      <c r="AU35" s="238">
        <f t="shared" si="49"/>
      </c>
      <c r="AV35" s="238">
        <f t="shared" si="49"/>
      </c>
      <c r="AW35" s="238">
        <f t="shared" si="49"/>
      </c>
      <c r="AX35" s="238">
        <f t="shared" si="49"/>
      </c>
      <c r="AY35" s="238">
        <f t="shared" si="49"/>
      </c>
      <c r="AZ35" s="238">
        <f t="shared" si="49"/>
      </c>
      <c r="BA35" s="238">
        <f t="shared" si="49"/>
      </c>
      <c r="BB35" s="238">
        <f t="shared" si="49"/>
      </c>
      <c r="BC35" s="238">
        <f t="shared" si="49"/>
      </c>
      <c r="BD35" s="238">
        <f t="shared" si="49"/>
      </c>
      <c r="BE35" s="238">
        <f t="shared" si="49"/>
      </c>
      <c r="BF35" s="238">
        <f t="shared" si="49"/>
      </c>
      <c r="BG35" s="238">
        <f>BG34/BF34-1</f>
      </c>
      <c r="BH35" s="238">
        <f>BH34/BG34-1</f>
      </c>
      <c r="BI35" s="238">
        <f t="shared" si="49"/>
      </c>
      <c r="BJ35" s="238">
        <f t="shared" si="49"/>
      </c>
      <c r="BK35" s="238">
        <f t="shared" si="49"/>
      </c>
      <c r="BL35" s="238">
        <f t="shared" si="49"/>
      </c>
      <c r="BM35" s="238">
        <f t="shared" si="49"/>
      </c>
      <c r="BN35" s="238">
        <f t="shared" si="49"/>
      </c>
      <c r="BO35" s="238">
        <f t="shared" si="49"/>
      </c>
      <c r="BP35" s="238">
        <f t="shared" si="49"/>
      </c>
      <c r="BQ35" s="238">
        <f t="shared" si="49"/>
      </c>
      <c r="BR35" s="238">
        <f t="shared" si="49"/>
      </c>
      <c r="BS35" s="238">
        <f t="shared" si="49"/>
      </c>
      <c r="BT35" s="239">
        <f t="shared" si="49"/>
      </c>
      <c r="BU35" s="239">
        <f t="shared" si="49"/>
      </c>
      <c r="BV35" s="239">
        <f t="shared" si="49"/>
      </c>
      <c r="BW35" s="239">
        <f t="shared" si="49"/>
      </c>
      <c r="BX35" s="239">
        <f t="shared" si="49"/>
      </c>
      <c r="BY35" s="239">
        <f t="shared" si="49"/>
      </c>
      <c r="BZ35" s="239">
        <f t="shared" si="49"/>
      </c>
      <c r="CA35" s="239">
        <f t="shared" si="49"/>
      </c>
      <c r="CB35" s="239">
        <f t="shared" si="49"/>
      </c>
      <c r="CC35" s="239">
        <f t="shared" si="49"/>
      </c>
      <c r="CD35" s="250"/>
      <c r="CE35" s="277"/>
      <c r="CF35" s="285"/>
      <c r="CG35" s="285"/>
      <c r="CH35" s="285"/>
      <c r="CI35" s="285"/>
      <c r="CJ35" s="285"/>
      <c r="CK35" s="285"/>
      <c r="CL35" s="651"/>
      <c r="CM35" s="651"/>
      <c r="CN35" s="651"/>
      <c r="CO35" s="651"/>
      <c r="CP35" s="651"/>
      <c r="CQ35" s="651"/>
      <c r="CR35" s="651"/>
      <c r="CS35" s="651"/>
      <c r="CT35" s="651"/>
      <c r="CU35" s="651"/>
      <c r="CV35" s="651"/>
      <c r="CW35" s="656"/>
      <c r="CX35" s="656"/>
      <c r="CY35" s="656"/>
      <c r="CZ35" s="275"/>
    </row>
    <row r="36" spans="1:104" s="276" customFormat="1">
      <c r="A36" s="277" t="s">
        <v>198</v>
      </c>
      <c r="B36" s="238"/>
      <c r="C36" s="238"/>
      <c r="D36" s="238"/>
      <c r="E36" s="238"/>
      <c r="F36" s="238"/>
      <c r="G36" s="238"/>
      <c r="H36" s="238"/>
      <c r="I36" s="238"/>
      <c r="J36" s="238"/>
      <c r="K36" s="238"/>
      <c r="L36" s="238"/>
      <c r="M36" s="238"/>
      <c r="N36" s="238"/>
      <c r="O36" s="238"/>
      <c r="P36" s="238"/>
      <c r="Q36" s="238"/>
      <c r="R36" s="238"/>
      <c r="S36" s="238"/>
      <c r="T36" s="238"/>
      <c r="U36" s="238"/>
      <c r="V36" s="238"/>
      <c r="W36" s="238"/>
      <c r="X36" s="238"/>
      <c r="Y36" s="238"/>
      <c r="Z36" s="238"/>
      <c r="AA36" s="238"/>
      <c r="AB36" s="238"/>
      <c r="AC36" s="238"/>
      <c r="AD36" s="238">
        <f t="shared" ref="AD36:CC36" si="50">AD34/Z34-1</f>
      </c>
      <c r="AE36" s="238">
        <f t="shared" si="50"/>
      </c>
      <c r="AF36" s="238">
        <f t="shared" si="50"/>
      </c>
      <c r="AG36" s="238">
        <f t="shared" si="50"/>
      </c>
      <c r="AH36" s="238">
        <f t="shared" si="50"/>
      </c>
      <c r="AI36" s="238">
        <f t="shared" si="50"/>
      </c>
      <c r="AJ36" s="238">
        <f t="shared" si="50"/>
      </c>
      <c r="AK36" s="238">
        <f t="shared" si="50"/>
      </c>
      <c r="AL36" s="238">
        <f t="shared" si="50"/>
      </c>
      <c r="AM36" s="238">
        <f t="shared" si="50"/>
      </c>
      <c r="AN36" s="238">
        <f t="shared" si="50"/>
      </c>
      <c r="AO36" s="238">
        <f t="shared" si="50"/>
      </c>
      <c r="AP36" s="238">
        <f t="shared" si="50"/>
      </c>
      <c r="AQ36" s="238">
        <f t="shared" si="50"/>
      </c>
      <c r="AR36" s="238">
        <f t="shared" si="50"/>
      </c>
      <c r="AS36" s="238">
        <f t="shared" si="50"/>
      </c>
      <c r="AT36" s="238">
        <f t="shared" si="50"/>
      </c>
      <c r="AU36" s="238">
        <f t="shared" si="50"/>
      </c>
      <c r="AV36" s="238">
        <f t="shared" si="50"/>
      </c>
      <c r="AW36" s="238">
        <f t="shared" si="50"/>
      </c>
      <c r="AX36" s="238">
        <f t="shared" si="50"/>
      </c>
      <c r="AY36" s="238">
        <f t="shared" si="50"/>
      </c>
      <c r="AZ36" s="238">
        <f t="shared" si="50"/>
      </c>
      <c r="BA36" s="238">
        <f t="shared" si="50"/>
      </c>
      <c r="BB36" s="238">
        <f t="shared" si="50"/>
      </c>
      <c r="BC36" s="238">
        <f t="shared" si="50"/>
      </c>
      <c r="BD36" s="238">
        <f t="shared" si="50"/>
      </c>
      <c r="BE36" s="238">
        <f t="shared" si="50"/>
      </c>
      <c r="BF36" s="238">
        <f t="shared" si="50"/>
      </c>
      <c r="BG36" s="238">
        <f>BG34/BC34-1</f>
      </c>
      <c r="BH36" s="238">
        <f>BH34/BD34-1</f>
      </c>
      <c r="BI36" s="238">
        <f t="shared" si="50"/>
      </c>
      <c r="BJ36" s="238">
        <f t="shared" si="50"/>
      </c>
      <c r="BK36" s="238">
        <f t="shared" si="50"/>
      </c>
      <c r="BL36" s="238">
        <f t="shared" si="50"/>
      </c>
      <c r="BM36" s="238">
        <f t="shared" si="50"/>
      </c>
      <c r="BN36" s="238">
        <f t="shared" si="50"/>
      </c>
      <c r="BO36" s="238">
        <f t="shared" si="50"/>
      </c>
      <c r="BP36" s="238">
        <f t="shared" si="50"/>
      </c>
      <c r="BQ36" s="238">
        <f t="shared" si="50"/>
      </c>
      <c r="BR36" s="238">
        <f t="shared" si="50"/>
      </c>
      <c r="BS36" s="238">
        <f t="shared" si="50"/>
      </c>
      <c r="BT36" s="239">
        <f t="shared" si="50"/>
      </c>
      <c r="BU36" s="239">
        <f t="shared" si="50"/>
      </c>
      <c r="BV36" s="239">
        <f t="shared" si="50"/>
      </c>
      <c r="BW36" s="239">
        <f t="shared" si="50"/>
      </c>
      <c r="BX36" s="239">
        <f t="shared" si="50"/>
      </c>
      <c r="BY36" s="239">
        <f t="shared" si="50"/>
      </c>
      <c r="BZ36" s="239">
        <f t="shared" si="50"/>
      </c>
      <c r="CA36" s="239">
        <f t="shared" si="50"/>
      </c>
      <c r="CB36" s="239">
        <f t="shared" si="50"/>
      </c>
      <c r="CC36" s="239">
        <f t="shared" si="50"/>
      </c>
      <c r="CD36" s="250"/>
      <c r="CE36" s="277"/>
      <c r="CF36" s="285"/>
      <c r="CG36" s="285"/>
      <c r="CH36" s="285"/>
      <c r="CI36" s="285"/>
      <c r="CJ36" s="285"/>
      <c r="CK36" s="285"/>
      <c r="CL36" s="651"/>
      <c r="CM36" s="238">
        <f t="shared" ref="CM36:CY36" si="51">CM34/CL34-1</f>
      </c>
      <c r="CN36" s="238">
        <f t="shared" si="51"/>
      </c>
      <c r="CO36" s="238">
        <f t="shared" si="51"/>
      </c>
      <c r="CP36" s="238">
        <f t="shared" si="51"/>
      </c>
      <c r="CQ36" s="238">
        <f t="shared" si="51"/>
      </c>
      <c r="CR36" s="238">
        <f t="shared" si="51"/>
      </c>
      <c r="CS36" s="238">
        <f t="shared" si="51"/>
      </c>
      <c r="CT36" s="238">
        <f t="shared" si="51"/>
      </c>
      <c r="CU36" s="238">
        <f t="shared" si="51"/>
      </c>
      <c r="CV36" s="238">
        <f t="shared" si="51"/>
      </c>
      <c r="CW36" s="239">
        <f t="shared" si="51"/>
      </c>
      <c r="CX36" s="239">
        <f t="shared" si="51"/>
      </c>
      <c r="CY36" s="239">
        <f t="shared" si="51"/>
      </c>
      <c r="CZ36" s="275"/>
    </row>
    <row r="37" spans="1:104" s="276" customFormat="1">
      <c r="A37" s="621" t="s">
        <v>230</v>
      </c>
      <c r="B37" s="238"/>
      <c r="C37" s="238"/>
      <c r="D37" s="238"/>
      <c r="E37" s="238"/>
      <c r="F37" s="238"/>
      <c r="G37" s="238"/>
      <c r="H37" s="238"/>
      <c r="I37" s="238"/>
      <c r="J37" s="238"/>
      <c r="K37" s="238"/>
      <c r="L37" s="238"/>
      <c r="M37" s="238"/>
      <c r="N37" s="238"/>
      <c r="O37" s="238"/>
      <c r="P37" s="238"/>
      <c r="Q37" s="238"/>
      <c r="R37" s="238"/>
      <c r="S37" s="238"/>
      <c r="T37" s="238"/>
      <c r="U37" s="238"/>
      <c r="V37" s="238"/>
      <c r="W37" s="238"/>
      <c r="X37" s="238"/>
      <c r="Y37" s="238"/>
      <c r="Z37" s="238"/>
      <c r="AA37" s="238"/>
      <c r="AB37" s="238"/>
      <c r="AC37" s="238"/>
      <c r="AD37" s="238"/>
      <c r="AE37" s="238"/>
      <c r="AF37" s="238"/>
      <c r="AG37" s="238"/>
      <c r="AH37" s="238"/>
      <c r="AI37" s="238"/>
      <c r="AJ37" s="238"/>
      <c r="AK37" s="238"/>
      <c r="AL37" s="655">
        <v>0</v>
      </c>
      <c r="AM37" s="655">
        <v>0</v>
      </c>
      <c r="AN37" s="655">
        <v>50</v>
      </c>
      <c r="AO37" s="655">
        <v>150</v>
      </c>
      <c r="AP37" s="655">
        <v>100</v>
      </c>
      <c r="AQ37" s="655">
        <v>0</v>
      </c>
      <c r="AR37" s="655">
        <f t="shared" ref="AR37:CC37" si="52">AR28*AR12/1000</f>
      </c>
      <c r="AS37" s="655">
        <f t="shared" si="52"/>
      </c>
      <c r="AT37" s="655">
        <f t="shared" si="52"/>
      </c>
      <c r="AU37" s="655">
        <f t="shared" si="52"/>
      </c>
      <c r="AV37" s="655">
        <f t="shared" si="52"/>
      </c>
      <c r="AW37" s="655">
        <f t="shared" si="52"/>
      </c>
      <c r="AX37" s="655">
        <f t="shared" si="52"/>
      </c>
      <c r="AY37" s="655">
        <f t="shared" si="52"/>
      </c>
      <c r="AZ37" s="655">
        <f t="shared" si="52"/>
      </c>
      <c r="BA37" s="655">
        <f t="shared" si="52"/>
      </c>
      <c r="BB37" s="655">
        <f t="shared" si="52"/>
      </c>
      <c r="BC37" s="655">
        <f t="shared" si="52"/>
      </c>
      <c r="BD37" s="655">
        <f t="shared" si="52"/>
      </c>
      <c r="BE37" s="655">
        <f t="shared" si="52"/>
      </c>
      <c r="BF37" s="655">
        <f t="shared" si="52"/>
      </c>
      <c r="BG37" s="655">
        <f t="shared" si="52"/>
      </c>
      <c r="BH37" s="655">
        <f t="shared" si="52"/>
      </c>
      <c r="BI37" s="655">
        <f t="shared" si="52"/>
      </c>
      <c r="BJ37" s="655">
        <f t="shared" si="52"/>
      </c>
      <c r="BK37" s="655">
        <f t="shared" si="52"/>
      </c>
      <c r="BL37" s="655">
        <f t="shared" si="52"/>
      </c>
      <c r="BM37" s="655">
        <f t="shared" si="52"/>
      </c>
      <c r="BN37" s="655">
        <f t="shared" si="52"/>
      </c>
      <c r="BO37" s="655">
        <f t="shared" si="52"/>
      </c>
      <c r="BP37" s="655">
        <f t="shared" si="52"/>
      </c>
      <c r="BQ37" s="655">
        <f t="shared" si="52"/>
      </c>
      <c r="BR37" s="655">
        <f t="shared" si="52"/>
      </c>
      <c r="BS37" s="655">
        <f t="shared" si="52"/>
      </c>
      <c r="BT37" s="658">
        <f t="shared" si="52"/>
      </c>
      <c r="BU37" s="658">
        <f t="shared" si="52"/>
      </c>
      <c r="BV37" s="658">
        <f t="shared" si="52"/>
      </c>
      <c r="BW37" s="658">
        <f t="shared" si="52"/>
      </c>
      <c r="BX37" s="658">
        <f t="shared" si="52"/>
      </c>
      <c r="BY37" s="658">
        <f t="shared" si="52"/>
      </c>
      <c r="BZ37" s="658">
        <f t="shared" si="52"/>
      </c>
      <c r="CA37" s="658">
        <f t="shared" si="52"/>
      </c>
      <c r="CB37" s="658">
        <f t="shared" si="52"/>
      </c>
      <c r="CC37" s="658">
        <f t="shared" si="52"/>
      </c>
      <c r="CD37" s="250"/>
      <c r="CE37" s="277"/>
      <c r="CF37" s="285"/>
      <c r="CG37" s="285"/>
      <c r="CH37" s="285"/>
      <c r="CI37" s="285"/>
      <c r="CJ37" s="285"/>
      <c r="CK37" s="285"/>
      <c r="CL37" s="235">
        <f>SUM(Z37:AC37)</f>
      </c>
      <c r="CM37" s="235">
        <f>SUM(AD37:AG37)</f>
      </c>
      <c r="CN37" s="235">
        <f>SUM(AH37:AK37)</f>
      </c>
      <c r="CO37" s="235">
        <f>SUM(AL37:AO37)</f>
      </c>
      <c r="CP37" s="235">
        <f>SUM(AP37:AS37)</f>
      </c>
      <c r="CQ37" s="235">
        <f>AT37+AU37+AV37+AW37</f>
      </c>
      <c r="CR37" s="235">
        <f>AX37+AY37+AZ37+BA37</f>
      </c>
      <c r="CS37" s="235">
        <f>AY37+AZ37+BA37+BB37</f>
      </c>
      <c r="CT37" s="235">
        <f>+SUM(BF37:BI37)</f>
      </c>
      <c r="CU37" s="235">
        <f>+SUM(BJ37:BM37)</f>
      </c>
      <c r="CV37" s="235">
        <f>+SUM(BN37:BQ37)</f>
      </c>
      <c r="CW37" s="236">
        <f>+SUM(BR37:BU37)</f>
      </c>
      <c r="CX37" s="236">
        <f>SUM(BV37:BY37)</f>
      </c>
      <c r="CY37" s="236">
        <f>SUM(BZ37:CC37)</f>
      </c>
      <c r="CZ37" s="275"/>
    </row>
    <row r="38" spans="1:104" s="276" customFormat="1">
      <c r="A38" s="277" t="s">
        <v>196</v>
      </c>
      <c r="B38" s="238"/>
      <c r="C38" s="238"/>
      <c r="D38" s="238"/>
      <c r="E38" s="238"/>
      <c r="F38" s="238"/>
      <c r="G38" s="238"/>
      <c r="H38" s="238"/>
      <c r="I38" s="238"/>
      <c r="J38" s="238"/>
      <c r="K38" s="238"/>
      <c r="L38" s="238"/>
      <c r="M38" s="238"/>
      <c r="N38" s="238"/>
      <c r="O38" s="238"/>
      <c r="P38" s="238"/>
      <c r="Q38" s="238"/>
      <c r="R38" s="238"/>
      <c r="S38" s="238"/>
      <c r="T38" s="238"/>
      <c r="U38" s="238"/>
      <c r="V38" s="238"/>
      <c r="W38" s="238"/>
      <c r="X38" s="238"/>
      <c r="Y38" s="238"/>
      <c r="Z38" s="238"/>
      <c r="AA38" s="238"/>
      <c r="AB38" s="238"/>
      <c r="AC38" s="238"/>
      <c r="AD38" s="238"/>
      <c r="AE38" s="238"/>
      <c r="AF38" s="238"/>
      <c r="AG38" s="238"/>
      <c r="AH38" s="238"/>
      <c r="AI38" s="238"/>
      <c r="AJ38" s="238"/>
      <c r="AK38" s="238"/>
      <c r="AL38" s="238"/>
      <c r="AM38" s="238"/>
      <c r="AN38" s="238"/>
      <c r="AO38" s="238">
        <f>AO37/AN37-1</f>
      </c>
      <c r="AP38" s="238">
        <f>AP37/AO37-1</f>
      </c>
      <c r="AQ38" s="238">
        <f>AQ37/AP37-1</f>
      </c>
      <c r="AR38" s="239"/>
      <c r="AS38" s="239"/>
      <c r="AT38" s="239"/>
      <c r="AU38" s="238"/>
      <c r="AV38" s="238"/>
      <c r="AW38" s="239"/>
      <c r="AX38" s="238"/>
      <c r="AY38" s="238"/>
      <c r="AZ38" s="239"/>
      <c r="BA38" s="287"/>
      <c r="BB38" s="287"/>
      <c r="BC38" s="287"/>
      <c r="BD38" s="287"/>
      <c r="BE38" s="287"/>
      <c r="BF38" s="288"/>
      <c r="BG38" s="288"/>
      <c r="BH38" s="288"/>
      <c r="BI38" s="288"/>
      <c r="BJ38" s="288"/>
      <c r="BK38" s="288"/>
      <c r="BL38" s="288"/>
      <c r="BM38" s="288"/>
      <c r="BN38" s="288"/>
      <c r="BO38" s="288"/>
      <c r="BP38" s="288"/>
      <c r="BQ38" s="288"/>
      <c r="BR38" s="288"/>
      <c r="BS38" s="288"/>
      <c r="BT38" s="289"/>
      <c r="BU38" s="289"/>
      <c r="BV38" s="289"/>
      <c r="BW38" s="289"/>
      <c r="BX38" s="289"/>
      <c r="BY38" s="289"/>
      <c r="BZ38" s="289"/>
      <c r="CA38" s="289"/>
      <c r="CB38" s="289"/>
      <c r="CC38" s="289"/>
      <c r="CD38" s="250"/>
      <c r="CE38" s="277"/>
      <c r="CF38" s="285"/>
      <c r="CG38" s="285"/>
      <c r="CH38" s="285"/>
      <c r="CI38" s="285"/>
      <c r="CJ38" s="285"/>
      <c r="CK38" s="285"/>
      <c r="CL38" s="651"/>
      <c r="CM38" s="651"/>
      <c r="CN38" s="651"/>
      <c r="CO38" s="651"/>
      <c r="CP38" s="651"/>
      <c r="CQ38" s="651"/>
      <c r="CR38" s="651"/>
      <c r="CS38" s="651"/>
      <c r="CT38" s="651"/>
      <c r="CU38" s="651"/>
      <c r="CV38" s="651"/>
      <c r="CW38" s="656"/>
      <c r="CX38" s="656"/>
      <c r="CY38" s="656"/>
      <c r="CZ38" s="275"/>
    </row>
    <row r="39" spans="1:104" s="276" customFormat="1">
      <c r="A39" s="277" t="s">
        <v>198</v>
      </c>
      <c r="B39" s="238"/>
      <c r="C39" s="238"/>
      <c r="D39" s="238"/>
      <c r="E39" s="238"/>
      <c r="F39" s="238"/>
      <c r="G39" s="238"/>
      <c r="H39" s="238"/>
      <c r="I39" s="238"/>
      <c r="J39" s="238"/>
      <c r="K39" s="238"/>
      <c r="L39" s="238"/>
      <c r="M39" s="238"/>
      <c r="N39" s="238"/>
      <c r="O39" s="238"/>
      <c r="P39" s="238"/>
      <c r="Q39" s="238"/>
      <c r="R39" s="238"/>
      <c r="S39" s="238"/>
      <c r="T39" s="238"/>
      <c r="U39" s="238"/>
      <c r="V39" s="238"/>
      <c r="W39" s="238"/>
      <c r="X39" s="238"/>
      <c r="Y39" s="238"/>
      <c r="Z39" s="659"/>
      <c r="AA39" s="659"/>
      <c r="AB39" s="659"/>
      <c r="AC39" s="659"/>
      <c r="AD39" s="659"/>
      <c r="AE39" s="659"/>
      <c r="AF39" s="659"/>
      <c r="AG39" s="659"/>
      <c r="AH39" s="659"/>
      <c r="AI39" s="659"/>
      <c r="AJ39" s="659"/>
      <c r="AK39" s="659"/>
      <c r="AL39" s="659"/>
      <c r="AM39" s="659"/>
      <c r="AN39" s="659"/>
      <c r="AO39" s="290"/>
      <c r="AP39" s="290"/>
      <c r="AQ39" s="290"/>
      <c r="AR39" s="290"/>
      <c r="AS39" s="290"/>
      <c r="AT39" s="290"/>
      <c r="AU39" s="290"/>
      <c r="AV39" s="290"/>
      <c r="AW39" s="290"/>
      <c r="AX39" s="290"/>
      <c r="AY39" s="291"/>
      <c r="AZ39" s="659"/>
      <c r="BA39" s="291"/>
      <c r="BB39" s="287"/>
      <c r="BC39" s="287"/>
      <c r="BD39" s="288"/>
      <c r="BE39" s="288"/>
      <c r="BF39" s="288"/>
      <c r="BG39" s="288"/>
      <c r="BH39" s="288"/>
      <c r="BI39" s="288"/>
      <c r="BJ39" s="288"/>
      <c r="BK39" s="288"/>
      <c r="BL39" s="288"/>
      <c r="BM39" s="288"/>
      <c r="BN39" s="288"/>
      <c r="BO39" s="288"/>
      <c r="BP39" s="288"/>
      <c r="BQ39" s="288"/>
      <c r="BR39" s="288"/>
      <c r="BS39" s="288"/>
      <c r="BT39" s="289"/>
      <c r="BU39" s="289"/>
      <c r="BV39" s="289"/>
      <c r="BW39" s="289"/>
      <c r="BX39" s="289"/>
      <c r="BY39" s="289"/>
      <c r="BZ39" s="289"/>
      <c r="CA39" s="289"/>
      <c r="CB39" s="289"/>
      <c r="CC39" s="289"/>
      <c r="CD39" s="250"/>
      <c r="CE39" s="277"/>
      <c r="CF39" s="285"/>
      <c r="CG39" s="285"/>
      <c r="CH39" s="285"/>
      <c r="CI39" s="285"/>
      <c r="CJ39" s="285"/>
      <c r="CK39" s="285"/>
      <c r="CL39" s="651"/>
      <c r="CM39" s="238"/>
      <c r="CN39" s="238"/>
      <c r="CO39" s="238"/>
      <c r="CP39" s="238">
        <f>CP37/CO37-1</f>
      </c>
      <c r="CQ39" s="238">
        <f>CQ37/CP37-1</f>
      </c>
      <c r="CR39" s="238"/>
      <c r="CS39" s="239"/>
      <c r="CT39" s="239">
        <f t="shared" ref="CT39:CY39" si="53">CT37/CS37-1</f>
      </c>
      <c r="CU39" s="239" t="e">
        <f t="shared" si="53"/>
      </c>
      <c r="CV39" s="239" t="e">
        <f t="shared" si="53"/>
      </c>
      <c r="CW39" s="239" t="e">
        <f t="shared" si="53"/>
      </c>
      <c r="CX39" s="239" t="e">
        <f t="shared" si="53"/>
      </c>
      <c r="CY39" s="239" t="e">
        <f t="shared" si="53"/>
      </c>
      <c r="CZ39" s="275"/>
    </row>
    <row r="40" spans="1:104" s="276" customFormat="1">
      <c r="A40" s="63"/>
      <c r="B40" s="238"/>
      <c r="C40" s="238"/>
      <c r="D40" s="238"/>
      <c r="E40" s="238"/>
      <c r="F40" s="238"/>
      <c r="G40" s="238"/>
      <c r="H40" s="238"/>
      <c r="I40" s="238"/>
      <c r="J40" s="238"/>
      <c r="K40" s="238"/>
      <c r="L40" s="238"/>
      <c r="M40" s="238"/>
      <c r="N40" s="238"/>
      <c r="O40" s="238"/>
      <c r="P40" s="238"/>
      <c r="Q40" s="238"/>
      <c r="R40" s="238"/>
      <c r="S40" s="238"/>
      <c r="T40" s="238"/>
      <c r="U40" s="238"/>
      <c r="V40" s="238"/>
      <c r="W40" s="238"/>
      <c r="X40" s="238"/>
      <c r="Y40" s="238"/>
      <c r="Z40" s="659"/>
      <c r="AA40" s="659"/>
      <c r="AB40" s="659"/>
      <c r="AC40" s="659"/>
      <c r="AD40" s="659"/>
      <c r="AE40" s="659"/>
      <c r="AF40" s="659"/>
      <c r="AG40" s="659"/>
      <c r="AH40" s="659"/>
      <c r="AI40" s="659"/>
      <c r="AJ40" s="659"/>
      <c r="AK40" s="659"/>
      <c r="AL40" s="659"/>
      <c r="AM40" s="659"/>
      <c r="AN40" s="659"/>
      <c r="AO40" s="659"/>
      <c r="AP40" s="659"/>
      <c r="AQ40" s="659"/>
      <c r="AR40" s="659"/>
      <c r="AS40" s="659"/>
      <c r="AT40" s="659"/>
      <c r="AU40" s="659"/>
      <c r="AV40" s="659"/>
      <c r="AW40" s="659"/>
      <c r="AX40" s="659"/>
      <c r="AY40" s="659"/>
      <c r="AZ40" s="659"/>
      <c r="BA40" s="291"/>
      <c r="BB40" s="287"/>
      <c r="BC40" s="288"/>
      <c r="BD40" s="288"/>
      <c r="BE40" s="288"/>
      <c r="BF40" s="288"/>
      <c r="BG40" s="288"/>
      <c r="BH40" s="288"/>
      <c r="BI40" s="288"/>
      <c r="BJ40" s="288"/>
      <c r="BK40" s="288"/>
      <c r="BL40" s="288"/>
      <c r="BM40" s="288"/>
      <c r="BN40" s="288"/>
      <c r="BO40" s="288"/>
      <c r="BP40" s="288"/>
      <c r="BQ40" s="288"/>
      <c r="BR40" s="288"/>
      <c r="BS40" s="288"/>
      <c r="BT40" s="289"/>
      <c r="BU40" s="289"/>
      <c r="BV40" s="289"/>
      <c r="BW40" s="289"/>
      <c r="BX40" s="289"/>
      <c r="BY40" s="289"/>
      <c r="BZ40" s="289"/>
      <c r="CA40" s="289"/>
      <c r="CB40" s="289"/>
      <c r="CC40" s="289"/>
      <c r="CD40" s="227"/>
      <c r="CE40" s="227"/>
      <c r="CF40" s="285"/>
      <c r="CG40" s="285"/>
      <c r="CH40" s="285"/>
      <c r="CI40" s="285"/>
      <c r="CJ40" s="285"/>
      <c r="CK40" s="285"/>
      <c r="CL40" s="238"/>
      <c r="CM40" s="238"/>
      <c r="CN40" s="238"/>
      <c r="CO40" s="238"/>
      <c r="CP40" s="238"/>
      <c r="CQ40" s="238"/>
      <c r="CR40" s="238"/>
      <c r="CS40" s="238"/>
      <c r="CT40" s="238"/>
      <c r="CU40" s="238"/>
      <c r="CV40" s="238"/>
      <c r="CW40" s="238"/>
      <c r="CX40" s="238"/>
      <c r="CY40" s="238"/>
      <c r="CZ40" s="275"/>
    </row>
    <row r="41" spans="1:104" s="270" customFormat="1" ht="15.6">
      <c r="A41" s="268" t="s">
        <v>542</v>
      </c>
      <c r="B41" s="225"/>
      <c r="C41" s="225"/>
      <c r="D41" s="225"/>
      <c r="E41" s="269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  <c r="V41" s="269"/>
      <c r="W41" s="269"/>
      <c r="X41" s="269"/>
      <c r="Y41" s="269"/>
      <c r="Z41" s="269"/>
      <c r="AA41" s="269"/>
      <c r="AB41" s="269"/>
      <c r="AC41" s="269"/>
      <c r="AD41" s="269"/>
      <c r="AE41" s="269"/>
      <c r="AF41" s="269"/>
      <c r="AG41" s="269"/>
      <c r="AH41" s="269"/>
      <c r="AI41" s="269"/>
      <c r="AJ41" s="269"/>
      <c r="AK41" s="269"/>
      <c r="AL41" s="269"/>
      <c r="AM41" s="269"/>
      <c r="AN41" s="269"/>
      <c r="AO41" s="269"/>
      <c r="AP41" s="269"/>
      <c r="AQ41" s="269"/>
      <c r="AR41" s="269"/>
      <c r="AS41" s="269"/>
      <c r="AT41" s="269"/>
      <c r="AU41" s="269"/>
      <c r="AV41" s="269"/>
      <c r="AW41" s="269"/>
      <c r="AX41" s="269"/>
      <c r="AY41" s="269"/>
      <c r="AZ41" s="269"/>
      <c r="BA41" s="269"/>
      <c r="BB41" s="269"/>
      <c r="BC41" s="269"/>
      <c r="BD41" s="269"/>
      <c r="BE41" s="269"/>
      <c r="BF41" s="269"/>
      <c r="BG41" s="269"/>
      <c r="BH41" s="269"/>
      <c r="BI41" s="269"/>
      <c r="BJ41" s="269"/>
      <c r="BK41" s="269"/>
      <c r="BL41" s="269"/>
      <c r="BM41" s="269"/>
      <c r="BN41" s="269"/>
      <c r="BO41" s="269"/>
      <c r="BP41" s="269"/>
      <c r="BQ41" s="269"/>
      <c r="BR41" s="269"/>
      <c r="BS41" s="269"/>
      <c r="BT41" s="269"/>
      <c r="BU41" s="269"/>
      <c r="BV41" s="269"/>
      <c r="BW41" s="269"/>
      <c r="BX41" s="269"/>
      <c r="BY41" s="269"/>
      <c r="BZ41" s="269"/>
      <c r="CA41" s="269"/>
      <c r="CB41" s="269"/>
      <c r="CC41" s="269"/>
      <c r="CD41" s="227"/>
      <c r="CE41" s="227"/>
      <c r="CF41" s="225"/>
      <c r="CG41" s="225"/>
      <c r="CH41" s="225"/>
      <c r="CI41" s="225"/>
      <c r="CJ41" s="225"/>
      <c r="CK41" s="225"/>
      <c r="CL41" s="225"/>
      <c r="CM41" s="225"/>
      <c r="CN41" s="225"/>
      <c r="CO41" s="225"/>
      <c r="CP41" s="225"/>
      <c r="CQ41" s="225"/>
      <c r="CR41" s="225"/>
      <c r="CS41" s="225"/>
      <c r="CT41" s="225"/>
      <c r="CU41" s="225"/>
      <c r="CV41" s="225"/>
      <c r="CW41" s="225"/>
      <c r="CX41" s="225"/>
      <c r="CY41" s="225"/>
      <c r="CZ41" s="227"/>
    </row>
    <row r="42" spans="1:104">
      <c r="A42" s="252" t="s">
        <v>536</v>
      </c>
      <c r="B42" s="271">
        <v>6100</v>
      </c>
      <c r="C42" s="271">
        <v>5900</v>
      </c>
      <c r="D42" s="271">
        <v>8000</v>
      </c>
      <c r="E42" s="271">
        <v>5500</v>
      </c>
      <c r="F42" s="271">
        <v>4000</v>
      </c>
      <c r="G42" s="271">
        <v>4360</v>
      </c>
      <c r="H42" s="271">
        <v>5190</v>
      </c>
      <c r="I42" s="271">
        <v>7300</v>
      </c>
      <c r="J42" s="271">
        <v>9200</v>
      </c>
      <c r="K42" s="271">
        <v>8475</v>
      </c>
      <c r="L42" s="271">
        <v>5700</v>
      </c>
      <c r="M42" s="271">
        <v>5350</v>
      </c>
      <c r="N42" s="271">
        <v>7425</v>
      </c>
      <c r="O42" s="271">
        <v>9625</v>
      </c>
      <c r="P42" s="271">
        <v>8800</v>
      </c>
      <c r="Q42" s="271">
        <v>7700</v>
      </c>
      <c r="R42" s="271">
        <v>8300</v>
      </c>
      <c r="S42" s="271">
        <v>9850</v>
      </c>
      <c r="T42" s="271">
        <v>11020</v>
      </c>
      <c r="U42" s="271">
        <v>8995</v>
      </c>
      <c r="V42" s="271">
        <v>9675</v>
      </c>
      <c r="W42" s="271">
        <v>8990</v>
      </c>
      <c r="X42" s="271">
        <v>8700</v>
      </c>
      <c r="Y42" s="271">
        <v>8980</v>
      </c>
      <c r="Z42" s="271">
        <v>7670</v>
      </c>
      <c r="AA42" s="271">
        <v>8210</v>
      </c>
      <c r="AB42" s="271">
        <v>8460</v>
      </c>
      <c r="AC42" s="271">
        <v>8450</v>
      </c>
      <c r="AD42" s="271">
        <v>6710</v>
      </c>
      <c r="AE42" s="271">
        <v>5260</v>
      </c>
      <c r="AF42" s="271">
        <v>6000</v>
      </c>
      <c r="AG42" s="271">
        <v>7960</v>
      </c>
      <c r="AH42" s="271">
        <v>5250</v>
      </c>
      <c r="AI42" s="271">
        <v>4950</v>
      </c>
      <c r="AJ42" s="271">
        <v>6875</v>
      </c>
      <c r="AK42" s="271">
        <v>7720</v>
      </c>
      <c r="AL42" s="271">
        <v>5890</v>
      </c>
      <c r="AM42" s="271">
        <v>5670</v>
      </c>
      <c r="AN42" s="271">
        <v>7000</v>
      </c>
      <c r="AO42" s="271">
        <v>7380</v>
      </c>
      <c r="AP42" s="271">
        <v>5160</v>
      </c>
      <c r="AQ42" s="271">
        <v>6330</v>
      </c>
      <c r="AR42" s="271">
        <v>7400</v>
      </c>
      <c r="AS42" s="271">
        <v>6860</v>
      </c>
      <c r="AT42" s="271">
        <v>5405</v>
      </c>
      <c r="AU42" s="271">
        <v>6840</v>
      </c>
      <c r="AV42" s="271">
        <v>8680</v>
      </c>
      <c r="AW42" s="271">
        <v>7940</v>
      </c>
      <c r="AX42" s="271">
        <v>7260</v>
      </c>
      <c r="AY42" s="271">
        <v>8515</v>
      </c>
      <c r="AZ42" s="271">
        <v>9475</v>
      </c>
      <c r="BA42" s="271">
        <v>7695</v>
      </c>
      <c r="BB42" s="271">
        <v>8325</v>
      </c>
      <c r="BC42" s="271">
        <v>9600</v>
      </c>
      <c r="BD42" s="271">
        <v>9490</v>
      </c>
      <c r="BE42" s="271">
        <v>9095</v>
      </c>
      <c r="BF42" s="271">
        <v>9925</v>
      </c>
      <c r="BG42" s="271">
        <v>6600</v>
      </c>
      <c r="BH42" s="271">
        <v>6500</v>
      </c>
      <c r="BI42" s="271">
        <v>4500</v>
      </c>
      <c r="BJ42" s="271">
        <v>5050</v>
      </c>
      <c r="BK42" s="271">
        <v>6000</v>
      </c>
      <c r="BL42" s="271">
        <v>6750</v>
      </c>
      <c r="BM42" s="271">
        <v>6050</v>
      </c>
      <c r="BN42" s="271">
        <v>4925</v>
      </c>
      <c r="BO42" s="271">
        <v>5875</v>
      </c>
      <c r="BP42" s="271">
        <v>6850</v>
      </c>
      <c r="BQ42" s="271">
        <v>5770</v>
      </c>
      <c r="BR42" s="271">
        <v>5150</v>
      </c>
      <c r="BS42" s="271">
        <f t="shared" ref="BS42:BY42" si="54">+BR42*(1+BS43)</f>
      </c>
      <c r="BT42" s="272">
        <f t="shared" si="54"/>
      </c>
      <c r="BU42" s="272">
        <f t="shared" si="54"/>
      </c>
      <c r="BV42" s="272">
        <f t="shared" si="54"/>
      </c>
      <c r="BW42" s="272">
        <f t="shared" si="54"/>
      </c>
      <c r="BX42" s="272">
        <f t="shared" si="54"/>
      </c>
      <c r="BY42" s="272">
        <f t="shared" si="54"/>
      </c>
      <c r="BZ42" s="272">
        <f>+BY42*(1+BZ43)</f>
      </c>
      <c r="CA42" s="272">
        <f>+BZ42*(1+CA43)</f>
      </c>
      <c r="CB42" s="272">
        <f>+CA42*(1+CB43)</f>
      </c>
      <c r="CC42" s="272">
        <f>+CB42*(1+CC43)</f>
      </c>
      <c r="CD42" s="283"/>
      <c r="CE42" s="292"/>
      <c r="CF42" s="271">
        <f>SUM(B42:E42)</f>
      </c>
      <c r="CG42" s="271">
        <f>SUM(F42:I42)</f>
      </c>
      <c r="CH42" s="271">
        <f>SUM(J42:M42)</f>
      </c>
      <c r="CI42" s="271">
        <f>SUM(N42:Q42)</f>
      </c>
      <c r="CJ42" s="271">
        <f>SUM(R42:U42)</f>
      </c>
      <c r="CK42" s="271">
        <f>SUM(V42:Y42)</f>
      </c>
      <c r="CL42" s="271">
        <f>SUM(Z42:AC42)</f>
      </c>
      <c r="CM42" s="271">
        <f>SUM(AD42:AG42)</f>
      </c>
      <c r="CN42" s="271">
        <f>SUM(AH42:AK42)</f>
      </c>
      <c r="CO42" s="271">
        <f>SUM(AL42:AO42)</f>
      </c>
      <c r="CP42" s="271">
        <f>SUM(AP42:AS42)</f>
      </c>
      <c r="CQ42" s="271">
        <f>AT42+AU42+AV42+AW42</f>
      </c>
      <c r="CR42" s="271">
        <f>AX42+AY42+AZ42+BA42</f>
      </c>
      <c r="CS42" s="271">
        <f>BB42+BC42+BD42+BE42</f>
      </c>
      <c r="CT42" s="271">
        <f>+SUM(BF42:BI42)</f>
      </c>
      <c r="CU42" s="271">
        <f>+SUM(BJ42:BM42)</f>
      </c>
      <c r="CV42" s="271">
        <f>+SUM(BN42:BQ42)</f>
      </c>
      <c r="CW42" s="272">
        <f>+SUM(BR42:BU42)</f>
      </c>
      <c r="CX42" s="272">
        <f>SUM(BV42:BY42)</f>
      </c>
      <c r="CY42" s="272">
        <f>SUM(BZ42:CC42)</f>
      </c>
    </row>
    <row r="43" spans="1:104">
      <c r="A43" s="63" t="s">
        <v>196</v>
      </c>
      <c r="B43" s="238"/>
      <c r="C43" s="238">
        <f t="shared" ref="C43:BN43" si="55">C42/B42-1</f>
      </c>
      <c r="D43" s="238">
        <f t="shared" si="55"/>
      </c>
      <c r="E43" s="238">
        <f t="shared" si="55"/>
      </c>
      <c r="F43" s="238">
        <f t="shared" si="55"/>
      </c>
      <c r="G43" s="238">
        <f t="shared" si="55"/>
      </c>
      <c r="H43" s="238">
        <f t="shared" si="55"/>
      </c>
      <c r="I43" s="238">
        <f t="shared" si="55"/>
      </c>
      <c r="J43" s="238">
        <f t="shared" si="55"/>
      </c>
      <c r="K43" s="238">
        <f t="shared" si="55"/>
      </c>
      <c r="L43" s="238">
        <f t="shared" si="55"/>
      </c>
      <c r="M43" s="238">
        <f t="shared" si="55"/>
      </c>
      <c r="N43" s="238">
        <f t="shared" si="55"/>
      </c>
      <c r="O43" s="238">
        <f t="shared" si="55"/>
      </c>
      <c r="P43" s="238">
        <f t="shared" si="55"/>
      </c>
      <c r="Q43" s="238">
        <f t="shared" si="55"/>
      </c>
      <c r="R43" s="238">
        <f t="shared" si="55"/>
      </c>
      <c r="S43" s="238">
        <f t="shared" si="55"/>
      </c>
      <c r="T43" s="238">
        <f t="shared" si="55"/>
      </c>
      <c r="U43" s="238">
        <f t="shared" si="55"/>
      </c>
      <c r="V43" s="238">
        <f t="shared" si="55"/>
      </c>
      <c r="W43" s="238">
        <f t="shared" si="55"/>
      </c>
      <c r="X43" s="238">
        <f t="shared" si="55"/>
      </c>
      <c r="Y43" s="238">
        <f t="shared" si="55"/>
      </c>
      <c r="Z43" s="238">
        <f t="shared" si="55"/>
      </c>
      <c r="AA43" s="238">
        <f t="shared" si="55"/>
      </c>
      <c r="AB43" s="238">
        <f t="shared" si="55"/>
      </c>
      <c r="AC43" s="238">
        <f t="shared" si="55"/>
      </c>
      <c r="AD43" s="238">
        <f t="shared" si="55"/>
      </c>
      <c r="AE43" s="238">
        <f t="shared" si="55"/>
      </c>
      <c r="AF43" s="238">
        <f t="shared" si="55"/>
      </c>
      <c r="AG43" s="238">
        <f t="shared" si="55"/>
      </c>
      <c r="AH43" s="238">
        <f t="shared" si="55"/>
      </c>
      <c r="AI43" s="238">
        <f t="shared" si="55"/>
      </c>
      <c r="AJ43" s="238">
        <f t="shared" si="55"/>
      </c>
      <c r="AK43" s="238">
        <f t="shared" si="55"/>
      </c>
      <c r="AL43" s="238">
        <f t="shared" si="55"/>
      </c>
      <c r="AM43" s="238">
        <f t="shared" si="55"/>
      </c>
      <c r="AN43" s="238">
        <f t="shared" si="55"/>
      </c>
      <c r="AO43" s="238">
        <f t="shared" si="55"/>
      </c>
      <c r="AP43" s="238">
        <f t="shared" si="55"/>
      </c>
      <c r="AQ43" s="238">
        <f t="shared" si="55"/>
      </c>
      <c r="AR43" s="238">
        <f t="shared" si="55"/>
      </c>
      <c r="AS43" s="238">
        <f t="shared" si="55"/>
      </c>
      <c r="AT43" s="238">
        <f t="shared" si="55"/>
      </c>
      <c r="AU43" s="238">
        <f t="shared" si="55"/>
      </c>
      <c r="AV43" s="238">
        <f t="shared" si="55"/>
      </c>
      <c r="AW43" s="238">
        <f t="shared" si="55"/>
      </c>
      <c r="AX43" s="238">
        <f t="shared" si="55"/>
      </c>
      <c r="AY43" s="238">
        <f t="shared" si="55"/>
      </c>
      <c r="AZ43" s="238">
        <f t="shared" si="55"/>
      </c>
      <c r="BA43" s="238">
        <f t="shared" si="55"/>
      </c>
      <c r="BB43" s="238">
        <f t="shared" si="55"/>
      </c>
      <c r="BC43" s="238">
        <f t="shared" si="55"/>
      </c>
      <c r="BD43" s="238">
        <f t="shared" si="55"/>
      </c>
      <c r="BE43" s="238">
        <f t="shared" si="55"/>
      </c>
      <c r="BF43" s="238">
        <f t="shared" si="55"/>
      </c>
      <c r="BG43" s="238">
        <f t="shared" si="55"/>
      </c>
      <c r="BH43" s="238">
        <f t="shared" si="55"/>
      </c>
      <c r="BI43" s="238">
        <f t="shared" si="55"/>
      </c>
      <c r="BJ43" s="238">
        <f t="shared" si="55"/>
      </c>
      <c r="BK43" s="238">
        <f t="shared" si="55"/>
      </c>
      <c r="BL43" s="238">
        <f t="shared" si="55"/>
      </c>
      <c r="BM43" s="238">
        <f t="shared" si="55"/>
      </c>
      <c r="BN43" s="238">
        <f t="shared" si="55"/>
      </c>
      <c r="BO43" s="238">
        <f t="shared" ref="BO43" si="56">BO42/BN42-1</f>
      </c>
      <c r="BP43" s="238">
        <v>0.1003</v>
      </c>
      <c r="BQ43" s="238">
        <f>BQ42/BP42-1</f>
      </c>
      <c r="BR43" s="238">
        <f>BR42/BQ42-1</f>
      </c>
      <c r="BS43" s="238">
        <v>0.15</v>
      </c>
      <c r="BT43" s="239">
        <v>0.16</v>
      </c>
      <c r="BU43" s="239">
        <v>0.03</v>
      </c>
      <c r="BV43" s="239">
        <v>-0.12</v>
      </c>
      <c r="BW43" s="239">
        <v>0.03</v>
      </c>
      <c r="BX43" s="239">
        <v>0.05</v>
      </c>
      <c r="BY43" s="239">
        <v>0.04</v>
      </c>
      <c r="BZ43" s="239">
        <v>-0.1</v>
      </c>
      <c r="CA43" s="239">
        <v>0.03</v>
      </c>
      <c r="CB43" s="239">
        <v>0.05</v>
      </c>
      <c r="CC43" s="239">
        <v>0.04</v>
      </c>
      <c r="CD43" s="275"/>
      <c r="CE43" s="227"/>
      <c r="CF43" s="293"/>
      <c r="CG43" s="244"/>
      <c r="CH43" s="244"/>
      <c r="CI43" s="244"/>
      <c r="CJ43" s="244"/>
      <c r="CK43" s="244"/>
      <c r="CL43" s="244"/>
      <c r="CM43" s="244"/>
      <c r="CN43" s="241"/>
      <c r="CO43" s="245"/>
      <c r="CP43" s="245"/>
      <c r="CQ43" s="245"/>
      <c r="CR43" s="245"/>
      <c r="CS43" s="254"/>
      <c r="CT43" s="254"/>
      <c r="CU43" s="254"/>
      <c r="CV43" s="254"/>
      <c r="CW43" s="245"/>
      <c r="CX43" s="245"/>
      <c r="CY43" s="245"/>
    </row>
    <row r="44" spans="1:104">
      <c r="A44" s="63" t="s">
        <v>198</v>
      </c>
      <c r="B44" s="238"/>
      <c r="C44" s="238"/>
      <c r="D44" s="238"/>
      <c r="E44" s="238"/>
      <c r="F44" s="238">
        <f t="shared" ref="F44:BQ44" si="57">F42/B42-1</f>
      </c>
      <c r="G44" s="238">
        <f t="shared" si="57"/>
      </c>
      <c r="H44" s="238">
        <f t="shared" si="57"/>
      </c>
      <c r="I44" s="238">
        <f t="shared" si="57"/>
      </c>
      <c r="J44" s="238">
        <f t="shared" si="57"/>
      </c>
      <c r="K44" s="238">
        <f t="shared" si="57"/>
      </c>
      <c r="L44" s="238">
        <f t="shared" si="57"/>
      </c>
      <c r="M44" s="238">
        <f t="shared" si="57"/>
      </c>
      <c r="N44" s="238">
        <f t="shared" si="57"/>
      </c>
      <c r="O44" s="238">
        <f t="shared" si="57"/>
      </c>
      <c r="P44" s="238">
        <f t="shared" si="57"/>
      </c>
      <c r="Q44" s="238">
        <f t="shared" si="57"/>
      </c>
      <c r="R44" s="238">
        <f t="shared" si="57"/>
      </c>
      <c r="S44" s="238">
        <f t="shared" si="57"/>
      </c>
      <c r="T44" s="238">
        <f t="shared" si="57"/>
      </c>
      <c r="U44" s="238">
        <f t="shared" si="57"/>
      </c>
      <c r="V44" s="238">
        <f t="shared" si="57"/>
      </c>
      <c r="W44" s="238">
        <f t="shared" si="57"/>
      </c>
      <c r="X44" s="238">
        <f t="shared" si="57"/>
      </c>
      <c r="Y44" s="238">
        <f t="shared" si="57"/>
      </c>
      <c r="Z44" s="238">
        <f t="shared" si="57"/>
      </c>
      <c r="AA44" s="238">
        <f t="shared" si="57"/>
      </c>
      <c r="AB44" s="238">
        <f t="shared" si="57"/>
      </c>
      <c r="AC44" s="238">
        <f t="shared" si="57"/>
      </c>
      <c r="AD44" s="238">
        <f t="shared" si="57"/>
      </c>
      <c r="AE44" s="238">
        <f t="shared" si="57"/>
      </c>
      <c r="AF44" s="238">
        <f t="shared" si="57"/>
      </c>
      <c r="AG44" s="238">
        <f t="shared" si="57"/>
      </c>
      <c r="AH44" s="238">
        <f t="shared" si="57"/>
      </c>
      <c r="AI44" s="238">
        <f t="shared" si="57"/>
      </c>
      <c r="AJ44" s="238">
        <f t="shared" si="57"/>
      </c>
      <c r="AK44" s="238">
        <f t="shared" si="57"/>
      </c>
      <c r="AL44" s="238">
        <f t="shared" si="57"/>
      </c>
      <c r="AM44" s="238">
        <f t="shared" si="57"/>
      </c>
      <c r="AN44" s="238">
        <f t="shared" si="57"/>
      </c>
      <c r="AO44" s="238">
        <f t="shared" si="57"/>
      </c>
      <c r="AP44" s="238">
        <f t="shared" si="57"/>
      </c>
      <c r="AQ44" s="238">
        <f t="shared" si="57"/>
      </c>
      <c r="AR44" s="238">
        <f t="shared" si="57"/>
      </c>
      <c r="AS44" s="238">
        <f t="shared" si="57"/>
      </c>
      <c r="AT44" s="238">
        <f t="shared" si="57"/>
      </c>
      <c r="AU44" s="238">
        <f t="shared" si="57"/>
      </c>
      <c r="AV44" s="238">
        <f t="shared" si="57"/>
      </c>
      <c r="AW44" s="238">
        <f t="shared" si="57"/>
      </c>
      <c r="AX44" s="238">
        <f t="shared" si="57"/>
      </c>
      <c r="AY44" s="238">
        <f t="shared" si="57"/>
      </c>
      <c r="AZ44" s="238">
        <f t="shared" si="57"/>
      </c>
      <c r="BA44" s="238">
        <f t="shared" si="57"/>
      </c>
      <c r="BB44" s="238">
        <f t="shared" si="57"/>
      </c>
      <c r="BC44" s="238">
        <f t="shared" si="57"/>
      </c>
      <c r="BD44" s="238">
        <f t="shared" si="57"/>
      </c>
      <c r="BE44" s="238">
        <f t="shared" si="57"/>
      </c>
      <c r="BF44" s="238">
        <f t="shared" si="57"/>
      </c>
      <c r="BG44" s="238">
        <f>BG42/BC42-1</f>
      </c>
      <c r="BH44" s="238">
        <f>BH42/BD42-1</f>
      </c>
      <c r="BI44" s="238">
        <f t="shared" si="57"/>
      </c>
      <c r="BJ44" s="238">
        <f t="shared" si="57"/>
      </c>
      <c r="BK44" s="238">
        <f t="shared" si="57"/>
      </c>
      <c r="BL44" s="238">
        <f>BL42/BH42-1</f>
      </c>
      <c r="BM44" s="238">
        <f>BM42/BI42-1</f>
      </c>
      <c r="BN44" s="238">
        <f>BN42/BJ42-1</f>
      </c>
      <c r="BO44" s="238">
        <f t="shared" si="57"/>
      </c>
      <c r="BP44" s="238">
        <f t="shared" si="57"/>
      </c>
      <c r="BQ44" s="238">
        <f t="shared" si="57"/>
      </c>
      <c r="BR44" s="238">
        <f t="shared" ref="BR44:CC44" si="58">BR42/BN42-1</f>
      </c>
      <c r="BS44" s="238">
        <f t="shared" si="58"/>
      </c>
      <c r="BT44" s="239">
        <f t="shared" si="58"/>
      </c>
      <c r="BU44" s="239">
        <f t="shared" si="58"/>
      </c>
      <c r="BV44" s="239">
        <f t="shared" si="58"/>
      </c>
      <c r="BW44" s="239">
        <f t="shared" si="58"/>
      </c>
      <c r="BX44" s="239">
        <f t="shared" si="58"/>
      </c>
      <c r="BY44" s="239">
        <f t="shared" si="58"/>
      </c>
      <c r="BZ44" s="239">
        <f t="shared" si="58"/>
      </c>
      <c r="CA44" s="239">
        <f t="shared" si="58"/>
      </c>
      <c r="CB44" s="239">
        <f t="shared" si="58"/>
      </c>
      <c r="CC44" s="239">
        <f t="shared" si="58"/>
      </c>
      <c r="CD44" s="275"/>
      <c r="CE44" s="227"/>
      <c r="CF44" s="240"/>
      <c r="CG44" s="276">
        <f>CG42/CF42-1</f>
      </c>
      <c r="CH44" s="276">
        <f t="shared" ref="CH44:CY44" si="59">CH42/CG42-1</f>
      </c>
      <c r="CI44" s="276">
        <f t="shared" si="59"/>
      </c>
      <c r="CJ44" s="276">
        <f t="shared" si="59"/>
      </c>
      <c r="CK44" s="276">
        <f t="shared" si="59"/>
      </c>
      <c r="CL44" s="276">
        <f t="shared" si="59"/>
      </c>
      <c r="CM44" s="276">
        <f t="shared" si="59"/>
      </c>
      <c r="CN44" s="238">
        <f t="shared" si="59"/>
      </c>
      <c r="CO44" s="238">
        <f t="shared" si="59"/>
      </c>
      <c r="CP44" s="238">
        <f t="shared" si="59"/>
      </c>
      <c r="CQ44" s="238">
        <f t="shared" si="59"/>
      </c>
      <c r="CR44" s="238">
        <f t="shared" si="59"/>
      </c>
      <c r="CS44" s="238">
        <f t="shared" si="59"/>
      </c>
      <c r="CT44" s="238">
        <f t="shared" si="59"/>
      </c>
      <c r="CU44" s="238">
        <f t="shared" si="59"/>
      </c>
      <c r="CV44" s="238">
        <f t="shared" si="59"/>
      </c>
      <c r="CW44" s="247">
        <f t="shared" si="59"/>
      </c>
      <c r="CX44" s="247">
        <f t="shared" si="59"/>
      </c>
      <c r="CY44" s="247">
        <f t="shared" si="59"/>
      </c>
    </row>
    <row r="45" spans="1:104" s="235" customFormat="1" hidden="1" outlineLevel="1">
      <c r="A45" s="235" t="s">
        <v>538</v>
      </c>
      <c r="B45" s="235">
        <v>8825</v>
      </c>
      <c r="C45" s="235">
        <v>9110</v>
      </c>
      <c r="D45" s="235">
        <v>13625</v>
      </c>
      <c r="E45" s="235">
        <v>8725</v>
      </c>
      <c r="F45" s="235">
        <v>6750</v>
      </c>
      <c r="G45" s="235">
        <v>9450</v>
      </c>
      <c r="H45" s="235">
        <v>12090</v>
      </c>
      <c r="I45" s="235">
        <v>15600</v>
      </c>
      <c r="J45" s="235">
        <v>18300</v>
      </c>
      <c r="K45" s="235">
        <v>19395</v>
      </c>
      <c r="L45" s="235">
        <v>14980</v>
      </c>
      <c r="M45" s="235">
        <v>14190</v>
      </c>
      <c r="N45" s="235">
        <v>17825</v>
      </c>
      <c r="O45" s="235">
        <v>19025</v>
      </c>
      <c r="P45" s="235">
        <v>18695</v>
      </c>
      <c r="Q45" s="235">
        <v>15950</v>
      </c>
      <c r="R45" s="235">
        <v>17100</v>
      </c>
      <c r="S45" s="235">
        <v>17850</v>
      </c>
      <c r="T45" s="235">
        <v>16760</v>
      </c>
      <c r="U45" s="235">
        <v>14220</v>
      </c>
      <c r="V45" s="235">
        <v>14280</v>
      </c>
      <c r="W45" s="235">
        <v>13840</v>
      </c>
      <c r="X45" s="235">
        <v>13225</v>
      </c>
      <c r="Y45" s="235">
        <v>13280</v>
      </c>
      <c r="Z45" s="235">
        <v>11070</v>
      </c>
      <c r="AA45" s="235">
        <v>12630</v>
      </c>
      <c r="AB45" s="235">
        <v>13110</v>
      </c>
      <c r="AC45" s="235">
        <v>12495</v>
      </c>
      <c r="AD45" s="235">
        <v>10230</v>
      </c>
      <c r="AE45" s="235">
        <v>8320</v>
      </c>
      <c r="AF45" s="235">
        <v>9675</v>
      </c>
      <c r="AG45" s="235">
        <v>11610</v>
      </c>
      <c r="AH45" s="235">
        <v>8565</v>
      </c>
      <c r="AI45" s="235">
        <v>8135</v>
      </c>
      <c r="AJ45" s="235">
        <v>10750</v>
      </c>
      <c r="AK45" s="235">
        <v>11750</v>
      </c>
      <c r="AL45" s="235">
        <v>9290</v>
      </c>
      <c r="AM45" s="235">
        <v>9140</v>
      </c>
      <c r="AN45" s="235">
        <v>10650</v>
      </c>
      <c r="AO45" s="235">
        <v>11065</v>
      </c>
      <c r="AP45" s="235">
        <v>7760</v>
      </c>
      <c r="AQ45" s="235">
        <v>9180</v>
      </c>
      <c r="AR45" s="235">
        <v>10825</v>
      </c>
      <c r="AS45" s="235">
        <v>10060</v>
      </c>
      <c r="AT45" s="235">
        <v>8065</v>
      </c>
      <c r="AU45" s="235">
        <v>9490</v>
      </c>
      <c r="AV45" s="235">
        <v>11185</v>
      </c>
      <c r="AW45" s="235">
        <v>10315</v>
      </c>
      <c r="AX45" s="235">
        <v>9020</v>
      </c>
      <c r="AY45" s="235">
        <v>10440</v>
      </c>
      <c r="AZ45" s="235">
        <v>11500</v>
      </c>
      <c r="BA45" s="235">
        <v>9550</v>
      </c>
      <c r="BB45" s="235">
        <v>10150</v>
      </c>
      <c r="BC45" s="235">
        <v>11300</v>
      </c>
      <c r="BD45" s="235">
        <v>10955</v>
      </c>
      <c r="BE45" s="235">
        <v>10635</v>
      </c>
      <c r="BF45" s="235">
        <v>11325</v>
      </c>
      <c r="BG45" s="235">
        <v>7395</v>
      </c>
      <c r="BH45" s="235">
        <v>6860</v>
      </c>
      <c r="BI45" s="235">
        <v>4765</v>
      </c>
      <c r="BJ45" s="235">
        <v>5235</v>
      </c>
      <c r="BK45" s="235">
        <v>6165</v>
      </c>
      <c r="BL45" s="235">
        <v>6945</v>
      </c>
      <c r="BM45" s="235">
        <v>6175</v>
      </c>
      <c r="BN45" s="235">
        <v>5040</v>
      </c>
      <c r="BO45" s="235">
        <v>5995</v>
      </c>
      <c r="BP45" s="235">
        <v>6960</v>
      </c>
      <c r="BQ45" s="235">
        <v>5920</v>
      </c>
      <c r="BR45" s="235">
        <v>5270</v>
      </c>
      <c r="BS45" s="235">
        <v>6064.9999999999991</v>
      </c>
      <c r="BT45" s="236">
        <v>7012.5999999999985</v>
      </c>
      <c r="BU45" s="236">
        <v>7218.7029999999986</v>
      </c>
      <c r="BV45" s="236">
        <v>6369.5586399999984</v>
      </c>
      <c r="BW45" s="236">
        <v>6556.3703991999982</v>
      </c>
      <c r="BX45" s="236">
        <v>6877.0639191599985</v>
      </c>
      <c r="BY45" s="236">
        <v>7146.4464759263983</v>
      </c>
      <c r="BZ45" s="236">
        <v>6446.0518283337587</v>
      </c>
      <c r="CA45" s="236">
        <v>6635.1583831837715</v>
      </c>
      <c r="CB45" s="236">
        <v>6959.7913023429601</v>
      </c>
      <c r="CC45" s="236">
        <v>7232.4829544366785</v>
      </c>
      <c r="CD45" s="273"/>
      <c r="CE45" s="292"/>
      <c r="CF45" s="235">
        <f>SUM(B45:E45)</f>
      </c>
      <c r="CG45" s="235">
        <f>SUM(F45:I45)</f>
      </c>
      <c r="CH45" s="235">
        <f>SUM(J45:M45)</f>
      </c>
      <c r="CI45" s="235">
        <f>SUM(N45:Q45)</f>
      </c>
      <c r="CJ45" s="235">
        <f>SUM(R45:U45)</f>
      </c>
      <c r="CK45" s="235">
        <f>SUM(V45:Y45)</f>
      </c>
      <c r="CL45" s="235">
        <f>SUM(Z45:AC45)</f>
      </c>
      <c r="CM45" s="235">
        <f>SUM(AD45:AG45)</f>
      </c>
      <c r="CN45" s="235">
        <f>SUM(AH45:AK45)</f>
      </c>
      <c r="CO45" s="235">
        <f>SUM(AL45:AO45)</f>
      </c>
      <c r="CP45" s="235">
        <f>SUM(AP45:AS45)</f>
      </c>
      <c r="CQ45" s="235">
        <f>AT45+AU45+AV45+AW45</f>
      </c>
      <c r="CR45" s="235">
        <f>AX45+AY45+AZ45+BA45</f>
      </c>
      <c r="CS45" s="235">
        <f>BB45+BC45+BD45+BE45</f>
      </c>
      <c r="CT45" s="235">
        <f>+SUM(BF45:BI45)</f>
      </c>
      <c r="CU45" s="235">
        <f>+SUM(BJ45:BM45)</f>
      </c>
      <c r="CV45" s="235">
        <f>+SUM(BN45:BQ45)</f>
      </c>
      <c r="CW45" s="236">
        <f>+SUM(BR45:BU45)</f>
      </c>
      <c r="CX45" s="236">
        <f>SUM(BV45:BY45)</f>
      </c>
      <c r="CY45" s="236">
        <f>SUM(BZ45:CC45)</f>
      </c>
      <c r="CZ45" s="273"/>
    </row>
    <row r="46" spans="1:104" s="276" customFormat="1" hidden="1" outlineLevel="1">
      <c r="A46" s="63" t="s">
        <v>196</v>
      </c>
      <c r="B46" s="238"/>
      <c r="C46" s="238">
        <f t="shared" ref="C46:BN46" si="60">C45/B45-1</f>
      </c>
      <c r="D46" s="238">
        <f t="shared" si="60"/>
      </c>
      <c r="E46" s="238">
        <f t="shared" si="60"/>
      </c>
      <c r="F46" s="238">
        <f t="shared" si="60"/>
      </c>
      <c r="G46" s="238">
        <f t="shared" si="60"/>
      </c>
      <c r="H46" s="238">
        <f t="shared" si="60"/>
      </c>
      <c r="I46" s="238">
        <f t="shared" si="60"/>
      </c>
      <c r="J46" s="238">
        <f t="shared" si="60"/>
      </c>
      <c r="K46" s="238">
        <f t="shared" si="60"/>
      </c>
      <c r="L46" s="238">
        <f t="shared" si="60"/>
      </c>
      <c r="M46" s="238">
        <f t="shared" si="60"/>
      </c>
      <c r="N46" s="238">
        <f t="shared" si="60"/>
      </c>
      <c r="O46" s="238">
        <f t="shared" si="60"/>
      </c>
      <c r="P46" s="238">
        <f t="shared" si="60"/>
      </c>
      <c r="Q46" s="238">
        <f t="shared" si="60"/>
      </c>
      <c r="R46" s="238">
        <f t="shared" si="60"/>
      </c>
      <c r="S46" s="238">
        <f t="shared" si="60"/>
      </c>
      <c r="T46" s="238">
        <f t="shared" si="60"/>
      </c>
      <c r="U46" s="238">
        <f t="shared" si="60"/>
      </c>
      <c r="V46" s="238">
        <f t="shared" si="60"/>
      </c>
      <c r="W46" s="238">
        <f t="shared" si="60"/>
      </c>
      <c r="X46" s="238">
        <f t="shared" si="60"/>
      </c>
      <c r="Y46" s="238">
        <f t="shared" si="60"/>
      </c>
      <c r="Z46" s="238">
        <f t="shared" si="60"/>
      </c>
      <c r="AA46" s="238">
        <f t="shared" si="60"/>
      </c>
      <c r="AB46" s="238">
        <f t="shared" si="60"/>
      </c>
      <c r="AC46" s="238">
        <f t="shared" si="60"/>
      </c>
      <c r="AD46" s="238">
        <f t="shared" si="60"/>
      </c>
      <c r="AE46" s="238">
        <f t="shared" si="60"/>
      </c>
      <c r="AF46" s="238">
        <f t="shared" si="60"/>
      </c>
      <c r="AG46" s="238">
        <f t="shared" si="60"/>
      </c>
      <c r="AH46" s="238">
        <f t="shared" si="60"/>
      </c>
      <c r="AI46" s="238">
        <f t="shared" si="60"/>
      </c>
      <c r="AJ46" s="238">
        <f t="shared" si="60"/>
      </c>
      <c r="AK46" s="238">
        <f t="shared" si="60"/>
      </c>
      <c r="AL46" s="238">
        <f t="shared" si="60"/>
      </c>
      <c r="AM46" s="238">
        <f t="shared" si="60"/>
      </c>
      <c r="AN46" s="238">
        <f t="shared" si="60"/>
      </c>
      <c r="AO46" s="238">
        <f t="shared" si="60"/>
      </c>
      <c r="AP46" s="238">
        <f t="shared" si="60"/>
      </c>
      <c r="AQ46" s="238">
        <f t="shared" si="60"/>
      </c>
      <c r="AR46" s="238">
        <f t="shared" si="60"/>
      </c>
      <c r="AS46" s="238">
        <f t="shared" si="60"/>
      </c>
      <c r="AT46" s="238">
        <f t="shared" si="60"/>
      </c>
      <c r="AU46" s="238">
        <f t="shared" si="60"/>
      </c>
      <c r="AV46" s="238">
        <f t="shared" si="60"/>
      </c>
      <c r="AW46" s="238">
        <f t="shared" si="60"/>
      </c>
      <c r="AX46" s="238">
        <f t="shared" si="60"/>
      </c>
      <c r="AY46" s="238">
        <f t="shared" si="60"/>
      </c>
      <c r="AZ46" s="238">
        <f t="shared" si="60"/>
      </c>
      <c r="BA46" s="238">
        <f t="shared" si="60"/>
      </c>
      <c r="BB46" s="238">
        <f t="shared" si="60"/>
      </c>
      <c r="BC46" s="238">
        <f t="shared" si="60"/>
      </c>
      <c r="BD46" s="238">
        <f t="shared" si="60"/>
      </c>
      <c r="BE46" s="238">
        <f t="shared" si="60"/>
      </c>
      <c r="BF46" s="238">
        <f t="shared" si="60"/>
      </c>
      <c r="BG46" s="238">
        <f>BG45/BF45-1</f>
      </c>
      <c r="BH46" s="238">
        <f>BH45/BG45-1</f>
      </c>
      <c r="BI46" s="238">
        <f t="shared" si="60"/>
      </c>
      <c r="BJ46" s="238">
        <f t="shared" si="60"/>
      </c>
      <c r="BK46" s="238">
        <f t="shared" si="60"/>
      </c>
      <c r="BL46" s="238">
        <f t="shared" si="60"/>
      </c>
      <c r="BM46" s="238">
        <f t="shared" si="60"/>
      </c>
      <c r="BN46" s="238">
        <f t="shared" si="60"/>
      </c>
      <c r="BO46" s="238">
        <f t="shared" ref="BO46:CC46" si="61">BO45/BN45-1</f>
      </c>
      <c r="BP46" s="238">
        <f t="shared" si="61"/>
      </c>
      <c r="BQ46" s="238">
        <f t="shared" si="61"/>
      </c>
      <c r="BR46" s="238">
        <f t="shared" si="61"/>
      </c>
      <c r="BS46" s="238">
        <f t="shared" si="61"/>
      </c>
      <c r="BT46" s="239">
        <f t="shared" si="61"/>
      </c>
      <c r="BU46" s="239">
        <f t="shared" si="61"/>
      </c>
      <c r="BV46" s="239">
        <f t="shared" si="61"/>
      </c>
      <c r="BW46" s="239">
        <f t="shared" si="61"/>
      </c>
      <c r="BX46" s="239">
        <f t="shared" si="61"/>
      </c>
      <c r="BY46" s="239">
        <f t="shared" si="61"/>
      </c>
      <c r="BZ46" s="239">
        <f t="shared" si="61"/>
      </c>
      <c r="CA46" s="239">
        <f t="shared" si="61"/>
      </c>
      <c r="CB46" s="239">
        <f t="shared" si="61"/>
      </c>
      <c r="CC46" s="239">
        <f t="shared" si="61"/>
      </c>
      <c r="CD46" s="275"/>
      <c r="CE46" s="227"/>
      <c r="CF46" s="244"/>
      <c r="CG46" s="244"/>
      <c r="CH46" s="244"/>
      <c r="CI46" s="244"/>
      <c r="CJ46" s="244"/>
      <c r="CK46" s="244"/>
      <c r="CL46" s="244"/>
      <c r="CM46" s="244"/>
      <c r="CN46" s="241"/>
      <c r="CO46" s="245"/>
      <c r="CP46" s="245"/>
      <c r="CQ46" s="245"/>
      <c r="CR46" s="245"/>
      <c r="CS46" s="254"/>
      <c r="CT46" s="254"/>
      <c r="CU46" s="254"/>
      <c r="CV46" s="254"/>
      <c r="CW46" s="245"/>
      <c r="CX46" s="245"/>
      <c r="CY46" s="245"/>
      <c r="CZ46" s="275"/>
    </row>
    <row r="47" spans="1:104" s="276" customFormat="1" hidden="1" outlineLevel="1">
      <c r="A47" s="63" t="s">
        <v>198</v>
      </c>
      <c r="B47" s="238"/>
      <c r="C47" s="238"/>
      <c r="D47" s="238"/>
      <c r="E47" s="238"/>
      <c r="F47" s="238">
        <f t="shared" ref="F47:BQ47" si="62">F45/B45-1</f>
      </c>
      <c r="G47" s="238">
        <f t="shared" si="62"/>
      </c>
      <c r="H47" s="238">
        <f t="shared" si="62"/>
      </c>
      <c r="I47" s="238">
        <f t="shared" si="62"/>
      </c>
      <c r="J47" s="238">
        <f t="shared" si="62"/>
      </c>
      <c r="K47" s="238">
        <f t="shared" si="62"/>
      </c>
      <c r="L47" s="238">
        <f t="shared" si="62"/>
      </c>
      <c r="M47" s="238">
        <f t="shared" si="62"/>
      </c>
      <c r="N47" s="238">
        <f t="shared" si="62"/>
      </c>
      <c r="O47" s="238">
        <f t="shared" si="62"/>
      </c>
      <c r="P47" s="238">
        <f t="shared" si="62"/>
      </c>
      <c r="Q47" s="238">
        <f t="shared" si="62"/>
      </c>
      <c r="R47" s="238">
        <f t="shared" si="62"/>
      </c>
      <c r="S47" s="238">
        <f t="shared" si="62"/>
      </c>
      <c r="T47" s="238">
        <f t="shared" si="62"/>
      </c>
      <c r="U47" s="238">
        <f t="shared" si="62"/>
      </c>
      <c r="V47" s="238">
        <f t="shared" si="62"/>
      </c>
      <c r="W47" s="238">
        <f t="shared" si="62"/>
      </c>
      <c r="X47" s="238">
        <f t="shared" si="62"/>
      </c>
      <c r="Y47" s="238">
        <f t="shared" si="62"/>
      </c>
      <c r="Z47" s="238">
        <f t="shared" si="62"/>
      </c>
      <c r="AA47" s="238">
        <f t="shared" si="62"/>
      </c>
      <c r="AB47" s="238">
        <f t="shared" si="62"/>
      </c>
      <c r="AC47" s="238">
        <f t="shared" si="62"/>
      </c>
      <c r="AD47" s="238">
        <f t="shared" si="62"/>
      </c>
      <c r="AE47" s="238">
        <f t="shared" si="62"/>
      </c>
      <c r="AF47" s="238">
        <f t="shared" si="62"/>
      </c>
      <c r="AG47" s="238">
        <f t="shared" si="62"/>
      </c>
      <c r="AH47" s="238">
        <f t="shared" si="62"/>
      </c>
      <c r="AI47" s="238">
        <f t="shared" si="62"/>
      </c>
      <c r="AJ47" s="238">
        <f t="shared" si="62"/>
      </c>
      <c r="AK47" s="238">
        <f t="shared" si="62"/>
      </c>
      <c r="AL47" s="238">
        <f t="shared" si="62"/>
      </c>
      <c r="AM47" s="238">
        <f t="shared" si="62"/>
      </c>
      <c r="AN47" s="238">
        <f t="shared" si="62"/>
      </c>
      <c r="AO47" s="238">
        <f t="shared" si="62"/>
      </c>
      <c r="AP47" s="238">
        <f t="shared" si="62"/>
      </c>
      <c r="AQ47" s="238">
        <f t="shared" si="62"/>
      </c>
      <c r="AR47" s="238">
        <f t="shared" si="62"/>
      </c>
      <c r="AS47" s="238">
        <f t="shared" si="62"/>
      </c>
      <c r="AT47" s="238">
        <f t="shared" si="62"/>
      </c>
      <c r="AU47" s="238">
        <f t="shared" si="62"/>
      </c>
      <c r="AV47" s="238">
        <f t="shared" si="62"/>
      </c>
      <c r="AW47" s="238">
        <f t="shared" si="62"/>
      </c>
      <c r="AX47" s="238">
        <f t="shared" si="62"/>
      </c>
      <c r="AY47" s="238">
        <f t="shared" si="62"/>
      </c>
      <c r="AZ47" s="238">
        <f t="shared" si="62"/>
      </c>
      <c r="BA47" s="238">
        <f t="shared" si="62"/>
      </c>
      <c r="BB47" s="238">
        <f t="shared" si="62"/>
      </c>
      <c r="BC47" s="238">
        <f t="shared" si="62"/>
      </c>
      <c r="BD47" s="238">
        <f t="shared" si="62"/>
      </c>
      <c r="BE47" s="238">
        <f t="shared" si="62"/>
      </c>
      <c r="BF47" s="238">
        <f t="shared" si="62"/>
      </c>
      <c r="BG47" s="238">
        <f>BG45/BC45-1</f>
      </c>
      <c r="BH47" s="238">
        <f>BH45/BD45-1</f>
      </c>
      <c r="BI47" s="238">
        <f t="shared" si="62"/>
      </c>
      <c r="BJ47" s="238">
        <f t="shared" si="62"/>
      </c>
      <c r="BK47" s="238">
        <f t="shared" si="62"/>
      </c>
      <c r="BL47" s="238">
        <f t="shared" si="62"/>
      </c>
      <c r="BM47" s="238">
        <f t="shared" si="62"/>
      </c>
      <c r="BN47" s="238">
        <f t="shared" si="62"/>
      </c>
      <c r="BO47" s="238">
        <f t="shared" si="62"/>
      </c>
      <c r="BP47" s="238">
        <f t="shared" si="62"/>
      </c>
      <c r="BQ47" s="238">
        <f t="shared" si="62"/>
      </c>
      <c r="BR47" s="238">
        <f t="shared" ref="BR47:CC47" si="63">BR45/BN45-1</f>
      </c>
      <c r="BS47" s="238">
        <f t="shared" si="63"/>
      </c>
      <c r="BT47" s="239">
        <f t="shared" si="63"/>
      </c>
      <c r="BU47" s="239">
        <f t="shared" si="63"/>
      </c>
      <c r="BV47" s="239">
        <f t="shared" si="63"/>
      </c>
      <c r="BW47" s="239">
        <f t="shared" si="63"/>
      </c>
      <c r="BX47" s="239">
        <f t="shared" si="63"/>
      </c>
      <c r="BY47" s="239">
        <f t="shared" si="63"/>
      </c>
      <c r="BZ47" s="239">
        <f t="shared" si="63"/>
      </c>
      <c r="CA47" s="239">
        <f t="shared" si="63"/>
      </c>
      <c r="CB47" s="239">
        <f t="shared" si="63"/>
      </c>
      <c r="CC47" s="239">
        <f t="shared" si="63"/>
      </c>
      <c r="CD47" s="275"/>
      <c r="CE47" s="227"/>
      <c r="CF47" s="238"/>
      <c r="CG47" s="276">
        <f t="shared" ref="CG47:CY47" si="64">CG45/CF45-1</f>
      </c>
      <c r="CH47" s="276">
        <f t="shared" si="64"/>
      </c>
      <c r="CI47" s="276">
        <f t="shared" si="64"/>
      </c>
      <c r="CJ47" s="276">
        <f t="shared" si="64"/>
      </c>
      <c r="CK47" s="276">
        <f t="shared" si="64"/>
      </c>
      <c r="CL47" s="276">
        <f t="shared" si="64"/>
      </c>
      <c r="CM47" s="276">
        <f t="shared" si="64"/>
      </c>
      <c r="CN47" s="238">
        <f t="shared" si="64"/>
      </c>
      <c r="CO47" s="238">
        <f t="shared" si="64"/>
      </c>
      <c r="CP47" s="238">
        <f t="shared" si="64"/>
      </c>
      <c r="CQ47" s="238">
        <f t="shared" si="64"/>
      </c>
      <c r="CR47" s="238">
        <f t="shared" si="64"/>
      </c>
      <c r="CS47" s="238">
        <f t="shared" si="64"/>
      </c>
      <c r="CT47" s="238">
        <f t="shared" si="64"/>
      </c>
      <c r="CU47" s="238">
        <f t="shared" si="64"/>
      </c>
      <c r="CV47" s="238">
        <f t="shared" si="64"/>
      </c>
      <c r="CW47" s="247">
        <f t="shared" si="64"/>
      </c>
      <c r="CX47" s="247">
        <f t="shared" si="64"/>
      </c>
      <c r="CY47" s="247">
        <f t="shared" si="64"/>
      </c>
      <c r="CZ47" s="275"/>
    </row>
    <row r="48" spans="1:104" collapsed="1">
      <c r="A48" s="252" t="s">
        <v>539</v>
      </c>
      <c r="B48" s="281"/>
      <c r="C48" s="281"/>
      <c r="D48" s="281"/>
      <c r="E48" s="281"/>
      <c r="F48" s="281"/>
      <c r="G48" s="281"/>
      <c r="H48" s="281"/>
      <c r="I48" s="281"/>
      <c r="J48" s="281"/>
      <c r="K48" s="281"/>
      <c r="L48" s="281"/>
      <c r="M48" s="281"/>
      <c r="N48" s="281"/>
      <c r="O48" s="281"/>
      <c r="P48" s="281"/>
      <c r="Q48" s="281"/>
      <c r="R48" s="281"/>
      <c r="S48" s="281"/>
      <c r="T48" s="281"/>
      <c r="U48" s="281"/>
      <c r="V48" s="281"/>
      <c r="W48" s="281"/>
      <c r="X48" s="281"/>
      <c r="Y48" s="281"/>
      <c r="Z48" s="271">
        <v>11.299999999999999</v>
      </c>
      <c r="AA48" s="271">
        <v>12.76</v>
      </c>
      <c r="AB48" s="271">
        <v>13.408000000000003</v>
      </c>
      <c r="AC48" s="271">
        <v>15.9481875</v>
      </c>
      <c r="AD48" s="271">
        <v>14.175812262500001</v>
      </c>
      <c r="AE48" s="271">
        <v>15.884315009062501</v>
      </c>
      <c r="AF48" s="271">
        <v>14.485828813509377</v>
      </c>
      <c r="AG48" s="271">
        <v>17.110073163782811</v>
      </c>
      <c r="AH48" s="271">
        <v>16.585224293728125</v>
      </c>
      <c r="AI48" s="271">
        <v>23.051362372801876</v>
      </c>
      <c r="AJ48" s="271">
        <v>29.46732489989839</v>
      </c>
      <c r="AK48" s="271">
        <v>30.372500675028608</v>
      </c>
      <c r="AL48" s="271">
        <v>28.945594578959192</v>
      </c>
      <c r="AM48" s="271">
        <v>33.448242624575066</v>
      </c>
      <c r="AN48" s="271">
        <v>31.679345178083107</v>
      </c>
      <c r="AO48" s="271">
        <v>39.597573384016179</v>
      </c>
      <c r="AP48" s="271">
        <v>44.759923691858283</v>
      </c>
      <c r="AQ48" s="271">
        <v>55.296471325146989</v>
      </c>
      <c r="AR48" s="271">
        <v>50.38632822822521</v>
      </c>
      <c r="AS48" s="271">
        <v>44.079639478325703</v>
      </c>
      <c r="AT48" s="271">
        <v>52.895567373990829</v>
      </c>
      <c r="AU48" s="271">
        <v>54.442318056650244</v>
      </c>
      <c r="AV48" s="271">
        <v>61.070356672224506</v>
      </c>
      <c r="AW48" s="271">
        <v>63.090139501207638</v>
      </c>
      <c r="AX48" s="271">
        <v>69.689402853441408</v>
      </c>
      <c r="AY48" s="271">
        <v>74.866797597432836</v>
      </c>
      <c r="AZ48" s="271">
        <v>82.150527098992484</v>
      </c>
      <c r="BA48" s="271">
        <v>98.01774927755713</v>
      </c>
      <c r="BB48" s="271">
        <f t="shared" ref="BB48:CC48" si="65">BA48*(1+BB49)</f>
      </c>
      <c r="BC48" s="271">
        <f t="shared" si="65"/>
      </c>
      <c r="BD48" s="271">
        <f t="shared" si="65"/>
      </c>
      <c r="BE48" s="271">
        <f t="shared" si="65"/>
      </c>
      <c r="BF48" s="271">
        <f t="shared" si="65"/>
      </c>
      <c r="BG48" s="271">
        <f t="shared" si="65"/>
      </c>
      <c r="BH48" s="271">
        <f t="shared" si="65"/>
      </c>
      <c r="BI48" s="271">
        <f t="shared" si="65"/>
      </c>
      <c r="BJ48" s="271">
        <f t="shared" si="65"/>
      </c>
      <c r="BK48" s="271">
        <f t="shared" si="65"/>
      </c>
      <c r="BL48" s="271">
        <f t="shared" si="65"/>
      </c>
      <c r="BM48" s="271">
        <f t="shared" si="65"/>
      </c>
      <c r="BN48" s="271">
        <f t="shared" si="65"/>
      </c>
      <c r="BO48" s="271">
        <f t="shared" si="65"/>
      </c>
      <c r="BP48" s="271">
        <f t="shared" si="65"/>
      </c>
      <c r="BQ48" s="271">
        <f t="shared" si="65"/>
      </c>
      <c r="BR48" s="271">
        <f t="shared" si="65"/>
      </c>
      <c r="BS48" s="271">
        <f t="shared" si="65"/>
      </c>
      <c r="BT48" s="272">
        <f t="shared" si="65"/>
      </c>
      <c r="BU48" s="272">
        <f t="shared" si="65"/>
      </c>
      <c r="BV48" s="272">
        <f t="shared" si="65"/>
      </c>
      <c r="BW48" s="272">
        <f t="shared" si="65"/>
      </c>
      <c r="BX48" s="272">
        <f t="shared" si="65"/>
      </c>
      <c r="BY48" s="272">
        <f t="shared" si="65"/>
      </c>
      <c r="BZ48" s="272">
        <f t="shared" si="65"/>
      </c>
      <c r="CA48" s="272">
        <f t="shared" si="65"/>
      </c>
      <c r="CB48" s="272">
        <f t="shared" si="65"/>
      </c>
      <c r="CC48" s="272">
        <f t="shared" si="65"/>
      </c>
      <c r="CD48" s="283"/>
      <c r="CE48" s="251"/>
      <c r="CF48" s="271"/>
      <c r="CG48" s="271"/>
      <c r="CH48" s="271"/>
      <c r="CI48" s="271"/>
      <c r="CJ48" s="271"/>
      <c r="CK48" s="271"/>
      <c r="CL48" s="271">
        <f t="shared" ref="CL48:CY48" si="66">CL51/CL42*1000</f>
      </c>
      <c r="CM48" s="271">
        <f t="shared" si="66"/>
      </c>
      <c r="CN48" s="271">
        <f t="shared" si="66"/>
      </c>
      <c r="CO48" s="271">
        <f t="shared" si="66"/>
      </c>
      <c r="CP48" s="271">
        <f t="shared" si="66"/>
      </c>
      <c r="CQ48" s="271">
        <f t="shared" si="66"/>
      </c>
      <c r="CR48" s="271">
        <f t="shared" si="66"/>
      </c>
      <c r="CS48" s="271">
        <f t="shared" si="66"/>
      </c>
      <c r="CT48" s="271">
        <f t="shared" si="66"/>
      </c>
      <c r="CU48" s="271">
        <f t="shared" si="66"/>
      </c>
      <c r="CV48" s="271">
        <f t="shared" si="66"/>
      </c>
      <c r="CW48" s="272">
        <f t="shared" si="66"/>
      </c>
      <c r="CX48" s="272">
        <f t="shared" si="66"/>
      </c>
      <c r="CY48" s="272">
        <f t="shared" si="66"/>
      </c>
    </row>
    <row r="49" spans="1:104" s="276" customFormat="1">
      <c r="A49" s="63" t="s">
        <v>196</v>
      </c>
      <c r="B49" s="238"/>
      <c r="C49" s="238"/>
      <c r="D49" s="238"/>
      <c r="E49" s="238"/>
      <c r="F49" s="238"/>
      <c r="G49" s="238"/>
      <c r="H49" s="238"/>
      <c r="I49" s="238"/>
      <c r="J49" s="238"/>
      <c r="K49" s="238"/>
      <c r="L49" s="238"/>
      <c r="M49" s="238"/>
      <c r="N49" s="238"/>
      <c r="O49" s="238"/>
      <c r="P49" s="238"/>
      <c r="Q49" s="238"/>
      <c r="R49" s="238"/>
      <c r="S49" s="238"/>
      <c r="T49" s="238"/>
      <c r="U49" s="238"/>
      <c r="V49" s="238"/>
      <c r="W49" s="238"/>
      <c r="X49" s="238"/>
      <c r="Y49" s="238"/>
      <c r="Z49" s="238"/>
      <c r="AA49" s="238">
        <f t="shared" ref="AA49:BA49" si="67">AA48/Z48-1</f>
      </c>
      <c r="AB49" s="238">
        <f t="shared" si="67"/>
      </c>
      <c r="AC49" s="238">
        <f t="shared" si="67"/>
      </c>
      <c r="AD49" s="238">
        <f t="shared" si="67"/>
      </c>
      <c r="AE49" s="238">
        <f t="shared" si="67"/>
      </c>
      <c r="AF49" s="238">
        <f t="shared" si="67"/>
      </c>
      <c r="AG49" s="238">
        <f t="shared" si="67"/>
      </c>
      <c r="AH49" s="238">
        <f t="shared" si="67"/>
      </c>
      <c r="AI49" s="238">
        <f t="shared" si="67"/>
      </c>
      <c r="AJ49" s="238">
        <f t="shared" si="67"/>
      </c>
      <c r="AK49" s="238">
        <f t="shared" si="67"/>
      </c>
      <c r="AL49" s="238">
        <f t="shared" si="67"/>
      </c>
      <c r="AM49" s="238">
        <f t="shared" si="67"/>
      </c>
      <c r="AN49" s="238">
        <f t="shared" si="67"/>
      </c>
      <c r="AO49" s="238">
        <f t="shared" si="67"/>
      </c>
      <c r="AP49" s="238">
        <f t="shared" si="67"/>
      </c>
      <c r="AQ49" s="238">
        <f t="shared" si="67"/>
      </c>
      <c r="AR49" s="238">
        <f t="shared" si="67"/>
      </c>
      <c r="AS49" s="238">
        <f t="shared" si="67"/>
      </c>
      <c r="AT49" s="238">
        <f t="shared" si="67"/>
      </c>
      <c r="AU49" s="238">
        <f t="shared" si="67"/>
      </c>
      <c r="AV49" s="238">
        <f t="shared" si="67"/>
      </c>
      <c r="AW49" s="238">
        <f t="shared" si="67"/>
      </c>
      <c r="AX49" s="238">
        <f t="shared" si="67"/>
      </c>
      <c r="AY49" s="238">
        <f t="shared" si="67"/>
      </c>
      <c r="AZ49" s="238">
        <f t="shared" si="67"/>
      </c>
      <c r="BA49" s="238">
        <f t="shared" si="67"/>
      </c>
      <c r="BB49" s="238">
        <v>0.06</v>
      </c>
      <c r="BC49" s="238">
        <v>0.15</v>
      </c>
      <c r="BD49" s="238">
        <v>-0.06</v>
      </c>
      <c r="BE49" s="238">
        <v>0.1</v>
      </c>
      <c r="BF49" s="238">
        <v>0.05</v>
      </c>
      <c r="BG49" s="238">
        <v>-0.11</v>
      </c>
      <c r="BH49" s="238">
        <v>-0.06</v>
      </c>
      <c r="BI49" s="238">
        <v>0.32</v>
      </c>
      <c r="BJ49" s="238">
        <v>0.215</v>
      </c>
      <c r="BK49" s="238">
        <v>0.104</v>
      </c>
      <c r="BL49" s="238">
        <v>-6.5000000000000002E-2</v>
      </c>
      <c r="BM49" s="238">
        <v>0.04</v>
      </c>
      <c r="BN49" s="238">
        <v>4.5400000000000003E-2</v>
      </c>
      <c r="BO49" s="238">
        <v>-1.7299999999999999E-2</v>
      </c>
      <c r="BP49" s="238">
        <v>0.09</v>
      </c>
      <c r="BQ49" s="238">
        <v>-7.6999999999999999E-2</v>
      </c>
      <c r="BR49" s="238">
        <v>0.23799999999999999</v>
      </c>
      <c r="BS49" s="238">
        <v>0.03</v>
      </c>
      <c r="BT49" s="239">
        <v>0.02</v>
      </c>
      <c r="BU49" s="239">
        <v>0.01</v>
      </c>
      <c r="BV49" s="239">
        <v>0.01</v>
      </c>
      <c r="BW49" s="239">
        <v>0.01</v>
      </c>
      <c r="BX49" s="239">
        <v>0.01</v>
      </c>
      <c r="BY49" s="239">
        <v>0.01</v>
      </c>
      <c r="BZ49" s="239">
        <v>0.01</v>
      </c>
      <c r="CA49" s="239">
        <v>0.01</v>
      </c>
      <c r="CB49" s="239">
        <v>0.01</v>
      </c>
      <c r="CC49" s="239">
        <v>0.01</v>
      </c>
      <c r="CD49" s="275"/>
      <c r="CE49" s="277"/>
      <c r="CF49" s="239"/>
      <c r="CG49" s="239"/>
      <c r="CH49" s="239"/>
      <c r="CI49" s="239"/>
      <c r="CJ49" s="239"/>
      <c r="CK49" s="239"/>
      <c r="CL49" s="239"/>
      <c r="CM49" s="244"/>
      <c r="CN49" s="241"/>
      <c r="CO49" s="245"/>
      <c r="CP49" s="245"/>
      <c r="CQ49" s="245"/>
      <c r="CR49" s="245"/>
      <c r="CS49" s="254"/>
      <c r="CT49" s="254"/>
      <c r="CU49" s="254"/>
      <c r="CV49" s="254"/>
      <c r="CW49" s="245"/>
      <c r="CX49" s="245"/>
      <c r="CY49" s="245"/>
      <c r="CZ49" s="275"/>
    </row>
    <row r="50" spans="1:104" s="276" customFormat="1">
      <c r="A50" s="63" t="s">
        <v>198</v>
      </c>
      <c r="B50" s="238"/>
      <c r="C50" s="238"/>
      <c r="D50" s="238"/>
      <c r="E50" s="238"/>
      <c r="F50" s="238"/>
      <c r="G50" s="238"/>
      <c r="H50" s="238"/>
      <c r="I50" s="238"/>
      <c r="J50" s="238"/>
      <c r="K50" s="238"/>
      <c r="L50" s="238"/>
      <c r="M50" s="238"/>
      <c r="N50" s="238"/>
      <c r="O50" s="238"/>
      <c r="P50" s="238"/>
      <c r="Q50" s="238"/>
      <c r="R50" s="238"/>
      <c r="S50" s="238"/>
      <c r="T50" s="238"/>
      <c r="U50" s="238"/>
      <c r="V50" s="238"/>
      <c r="W50" s="238"/>
      <c r="X50" s="238"/>
      <c r="Y50" s="238"/>
      <c r="Z50" s="238"/>
      <c r="AA50" s="238"/>
      <c r="AB50" s="238"/>
      <c r="AC50" s="238"/>
      <c r="AD50" s="238">
        <f t="shared" ref="AD50:CC50" si="68">AD48/Z48-1</f>
      </c>
      <c r="AE50" s="238">
        <f t="shared" si="68"/>
      </c>
      <c r="AF50" s="238">
        <f t="shared" si="68"/>
      </c>
      <c r="AG50" s="238">
        <f t="shared" si="68"/>
      </c>
      <c r="AH50" s="238">
        <f t="shared" si="68"/>
      </c>
      <c r="AI50" s="238">
        <f t="shared" si="68"/>
      </c>
      <c r="AJ50" s="238">
        <f t="shared" si="68"/>
      </c>
      <c r="AK50" s="238">
        <f t="shared" si="68"/>
      </c>
      <c r="AL50" s="238">
        <f t="shared" si="68"/>
      </c>
      <c r="AM50" s="238">
        <f t="shared" si="68"/>
      </c>
      <c r="AN50" s="238">
        <f t="shared" si="68"/>
      </c>
      <c r="AO50" s="238">
        <f t="shared" si="68"/>
      </c>
      <c r="AP50" s="238">
        <f t="shared" si="68"/>
      </c>
      <c r="AQ50" s="238">
        <f t="shared" si="68"/>
      </c>
      <c r="AR50" s="238">
        <f t="shared" si="68"/>
      </c>
      <c r="AS50" s="238">
        <f t="shared" si="68"/>
      </c>
      <c r="AT50" s="238">
        <f t="shared" si="68"/>
      </c>
      <c r="AU50" s="238">
        <f t="shared" si="68"/>
      </c>
      <c r="AV50" s="238">
        <f t="shared" si="68"/>
      </c>
      <c r="AW50" s="238">
        <f t="shared" si="68"/>
      </c>
      <c r="AX50" s="238">
        <f t="shared" si="68"/>
      </c>
      <c r="AY50" s="238">
        <f t="shared" si="68"/>
      </c>
      <c r="AZ50" s="238">
        <f t="shared" si="68"/>
      </c>
      <c r="BA50" s="238">
        <f t="shared" si="68"/>
      </c>
      <c r="BB50" s="238">
        <f t="shared" si="68"/>
      </c>
      <c r="BC50" s="238">
        <f t="shared" si="68"/>
      </c>
      <c r="BD50" s="238">
        <f t="shared" si="68"/>
      </c>
      <c r="BE50" s="238">
        <f t="shared" si="68"/>
      </c>
      <c r="BF50" s="238">
        <f t="shared" si="68"/>
      </c>
      <c r="BG50" s="238">
        <f t="shared" si="68"/>
      </c>
      <c r="BH50" s="238">
        <f t="shared" si="68"/>
      </c>
      <c r="BI50" s="238">
        <f t="shared" si="68"/>
      </c>
      <c r="BJ50" s="238">
        <f t="shared" si="68"/>
      </c>
      <c r="BK50" s="238">
        <f t="shared" si="68"/>
      </c>
      <c r="BL50" s="238">
        <f t="shared" si="68"/>
      </c>
      <c r="BM50" s="238">
        <f t="shared" si="68"/>
      </c>
      <c r="BN50" s="238">
        <f t="shared" si="68"/>
      </c>
      <c r="BO50" s="238">
        <f t="shared" si="68"/>
      </c>
      <c r="BP50" s="238">
        <f t="shared" si="68"/>
      </c>
      <c r="BQ50" s="238">
        <f t="shared" si="68"/>
      </c>
      <c r="BR50" s="238">
        <f t="shared" si="68"/>
      </c>
      <c r="BS50" s="238">
        <f t="shared" si="68"/>
      </c>
      <c r="BT50" s="239">
        <f t="shared" si="68"/>
      </c>
      <c r="BU50" s="239">
        <f t="shared" si="68"/>
      </c>
      <c r="BV50" s="239">
        <f t="shared" si="68"/>
      </c>
      <c r="BW50" s="239">
        <f t="shared" si="68"/>
      </c>
      <c r="BX50" s="239">
        <f t="shared" si="68"/>
      </c>
      <c r="BY50" s="239">
        <f t="shared" si="68"/>
      </c>
      <c r="BZ50" s="239">
        <f t="shared" si="68"/>
      </c>
      <c r="CA50" s="239">
        <f t="shared" si="68"/>
      </c>
      <c r="CB50" s="239">
        <f t="shared" si="68"/>
      </c>
      <c r="CC50" s="239">
        <f t="shared" si="68"/>
      </c>
      <c r="CD50" s="275"/>
      <c r="CE50" s="277"/>
      <c r="CF50" s="238"/>
      <c r="CG50" s="238"/>
      <c r="CH50" s="238"/>
      <c r="CI50" s="238"/>
      <c r="CJ50" s="238"/>
      <c r="CK50" s="238"/>
      <c r="CL50" s="238"/>
      <c r="CM50" s="238">
        <f t="shared" ref="CM50:CY50" si="69">CM48/CL48-1</f>
      </c>
      <c r="CN50" s="238">
        <f t="shared" si="69"/>
      </c>
      <c r="CO50" s="238">
        <f t="shared" si="69"/>
      </c>
      <c r="CP50" s="238">
        <f t="shared" si="69"/>
      </c>
      <c r="CQ50" s="238">
        <f t="shared" si="69"/>
      </c>
      <c r="CR50" s="238">
        <f t="shared" si="69"/>
      </c>
      <c r="CS50" s="238">
        <f t="shared" si="69"/>
      </c>
      <c r="CT50" s="238">
        <f t="shared" si="69"/>
      </c>
      <c r="CU50" s="238">
        <f t="shared" si="69"/>
      </c>
      <c r="CV50" s="238">
        <f t="shared" si="69"/>
      </c>
      <c r="CW50" s="247">
        <f t="shared" si="69"/>
      </c>
      <c r="CX50" s="247">
        <f t="shared" si="69"/>
      </c>
      <c r="CY50" s="247">
        <f t="shared" si="69"/>
      </c>
      <c r="CZ50" s="275"/>
    </row>
    <row r="51" spans="1:104">
      <c r="A51" s="252" t="s">
        <v>541</v>
      </c>
      <c r="B51" s="281"/>
      <c r="C51" s="281"/>
      <c r="D51" s="281"/>
      <c r="E51" s="281"/>
      <c r="F51" s="281"/>
      <c r="G51" s="281"/>
      <c r="H51" s="281"/>
      <c r="I51" s="281"/>
      <c r="J51" s="281"/>
      <c r="K51" s="281"/>
      <c r="L51" s="281"/>
      <c r="M51" s="281"/>
      <c r="N51" s="281"/>
      <c r="O51" s="281"/>
      <c r="P51" s="281"/>
      <c r="Q51" s="281"/>
      <c r="R51" s="281"/>
      <c r="S51" s="281"/>
      <c r="T51" s="281"/>
      <c r="U51" s="281"/>
      <c r="V51" s="281"/>
      <c r="W51" s="281"/>
      <c r="X51" s="281"/>
      <c r="Y51" s="281"/>
      <c r="Z51" s="271">
        <f t="shared" ref="Z51:BE51" si="70">Z48*Z42/1000</f>
      </c>
      <c r="AA51" s="271">
        <f t="shared" si="70"/>
      </c>
      <c r="AB51" s="271">
        <f t="shared" si="70"/>
      </c>
      <c r="AC51" s="271">
        <f t="shared" si="70"/>
      </c>
      <c r="AD51" s="271">
        <f t="shared" si="70"/>
      </c>
      <c r="AE51" s="271">
        <f t="shared" si="70"/>
      </c>
      <c r="AF51" s="271">
        <f t="shared" si="70"/>
      </c>
      <c r="AG51" s="271">
        <f t="shared" si="70"/>
      </c>
      <c r="AH51" s="271">
        <f t="shared" si="70"/>
      </c>
      <c r="AI51" s="271">
        <f t="shared" si="70"/>
      </c>
      <c r="AJ51" s="271">
        <f t="shared" si="70"/>
      </c>
      <c r="AK51" s="271">
        <f t="shared" si="70"/>
      </c>
      <c r="AL51" s="271">
        <f t="shared" si="70"/>
      </c>
      <c r="AM51" s="271">
        <f t="shared" si="70"/>
      </c>
      <c r="AN51" s="271">
        <f t="shared" si="70"/>
      </c>
      <c r="AO51" s="271">
        <f t="shared" si="70"/>
      </c>
      <c r="AP51" s="271">
        <f t="shared" si="70"/>
      </c>
      <c r="AQ51" s="271">
        <f t="shared" si="70"/>
      </c>
      <c r="AR51" s="271">
        <f t="shared" si="70"/>
      </c>
      <c r="AS51" s="271">
        <f t="shared" si="70"/>
      </c>
      <c r="AT51" s="271">
        <f t="shared" si="70"/>
      </c>
      <c r="AU51" s="271">
        <f t="shared" si="70"/>
      </c>
      <c r="AV51" s="271">
        <f t="shared" si="70"/>
      </c>
      <c r="AW51" s="271">
        <f t="shared" si="70"/>
      </c>
      <c r="AX51" s="271">
        <f t="shared" si="70"/>
      </c>
      <c r="AY51" s="271">
        <f t="shared" si="70"/>
      </c>
      <c r="AZ51" s="271">
        <f t="shared" si="70"/>
      </c>
      <c r="BA51" s="271">
        <f t="shared" si="70"/>
      </c>
      <c r="BB51" s="271">
        <f t="shared" si="70"/>
      </c>
      <c r="BC51" s="271">
        <f t="shared" si="70"/>
      </c>
      <c r="BD51" s="271">
        <f t="shared" si="70"/>
      </c>
      <c r="BE51" s="271">
        <f t="shared" si="70"/>
      </c>
      <c r="BF51" s="271">
        <f t="shared" ref="BF51:CC51" si="71">BF48*BF42/1000</f>
      </c>
      <c r="BG51" s="271">
        <f t="shared" si="71"/>
      </c>
      <c r="BH51" s="271">
        <f t="shared" si="71"/>
      </c>
      <c r="BI51" s="271">
        <f t="shared" si="71"/>
      </c>
      <c r="BJ51" s="271">
        <f t="shared" si="71"/>
      </c>
      <c r="BK51" s="271">
        <f t="shared" si="71"/>
      </c>
      <c r="BL51" s="271">
        <f t="shared" si="71"/>
      </c>
      <c r="BM51" s="271">
        <f t="shared" si="71"/>
      </c>
      <c r="BN51" s="271">
        <f t="shared" si="71"/>
      </c>
      <c r="BO51" s="271">
        <f t="shared" si="71"/>
      </c>
      <c r="BP51" s="271">
        <f t="shared" si="71"/>
      </c>
      <c r="BQ51" s="271">
        <f t="shared" si="71"/>
      </c>
      <c r="BR51" s="271">
        <f t="shared" si="71"/>
      </c>
      <c r="BS51" s="271">
        <f t="shared" si="71"/>
      </c>
      <c r="BT51" s="272">
        <f t="shared" si="71"/>
      </c>
      <c r="BU51" s="272">
        <f t="shared" si="71"/>
      </c>
      <c r="BV51" s="272">
        <f t="shared" si="71"/>
      </c>
      <c r="BW51" s="272">
        <f t="shared" si="71"/>
      </c>
      <c r="BX51" s="272">
        <f t="shared" si="71"/>
      </c>
      <c r="BY51" s="272">
        <f t="shared" si="71"/>
      </c>
      <c r="BZ51" s="272">
        <f t="shared" si="71"/>
      </c>
      <c r="CA51" s="272">
        <f t="shared" si="71"/>
      </c>
      <c r="CB51" s="272">
        <f t="shared" si="71"/>
      </c>
      <c r="CC51" s="272">
        <f t="shared" si="71"/>
      </c>
      <c r="CD51" s="283"/>
      <c r="CE51" s="284"/>
      <c r="CF51" s="271"/>
      <c r="CG51" s="271"/>
      <c r="CH51" s="271"/>
      <c r="CI51" s="271"/>
      <c r="CJ51" s="271"/>
      <c r="CK51" s="271"/>
      <c r="CL51" s="271">
        <f>SUM(Z51:AC51)</f>
      </c>
      <c r="CM51" s="271">
        <f>SUM(AD51:AG51)</f>
      </c>
      <c r="CN51" s="271">
        <f>SUM(AH51:AK51)</f>
      </c>
      <c r="CO51" s="271">
        <f>SUM(AL51:AO51)</f>
      </c>
      <c r="CP51" s="271">
        <f>SUM(AP51:AS51)</f>
      </c>
      <c r="CQ51" s="271">
        <f>AT51+AU51+AV51+AW51</f>
      </c>
      <c r="CR51" s="271">
        <f>AX51+AY51+AZ51+BA51</f>
      </c>
      <c r="CS51" s="271">
        <f>BB51+BC51+BD51+BE51</f>
      </c>
      <c r="CT51" s="271">
        <f>+SUM(BF51:BI51)</f>
      </c>
      <c r="CU51" s="271">
        <f>+SUM(BJ51:BM51)</f>
      </c>
      <c r="CV51" s="271">
        <f>+SUM(BN51:BQ51)</f>
      </c>
      <c r="CW51" s="272">
        <f>+SUM(BR51:BU51)</f>
      </c>
      <c r="CX51" s="272">
        <f>SUM(BV51:BY51)</f>
      </c>
      <c r="CY51" s="272">
        <f>SUM(BZ51:CC51)</f>
      </c>
    </row>
    <row r="52" spans="1:104" s="276" customFormat="1">
      <c r="A52" s="63" t="s">
        <v>196</v>
      </c>
      <c r="B52" s="238"/>
      <c r="C52" s="238"/>
      <c r="D52" s="238"/>
      <c r="E52" s="238"/>
      <c r="F52" s="238"/>
      <c r="G52" s="238"/>
      <c r="H52" s="238"/>
      <c r="I52" s="238"/>
      <c r="J52" s="238"/>
      <c r="K52" s="238"/>
      <c r="L52" s="238"/>
      <c r="M52" s="238"/>
      <c r="N52" s="238"/>
      <c r="O52" s="238"/>
      <c r="P52" s="238"/>
      <c r="Q52" s="238"/>
      <c r="R52" s="238"/>
      <c r="S52" s="238"/>
      <c r="T52" s="238"/>
      <c r="U52" s="238"/>
      <c r="V52" s="238"/>
      <c r="W52" s="238"/>
      <c r="X52" s="238"/>
      <c r="Y52" s="238"/>
      <c r="Z52" s="238"/>
      <c r="AA52" s="238">
        <f t="shared" ref="AA52:CC52" si="72">AA51/Z51-1</f>
      </c>
      <c r="AB52" s="238">
        <f t="shared" si="72"/>
      </c>
      <c r="AC52" s="238">
        <f t="shared" si="72"/>
      </c>
      <c r="AD52" s="238">
        <f t="shared" si="72"/>
      </c>
      <c r="AE52" s="238">
        <f t="shared" si="72"/>
      </c>
      <c r="AF52" s="238">
        <f t="shared" si="72"/>
      </c>
      <c r="AG52" s="238">
        <f t="shared" si="72"/>
      </c>
      <c r="AH52" s="238">
        <f t="shared" si="72"/>
      </c>
      <c r="AI52" s="238">
        <f t="shared" si="72"/>
      </c>
      <c r="AJ52" s="238">
        <f t="shared" si="72"/>
      </c>
      <c r="AK52" s="238">
        <f t="shared" si="72"/>
      </c>
      <c r="AL52" s="238">
        <f t="shared" si="72"/>
      </c>
      <c r="AM52" s="238">
        <f t="shared" si="72"/>
      </c>
      <c r="AN52" s="238">
        <f t="shared" si="72"/>
      </c>
      <c r="AO52" s="238">
        <f t="shared" si="72"/>
      </c>
      <c r="AP52" s="238">
        <f t="shared" si="72"/>
      </c>
      <c r="AQ52" s="238">
        <f t="shared" si="72"/>
      </c>
      <c r="AR52" s="238">
        <f t="shared" si="72"/>
      </c>
      <c r="AS52" s="238">
        <f t="shared" si="72"/>
      </c>
      <c r="AT52" s="238">
        <f t="shared" si="72"/>
      </c>
      <c r="AU52" s="238">
        <f t="shared" si="72"/>
      </c>
      <c r="AV52" s="238">
        <f t="shared" si="72"/>
      </c>
      <c r="AW52" s="238">
        <f t="shared" si="72"/>
      </c>
      <c r="AX52" s="238">
        <f t="shared" si="72"/>
      </c>
      <c r="AY52" s="238">
        <f t="shared" si="72"/>
      </c>
      <c r="AZ52" s="238">
        <f t="shared" si="72"/>
      </c>
      <c r="BA52" s="238">
        <f t="shared" si="72"/>
      </c>
      <c r="BB52" s="238">
        <f t="shared" si="72"/>
      </c>
      <c r="BC52" s="238">
        <f t="shared" si="72"/>
      </c>
      <c r="BD52" s="238">
        <f t="shared" si="72"/>
      </c>
      <c r="BE52" s="238">
        <f t="shared" si="72"/>
      </c>
      <c r="BF52" s="238">
        <f t="shared" si="72"/>
      </c>
      <c r="BG52" s="238">
        <f>BG51/BF51-1</f>
      </c>
      <c r="BH52" s="238">
        <f>BH51/BG51-1</f>
      </c>
      <c r="BI52" s="238">
        <f t="shared" si="72"/>
      </c>
      <c r="BJ52" s="238">
        <f t="shared" si="72"/>
      </c>
      <c r="BK52" s="238">
        <f t="shared" si="72"/>
      </c>
      <c r="BL52" s="238">
        <f t="shared" si="72"/>
      </c>
      <c r="BM52" s="238">
        <f t="shared" si="72"/>
      </c>
      <c r="BN52" s="238">
        <f t="shared" si="72"/>
      </c>
      <c r="BO52" s="238">
        <f t="shared" si="72"/>
      </c>
      <c r="BP52" s="238">
        <f t="shared" si="72"/>
      </c>
      <c r="BQ52" s="238">
        <f t="shared" si="72"/>
      </c>
      <c r="BR52" s="238">
        <f t="shared" si="72"/>
      </c>
      <c r="BS52" s="238">
        <f t="shared" si="72"/>
      </c>
      <c r="BT52" s="239">
        <f t="shared" si="72"/>
      </c>
      <c r="BU52" s="239">
        <f t="shared" si="72"/>
      </c>
      <c r="BV52" s="239">
        <f t="shared" si="72"/>
      </c>
      <c r="BW52" s="239">
        <f t="shared" si="72"/>
      </c>
      <c r="BX52" s="239">
        <f t="shared" si="72"/>
      </c>
      <c r="BY52" s="239">
        <f t="shared" si="72"/>
      </c>
      <c r="BZ52" s="239">
        <f t="shared" si="72"/>
      </c>
      <c r="CA52" s="239">
        <f t="shared" si="72"/>
      </c>
      <c r="CB52" s="239">
        <f t="shared" si="72"/>
      </c>
      <c r="CC52" s="239">
        <f t="shared" si="72"/>
      </c>
      <c r="CD52" s="275"/>
      <c r="CE52" s="277"/>
      <c r="CF52" s="285"/>
      <c r="CG52" s="285"/>
      <c r="CH52" s="285"/>
      <c r="CI52" s="285"/>
      <c r="CJ52" s="285"/>
      <c r="CK52" s="285"/>
      <c r="CL52" s="285"/>
      <c r="CM52" s="244"/>
      <c r="CN52" s="241"/>
      <c r="CO52" s="245"/>
      <c r="CP52" s="245"/>
      <c r="CQ52" s="245"/>
      <c r="CR52" s="245"/>
      <c r="CS52" s="254"/>
      <c r="CT52" s="254"/>
      <c r="CU52" s="254"/>
      <c r="CV52" s="254"/>
      <c r="CW52" s="245"/>
      <c r="CX52" s="245"/>
      <c r="CY52" s="245"/>
      <c r="CZ52" s="275"/>
    </row>
    <row r="53" spans="1:104" s="276" customFormat="1">
      <c r="A53" s="63" t="s">
        <v>198</v>
      </c>
      <c r="B53" s="238"/>
      <c r="C53" s="238"/>
      <c r="D53" s="238"/>
      <c r="E53" s="238"/>
      <c r="F53" s="238"/>
      <c r="G53" s="238"/>
      <c r="H53" s="238"/>
      <c r="I53" s="238"/>
      <c r="J53" s="238"/>
      <c r="K53" s="238"/>
      <c r="L53" s="238"/>
      <c r="M53" s="238"/>
      <c r="N53" s="238"/>
      <c r="O53" s="238"/>
      <c r="P53" s="238"/>
      <c r="Q53" s="238"/>
      <c r="R53" s="238"/>
      <c r="S53" s="238"/>
      <c r="T53" s="238"/>
      <c r="U53" s="238"/>
      <c r="V53" s="238"/>
      <c r="W53" s="238"/>
      <c r="X53" s="238"/>
      <c r="Y53" s="238"/>
      <c r="Z53" s="238"/>
      <c r="AA53" s="238"/>
      <c r="AB53" s="238"/>
      <c r="AC53" s="238"/>
      <c r="AD53" s="238">
        <f t="shared" ref="AD53:CC53" si="73">AD51/Z51-1</f>
      </c>
      <c r="AE53" s="238">
        <f t="shared" si="73"/>
      </c>
      <c r="AF53" s="238">
        <f t="shared" si="73"/>
      </c>
      <c r="AG53" s="238">
        <f t="shared" si="73"/>
      </c>
      <c r="AH53" s="238">
        <f t="shared" si="73"/>
      </c>
      <c r="AI53" s="238">
        <f t="shared" si="73"/>
      </c>
      <c r="AJ53" s="238">
        <f t="shared" si="73"/>
      </c>
      <c r="AK53" s="238">
        <f t="shared" si="73"/>
      </c>
      <c r="AL53" s="238">
        <f t="shared" si="73"/>
      </c>
      <c r="AM53" s="238">
        <f t="shared" si="73"/>
      </c>
      <c r="AN53" s="238">
        <f t="shared" si="73"/>
      </c>
      <c r="AO53" s="238">
        <f t="shared" si="73"/>
      </c>
      <c r="AP53" s="238">
        <f t="shared" si="73"/>
      </c>
      <c r="AQ53" s="238">
        <f t="shared" si="73"/>
      </c>
      <c r="AR53" s="238">
        <f t="shared" si="73"/>
      </c>
      <c r="AS53" s="238">
        <f t="shared" si="73"/>
      </c>
      <c r="AT53" s="238">
        <f t="shared" si="73"/>
      </c>
      <c r="AU53" s="238">
        <f t="shared" si="73"/>
      </c>
      <c r="AV53" s="238">
        <f t="shared" si="73"/>
      </c>
      <c r="AW53" s="238">
        <f t="shared" si="73"/>
      </c>
      <c r="AX53" s="238">
        <f t="shared" si="73"/>
      </c>
      <c r="AY53" s="238">
        <f t="shared" si="73"/>
      </c>
      <c r="AZ53" s="238">
        <f t="shared" si="73"/>
      </c>
      <c r="BA53" s="238">
        <f t="shared" si="73"/>
      </c>
      <c r="BB53" s="238">
        <f t="shared" si="73"/>
      </c>
      <c r="BC53" s="238">
        <f t="shared" si="73"/>
      </c>
      <c r="BD53" s="238">
        <f t="shared" si="73"/>
      </c>
      <c r="BE53" s="238">
        <f t="shared" si="73"/>
      </c>
      <c r="BF53" s="238">
        <f t="shared" si="73"/>
      </c>
      <c r="BG53" s="238">
        <f>BG51/BC51-1</f>
      </c>
      <c r="BH53" s="238">
        <f>BH51/BD51-1</f>
      </c>
      <c r="BI53" s="238">
        <f t="shared" si="73"/>
      </c>
      <c r="BJ53" s="238">
        <f t="shared" si="73"/>
      </c>
      <c r="BK53" s="238">
        <f t="shared" si="73"/>
      </c>
      <c r="BL53" s="238">
        <f t="shared" si="73"/>
      </c>
      <c r="BM53" s="238">
        <f t="shared" si="73"/>
      </c>
      <c r="BN53" s="238">
        <f t="shared" si="73"/>
      </c>
      <c r="BO53" s="238">
        <f t="shared" si="73"/>
      </c>
      <c r="BP53" s="238">
        <f t="shared" si="73"/>
      </c>
      <c r="BQ53" s="238">
        <f t="shared" si="73"/>
      </c>
      <c r="BR53" s="238">
        <f t="shared" si="73"/>
      </c>
      <c r="BS53" s="238">
        <f t="shared" si="73"/>
      </c>
      <c r="BT53" s="239">
        <f t="shared" si="73"/>
      </c>
      <c r="BU53" s="239">
        <f t="shared" si="73"/>
      </c>
      <c r="BV53" s="239">
        <f t="shared" si="73"/>
      </c>
      <c r="BW53" s="239">
        <f t="shared" si="73"/>
      </c>
      <c r="BX53" s="239">
        <f t="shared" si="73"/>
      </c>
      <c r="BY53" s="239">
        <f t="shared" si="73"/>
      </c>
      <c r="BZ53" s="239">
        <f t="shared" si="73"/>
      </c>
      <c r="CA53" s="239">
        <f t="shared" si="73"/>
      </c>
      <c r="CB53" s="239">
        <f t="shared" si="73"/>
      </c>
      <c r="CC53" s="239">
        <f t="shared" si="73"/>
      </c>
      <c r="CD53" s="275"/>
      <c r="CE53" s="277"/>
      <c r="CF53" s="285"/>
      <c r="CG53" s="285"/>
      <c r="CH53" s="285"/>
      <c r="CI53" s="285"/>
      <c r="CJ53" s="285"/>
      <c r="CK53" s="285"/>
      <c r="CL53" s="285"/>
      <c r="CM53" s="238">
        <f t="shared" ref="CM53:CY53" si="74">CM51/CL51-1</f>
      </c>
      <c r="CN53" s="238">
        <f t="shared" si="74"/>
      </c>
      <c r="CO53" s="238">
        <f t="shared" si="74"/>
      </c>
      <c r="CP53" s="238">
        <f t="shared" si="74"/>
      </c>
      <c r="CQ53" s="238">
        <f t="shared" si="74"/>
      </c>
      <c r="CR53" s="238">
        <f t="shared" si="74"/>
      </c>
      <c r="CS53" s="238">
        <f t="shared" si="74"/>
      </c>
      <c r="CT53" s="238">
        <f t="shared" si="74"/>
      </c>
      <c r="CU53" s="238">
        <f t="shared" si="74"/>
      </c>
      <c r="CV53" s="238">
        <f t="shared" si="74"/>
      </c>
      <c r="CW53" s="247">
        <f t="shared" si="74"/>
      </c>
      <c r="CX53" s="247">
        <f t="shared" si="74"/>
      </c>
      <c r="CY53" s="247">
        <f t="shared" si="74"/>
      </c>
      <c r="CZ53" s="275"/>
    </row>
    <row r="54" spans="1:104">
      <c r="AC54" s="261">
        <f t="shared" ref="AC54:AS54" si="75">SUM(Z51:AC51)</f>
      </c>
      <c r="AD54" s="261">
        <f t="shared" si="75"/>
      </c>
      <c r="AE54" s="261">
        <f t="shared" si="75"/>
      </c>
      <c r="AF54" s="261">
        <f t="shared" si="75"/>
      </c>
      <c r="AG54" s="261">
        <f t="shared" si="75"/>
      </c>
      <c r="AH54" s="261">
        <f t="shared" si="75"/>
      </c>
      <c r="AI54" s="261">
        <f t="shared" si="75"/>
      </c>
      <c r="AJ54" s="261">
        <f t="shared" si="75"/>
      </c>
      <c r="AK54" s="261">
        <f t="shared" si="75"/>
      </c>
      <c r="AL54" s="261">
        <f t="shared" si="75"/>
      </c>
      <c r="AM54" s="261">
        <f t="shared" si="75"/>
      </c>
      <c r="AN54" s="261">
        <f t="shared" si="75"/>
      </c>
      <c r="AO54" s="261">
        <f t="shared" si="75"/>
      </c>
      <c r="AP54" s="261">
        <f t="shared" si="75"/>
      </c>
      <c r="AQ54" s="261">
        <f t="shared" si="75"/>
      </c>
      <c r="AR54" s="261">
        <f t="shared" si="75"/>
      </c>
      <c r="AS54" s="261">
        <f t="shared" si="75"/>
      </c>
      <c r="AT54" s="261">
        <f>SUM(AQ51:AT51)</f>
      </c>
      <c r="AU54" s="261">
        <f t="shared" ref="AU54:CC54" si="76">SUM(AR51:AU51)</f>
      </c>
      <c r="AV54" s="261">
        <f t="shared" si="76"/>
      </c>
      <c r="AW54" s="261">
        <f t="shared" si="76"/>
      </c>
      <c r="AX54" s="261">
        <f t="shared" si="76"/>
      </c>
      <c r="AY54" s="261">
        <f t="shared" si="76"/>
      </c>
      <c r="AZ54" s="261">
        <f t="shared" si="76"/>
      </c>
      <c r="BA54" s="261">
        <f t="shared" si="76"/>
      </c>
      <c r="BB54" s="261">
        <f t="shared" si="76"/>
      </c>
      <c r="BC54" s="261">
        <f t="shared" si="76"/>
      </c>
      <c r="BD54" s="261">
        <f t="shared" si="76"/>
      </c>
      <c r="BE54" s="261">
        <f t="shared" si="76"/>
      </c>
      <c r="BF54" s="261">
        <f t="shared" si="76"/>
      </c>
      <c r="BG54" s="261">
        <f t="shared" si="76"/>
      </c>
      <c r="BH54" s="261">
        <f t="shared" si="76"/>
      </c>
      <c r="BI54" s="261">
        <f t="shared" si="76"/>
      </c>
      <c r="BJ54" s="261">
        <f t="shared" si="76"/>
      </c>
      <c r="BK54" s="261">
        <f t="shared" si="76"/>
      </c>
      <c r="BL54" s="261">
        <f t="shared" si="76"/>
      </c>
      <c r="BM54" s="261">
        <f t="shared" si="76"/>
      </c>
      <c r="BN54" s="261">
        <f t="shared" si="76"/>
      </c>
      <c r="BO54" s="261">
        <f t="shared" si="76"/>
      </c>
      <c r="BP54" s="261">
        <f t="shared" si="76"/>
      </c>
      <c r="BQ54" s="261">
        <f t="shared" si="76"/>
      </c>
      <c r="BR54" s="261">
        <f t="shared" si="76"/>
      </c>
      <c r="BS54" s="261">
        <f t="shared" si="76"/>
      </c>
      <c r="BT54" s="261">
        <f t="shared" si="76"/>
      </c>
      <c r="BU54" s="261">
        <f t="shared" si="76"/>
      </c>
      <c r="BV54" s="261">
        <f t="shared" si="76"/>
      </c>
      <c r="BW54" s="261">
        <f t="shared" si="76"/>
      </c>
      <c r="BX54" s="261">
        <f t="shared" si="76"/>
      </c>
      <c r="BY54" s="261">
        <f t="shared" si="76"/>
      </c>
      <c r="BZ54" s="261">
        <f t="shared" si="76"/>
      </c>
      <c r="CA54" s="261">
        <f t="shared" si="76"/>
      </c>
      <c r="CB54" s="261">
        <f t="shared" si="76"/>
      </c>
      <c r="CC54" s="261">
        <f t="shared" si="76"/>
      </c>
      <c r="CS54" s="154"/>
      <c r="CT54" s="154"/>
      <c r="CU54" s="154"/>
      <c r="CV54" s="154"/>
    </row>
    <row r="55" spans="1:104" s="270" customFormat="1" ht="15.6">
      <c r="A55" s="268" t="s">
        <v>543</v>
      </c>
      <c r="B55" s="225"/>
      <c r="C55" s="225"/>
      <c r="D55" s="225"/>
      <c r="E55" s="225"/>
      <c r="F55" s="225"/>
      <c r="G55" s="225"/>
      <c r="H55" s="225"/>
      <c r="I55" s="225"/>
      <c r="J55" s="225"/>
      <c r="K55" s="225"/>
      <c r="L55" s="225"/>
      <c r="M55" s="225"/>
      <c r="N55" s="225"/>
      <c r="O55" s="225"/>
      <c r="P55" s="225"/>
      <c r="Q55" s="225"/>
      <c r="R55" s="225"/>
      <c r="S55" s="225"/>
      <c r="T55" s="225"/>
      <c r="U55" s="225"/>
      <c r="V55" s="225"/>
      <c r="W55" s="225"/>
      <c r="X55" s="225"/>
      <c r="Y55" s="225"/>
      <c r="Z55" s="225"/>
      <c r="AA55" s="225"/>
      <c r="AB55" s="225"/>
      <c r="AC55" s="225"/>
      <c r="AD55" s="225"/>
      <c r="AE55" s="225"/>
      <c r="AF55" s="225"/>
      <c r="AG55" s="225"/>
      <c r="AH55" s="225"/>
      <c r="AI55" s="225"/>
      <c r="AJ55" s="225"/>
      <c r="AK55" s="225"/>
      <c r="AL55" s="225"/>
      <c r="AM55" s="225"/>
      <c r="AN55" s="225"/>
      <c r="AO55" s="225"/>
      <c r="AP55" s="225"/>
      <c r="AQ55" s="225"/>
      <c r="AR55" s="225"/>
      <c r="AS55" s="225"/>
      <c r="AT55" s="225"/>
      <c r="AU55" s="225"/>
      <c r="AV55" s="225"/>
      <c r="AW55" s="225"/>
      <c r="AX55" s="225"/>
      <c r="AY55" s="225"/>
      <c r="AZ55" s="225"/>
      <c r="BA55" s="225"/>
      <c r="BB55" s="225"/>
      <c r="BC55" s="225"/>
      <c r="BD55" s="225"/>
      <c r="BE55" s="225"/>
      <c r="BF55" s="225"/>
      <c r="BG55" s="225"/>
      <c r="BH55" s="296"/>
      <c r="BI55" s="296"/>
      <c r="BJ55" s="296"/>
      <c r="BK55" s="296"/>
      <c r="BL55" s="296"/>
      <c r="BM55" s="296"/>
      <c r="BN55" s="296"/>
      <c r="BO55" s="296"/>
      <c r="BP55" s="296"/>
      <c r="BQ55" s="296"/>
      <c r="BR55" s="296"/>
      <c r="BS55" s="296"/>
      <c r="BT55" s="296"/>
      <c r="BU55" s="296"/>
      <c r="BV55" s="296"/>
      <c r="BW55" s="296"/>
      <c r="BX55" s="296"/>
      <c r="BY55" s="296"/>
      <c r="BZ55" s="296"/>
      <c r="CA55" s="296"/>
      <c r="CB55" s="296"/>
      <c r="CC55" s="296"/>
      <c r="CD55" s="227"/>
      <c r="CE55" s="227"/>
      <c r="CF55" s="225"/>
      <c r="CG55" s="225"/>
      <c r="CH55" s="225"/>
      <c r="CI55" s="225"/>
      <c r="CJ55" s="225"/>
      <c r="CK55" s="225"/>
      <c r="CL55" s="225"/>
      <c r="CM55" s="225"/>
      <c r="CN55" s="225"/>
      <c r="CO55" s="225"/>
      <c r="CP55" s="225"/>
      <c r="CQ55" s="225"/>
      <c r="CR55" s="225"/>
      <c r="CS55" s="225"/>
      <c r="CT55" s="225"/>
      <c r="CU55" s="225"/>
      <c r="CV55" s="225"/>
      <c r="CW55" s="225"/>
      <c r="CX55" s="225"/>
      <c r="CY55" s="225"/>
      <c r="CZ55" s="227"/>
    </row>
    <row r="56" spans="1:104">
      <c r="A56" s="252" t="s">
        <v>536</v>
      </c>
      <c r="B56" s="271">
        <f t="shared" ref="B56:AG56" si="77">B42+B5</f>
      </c>
      <c r="C56" s="271">
        <f t="shared" si="77"/>
      </c>
      <c r="D56" s="271">
        <f t="shared" si="77"/>
      </c>
      <c r="E56" s="271">
        <f t="shared" si="77"/>
      </c>
      <c r="F56" s="271">
        <f t="shared" si="77"/>
      </c>
      <c r="G56" s="271">
        <f t="shared" si="77"/>
      </c>
      <c r="H56" s="271">
        <f t="shared" si="77"/>
      </c>
      <c r="I56" s="271">
        <f t="shared" si="77"/>
      </c>
      <c r="J56" s="271">
        <f t="shared" si="77"/>
      </c>
      <c r="K56" s="271">
        <f t="shared" si="77"/>
      </c>
      <c r="L56" s="271">
        <f t="shared" si="77"/>
      </c>
      <c r="M56" s="271">
        <f t="shared" si="77"/>
      </c>
      <c r="N56" s="271">
        <f t="shared" si="77"/>
      </c>
      <c r="O56" s="271">
        <f t="shared" si="77"/>
      </c>
      <c r="P56" s="271">
        <f t="shared" si="77"/>
      </c>
      <c r="Q56" s="271">
        <f t="shared" si="77"/>
      </c>
      <c r="R56" s="271">
        <f t="shared" si="77"/>
      </c>
      <c r="S56" s="271">
        <f t="shared" si="77"/>
      </c>
      <c r="T56" s="271">
        <f t="shared" si="77"/>
      </c>
      <c r="U56" s="271">
        <f t="shared" si="77"/>
      </c>
      <c r="V56" s="271">
        <f t="shared" si="77"/>
      </c>
      <c r="W56" s="271">
        <f t="shared" si="77"/>
      </c>
      <c r="X56" s="271">
        <f t="shared" si="77"/>
      </c>
      <c r="Y56" s="271">
        <f t="shared" si="77"/>
      </c>
      <c r="Z56" s="271">
        <f t="shared" si="77"/>
      </c>
      <c r="AA56" s="271">
        <f t="shared" si="77"/>
      </c>
      <c r="AB56" s="271">
        <f t="shared" si="77"/>
      </c>
      <c r="AC56" s="271">
        <f t="shared" si="77"/>
      </c>
      <c r="AD56" s="271">
        <f t="shared" si="77"/>
      </c>
      <c r="AE56" s="271">
        <f t="shared" si="77"/>
      </c>
      <c r="AF56" s="271">
        <f t="shared" si="77"/>
      </c>
      <c r="AG56" s="271">
        <f t="shared" si="77"/>
      </c>
      <c r="AH56" s="271">
        <f t="shared" ref="AH56:BM56" si="78">AH42+AH5</f>
      </c>
      <c r="AI56" s="271">
        <f t="shared" si="78"/>
      </c>
      <c r="AJ56" s="271">
        <f t="shared" si="78"/>
      </c>
      <c r="AK56" s="271">
        <f t="shared" si="78"/>
      </c>
      <c r="AL56" s="271">
        <f t="shared" si="78"/>
      </c>
      <c r="AM56" s="271">
        <f t="shared" si="78"/>
      </c>
      <c r="AN56" s="271">
        <f t="shared" si="78"/>
      </c>
      <c r="AO56" s="271">
        <f t="shared" si="78"/>
      </c>
      <c r="AP56" s="271">
        <f t="shared" si="78"/>
      </c>
      <c r="AQ56" s="271">
        <f t="shared" si="78"/>
      </c>
      <c r="AR56" s="271">
        <f t="shared" si="78"/>
      </c>
      <c r="AS56" s="271">
        <f t="shared" si="78"/>
      </c>
      <c r="AT56" s="271">
        <f t="shared" si="78"/>
      </c>
      <c r="AU56" s="271">
        <f t="shared" si="78"/>
      </c>
      <c r="AV56" s="271">
        <f t="shared" si="78"/>
      </c>
      <c r="AW56" s="271">
        <f t="shared" si="78"/>
      </c>
      <c r="AX56" s="271">
        <f t="shared" si="78"/>
      </c>
      <c r="AY56" s="271">
        <f t="shared" si="78"/>
      </c>
      <c r="AZ56" s="271">
        <f t="shared" si="78"/>
      </c>
      <c r="BA56" s="271">
        <f t="shared" si="78"/>
      </c>
      <c r="BB56" s="271">
        <f t="shared" si="78"/>
      </c>
      <c r="BC56" s="271">
        <f t="shared" si="78"/>
      </c>
      <c r="BD56" s="271">
        <f t="shared" si="78"/>
      </c>
      <c r="BE56" s="271">
        <f t="shared" si="78"/>
      </c>
      <c r="BF56" s="271">
        <f t="shared" si="78"/>
      </c>
      <c r="BG56" s="271">
        <f t="shared" si="78"/>
      </c>
      <c r="BH56" s="271">
        <f t="shared" si="78"/>
      </c>
      <c r="BI56" s="271">
        <f t="shared" si="78"/>
      </c>
      <c r="BJ56" s="271">
        <f t="shared" si="78"/>
      </c>
      <c r="BK56" s="271">
        <f t="shared" si="78"/>
      </c>
      <c r="BL56" s="271">
        <f t="shared" si="78"/>
      </c>
      <c r="BM56" s="271">
        <f t="shared" si="78"/>
      </c>
      <c r="BN56" s="271">
        <f t="shared" ref="BN56:CC56" si="79">BN42+BN5</f>
      </c>
      <c r="BO56" s="271">
        <f t="shared" si="79"/>
      </c>
      <c r="BP56" s="271">
        <f t="shared" si="79"/>
      </c>
      <c r="BQ56" s="271">
        <f t="shared" si="79"/>
      </c>
      <c r="BR56" s="271">
        <f t="shared" si="79"/>
      </c>
      <c r="BS56" s="271">
        <f t="shared" si="79"/>
      </c>
      <c r="BT56" s="272">
        <f t="shared" si="79"/>
      </c>
      <c r="BU56" s="272">
        <f t="shared" si="79"/>
      </c>
      <c r="BV56" s="272">
        <f t="shared" si="79"/>
      </c>
      <c r="BW56" s="272">
        <f t="shared" si="79"/>
      </c>
      <c r="BX56" s="272">
        <f t="shared" si="79"/>
      </c>
      <c r="BY56" s="272">
        <f t="shared" si="79"/>
      </c>
      <c r="BZ56" s="272">
        <f t="shared" si="79"/>
      </c>
      <c r="CA56" s="272">
        <f t="shared" si="79"/>
      </c>
      <c r="CB56" s="272">
        <f t="shared" si="79"/>
      </c>
      <c r="CC56" s="272">
        <f t="shared" si="79"/>
      </c>
      <c r="CD56" s="235"/>
      <c r="CE56" s="284"/>
      <c r="CF56" s="271">
        <f>SUM(B56:E56)</f>
      </c>
      <c r="CG56" s="271">
        <f>SUM(F56:I56)</f>
      </c>
      <c r="CH56" s="271">
        <f>SUM(J56:M56)</f>
      </c>
      <c r="CI56" s="271">
        <f>SUM(N56:Q56)</f>
      </c>
      <c r="CJ56" s="271">
        <f>SUM(R56:U56)</f>
      </c>
      <c r="CK56" s="271">
        <f>SUM(V56:Y56)</f>
      </c>
      <c r="CL56" s="271">
        <f>SUM(Z56:AC56)</f>
      </c>
      <c r="CM56" s="271">
        <f>SUM(AD56:AG56)</f>
      </c>
      <c r="CN56" s="271">
        <f>SUM(AH56:AK56)</f>
      </c>
      <c r="CO56" s="271">
        <f>SUM(AL56:AO56)</f>
      </c>
      <c r="CP56" s="271">
        <f>SUM(AP56:AS56)</f>
      </c>
      <c r="CQ56" s="271">
        <f>AT56+AU56+AV56+AW56</f>
      </c>
      <c r="CR56" s="271">
        <f>AX56+AY56+AZ56+BA56</f>
      </c>
      <c r="CS56" s="271">
        <f>BB56+BC56+BD56+BE56</f>
      </c>
      <c r="CT56" s="271">
        <f>+SUM(BF56:BI56)</f>
      </c>
      <c r="CU56" s="271">
        <f>+SUM(BJ56:BM56)</f>
      </c>
      <c r="CV56" s="271">
        <f>+SUM(BN56:BQ56)</f>
      </c>
      <c r="CW56" s="272">
        <f>+SUM(BR56:BU56)</f>
      </c>
      <c r="CX56" s="272">
        <f>SUM(BV56:BY56)</f>
      </c>
      <c r="CY56" s="272">
        <f>SUM(BZ56:CC56)</f>
      </c>
    </row>
    <row r="57" spans="1:104" s="276" customFormat="1">
      <c r="A57" s="63" t="s">
        <v>196</v>
      </c>
      <c r="B57" s="238"/>
      <c r="C57" s="238">
        <f t="shared" ref="C57:BN57" si="80">C56/B56-1</f>
      </c>
      <c r="D57" s="238">
        <f t="shared" si="80"/>
      </c>
      <c r="E57" s="238">
        <f t="shared" si="80"/>
      </c>
      <c r="F57" s="238">
        <f t="shared" si="80"/>
      </c>
      <c r="G57" s="238">
        <f t="shared" si="80"/>
      </c>
      <c r="H57" s="238">
        <f t="shared" si="80"/>
      </c>
      <c r="I57" s="238">
        <f t="shared" si="80"/>
      </c>
      <c r="J57" s="238">
        <f t="shared" si="80"/>
      </c>
      <c r="K57" s="238">
        <f t="shared" si="80"/>
      </c>
      <c r="L57" s="238">
        <f t="shared" si="80"/>
      </c>
      <c r="M57" s="238">
        <f t="shared" si="80"/>
      </c>
      <c r="N57" s="238">
        <f t="shared" si="80"/>
      </c>
      <c r="O57" s="238">
        <f t="shared" si="80"/>
      </c>
      <c r="P57" s="238">
        <f t="shared" si="80"/>
      </c>
      <c r="Q57" s="238">
        <f t="shared" si="80"/>
      </c>
      <c r="R57" s="238">
        <f t="shared" si="80"/>
      </c>
      <c r="S57" s="238">
        <f t="shared" si="80"/>
      </c>
      <c r="T57" s="238">
        <f t="shared" si="80"/>
      </c>
      <c r="U57" s="238">
        <f t="shared" si="80"/>
      </c>
      <c r="V57" s="238">
        <f t="shared" si="80"/>
      </c>
      <c r="W57" s="238">
        <f t="shared" si="80"/>
      </c>
      <c r="X57" s="238">
        <f t="shared" si="80"/>
      </c>
      <c r="Y57" s="238">
        <f t="shared" si="80"/>
      </c>
      <c r="Z57" s="238">
        <f t="shared" si="80"/>
      </c>
      <c r="AA57" s="238">
        <f t="shared" si="80"/>
      </c>
      <c r="AB57" s="238">
        <f t="shared" si="80"/>
      </c>
      <c r="AC57" s="238">
        <f t="shared" si="80"/>
      </c>
      <c r="AD57" s="238">
        <f t="shared" si="80"/>
      </c>
      <c r="AE57" s="238">
        <f t="shared" si="80"/>
      </c>
      <c r="AF57" s="238">
        <f t="shared" si="80"/>
      </c>
      <c r="AG57" s="238">
        <f t="shared" si="80"/>
      </c>
      <c r="AH57" s="238">
        <f t="shared" si="80"/>
      </c>
      <c r="AI57" s="238">
        <f t="shared" si="80"/>
      </c>
      <c r="AJ57" s="238">
        <f t="shared" si="80"/>
      </c>
      <c r="AK57" s="238">
        <f t="shared" si="80"/>
      </c>
      <c r="AL57" s="238">
        <f t="shared" si="80"/>
      </c>
      <c r="AM57" s="238">
        <f t="shared" si="80"/>
      </c>
      <c r="AN57" s="238">
        <f t="shared" si="80"/>
      </c>
      <c r="AO57" s="238">
        <f t="shared" si="80"/>
      </c>
      <c r="AP57" s="238">
        <f t="shared" si="80"/>
      </c>
      <c r="AQ57" s="238">
        <f t="shared" si="80"/>
      </c>
      <c r="AR57" s="238">
        <f t="shared" si="80"/>
      </c>
      <c r="AS57" s="238">
        <f t="shared" si="80"/>
      </c>
      <c r="AT57" s="238">
        <f t="shared" si="80"/>
      </c>
      <c r="AU57" s="238">
        <f t="shared" si="80"/>
      </c>
      <c r="AV57" s="238">
        <f t="shared" si="80"/>
      </c>
      <c r="AW57" s="238">
        <f t="shared" si="80"/>
      </c>
      <c r="AX57" s="238">
        <f t="shared" si="80"/>
      </c>
      <c r="AY57" s="238">
        <f t="shared" si="80"/>
      </c>
      <c r="AZ57" s="238">
        <f t="shared" si="80"/>
      </c>
      <c r="BA57" s="238">
        <f t="shared" si="80"/>
      </c>
      <c r="BB57" s="238">
        <f t="shared" si="80"/>
      </c>
      <c r="BC57" s="238">
        <f t="shared" si="80"/>
      </c>
      <c r="BD57" s="238">
        <f t="shared" si="80"/>
      </c>
      <c r="BE57" s="238">
        <f t="shared" si="80"/>
      </c>
      <c r="BF57" s="238">
        <f t="shared" si="80"/>
      </c>
      <c r="BG57" s="238">
        <f>BG56/BF56-1</f>
      </c>
      <c r="BH57" s="238">
        <f>BH56/BG56-1</f>
      </c>
      <c r="BI57" s="238">
        <f t="shared" si="80"/>
      </c>
      <c r="BJ57" s="238">
        <f t="shared" si="80"/>
      </c>
      <c r="BK57" s="238">
        <f t="shared" si="80"/>
      </c>
      <c r="BL57" s="238">
        <f t="shared" si="80"/>
      </c>
      <c r="BM57" s="238">
        <f t="shared" si="80"/>
      </c>
      <c r="BN57" s="238">
        <f t="shared" si="80"/>
      </c>
      <c r="BO57" s="238">
        <f t="shared" ref="BO57:CC57" si="81">BO56/BN56-1</f>
      </c>
      <c r="BP57" s="238">
        <f t="shared" si="81"/>
      </c>
      <c r="BQ57" s="238">
        <f t="shared" si="81"/>
      </c>
      <c r="BR57" s="238">
        <f t="shared" si="81"/>
      </c>
      <c r="BS57" s="238">
        <f t="shared" si="81"/>
      </c>
      <c r="BT57" s="239">
        <f t="shared" si="81"/>
      </c>
      <c r="BU57" s="239">
        <f t="shared" si="81"/>
      </c>
      <c r="BV57" s="239">
        <f t="shared" si="81"/>
      </c>
      <c r="BW57" s="239">
        <f t="shared" si="81"/>
      </c>
      <c r="BX57" s="239">
        <f t="shared" si="81"/>
      </c>
      <c r="BY57" s="239">
        <f t="shared" si="81"/>
      </c>
      <c r="BZ57" s="239">
        <f t="shared" si="81"/>
      </c>
      <c r="CA57" s="239">
        <f t="shared" si="81"/>
      </c>
      <c r="CB57" s="239">
        <f t="shared" si="81"/>
      </c>
      <c r="CC57" s="239">
        <f t="shared" si="81"/>
      </c>
      <c r="CD57" s="275"/>
      <c r="CE57" s="63"/>
      <c r="CF57" s="244"/>
      <c r="CG57" s="244"/>
      <c r="CH57" s="244"/>
      <c r="CI57" s="244"/>
      <c r="CJ57" s="244"/>
      <c r="CK57" s="244"/>
      <c r="CL57" s="244"/>
      <c r="CM57" s="244"/>
      <c r="CN57" s="244"/>
      <c r="CO57" s="244"/>
      <c r="CP57" s="244"/>
      <c r="CQ57" s="244"/>
      <c r="CR57" s="244"/>
      <c r="CS57" s="244"/>
      <c r="CT57" s="244"/>
      <c r="CU57" s="244"/>
      <c r="CV57" s="244"/>
      <c r="CW57" s="247"/>
      <c r="CX57" s="247"/>
      <c r="CY57" s="247"/>
      <c r="CZ57" s="275"/>
    </row>
    <row r="58" spans="1:104" s="276" customFormat="1">
      <c r="A58" s="63" t="s">
        <v>198</v>
      </c>
      <c r="B58" s="238"/>
      <c r="C58" s="238"/>
      <c r="D58" s="238"/>
      <c r="E58" s="238"/>
      <c r="F58" s="238">
        <f t="shared" ref="F58:BQ58" si="82">F56/B56-1</f>
      </c>
      <c r="G58" s="238">
        <f t="shared" si="82"/>
      </c>
      <c r="H58" s="238">
        <f t="shared" si="82"/>
      </c>
      <c r="I58" s="238">
        <f t="shared" si="82"/>
      </c>
      <c r="J58" s="238">
        <f t="shared" si="82"/>
      </c>
      <c r="K58" s="238">
        <f t="shared" si="82"/>
      </c>
      <c r="L58" s="238">
        <f t="shared" si="82"/>
      </c>
      <c r="M58" s="238">
        <f t="shared" si="82"/>
      </c>
      <c r="N58" s="238">
        <f t="shared" si="82"/>
      </c>
      <c r="O58" s="238">
        <f t="shared" si="82"/>
      </c>
      <c r="P58" s="238">
        <f t="shared" si="82"/>
      </c>
      <c r="Q58" s="238">
        <f t="shared" si="82"/>
      </c>
      <c r="R58" s="238">
        <f t="shared" si="82"/>
      </c>
      <c r="S58" s="238">
        <f t="shared" si="82"/>
      </c>
      <c r="T58" s="238">
        <f t="shared" si="82"/>
      </c>
      <c r="U58" s="238">
        <f t="shared" si="82"/>
      </c>
      <c r="V58" s="238">
        <f t="shared" si="82"/>
      </c>
      <c r="W58" s="238">
        <f t="shared" si="82"/>
      </c>
      <c r="X58" s="238">
        <f t="shared" si="82"/>
      </c>
      <c r="Y58" s="238">
        <f t="shared" si="82"/>
      </c>
      <c r="Z58" s="238">
        <f t="shared" si="82"/>
      </c>
      <c r="AA58" s="238">
        <f t="shared" si="82"/>
      </c>
      <c r="AB58" s="238">
        <f t="shared" si="82"/>
      </c>
      <c r="AC58" s="238">
        <f t="shared" si="82"/>
      </c>
      <c r="AD58" s="238">
        <f t="shared" si="82"/>
      </c>
      <c r="AE58" s="238">
        <f t="shared" si="82"/>
      </c>
      <c r="AF58" s="238">
        <f t="shared" si="82"/>
      </c>
      <c r="AG58" s="238">
        <f t="shared" si="82"/>
      </c>
      <c r="AH58" s="238">
        <f t="shared" si="82"/>
      </c>
      <c r="AI58" s="238">
        <f t="shared" si="82"/>
      </c>
      <c r="AJ58" s="238">
        <f t="shared" si="82"/>
      </c>
      <c r="AK58" s="238">
        <f t="shared" si="82"/>
      </c>
      <c r="AL58" s="238">
        <f t="shared" si="82"/>
      </c>
      <c r="AM58" s="238">
        <f t="shared" si="82"/>
      </c>
      <c r="AN58" s="238">
        <f t="shared" si="82"/>
      </c>
      <c r="AO58" s="238">
        <f t="shared" si="82"/>
      </c>
      <c r="AP58" s="238">
        <f t="shared" si="82"/>
      </c>
      <c r="AQ58" s="238">
        <f t="shared" si="82"/>
      </c>
      <c r="AR58" s="238">
        <f t="shared" si="82"/>
      </c>
      <c r="AS58" s="238">
        <f t="shared" si="82"/>
      </c>
      <c r="AT58" s="238">
        <f t="shared" si="82"/>
      </c>
      <c r="AU58" s="238">
        <f t="shared" si="82"/>
      </c>
      <c r="AV58" s="238">
        <f t="shared" si="82"/>
      </c>
      <c r="AW58" s="238">
        <f t="shared" si="82"/>
      </c>
      <c r="AX58" s="238">
        <f t="shared" si="82"/>
      </c>
      <c r="AY58" s="238">
        <f t="shared" si="82"/>
      </c>
      <c r="AZ58" s="238">
        <f t="shared" si="82"/>
      </c>
      <c r="BA58" s="238">
        <f t="shared" si="82"/>
      </c>
      <c r="BB58" s="238">
        <f t="shared" si="82"/>
      </c>
      <c r="BC58" s="238">
        <f t="shared" si="82"/>
      </c>
      <c r="BD58" s="238">
        <f t="shared" si="82"/>
      </c>
      <c r="BE58" s="238">
        <f t="shared" si="82"/>
      </c>
      <c r="BF58" s="238">
        <f t="shared" si="82"/>
      </c>
      <c r="BG58" s="238">
        <f>BG56/BC56-1</f>
      </c>
      <c r="BH58" s="238">
        <f>BH56/BD56-1</f>
      </c>
      <c r="BI58" s="238">
        <f t="shared" si="82"/>
      </c>
      <c r="BJ58" s="238">
        <f t="shared" si="82"/>
      </c>
      <c r="BK58" s="238">
        <f t="shared" si="82"/>
      </c>
      <c r="BL58" s="238">
        <f t="shared" si="82"/>
      </c>
      <c r="BM58" s="238">
        <f t="shared" si="82"/>
      </c>
      <c r="BN58" s="238">
        <f t="shared" si="82"/>
      </c>
      <c r="BO58" s="238">
        <f t="shared" si="82"/>
      </c>
      <c r="BP58" s="238">
        <f t="shared" si="82"/>
      </c>
      <c r="BQ58" s="238">
        <f t="shared" si="82"/>
      </c>
      <c r="BR58" s="238">
        <f t="shared" ref="BR58:CC58" si="83">BR56/BN56-1</f>
      </c>
      <c r="BS58" s="238">
        <f t="shared" si="83"/>
      </c>
      <c r="BT58" s="239">
        <f t="shared" si="83"/>
      </c>
      <c r="BU58" s="239">
        <f t="shared" si="83"/>
      </c>
      <c r="BV58" s="239">
        <f t="shared" si="83"/>
      </c>
      <c r="BW58" s="239">
        <f t="shared" si="83"/>
      </c>
      <c r="BX58" s="239">
        <f t="shared" si="83"/>
      </c>
      <c r="BY58" s="239">
        <f t="shared" si="83"/>
      </c>
      <c r="BZ58" s="239">
        <f t="shared" si="83"/>
      </c>
      <c r="CA58" s="239">
        <f t="shared" si="83"/>
      </c>
      <c r="CB58" s="239">
        <f t="shared" si="83"/>
      </c>
      <c r="CC58" s="239">
        <f t="shared" si="83"/>
      </c>
      <c r="CD58" s="275"/>
      <c r="CE58" s="277"/>
      <c r="CF58" s="238"/>
      <c r="CG58" s="276">
        <f t="shared" ref="CG58:CY58" si="84">CG56/CF56-1</f>
      </c>
      <c r="CH58" s="276">
        <f t="shared" si="84"/>
      </c>
      <c r="CI58" s="276">
        <f t="shared" si="84"/>
      </c>
      <c r="CJ58" s="276">
        <f t="shared" si="84"/>
      </c>
      <c r="CK58" s="276">
        <f t="shared" si="84"/>
      </c>
      <c r="CL58" s="276">
        <f t="shared" si="84"/>
      </c>
      <c r="CM58" s="276">
        <f t="shared" si="84"/>
      </c>
      <c r="CN58" s="238">
        <f t="shared" si="84"/>
      </c>
      <c r="CO58" s="238">
        <f t="shared" si="84"/>
      </c>
      <c r="CP58" s="238">
        <f t="shared" si="84"/>
      </c>
      <c r="CQ58" s="238">
        <f t="shared" si="84"/>
      </c>
      <c r="CR58" s="238">
        <f t="shared" si="84"/>
      </c>
      <c r="CS58" s="238">
        <f t="shared" si="84"/>
      </c>
      <c r="CT58" s="238">
        <f t="shared" si="84"/>
      </c>
      <c r="CU58" s="238">
        <f t="shared" si="84"/>
      </c>
      <c r="CV58" s="238">
        <f t="shared" si="84"/>
      </c>
      <c r="CW58" s="239">
        <f t="shared" si="84"/>
      </c>
      <c r="CX58" s="239">
        <f t="shared" si="84"/>
      </c>
      <c r="CY58" s="239">
        <f t="shared" si="84"/>
      </c>
      <c r="CZ58" s="275"/>
    </row>
    <row r="59" spans="1:104" s="261" customFormat="1">
      <c r="A59" s="274" t="s">
        <v>226</v>
      </c>
      <c r="B59" s="235"/>
      <c r="C59" s="235"/>
      <c r="D59" s="235"/>
      <c r="E59" s="235"/>
      <c r="F59" s="235"/>
      <c r="G59" s="235"/>
      <c r="H59" s="235"/>
      <c r="I59" s="235"/>
      <c r="J59" s="235"/>
      <c r="K59" s="235"/>
      <c r="L59" s="235"/>
      <c r="M59" s="235"/>
      <c r="N59" s="235"/>
      <c r="O59" s="235"/>
      <c r="P59" s="235"/>
      <c r="Q59" s="235"/>
      <c r="R59" s="235"/>
      <c r="S59" s="235"/>
      <c r="T59" s="235"/>
      <c r="U59" s="235"/>
      <c r="V59" s="235"/>
      <c r="W59" s="235"/>
      <c r="X59" s="235"/>
      <c r="Y59" s="235"/>
      <c r="Z59" s="235">
        <f t="shared" ref="Z59:BE59" si="85">Z42+Z9</f>
      </c>
      <c r="AA59" s="235">
        <f t="shared" si="85"/>
      </c>
      <c r="AB59" s="235">
        <f t="shared" si="85"/>
      </c>
      <c r="AC59" s="235">
        <f t="shared" si="85"/>
      </c>
      <c r="AD59" s="235">
        <f t="shared" si="85"/>
      </c>
      <c r="AE59" s="235">
        <f t="shared" si="85"/>
      </c>
      <c r="AF59" s="235">
        <f t="shared" si="85"/>
      </c>
      <c r="AG59" s="235">
        <f t="shared" si="85"/>
      </c>
      <c r="AH59" s="235">
        <f t="shared" si="85"/>
      </c>
      <c r="AI59" s="235">
        <f t="shared" si="85"/>
      </c>
      <c r="AJ59" s="235">
        <f t="shared" si="85"/>
      </c>
      <c r="AK59" s="235">
        <f t="shared" si="85"/>
      </c>
      <c r="AL59" s="235">
        <f t="shared" si="85"/>
      </c>
      <c r="AM59" s="235">
        <f t="shared" si="85"/>
      </c>
      <c r="AN59" s="235">
        <f t="shared" si="85"/>
      </c>
      <c r="AO59" s="235">
        <f t="shared" si="85"/>
      </c>
      <c r="AP59" s="235">
        <f t="shared" si="85"/>
      </c>
      <c r="AQ59" s="235">
        <f t="shared" si="85"/>
      </c>
      <c r="AR59" s="235">
        <f t="shared" si="85"/>
      </c>
      <c r="AS59" s="235">
        <f t="shared" si="85"/>
      </c>
      <c r="AT59" s="235">
        <f t="shared" si="85"/>
      </c>
      <c r="AU59" s="235">
        <f t="shared" si="85"/>
      </c>
      <c r="AV59" s="235">
        <f t="shared" si="85"/>
      </c>
      <c r="AW59" s="235">
        <f t="shared" si="85"/>
      </c>
      <c r="AX59" s="235">
        <f t="shared" si="85"/>
      </c>
      <c r="AY59" s="235">
        <f t="shared" si="85"/>
      </c>
      <c r="AZ59" s="235">
        <f t="shared" si="85"/>
      </c>
      <c r="BA59" s="235">
        <f t="shared" si="85"/>
      </c>
      <c r="BB59" s="235">
        <f t="shared" si="85"/>
      </c>
      <c r="BC59" s="235">
        <f t="shared" si="85"/>
      </c>
      <c r="BD59" s="235">
        <f t="shared" si="85"/>
      </c>
      <c r="BE59" s="235">
        <f t="shared" si="85"/>
      </c>
      <c r="BF59" s="235">
        <f t="shared" ref="BF59:CC59" si="86">BF42+BF9</f>
      </c>
      <c r="BG59" s="235">
        <f t="shared" si="86"/>
      </c>
      <c r="BH59" s="235">
        <f t="shared" si="86"/>
      </c>
      <c r="BI59" s="235">
        <f t="shared" si="86"/>
      </c>
      <c r="BJ59" s="235">
        <f t="shared" si="86"/>
      </c>
      <c r="BK59" s="235">
        <f t="shared" si="86"/>
      </c>
      <c r="BL59" s="235">
        <f t="shared" si="86"/>
      </c>
      <c r="BM59" s="235">
        <f t="shared" si="86"/>
      </c>
      <c r="BN59" s="235">
        <f t="shared" si="86"/>
      </c>
      <c r="BO59" s="235">
        <f t="shared" si="86"/>
      </c>
      <c r="BP59" s="235">
        <f t="shared" si="86"/>
      </c>
      <c r="BQ59" s="235">
        <f t="shared" si="86"/>
      </c>
      <c r="BR59" s="235">
        <f t="shared" si="86"/>
      </c>
      <c r="BS59" s="235">
        <f t="shared" si="86"/>
      </c>
      <c r="BT59" s="236">
        <f t="shared" si="86"/>
      </c>
      <c r="BU59" s="236">
        <f t="shared" si="86"/>
      </c>
      <c r="BV59" s="236">
        <f t="shared" si="86"/>
      </c>
      <c r="BW59" s="236">
        <f t="shared" si="86"/>
      </c>
      <c r="BX59" s="236">
        <f t="shared" si="86"/>
      </c>
      <c r="BY59" s="236">
        <f t="shared" si="86"/>
      </c>
      <c r="BZ59" s="236">
        <f t="shared" si="86"/>
      </c>
      <c r="CA59" s="236">
        <f t="shared" si="86"/>
      </c>
      <c r="CB59" s="236">
        <f t="shared" si="86"/>
      </c>
      <c r="CC59" s="236">
        <f t="shared" si="86"/>
      </c>
      <c r="CD59" s="283"/>
      <c r="CE59" s="284"/>
      <c r="CF59" s="235"/>
      <c r="CG59" s="235"/>
      <c r="CH59" s="235"/>
      <c r="CI59" s="235"/>
      <c r="CJ59" s="235"/>
      <c r="CK59" s="235"/>
      <c r="CL59" s="235">
        <f>SUM(Z59:AC59)</f>
      </c>
      <c r="CM59" s="235">
        <f>SUM(AD59:AG59)</f>
      </c>
      <c r="CN59" s="235">
        <f>SUM(AH59:AK59)</f>
      </c>
      <c r="CO59" s="235">
        <f>SUM(AL59:AO59)</f>
      </c>
      <c r="CP59" s="235">
        <f>SUM(AP59:AS59)</f>
      </c>
      <c r="CQ59" s="235">
        <f>AT59+AU59+AV59+AW59</f>
      </c>
      <c r="CR59" s="235">
        <f>AX59+AY59+AZ59+BA59</f>
      </c>
      <c r="CS59" s="235">
        <f>BB59+BC59+BD59+BE59</f>
      </c>
      <c r="CT59" s="235">
        <f>+SUM(BF59:BI59)</f>
      </c>
      <c r="CU59" s="235">
        <f>+SUM(BJ59:BM59)</f>
      </c>
      <c r="CV59" s="235">
        <f>+SUM(BN59:BQ59)</f>
      </c>
      <c r="CW59" s="236">
        <f>+SUM(BR59:BU59)</f>
      </c>
      <c r="CX59" s="236">
        <f>SUM(BV59:BY59)</f>
      </c>
      <c r="CY59" s="236">
        <f>SUM(BZ59:CC59)</f>
      </c>
      <c r="CZ59" s="283"/>
    </row>
    <row r="60" spans="1:104" s="276" customFormat="1">
      <c r="A60" s="277" t="s">
        <v>196</v>
      </c>
      <c r="B60" s="238"/>
      <c r="C60" s="238"/>
      <c r="D60" s="238"/>
      <c r="E60" s="238"/>
      <c r="F60" s="238"/>
      <c r="G60" s="238"/>
      <c r="H60" s="238"/>
      <c r="I60" s="238"/>
      <c r="J60" s="238"/>
      <c r="K60" s="238"/>
      <c r="L60" s="238"/>
      <c r="M60" s="238"/>
      <c r="N60" s="238"/>
      <c r="O60" s="238"/>
      <c r="P60" s="238"/>
      <c r="Q60" s="238"/>
      <c r="R60" s="238"/>
      <c r="S60" s="238"/>
      <c r="T60" s="238"/>
      <c r="U60" s="238"/>
      <c r="V60" s="238"/>
      <c r="W60" s="238"/>
      <c r="X60" s="238"/>
      <c r="Y60" s="238"/>
      <c r="Z60" s="238"/>
      <c r="AA60" s="238">
        <f t="shared" ref="AA60:CC60" si="87">AA59/Z59-1</f>
      </c>
      <c r="AB60" s="238">
        <f t="shared" si="87"/>
      </c>
      <c r="AC60" s="238">
        <f t="shared" si="87"/>
      </c>
      <c r="AD60" s="238">
        <f t="shared" si="87"/>
      </c>
      <c r="AE60" s="238">
        <f t="shared" si="87"/>
      </c>
      <c r="AF60" s="238">
        <f t="shared" si="87"/>
      </c>
      <c r="AG60" s="238">
        <f t="shared" si="87"/>
      </c>
      <c r="AH60" s="238">
        <f t="shared" si="87"/>
      </c>
      <c r="AI60" s="238">
        <f t="shared" si="87"/>
      </c>
      <c r="AJ60" s="238">
        <f t="shared" si="87"/>
      </c>
      <c r="AK60" s="238">
        <f t="shared" si="87"/>
      </c>
      <c r="AL60" s="238">
        <f t="shared" si="87"/>
      </c>
      <c r="AM60" s="238">
        <f t="shared" si="87"/>
      </c>
      <c r="AN60" s="238">
        <f t="shared" si="87"/>
      </c>
      <c r="AO60" s="238">
        <f t="shared" si="87"/>
      </c>
      <c r="AP60" s="238">
        <f t="shared" si="87"/>
      </c>
      <c r="AQ60" s="238">
        <f t="shared" si="87"/>
      </c>
      <c r="AR60" s="238">
        <f t="shared" si="87"/>
      </c>
      <c r="AS60" s="238">
        <f t="shared" si="87"/>
      </c>
      <c r="AT60" s="238">
        <f t="shared" si="87"/>
      </c>
      <c r="AU60" s="238">
        <f t="shared" si="87"/>
      </c>
      <c r="AV60" s="238">
        <f t="shared" si="87"/>
      </c>
      <c r="AW60" s="238">
        <f t="shared" si="87"/>
      </c>
      <c r="AX60" s="238">
        <f t="shared" si="87"/>
      </c>
      <c r="AY60" s="238">
        <f t="shared" si="87"/>
      </c>
      <c r="AZ60" s="238">
        <f t="shared" si="87"/>
      </c>
      <c r="BA60" s="238">
        <f t="shared" si="87"/>
      </c>
      <c r="BB60" s="238">
        <f t="shared" si="87"/>
      </c>
      <c r="BC60" s="238">
        <f t="shared" si="87"/>
      </c>
      <c r="BD60" s="238">
        <f t="shared" si="87"/>
      </c>
      <c r="BE60" s="238">
        <f t="shared" si="87"/>
      </c>
      <c r="BF60" s="238">
        <f t="shared" si="87"/>
      </c>
      <c r="BG60" s="238">
        <f>BG59/BF59-1</f>
      </c>
      <c r="BH60" s="238">
        <f>BH59/BG59-1</f>
      </c>
      <c r="BI60" s="238">
        <f t="shared" si="87"/>
      </c>
      <c r="BJ60" s="238">
        <f t="shared" si="87"/>
      </c>
      <c r="BK60" s="238">
        <f t="shared" si="87"/>
      </c>
      <c r="BL60" s="238">
        <f t="shared" si="87"/>
      </c>
      <c r="BM60" s="238">
        <f t="shared" si="87"/>
      </c>
      <c r="BN60" s="238">
        <f t="shared" si="87"/>
      </c>
      <c r="BO60" s="238">
        <f t="shared" si="87"/>
      </c>
      <c r="BP60" s="238">
        <f t="shared" si="87"/>
      </c>
      <c r="BQ60" s="238">
        <f t="shared" si="87"/>
      </c>
      <c r="BR60" s="238">
        <f t="shared" si="87"/>
      </c>
      <c r="BS60" s="238">
        <f t="shared" si="87"/>
      </c>
      <c r="BT60" s="239">
        <f t="shared" si="87"/>
      </c>
      <c r="BU60" s="239">
        <f t="shared" si="87"/>
      </c>
      <c r="BV60" s="239">
        <f t="shared" si="87"/>
      </c>
      <c r="BW60" s="239">
        <f t="shared" si="87"/>
      </c>
      <c r="BX60" s="239">
        <f t="shared" si="87"/>
      </c>
      <c r="BY60" s="239">
        <f t="shared" si="87"/>
      </c>
      <c r="BZ60" s="239">
        <f t="shared" si="87"/>
      </c>
      <c r="CA60" s="239">
        <f t="shared" si="87"/>
      </c>
      <c r="CB60" s="239">
        <f t="shared" si="87"/>
      </c>
      <c r="CC60" s="239">
        <f t="shared" si="87"/>
      </c>
      <c r="CD60" s="275"/>
      <c r="CE60" s="277"/>
      <c r="CF60" s="285"/>
      <c r="CM60" s="244"/>
      <c r="CN60" s="241"/>
      <c r="CO60" s="244"/>
      <c r="CP60" s="244"/>
      <c r="CQ60" s="244"/>
      <c r="CR60" s="244"/>
      <c r="CS60" s="244"/>
      <c r="CT60" s="244"/>
      <c r="CU60" s="244"/>
      <c r="CV60" s="244"/>
      <c r="CW60" s="247"/>
      <c r="CX60" s="247"/>
      <c r="CY60" s="247"/>
      <c r="CZ60" s="275"/>
    </row>
    <row r="61" spans="1:104" s="276" customFormat="1">
      <c r="A61" s="277" t="s">
        <v>198</v>
      </c>
      <c r="B61" s="238"/>
      <c r="C61" s="238"/>
      <c r="D61" s="238"/>
      <c r="E61" s="238"/>
      <c r="F61" s="238"/>
      <c r="G61" s="238"/>
      <c r="H61" s="238"/>
      <c r="I61" s="238"/>
      <c r="J61" s="238"/>
      <c r="K61" s="238"/>
      <c r="L61" s="238"/>
      <c r="M61" s="238"/>
      <c r="N61" s="238"/>
      <c r="O61" s="238"/>
      <c r="P61" s="238"/>
      <c r="Q61" s="238"/>
      <c r="R61" s="238"/>
      <c r="S61" s="238"/>
      <c r="T61" s="238"/>
      <c r="U61" s="238"/>
      <c r="V61" s="238"/>
      <c r="W61" s="238"/>
      <c r="X61" s="238"/>
      <c r="Y61" s="238"/>
      <c r="Z61" s="238"/>
      <c r="AA61" s="238"/>
      <c r="AB61" s="238"/>
      <c r="AC61" s="238"/>
      <c r="AD61" s="238">
        <f t="shared" ref="AD61:CC61" si="88">AD59/Z59-1</f>
      </c>
      <c r="AE61" s="238">
        <f t="shared" si="88"/>
      </c>
      <c r="AF61" s="238">
        <f t="shared" si="88"/>
      </c>
      <c r="AG61" s="238">
        <f t="shared" si="88"/>
      </c>
      <c r="AH61" s="238">
        <f t="shared" si="88"/>
      </c>
      <c r="AI61" s="238">
        <f t="shared" si="88"/>
      </c>
      <c r="AJ61" s="238">
        <f t="shared" si="88"/>
      </c>
      <c r="AK61" s="238">
        <f t="shared" si="88"/>
      </c>
      <c r="AL61" s="238">
        <f t="shared" si="88"/>
      </c>
      <c r="AM61" s="238">
        <f t="shared" si="88"/>
      </c>
      <c r="AN61" s="238">
        <f t="shared" si="88"/>
      </c>
      <c r="AO61" s="238">
        <f t="shared" si="88"/>
      </c>
      <c r="AP61" s="238">
        <f t="shared" si="88"/>
      </c>
      <c r="AQ61" s="238">
        <f t="shared" si="88"/>
      </c>
      <c r="AR61" s="238">
        <f t="shared" si="88"/>
      </c>
      <c r="AS61" s="238">
        <f t="shared" si="88"/>
      </c>
      <c r="AT61" s="238">
        <f t="shared" si="88"/>
      </c>
      <c r="AU61" s="238">
        <f t="shared" si="88"/>
      </c>
      <c r="AV61" s="238">
        <f t="shared" si="88"/>
      </c>
      <c r="AW61" s="238">
        <f t="shared" si="88"/>
      </c>
      <c r="AX61" s="238">
        <f t="shared" si="88"/>
      </c>
      <c r="AY61" s="238">
        <f t="shared" si="88"/>
      </c>
      <c r="AZ61" s="238">
        <f t="shared" si="88"/>
      </c>
      <c r="BA61" s="238">
        <f t="shared" si="88"/>
      </c>
      <c r="BB61" s="238">
        <f t="shared" si="88"/>
      </c>
      <c r="BC61" s="238">
        <f t="shared" si="88"/>
      </c>
      <c r="BD61" s="238">
        <f t="shared" si="88"/>
      </c>
      <c r="BE61" s="238">
        <f t="shared" si="88"/>
      </c>
      <c r="BF61" s="238">
        <f t="shared" si="88"/>
      </c>
      <c r="BG61" s="238">
        <f>BG59/BC59-1</f>
      </c>
      <c r="BH61" s="238">
        <f>BH59/BD59-1</f>
      </c>
      <c r="BI61" s="238">
        <f t="shared" si="88"/>
      </c>
      <c r="BJ61" s="238">
        <f t="shared" si="88"/>
      </c>
      <c r="BK61" s="238">
        <f t="shared" si="88"/>
      </c>
      <c r="BL61" s="238">
        <f t="shared" si="88"/>
      </c>
      <c r="BM61" s="238">
        <f t="shared" si="88"/>
      </c>
      <c r="BN61" s="238">
        <f t="shared" si="88"/>
      </c>
      <c r="BO61" s="238">
        <f t="shared" si="88"/>
      </c>
      <c r="BP61" s="238">
        <f t="shared" si="88"/>
      </c>
      <c r="BQ61" s="238">
        <f t="shared" si="88"/>
      </c>
      <c r="BR61" s="238">
        <f t="shared" si="88"/>
      </c>
      <c r="BS61" s="238">
        <f t="shared" si="88"/>
      </c>
      <c r="BT61" s="239">
        <f t="shared" si="88"/>
      </c>
      <c r="BU61" s="239">
        <f t="shared" si="88"/>
      </c>
      <c r="BV61" s="239">
        <f t="shared" si="88"/>
      </c>
      <c r="BW61" s="239">
        <f t="shared" si="88"/>
      </c>
      <c r="BX61" s="239">
        <f t="shared" si="88"/>
      </c>
      <c r="BY61" s="239">
        <f t="shared" si="88"/>
      </c>
      <c r="BZ61" s="239">
        <f t="shared" si="88"/>
      </c>
      <c r="CA61" s="239">
        <f t="shared" si="88"/>
      </c>
      <c r="CB61" s="239">
        <f t="shared" si="88"/>
      </c>
      <c r="CC61" s="239">
        <f t="shared" si="88"/>
      </c>
      <c r="CD61" s="275"/>
      <c r="CE61" s="277"/>
      <c r="CF61" s="285"/>
      <c r="CM61" s="276">
        <f t="shared" ref="CM61:CY61" si="89">CM59/CL59-1</f>
      </c>
      <c r="CN61" s="238">
        <f t="shared" si="89"/>
      </c>
      <c r="CO61" s="238">
        <f t="shared" si="89"/>
      </c>
      <c r="CP61" s="238">
        <f t="shared" si="89"/>
      </c>
      <c r="CQ61" s="238">
        <f t="shared" si="89"/>
      </c>
      <c r="CR61" s="238">
        <f t="shared" si="89"/>
      </c>
      <c r="CS61" s="238">
        <f t="shared" si="89"/>
      </c>
      <c r="CT61" s="238">
        <f t="shared" si="89"/>
      </c>
      <c r="CU61" s="238">
        <f t="shared" si="89"/>
      </c>
      <c r="CV61" s="238">
        <f t="shared" si="89"/>
      </c>
      <c r="CW61" s="239">
        <f t="shared" si="89"/>
      </c>
      <c r="CX61" s="239">
        <f t="shared" si="89"/>
      </c>
      <c r="CY61" s="239">
        <f t="shared" si="89"/>
      </c>
      <c r="CZ61" s="275"/>
    </row>
    <row r="62" spans="1:104" s="276" customFormat="1">
      <c r="A62" s="277" t="s">
        <v>544</v>
      </c>
      <c r="B62" s="238"/>
      <c r="C62" s="238"/>
      <c r="D62" s="238"/>
      <c r="E62" s="238"/>
      <c r="F62" s="238"/>
      <c r="G62" s="238"/>
      <c r="H62" s="238"/>
      <c r="I62" s="238"/>
      <c r="J62" s="238"/>
      <c r="K62" s="238"/>
      <c r="L62" s="238"/>
      <c r="M62" s="238"/>
      <c r="N62" s="238"/>
      <c r="O62" s="238"/>
      <c r="P62" s="238"/>
      <c r="Q62" s="238"/>
      <c r="R62" s="238"/>
      <c r="S62" s="238"/>
      <c r="T62" s="238"/>
      <c r="U62" s="238"/>
      <c r="V62" s="238"/>
      <c r="W62" s="238"/>
      <c r="X62" s="238"/>
      <c r="Y62" s="238"/>
      <c r="Z62" s="238">
        <f t="shared" ref="Z62:BE62" si="90">Z5/Z59</f>
      </c>
      <c r="AA62" s="238">
        <f t="shared" si="90"/>
      </c>
      <c r="AB62" s="238">
        <f t="shared" si="90"/>
      </c>
      <c r="AC62" s="238">
        <f t="shared" si="90"/>
      </c>
      <c r="AD62" s="238">
        <f t="shared" si="90"/>
      </c>
      <c r="AE62" s="238">
        <f t="shared" si="90"/>
      </c>
      <c r="AF62" s="238">
        <f t="shared" si="90"/>
      </c>
      <c r="AG62" s="238">
        <f t="shared" si="90"/>
      </c>
      <c r="AH62" s="238">
        <f t="shared" si="90"/>
      </c>
      <c r="AI62" s="238">
        <f t="shared" si="90"/>
      </c>
      <c r="AJ62" s="238">
        <f t="shared" si="90"/>
      </c>
      <c r="AK62" s="238">
        <f t="shared" si="90"/>
      </c>
      <c r="AL62" s="238">
        <f t="shared" si="90"/>
      </c>
      <c r="AM62" s="238">
        <f t="shared" si="90"/>
      </c>
      <c r="AN62" s="238">
        <f t="shared" si="90"/>
      </c>
      <c r="AO62" s="238">
        <f t="shared" si="90"/>
      </c>
      <c r="AP62" s="238">
        <f t="shared" si="90"/>
      </c>
      <c r="AQ62" s="238">
        <f t="shared" si="90"/>
      </c>
      <c r="AR62" s="238">
        <f t="shared" si="90"/>
      </c>
      <c r="AS62" s="238">
        <f t="shared" si="90"/>
      </c>
      <c r="AT62" s="238">
        <f t="shared" si="90"/>
      </c>
      <c r="AU62" s="238">
        <f t="shared" si="90"/>
      </c>
      <c r="AV62" s="238">
        <f t="shared" si="90"/>
      </c>
      <c r="AW62" s="238">
        <f t="shared" si="90"/>
      </c>
      <c r="AX62" s="238">
        <f t="shared" si="90"/>
      </c>
      <c r="AY62" s="238">
        <f t="shared" si="90"/>
      </c>
      <c r="AZ62" s="238">
        <f t="shared" si="90"/>
      </c>
      <c r="BA62" s="238">
        <f t="shared" si="90"/>
      </c>
      <c r="BB62" s="238">
        <f t="shared" si="90"/>
      </c>
      <c r="BC62" s="238">
        <f t="shared" si="90"/>
      </c>
      <c r="BD62" s="238">
        <f t="shared" si="90"/>
      </c>
      <c r="BE62" s="238">
        <f t="shared" si="90"/>
      </c>
      <c r="BF62" s="238">
        <f t="shared" ref="BF62:CC62" si="91">BF5/BF59</f>
      </c>
      <c r="BG62" s="238">
        <f t="shared" si="91"/>
      </c>
      <c r="BH62" s="238">
        <f t="shared" si="91"/>
      </c>
      <c r="BI62" s="238">
        <f t="shared" si="91"/>
      </c>
      <c r="BJ62" s="238">
        <f t="shared" si="91"/>
      </c>
      <c r="BK62" s="238">
        <f t="shared" si="91"/>
      </c>
      <c r="BL62" s="238">
        <f t="shared" si="91"/>
      </c>
      <c r="BM62" s="238">
        <f t="shared" si="91"/>
      </c>
      <c r="BN62" s="238">
        <f t="shared" si="91"/>
      </c>
      <c r="BO62" s="238">
        <f t="shared" si="91"/>
      </c>
      <c r="BP62" s="238">
        <f t="shared" si="91"/>
      </c>
      <c r="BQ62" s="238">
        <f t="shared" si="91"/>
      </c>
      <c r="BR62" s="238">
        <f t="shared" si="91"/>
      </c>
      <c r="BS62" s="238">
        <f t="shared" si="91"/>
      </c>
      <c r="BT62" s="239">
        <f t="shared" si="91"/>
      </c>
      <c r="BU62" s="239">
        <f t="shared" si="91"/>
      </c>
      <c r="BV62" s="239">
        <f t="shared" si="91"/>
      </c>
      <c r="BW62" s="239">
        <f t="shared" si="91"/>
      </c>
      <c r="BX62" s="239">
        <f t="shared" si="91"/>
      </c>
      <c r="BY62" s="239">
        <f t="shared" si="91"/>
      </c>
      <c r="BZ62" s="239">
        <f t="shared" si="91"/>
      </c>
      <c r="CA62" s="239">
        <f t="shared" si="91"/>
      </c>
      <c r="CB62" s="239">
        <f t="shared" si="91"/>
      </c>
      <c r="CC62" s="239">
        <f t="shared" si="91"/>
      </c>
      <c r="CD62" s="275"/>
      <c r="CE62" s="277"/>
      <c r="CF62" s="285"/>
      <c r="CL62" s="238">
        <f t="shared" ref="CL62:CY62" si="92">CL5/CL59</f>
      </c>
      <c r="CM62" s="238">
        <f t="shared" si="92"/>
      </c>
      <c r="CN62" s="238">
        <f t="shared" si="92"/>
      </c>
      <c r="CO62" s="238">
        <f t="shared" si="92"/>
      </c>
      <c r="CP62" s="238">
        <f t="shared" si="92"/>
      </c>
      <c r="CQ62" s="238">
        <f t="shared" si="92"/>
      </c>
      <c r="CR62" s="238">
        <f t="shared" si="92"/>
      </c>
      <c r="CS62" s="238">
        <f t="shared" si="92"/>
      </c>
      <c r="CT62" s="238">
        <f t="shared" si="92"/>
      </c>
      <c r="CU62" s="238">
        <f t="shared" si="92"/>
      </c>
      <c r="CV62" s="238">
        <f t="shared" si="92"/>
      </c>
      <c r="CW62" s="239">
        <f t="shared" si="92"/>
      </c>
      <c r="CX62" s="239">
        <f t="shared" si="92"/>
      </c>
      <c r="CY62" s="239">
        <f t="shared" si="92"/>
      </c>
      <c r="CZ62" s="275"/>
    </row>
    <row r="63" spans="1:104" s="276" customFormat="1">
      <c r="A63" s="277" t="s">
        <v>545</v>
      </c>
      <c r="B63" s="238"/>
      <c r="C63" s="238"/>
      <c r="D63" s="238"/>
      <c r="E63" s="238"/>
      <c r="F63" s="238"/>
      <c r="G63" s="238"/>
      <c r="H63" s="238"/>
      <c r="I63" s="238"/>
      <c r="J63" s="238"/>
      <c r="K63" s="238"/>
      <c r="L63" s="238"/>
      <c r="M63" s="238"/>
      <c r="N63" s="238"/>
      <c r="O63" s="238"/>
      <c r="P63" s="238"/>
      <c r="Q63" s="238"/>
      <c r="R63" s="238"/>
      <c r="S63" s="238"/>
      <c r="T63" s="238"/>
      <c r="U63" s="238"/>
      <c r="V63" s="238"/>
      <c r="W63" s="238"/>
      <c r="X63" s="238"/>
      <c r="Y63" s="238"/>
      <c r="Z63" s="238">
        <f t="shared" ref="Z63:BE63" si="93">Z42/Z59</f>
      </c>
      <c r="AA63" s="238">
        <f t="shared" si="93"/>
      </c>
      <c r="AB63" s="238">
        <f t="shared" si="93"/>
      </c>
      <c r="AC63" s="238">
        <f t="shared" si="93"/>
      </c>
      <c r="AD63" s="238">
        <f t="shared" si="93"/>
      </c>
      <c r="AE63" s="238">
        <f t="shared" si="93"/>
      </c>
      <c r="AF63" s="238">
        <f t="shared" si="93"/>
      </c>
      <c r="AG63" s="238">
        <f t="shared" si="93"/>
      </c>
      <c r="AH63" s="238">
        <f t="shared" si="93"/>
      </c>
      <c r="AI63" s="238">
        <f t="shared" si="93"/>
      </c>
      <c r="AJ63" s="238">
        <f t="shared" si="93"/>
      </c>
      <c r="AK63" s="238">
        <f t="shared" si="93"/>
      </c>
      <c r="AL63" s="238">
        <f t="shared" si="93"/>
      </c>
      <c r="AM63" s="238">
        <f t="shared" si="93"/>
      </c>
      <c r="AN63" s="238">
        <f t="shared" si="93"/>
      </c>
      <c r="AO63" s="238">
        <f t="shared" si="93"/>
      </c>
      <c r="AP63" s="238">
        <f t="shared" si="93"/>
      </c>
      <c r="AQ63" s="238">
        <f t="shared" si="93"/>
      </c>
      <c r="AR63" s="238">
        <f t="shared" si="93"/>
      </c>
      <c r="AS63" s="238">
        <f t="shared" si="93"/>
      </c>
      <c r="AT63" s="238">
        <f t="shared" si="93"/>
      </c>
      <c r="AU63" s="238">
        <f t="shared" si="93"/>
      </c>
      <c r="AV63" s="238">
        <f t="shared" si="93"/>
      </c>
      <c r="AW63" s="238">
        <f t="shared" si="93"/>
      </c>
      <c r="AX63" s="238">
        <f t="shared" si="93"/>
      </c>
      <c r="AY63" s="238">
        <f t="shared" si="93"/>
      </c>
      <c r="AZ63" s="238">
        <f t="shared" si="93"/>
      </c>
      <c r="BA63" s="238">
        <f t="shared" si="93"/>
      </c>
      <c r="BB63" s="238">
        <f t="shared" si="93"/>
      </c>
      <c r="BC63" s="238">
        <f t="shared" si="93"/>
      </c>
      <c r="BD63" s="238">
        <f t="shared" si="93"/>
      </c>
      <c r="BE63" s="238">
        <f t="shared" si="93"/>
      </c>
      <c r="BF63" s="238">
        <f t="shared" ref="BF63:CC63" si="94">BF42/BF59</f>
      </c>
      <c r="BG63" s="238">
        <f t="shared" si="94"/>
      </c>
      <c r="BH63" s="238">
        <f t="shared" si="94"/>
      </c>
      <c r="BI63" s="238">
        <f t="shared" si="94"/>
      </c>
      <c r="BJ63" s="238">
        <f t="shared" si="94"/>
      </c>
      <c r="BK63" s="238">
        <f t="shared" si="94"/>
      </c>
      <c r="BL63" s="238">
        <f t="shared" si="94"/>
      </c>
      <c r="BM63" s="238">
        <f t="shared" si="94"/>
      </c>
      <c r="BN63" s="238">
        <f t="shared" si="94"/>
      </c>
      <c r="BO63" s="238">
        <f t="shared" si="94"/>
      </c>
      <c r="BP63" s="238">
        <f t="shared" si="94"/>
      </c>
      <c r="BQ63" s="238">
        <f t="shared" si="94"/>
      </c>
      <c r="BR63" s="238">
        <f t="shared" si="94"/>
      </c>
      <c r="BS63" s="238">
        <f t="shared" si="94"/>
      </c>
      <c r="BT63" s="239">
        <f t="shared" si="94"/>
      </c>
      <c r="BU63" s="239">
        <f t="shared" si="94"/>
      </c>
      <c r="BV63" s="239">
        <f t="shared" si="94"/>
      </c>
      <c r="BW63" s="239">
        <f t="shared" si="94"/>
      </c>
      <c r="BX63" s="239">
        <f t="shared" si="94"/>
      </c>
      <c r="BY63" s="239">
        <f t="shared" si="94"/>
      </c>
      <c r="BZ63" s="239">
        <f t="shared" si="94"/>
      </c>
      <c r="CA63" s="239">
        <f t="shared" si="94"/>
      </c>
      <c r="CB63" s="239">
        <f t="shared" si="94"/>
      </c>
      <c r="CC63" s="239">
        <f t="shared" si="94"/>
      </c>
      <c r="CD63" s="275"/>
      <c r="CE63" s="277"/>
      <c r="CF63" s="285"/>
      <c r="CL63" s="238">
        <f t="shared" ref="CL63:CY63" si="95">CL42/CL59</f>
      </c>
      <c r="CM63" s="238">
        <f t="shared" si="95"/>
      </c>
      <c r="CN63" s="238">
        <f t="shared" si="95"/>
      </c>
      <c r="CO63" s="238">
        <f t="shared" si="95"/>
      </c>
      <c r="CP63" s="238">
        <f t="shared" si="95"/>
      </c>
      <c r="CQ63" s="238">
        <f t="shared" si="95"/>
      </c>
      <c r="CR63" s="238">
        <f t="shared" si="95"/>
      </c>
      <c r="CS63" s="238">
        <f t="shared" si="95"/>
      </c>
      <c r="CT63" s="238">
        <f t="shared" si="95"/>
      </c>
      <c r="CU63" s="238">
        <f t="shared" si="95"/>
      </c>
      <c r="CV63" s="238">
        <f t="shared" si="95"/>
      </c>
      <c r="CW63" s="239">
        <f t="shared" si="95"/>
      </c>
      <c r="CX63" s="239">
        <f t="shared" si="95"/>
      </c>
      <c r="CY63" s="239">
        <f t="shared" si="95"/>
      </c>
      <c r="CZ63" s="275"/>
    </row>
    <row r="64" spans="1:104" s="261" customFormat="1">
      <c r="A64" s="274" t="s">
        <v>230</v>
      </c>
      <c r="B64" s="235"/>
      <c r="C64" s="235"/>
      <c r="D64" s="235"/>
      <c r="E64" s="235"/>
      <c r="F64" s="235"/>
      <c r="G64" s="235"/>
      <c r="H64" s="235"/>
      <c r="I64" s="235"/>
      <c r="J64" s="235"/>
      <c r="K64" s="235"/>
      <c r="L64" s="235"/>
      <c r="M64" s="235"/>
      <c r="N64" s="235"/>
      <c r="O64" s="235"/>
      <c r="P64" s="235"/>
      <c r="Q64" s="235"/>
      <c r="R64" s="235"/>
      <c r="S64" s="235"/>
      <c r="T64" s="235"/>
      <c r="U64" s="235"/>
      <c r="V64" s="235"/>
      <c r="W64" s="235"/>
      <c r="X64" s="235"/>
      <c r="Y64" s="235"/>
      <c r="Z64" s="235">
        <f t="shared" ref="Z64:BE64" si="96">Z12</f>
      </c>
      <c r="AA64" s="235">
        <f t="shared" si="96"/>
      </c>
      <c r="AB64" s="235">
        <f t="shared" si="96"/>
      </c>
      <c r="AC64" s="235">
        <f t="shared" si="96"/>
      </c>
      <c r="AD64" s="235">
        <f t="shared" si="96"/>
      </c>
      <c r="AE64" s="235">
        <f t="shared" si="96"/>
      </c>
      <c r="AF64" s="235">
        <f t="shared" si="96"/>
      </c>
      <c r="AG64" s="235">
        <f t="shared" si="96"/>
      </c>
      <c r="AH64" s="235">
        <f t="shared" si="96"/>
      </c>
      <c r="AI64" s="235">
        <f t="shared" si="96"/>
      </c>
      <c r="AJ64" s="235">
        <f t="shared" si="96"/>
      </c>
      <c r="AK64" s="235">
        <f t="shared" si="96"/>
      </c>
      <c r="AL64" s="235">
        <f t="shared" si="96"/>
      </c>
      <c r="AM64" s="235">
        <f t="shared" si="96"/>
      </c>
      <c r="AN64" s="235">
        <f t="shared" si="96"/>
      </c>
      <c r="AO64" s="235">
        <f t="shared" si="96"/>
      </c>
      <c r="AP64" s="235">
        <f t="shared" si="96"/>
      </c>
      <c r="AQ64" s="235">
        <f t="shared" si="96"/>
      </c>
      <c r="AR64" s="235">
        <f t="shared" si="96"/>
      </c>
      <c r="AS64" s="235">
        <f t="shared" si="96"/>
      </c>
      <c r="AT64" s="235">
        <f t="shared" si="96"/>
      </c>
      <c r="AU64" s="235">
        <f t="shared" si="96"/>
      </c>
      <c r="AV64" s="235">
        <f t="shared" si="96"/>
      </c>
      <c r="AW64" s="235">
        <f t="shared" si="96"/>
      </c>
      <c r="AX64" s="235">
        <f t="shared" si="96"/>
      </c>
      <c r="AY64" s="235">
        <f t="shared" si="96"/>
      </c>
      <c r="AZ64" s="235">
        <f t="shared" si="96"/>
      </c>
      <c r="BA64" s="235">
        <f t="shared" si="96"/>
      </c>
      <c r="BB64" s="235">
        <f t="shared" si="96"/>
      </c>
      <c r="BC64" s="235">
        <f t="shared" si="96"/>
      </c>
      <c r="BD64" s="235">
        <f t="shared" si="96"/>
      </c>
      <c r="BE64" s="235">
        <f t="shared" si="96"/>
      </c>
      <c r="BF64" s="235">
        <f t="shared" ref="BF64:CC64" si="97">BF12</f>
      </c>
      <c r="BG64" s="235">
        <f t="shared" si="97"/>
      </c>
      <c r="BH64" s="235">
        <f t="shared" si="97"/>
      </c>
      <c r="BI64" s="235">
        <f t="shared" si="97"/>
      </c>
      <c r="BJ64" s="235">
        <f t="shared" si="97"/>
      </c>
      <c r="BK64" s="235">
        <f t="shared" si="97"/>
      </c>
      <c r="BL64" s="235">
        <f t="shared" si="97"/>
      </c>
      <c r="BM64" s="235">
        <f t="shared" si="97"/>
      </c>
      <c r="BN64" s="235">
        <f t="shared" si="97"/>
      </c>
      <c r="BO64" s="235">
        <f t="shared" si="97"/>
      </c>
      <c r="BP64" s="235">
        <f t="shared" si="97"/>
      </c>
      <c r="BQ64" s="235">
        <f t="shared" si="97"/>
      </c>
      <c r="BR64" s="235">
        <f t="shared" si="97"/>
      </c>
      <c r="BS64" s="235">
        <f t="shared" si="97"/>
      </c>
      <c r="BT64" s="236">
        <f t="shared" si="97"/>
      </c>
      <c r="BU64" s="236">
        <f t="shared" si="97"/>
      </c>
      <c r="BV64" s="236">
        <f t="shared" si="97"/>
      </c>
      <c r="BW64" s="236">
        <f t="shared" si="97"/>
      </c>
      <c r="BX64" s="236">
        <f t="shared" si="97"/>
      </c>
      <c r="BY64" s="236">
        <f t="shared" si="97"/>
      </c>
      <c r="BZ64" s="236">
        <f t="shared" si="97"/>
      </c>
      <c r="CA64" s="236">
        <f t="shared" si="97"/>
      </c>
      <c r="CB64" s="236">
        <f t="shared" si="97"/>
      </c>
      <c r="CC64" s="236">
        <f t="shared" si="97"/>
      </c>
      <c r="CD64" s="283"/>
      <c r="CE64" s="284"/>
      <c r="CF64" s="235"/>
      <c r="CG64" s="235"/>
      <c r="CH64" s="235"/>
      <c r="CI64" s="235"/>
      <c r="CJ64" s="235"/>
      <c r="CK64" s="235"/>
      <c r="CL64" s="235">
        <f>SUM(Z64:AC64)</f>
      </c>
      <c r="CM64" s="235">
        <f>SUM(AD64:AG64)</f>
      </c>
      <c r="CN64" s="235">
        <f>SUM(AH64:AK64)</f>
      </c>
      <c r="CO64" s="235">
        <f>SUM(AL64:AO64)</f>
      </c>
      <c r="CP64" s="235">
        <f>SUM(AP64:AS64)</f>
      </c>
      <c r="CQ64" s="235">
        <f>AT64+AU64+AV64+AW64</f>
      </c>
      <c r="CR64" s="235">
        <f>AX64+AY64+AZ64+BA64</f>
      </c>
      <c r="CS64" s="235">
        <f>BB64+BC64+BD64+BE64</f>
      </c>
      <c r="CT64" s="235">
        <f>+SUM(BF64:BI64)</f>
      </c>
      <c r="CU64" s="235">
        <f>+SUM(BJ64:BM64)</f>
      </c>
      <c r="CV64" s="235">
        <f>+SUM(BN64:BQ64)</f>
      </c>
      <c r="CW64" s="236">
        <f>+SUM(BR64:BU64)</f>
      </c>
      <c r="CX64" s="236">
        <f>SUM(BV64:BY64)</f>
      </c>
      <c r="CY64" s="236">
        <f>SUM(BZ64:CC64)</f>
      </c>
      <c r="CZ64" s="283"/>
    </row>
    <row r="65" spans="1:104" s="276" customFormat="1">
      <c r="A65" s="277" t="s">
        <v>196</v>
      </c>
      <c r="B65" s="238"/>
      <c r="C65" s="238"/>
      <c r="D65" s="238"/>
      <c r="E65" s="238"/>
      <c r="F65" s="238"/>
      <c r="G65" s="238"/>
      <c r="H65" s="238"/>
      <c r="I65" s="238"/>
      <c r="J65" s="238"/>
      <c r="K65" s="238"/>
      <c r="L65" s="238"/>
      <c r="M65" s="238"/>
      <c r="N65" s="238"/>
      <c r="O65" s="238"/>
      <c r="P65" s="238"/>
      <c r="Q65" s="238"/>
      <c r="R65" s="238"/>
      <c r="S65" s="238"/>
      <c r="T65" s="238"/>
      <c r="U65" s="238"/>
      <c r="V65" s="238"/>
      <c r="W65" s="238"/>
      <c r="X65" s="238"/>
      <c r="Y65" s="238"/>
      <c r="Z65" s="238"/>
      <c r="AA65" s="238" t="e">
        <f t="shared" ref="AA65:BE65" si="98">AA64/Z64-1</f>
      </c>
      <c r="AB65" s="238" t="e">
        <f t="shared" si="98"/>
      </c>
      <c r="AC65" s="238" t="e">
        <f t="shared" si="98"/>
      </c>
      <c r="AD65" s="238" t="e">
        <f t="shared" si="98"/>
      </c>
      <c r="AE65" s="238" t="e">
        <f t="shared" si="98"/>
      </c>
      <c r="AF65" s="238" t="e">
        <f t="shared" si="98"/>
      </c>
      <c r="AG65" s="238" t="e">
        <f t="shared" si="98"/>
      </c>
      <c r="AH65" s="238" t="e">
        <f t="shared" si="98"/>
      </c>
      <c r="AI65" s="238" t="e">
        <f t="shared" si="98"/>
      </c>
      <c r="AJ65" s="238" t="e">
        <f t="shared" si="98"/>
      </c>
      <c r="AK65" s="238" t="e">
        <f t="shared" si="98"/>
      </c>
      <c r="AL65" s="238" t="e">
        <f t="shared" si="98"/>
      </c>
      <c r="AM65" s="238" t="e">
        <f t="shared" si="98"/>
      </c>
      <c r="AN65" s="238" t="e">
        <f t="shared" si="98"/>
      </c>
      <c r="AO65" s="238">
        <f t="shared" si="98"/>
      </c>
      <c r="AP65" s="238">
        <f t="shared" si="98"/>
      </c>
      <c r="AQ65" s="238">
        <f t="shared" si="98"/>
      </c>
      <c r="AR65" s="238" t="e">
        <f t="shared" si="98"/>
      </c>
      <c r="AS65" s="238" t="e">
        <f t="shared" si="98"/>
      </c>
      <c r="AT65" s="238" t="e">
        <f t="shared" si="98"/>
      </c>
      <c r="AU65" s="238" t="e">
        <f t="shared" si="98"/>
      </c>
      <c r="AV65" s="238" t="e">
        <f t="shared" si="98"/>
      </c>
      <c r="AW65" s="238" t="e">
        <f t="shared" si="98"/>
      </c>
      <c r="AX65" s="238" t="e">
        <f t="shared" si="98"/>
      </c>
      <c r="AY65" s="238" t="e">
        <f t="shared" si="98"/>
      </c>
      <c r="AZ65" s="238" t="e">
        <f t="shared" si="98"/>
      </c>
      <c r="BA65" s="238" t="e">
        <f t="shared" si="98"/>
      </c>
      <c r="BB65" s="238">
        <f t="shared" si="98"/>
      </c>
      <c r="BC65" s="238">
        <f t="shared" si="98"/>
      </c>
      <c r="BD65" s="238">
        <f t="shared" si="98"/>
      </c>
      <c r="BE65" s="238">
        <f t="shared" si="98"/>
      </c>
      <c r="BF65" s="238">
        <f>BF64/BE64-1</f>
      </c>
      <c r="BG65" s="297" t="s">
        <v>546</v>
      </c>
      <c r="BH65" s="297" t="s">
        <v>546</v>
      </c>
      <c r="BI65" s="297" t="s">
        <v>546</v>
      </c>
      <c r="BJ65" s="297" t="s">
        <v>546</v>
      </c>
      <c r="BK65" s="297" t="s">
        <v>546</v>
      </c>
      <c r="BL65" s="297" t="s">
        <v>546</v>
      </c>
      <c r="BM65" s="297" t="s">
        <v>546</v>
      </c>
      <c r="BN65" s="297" t="s">
        <v>546</v>
      </c>
      <c r="BO65" s="297" t="s">
        <v>546</v>
      </c>
      <c r="BP65" s="297" t="s">
        <v>546</v>
      </c>
      <c r="BQ65" s="297" t="s">
        <v>546</v>
      </c>
      <c r="BR65" s="297" t="s">
        <v>546</v>
      </c>
      <c r="BS65" s="297" t="s">
        <v>546</v>
      </c>
      <c r="BT65" s="297" t="s">
        <v>546</v>
      </c>
      <c r="BU65" s="297" t="s">
        <v>546</v>
      </c>
      <c r="BV65" s="297" t="s">
        <v>546</v>
      </c>
      <c r="BW65" s="297" t="s">
        <v>546</v>
      </c>
      <c r="BX65" s="297" t="s">
        <v>546</v>
      </c>
      <c r="BY65" s="297" t="s">
        <v>546</v>
      </c>
      <c r="BZ65" s="297" t="s">
        <v>546</v>
      </c>
      <c r="CA65" s="297" t="s">
        <v>546</v>
      </c>
      <c r="CB65" s="297" t="s">
        <v>546</v>
      </c>
      <c r="CC65" s="297" t="s">
        <v>546</v>
      </c>
      <c r="CD65" s="275"/>
      <c r="CE65" s="277"/>
      <c r="CF65" s="285"/>
      <c r="CM65" s="244"/>
      <c r="CN65" s="241"/>
      <c r="CO65" s="244"/>
      <c r="CP65" s="244"/>
      <c r="CQ65" s="244"/>
      <c r="CR65" s="244"/>
      <c r="CS65" s="244"/>
      <c r="CT65" s="244"/>
      <c r="CU65" s="244"/>
      <c r="CV65" s="244"/>
      <c r="CW65" s="247"/>
      <c r="CX65" s="247"/>
      <c r="CY65" s="247"/>
      <c r="CZ65" s="275"/>
    </row>
    <row r="66" spans="1:104" s="276" customFormat="1">
      <c r="A66" s="277" t="s">
        <v>198</v>
      </c>
      <c r="B66" s="238"/>
      <c r="C66" s="238"/>
      <c r="D66" s="238"/>
      <c r="E66" s="238"/>
      <c r="F66" s="238"/>
      <c r="G66" s="238"/>
      <c r="H66" s="238"/>
      <c r="I66" s="238"/>
      <c r="J66" s="238"/>
      <c r="K66" s="238"/>
      <c r="L66" s="238"/>
      <c r="M66" s="238"/>
      <c r="N66" s="238"/>
      <c r="O66" s="238"/>
      <c r="P66" s="238"/>
      <c r="Q66" s="238"/>
      <c r="R66" s="238"/>
      <c r="S66" s="238"/>
      <c r="T66" s="238"/>
      <c r="U66" s="238"/>
      <c r="V66" s="238"/>
      <c r="W66" s="238"/>
      <c r="X66" s="238"/>
      <c r="Y66" s="238"/>
      <c r="Z66" s="238"/>
      <c r="AA66" s="238"/>
      <c r="AB66" s="238"/>
      <c r="AC66" s="238"/>
      <c r="AD66" s="238" t="e">
        <f t="shared" ref="AD66:BE66" si="99">AD64/Z64-1</f>
      </c>
      <c r="AE66" s="238" t="e">
        <f t="shared" si="99"/>
      </c>
      <c r="AF66" s="238" t="e">
        <f t="shared" si="99"/>
      </c>
      <c r="AG66" s="238" t="e">
        <f t="shared" si="99"/>
      </c>
      <c r="AH66" s="238" t="e">
        <f t="shared" si="99"/>
      </c>
      <c r="AI66" s="238" t="e">
        <f t="shared" si="99"/>
      </c>
      <c r="AJ66" s="238" t="e">
        <f t="shared" si="99"/>
      </c>
      <c r="AK66" s="238" t="e">
        <f t="shared" si="99"/>
      </c>
      <c r="AL66" s="238" t="e">
        <f t="shared" si="99"/>
      </c>
      <c r="AM66" s="238" t="e">
        <f t="shared" si="99"/>
      </c>
      <c r="AN66" s="238" t="e">
        <f t="shared" si="99"/>
      </c>
      <c r="AO66" s="238" t="e">
        <f t="shared" si="99"/>
      </c>
      <c r="AP66" s="238" t="e">
        <f t="shared" si="99"/>
      </c>
      <c r="AQ66" s="238" t="e">
        <f t="shared" si="99"/>
      </c>
      <c r="AR66" s="238">
        <f t="shared" si="99"/>
      </c>
      <c r="AS66" s="238">
        <f t="shared" si="99"/>
      </c>
      <c r="AT66" s="238">
        <f t="shared" si="99"/>
      </c>
      <c r="AU66" s="238" t="e">
        <f t="shared" si="99"/>
      </c>
      <c r="AV66" s="238" t="e">
        <f t="shared" si="99"/>
      </c>
      <c r="AW66" s="238" t="e">
        <f t="shared" si="99"/>
      </c>
      <c r="AX66" s="238" t="e">
        <f t="shared" si="99"/>
      </c>
      <c r="AY66" s="238" t="e">
        <f t="shared" si="99"/>
      </c>
      <c r="AZ66" s="238" t="e">
        <f t="shared" si="99"/>
      </c>
      <c r="BA66" s="238" t="e">
        <f t="shared" si="99"/>
      </c>
      <c r="BB66" s="238" t="e">
        <f t="shared" si="99"/>
      </c>
      <c r="BC66" s="238" t="e">
        <f t="shared" si="99"/>
      </c>
      <c r="BD66" s="238" t="e">
        <f t="shared" si="99"/>
      </c>
      <c r="BE66" s="238">
        <f t="shared" si="99"/>
      </c>
      <c r="BF66" s="238">
        <f>BF64/BB64-1</f>
      </c>
      <c r="BG66" s="297" t="s">
        <v>546</v>
      </c>
      <c r="BH66" s="297" t="s">
        <v>546</v>
      </c>
      <c r="BI66" s="297" t="s">
        <v>546</v>
      </c>
      <c r="BJ66" s="297" t="s">
        <v>546</v>
      </c>
      <c r="BK66" s="297" t="s">
        <v>546</v>
      </c>
      <c r="BL66" s="297" t="s">
        <v>546</v>
      </c>
      <c r="BM66" s="297" t="s">
        <v>546</v>
      </c>
      <c r="BN66" s="297" t="s">
        <v>546</v>
      </c>
      <c r="BO66" s="297" t="s">
        <v>546</v>
      </c>
      <c r="BP66" s="297" t="s">
        <v>546</v>
      </c>
      <c r="BQ66" s="297" t="s">
        <v>546</v>
      </c>
      <c r="BR66" s="297" t="s">
        <v>546</v>
      </c>
      <c r="BS66" s="297" t="s">
        <v>546</v>
      </c>
      <c r="BT66" s="297" t="s">
        <v>546</v>
      </c>
      <c r="BU66" s="297" t="s">
        <v>546</v>
      </c>
      <c r="BV66" s="297" t="s">
        <v>546</v>
      </c>
      <c r="BW66" s="297" t="s">
        <v>546</v>
      </c>
      <c r="BX66" s="297" t="s">
        <v>546</v>
      </c>
      <c r="BY66" s="297" t="s">
        <v>546</v>
      </c>
      <c r="BZ66" s="297" t="s">
        <v>546</v>
      </c>
      <c r="CA66" s="297" t="s">
        <v>546</v>
      </c>
      <c r="CB66" s="297" t="s">
        <v>546</v>
      </c>
      <c r="CC66" s="297" t="s">
        <v>546</v>
      </c>
      <c r="CD66" s="275"/>
      <c r="CE66" s="277"/>
      <c r="CF66" s="285"/>
      <c r="CM66" s="276" t="e">
        <f t="shared" ref="CM66:CY66" si="100">CM64/CL64-1</f>
      </c>
      <c r="CN66" s="238" t="e">
        <f t="shared" si="100"/>
      </c>
      <c r="CO66" s="238" t="e">
        <f t="shared" si="100"/>
      </c>
      <c r="CP66" s="238">
        <f t="shared" si="100"/>
      </c>
      <c r="CQ66" s="238">
        <f t="shared" si="100"/>
      </c>
      <c r="CR66" s="238" t="e">
        <f t="shared" si="100"/>
      </c>
      <c r="CS66" s="238">
        <f t="shared" si="100"/>
      </c>
      <c r="CT66" s="238">
        <f t="shared" si="100"/>
      </c>
      <c r="CU66" s="238" t="e">
        <f t="shared" si="100"/>
      </c>
      <c r="CV66" s="238" t="e">
        <f t="shared" si="100"/>
      </c>
      <c r="CW66" s="239" t="e">
        <f t="shared" si="100"/>
      </c>
      <c r="CX66" s="239" t="e">
        <f t="shared" si="100"/>
      </c>
      <c r="CY66" s="239" t="e">
        <f t="shared" si="100"/>
      </c>
      <c r="CZ66" s="275"/>
    </row>
    <row r="67" spans="1:104" s="235" customFormat="1">
      <c r="A67" s="235" t="s">
        <v>538</v>
      </c>
      <c r="B67" s="235">
        <f t="shared" ref="B67:AG67" si="101">B45+B18</f>
      </c>
      <c r="C67" s="235">
        <f t="shared" si="101"/>
      </c>
      <c r="D67" s="235">
        <f t="shared" si="101"/>
      </c>
      <c r="E67" s="235">
        <f t="shared" si="101"/>
      </c>
      <c r="F67" s="235">
        <f t="shared" si="101"/>
      </c>
      <c r="G67" s="235">
        <f t="shared" si="101"/>
      </c>
      <c r="H67" s="235">
        <f t="shared" si="101"/>
      </c>
      <c r="I67" s="235">
        <f t="shared" si="101"/>
      </c>
      <c r="J67" s="235">
        <f t="shared" si="101"/>
      </c>
      <c r="K67" s="235">
        <f t="shared" si="101"/>
      </c>
      <c r="L67" s="235">
        <f t="shared" si="101"/>
      </c>
      <c r="M67" s="235">
        <f t="shared" si="101"/>
      </c>
      <c r="N67" s="235">
        <f t="shared" si="101"/>
      </c>
      <c r="O67" s="235">
        <f t="shared" si="101"/>
      </c>
      <c r="P67" s="235">
        <f t="shared" si="101"/>
      </c>
      <c r="Q67" s="235">
        <f t="shared" si="101"/>
      </c>
      <c r="R67" s="235">
        <f t="shared" si="101"/>
      </c>
      <c r="S67" s="235">
        <f t="shared" si="101"/>
      </c>
      <c r="T67" s="235">
        <f t="shared" si="101"/>
      </c>
      <c r="U67" s="235">
        <f t="shared" si="101"/>
      </c>
      <c r="V67" s="235">
        <f t="shared" si="101"/>
      </c>
      <c r="W67" s="235">
        <f t="shared" si="101"/>
      </c>
      <c r="X67" s="235">
        <f t="shared" si="101"/>
      </c>
      <c r="Y67" s="235">
        <f t="shared" si="101"/>
      </c>
      <c r="Z67" s="235">
        <f t="shared" si="101"/>
      </c>
      <c r="AA67" s="235">
        <f t="shared" si="101"/>
      </c>
      <c r="AB67" s="235">
        <f t="shared" si="101"/>
      </c>
      <c r="AC67" s="235">
        <f t="shared" si="101"/>
      </c>
      <c r="AD67" s="235">
        <f t="shared" si="101"/>
      </c>
      <c r="AE67" s="235">
        <f t="shared" si="101"/>
      </c>
      <c r="AF67" s="235">
        <f t="shared" si="101"/>
      </c>
      <c r="AG67" s="235">
        <f t="shared" si="101"/>
      </c>
      <c r="AH67" s="235">
        <f t="shared" ref="AH67:BM67" si="102">AH45+AH18</f>
      </c>
      <c r="AI67" s="235">
        <f t="shared" si="102"/>
      </c>
      <c r="AJ67" s="235">
        <f t="shared" si="102"/>
      </c>
      <c r="AK67" s="235">
        <f t="shared" si="102"/>
      </c>
      <c r="AL67" s="235">
        <f t="shared" si="102"/>
      </c>
      <c r="AM67" s="235">
        <f t="shared" si="102"/>
      </c>
      <c r="AN67" s="235">
        <f t="shared" si="102"/>
      </c>
      <c r="AO67" s="235">
        <f t="shared" si="102"/>
      </c>
      <c r="AP67" s="235">
        <f t="shared" si="102"/>
      </c>
      <c r="AQ67" s="235">
        <f t="shared" si="102"/>
      </c>
      <c r="AR67" s="235">
        <f t="shared" si="102"/>
      </c>
      <c r="AS67" s="235">
        <f t="shared" si="102"/>
      </c>
      <c r="AT67" s="235">
        <f t="shared" si="102"/>
      </c>
      <c r="AU67" s="235">
        <f t="shared" si="102"/>
      </c>
      <c r="AV67" s="235">
        <f t="shared" si="102"/>
      </c>
      <c r="AW67" s="235">
        <f t="shared" si="102"/>
      </c>
      <c r="AX67" s="235">
        <f t="shared" si="102"/>
      </c>
      <c r="AY67" s="235">
        <f t="shared" si="102"/>
      </c>
      <c r="AZ67" s="235">
        <f t="shared" si="102"/>
      </c>
      <c r="BA67" s="235">
        <f t="shared" si="102"/>
      </c>
      <c r="BB67" s="235">
        <f t="shared" si="102"/>
      </c>
      <c r="BC67" s="235">
        <f t="shared" si="102"/>
      </c>
      <c r="BD67" s="235">
        <f t="shared" si="102"/>
      </c>
      <c r="BE67" s="235">
        <f t="shared" si="102"/>
      </c>
      <c r="BF67" s="235">
        <f t="shared" si="102"/>
      </c>
      <c r="BG67" s="235">
        <f t="shared" si="102"/>
      </c>
      <c r="BH67" s="235">
        <f t="shared" si="102"/>
      </c>
      <c r="BI67" s="235">
        <f t="shared" si="102"/>
      </c>
      <c r="BJ67" s="235">
        <f t="shared" si="102"/>
      </c>
      <c r="BK67" s="235">
        <f t="shared" si="102"/>
      </c>
      <c r="BL67" s="235">
        <f t="shared" si="102"/>
      </c>
      <c r="BM67" s="235">
        <f t="shared" si="102"/>
      </c>
      <c r="BN67" s="235">
        <f t="shared" ref="BN67:CC67" si="103">BN45+BN18</f>
      </c>
      <c r="BO67" s="235">
        <f t="shared" si="103"/>
      </c>
      <c r="BP67" s="235">
        <f t="shared" si="103"/>
      </c>
      <c r="BQ67" s="235">
        <f t="shared" si="103"/>
      </c>
      <c r="BR67" s="235">
        <f t="shared" si="103"/>
      </c>
      <c r="BS67" s="235">
        <f t="shared" si="103"/>
      </c>
      <c r="BT67" s="236">
        <f t="shared" si="103"/>
      </c>
      <c r="BU67" s="236">
        <f t="shared" si="103"/>
      </c>
      <c r="BV67" s="236">
        <f t="shared" si="103"/>
      </c>
      <c r="BW67" s="236">
        <f t="shared" si="103"/>
      </c>
      <c r="BX67" s="236">
        <f t="shared" si="103"/>
      </c>
      <c r="BY67" s="236">
        <f t="shared" si="103"/>
      </c>
      <c r="BZ67" s="236">
        <f t="shared" si="103"/>
      </c>
      <c r="CA67" s="236">
        <f t="shared" si="103"/>
      </c>
      <c r="CB67" s="236">
        <f t="shared" si="103"/>
      </c>
      <c r="CC67" s="236">
        <f t="shared" si="103"/>
      </c>
      <c r="CD67" s="273"/>
      <c r="CE67" s="280"/>
      <c r="CF67" s="235">
        <f>SUM(B67:E67)</f>
      </c>
      <c r="CG67" s="235">
        <f>SUM(F67:I67)</f>
      </c>
      <c r="CH67" s="235">
        <f>SUM(J67:M67)</f>
      </c>
      <c r="CI67" s="235">
        <f>SUM(N67:Q67)</f>
      </c>
      <c r="CJ67" s="235">
        <f>SUM(R67:U67)</f>
      </c>
      <c r="CK67" s="235">
        <f>SUM(V67:Y67)</f>
      </c>
      <c r="CL67" s="235">
        <f>SUM(Z67:AC67)</f>
      </c>
      <c r="CM67" s="235">
        <f>SUM(AD67:AG67)</f>
      </c>
      <c r="CN67" s="235">
        <f>SUM(AH67:AK67)</f>
      </c>
      <c r="CO67" s="235">
        <f>SUM(AL67:AO67)</f>
      </c>
      <c r="CP67" s="235">
        <f>SUM(AP67:AS67)</f>
      </c>
      <c r="CQ67" s="235">
        <f>AT67+AU67+AV67+AW67</f>
      </c>
      <c r="CR67" s="235">
        <f>AX67+AY67+AZ67+BA67</f>
      </c>
      <c r="CS67" s="235">
        <f>BB67+BC67+BD67+BE67</f>
      </c>
      <c r="CT67" s="235">
        <f>+SUM(BF67:BI67)</f>
      </c>
      <c r="CU67" s="235">
        <f>+SUM(BJ67:BM67)</f>
      </c>
      <c r="CV67" s="235">
        <f>+SUM(BN67:BQ67)</f>
      </c>
      <c r="CW67" s="236">
        <f>+SUM(BR67:BU67)</f>
      </c>
      <c r="CX67" s="236">
        <f>SUM(BV67:BY67)</f>
      </c>
      <c r="CY67" s="236">
        <f>SUM(BZ67:CC67)</f>
      </c>
      <c r="CZ67" s="273"/>
    </row>
    <row r="68" spans="1:104" s="276" customFormat="1">
      <c r="A68" s="63" t="s">
        <v>196</v>
      </c>
      <c r="B68" s="238"/>
      <c r="C68" s="238">
        <f t="shared" ref="C68:BN68" si="104">C67/B67-1</f>
      </c>
      <c r="D68" s="238">
        <f t="shared" si="104"/>
      </c>
      <c r="E68" s="238">
        <f t="shared" si="104"/>
      </c>
      <c r="F68" s="238">
        <f t="shared" si="104"/>
      </c>
      <c r="G68" s="238">
        <f t="shared" si="104"/>
      </c>
      <c r="H68" s="238">
        <f t="shared" si="104"/>
      </c>
      <c r="I68" s="238">
        <f t="shared" si="104"/>
      </c>
      <c r="J68" s="238">
        <f t="shared" si="104"/>
      </c>
      <c r="K68" s="238">
        <f t="shared" si="104"/>
      </c>
      <c r="L68" s="238">
        <f t="shared" si="104"/>
      </c>
      <c r="M68" s="238">
        <f t="shared" si="104"/>
      </c>
      <c r="N68" s="238">
        <f t="shared" si="104"/>
      </c>
      <c r="O68" s="238">
        <f t="shared" si="104"/>
      </c>
      <c r="P68" s="238">
        <f t="shared" si="104"/>
      </c>
      <c r="Q68" s="238">
        <f t="shared" si="104"/>
      </c>
      <c r="R68" s="238">
        <f t="shared" si="104"/>
      </c>
      <c r="S68" s="238">
        <f t="shared" si="104"/>
      </c>
      <c r="T68" s="238">
        <f t="shared" si="104"/>
      </c>
      <c r="U68" s="238">
        <f t="shared" si="104"/>
      </c>
      <c r="V68" s="238">
        <f t="shared" si="104"/>
      </c>
      <c r="W68" s="238">
        <f t="shared" si="104"/>
      </c>
      <c r="X68" s="238">
        <f t="shared" si="104"/>
      </c>
      <c r="Y68" s="238">
        <f t="shared" si="104"/>
      </c>
      <c r="Z68" s="238">
        <f t="shared" si="104"/>
      </c>
      <c r="AA68" s="238">
        <f t="shared" si="104"/>
      </c>
      <c r="AB68" s="238">
        <f t="shared" si="104"/>
      </c>
      <c r="AC68" s="238">
        <f t="shared" si="104"/>
      </c>
      <c r="AD68" s="238">
        <f t="shared" si="104"/>
      </c>
      <c r="AE68" s="238">
        <f t="shared" si="104"/>
      </c>
      <c r="AF68" s="238">
        <f t="shared" si="104"/>
      </c>
      <c r="AG68" s="238">
        <f t="shared" si="104"/>
      </c>
      <c r="AH68" s="238">
        <f t="shared" si="104"/>
      </c>
      <c r="AI68" s="238">
        <f t="shared" si="104"/>
      </c>
      <c r="AJ68" s="238">
        <f t="shared" si="104"/>
      </c>
      <c r="AK68" s="238">
        <f t="shared" si="104"/>
      </c>
      <c r="AL68" s="238">
        <f t="shared" si="104"/>
      </c>
      <c r="AM68" s="238">
        <f t="shared" si="104"/>
      </c>
      <c r="AN68" s="238">
        <f t="shared" si="104"/>
      </c>
      <c r="AO68" s="238">
        <f t="shared" si="104"/>
      </c>
      <c r="AP68" s="238">
        <f t="shared" si="104"/>
      </c>
      <c r="AQ68" s="238">
        <f t="shared" si="104"/>
      </c>
      <c r="AR68" s="238">
        <f t="shared" si="104"/>
      </c>
      <c r="AS68" s="238">
        <f t="shared" si="104"/>
      </c>
      <c r="AT68" s="238">
        <f t="shared" si="104"/>
      </c>
      <c r="AU68" s="238">
        <f t="shared" si="104"/>
      </c>
      <c r="AV68" s="238">
        <f t="shared" si="104"/>
      </c>
      <c r="AW68" s="238">
        <f t="shared" si="104"/>
      </c>
      <c r="AX68" s="238">
        <f t="shared" si="104"/>
      </c>
      <c r="AY68" s="238">
        <f t="shared" si="104"/>
      </c>
      <c r="AZ68" s="238">
        <f t="shared" si="104"/>
      </c>
      <c r="BA68" s="238">
        <f t="shared" si="104"/>
      </c>
      <c r="BB68" s="238">
        <f t="shared" si="104"/>
      </c>
      <c r="BC68" s="238">
        <f t="shared" si="104"/>
      </c>
      <c r="BD68" s="238">
        <f t="shared" si="104"/>
      </c>
      <c r="BE68" s="238">
        <f t="shared" si="104"/>
      </c>
      <c r="BF68" s="238">
        <f t="shared" si="104"/>
      </c>
      <c r="BG68" s="238">
        <f>BG67/BF67-1</f>
      </c>
      <c r="BH68" s="238">
        <f>BH67/BG67-1</f>
      </c>
      <c r="BI68" s="238">
        <f t="shared" si="104"/>
      </c>
      <c r="BJ68" s="238">
        <f t="shared" si="104"/>
      </c>
      <c r="BK68" s="238">
        <f t="shared" si="104"/>
      </c>
      <c r="BL68" s="238">
        <f t="shared" si="104"/>
      </c>
      <c r="BM68" s="238">
        <f t="shared" si="104"/>
      </c>
      <c r="BN68" s="238">
        <f t="shared" si="104"/>
      </c>
      <c r="BO68" s="238">
        <f t="shared" ref="BO68:CC68" si="105">BO67/BN67-1</f>
      </c>
      <c r="BP68" s="238">
        <f t="shared" si="105"/>
      </c>
      <c r="BQ68" s="238">
        <f t="shared" si="105"/>
      </c>
      <c r="BR68" s="238">
        <f t="shared" si="105"/>
      </c>
      <c r="BS68" s="238">
        <f t="shared" si="105"/>
      </c>
      <c r="BT68" s="239">
        <f t="shared" si="105"/>
      </c>
      <c r="BU68" s="239">
        <f t="shared" si="105"/>
      </c>
      <c r="BV68" s="239">
        <f t="shared" si="105"/>
      </c>
      <c r="BW68" s="239">
        <f t="shared" si="105"/>
      </c>
      <c r="BX68" s="239">
        <f t="shared" si="105"/>
      </c>
      <c r="BY68" s="239">
        <f t="shared" si="105"/>
      </c>
      <c r="BZ68" s="239">
        <f t="shared" si="105"/>
      </c>
      <c r="CA68" s="239">
        <f t="shared" si="105"/>
      </c>
      <c r="CB68" s="239">
        <f t="shared" si="105"/>
      </c>
      <c r="CC68" s="239">
        <f t="shared" si="105"/>
      </c>
      <c r="CD68" s="275"/>
      <c r="CE68" s="277"/>
      <c r="CF68" s="244"/>
      <c r="CG68" s="244"/>
      <c r="CH68" s="244"/>
      <c r="CI68" s="244"/>
      <c r="CJ68" s="244"/>
      <c r="CK68" s="244"/>
      <c r="CL68" s="244"/>
      <c r="CM68" s="244"/>
      <c r="CN68" s="241"/>
      <c r="CO68" s="244"/>
      <c r="CP68" s="244"/>
      <c r="CQ68" s="244"/>
      <c r="CR68" s="244"/>
      <c r="CS68" s="244"/>
      <c r="CT68" s="244"/>
      <c r="CU68" s="244"/>
      <c r="CV68" s="244"/>
      <c r="CW68" s="247"/>
      <c r="CX68" s="247"/>
      <c r="CY68" s="247"/>
      <c r="CZ68" s="275"/>
    </row>
    <row r="69" spans="1:104" s="276" customFormat="1">
      <c r="A69" s="63" t="s">
        <v>198</v>
      </c>
      <c r="B69" s="238"/>
      <c r="C69" s="238"/>
      <c r="D69" s="238"/>
      <c r="E69" s="238"/>
      <c r="F69" s="238">
        <f t="shared" ref="F69:BQ69" si="106">F67/B67-1</f>
      </c>
      <c r="G69" s="238">
        <f t="shared" si="106"/>
      </c>
      <c r="H69" s="238">
        <f t="shared" si="106"/>
      </c>
      <c r="I69" s="238">
        <f t="shared" si="106"/>
      </c>
      <c r="J69" s="238">
        <f t="shared" si="106"/>
      </c>
      <c r="K69" s="238">
        <f t="shared" si="106"/>
      </c>
      <c r="L69" s="238">
        <f t="shared" si="106"/>
      </c>
      <c r="M69" s="238">
        <f t="shared" si="106"/>
      </c>
      <c r="N69" s="238">
        <f t="shared" si="106"/>
      </c>
      <c r="O69" s="238">
        <f t="shared" si="106"/>
      </c>
      <c r="P69" s="238">
        <f t="shared" si="106"/>
      </c>
      <c r="Q69" s="238">
        <f t="shared" si="106"/>
      </c>
      <c r="R69" s="238">
        <f t="shared" si="106"/>
      </c>
      <c r="S69" s="238">
        <f t="shared" si="106"/>
      </c>
      <c r="T69" s="238">
        <f t="shared" si="106"/>
      </c>
      <c r="U69" s="238">
        <f t="shared" si="106"/>
      </c>
      <c r="V69" s="238">
        <f t="shared" si="106"/>
      </c>
      <c r="W69" s="238">
        <f t="shared" si="106"/>
      </c>
      <c r="X69" s="238">
        <f t="shared" si="106"/>
      </c>
      <c r="Y69" s="238">
        <f t="shared" si="106"/>
      </c>
      <c r="Z69" s="238">
        <f t="shared" si="106"/>
      </c>
      <c r="AA69" s="238">
        <f t="shared" si="106"/>
      </c>
      <c r="AB69" s="238">
        <f t="shared" si="106"/>
      </c>
      <c r="AC69" s="238">
        <f t="shared" si="106"/>
      </c>
      <c r="AD69" s="238">
        <f t="shared" si="106"/>
      </c>
      <c r="AE69" s="238">
        <f t="shared" si="106"/>
      </c>
      <c r="AF69" s="238">
        <f t="shared" si="106"/>
      </c>
      <c r="AG69" s="238">
        <f t="shared" si="106"/>
      </c>
      <c r="AH69" s="238">
        <f t="shared" si="106"/>
      </c>
      <c r="AI69" s="238">
        <f t="shared" si="106"/>
      </c>
      <c r="AJ69" s="238">
        <f t="shared" si="106"/>
      </c>
      <c r="AK69" s="238">
        <f t="shared" si="106"/>
      </c>
      <c r="AL69" s="238">
        <f t="shared" si="106"/>
      </c>
      <c r="AM69" s="238">
        <f t="shared" si="106"/>
      </c>
      <c r="AN69" s="238">
        <f t="shared" si="106"/>
      </c>
      <c r="AO69" s="238">
        <f t="shared" si="106"/>
      </c>
      <c r="AP69" s="238">
        <f t="shared" si="106"/>
      </c>
      <c r="AQ69" s="238">
        <f t="shared" si="106"/>
      </c>
      <c r="AR69" s="238">
        <f t="shared" si="106"/>
      </c>
      <c r="AS69" s="238">
        <f t="shared" si="106"/>
      </c>
      <c r="AT69" s="238">
        <f t="shared" si="106"/>
      </c>
      <c r="AU69" s="238">
        <f t="shared" si="106"/>
      </c>
      <c r="AV69" s="238">
        <f t="shared" si="106"/>
      </c>
      <c r="AW69" s="238">
        <f t="shared" si="106"/>
      </c>
      <c r="AX69" s="238">
        <f t="shared" si="106"/>
      </c>
      <c r="AY69" s="238">
        <f t="shared" si="106"/>
      </c>
      <c r="AZ69" s="238">
        <f t="shared" si="106"/>
      </c>
      <c r="BA69" s="238">
        <f t="shared" si="106"/>
      </c>
      <c r="BB69" s="238">
        <f t="shared" si="106"/>
      </c>
      <c r="BC69" s="238">
        <f t="shared" si="106"/>
      </c>
      <c r="BD69" s="238">
        <f t="shared" si="106"/>
      </c>
      <c r="BE69" s="238">
        <f t="shared" si="106"/>
      </c>
      <c r="BF69" s="238">
        <f t="shared" si="106"/>
      </c>
      <c r="BG69" s="238">
        <f>BG67/BC67-1</f>
      </c>
      <c r="BH69" s="238">
        <f>BH67/BD67-1</f>
      </c>
      <c r="BI69" s="238">
        <f t="shared" si="106"/>
      </c>
      <c r="BJ69" s="238">
        <f t="shared" si="106"/>
      </c>
      <c r="BK69" s="238">
        <f t="shared" si="106"/>
      </c>
      <c r="BL69" s="238">
        <f t="shared" si="106"/>
      </c>
      <c r="BM69" s="238">
        <f t="shared" si="106"/>
      </c>
      <c r="BN69" s="238">
        <f t="shared" si="106"/>
      </c>
      <c r="BO69" s="238">
        <f t="shared" si="106"/>
      </c>
      <c r="BP69" s="238">
        <f t="shared" si="106"/>
      </c>
      <c r="BQ69" s="238">
        <f t="shared" si="106"/>
      </c>
      <c r="BR69" s="238">
        <f t="shared" ref="BR69:CC69" si="107">BR67/BN67-1</f>
      </c>
      <c r="BS69" s="238">
        <f t="shared" si="107"/>
      </c>
      <c r="BT69" s="239">
        <f t="shared" si="107"/>
      </c>
      <c r="BU69" s="239">
        <f t="shared" si="107"/>
      </c>
      <c r="BV69" s="239">
        <f t="shared" si="107"/>
      </c>
      <c r="BW69" s="239">
        <f t="shared" si="107"/>
      </c>
      <c r="BX69" s="239">
        <f t="shared" si="107"/>
      </c>
      <c r="BY69" s="239">
        <f t="shared" si="107"/>
      </c>
      <c r="BZ69" s="239">
        <f t="shared" si="107"/>
      </c>
      <c r="CA69" s="239">
        <f t="shared" si="107"/>
      </c>
      <c r="CB69" s="239">
        <f t="shared" si="107"/>
      </c>
      <c r="CC69" s="239">
        <f t="shared" si="107"/>
      </c>
      <c r="CD69" s="275"/>
      <c r="CE69" s="63"/>
      <c r="CF69" s="238"/>
      <c r="CG69" s="276">
        <f t="shared" ref="CG69:CY69" si="108">CG67/CF67-1</f>
      </c>
      <c r="CH69" s="276">
        <f t="shared" si="108"/>
      </c>
      <c r="CI69" s="276">
        <f t="shared" si="108"/>
      </c>
      <c r="CJ69" s="276">
        <f t="shared" si="108"/>
      </c>
      <c r="CK69" s="276">
        <f t="shared" si="108"/>
      </c>
      <c r="CL69" s="276">
        <f t="shared" si="108"/>
      </c>
      <c r="CM69" s="276">
        <f t="shared" si="108"/>
      </c>
      <c r="CN69" s="238">
        <f t="shared" si="108"/>
      </c>
      <c r="CO69" s="238">
        <f t="shared" si="108"/>
      </c>
      <c r="CP69" s="238">
        <f t="shared" si="108"/>
      </c>
      <c r="CQ69" s="238">
        <f t="shared" si="108"/>
      </c>
      <c r="CR69" s="238">
        <f t="shared" si="108"/>
      </c>
      <c r="CS69" s="238">
        <f t="shared" si="108"/>
      </c>
      <c r="CT69" s="238">
        <f t="shared" si="108"/>
      </c>
      <c r="CU69" s="238">
        <f t="shared" si="108"/>
      </c>
      <c r="CV69" s="238">
        <f t="shared" si="108"/>
      </c>
      <c r="CW69" s="239">
        <f t="shared" si="108"/>
      </c>
      <c r="CX69" s="239">
        <f t="shared" si="108"/>
      </c>
      <c r="CY69" s="239">
        <f t="shared" si="108"/>
      </c>
      <c r="CZ69" s="275"/>
    </row>
    <row r="70" spans="1:104">
      <c r="A70" s="252" t="s">
        <v>539</v>
      </c>
      <c r="B70" s="281"/>
      <c r="C70" s="281"/>
      <c r="D70" s="281"/>
      <c r="E70" s="281"/>
      <c r="F70" s="281"/>
      <c r="G70" s="281"/>
      <c r="H70" s="281"/>
      <c r="I70" s="281"/>
      <c r="J70" s="281"/>
      <c r="K70" s="281"/>
      <c r="L70" s="281"/>
      <c r="M70" s="281"/>
      <c r="N70" s="281"/>
      <c r="O70" s="281"/>
      <c r="P70" s="281"/>
      <c r="Q70" s="281"/>
      <c r="R70" s="281"/>
      <c r="S70" s="281"/>
      <c r="T70" s="281"/>
      <c r="U70" s="281"/>
      <c r="V70" s="281"/>
      <c r="W70" s="281"/>
      <c r="X70" s="281"/>
      <c r="Y70" s="281"/>
      <c r="Z70" s="271">
        <f t="shared" ref="Z70:BE70" si="109">Z79/Z56*1000</f>
      </c>
      <c r="AA70" s="271">
        <f t="shared" si="109"/>
      </c>
      <c r="AB70" s="271">
        <f t="shared" si="109"/>
      </c>
      <c r="AC70" s="271">
        <f t="shared" si="109"/>
      </c>
      <c r="AD70" s="271">
        <f t="shared" si="109"/>
      </c>
      <c r="AE70" s="271">
        <f t="shared" si="109"/>
      </c>
      <c r="AF70" s="271">
        <f t="shared" si="109"/>
      </c>
      <c r="AG70" s="271">
        <f t="shared" si="109"/>
      </c>
      <c r="AH70" s="271">
        <f t="shared" si="109"/>
      </c>
      <c r="AI70" s="271">
        <f t="shared" si="109"/>
      </c>
      <c r="AJ70" s="271">
        <f t="shared" si="109"/>
      </c>
      <c r="AK70" s="271">
        <f t="shared" si="109"/>
      </c>
      <c r="AL70" s="271">
        <f t="shared" si="109"/>
      </c>
      <c r="AM70" s="271">
        <f t="shared" si="109"/>
      </c>
      <c r="AN70" s="271">
        <f t="shared" si="109"/>
      </c>
      <c r="AO70" s="271">
        <f t="shared" si="109"/>
      </c>
      <c r="AP70" s="271">
        <f t="shared" si="109"/>
      </c>
      <c r="AQ70" s="271">
        <f t="shared" si="109"/>
      </c>
      <c r="AR70" s="271">
        <f t="shared" si="109"/>
      </c>
      <c r="AS70" s="271">
        <f t="shared" si="109"/>
      </c>
      <c r="AT70" s="271">
        <f t="shared" si="109"/>
      </c>
      <c r="AU70" s="271">
        <f t="shared" si="109"/>
      </c>
      <c r="AV70" s="271">
        <f t="shared" si="109"/>
      </c>
      <c r="AW70" s="271">
        <f t="shared" si="109"/>
      </c>
      <c r="AX70" s="271">
        <f t="shared" si="109"/>
      </c>
      <c r="AY70" s="271">
        <f t="shared" si="109"/>
      </c>
      <c r="AZ70" s="271">
        <f t="shared" si="109"/>
      </c>
      <c r="BA70" s="271">
        <f t="shared" si="109"/>
      </c>
      <c r="BB70" s="271">
        <f t="shared" si="109"/>
      </c>
      <c r="BC70" s="271">
        <f t="shared" si="109"/>
      </c>
      <c r="BD70" s="271">
        <f t="shared" si="109"/>
      </c>
      <c r="BE70" s="271">
        <f t="shared" si="109"/>
      </c>
      <c r="BF70" s="271">
        <f t="shared" ref="BF70:CC70" si="110">BF79/BF56*1000</f>
      </c>
      <c r="BG70" s="271">
        <f t="shared" si="110"/>
      </c>
      <c r="BH70" s="271">
        <f t="shared" si="110"/>
      </c>
      <c r="BI70" s="271">
        <f t="shared" si="110"/>
      </c>
      <c r="BJ70" s="271">
        <f t="shared" si="110"/>
      </c>
      <c r="BK70" s="271">
        <f t="shared" si="110"/>
      </c>
      <c r="BL70" s="271">
        <f t="shared" si="110"/>
      </c>
      <c r="BM70" s="271">
        <f t="shared" si="110"/>
      </c>
      <c r="BN70" s="271">
        <f t="shared" si="110"/>
      </c>
      <c r="BO70" s="271">
        <f t="shared" si="110"/>
      </c>
      <c r="BP70" s="271">
        <f t="shared" si="110"/>
      </c>
      <c r="BQ70" s="271">
        <f t="shared" si="110"/>
      </c>
      <c r="BR70" s="271">
        <f t="shared" si="110"/>
      </c>
      <c r="BS70" s="271">
        <f t="shared" si="110"/>
      </c>
      <c r="BT70" s="272">
        <f t="shared" si="110"/>
      </c>
      <c r="BU70" s="272">
        <f t="shared" si="110"/>
      </c>
      <c r="BV70" s="272">
        <f t="shared" si="110"/>
      </c>
      <c r="BW70" s="272">
        <f t="shared" si="110"/>
      </c>
      <c r="BX70" s="272">
        <f t="shared" si="110"/>
      </c>
      <c r="BY70" s="272">
        <f t="shared" si="110"/>
      </c>
      <c r="BZ70" s="272">
        <f t="shared" si="110"/>
      </c>
      <c r="CA70" s="272">
        <f t="shared" si="110"/>
      </c>
      <c r="CB70" s="272">
        <f t="shared" si="110"/>
      </c>
      <c r="CC70" s="272">
        <f t="shared" si="110"/>
      </c>
      <c r="CD70" s="283"/>
      <c r="CE70" s="284"/>
      <c r="CF70" s="271"/>
      <c r="CG70" s="271"/>
      <c r="CH70" s="271"/>
      <c r="CI70" s="271"/>
      <c r="CJ70" s="271"/>
      <c r="CK70" s="271"/>
      <c r="CL70" s="271">
        <f t="shared" ref="CL70:CY70" si="111">CL79/CL56*1000</f>
      </c>
      <c r="CM70" s="271">
        <f t="shared" si="111"/>
      </c>
      <c r="CN70" s="271">
        <f t="shared" si="111"/>
      </c>
      <c r="CO70" s="271">
        <f t="shared" si="111"/>
      </c>
      <c r="CP70" s="271">
        <f t="shared" si="111"/>
      </c>
      <c r="CQ70" s="271">
        <f t="shared" si="111"/>
      </c>
      <c r="CR70" s="271">
        <f t="shared" si="111"/>
      </c>
      <c r="CS70" s="271">
        <f t="shared" si="111"/>
      </c>
      <c r="CT70" s="271">
        <f t="shared" si="111"/>
      </c>
      <c r="CU70" s="271">
        <f t="shared" si="111"/>
      </c>
      <c r="CV70" s="271">
        <f t="shared" si="111"/>
      </c>
      <c r="CW70" s="272">
        <f t="shared" si="111"/>
      </c>
      <c r="CX70" s="272">
        <f t="shared" si="111"/>
      </c>
      <c r="CY70" s="272">
        <f t="shared" si="111"/>
      </c>
    </row>
    <row r="71" spans="1:104" s="238" customFormat="1">
      <c r="A71" s="63" t="s">
        <v>196</v>
      </c>
      <c r="AA71" s="238">
        <f t="shared" ref="AA71:CC71" si="112">AA70/Z70-1</f>
      </c>
      <c r="AB71" s="238">
        <f t="shared" si="112"/>
      </c>
      <c r="AC71" s="238">
        <f t="shared" si="112"/>
      </c>
      <c r="AD71" s="238">
        <f t="shared" si="112"/>
      </c>
      <c r="AE71" s="238">
        <f t="shared" si="112"/>
      </c>
      <c r="AF71" s="238">
        <f t="shared" si="112"/>
      </c>
      <c r="AG71" s="238">
        <f t="shared" si="112"/>
      </c>
      <c r="AH71" s="238">
        <f t="shared" si="112"/>
      </c>
      <c r="AI71" s="238">
        <f t="shared" si="112"/>
      </c>
      <c r="AJ71" s="238">
        <f t="shared" si="112"/>
      </c>
      <c r="AK71" s="238">
        <f t="shared" si="112"/>
      </c>
      <c r="AL71" s="238">
        <f t="shared" si="112"/>
      </c>
      <c r="AM71" s="238">
        <f t="shared" si="112"/>
      </c>
      <c r="AN71" s="238">
        <f t="shared" si="112"/>
      </c>
      <c r="AO71" s="238">
        <f t="shared" si="112"/>
      </c>
      <c r="AP71" s="238">
        <f t="shared" si="112"/>
      </c>
      <c r="AQ71" s="238">
        <f t="shared" si="112"/>
      </c>
      <c r="AR71" s="238">
        <f t="shared" si="112"/>
      </c>
      <c r="AS71" s="238">
        <f t="shared" si="112"/>
      </c>
      <c r="AT71" s="238">
        <f t="shared" si="112"/>
      </c>
      <c r="AU71" s="238">
        <f t="shared" si="112"/>
      </c>
      <c r="AV71" s="238">
        <f t="shared" si="112"/>
      </c>
      <c r="AW71" s="238">
        <f t="shared" si="112"/>
      </c>
      <c r="AX71" s="238">
        <f t="shared" si="112"/>
      </c>
      <c r="AY71" s="238">
        <f t="shared" si="112"/>
      </c>
      <c r="AZ71" s="238">
        <f t="shared" si="112"/>
      </c>
      <c r="BA71" s="238">
        <f t="shared" si="112"/>
      </c>
      <c r="BB71" s="238">
        <f t="shared" si="112"/>
      </c>
      <c r="BC71" s="238">
        <f t="shared" si="112"/>
      </c>
      <c r="BD71" s="238">
        <f t="shared" si="112"/>
      </c>
      <c r="BE71" s="238">
        <f t="shared" si="112"/>
      </c>
      <c r="BF71" s="238">
        <f t="shared" si="112"/>
      </c>
      <c r="BG71" s="238">
        <f>BG70/BF70-1</f>
      </c>
      <c r="BH71" s="238">
        <f>BH70/BG70-1</f>
      </c>
      <c r="BI71" s="238">
        <f t="shared" si="112"/>
      </c>
      <c r="BJ71" s="238">
        <f t="shared" si="112"/>
      </c>
      <c r="BK71" s="238">
        <f t="shared" si="112"/>
      </c>
      <c r="BL71" s="238">
        <f t="shared" si="112"/>
      </c>
      <c r="BM71" s="238">
        <f t="shared" si="112"/>
      </c>
      <c r="BN71" s="238">
        <f t="shared" si="112"/>
      </c>
      <c r="BO71" s="238">
        <f t="shared" si="112"/>
      </c>
      <c r="BP71" s="238">
        <f t="shared" si="112"/>
      </c>
      <c r="BQ71" s="238">
        <f t="shared" si="112"/>
      </c>
      <c r="BR71" s="238">
        <f t="shared" si="112"/>
      </c>
      <c r="BS71" s="238">
        <f t="shared" si="112"/>
      </c>
      <c r="BT71" s="239">
        <f t="shared" si="112"/>
      </c>
      <c r="BU71" s="239">
        <f t="shared" si="112"/>
      </c>
      <c r="BV71" s="239">
        <f t="shared" si="112"/>
      </c>
      <c r="BW71" s="239">
        <f t="shared" si="112"/>
      </c>
      <c r="BX71" s="239">
        <f t="shared" si="112"/>
      </c>
      <c r="BY71" s="239">
        <f t="shared" si="112"/>
      </c>
      <c r="BZ71" s="239">
        <f t="shared" si="112"/>
      </c>
      <c r="CA71" s="239">
        <f t="shared" si="112"/>
      </c>
      <c r="CB71" s="239">
        <f t="shared" si="112"/>
      </c>
      <c r="CC71" s="239">
        <f t="shared" si="112"/>
      </c>
      <c r="CD71" s="275"/>
      <c r="CE71" s="277"/>
      <c r="CW71" s="239"/>
      <c r="CX71" s="239"/>
      <c r="CY71" s="239"/>
      <c r="CZ71" s="275"/>
    </row>
    <row r="72" spans="1:104" s="238" customFormat="1">
      <c r="A72" s="63" t="s">
        <v>198</v>
      </c>
      <c r="AD72" s="238">
        <f t="shared" ref="AD72:CC72" si="113">AD70/Z70-1</f>
      </c>
      <c r="AE72" s="238">
        <f t="shared" si="113"/>
      </c>
      <c r="AF72" s="238">
        <f t="shared" si="113"/>
      </c>
      <c r="AG72" s="238">
        <f t="shared" si="113"/>
      </c>
      <c r="AH72" s="238">
        <f t="shared" si="113"/>
      </c>
      <c r="AI72" s="238">
        <f t="shared" si="113"/>
      </c>
      <c r="AJ72" s="238">
        <f t="shared" si="113"/>
      </c>
      <c r="AK72" s="238">
        <f t="shared" si="113"/>
      </c>
      <c r="AL72" s="238">
        <f t="shared" si="113"/>
      </c>
      <c r="AM72" s="238">
        <f t="shared" si="113"/>
      </c>
      <c r="AN72" s="238">
        <f t="shared" si="113"/>
      </c>
      <c r="AO72" s="238">
        <f t="shared" si="113"/>
      </c>
      <c r="AP72" s="238">
        <f t="shared" si="113"/>
      </c>
      <c r="AQ72" s="238">
        <f t="shared" si="113"/>
      </c>
      <c r="AR72" s="238">
        <f t="shared" si="113"/>
      </c>
      <c r="AS72" s="238">
        <f t="shared" si="113"/>
      </c>
      <c r="AT72" s="238">
        <f t="shared" si="113"/>
      </c>
      <c r="AU72" s="238">
        <f t="shared" si="113"/>
      </c>
      <c r="AV72" s="238">
        <f t="shared" si="113"/>
      </c>
      <c r="AW72" s="238">
        <f t="shared" si="113"/>
      </c>
      <c r="AX72" s="238">
        <f t="shared" si="113"/>
      </c>
      <c r="AY72" s="238">
        <f t="shared" si="113"/>
      </c>
      <c r="AZ72" s="238">
        <f t="shared" si="113"/>
      </c>
      <c r="BA72" s="238">
        <f t="shared" si="113"/>
      </c>
      <c r="BB72" s="238">
        <f t="shared" si="113"/>
      </c>
      <c r="BC72" s="238">
        <f t="shared" si="113"/>
      </c>
      <c r="BD72" s="238">
        <f t="shared" si="113"/>
      </c>
      <c r="BE72" s="238">
        <f t="shared" si="113"/>
      </c>
      <c r="BF72" s="238">
        <f t="shared" si="113"/>
      </c>
      <c r="BG72" s="238">
        <f>BG70/BC70-1</f>
      </c>
      <c r="BH72" s="238">
        <f>BH70/BD70-1</f>
      </c>
      <c r="BI72" s="238">
        <f t="shared" si="113"/>
      </c>
      <c r="BJ72" s="238">
        <f t="shared" si="113"/>
      </c>
      <c r="BK72" s="238">
        <f t="shared" si="113"/>
      </c>
      <c r="BL72" s="238">
        <f t="shared" si="113"/>
      </c>
      <c r="BM72" s="238">
        <f t="shared" si="113"/>
      </c>
      <c r="BN72" s="238">
        <f t="shared" si="113"/>
      </c>
      <c r="BO72" s="238">
        <f t="shared" si="113"/>
      </c>
      <c r="BP72" s="238">
        <f t="shared" si="113"/>
      </c>
      <c r="BQ72" s="238">
        <f t="shared" si="113"/>
      </c>
      <c r="BR72" s="238">
        <f t="shared" si="113"/>
      </c>
      <c r="BS72" s="238">
        <f t="shared" si="113"/>
      </c>
      <c r="BT72" s="239">
        <f t="shared" si="113"/>
      </c>
      <c r="BU72" s="239">
        <f t="shared" si="113"/>
      </c>
      <c r="BV72" s="239">
        <f t="shared" si="113"/>
      </c>
      <c r="BW72" s="239">
        <f t="shared" si="113"/>
      </c>
      <c r="BX72" s="239">
        <f t="shared" si="113"/>
      </c>
      <c r="BY72" s="239">
        <f t="shared" si="113"/>
      </c>
      <c r="BZ72" s="239">
        <f t="shared" si="113"/>
      </c>
      <c r="CA72" s="239">
        <f t="shared" si="113"/>
      </c>
      <c r="CB72" s="239">
        <f t="shared" si="113"/>
      </c>
      <c r="CC72" s="239">
        <f t="shared" si="113"/>
      </c>
      <c r="CD72" s="275"/>
      <c r="CE72" s="277"/>
      <c r="CM72" s="238">
        <f t="shared" ref="CM72:CY72" si="114">CM70/CL70-1</f>
      </c>
      <c r="CN72" s="238">
        <f t="shared" si="114"/>
      </c>
      <c r="CO72" s="238">
        <f t="shared" si="114"/>
      </c>
      <c r="CP72" s="238">
        <f t="shared" si="114"/>
      </c>
      <c r="CQ72" s="238">
        <f t="shared" si="114"/>
      </c>
      <c r="CR72" s="238">
        <f t="shared" si="114"/>
      </c>
      <c r="CS72" s="238">
        <f t="shared" si="114"/>
      </c>
      <c r="CT72" s="238">
        <f t="shared" si="114"/>
      </c>
      <c r="CU72" s="238">
        <f t="shared" si="114"/>
      </c>
      <c r="CV72" s="238">
        <f t="shared" si="114"/>
      </c>
      <c r="CW72" s="239">
        <f t="shared" si="114"/>
      </c>
      <c r="CX72" s="239">
        <f t="shared" si="114"/>
      </c>
      <c r="CY72" s="239">
        <f t="shared" si="114"/>
      </c>
      <c r="CZ72" s="275"/>
    </row>
    <row r="73" spans="1:104" s="261" customFormat="1">
      <c r="A73" s="274" t="s">
        <v>226</v>
      </c>
      <c r="B73" s="235"/>
      <c r="C73" s="235"/>
      <c r="D73" s="235"/>
      <c r="E73" s="235"/>
      <c r="F73" s="235"/>
      <c r="G73" s="235"/>
      <c r="H73" s="235"/>
      <c r="I73" s="235"/>
      <c r="J73" s="235"/>
      <c r="K73" s="235"/>
      <c r="L73" s="235"/>
      <c r="M73" s="235"/>
      <c r="N73" s="235"/>
      <c r="O73" s="235"/>
      <c r="P73" s="235"/>
      <c r="Q73" s="235"/>
      <c r="R73" s="235"/>
      <c r="S73" s="235"/>
      <c r="T73" s="235"/>
      <c r="U73" s="235"/>
      <c r="V73" s="235"/>
      <c r="W73" s="235"/>
      <c r="X73" s="235"/>
      <c r="Y73" s="235"/>
      <c r="Z73" s="235">
        <f t="shared" ref="Z73:BY73" si="115">Z82/Z59*1000</f>
      </c>
      <c r="AA73" s="235">
        <f t="shared" si="115"/>
      </c>
      <c r="AB73" s="235">
        <f t="shared" si="115"/>
      </c>
      <c r="AC73" s="235">
        <f t="shared" si="115"/>
      </c>
      <c r="AD73" s="235">
        <f t="shared" si="115"/>
      </c>
      <c r="AE73" s="235">
        <f t="shared" si="115"/>
      </c>
      <c r="AF73" s="235">
        <f t="shared" si="115"/>
      </c>
      <c r="AG73" s="235">
        <f t="shared" si="115"/>
      </c>
      <c r="AH73" s="235">
        <f t="shared" si="115"/>
      </c>
      <c r="AI73" s="235">
        <f t="shared" si="115"/>
      </c>
      <c r="AJ73" s="235">
        <f t="shared" si="115"/>
      </c>
      <c r="AK73" s="235">
        <f t="shared" si="115"/>
      </c>
      <c r="AL73" s="235">
        <f t="shared" si="115"/>
      </c>
      <c r="AM73" s="235">
        <f t="shared" si="115"/>
      </c>
      <c r="AN73" s="235">
        <f t="shared" si="115"/>
      </c>
      <c r="AO73" s="235">
        <f t="shared" si="115"/>
      </c>
      <c r="AP73" s="235">
        <f t="shared" si="115"/>
      </c>
      <c r="AQ73" s="235">
        <f t="shared" si="115"/>
      </c>
      <c r="AR73" s="235">
        <f t="shared" si="115"/>
      </c>
      <c r="AS73" s="235">
        <f t="shared" si="115"/>
      </c>
      <c r="AT73" s="235">
        <f t="shared" si="115"/>
      </c>
      <c r="AU73" s="235">
        <f t="shared" si="115"/>
      </c>
      <c r="AV73" s="235">
        <f t="shared" si="115"/>
      </c>
      <c r="AW73" s="235">
        <f t="shared" si="115"/>
      </c>
      <c r="AX73" s="235">
        <f t="shared" si="115"/>
      </c>
      <c r="AY73" s="235">
        <f t="shared" si="115"/>
      </c>
      <c r="AZ73" s="235">
        <f t="shared" si="115"/>
      </c>
      <c r="BA73" s="235">
        <f t="shared" si="115"/>
      </c>
      <c r="BB73" s="235">
        <f t="shared" si="115"/>
      </c>
      <c r="BC73" s="235">
        <f t="shared" si="115"/>
      </c>
      <c r="BD73" s="235">
        <f t="shared" si="115"/>
      </c>
      <c r="BE73" s="235">
        <f t="shared" si="115"/>
      </c>
      <c r="BF73" s="235">
        <f t="shared" si="115"/>
      </c>
      <c r="BG73" s="235">
        <f>BG82/BG59*1000</f>
      </c>
      <c r="BH73" s="235">
        <f>BH82/BH59*1000</f>
      </c>
      <c r="BI73" s="235">
        <f t="shared" si="115"/>
      </c>
      <c r="BJ73" s="235">
        <f t="shared" si="115"/>
      </c>
      <c r="BK73" s="235">
        <f t="shared" si="115"/>
      </c>
      <c r="BL73" s="235">
        <f t="shared" si="115"/>
      </c>
      <c r="BM73" s="235">
        <f t="shared" si="115"/>
      </c>
      <c r="BN73" s="235">
        <f t="shared" si="115"/>
      </c>
      <c r="BO73" s="235">
        <f t="shared" si="115"/>
      </c>
      <c r="BP73" s="235">
        <f t="shared" si="115"/>
      </c>
      <c r="BQ73" s="235">
        <f t="shared" si="115"/>
      </c>
      <c r="BR73" s="235">
        <f t="shared" si="115"/>
      </c>
      <c r="BS73" s="235">
        <f t="shared" si="115"/>
      </c>
      <c r="BT73" s="236">
        <f t="shared" si="115"/>
      </c>
      <c r="BU73" s="236">
        <f t="shared" si="115"/>
      </c>
      <c r="BV73" s="236">
        <f t="shared" si="115"/>
      </c>
      <c r="BW73" s="236">
        <f t="shared" si="115"/>
      </c>
      <c r="BX73" s="236">
        <f t="shared" si="115"/>
      </c>
      <c r="BY73" s="236">
        <f t="shared" si="115"/>
      </c>
      <c r="BZ73" s="236">
        <f>BZ82/BZ59*1000</f>
      </c>
      <c r="CA73" s="236">
        <f>CA82/CA59*1000</f>
      </c>
      <c r="CB73" s="236">
        <f>CB82/CB59*1000</f>
      </c>
      <c r="CC73" s="236">
        <f>CC82/CC59*1000</f>
      </c>
      <c r="CD73" s="283"/>
      <c r="CE73" s="251"/>
      <c r="CF73" s="235"/>
      <c r="CG73" s="235"/>
      <c r="CH73" s="235"/>
      <c r="CI73" s="235"/>
      <c r="CJ73" s="235"/>
      <c r="CK73" s="235"/>
      <c r="CL73" s="235">
        <f t="shared" ref="CL73:CV73" si="116">CL82/CL59*1000</f>
      </c>
      <c r="CM73" s="235">
        <f t="shared" si="116"/>
      </c>
      <c r="CN73" s="235">
        <f t="shared" si="116"/>
      </c>
      <c r="CO73" s="235">
        <f t="shared" si="116"/>
      </c>
      <c r="CP73" s="235">
        <f t="shared" si="116"/>
      </c>
      <c r="CQ73" s="235">
        <f t="shared" si="116"/>
      </c>
      <c r="CR73" s="235">
        <f t="shared" si="116"/>
      </c>
      <c r="CS73" s="235">
        <f t="shared" si="116"/>
      </c>
      <c r="CT73" s="235">
        <f t="shared" si="116"/>
      </c>
      <c r="CU73" s="235">
        <f t="shared" si="116"/>
      </c>
      <c r="CV73" s="235">
        <f t="shared" si="116"/>
      </c>
      <c r="CW73" s="236">
        <f>CW82/CW59*1000</f>
      </c>
      <c r="CX73" s="236">
        <f>CX82/CX59*1000</f>
      </c>
      <c r="CY73" s="236">
        <f>CY82/CY59*1000</f>
      </c>
      <c r="CZ73" s="283"/>
    </row>
    <row r="74" spans="1:104" s="276" customFormat="1">
      <c r="A74" s="277" t="s">
        <v>196</v>
      </c>
      <c r="B74" s="238"/>
      <c r="C74" s="238"/>
      <c r="D74" s="238"/>
      <c r="E74" s="238"/>
      <c r="F74" s="238"/>
      <c r="G74" s="238"/>
      <c r="H74" s="238"/>
      <c r="I74" s="238"/>
      <c r="J74" s="238"/>
      <c r="K74" s="238"/>
      <c r="L74" s="238"/>
      <c r="M74" s="238"/>
      <c r="N74" s="238"/>
      <c r="O74" s="238"/>
      <c r="P74" s="238"/>
      <c r="Q74" s="238"/>
      <c r="R74" s="238"/>
      <c r="S74" s="238"/>
      <c r="T74" s="238"/>
      <c r="U74" s="238"/>
      <c r="V74" s="238"/>
      <c r="W74" s="238"/>
      <c r="X74" s="238"/>
      <c r="Y74" s="238"/>
      <c r="Z74" s="238"/>
      <c r="AA74" s="238">
        <f t="shared" ref="AA74:CC74" si="117">AA73/Z73-1</f>
      </c>
      <c r="AB74" s="238">
        <f t="shared" si="117"/>
      </c>
      <c r="AC74" s="238">
        <f t="shared" si="117"/>
      </c>
      <c r="AD74" s="238">
        <f t="shared" si="117"/>
      </c>
      <c r="AE74" s="238">
        <f t="shared" si="117"/>
      </c>
      <c r="AF74" s="238">
        <f t="shared" si="117"/>
      </c>
      <c r="AG74" s="238">
        <f t="shared" si="117"/>
      </c>
      <c r="AH74" s="238">
        <f t="shared" si="117"/>
      </c>
      <c r="AI74" s="238">
        <f t="shared" si="117"/>
      </c>
      <c r="AJ74" s="238">
        <f t="shared" si="117"/>
      </c>
      <c r="AK74" s="238">
        <f t="shared" si="117"/>
      </c>
      <c r="AL74" s="238">
        <f t="shared" si="117"/>
      </c>
      <c r="AM74" s="238">
        <f t="shared" si="117"/>
      </c>
      <c r="AN74" s="238">
        <f t="shared" si="117"/>
      </c>
      <c r="AO74" s="238">
        <f t="shared" si="117"/>
      </c>
      <c r="AP74" s="238">
        <f t="shared" si="117"/>
      </c>
      <c r="AQ74" s="238">
        <f t="shared" si="117"/>
      </c>
      <c r="AR74" s="238">
        <f t="shared" si="117"/>
      </c>
      <c r="AS74" s="238">
        <f t="shared" si="117"/>
      </c>
      <c r="AT74" s="238">
        <f t="shared" si="117"/>
      </c>
      <c r="AU74" s="238">
        <f t="shared" si="117"/>
      </c>
      <c r="AV74" s="238">
        <f t="shared" si="117"/>
      </c>
      <c r="AW74" s="238">
        <f t="shared" si="117"/>
      </c>
      <c r="AX74" s="238">
        <f t="shared" si="117"/>
      </c>
      <c r="AY74" s="238">
        <f t="shared" si="117"/>
      </c>
      <c r="AZ74" s="238">
        <f t="shared" si="117"/>
      </c>
      <c r="BA74" s="238">
        <f t="shared" si="117"/>
      </c>
      <c r="BB74" s="238">
        <f t="shared" si="117"/>
      </c>
      <c r="BC74" s="238">
        <f t="shared" si="117"/>
      </c>
      <c r="BD74" s="238">
        <f t="shared" si="117"/>
      </c>
      <c r="BE74" s="238">
        <f t="shared" si="117"/>
      </c>
      <c r="BF74" s="238">
        <f t="shared" si="117"/>
      </c>
      <c r="BG74" s="238">
        <f>BG73/BF73-1</f>
      </c>
      <c r="BH74" s="238">
        <f>BH73/BG73-1</f>
      </c>
      <c r="BI74" s="238">
        <f t="shared" si="117"/>
      </c>
      <c r="BJ74" s="238">
        <f t="shared" si="117"/>
      </c>
      <c r="BK74" s="238">
        <f t="shared" si="117"/>
      </c>
      <c r="BL74" s="238">
        <f t="shared" si="117"/>
      </c>
      <c r="BM74" s="238">
        <f t="shared" si="117"/>
      </c>
      <c r="BN74" s="238">
        <f t="shared" si="117"/>
      </c>
      <c r="BO74" s="238">
        <f t="shared" si="117"/>
      </c>
      <c r="BP74" s="238">
        <f t="shared" si="117"/>
      </c>
      <c r="BQ74" s="238">
        <f t="shared" si="117"/>
      </c>
      <c r="BR74" s="238">
        <f t="shared" si="117"/>
      </c>
      <c r="BS74" s="238">
        <f t="shared" si="117"/>
      </c>
      <c r="BT74" s="239">
        <f t="shared" si="117"/>
      </c>
      <c r="BU74" s="239">
        <f t="shared" si="117"/>
      </c>
      <c r="BV74" s="239">
        <f t="shared" si="117"/>
      </c>
      <c r="BW74" s="239">
        <f t="shared" si="117"/>
      </c>
      <c r="BX74" s="239">
        <f t="shared" si="117"/>
      </c>
      <c r="BY74" s="239">
        <f t="shared" si="117"/>
      </c>
      <c r="BZ74" s="239">
        <f t="shared" si="117"/>
      </c>
      <c r="CA74" s="239">
        <f t="shared" si="117"/>
      </c>
      <c r="CB74" s="239">
        <f t="shared" si="117"/>
      </c>
      <c r="CC74" s="239">
        <f t="shared" si="117"/>
      </c>
      <c r="CD74" s="275"/>
      <c r="CE74" s="277"/>
      <c r="CF74" s="239"/>
      <c r="CG74" s="239"/>
      <c r="CH74" s="239"/>
      <c r="CI74" s="239"/>
      <c r="CJ74" s="239"/>
      <c r="CK74" s="239"/>
      <c r="CL74" s="239"/>
      <c r="CM74" s="244"/>
      <c r="CN74" s="241"/>
      <c r="CO74" s="244"/>
      <c r="CP74" s="244"/>
      <c r="CQ74" s="244"/>
      <c r="CR74" s="244"/>
      <c r="CS74" s="244"/>
      <c r="CT74" s="244"/>
      <c r="CU74" s="244"/>
      <c r="CV74" s="244"/>
      <c r="CW74" s="247"/>
      <c r="CX74" s="247"/>
      <c r="CY74" s="247"/>
      <c r="CZ74" s="275"/>
    </row>
    <row r="75" spans="1:104" s="276" customFormat="1">
      <c r="A75" s="277" t="s">
        <v>198</v>
      </c>
      <c r="B75" s="238"/>
      <c r="C75" s="238"/>
      <c r="D75" s="238"/>
      <c r="E75" s="238"/>
      <c r="F75" s="238"/>
      <c r="G75" s="238"/>
      <c r="H75" s="238"/>
      <c r="I75" s="238"/>
      <c r="J75" s="238"/>
      <c r="K75" s="238"/>
      <c r="L75" s="238"/>
      <c r="M75" s="238"/>
      <c r="N75" s="238"/>
      <c r="O75" s="238"/>
      <c r="P75" s="238"/>
      <c r="Q75" s="238"/>
      <c r="R75" s="238"/>
      <c r="S75" s="238"/>
      <c r="T75" s="238"/>
      <c r="U75" s="238"/>
      <c r="V75" s="238"/>
      <c r="W75" s="238"/>
      <c r="X75" s="238"/>
      <c r="Y75" s="238"/>
      <c r="Z75" s="238"/>
      <c r="AA75" s="238"/>
      <c r="AB75" s="238"/>
      <c r="AC75" s="238"/>
      <c r="AD75" s="238">
        <f t="shared" ref="AD75:CC75" si="118">AD73/Z73-1</f>
      </c>
      <c r="AE75" s="238">
        <f t="shared" si="118"/>
      </c>
      <c r="AF75" s="238">
        <f t="shared" si="118"/>
      </c>
      <c r="AG75" s="238">
        <f t="shared" si="118"/>
      </c>
      <c r="AH75" s="238">
        <f t="shared" si="118"/>
      </c>
      <c r="AI75" s="238">
        <f t="shared" si="118"/>
      </c>
      <c r="AJ75" s="238">
        <f t="shared" si="118"/>
      </c>
      <c r="AK75" s="238">
        <f t="shared" si="118"/>
      </c>
      <c r="AL75" s="238">
        <f t="shared" si="118"/>
      </c>
      <c r="AM75" s="238">
        <f t="shared" si="118"/>
      </c>
      <c r="AN75" s="238">
        <f t="shared" si="118"/>
      </c>
      <c r="AO75" s="238">
        <f t="shared" si="118"/>
      </c>
      <c r="AP75" s="238">
        <f t="shared" si="118"/>
      </c>
      <c r="AQ75" s="238">
        <f t="shared" si="118"/>
      </c>
      <c r="AR75" s="238">
        <f t="shared" si="118"/>
      </c>
      <c r="AS75" s="238">
        <f t="shared" si="118"/>
      </c>
      <c r="AT75" s="238">
        <f t="shared" si="118"/>
      </c>
      <c r="AU75" s="238">
        <f t="shared" si="118"/>
      </c>
      <c r="AV75" s="238">
        <f t="shared" si="118"/>
      </c>
      <c r="AW75" s="238">
        <f t="shared" si="118"/>
      </c>
      <c r="AX75" s="238">
        <f t="shared" si="118"/>
      </c>
      <c r="AY75" s="238">
        <f t="shared" si="118"/>
      </c>
      <c r="AZ75" s="238">
        <f t="shared" si="118"/>
      </c>
      <c r="BA75" s="238">
        <f t="shared" si="118"/>
      </c>
      <c r="BB75" s="238">
        <f t="shared" si="118"/>
      </c>
      <c r="BC75" s="238">
        <f t="shared" si="118"/>
      </c>
      <c r="BD75" s="238">
        <f t="shared" si="118"/>
      </c>
      <c r="BE75" s="238">
        <f t="shared" si="118"/>
      </c>
      <c r="BF75" s="238">
        <f t="shared" si="118"/>
      </c>
      <c r="BG75" s="238">
        <f>BG73/BC73-1</f>
      </c>
      <c r="BH75" s="238">
        <f>BH73/BD73-1</f>
      </c>
      <c r="BI75" s="238">
        <f t="shared" si="118"/>
      </c>
      <c r="BJ75" s="238">
        <f t="shared" si="118"/>
      </c>
      <c r="BK75" s="238">
        <f t="shared" si="118"/>
      </c>
      <c r="BL75" s="238">
        <f t="shared" si="118"/>
      </c>
      <c r="BM75" s="238">
        <f t="shared" si="118"/>
      </c>
      <c r="BN75" s="238">
        <f t="shared" si="118"/>
      </c>
      <c r="BO75" s="238">
        <f t="shared" si="118"/>
      </c>
      <c r="BP75" s="238">
        <f t="shared" si="118"/>
      </c>
      <c r="BQ75" s="238">
        <f t="shared" si="118"/>
      </c>
      <c r="BR75" s="238">
        <f t="shared" si="118"/>
      </c>
      <c r="BS75" s="238">
        <f t="shared" si="118"/>
      </c>
      <c r="BT75" s="239">
        <f t="shared" si="118"/>
      </c>
      <c r="BU75" s="239">
        <f t="shared" si="118"/>
      </c>
      <c r="BV75" s="239">
        <f t="shared" si="118"/>
      </c>
      <c r="BW75" s="239">
        <f t="shared" si="118"/>
      </c>
      <c r="BX75" s="239">
        <f t="shared" si="118"/>
      </c>
      <c r="BY75" s="239">
        <f t="shared" si="118"/>
      </c>
      <c r="BZ75" s="239">
        <f t="shared" si="118"/>
      </c>
      <c r="CA75" s="239">
        <f t="shared" si="118"/>
      </c>
      <c r="CB75" s="239">
        <f t="shared" si="118"/>
      </c>
      <c r="CC75" s="239">
        <f t="shared" si="118"/>
      </c>
      <c r="CD75" s="275"/>
      <c r="CE75" s="277"/>
      <c r="CF75" s="238"/>
      <c r="CG75" s="238"/>
      <c r="CH75" s="238"/>
      <c r="CI75" s="238"/>
      <c r="CJ75" s="238"/>
      <c r="CK75" s="238"/>
      <c r="CL75" s="238"/>
      <c r="CM75" s="238">
        <f t="shared" ref="CM75:CY75" si="119">CM73/CL73-1</f>
      </c>
      <c r="CN75" s="238">
        <f t="shared" si="119"/>
      </c>
      <c r="CO75" s="238">
        <f t="shared" si="119"/>
      </c>
      <c r="CP75" s="238">
        <f t="shared" si="119"/>
      </c>
      <c r="CQ75" s="238">
        <f t="shared" si="119"/>
      </c>
      <c r="CR75" s="238">
        <f t="shared" si="119"/>
      </c>
      <c r="CS75" s="238">
        <f t="shared" si="119"/>
      </c>
      <c r="CT75" s="238">
        <f t="shared" si="119"/>
      </c>
      <c r="CU75" s="238">
        <f t="shared" si="119"/>
      </c>
      <c r="CV75" s="238">
        <f t="shared" si="119"/>
      </c>
      <c r="CW75" s="239">
        <f t="shared" si="119"/>
      </c>
      <c r="CX75" s="239">
        <f t="shared" si="119"/>
      </c>
      <c r="CY75" s="239">
        <f t="shared" si="119"/>
      </c>
      <c r="CZ75" s="275"/>
    </row>
    <row r="76" spans="1:104" s="261" customFormat="1">
      <c r="A76" s="274" t="s">
        <v>230</v>
      </c>
      <c r="B76" s="235"/>
      <c r="C76" s="235"/>
      <c r="D76" s="235"/>
      <c r="E76" s="235"/>
      <c r="F76" s="235"/>
      <c r="G76" s="235"/>
      <c r="H76" s="235"/>
      <c r="I76" s="235"/>
      <c r="J76" s="235"/>
      <c r="K76" s="235"/>
      <c r="L76" s="235"/>
      <c r="M76" s="235"/>
      <c r="N76" s="235"/>
      <c r="O76" s="235"/>
      <c r="P76" s="235"/>
      <c r="Q76" s="235"/>
      <c r="R76" s="235"/>
      <c r="S76" s="235"/>
      <c r="T76" s="235"/>
      <c r="U76" s="235"/>
      <c r="V76" s="235"/>
      <c r="W76" s="235"/>
      <c r="X76" s="235"/>
      <c r="Y76" s="235"/>
      <c r="Z76" s="235" t="e">
        <f t="shared" ref="Z76:BY76" si="120">Z85/Z64*1000</f>
      </c>
      <c r="AA76" s="235" t="e">
        <f t="shared" si="120"/>
      </c>
      <c r="AB76" s="235" t="e">
        <f t="shared" si="120"/>
      </c>
      <c r="AC76" s="235" t="e">
        <f t="shared" si="120"/>
      </c>
      <c r="AD76" s="235" t="e">
        <f t="shared" si="120"/>
      </c>
      <c r="AE76" s="235" t="e">
        <f t="shared" si="120"/>
      </c>
      <c r="AF76" s="235" t="e">
        <f t="shared" si="120"/>
      </c>
      <c r="AG76" s="235" t="e">
        <f t="shared" si="120"/>
      </c>
      <c r="AH76" s="235" t="e">
        <f t="shared" si="120"/>
      </c>
      <c r="AI76" s="235" t="e">
        <f t="shared" si="120"/>
      </c>
      <c r="AJ76" s="235" t="e">
        <f t="shared" si="120"/>
      </c>
      <c r="AK76" s="235" t="e">
        <f t="shared" si="120"/>
      </c>
      <c r="AL76" s="235" t="e">
        <f t="shared" si="120"/>
      </c>
      <c r="AM76" s="235" t="e">
        <f t="shared" si="120"/>
      </c>
      <c r="AN76" s="235">
        <f t="shared" si="120"/>
      </c>
      <c r="AO76" s="235">
        <f t="shared" si="120"/>
      </c>
      <c r="AP76" s="235">
        <f t="shared" si="120"/>
      </c>
      <c r="AQ76" s="235" t="e">
        <f t="shared" si="120"/>
      </c>
      <c r="AR76" s="235" t="e">
        <f t="shared" si="120"/>
      </c>
      <c r="AS76" s="235" t="e">
        <f t="shared" si="120"/>
      </c>
      <c r="AT76" s="235" t="e">
        <f t="shared" si="120"/>
      </c>
      <c r="AU76" s="235" t="e">
        <f t="shared" si="120"/>
      </c>
      <c r="AV76" s="235" t="e">
        <f t="shared" si="120"/>
      </c>
      <c r="AW76" s="235" t="e">
        <f t="shared" si="120"/>
      </c>
      <c r="AX76" s="235" t="e">
        <f t="shared" si="120"/>
      </c>
      <c r="AY76" s="235" t="e">
        <f t="shared" si="120"/>
      </c>
      <c r="AZ76" s="235" t="e">
        <f t="shared" si="120"/>
      </c>
      <c r="BA76" s="235">
        <f t="shared" si="120"/>
      </c>
      <c r="BB76" s="235">
        <f t="shared" si="120"/>
      </c>
      <c r="BC76" s="235">
        <f t="shared" si="120"/>
      </c>
      <c r="BD76" s="235">
        <f t="shared" si="120"/>
      </c>
      <c r="BE76" s="235">
        <f t="shared" si="120"/>
      </c>
      <c r="BF76" s="235" t="e">
        <f t="shared" si="120"/>
      </c>
      <c r="BG76" s="235" t="e">
        <f>BG85/BG64*1000</f>
      </c>
      <c r="BH76" s="235" t="e">
        <f>BH85/BH64*1000</f>
      </c>
      <c r="BI76" s="235" t="e">
        <f t="shared" si="120"/>
      </c>
      <c r="BJ76" s="235" t="e">
        <f t="shared" si="120"/>
      </c>
      <c r="BK76" s="235" t="e">
        <f t="shared" si="120"/>
      </c>
      <c r="BL76" s="235" t="e">
        <f t="shared" si="120"/>
      </c>
      <c r="BM76" s="235" t="e">
        <f t="shared" si="120"/>
      </c>
      <c r="BN76" s="235" t="e">
        <f t="shared" si="120"/>
      </c>
      <c r="BO76" s="235" t="e">
        <f t="shared" si="120"/>
      </c>
      <c r="BP76" s="235" t="e">
        <f t="shared" si="120"/>
      </c>
      <c r="BQ76" s="235" t="e">
        <f t="shared" si="120"/>
      </c>
      <c r="BR76" s="235" t="e">
        <f t="shared" si="120"/>
      </c>
      <c r="BS76" s="235" t="e">
        <f t="shared" si="120"/>
      </c>
      <c r="BT76" s="236" t="e">
        <f t="shared" si="120"/>
      </c>
      <c r="BU76" s="236" t="e">
        <f t="shared" si="120"/>
      </c>
      <c r="BV76" s="236" t="e">
        <f t="shared" si="120"/>
      </c>
      <c r="BW76" s="236" t="e">
        <f t="shared" si="120"/>
      </c>
      <c r="BX76" s="236" t="e">
        <f t="shared" si="120"/>
      </c>
      <c r="BY76" s="236" t="e">
        <f t="shared" si="120"/>
      </c>
      <c r="BZ76" s="236" t="e">
        <f>BZ85/BZ64*1000</f>
      </c>
      <c r="CA76" s="236" t="e">
        <f>CA85/CA64*1000</f>
      </c>
      <c r="CB76" s="236" t="e">
        <f>CB85/CB64*1000</f>
      </c>
      <c r="CC76" s="236" t="e">
        <f>CC85/CC64*1000</f>
      </c>
      <c r="CD76" s="283"/>
      <c r="CE76" s="251"/>
      <c r="CF76" s="235"/>
      <c r="CG76" s="235"/>
      <c r="CH76" s="235"/>
      <c r="CI76" s="235"/>
      <c r="CJ76" s="235"/>
      <c r="CK76" s="235"/>
      <c r="CL76" s="235" t="e">
        <f t="shared" ref="CL76:CV76" si="121">CL85/CL64*1000</f>
      </c>
      <c r="CM76" s="235" t="e">
        <f t="shared" si="121"/>
      </c>
      <c r="CN76" s="235" t="e">
        <f t="shared" si="121"/>
      </c>
      <c r="CO76" s="235">
        <f t="shared" si="121"/>
      </c>
      <c r="CP76" s="235">
        <f t="shared" si="121"/>
      </c>
      <c r="CQ76" s="235" t="e">
        <f t="shared" si="121"/>
      </c>
      <c r="CR76" s="235">
        <f t="shared" si="121"/>
      </c>
      <c r="CS76" s="235">
        <f t="shared" si="121"/>
      </c>
      <c r="CT76" s="235" t="e">
        <f t="shared" si="121"/>
      </c>
      <c r="CU76" s="235" t="e">
        <f t="shared" si="121"/>
      </c>
      <c r="CV76" s="235" t="e">
        <f t="shared" si="121"/>
      </c>
      <c r="CW76" s="236" t="e">
        <f>CW85/CW64*1000</f>
      </c>
      <c r="CX76" s="236" t="e">
        <f>CX85/CX64*1000</f>
      </c>
      <c r="CY76" s="236" t="e">
        <f>CY85/CY64*1000</f>
      </c>
      <c r="CZ76" s="283"/>
    </row>
    <row r="77" spans="1:104" s="276" customFormat="1">
      <c r="A77" s="277" t="s">
        <v>196</v>
      </c>
      <c r="B77" s="238"/>
      <c r="C77" s="238"/>
      <c r="D77" s="238"/>
      <c r="E77" s="238"/>
      <c r="F77" s="238"/>
      <c r="G77" s="238"/>
      <c r="H77" s="238"/>
      <c r="I77" s="238"/>
      <c r="J77" s="238"/>
      <c r="K77" s="238"/>
      <c r="L77" s="238"/>
      <c r="M77" s="238"/>
      <c r="N77" s="238"/>
      <c r="O77" s="238"/>
      <c r="P77" s="238"/>
      <c r="Q77" s="238"/>
      <c r="R77" s="238"/>
      <c r="S77" s="238"/>
      <c r="T77" s="238"/>
      <c r="U77" s="238"/>
      <c r="V77" s="238"/>
      <c r="W77" s="238"/>
      <c r="X77" s="238"/>
      <c r="Y77" s="238"/>
      <c r="Z77" s="238"/>
      <c r="AA77" s="238" t="e">
        <f t="shared" ref="AA77:BE77" si="122">AA76/Z76-1</f>
      </c>
      <c r="AB77" s="238" t="e">
        <f t="shared" si="122"/>
      </c>
      <c r="AC77" s="238" t="e">
        <f t="shared" si="122"/>
      </c>
      <c r="AD77" s="238" t="e">
        <f t="shared" si="122"/>
      </c>
      <c r="AE77" s="238" t="e">
        <f t="shared" si="122"/>
      </c>
      <c r="AF77" s="238" t="e">
        <f t="shared" si="122"/>
      </c>
      <c r="AG77" s="238" t="e">
        <f t="shared" si="122"/>
      </c>
      <c r="AH77" s="238" t="e">
        <f t="shared" si="122"/>
      </c>
      <c r="AI77" s="238" t="e">
        <f t="shared" si="122"/>
      </c>
      <c r="AJ77" s="238" t="e">
        <f t="shared" si="122"/>
      </c>
      <c r="AK77" s="238" t="e">
        <f t="shared" si="122"/>
      </c>
      <c r="AL77" s="238" t="e">
        <f t="shared" si="122"/>
      </c>
      <c r="AM77" s="238" t="e">
        <f t="shared" si="122"/>
      </c>
      <c r="AN77" s="238" t="e">
        <f t="shared" si="122"/>
      </c>
      <c r="AO77" s="238">
        <f t="shared" si="122"/>
      </c>
      <c r="AP77" s="238">
        <f t="shared" si="122"/>
      </c>
      <c r="AQ77" s="238" t="e">
        <f t="shared" si="122"/>
      </c>
      <c r="AR77" s="238" t="e">
        <f t="shared" si="122"/>
      </c>
      <c r="AS77" s="238" t="e">
        <f t="shared" si="122"/>
      </c>
      <c r="AT77" s="238" t="e">
        <f t="shared" si="122"/>
      </c>
      <c r="AU77" s="238" t="e">
        <f t="shared" si="122"/>
      </c>
      <c r="AV77" s="238" t="e">
        <f t="shared" si="122"/>
      </c>
      <c r="AW77" s="238" t="e">
        <f t="shared" si="122"/>
      </c>
      <c r="AX77" s="238" t="e">
        <f t="shared" si="122"/>
      </c>
      <c r="AY77" s="238" t="e">
        <f t="shared" si="122"/>
      </c>
      <c r="AZ77" s="238" t="e">
        <f t="shared" si="122"/>
      </c>
      <c r="BA77" s="238" t="e">
        <f t="shared" si="122"/>
      </c>
      <c r="BB77" s="238">
        <f t="shared" si="122"/>
      </c>
      <c r="BC77" s="238">
        <f t="shared" si="122"/>
      </c>
      <c r="BD77" s="238">
        <f t="shared" si="122"/>
      </c>
      <c r="BE77" s="238">
        <f t="shared" si="122"/>
      </c>
      <c r="BF77" s="238" t="e">
        <f>BF76/BE76-1</f>
      </c>
      <c r="BG77" s="297" t="s">
        <v>197</v>
      </c>
      <c r="BH77" s="297" t="s">
        <v>197</v>
      </c>
      <c r="BI77" s="297" t="s">
        <v>197</v>
      </c>
      <c r="BJ77" s="297" t="s">
        <v>197</v>
      </c>
      <c r="BK77" s="297" t="s">
        <v>197</v>
      </c>
      <c r="BL77" s="297" t="s">
        <v>197</v>
      </c>
      <c r="BM77" s="297" t="s">
        <v>197</v>
      </c>
      <c r="BN77" s="297" t="s">
        <v>197</v>
      </c>
      <c r="BO77" s="297" t="s">
        <v>197</v>
      </c>
      <c r="BP77" s="297" t="s">
        <v>197</v>
      </c>
      <c r="BQ77" s="297" t="s">
        <v>197</v>
      </c>
      <c r="BR77" s="297" t="s">
        <v>197</v>
      </c>
      <c r="BS77" s="297" t="s">
        <v>197</v>
      </c>
      <c r="BT77" s="297" t="s">
        <v>197</v>
      </c>
      <c r="BU77" s="297" t="s">
        <v>197</v>
      </c>
      <c r="BV77" s="297" t="s">
        <v>197</v>
      </c>
      <c r="BW77" s="297" t="s">
        <v>197</v>
      </c>
      <c r="BX77" s="297" t="s">
        <v>197</v>
      </c>
      <c r="BY77" s="297" t="s">
        <v>197</v>
      </c>
      <c r="BZ77" s="297" t="s">
        <v>197</v>
      </c>
      <c r="CA77" s="297" t="s">
        <v>197</v>
      </c>
      <c r="CB77" s="297" t="s">
        <v>197</v>
      </c>
      <c r="CC77" s="297" t="s">
        <v>197</v>
      </c>
      <c r="CD77" s="275"/>
      <c r="CE77" s="277"/>
      <c r="CF77" s="239"/>
      <c r="CG77" s="239"/>
      <c r="CH77" s="239"/>
      <c r="CI77" s="239"/>
      <c r="CJ77" s="239"/>
      <c r="CK77" s="239"/>
      <c r="CL77" s="239"/>
      <c r="CM77" s="244"/>
      <c r="CN77" s="241"/>
      <c r="CO77" s="244"/>
      <c r="CP77" s="244"/>
      <c r="CQ77" s="244"/>
      <c r="CR77" s="244"/>
      <c r="CS77" s="244"/>
      <c r="CT77" s="244"/>
      <c r="CU77" s="244"/>
      <c r="CV77" s="244"/>
      <c r="CW77" s="247"/>
      <c r="CX77" s="247"/>
      <c r="CY77" s="247"/>
      <c r="CZ77" s="275"/>
    </row>
    <row r="78" spans="1:104" s="276" customFormat="1">
      <c r="A78" s="277" t="s">
        <v>198</v>
      </c>
      <c r="B78" s="238"/>
      <c r="C78" s="238"/>
      <c r="D78" s="238"/>
      <c r="E78" s="238"/>
      <c r="F78" s="238"/>
      <c r="G78" s="238"/>
      <c r="H78" s="238"/>
      <c r="I78" s="238"/>
      <c r="J78" s="238"/>
      <c r="K78" s="238"/>
      <c r="L78" s="238"/>
      <c r="M78" s="238"/>
      <c r="N78" s="238"/>
      <c r="O78" s="238"/>
      <c r="P78" s="238"/>
      <c r="Q78" s="238"/>
      <c r="R78" s="238"/>
      <c r="S78" s="238"/>
      <c r="T78" s="238"/>
      <c r="U78" s="238"/>
      <c r="V78" s="238"/>
      <c r="W78" s="238"/>
      <c r="X78" s="238"/>
      <c r="Y78" s="238"/>
      <c r="Z78" s="238"/>
      <c r="AA78" s="238"/>
      <c r="AB78" s="238"/>
      <c r="AC78" s="238"/>
      <c r="AD78" s="238" t="e">
        <f t="shared" ref="AD78:BE78" si="123">AD76/Z76-1</f>
      </c>
      <c r="AE78" s="238" t="e">
        <f t="shared" si="123"/>
      </c>
      <c r="AF78" s="238" t="e">
        <f t="shared" si="123"/>
      </c>
      <c r="AG78" s="238" t="e">
        <f t="shared" si="123"/>
      </c>
      <c r="AH78" s="238" t="e">
        <f t="shared" si="123"/>
      </c>
      <c r="AI78" s="238" t="e">
        <f t="shared" si="123"/>
      </c>
      <c r="AJ78" s="238" t="e">
        <f t="shared" si="123"/>
      </c>
      <c r="AK78" s="238" t="e">
        <f t="shared" si="123"/>
      </c>
      <c r="AL78" s="238" t="e">
        <f t="shared" si="123"/>
      </c>
      <c r="AM78" s="238" t="e">
        <f t="shared" si="123"/>
      </c>
      <c r="AN78" s="238" t="e">
        <f t="shared" si="123"/>
      </c>
      <c r="AO78" s="238" t="e">
        <f t="shared" si="123"/>
      </c>
      <c r="AP78" s="238" t="e">
        <f t="shared" si="123"/>
      </c>
      <c r="AQ78" s="238" t="e">
        <f t="shared" si="123"/>
      </c>
      <c r="AR78" s="238" t="e">
        <f t="shared" si="123"/>
      </c>
      <c r="AS78" s="238" t="e">
        <f t="shared" si="123"/>
      </c>
      <c r="AT78" s="238" t="e">
        <f t="shared" si="123"/>
      </c>
      <c r="AU78" s="238" t="e">
        <f t="shared" si="123"/>
      </c>
      <c r="AV78" s="238" t="e">
        <f t="shared" si="123"/>
      </c>
      <c r="AW78" s="238" t="e">
        <f t="shared" si="123"/>
      </c>
      <c r="AX78" s="238" t="e">
        <f t="shared" si="123"/>
      </c>
      <c r="AY78" s="238" t="e">
        <f t="shared" si="123"/>
      </c>
      <c r="AZ78" s="238" t="e">
        <f t="shared" si="123"/>
      </c>
      <c r="BA78" s="238" t="e">
        <f t="shared" si="123"/>
      </c>
      <c r="BB78" s="238" t="e">
        <f t="shared" si="123"/>
      </c>
      <c r="BC78" s="238" t="e">
        <f t="shared" si="123"/>
      </c>
      <c r="BD78" s="238" t="e">
        <f t="shared" si="123"/>
      </c>
      <c r="BE78" s="238">
        <f t="shared" si="123"/>
      </c>
      <c r="BF78" s="238" t="e">
        <f>BF76/BB76-1</f>
      </c>
      <c r="BG78" s="297" t="s">
        <v>197</v>
      </c>
      <c r="BH78" s="297" t="s">
        <v>197</v>
      </c>
      <c r="BI78" s="297" t="s">
        <v>197</v>
      </c>
      <c r="BJ78" s="297" t="s">
        <v>197</v>
      </c>
      <c r="BK78" s="297" t="s">
        <v>197</v>
      </c>
      <c r="BL78" s="297" t="s">
        <v>197</v>
      </c>
      <c r="BM78" s="297" t="s">
        <v>197</v>
      </c>
      <c r="BN78" s="297" t="s">
        <v>197</v>
      </c>
      <c r="BO78" s="297" t="s">
        <v>197</v>
      </c>
      <c r="BP78" s="297" t="s">
        <v>197</v>
      </c>
      <c r="BQ78" s="297" t="s">
        <v>197</v>
      </c>
      <c r="BR78" s="297" t="s">
        <v>197</v>
      </c>
      <c r="BS78" s="297" t="s">
        <v>197</v>
      </c>
      <c r="BT78" s="297" t="s">
        <v>197</v>
      </c>
      <c r="BU78" s="297" t="s">
        <v>197</v>
      </c>
      <c r="BV78" s="297" t="s">
        <v>197</v>
      </c>
      <c r="BW78" s="297" t="s">
        <v>197</v>
      </c>
      <c r="BX78" s="297" t="s">
        <v>197</v>
      </c>
      <c r="BY78" s="297" t="s">
        <v>197</v>
      </c>
      <c r="BZ78" s="297" t="s">
        <v>197</v>
      </c>
      <c r="CA78" s="297" t="s">
        <v>197</v>
      </c>
      <c r="CB78" s="297" t="s">
        <v>197</v>
      </c>
      <c r="CC78" s="297" t="s">
        <v>197</v>
      </c>
      <c r="CD78" s="275"/>
      <c r="CE78" s="277"/>
      <c r="CF78" s="238"/>
      <c r="CG78" s="238"/>
      <c r="CH78" s="238"/>
      <c r="CI78" s="238"/>
      <c r="CJ78" s="238"/>
      <c r="CK78" s="238"/>
      <c r="CL78" s="238"/>
      <c r="CM78" s="238" t="e">
        <f t="shared" ref="CM78:CY78" si="124">CM76/CL76-1</f>
      </c>
      <c r="CN78" s="238" t="e">
        <f t="shared" si="124"/>
      </c>
      <c r="CO78" s="238" t="e">
        <f t="shared" si="124"/>
      </c>
      <c r="CP78" s="238">
        <f t="shared" si="124"/>
      </c>
      <c r="CQ78" s="238" t="e">
        <f t="shared" si="124"/>
      </c>
      <c r="CR78" s="238" t="e">
        <f t="shared" si="124"/>
      </c>
      <c r="CS78" s="238">
        <f t="shared" si="124"/>
      </c>
      <c r="CT78" s="238" t="e">
        <f t="shared" si="124"/>
      </c>
      <c r="CU78" s="238" t="e">
        <f t="shared" si="124"/>
      </c>
      <c r="CV78" s="238" t="e">
        <f t="shared" si="124"/>
      </c>
      <c r="CW78" s="239" t="e">
        <f t="shared" si="124"/>
      </c>
      <c r="CX78" s="239" t="e">
        <f t="shared" si="124"/>
      </c>
      <c r="CY78" s="239" t="e">
        <f t="shared" si="124"/>
      </c>
      <c r="CZ78" s="275"/>
    </row>
    <row r="79" spans="1:104">
      <c r="A79" s="252" t="s">
        <v>541</v>
      </c>
      <c r="B79" s="281"/>
      <c r="C79" s="281"/>
      <c r="D79" s="281"/>
      <c r="E79" s="281"/>
      <c r="F79" s="281"/>
      <c r="G79" s="281"/>
      <c r="H79" s="281"/>
      <c r="I79" s="281"/>
      <c r="J79" s="281"/>
      <c r="K79" s="281"/>
      <c r="L79" s="281"/>
      <c r="M79" s="281"/>
      <c r="N79" s="281"/>
      <c r="O79" s="281"/>
      <c r="P79" s="281"/>
      <c r="Q79" s="281"/>
      <c r="R79" s="281"/>
      <c r="S79" s="281"/>
      <c r="T79" s="281"/>
      <c r="U79" s="281"/>
      <c r="V79" s="281"/>
      <c r="W79" s="281"/>
      <c r="X79" s="281"/>
      <c r="Y79" s="281"/>
      <c r="Z79" s="271">
        <f t="shared" ref="Z79:BY79" si="125">+Z82+Z85</f>
      </c>
      <c r="AA79" s="271">
        <f t="shared" si="125"/>
      </c>
      <c r="AB79" s="271">
        <f t="shared" si="125"/>
      </c>
      <c r="AC79" s="271">
        <f t="shared" si="125"/>
      </c>
      <c r="AD79" s="271">
        <f t="shared" si="125"/>
      </c>
      <c r="AE79" s="271">
        <f t="shared" si="125"/>
      </c>
      <c r="AF79" s="271">
        <f t="shared" si="125"/>
      </c>
      <c r="AG79" s="271">
        <f t="shared" si="125"/>
      </c>
      <c r="AH79" s="271">
        <f t="shared" si="125"/>
      </c>
      <c r="AI79" s="271">
        <f t="shared" si="125"/>
      </c>
      <c r="AJ79" s="271">
        <f t="shared" si="125"/>
      </c>
      <c r="AK79" s="271">
        <f t="shared" si="125"/>
      </c>
      <c r="AL79" s="271">
        <f t="shared" si="125"/>
      </c>
      <c r="AM79" s="271">
        <f t="shared" si="125"/>
      </c>
      <c r="AN79" s="271">
        <f t="shared" si="125"/>
      </c>
      <c r="AO79" s="271">
        <f t="shared" si="125"/>
      </c>
      <c r="AP79" s="271">
        <f t="shared" si="125"/>
      </c>
      <c r="AQ79" s="271">
        <f t="shared" si="125"/>
      </c>
      <c r="AR79" s="271">
        <f t="shared" si="125"/>
      </c>
      <c r="AS79" s="271">
        <f t="shared" si="125"/>
      </c>
      <c r="AT79" s="271">
        <f t="shared" si="125"/>
      </c>
      <c r="AU79" s="271">
        <f t="shared" si="125"/>
      </c>
      <c r="AV79" s="271">
        <f t="shared" si="125"/>
      </c>
      <c r="AW79" s="271">
        <f t="shared" si="125"/>
      </c>
      <c r="AX79" s="271">
        <f t="shared" si="125"/>
      </c>
      <c r="AY79" s="271">
        <f t="shared" si="125"/>
      </c>
      <c r="AZ79" s="271">
        <f t="shared" si="125"/>
      </c>
      <c r="BA79" s="271">
        <f t="shared" si="125"/>
      </c>
      <c r="BB79" s="271">
        <f t="shared" si="125"/>
      </c>
      <c r="BC79" s="271">
        <f>+BC82+BC85</f>
      </c>
      <c r="BD79" s="271">
        <f t="shared" si="125"/>
      </c>
      <c r="BE79" s="271">
        <f>+BE82+BE85</f>
      </c>
      <c r="BF79" s="271">
        <f>+BF82+BF85</f>
      </c>
      <c r="BG79" s="271">
        <f>+BG82+BG85</f>
      </c>
      <c r="BH79" s="271">
        <f>+BH82+BH85</f>
      </c>
      <c r="BI79" s="271">
        <f t="shared" si="125"/>
      </c>
      <c r="BJ79" s="271">
        <f t="shared" si="125"/>
      </c>
      <c r="BK79" s="271">
        <f t="shared" si="125"/>
      </c>
      <c r="BL79" s="271">
        <f t="shared" si="125"/>
      </c>
      <c r="BM79" s="271">
        <f t="shared" si="125"/>
      </c>
      <c r="BN79" s="271">
        <f t="shared" si="125"/>
      </c>
      <c r="BO79" s="271">
        <f t="shared" si="125"/>
      </c>
      <c r="BP79" s="271">
        <f t="shared" si="125"/>
      </c>
      <c r="BQ79" s="271">
        <f t="shared" si="125"/>
      </c>
      <c r="BR79" s="271">
        <f t="shared" si="125"/>
      </c>
      <c r="BS79" s="271">
        <f t="shared" si="125"/>
      </c>
      <c r="BT79" s="272">
        <f t="shared" si="125"/>
      </c>
      <c r="BU79" s="272">
        <f t="shared" si="125"/>
      </c>
      <c r="BV79" s="272">
        <f t="shared" si="125"/>
      </c>
      <c r="BW79" s="272">
        <f t="shared" si="125"/>
      </c>
      <c r="BX79" s="272">
        <f t="shared" si="125"/>
      </c>
      <c r="BY79" s="272">
        <f t="shared" si="125"/>
      </c>
      <c r="BZ79" s="272">
        <f>+BZ82+BZ85</f>
      </c>
      <c r="CA79" s="272">
        <f>+CA82+CA85</f>
      </c>
      <c r="CB79" s="272">
        <f>+CB82+CB85</f>
      </c>
      <c r="CC79" s="272">
        <f>+CC82+CC85</f>
      </c>
      <c r="CD79" s="283"/>
      <c r="CE79" s="284"/>
      <c r="CF79" s="271"/>
      <c r="CG79" s="271"/>
      <c r="CH79" s="271"/>
      <c r="CI79" s="271"/>
      <c r="CJ79" s="271"/>
      <c r="CK79" s="271"/>
      <c r="CL79" s="271">
        <f>SUM(Z79:AC79)</f>
      </c>
      <c r="CM79" s="271">
        <f>SUM(AD79:AG79)</f>
      </c>
      <c r="CN79" s="271">
        <f>SUM(AH79:AK79)</f>
      </c>
      <c r="CO79" s="271">
        <f>SUM(AL79:AO79)</f>
      </c>
      <c r="CP79" s="271">
        <f>SUM(AP79:AS79)</f>
      </c>
      <c r="CQ79" s="271">
        <f>AT79+AU79+AV79+AW79</f>
      </c>
      <c r="CR79" s="271">
        <f>AX79+AY79+AZ79+BA79</f>
      </c>
      <c r="CS79" s="271">
        <f>BB79+BC79+BD79+BE79</f>
      </c>
      <c r="CT79" s="271">
        <f>+SUM(BF79:BI79)</f>
      </c>
      <c r="CU79" s="271">
        <f>+SUM(BJ79:BM79)</f>
      </c>
      <c r="CV79" s="271">
        <f>+SUM(BN79:BQ79)</f>
      </c>
      <c r="CW79" s="272">
        <f>+SUM(BR79:BU79)</f>
      </c>
      <c r="CX79" s="272">
        <f>SUM(BV79:BY79)</f>
      </c>
      <c r="CY79" s="272">
        <f>SUM(BZ79:CC79)</f>
      </c>
    </row>
    <row r="80" spans="1:104" s="276" customFormat="1">
      <c r="A80" s="63" t="s">
        <v>196</v>
      </c>
      <c r="B80" s="238"/>
      <c r="C80" s="238"/>
      <c r="D80" s="238"/>
      <c r="E80" s="238"/>
      <c r="F80" s="238"/>
      <c r="G80" s="238"/>
      <c r="H80" s="238"/>
      <c r="I80" s="238"/>
      <c r="J80" s="238"/>
      <c r="K80" s="238"/>
      <c r="L80" s="238"/>
      <c r="M80" s="238"/>
      <c r="N80" s="238"/>
      <c r="O80" s="238"/>
      <c r="P80" s="238"/>
      <c r="Q80" s="238"/>
      <c r="R80" s="238"/>
      <c r="S80" s="238"/>
      <c r="T80" s="238"/>
      <c r="U80" s="238"/>
      <c r="V80" s="238"/>
      <c r="W80" s="238"/>
      <c r="X80" s="238"/>
      <c r="Y80" s="238"/>
      <c r="Z80" s="238"/>
      <c r="AA80" s="238">
        <f t="shared" ref="AA80:CC80" si="126">AA79/Z79-1</f>
      </c>
      <c r="AB80" s="238">
        <f t="shared" si="126"/>
      </c>
      <c r="AC80" s="238">
        <f t="shared" si="126"/>
      </c>
      <c r="AD80" s="238">
        <f t="shared" si="126"/>
      </c>
      <c r="AE80" s="238">
        <f t="shared" si="126"/>
      </c>
      <c r="AF80" s="238">
        <f t="shared" si="126"/>
      </c>
      <c r="AG80" s="238">
        <f t="shared" si="126"/>
      </c>
      <c r="AH80" s="238">
        <f t="shared" si="126"/>
      </c>
      <c r="AI80" s="238">
        <f t="shared" si="126"/>
      </c>
      <c r="AJ80" s="238">
        <f t="shared" si="126"/>
      </c>
      <c r="AK80" s="238">
        <f t="shared" si="126"/>
      </c>
      <c r="AL80" s="238">
        <f t="shared" si="126"/>
      </c>
      <c r="AM80" s="238">
        <f t="shared" si="126"/>
      </c>
      <c r="AN80" s="238">
        <f t="shared" si="126"/>
      </c>
      <c r="AO80" s="238">
        <f t="shared" si="126"/>
      </c>
      <c r="AP80" s="238">
        <f t="shared" si="126"/>
      </c>
      <c r="AQ80" s="238">
        <f t="shared" si="126"/>
      </c>
      <c r="AR80" s="238">
        <f t="shared" si="126"/>
      </c>
      <c r="AS80" s="238">
        <f t="shared" si="126"/>
      </c>
      <c r="AT80" s="238">
        <f t="shared" si="126"/>
      </c>
      <c r="AU80" s="238">
        <f t="shared" si="126"/>
      </c>
      <c r="AV80" s="238">
        <f t="shared" si="126"/>
      </c>
      <c r="AW80" s="238">
        <f t="shared" si="126"/>
      </c>
      <c r="AX80" s="238">
        <f t="shared" si="126"/>
      </c>
      <c r="AY80" s="238">
        <f t="shared" si="126"/>
      </c>
      <c r="AZ80" s="238">
        <f t="shared" si="126"/>
      </c>
      <c r="BA80" s="238">
        <f t="shared" si="126"/>
      </c>
      <c r="BB80" s="238">
        <f t="shared" si="126"/>
      </c>
      <c r="BC80" s="238">
        <f t="shared" si="126"/>
      </c>
      <c r="BD80" s="238">
        <f t="shared" si="126"/>
      </c>
      <c r="BE80" s="238">
        <f t="shared" si="126"/>
      </c>
      <c r="BF80" s="238">
        <f t="shared" si="126"/>
      </c>
      <c r="BG80" s="238">
        <f>BG79/BF79-1</f>
      </c>
      <c r="BH80" s="238">
        <f>BH79/BG79-1</f>
      </c>
      <c r="BI80" s="238">
        <f t="shared" si="126"/>
      </c>
      <c r="BJ80" s="238">
        <f t="shared" si="126"/>
      </c>
      <c r="BK80" s="238">
        <f t="shared" si="126"/>
      </c>
      <c r="BL80" s="238">
        <f t="shared" si="126"/>
      </c>
      <c r="BM80" s="238">
        <f t="shared" si="126"/>
      </c>
      <c r="BN80" s="238">
        <f t="shared" si="126"/>
      </c>
      <c r="BO80" s="238">
        <f t="shared" si="126"/>
      </c>
      <c r="BP80" s="238">
        <f t="shared" si="126"/>
      </c>
      <c r="BQ80" s="238">
        <f t="shared" si="126"/>
      </c>
      <c r="BR80" s="238">
        <f t="shared" si="126"/>
      </c>
      <c r="BS80" s="238">
        <f t="shared" si="126"/>
      </c>
      <c r="BT80" s="239">
        <f t="shared" si="126"/>
      </c>
      <c r="BU80" s="239">
        <f t="shared" si="126"/>
      </c>
      <c r="BV80" s="239">
        <f t="shared" si="126"/>
      </c>
      <c r="BW80" s="239">
        <f t="shared" si="126"/>
      </c>
      <c r="BX80" s="239">
        <f t="shared" si="126"/>
      </c>
      <c r="BY80" s="239">
        <f t="shared" si="126"/>
      </c>
      <c r="BZ80" s="239">
        <f t="shared" si="126"/>
      </c>
      <c r="CA80" s="239">
        <f t="shared" si="126"/>
      </c>
      <c r="CB80" s="239">
        <f t="shared" si="126"/>
      </c>
      <c r="CC80" s="239">
        <f t="shared" si="126"/>
      </c>
      <c r="CD80" s="275"/>
      <c r="CE80" s="277"/>
      <c r="CF80" s="285"/>
      <c r="CG80" s="285"/>
      <c r="CH80" s="285"/>
      <c r="CI80" s="285"/>
      <c r="CJ80" s="285"/>
      <c r="CK80" s="285"/>
      <c r="CL80" s="285"/>
      <c r="CM80" s="244"/>
      <c r="CN80" s="241"/>
      <c r="CO80" s="244"/>
      <c r="CP80" s="244"/>
      <c r="CQ80" s="244"/>
      <c r="CR80" s="244"/>
      <c r="CS80" s="244"/>
      <c r="CT80" s="244"/>
      <c r="CU80" s="244"/>
      <c r="CV80" s="244"/>
      <c r="CW80" s="247"/>
      <c r="CX80" s="247"/>
      <c r="CY80" s="247"/>
      <c r="CZ80" s="275"/>
    </row>
    <row r="81" spans="1:104" s="276" customFormat="1">
      <c r="A81" s="63" t="s">
        <v>198</v>
      </c>
      <c r="B81" s="238"/>
      <c r="C81" s="238"/>
      <c r="D81" s="238"/>
      <c r="E81" s="238"/>
      <c r="F81" s="238"/>
      <c r="G81" s="238"/>
      <c r="H81" s="238"/>
      <c r="I81" s="238"/>
      <c r="J81" s="238"/>
      <c r="K81" s="238"/>
      <c r="L81" s="238"/>
      <c r="M81" s="238"/>
      <c r="N81" s="238"/>
      <c r="O81" s="238"/>
      <c r="P81" s="238"/>
      <c r="Q81" s="238"/>
      <c r="R81" s="238"/>
      <c r="S81" s="238"/>
      <c r="T81" s="238"/>
      <c r="U81" s="238"/>
      <c r="V81" s="238"/>
      <c r="W81" s="238"/>
      <c r="X81" s="238"/>
      <c r="Y81" s="238"/>
      <c r="Z81" s="238"/>
      <c r="AA81" s="238"/>
      <c r="AB81" s="238"/>
      <c r="AC81" s="238"/>
      <c r="AD81" s="238">
        <f t="shared" ref="AD81:CC81" si="127">AD79/Z79-1</f>
      </c>
      <c r="AE81" s="238">
        <f t="shared" si="127"/>
      </c>
      <c r="AF81" s="238">
        <f t="shared" si="127"/>
      </c>
      <c r="AG81" s="238">
        <f t="shared" si="127"/>
      </c>
      <c r="AH81" s="238">
        <f t="shared" si="127"/>
      </c>
      <c r="AI81" s="238">
        <f t="shared" si="127"/>
      </c>
      <c r="AJ81" s="238">
        <f t="shared" si="127"/>
      </c>
      <c r="AK81" s="238">
        <f t="shared" si="127"/>
      </c>
      <c r="AL81" s="238">
        <f t="shared" si="127"/>
      </c>
      <c r="AM81" s="238">
        <f t="shared" si="127"/>
      </c>
      <c r="AN81" s="238">
        <f t="shared" si="127"/>
      </c>
      <c r="AO81" s="238">
        <f t="shared" si="127"/>
      </c>
      <c r="AP81" s="238">
        <f t="shared" si="127"/>
      </c>
      <c r="AQ81" s="238">
        <f t="shared" si="127"/>
      </c>
      <c r="AR81" s="238">
        <f t="shared" si="127"/>
      </c>
      <c r="AS81" s="238">
        <f t="shared" si="127"/>
      </c>
      <c r="AT81" s="238">
        <f t="shared" si="127"/>
      </c>
      <c r="AU81" s="238">
        <f t="shared" si="127"/>
      </c>
      <c r="AV81" s="238">
        <f t="shared" si="127"/>
      </c>
      <c r="AW81" s="238">
        <f t="shared" si="127"/>
      </c>
      <c r="AX81" s="238">
        <f t="shared" si="127"/>
      </c>
      <c r="AY81" s="238">
        <f t="shared" si="127"/>
      </c>
      <c r="AZ81" s="238">
        <f t="shared" si="127"/>
      </c>
      <c r="BA81" s="238">
        <f t="shared" si="127"/>
      </c>
      <c r="BB81" s="238">
        <f t="shared" si="127"/>
      </c>
      <c r="BC81" s="238">
        <f t="shared" si="127"/>
      </c>
      <c r="BD81" s="238">
        <f t="shared" si="127"/>
      </c>
      <c r="BE81" s="238">
        <f t="shared" si="127"/>
      </c>
      <c r="BF81" s="238">
        <f t="shared" si="127"/>
      </c>
      <c r="BG81" s="238">
        <f>BG79/BC79-1</f>
      </c>
      <c r="BH81" s="238">
        <f>BH79/BD79-1</f>
      </c>
      <c r="BI81" s="238">
        <f t="shared" si="127"/>
      </c>
      <c r="BJ81" s="238">
        <f t="shared" si="127"/>
      </c>
      <c r="BK81" s="238">
        <f t="shared" si="127"/>
      </c>
      <c r="BL81" s="238">
        <f t="shared" si="127"/>
      </c>
      <c r="BM81" s="238">
        <f t="shared" si="127"/>
      </c>
      <c r="BN81" s="238">
        <f t="shared" si="127"/>
      </c>
      <c r="BO81" s="238">
        <f t="shared" si="127"/>
      </c>
      <c r="BP81" s="238">
        <f t="shared" si="127"/>
      </c>
      <c r="BQ81" s="238">
        <f t="shared" si="127"/>
      </c>
      <c r="BR81" s="238">
        <f t="shared" si="127"/>
      </c>
      <c r="BS81" s="238">
        <f t="shared" si="127"/>
      </c>
      <c r="BT81" s="239">
        <f t="shared" si="127"/>
      </c>
      <c r="BU81" s="239">
        <f t="shared" si="127"/>
      </c>
      <c r="BV81" s="239">
        <f t="shared" si="127"/>
      </c>
      <c r="BW81" s="239">
        <f t="shared" si="127"/>
      </c>
      <c r="BX81" s="239">
        <f t="shared" si="127"/>
      </c>
      <c r="BY81" s="239">
        <f t="shared" si="127"/>
      </c>
      <c r="BZ81" s="239">
        <f t="shared" si="127"/>
      </c>
      <c r="CA81" s="239">
        <f t="shared" si="127"/>
      </c>
      <c r="CB81" s="239">
        <f t="shared" si="127"/>
      </c>
      <c r="CC81" s="239">
        <f t="shared" si="127"/>
      </c>
      <c r="CD81" s="275"/>
      <c r="CE81" s="277"/>
      <c r="CF81" s="285"/>
      <c r="CG81" s="285"/>
      <c r="CH81" s="285"/>
      <c r="CI81" s="285"/>
      <c r="CJ81" s="285"/>
      <c r="CK81" s="285"/>
      <c r="CL81" s="285"/>
      <c r="CM81" s="238">
        <f t="shared" ref="CM81:CY81" si="128">CM79/CL79-1</f>
      </c>
      <c r="CN81" s="238">
        <f t="shared" si="128"/>
      </c>
      <c r="CO81" s="238">
        <f t="shared" si="128"/>
      </c>
      <c r="CP81" s="238">
        <f t="shared" si="128"/>
      </c>
      <c r="CQ81" s="238">
        <f t="shared" si="128"/>
      </c>
      <c r="CR81" s="238">
        <f t="shared" si="128"/>
      </c>
      <c r="CS81" s="238">
        <f t="shared" si="128"/>
      </c>
      <c r="CT81" s="238">
        <f t="shared" si="128"/>
      </c>
      <c r="CU81" s="238">
        <f t="shared" si="128"/>
      </c>
      <c r="CV81" s="238">
        <f t="shared" si="128"/>
      </c>
      <c r="CW81" s="239">
        <f t="shared" si="128"/>
      </c>
      <c r="CX81" s="239">
        <f t="shared" si="128"/>
      </c>
      <c r="CY81" s="239">
        <f t="shared" si="128"/>
      </c>
      <c r="CZ81" s="275"/>
    </row>
    <row r="82" spans="1:104" s="276" customFormat="1">
      <c r="A82" s="274" t="s">
        <v>226</v>
      </c>
      <c r="B82" s="238"/>
      <c r="C82" s="238"/>
      <c r="D82" s="238"/>
      <c r="E82" s="238"/>
      <c r="F82" s="238"/>
      <c r="G82" s="238"/>
      <c r="H82" s="238"/>
      <c r="I82" s="238"/>
      <c r="J82" s="238"/>
      <c r="K82" s="238"/>
      <c r="L82" s="238"/>
      <c r="M82" s="238"/>
      <c r="N82" s="238"/>
      <c r="O82" s="238"/>
      <c r="P82" s="238"/>
      <c r="Q82" s="238"/>
      <c r="R82" s="238"/>
      <c r="S82" s="238"/>
      <c r="T82" s="238"/>
      <c r="U82" s="238"/>
      <c r="V82" s="238"/>
      <c r="W82" s="238"/>
      <c r="X82" s="238"/>
      <c r="Y82" s="238"/>
      <c r="Z82" s="235">
        <f t="shared" ref="Z82:BE82" si="129">Z51+Z34</f>
      </c>
      <c r="AA82" s="235">
        <f t="shared" si="129"/>
      </c>
      <c r="AB82" s="235">
        <f t="shared" si="129"/>
      </c>
      <c r="AC82" s="235">
        <f t="shared" si="129"/>
      </c>
      <c r="AD82" s="235">
        <f t="shared" si="129"/>
      </c>
      <c r="AE82" s="235">
        <f t="shared" si="129"/>
      </c>
      <c r="AF82" s="235">
        <f t="shared" si="129"/>
      </c>
      <c r="AG82" s="235">
        <f t="shared" si="129"/>
      </c>
      <c r="AH82" s="235">
        <f t="shared" si="129"/>
      </c>
      <c r="AI82" s="235">
        <f t="shared" si="129"/>
      </c>
      <c r="AJ82" s="235">
        <f t="shared" si="129"/>
      </c>
      <c r="AK82" s="235">
        <f t="shared" si="129"/>
      </c>
      <c r="AL82" s="235">
        <f t="shared" si="129"/>
      </c>
      <c r="AM82" s="235">
        <f t="shared" si="129"/>
      </c>
      <c r="AN82" s="235">
        <f t="shared" si="129"/>
      </c>
      <c r="AO82" s="235">
        <f t="shared" si="129"/>
      </c>
      <c r="AP82" s="235">
        <f t="shared" si="129"/>
      </c>
      <c r="AQ82" s="235">
        <f t="shared" si="129"/>
      </c>
      <c r="AR82" s="235">
        <f t="shared" si="129"/>
      </c>
      <c r="AS82" s="235">
        <f t="shared" si="129"/>
      </c>
      <c r="AT82" s="235">
        <f t="shared" si="129"/>
      </c>
      <c r="AU82" s="235">
        <f t="shared" si="129"/>
      </c>
      <c r="AV82" s="235">
        <f t="shared" si="129"/>
      </c>
      <c r="AW82" s="235">
        <f t="shared" si="129"/>
      </c>
      <c r="AX82" s="235">
        <f t="shared" si="129"/>
      </c>
      <c r="AY82" s="235">
        <f t="shared" si="129"/>
      </c>
      <c r="AZ82" s="235">
        <f t="shared" si="129"/>
      </c>
      <c r="BA82" s="235">
        <f t="shared" si="129"/>
      </c>
      <c r="BB82" s="235">
        <f t="shared" si="129"/>
      </c>
      <c r="BC82" s="235">
        <f t="shared" si="129"/>
      </c>
      <c r="BD82" s="235">
        <f t="shared" si="129"/>
      </c>
      <c r="BE82" s="235">
        <f t="shared" si="129"/>
      </c>
      <c r="BF82" s="235">
        <f t="shared" ref="BF82:CC82" si="130">BF51+BF34</f>
      </c>
      <c r="BG82" s="235">
        <f t="shared" si="130"/>
      </c>
      <c r="BH82" s="235">
        <f t="shared" si="130"/>
      </c>
      <c r="BI82" s="235">
        <f t="shared" si="130"/>
      </c>
      <c r="BJ82" s="235">
        <f t="shared" si="130"/>
      </c>
      <c r="BK82" s="235">
        <f t="shared" si="130"/>
      </c>
      <c r="BL82" s="235">
        <f t="shared" si="130"/>
      </c>
      <c r="BM82" s="235">
        <f t="shared" si="130"/>
      </c>
      <c r="BN82" s="235">
        <f t="shared" si="130"/>
      </c>
      <c r="BO82" s="235">
        <f t="shared" si="130"/>
      </c>
      <c r="BP82" s="235">
        <f t="shared" si="130"/>
      </c>
      <c r="BQ82" s="235">
        <f t="shared" si="130"/>
      </c>
      <c r="BR82" s="235">
        <f t="shared" si="130"/>
      </c>
      <c r="BS82" s="235">
        <f t="shared" si="130"/>
      </c>
      <c r="BT82" s="236">
        <f t="shared" si="130"/>
      </c>
      <c r="BU82" s="236">
        <f t="shared" si="130"/>
      </c>
      <c r="BV82" s="236">
        <f t="shared" si="130"/>
      </c>
      <c r="BW82" s="236">
        <f t="shared" si="130"/>
      </c>
      <c r="BX82" s="236">
        <f t="shared" si="130"/>
      </c>
      <c r="BY82" s="236">
        <f t="shared" si="130"/>
      </c>
      <c r="BZ82" s="236">
        <f t="shared" si="130"/>
      </c>
      <c r="CA82" s="236">
        <f t="shared" si="130"/>
      </c>
      <c r="CB82" s="236">
        <f t="shared" si="130"/>
      </c>
      <c r="CC82" s="236">
        <f t="shared" si="130"/>
      </c>
      <c r="CD82" s="275"/>
      <c r="CE82" s="277"/>
      <c r="CF82" s="285"/>
      <c r="CG82" s="285"/>
      <c r="CH82" s="285"/>
      <c r="CI82" s="285"/>
      <c r="CJ82" s="285"/>
      <c r="CK82" s="285"/>
      <c r="CL82" s="235">
        <f>SUM(Z82:AC82)</f>
      </c>
      <c r="CM82" s="235">
        <f>SUM(AD82:AG82)</f>
      </c>
      <c r="CN82" s="235">
        <f>SUM(AH82:AK82)</f>
      </c>
      <c r="CO82" s="235">
        <f>SUM(AL82:AO82)</f>
      </c>
      <c r="CP82" s="235">
        <f>SUM(AP82:AS82)</f>
      </c>
      <c r="CQ82" s="235">
        <f>AT82+AU82+AV82+AW82</f>
      </c>
      <c r="CR82" s="235">
        <f>AX82+AY82+AZ82+BA82</f>
      </c>
      <c r="CS82" s="235">
        <f>BB82+BC82+BD82+BE82</f>
      </c>
      <c r="CT82" s="235">
        <f>+SUM(BF82:BI82)</f>
      </c>
      <c r="CU82" s="235">
        <f>+SUM(BJ82:BM82)</f>
      </c>
      <c r="CV82" s="235">
        <f>+SUM(BN82:BQ82)</f>
      </c>
      <c r="CW82" s="236">
        <f>+SUM(BR82:BU82)</f>
      </c>
      <c r="CX82" s="236">
        <f>SUM(BV82:BY82)</f>
      </c>
      <c r="CY82" s="236">
        <f>SUM(BZ82:CC82)</f>
      </c>
      <c r="CZ82" s="275"/>
    </row>
    <row r="83" spans="1:104" s="276" customFormat="1">
      <c r="A83" s="277" t="s">
        <v>196</v>
      </c>
      <c r="B83" s="238"/>
      <c r="C83" s="238"/>
      <c r="D83" s="238"/>
      <c r="E83" s="238"/>
      <c r="F83" s="238"/>
      <c r="G83" s="238"/>
      <c r="H83" s="238"/>
      <c r="I83" s="238"/>
      <c r="J83" s="238"/>
      <c r="K83" s="238"/>
      <c r="L83" s="238"/>
      <c r="M83" s="238"/>
      <c r="N83" s="238"/>
      <c r="O83" s="238"/>
      <c r="P83" s="238"/>
      <c r="Q83" s="238"/>
      <c r="R83" s="238"/>
      <c r="S83" s="238"/>
      <c r="T83" s="238"/>
      <c r="U83" s="238"/>
      <c r="V83" s="238"/>
      <c r="W83" s="238"/>
      <c r="X83" s="238"/>
      <c r="Y83" s="238"/>
      <c r="Z83" s="238"/>
      <c r="AA83" s="238">
        <f t="shared" ref="AA83:CC83" si="131">AA82/Z82-1</f>
      </c>
      <c r="AB83" s="238">
        <f t="shared" si="131"/>
      </c>
      <c r="AC83" s="238">
        <f t="shared" si="131"/>
      </c>
      <c r="AD83" s="238">
        <f t="shared" si="131"/>
      </c>
      <c r="AE83" s="238">
        <f t="shared" si="131"/>
      </c>
      <c r="AF83" s="238">
        <f t="shared" si="131"/>
      </c>
      <c r="AG83" s="238">
        <f t="shared" si="131"/>
      </c>
      <c r="AH83" s="238">
        <f t="shared" si="131"/>
      </c>
      <c r="AI83" s="238">
        <f t="shared" si="131"/>
      </c>
      <c r="AJ83" s="238">
        <f t="shared" si="131"/>
      </c>
      <c r="AK83" s="238">
        <f t="shared" si="131"/>
      </c>
      <c r="AL83" s="238">
        <f t="shared" si="131"/>
      </c>
      <c r="AM83" s="238">
        <f t="shared" si="131"/>
      </c>
      <c r="AN83" s="238">
        <f t="shared" si="131"/>
      </c>
      <c r="AO83" s="238">
        <f t="shared" si="131"/>
      </c>
      <c r="AP83" s="238">
        <f t="shared" si="131"/>
      </c>
      <c r="AQ83" s="238">
        <f t="shared" si="131"/>
      </c>
      <c r="AR83" s="238">
        <f t="shared" si="131"/>
      </c>
      <c r="AS83" s="238">
        <f t="shared" si="131"/>
      </c>
      <c r="AT83" s="238">
        <f t="shared" si="131"/>
      </c>
      <c r="AU83" s="238">
        <f t="shared" si="131"/>
      </c>
      <c r="AV83" s="238">
        <f t="shared" si="131"/>
      </c>
      <c r="AW83" s="238">
        <f t="shared" si="131"/>
      </c>
      <c r="AX83" s="238">
        <f t="shared" si="131"/>
      </c>
      <c r="AY83" s="238">
        <f t="shared" si="131"/>
      </c>
      <c r="AZ83" s="238">
        <f t="shared" si="131"/>
      </c>
      <c r="BA83" s="238">
        <f t="shared" si="131"/>
      </c>
      <c r="BB83" s="238">
        <f t="shared" si="131"/>
      </c>
      <c r="BC83" s="238">
        <f t="shared" si="131"/>
      </c>
      <c r="BD83" s="238">
        <f t="shared" si="131"/>
      </c>
      <c r="BE83" s="238">
        <f t="shared" si="131"/>
      </c>
      <c r="BF83" s="238">
        <f t="shared" si="131"/>
      </c>
      <c r="BG83" s="238">
        <f>BG82/BF82-1</f>
      </c>
      <c r="BH83" s="238">
        <f>BH82/BG82-1</f>
      </c>
      <c r="BI83" s="238">
        <f t="shared" si="131"/>
      </c>
      <c r="BJ83" s="238">
        <f t="shared" si="131"/>
      </c>
      <c r="BK83" s="238">
        <f t="shared" si="131"/>
      </c>
      <c r="BL83" s="238">
        <f t="shared" si="131"/>
      </c>
      <c r="BM83" s="238">
        <f t="shared" si="131"/>
      </c>
      <c r="BN83" s="238">
        <f t="shared" si="131"/>
      </c>
      <c r="BO83" s="238">
        <f t="shared" si="131"/>
      </c>
      <c r="BP83" s="238">
        <f t="shared" si="131"/>
      </c>
      <c r="BQ83" s="238">
        <f t="shared" si="131"/>
      </c>
      <c r="BR83" s="238">
        <f t="shared" si="131"/>
      </c>
      <c r="BS83" s="238">
        <f t="shared" si="131"/>
      </c>
      <c r="BT83" s="239">
        <f t="shared" si="131"/>
      </c>
      <c r="BU83" s="239">
        <f t="shared" si="131"/>
      </c>
      <c r="BV83" s="239">
        <f t="shared" si="131"/>
      </c>
      <c r="BW83" s="239">
        <f t="shared" si="131"/>
      </c>
      <c r="BX83" s="239">
        <f t="shared" si="131"/>
      </c>
      <c r="BY83" s="239">
        <f t="shared" si="131"/>
      </c>
      <c r="BZ83" s="239">
        <f t="shared" si="131"/>
      </c>
      <c r="CA83" s="239">
        <f t="shared" si="131"/>
      </c>
      <c r="CB83" s="239">
        <f t="shared" si="131"/>
      </c>
      <c r="CC83" s="239">
        <f t="shared" si="131"/>
      </c>
      <c r="CD83" s="275"/>
      <c r="CE83" s="277"/>
      <c r="CF83" s="285"/>
      <c r="CG83" s="285"/>
      <c r="CH83" s="285"/>
      <c r="CI83" s="285"/>
      <c r="CJ83" s="285"/>
      <c r="CK83" s="285"/>
      <c r="CL83" s="238"/>
      <c r="CM83" s="238"/>
      <c r="CN83" s="238"/>
      <c r="CO83" s="238"/>
      <c r="CP83" s="238"/>
      <c r="CQ83" s="238"/>
      <c r="CR83" s="238"/>
      <c r="CS83" s="238"/>
      <c r="CT83" s="238"/>
      <c r="CU83" s="238"/>
      <c r="CV83" s="238"/>
      <c r="CW83" s="239"/>
      <c r="CX83" s="239"/>
      <c r="CY83" s="239"/>
      <c r="CZ83" s="275"/>
    </row>
    <row r="84" spans="1:104" s="276" customFormat="1">
      <c r="A84" s="277" t="s">
        <v>198</v>
      </c>
      <c r="B84" s="238"/>
      <c r="C84" s="238"/>
      <c r="D84" s="238"/>
      <c r="E84" s="238"/>
      <c r="F84" s="238"/>
      <c r="G84" s="238"/>
      <c r="H84" s="238"/>
      <c r="I84" s="238"/>
      <c r="J84" s="238"/>
      <c r="K84" s="238"/>
      <c r="L84" s="238"/>
      <c r="M84" s="238"/>
      <c r="N84" s="238"/>
      <c r="O84" s="238"/>
      <c r="P84" s="238"/>
      <c r="Q84" s="238"/>
      <c r="R84" s="238"/>
      <c r="S84" s="238"/>
      <c r="T84" s="238"/>
      <c r="U84" s="238"/>
      <c r="V84" s="238"/>
      <c r="W84" s="238"/>
      <c r="X84" s="238"/>
      <c r="Y84" s="238"/>
      <c r="Z84" s="238"/>
      <c r="AA84" s="238"/>
      <c r="AB84" s="238"/>
      <c r="AC84" s="238"/>
      <c r="AD84" s="238">
        <f t="shared" ref="AD84:CC84" si="132">AD82/Z82-1</f>
      </c>
      <c r="AE84" s="238">
        <f t="shared" si="132"/>
      </c>
      <c r="AF84" s="238">
        <f t="shared" si="132"/>
      </c>
      <c r="AG84" s="238">
        <f t="shared" si="132"/>
      </c>
      <c r="AH84" s="238">
        <f t="shared" si="132"/>
      </c>
      <c r="AI84" s="238">
        <f t="shared" si="132"/>
      </c>
      <c r="AJ84" s="238">
        <f t="shared" si="132"/>
      </c>
      <c r="AK84" s="238">
        <f t="shared" si="132"/>
      </c>
      <c r="AL84" s="238">
        <f t="shared" si="132"/>
      </c>
      <c r="AM84" s="238">
        <f t="shared" si="132"/>
      </c>
      <c r="AN84" s="238">
        <f t="shared" si="132"/>
      </c>
      <c r="AO84" s="238">
        <f t="shared" si="132"/>
      </c>
      <c r="AP84" s="238">
        <f t="shared" si="132"/>
      </c>
      <c r="AQ84" s="238">
        <f t="shared" si="132"/>
      </c>
      <c r="AR84" s="238">
        <f t="shared" si="132"/>
      </c>
      <c r="AS84" s="238">
        <f t="shared" si="132"/>
      </c>
      <c r="AT84" s="238">
        <f t="shared" si="132"/>
      </c>
      <c r="AU84" s="238">
        <f t="shared" si="132"/>
      </c>
      <c r="AV84" s="238">
        <f t="shared" si="132"/>
      </c>
      <c r="AW84" s="238">
        <f t="shared" si="132"/>
      </c>
      <c r="AX84" s="238">
        <f t="shared" si="132"/>
      </c>
      <c r="AY84" s="238">
        <f t="shared" si="132"/>
      </c>
      <c r="AZ84" s="238">
        <f t="shared" si="132"/>
      </c>
      <c r="BA84" s="238">
        <f t="shared" si="132"/>
      </c>
      <c r="BB84" s="238">
        <f t="shared" si="132"/>
      </c>
      <c r="BC84" s="238">
        <f t="shared" si="132"/>
      </c>
      <c r="BD84" s="238">
        <f t="shared" si="132"/>
      </c>
      <c r="BE84" s="238">
        <f t="shared" si="132"/>
      </c>
      <c r="BF84" s="238">
        <f t="shared" si="132"/>
      </c>
      <c r="BG84" s="238">
        <f>BG82/BC82-1</f>
      </c>
      <c r="BH84" s="238">
        <f>BH82/BD82-1</f>
      </c>
      <c r="BI84" s="238">
        <f t="shared" si="132"/>
      </c>
      <c r="BJ84" s="238">
        <f t="shared" si="132"/>
      </c>
      <c r="BK84" s="238">
        <f t="shared" si="132"/>
      </c>
      <c r="BL84" s="238">
        <f t="shared" si="132"/>
      </c>
      <c r="BM84" s="238">
        <f t="shared" si="132"/>
      </c>
      <c r="BN84" s="238">
        <f t="shared" si="132"/>
      </c>
      <c r="BO84" s="238">
        <f t="shared" si="132"/>
      </c>
      <c r="BP84" s="238">
        <f t="shared" si="132"/>
      </c>
      <c r="BQ84" s="238">
        <f t="shared" si="132"/>
      </c>
      <c r="BR84" s="238">
        <f t="shared" si="132"/>
      </c>
      <c r="BS84" s="238">
        <f t="shared" si="132"/>
      </c>
      <c r="BT84" s="239">
        <f t="shared" si="132"/>
      </c>
      <c r="BU84" s="239">
        <f t="shared" si="132"/>
      </c>
      <c r="BV84" s="239">
        <f t="shared" si="132"/>
      </c>
      <c r="BW84" s="239">
        <f t="shared" si="132"/>
      </c>
      <c r="BX84" s="239">
        <f t="shared" si="132"/>
      </c>
      <c r="BY84" s="239">
        <f t="shared" si="132"/>
      </c>
      <c r="BZ84" s="239">
        <f t="shared" si="132"/>
      </c>
      <c r="CA84" s="239">
        <f t="shared" si="132"/>
      </c>
      <c r="CB84" s="239">
        <f t="shared" si="132"/>
      </c>
      <c r="CC84" s="239">
        <f t="shared" si="132"/>
      </c>
      <c r="CD84" s="275"/>
      <c r="CE84" s="277"/>
      <c r="CF84" s="285"/>
      <c r="CG84" s="285"/>
      <c r="CH84" s="285"/>
      <c r="CI84" s="285"/>
      <c r="CJ84" s="285"/>
      <c r="CK84" s="285"/>
      <c r="CL84" s="238"/>
      <c r="CM84" s="238">
        <f t="shared" ref="CM84:CY84" si="133">CM82/CL82-1</f>
      </c>
      <c r="CN84" s="238">
        <f t="shared" si="133"/>
      </c>
      <c r="CO84" s="238">
        <f t="shared" si="133"/>
      </c>
      <c r="CP84" s="238">
        <f t="shared" si="133"/>
      </c>
      <c r="CQ84" s="238">
        <f t="shared" si="133"/>
      </c>
      <c r="CR84" s="238">
        <f t="shared" si="133"/>
      </c>
      <c r="CS84" s="238">
        <f t="shared" si="133"/>
      </c>
      <c r="CT84" s="238">
        <f t="shared" si="133"/>
      </c>
      <c r="CU84" s="238">
        <f t="shared" si="133"/>
      </c>
      <c r="CV84" s="238">
        <f t="shared" si="133"/>
      </c>
      <c r="CW84" s="239">
        <f t="shared" si="133"/>
      </c>
      <c r="CX84" s="239">
        <f t="shared" si="133"/>
      </c>
      <c r="CY84" s="239">
        <f t="shared" si="133"/>
      </c>
      <c r="CZ84" s="275"/>
    </row>
    <row r="85" spans="1:104" s="276" customFormat="1">
      <c r="A85" s="274" t="s">
        <v>230</v>
      </c>
      <c r="B85" s="238"/>
      <c r="C85" s="238"/>
      <c r="D85" s="238"/>
      <c r="E85" s="238"/>
      <c r="F85" s="238"/>
      <c r="G85" s="238"/>
      <c r="H85" s="238"/>
      <c r="I85" s="238"/>
      <c r="J85" s="238"/>
      <c r="K85" s="238"/>
      <c r="L85" s="238"/>
      <c r="M85" s="238"/>
      <c r="N85" s="238"/>
      <c r="O85" s="238"/>
      <c r="P85" s="238"/>
      <c r="Q85" s="238"/>
      <c r="R85" s="238"/>
      <c r="S85" s="238"/>
      <c r="T85" s="238"/>
      <c r="U85" s="238"/>
      <c r="V85" s="238"/>
      <c r="W85" s="238"/>
      <c r="X85" s="238"/>
      <c r="Y85" s="238"/>
      <c r="Z85" s="235">
        <f t="shared" ref="Z85:BE85" si="134">Z37</f>
      </c>
      <c r="AA85" s="235">
        <f t="shared" si="134"/>
      </c>
      <c r="AB85" s="235">
        <f t="shared" si="134"/>
      </c>
      <c r="AC85" s="235">
        <f t="shared" si="134"/>
      </c>
      <c r="AD85" s="235">
        <f t="shared" si="134"/>
      </c>
      <c r="AE85" s="235">
        <f t="shared" si="134"/>
      </c>
      <c r="AF85" s="235">
        <f t="shared" si="134"/>
      </c>
      <c r="AG85" s="235">
        <f t="shared" si="134"/>
      </c>
      <c r="AH85" s="235">
        <f t="shared" si="134"/>
      </c>
      <c r="AI85" s="235">
        <f t="shared" si="134"/>
      </c>
      <c r="AJ85" s="235">
        <f t="shared" si="134"/>
      </c>
      <c r="AK85" s="235">
        <f t="shared" si="134"/>
      </c>
      <c r="AL85" s="235">
        <f t="shared" si="134"/>
      </c>
      <c r="AM85" s="235">
        <f t="shared" si="134"/>
      </c>
      <c r="AN85" s="235">
        <f t="shared" si="134"/>
      </c>
      <c r="AO85" s="235">
        <f t="shared" si="134"/>
      </c>
      <c r="AP85" s="235">
        <f t="shared" si="134"/>
      </c>
      <c r="AQ85" s="235">
        <f t="shared" si="134"/>
      </c>
      <c r="AR85" s="235">
        <f t="shared" si="134"/>
      </c>
      <c r="AS85" s="235">
        <f t="shared" si="134"/>
      </c>
      <c r="AT85" s="235">
        <f t="shared" si="134"/>
      </c>
      <c r="AU85" s="235">
        <f t="shared" si="134"/>
      </c>
      <c r="AV85" s="235">
        <f t="shared" si="134"/>
      </c>
      <c r="AW85" s="235">
        <f t="shared" si="134"/>
      </c>
      <c r="AX85" s="235">
        <f t="shared" si="134"/>
      </c>
      <c r="AY85" s="235">
        <f t="shared" si="134"/>
      </c>
      <c r="AZ85" s="235">
        <f t="shared" si="134"/>
      </c>
      <c r="BA85" s="235">
        <f t="shared" si="134"/>
      </c>
      <c r="BB85" s="235">
        <f t="shared" si="134"/>
      </c>
      <c r="BC85" s="235">
        <f t="shared" si="134"/>
      </c>
      <c r="BD85" s="235">
        <f t="shared" si="134"/>
      </c>
      <c r="BE85" s="235">
        <f t="shared" si="134"/>
      </c>
      <c r="BF85" s="235">
        <f t="shared" ref="BF85:CC85" si="135">BF37</f>
      </c>
      <c r="BG85" s="235">
        <f t="shared" si="135"/>
      </c>
      <c r="BH85" s="235">
        <f t="shared" si="135"/>
      </c>
      <c r="BI85" s="235">
        <f t="shared" si="135"/>
      </c>
      <c r="BJ85" s="235">
        <f t="shared" si="135"/>
      </c>
      <c r="BK85" s="235">
        <f t="shared" si="135"/>
      </c>
      <c r="BL85" s="235">
        <f t="shared" si="135"/>
      </c>
      <c r="BM85" s="235">
        <f t="shared" si="135"/>
      </c>
      <c r="BN85" s="235">
        <f t="shared" si="135"/>
      </c>
      <c r="BO85" s="235">
        <f t="shared" si="135"/>
      </c>
      <c r="BP85" s="235">
        <f t="shared" si="135"/>
      </c>
      <c r="BQ85" s="235">
        <f t="shared" si="135"/>
      </c>
      <c r="BR85" s="235">
        <f t="shared" si="135"/>
      </c>
      <c r="BS85" s="235">
        <f t="shared" si="135"/>
      </c>
      <c r="BT85" s="236">
        <f t="shared" si="135"/>
      </c>
      <c r="BU85" s="236">
        <f t="shared" si="135"/>
      </c>
      <c r="BV85" s="236">
        <f t="shared" si="135"/>
      </c>
      <c r="BW85" s="236">
        <f t="shared" si="135"/>
      </c>
      <c r="BX85" s="236">
        <f t="shared" si="135"/>
      </c>
      <c r="BY85" s="236">
        <f t="shared" si="135"/>
      </c>
      <c r="BZ85" s="236">
        <f t="shared" si="135"/>
      </c>
      <c r="CA85" s="236">
        <f t="shared" si="135"/>
      </c>
      <c r="CB85" s="236">
        <f t="shared" si="135"/>
      </c>
      <c r="CC85" s="236">
        <f t="shared" si="135"/>
      </c>
      <c r="CD85" s="275"/>
      <c r="CE85" s="277"/>
      <c r="CF85" s="285"/>
      <c r="CG85" s="285"/>
      <c r="CH85" s="285"/>
      <c r="CI85" s="285"/>
      <c r="CJ85" s="285"/>
      <c r="CK85" s="285"/>
      <c r="CL85" s="235">
        <f>SUM(Z85:AC85)</f>
      </c>
      <c r="CM85" s="235">
        <f>SUM(AD85:AG85)</f>
      </c>
      <c r="CN85" s="235">
        <f>SUM(AH85:AK85)</f>
      </c>
      <c r="CO85" s="235">
        <f>SUM(AL85:AO85)</f>
      </c>
      <c r="CP85" s="235">
        <f>SUM(AP85:AS85)</f>
      </c>
      <c r="CQ85" s="235">
        <f>AT85+AU85+AV85+AW85</f>
      </c>
      <c r="CR85" s="235">
        <f>AX85+AY85+AZ85+BA85</f>
      </c>
      <c r="CS85" s="235">
        <f>BB85+BC85+BD85+BE85</f>
      </c>
      <c r="CT85" s="235">
        <f>+SUM(BF85:BI85)</f>
      </c>
      <c r="CU85" s="235">
        <f>+SUM(BJ85:BM85)</f>
      </c>
      <c r="CV85" s="235">
        <f>+SUM(BN85:BQ85)</f>
      </c>
      <c r="CW85" s="236">
        <f>+SUM(BR85:BU85)</f>
      </c>
      <c r="CX85" s="236">
        <f>SUM(BV85:BY85)</f>
      </c>
      <c r="CY85" s="236">
        <f>SUM(BW85:BZ85)</f>
      </c>
      <c r="CZ85" s="275"/>
    </row>
    <row r="86" spans="1:104" s="276" customFormat="1">
      <c r="A86" s="277" t="s">
        <v>196</v>
      </c>
      <c r="B86" s="238"/>
      <c r="C86" s="238"/>
      <c r="D86" s="238"/>
      <c r="E86" s="238"/>
      <c r="F86" s="238"/>
      <c r="G86" s="238"/>
      <c r="H86" s="238"/>
      <c r="I86" s="238"/>
      <c r="J86" s="238"/>
      <c r="K86" s="238"/>
      <c r="L86" s="238"/>
      <c r="M86" s="238"/>
      <c r="N86" s="238"/>
      <c r="O86" s="238"/>
      <c r="P86" s="238"/>
      <c r="Q86" s="238"/>
      <c r="R86" s="238"/>
      <c r="S86" s="238"/>
      <c r="T86" s="238"/>
      <c r="U86" s="238"/>
      <c r="V86" s="238"/>
      <c r="W86" s="238"/>
      <c r="X86" s="238"/>
      <c r="Y86" s="238"/>
      <c r="Z86" s="238"/>
      <c r="AA86" s="238"/>
      <c r="AB86" s="238"/>
      <c r="AC86" s="238"/>
      <c r="AD86" s="238"/>
      <c r="AE86" s="238"/>
      <c r="AF86" s="238"/>
      <c r="AG86" s="238"/>
      <c r="AH86" s="238"/>
      <c r="AI86" s="238"/>
      <c r="AJ86" s="238"/>
      <c r="AK86" s="238"/>
      <c r="AL86" s="238"/>
      <c r="AM86" s="238"/>
      <c r="AN86" s="238"/>
      <c r="AO86" s="238">
        <f>AO85/AN85-1</f>
      </c>
      <c r="AP86" s="238">
        <f>AP85/AO85-1</f>
      </c>
      <c r="AQ86" s="238">
        <f>AQ85/AP85-1</f>
      </c>
      <c r="AR86" s="239"/>
      <c r="AS86" s="239"/>
      <c r="AT86" s="238"/>
      <c r="AU86" s="238"/>
      <c r="AV86" s="239"/>
      <c r="AW86" s="239"/>
      <c r="AX86" s="238"/>
      <c r="AY86" s="238"/>
      <c r="AZ86" s="238"/>
      <c r="BA86" s="239"/>
      <c r="BB86" s="239"/>
      <c r="BC86" s="239"/>
      <c r="BD86" s="239"/>
      <c r="BE86" s="239"/>
      <c r="BF86" s="239"/>
      <c r="BG86" s="239"/>
      <c r="BH86" s="239"/>
      <c r="BI86" s="239"/>
      <c r="BJ86" s="239"/>
      <c r="BK86" s="239"/>
      <c r="BL86" s="239"/>
      <c r="BM86" s="239"/>
      <c r="BN86" s="239"/>
      <c r="BO86" s="239"/>
      <c r="BP86" s="239"/>
      <c r="BQ86" s="239"/>
      <c r="BR86" s="239"/>
      <c r="BS86" s="239"/>
      <c r="BT86" s="239"/>
      <c r="BU86" s="239"/>
      <c r="BV86" s="239"/>
      <c r="BW86" s="239"/>
      <c r="BX86" s="239"/>
      <c r="BY86" s="239"/>
      <c r="BZ86" s="239"/>
      <c r="CA86" s="239"/>
      <c r="CB86" s="239"/>
      <c r="CC86" s="239"/>
      <c r="CD86" s="275"/>
      <c r="CE86" s="277"/>
      <c r="CF86" s="285"/>
      <c r="CG86" s="285"/>
      <c r="CH86" s="285"/>
      <c r="CI86" s="285"/>
      <c r="CJ86" s="285"/>
      <c r="CK86" s="285"/>
      <c r="CL86" s="238"/>
      <c r="CM86" s="238"/>
      <c r="CN86" s="238"/>
      <c r="CO86" s="238"/>
      <c r="CP86" s="238"/>
      <c r="CQ86" s="238"/>
      <c r="CR86" s="238"/>
      <c r="CS86" s="238"/>
      <c r="CT86" s="238"/>
      <c r="CU86" s="238"/>
      <c r="CV86" s="238"/>
      <c r="CW86" s="239"/>
      <c r="CX86" s="239"/>
      <c r="CY86" s="239"/>
      <c r="CZ86" s="275"/>
    </row>
    <row r="87" spans="1:104" s="276" customFormat="1">
      <c r="A87" s="277" t="s">
        <v>198</v>
      </c>
      <c r="B87" s="238"/>
      <c r="C87" s="238"/>
      <c r="D87" s="238"/>
      <c r="E87" s="238"/>
      <c r="F87" s="238"/>
      <c r="G87" s="238"/>
      <c r="H87" s="238"/>
      <c r="I87" s="238"/>
      <c r="J87" s="238"/>
      <c r="K87" s="238"/>
      <c r="L87" s="238"/>
      <c r="M87" s="238"/>
      <c r="N87" s="238"/>
      <c r="O87" s="238"/>
      <c r="P87" s="238"/>
      <c r="Q87" s="238"/>
      <c r="R87" s="238"/>
      <c r="S87" s="238"/>
      <c r="T87" s="238"/>
      <c r="U87" s="238"/>
      <c r="V87" s="238"/>
      <c r="W87" s="238"/>
      <c r="X87" s="238"/>
      <c r="Y87" s="238"/>
      <c r="Z87" s="238"/>
      <c r="AA87" s="238"/>
      <c r="AB87" s="238"/>
      <c r="AC87" s="238"/>
      <c r="AD87" s="238"/>
      <c r="AE87" s="238"/>
      <c r="AF87" s="238"/>
      <c r="AG87" s="238"/>
      <c r="AH87" s="238"/>
      <c r="AI87" s="238"/>
      <c r="AJ87" s="238"/>
      <c r="AK87" s="238"/>
      <c r="AL87" s="238"/>
      <c r="AM87" s="238"/>
      <c r="AN87" s="238"/>
      <c r="AO87" s="238"/>
      <c r="AP87" s="239"/>
      <c r="AQ87" s="239"/>
      <c r="AR87" s="239"/>
      <c r="AS87" s="239"/>
      <c r="AT87" s="238"/>
      <c r="AU87" s="238"/>
      <c r="AV87" s="239"/>
      <c r="AW87" s="239"/>
      <c r="AX87" s="238"/>
      <c r="AY87" s="298"/>
      <c r="AZ87" s="298"/>
      <c r="BA87" s="298"/>
      <c r="BB87" s="298"/>
      <c r="BC87" s="298"/>
      <c r="BD87" s="239"/>
      <c r="BE87" s="239"/>
      <c r="BF87" s="239"/>
      <c r="BG87" s="239"/>
      <c r="BH87" s="239"/>
      <c r="BI87" s="239"/>
      <c r="BJ87" s="239"/>
      <c r="BK87" s="239"/>
      <c r="BL87" s="239"/>
      <c r="BM87" s="239"/>
      <c r="BN87" s="239"/>
      <c r="BO87" s="239"/>
      <c r="BP87" s="239"/>
      <c r="BQ87" s="239"/>
      <c r="BR87" s="239"/>
      <c r="BS87" s="239"/>
      <c r="BT87" s="239"/>
      <c r="BU87" s="239"/>
      <c r="BV87" s="239"/>
      <c r="BW87" s="239"/>
      <c r="BX87" s="239"/>
      <c r="BY87" s="239"/>
      <c r="BZ87" s="239"/>
      <c r="CA87" s="239"/>
      <c r="CB87" s="239"/>
      <c r="CC87" s="239"/>
      <c r="CD87" s="275"/>
      <c r="CE87" s="277"/>
      <c r="CF87" s="285"/>
      <c r="CG87" s="285"/>
      <c r="CH87" s="285"/>
      <c r="CI87" s="285"/>
      <c r="CJ87" s="285"/>
      <c r="CK87" s="285"/>
      <c r="CL87" s="238"/>
      <c r="CM87" s="238" t="e">
        <f t="shared" ref="CM87:CY87" si="136">CM85/CL85-1</f>
      </c>
      <c r="CN87" s="238" t="e">
        <f t="shared" si="136"/>
      </c>
      <c r="CO87" s="238" t="e">
        <f t="shared" si="136"/>
      </c>
      <c r="CP87" s="238">
        <f t="shared" si="136"/>
      </c>
      <c r="CQ87" s="238">
        <f t="shared" si="136"/>
      </c>
      <c r="CR87" s="238" t="e">
        <f t="shared" si="136"/>
      </c>
      <c r="CS87" s="238">
        <f t="shared" si="136"/>
      </c>
      <c r="CT87" s="238">
        <f t="shared" si="136"/>
      </c>
      <c r="CU87" s="238" t="e">
        <f t="shared" si="136"/>
      </c>
      <c r="CV87" s="238" t="e">
        <f t="shared" si="136"/>
      </c>
      <c r="CW87" s="239" t="e">
        <f t="shared" si="136"/>
      </c>
      <c r="CX87" s="239" t="e">
        <f t="shared" si="136"/>
      </c>
      <c r="CY87" s="239" t="e">
        <f t="shared" si="136"/>
      </c>
      <c r="CZ87" s="275"/>
    </row>
    <row r="88" spans="1:104" s="276" customFormat="1">
      <c r="A88" s="63"/>
      <c r="B88" s="238"/>
      <c r="C88" s="238"/>
      <c r="D88" s="238"/>
      <c r="E88" s="238"/>
      <c r="F88" s="238"/>
      <c r="G88" s="238"/>
      <c r="H88" s="238"/>
      <c r="I88" s="238"/>
      <c r="J88" s="238"/>
      <c r="K88" s="238"/>
      <c r="L88" s="238"/>
      <c r="M88" s="238"/>
      <c r="N88" s="238"/>
      <c r="O88" s="238"/>
      <c r="P88" s="238"/>
      <c r="Q88" s="238"/>
      <c r="R88" s="238"/>
      <c r="S88" s="238"/>
      <c r="T88" s="238"/>
      <c r="U88" s="238"/>
      <c r="V88" s="238"/>
      <c r="W88" s="238"/>
      <c r="X88" s="238"/>
      <c r="Y88" s="238"/>
      <c r="Z88" s="238"/>
      <c r="AA88" s="238"/>
      <c r="AB88" s="238"/>
      <c r="AC88" s="238"/>
      <c r="AD88" s="238"/>
      <c r="AE88" s="238"/>
      <c r="AF88" s="238"/>
      <c r="AG88" s="238"/>
      <c r="AH88" s="238"/>
      <c r="AI88" s="238"/>
      <c r="AJ88" s="238"/>
      <c r="AK88" s="238"/>
      <c r="AL88" s="238"/>
      <c r="AM88" s="238"/>
      <c r="AN88" s="238"/>
      <c r="AO88" s="238"/>
      <c r="AP88" s="249"/>
      <c r="AQ88" s="238"/>
      <c r="AR88" s="238"/>
      <c r="AS88" s="238"/>
      <c r="AT88" s="238"/>
      <c r="AU88" s="238"/>
      <c r="AV88" s="238"/>
      <c r="AW88" s="238"/>
      <c r="AX88" s="238"/>
      <c r="AY88" s="238"/>
      <c r="AZ88" s="238"/>
      <c r="BA88" s="238"/>
      <c r="BB88" s="238">
        <v>-9.5192700531118057E-2</v>
      </c>
      <c r="BC88" s="238">
        <v>0.17143287176399746</v>
      </c>
      <c r="BD88" s="238">
        <v>0.13647693691378637</v>
      </c>
      <c r="BE88" s="238">
        <v>0.23772341056291668</v>
      </c>
      <c r="BF88" s="238">
        <v>2.9876830892143769E-2</v>
      </c>
      <c r="BG88" s="238">
        <v>0.16213451589061356</v>
      </c>
      <c r="BH88" s="238">
        <v>0.24201035211434796</v>
      </c>
      <c r="BI88" s="238">
        <v>-0.12079965971926843</v>
      </c>
      <c r="BJ88" s="238">
        <v>9.0957731407168563E-3</v>
      </c>
      <c r="BK88" s="238">
        <v>-6.0389979175869191E-2</v>
      </c>
      <c r="BL88" s="238">
        <v>-0.10241773002014776</v>
      </c>
      <c r="BM88" s="238">
        <v>-0.17149270482603818</v>
      </c>
      <c r="BN88" s="238">
        <v>-0.35898130587916555</v>
      </c>
      <c r="BO88" s="238">
        <v>-0.35</v>
      </c>
      <c r="BP88" s="238">
        <v>-0.19999999999999996</v>
      </c>
      <c r="BQ88" s="238">
        <v>0</v>
      </c>
      <c r="BR88" s="238">
        <v>-0.15000000000000013</v>
      </c>
      <c r="BS88" s="238">
        <v>4.9999999999999822E-2</v>
      </c>
      <c r="BT88" s="238">
        <v>0.20000000000000018</v>
      </c>
      <c r="BU88" s="238">
        <v>0.14999999999999991</v>
      </c>
      <c r="BV88" s="238">
        <v>-0.15000000000000002</v>
      </c>
      <c r="BW88" s="238">
        <v>4.9999999999999822E-2</v>
      </c>
      <c r="BX88" s="238">
        <v>0.14999999999999991</v>
      </c>
      <c r="BY88" s="238">
        <v>0.10000000000000009</v>
      </c>
      <c r="BZ88" s="238">
        <v>-0.15000000000000002</v>
      </c>
      <c r="CA88" s="238">
        <v>4.9999999999999822E-2</v>
      </c>
      <c r="CB88" s="238">
        <v>0.14999999999999991</v>
      </c>
      <c r="CC88" s="238">
        <v>0.10000000000000009</v>
      </c>
      <c r="CD88" s="275"/>
      <c r="CE88" s="277"/>
      <c r="CF88" s="285"/>
      <c r="CG88" s="285"/>
      <c r="CH88" s="285"/>
      <c r="CI88" s="285"/>
      <c r="CJ88" s="285"/>
      <c r="CK88" s="285"/>
      <c r="CL88" s="286"/>
      <c r="CM88" s="286"/>
      <c r="CN88" s="286"/>
      <c r="CO88" s="256"/>
      <c r="CP88" s="256"/>
      <c r="CQ88" s="256"/>
      <c r="CR88" s="256"/>
      <c r="CS88" s="256"/>
      <c r="CT88" s="256"/>
      <c r="CU88" s="256"/>
      <c r="CV88" s="256"/>
      <c r="CW88" s="299"/>
      <c r="CX88" s="299"/>
      <c r="CY88" s="299"/>
      <c r="CZ88" s="275"/>
    </row>
    <row r="89" spans="1:104" s="270" customFormat="1" ht="15.6">
      <c r="A89" s="268" t="s">
        <v>547</v>
      </c>
      <c r="B89" s="225"/>
      <c r="C89" s="225"/>
      <c r="D89" s="225"/>
      <c r="E89" s="225"/>
      <c r="F89" s="225"/>
      <c r="G89" s="225"/>
      <c r="H89" s="225"/>
      <c r="I89" s="225"/>
      <c r="J89" s="225"/>
      <c r="K89" s="225"/>
      <c r="L89" s="225"/>
      <c r="M89" s="225"/>
      <c r="N89" s="225"/>
      <c r="O89" s="225"/>
      <c r="P89" s="225"/>
      <c r="Q89" s="225"/>
      <c r="R89" s="225"/>
      <c r="S89" s="225"/>
      <c r="T89" s="225"/>
      <c r="U89" s="225"/>
      <c r="V89" s="225"/>
      <c r="W89" s="225"/>
      <c r="X89" s="225"/>
      <c r="Y89" s="225"/>
      <c r="Z89" s="225"/>
      <c r="AA89" s="225"/>
      <c r="AB89" s="225"/>
      <c r="AC89" s="225"/>
      <c r="AD89" s="225"/>
      <c r="AE89" s="225"/>
      <c r="AF89" s="225"/>
      <c r="AG89" s="225"/>
      <c r="AH89" s="225"/>
      <c r="AI89" s="225"/>
      <c r="AJ89" s="225"/>
      <c r="AK89" s="225"/>
      <c r="AL89" s="300"/>
      <c r="AM89" s="300"/>
      <c r="AN89" s="225"/>
      <c r="AO89" s="225"/>
      <c r="AP89" s="296"/>
      <c r="AQ89" s="296"/>
      <c r="AR89" s="296"/>
      <c r="AS89" s="296"/>
      <c r="AT89" s="296"/>
      <c r="AU89" s="296"/>
      <c r="AV89" s="296"/>
      <c r="AW89" s="296"/>
      <c r="AX89" s="225"/>
      <c r="AY89" s="225"/>
      <c r="AZ89" s="225"/>
      <c r="BA89" s="225"/>
      <c r="BB89" s="269"/>
      <c r="BC89" s="269"/>
      <c r="BD89" s="269"/>
      <c r="BE89" s="269"/>
      <c r="BF89" s="269"/>
      <c r="BG89" s="269"/>
      <c r="BH89" s="269"/>
      <c r="BI89" s="269"/>
      <c r="BJ89" s="269"/>
      <c r="BK89" s="269"/>
      <c r="BL89" s="269"/>
      <c r="BM89" s="269"/>
      <c r="BN89" s="269"/>
      <c r="BO89" s="269"/>
      <c r="BP89" s="269"/>
      <c r="BQ89" s="269"/>
      <c r="BR89" s="269"/>
      <c r="BS89" s="269"/>
      <c r="BT89" s="269"/>
      <c r="BU89" s="269"/>
      <c r="BV89" s="269"/>
      <c r="BW89" s="269"/>
      <c r="BX89" s="269"/>
      <c r="BY89" s="269"/>
      <c r="BZ89" s="269"/>
      <c r="CA89" s="269"/>
      <c r="CB89" s="269"/>
      <c r="CC89" s="269"/>
      <c r="CD89" s="227"/>
      <c r="CE89" s="227"/>
      <c r="CF89" s="225"/>
      <c r="CG89" s="225"/>
      <c r="CH89" s="225"/>
      <c r="CI89" s="225"/>
      <c r="CJ89" s="225"/>
      <c r="CK89" s="225"/>
      <c r="CL89" s="225"/>
      <c r="CM89" s="225"/>
      <c r="CN89" s="225"/>
      <c r="CO89" s="225"/>
      <c r="CP89" s="225"/>
      <c r="CQ89" s="225"/>
      <c r="CR89" s="225"/>
      <c r="CS89" s="301"/>
      <c r="CT89" s="301"/>
      <c r="CU89" s="301"/>
      <c r="CV89" s="301"/>
      <c r="CW89" s="225"/>
      <c r="CX89" s="225"/>
      <c r="CY89" s="225"/>
      <c r="CZ89" s="227"/>
    </row>
    <row r="90" spans="1:104" s="235" customFormat="1">
      <c r="A90" s="653" t="s">
        <v>548</v>
      </c>
      <c r="AI90" s="235">
        <f>5500*0.12</f>
      </c>
      <c r="AJ90" s="235">
        <f>AI90*3</f>
      </c>
      <c r="AK90" s="235">
        <f>AJ90*1.1</f>
      </c>
      <c r="AL90" s="235">
        <f>AK90*1.6</f>
      </c>
      <c r="AM90" s="235">
        <f>AL90*1.1</f>
      </c>
      <c r="AN90" s="235">
        <f>AM90*1.65</f>
      </c>
      <c r="AO90" s="235">
        <f>AN90*1.11</f>
      </c>
      <c r="AP90" s="235">
        <f>AO90*0.9</f>
      </c>
      <c r="AQ90" s="235">
        <f>AP90*1.087</f>
      </c>
      <c r="AR90" s="235">
        <f>AQ90*(1+AR91)</f>
      </c>
      <c r="AS90" s="235">
        <f t="shared" ref="AS90:CC90" si="137">AR90*(1+AS91)</f>
      </c>
      <c r="AT90" s="235">
        <f t="shared" si="137"/>
      </c>
      <c r="AU90" s="235">
        <f>AT90*(1+AU91)</f>
      </c>
      <c r="AV90" s="235">
        <f>AU90*(1+AV91)</f>
      </c>
      <c r="AW90" s="235">
        <f t="shared" si="137"/>
      </c>
      <c r="AX90" s="235">
        <f t="shared" si="137"/>
      </c>
      <c r="AY90" s="235">
        <f t="shared" si="137"/>
      </c>
      <c r="AZ90" s="235">
        <f t="shared" si="137"/>
      </c>
      <c r="BA90" s="235">
        <f t="shared" si="137"/>
      </c>
      <c r="BB90" s="235">
        <f t="shared" si="137"/>
      </c>
      <c r="BC90" s="235">
        <f t="shared" si="137"/>
      </c>
      <c r="BD90" s="235">
        <f t="shared" si="137"/>
      </c>
      <c r="BE90" s="235">
        <f t="shared" si="137"/>
      </c>
      <c r="BF90" s="235">
        <f t="shared" si="137"/>
      </c>
      <c r="BG90" s="235">
        <f t="shared" si="137"/>
      </c>
      <c r="BH90" s="235">
        <f t="shared" si="137"/>
      </c>
      <c r="BI90" s="235">
        <f t="shared" si="137"/>
      </c>
      <c r="BJ90" s="235">
        <f t="shared" si="137"/>
      </c>
      <c r="BK90" s="235">
        <f t="shared" si="137"/>
      </c>
      <c r="BL90" s="235">
        <f t="shared" si="137"/>
      </c>
      <c r="BM90" s="235">
        <f t="shared" si="137"/>
      </c>
      <c r="BN90" s="235">
        <f t="shared" si="137"/>
      </c>
      <c r="BO90" s="235">
        <f t="shared" si="137"/>
      </c>
      <c r="BP90" s="235">
        <f t="shared" si="137"/>
      </c>
      <c r="BQ90" s="235">
        <f t="shared" si="137"/>
      </c>
      <c r="BR90" s="235">
        <f t="shared" si="137"/>
      </c>
      <c r="BS90" s="235">
        <f t="shared" si="137"/>
      </c>
      <c r="BT90" s="236">
        <f t="shared" si="137"/>
      </c>
      <c r="BU90" s="236">
        <f t="shared" si="137"/>
      </c>
      <c r="BV90" s="236">
        <f t="shared" si="137"/>
      </c>
      <c r="BW90" s="236">
        <f t="shared" si="137"/>
      </c>
      <c r="BX90" s="236">
        <f t="shared" si="137"/>
      </c>
      <c r="BY90" s="236">
        <f t="shared" si="137"/>
      </c>
      <c r="BZ90" s="236">
        <f t="shared" si="137"/>
      </c>
      <c r="CA90" s="236">
        <f t="shared" si="137"/>
      </c>
      <c r="CB90" s="236">
        <f t="shared" si="137"/>
      </c>
      <c r="CC90" s="236">
        <f t="shared" si="137"/>
      </c>
      <c r="CD90" s="273"/>
      <c r="CE90" s="280"/>
      <c r="CF90" s="654"/>
      <c r="CG90" s="654"/>
      <c r="CH90" s="654"/>
      <c r="CI90" s="654"/>
      <c r="CJ90" s="654"/>
      <c r="CK90" s="654"/>
      <c r="CL90" s="654"/>
      <c r="CN90" s="235">
        <f>SUM(AI90:AK90)</f>
      </c>
      <c r="CO90" s="235">
        <f>SUM(AL90:AO90)</f>
      </c>
      <c r="CP90" s="235">
        <f>SUM(AP90:AS90)</f>
      </c>
      <c r="CQ90" s="235">
        <f>SUM(AT90:AW90)</f>
      </c>
      <c r="CR90" s="235">
        <f>AX90+AY90+AZ90+BA90</f>
      </c>
      <c r="CS90" s="235">
        <f>BB90+BC90+BD90+BE90</f>
      </c>
      <c r="CT90" s="235">
        <f>+SUM(BF90:BI90)</f>
      </c>
      <c r="CU90" s="235">
        <f>+SUM(BJ90:BM90)</f>
      </c>
      <c r="CV90" s="235">
        <f>+SUM(BN90:BQ90)</f>
      </c>
      <c r="CW90" s="236">
        <f>+SUM(BR90:BU90)</f>
      </c>
      <c r="CX90" s="236">
        <f>SUM(BV90:BY90)</f>
      </c>
      <c r="CY90" s="236">
        <f>SUM(BZ90:CC90)</f>
      </c>
      <c r="CZ90" s="273"/>
    </row>
    <row r="91" spans="1:104" s="276" customFormat="1">
      <c r="A91" s="63" t="s">
        <v>196</v>
      </c>
      <c r="B91" s="238"/>
      <c r="C91" s="238"/>
      <c r="D91" s="238"/>
      <c r="E91" s="238"/>
      <c r="F91" s="238"/>
      <c r="G91" s="238"/>
      <c r="H91" s="238"/>
      <c r="I91" s="238"/>
      <c r="J91" s="238"/>
      <c r="K91" s="238"/>
      <c r="L91" s="238"/>
      <c r="M91" s="238"/>
      <c r="N91" s="238"/>
      <c r="O91" s="238"/>
      <c r="P91" s="238"/>
      <c r="Q91" s="238"/>
      <c r="R91" s="238"/>
      <c r="S91" s="238"/>
      <c r="T91" s="238"/>
      <c r="U91" s="238"/>
      <c r="V91" s="238"/>
      <c r="W91" s="238"/>
      <c r="X91" s="238"/>
      <c r="Y91" s="238"/>
      <c r="Z91" s="238"/>
      <c r="AA91" s="238"/>
      <c r="AB91" s="238"/>
      <c r="AC91" s="238"/>
      <c r="AD91" s="238"/>
      <c r="AE91" s="238"/>
      <c r="AF91" s="238"/>
      <c r="AG91" s="238"/>
      <c r="AH91" s="238"/>
      <c r="AI91" s="238"/>
      <c r="AJ91" s="238">
        <f t="shared" ref="AJ91:AQ91" si="138">AJ90/AI90-1</f>
      </c>
      <c r="AK91" s="238">
        <f t="shared" si="138"/>
      </c>
      <c r="AL91" s="238">
        <f t="shared" si="138"/>
      </c>
      <c r="AM91" s="238">
        <f t="shared" si="138"/>
      </c>
      <c r="AN91" s="238">
        <f t="shared" si="138"/>
      </c>
      <c r="AO91" s="238">
        <f t="shared" si="138"/>
      </c>
      <c r="AP91" s="238">
        <f t="shared" si="138"/>
      </c>
      <c r="AQ91" s="238">
        <f t="shared" si="138"/>
      </c>
      <c r="AR91" s="238">
        <v>-0.25</v>
      </c>
      <c r="AS91" s="238">
        <v>-0.85</v>
      </c>
      <c r="AT91" s="238">
        <v>-0.15</v>
      </c>
      <c r="AU91" s="238">
        <v>9.4</v>
      </c>
      <c r="AV91" s="238">
        <v>0</v>
      </c>
      <c r="AW91" s="238">
        <v>-0.7</v>
      </c>
      <c r="AX91" s="238">
        <v>0.8</v>
      </c>
      <c r="AY91" s="238">
        <v>0.5</v>
      </c>
      <c r="AZ91" s="238">
        <v>0.25</v>
      </c>
      <c r="BA91" s="238">
        <v>-0.5</v>
      </c>
      <c r="BB91" s="238">
        <v>0.2</v>
      </c>
      <c r="BC91" s="238">
        <v>0.46</v>
      </c>
      <c r="BD91" s="238">
        <v>0.3</v>
      </c>
      <c r="BE91" s="238">
        <v>-0.15</v>
      </c>
      <c r="BF91" s="238">
        <v>0.31</v>
      </c>
      <c r="BG91" s="238">
        <v>-0.16500000000000001</v>
      </c>
      <c r="BH91" s="238">
        <v>-0.115</v>
      </c>
      <c r="BI91" s="238">
        <v>-0.1</v>
      </c>
      <c r="BJ91" s="238">
        <v>0.25</v>
      </c>
      <c r="BK91" s="238">
        <v>-0.05</v>
      </c>
      <c r="BL91" s="238">
        <v>-0.05</v>
      </c>
      <c r="BM91" s="238">
        <v>-0.15</v>
      </c>
      <c r="BN91" s="238">
        <v>-0.3</v>
      </c>
      <c r="BO91" s="238">
        <v>-0.15</v>
      </c>
      <c r="BP91" s="238">
        <v>0.05</v>
      </c>
      <c r="BQ91" s="238">
        <v>-0.05</v>
      </c>
      <c r="BR91" s="238">
        <v>-0.05</v>
      </c>
      <c r="BS91" s="238">
        <v>0.05</v>
      </c>
      <c r="BT91" s="239">
        <v>0.1</v>
      </c>
      <c r="BU91" s="239">
        <v>-0.05</v>
      </c>
      <c r="BV91" s="239">
        <v>-0.1</v>
      </c>
      <c r="BW91" s="239">
        <v>0.12</v>
      </c>
      <c r="BX91" s="239">
        <v>0.15</v>
      </c>
      <c r="BY91" s="239">
        <v>-0.1</v>
      </c>
      <c r="BZ91" s="239">
        <v>-0.1</v>
      </c>
      <c r="CA91" s="239">
        <v>0.12</v>
      </c>
      <c r="CB91" s="239">
        <v>0.15</v>
      </c>
      <c r="CC91" s="239">
        <v>-0.1</v>
      </c>
      <c r="CD91" s="275"/>
      <c r="CE91" s="277"/>
      <c r="CF91" s="285"/>
      <c r="CG91" s="285"/>
      <c r="CH91" s="285"/>
      <c r="CI91" s="285"/>
      <c r="CJ91" s="285"/>
      <c r="CK91" s="285"/>
      <c r="CL91" s="285"/>
      <c r="CM91" s="238"/>
      <c r="CN91" s="244"/>
      <c r="CO91" s="244"/>
      <c r="CP91" s="244"/>
      <c r="CQ91" s="244"/>
      <c r="CR91" s="244"/>
      <c r="CS91" s="244"/>
      <c r="CT91" s="244"/>
      <c r="CU91" s="244"/>
      <c r="CV91" s="244"/>
      <c r="CW91" s="244"/>
      <c r="CX91" s="244"/>
      <c r="CY91" s="244"/>
      <c r="CZ91" s="275"/>
    </row>
    <row r="92" spans="1:104" s="276" customFormat="1">
      <c r="A92" s="63" t="s">
        <v>198</v>
      </c>
      <c r="B92" s="238"/>
      <c r="C92" s="238"/>
      <c r="D92" s="238"/>
      <c r="E92" s="238"/>
      <c r="F92" s="238"/>
      <c r="G92" s="238"/>
      <c r="H92" s="238"/>
      <c r="I92" s="238"/>
      <c r="J92" s="238"/>
      <c r="K92" s="238"/>
      <c r="L92" s="238"/>
      <c r="M92" s="238"/>
      <c r="N92" s="238"/>
      <c r="O92" s="238"/>
      <c r="P92" s="238"/>
      <c r="Q92" s="238"/>
      <c r="R92" s="238"/>
      <c r="S92" s="238"/>
      <c r="T92" s="238"/>
      <c r="U92" s="238"/>
      <c r="V92" s="238"/>
      <c r="W92" s="238"/>
      <c r="X92" s="238"/>
      <c r="Y92" s="238"/>
      <c r="Z92" s="238"/>
      <c r="AA92" s="238"/>
      <c r="AB92" s="238"/>
      <c r="AC92" s="238"/>
      <c r="AD92" s="238"/>
      <c r="AE92" s="238"/>
      <c r="AF92" s="238"/>
      <c r="AG92" s="238"/>
      <c r="AH92" s="238"/>
      <c r="AI92" s="238"/>
      <c r="AJ92" s="238"/>
      <c r="AK92" s="238"/>
      <c r="AL92" s="238"/>
      <c r="AM92" s="238">
        <f t="shared" ref="AM92:CC92" si="139">AM90/AI90-1</f>
      </c>
      <c r="AN92" s="238">
        <f t="shared" si="139"/>
      </c>
      <c r="AO92" s="238">
        <f t="shared" si="139"/>
      </c>
      <c r="AP92" s="238">
        <f t="shared" si="139"/>
      </c>
      <c r="AQ92" s="238">
        <f t="shared" si="139"/>
      </c>
      <c r="AR92" s="238">
        <f t="shared" si="139"/>
      </c>
      <c r="AS92" s="238">
        <f t="shared" si="139"/>
      </c>
      <c r="AT92" s="238">
        <f t="shared" si="139"/>
      </c>
      <c r="AU92" s="238">
        <f t="shared" si="139"/>
      </c>
      <c r="AV92" s="238">
        <f t="shared" si="139"/>
      </c>
      <c r="AW92" s="238">
        <f t="shared" si="139"/>
      </c>
      <c r="AX92" s="238">
        <f t="shared" si="139"/>
      </c>
      <c r="AY92" s="238">
        <f t="shared" si="139"/>
      </c>
      <c r="AZ92" s="238">
        <f t="shared" si="139"/>
      </c>
      <c r="BA92" s="238">
        <f t="shared" si="139"/>
      </c>
      <c r="BB92" s="238">
        <f t="shared" si="139"/>
      </c>
      <c r="BC92" s="238">
        <f t="shared" si="139"/>
      </c>
      <c r="BD92" s="238">
        <f t="shared" si="139"/>
      </c>
      <c r="BE92" s="238">
        <f t="shared" si="139"/>
      </c>
      <c r="BF92" s="238">
        <f t="shared" si="139"/>
      </c>
      <c r="BG92" s="238">
        <f t="shared" si="139"/>
      </c>
      <c r="BH92" s="238">
        <f t="shared" si="139"/>
      </c>
      <c r="BI92" s="238">
        <f t="shared" si="139"/>
      </c>
      <c r="BJ92" s="238">
        <f t="shared" si="139"/>
      </c>
      <c r="BK92" s="238">
        <f t="shared" si="139"/>
      </c>
      <c r="BL92" s="238">
        <f t="shared" si="139"/>
      </c>
      <c r="BM92" s="238">
        <f t="shared" si="139"/>
      </c>
      <c r="BN92" s="238">
        <f t="shared" si="139"/>
      </c>
      <c r="BO92" s="238">
        <f t="shared" si="139"/>
      </c>
      <c r="BP92" s="238">
        <f t="shared" si="139"/>
      </c>
      <c r="BQ92" s="238">
        <f t="shared" si="139"/>
      </c>
      <c r="BR92" s="238">
        <f t="shared" si="139"/>
      </c>
      <c r="BS92" s="238">
        <f t="shared" si="139"/>
      </c>
      <c r="BT92" s="239">
        <f t="shared" si="139"/>
      </c>
      <c r="BU92" s="239">
        <f t="shared" si="139"/>
      </c>
      <c r="BV92" s="239">
        <f t="shared" si="139"/>
      </c>
      <c r="BW92" s="239">
        <f t="shared" si="139"/>
      </c>
      <c r="BX92" s="239">
        <f t="shared" si="139"/>
      </c>
      <c r="BY92" s="239">
        <f t="shared" si="139"/>
      </c>
      <c r="BZ92" s="239">
        <f t="shared" si="139"/>
      </c>
      <c r="CA92" s="239">
        <f t="shared" si="139"/>
      </c>
      <c r="CB92" s="239">
        <f t="shared" si="139"/>
      </c>
      <c r="CC92" s="239">
        <f t="shared" si="139"/>
      </c>
      <c r="CD92" s="275"/>
      <c r="CE92" s="277"/>
      <c r="CF92" s="285"/>
      <c r="CG92" s="285"/>
      <c r="CH92" s="285"/>
      <c r="CI92" s="285"/>
      <c r="CJ92" s="285"/>
      <c r="CK92" s="285"/>
      <c r="CL92" s="285"/>
      <c r="CM92" s="238"/>
      <c r="CN92" s="244"/>
      <c r="CO92" s="238">
        <f t="shared" ref="CO92:CY92" si="140">CO90/CN90-1</f>
      </c>
      <c r="CP92" s="238">
        <f t="shared" si="140"/>
      </c>
      <c r="CQ92" s="238">
        <f t="shared" si="140"/>
      </c>
      <c r="CR92" s="238">
        <f t="shared" si="140"/>
      </c>
      <c r="CS92" s="238">
        <f t="shared" si="140"/>
      </c>
      <c r="CT92" s="238">
        <f t="shared" si="140"/>
      </c>
      <c r="CU92" s="238">
        <f t="shared" si="140"/>
      </c>
      <c r="CV92" s="238">
        <f t="shared" si="140"/>
      </c>
      <c r="CW92" s="239">
        <f t="shared" si="140"/>
      </c>
      <c r="CX92" s="239">
        <f t="shared" si="140"/>
      </c>
      <c r="CY92" s="239">
        <f t="shared" si="140"/>
      </c>
      <c r="CZ92" s="275"/>
    </row>
    <row r="93" spans="1:104" s="235" customFormat="1">
      <c r="A93" s="653" t="s">
        <v>457</v>
      </c>
      <c r="AI93" s="235">
        <v>45</v>
      </c>
      <c r="AJ93" s="235">
        <f>AI93</f>
      </c>
      <c r="AK93" s="235">
        <f>AJ93</f>
      </c>
      <c r="AL93" s="235">
        <f>AK93</f>
      </c>
      <c r="AM93" s="235">
        <f>AL93*0.95</f>
      </c>
      <c r="AN93" s="235">
        <f>AM93</f>
      </c>
      <c r="AO93" s="235">
        <f>AN93</f>
      </c>
      <c r="AP93" s="235">
        <f>AO93</f>
      </c>
      <c r="AQ93" s="235">
        <f>AP93*0.95</f>
      </c>
      <c r="AR93" s="235">
        <f>AQ93</f>
      </c>
      <c r="AS93" s="235">
        <f>AR93</f>
      </c>
      <c r="AT93" s="235">
        <f>AS93</f>
      </c>
      <c r="AU93" s="235">
        <f>AT93</f>
      </c>
      <c r="AV93" s="235">
        <f>AU93</f>
      </c>
      <c r="AW93" s="235">
        <f t="shared" ref="AW93:CC93" si="141">+AV93*(1+AW94)</f>
      </c>
      <c r="AX93" s="235">
        <f t="shared" si="141"/>
      </c>
      <c r="AY93" s="235">
        <f t="shared" si="141"/>
      </c>
      <c r="AZ93" s="235">
        <f t="shared" si="141"/>
      </c>
      <c r="BA93" s="235">
        <f t="shared" si="141"/>
      </c>
      <c r="BB93" s="235">
        <f t="shared" si="141"/>
      </c>
      <c r="BC93" s="235">
        <f t="shared" si="141"/>
      </c>
      <c r="BD93" s="235">
        <f t="shared" si="141"/>
      </c>
      <c r="BE93" s="235">
        <f t="shared" si="141"/>
      </c>
      <c r="BF93" s="235">
        <f t="shared" si="141"/>
      </c>
      <c r="BG93" s="235">
        <f t="shared" si="141"/>
      </c>
      <c r="BH93" s="235">
        <f t="shared" si="141"/>
      </c>
      <c r="BI93" s="235">
        <f t="shared" si="141"/>
      </c>
      <c r="BJ93" s="235">
        <f t="shared" si="141"/>
      </c>
      <c r="BK93" s="235">
        <f t="shared" si="141"/>
      </c>
      <c r="BL93" s="235">
        <f t="shared" si="141"/>
      </c>
      <c r="BM93" s="235">
        <f t="shared" si="141"/>
      </c>
      <c r="BN93" s="235">
        <f t="shared" si="141"/>
      </c>
      <c r="BO93" s="235">
        <f t="shared" si="141"/>
      </c>
      <c r="BP93" s="235">
        <f t="shared" si="141"/>
      </c>
      <c r="BQ93" s="235">
        <f t="shared" si="141"/>
      </c>
      <c r="BR93" s="235">
        <f t="shared" si="141"/>
      </c>
      <c r="BS93" s="235">
        <f t="shared" si="141"/>
      </c>
      <c r="BT93" s="236">
        <f t="shared" si="141"/>
      </c>
      <c r="BU93" s="236">
        <f t="shared" si="141"/>
      </c>
      <c r="BV93" s="236">
        <f t="shared" si="141"/>
      </c>
      <c r="BW93" s="236">
        <f t="shared" si="141"/>
      </c>
      <c r="BX93" s="236">
        <f t="shared" si="141"/>
      </c>
      <c r="BY93" s="236">
        <f t="shared" si="141"/>
      </c>
      <c r="BZ93" s="236">
        <f t="shared" si="141"/>
      </c>
      <c r="CA93" s="236">
        <f t="shared" si="141"/>
      </c>
      <c r="CB93" s="236">
        <f t="shared" si="141"/>
      </c>
      <c r="CC93" s="236">
        <f t="shared" si="141"/>
      </c>
      <c r="CD93" s="236"/>
      <c r="CE93" s="280"/>
      <c r="CF93" s="654"/>
      <c r="CG93" s="654"/>
      <c r="CH93" s="654"/>
      <c r="CI93" s="654"/>
      <c r="CJ93" s="654"/>
      <c r="CK93" s="654"/>
      <c r="CL93" s="654"/>
      <c r="CN93" s="235">
        <f t="shared" ref="CN93:CY93" si="142">CN96/CN90*1000</f>
      </c>
      <c r="CO93" s="235">
        <f t="shared" si="142"/>
      </c>
      <c r="CP93" s="235">
        <f t="shared" si="142"/>
      </c>
      <c r="CQ93" s="235">
        <f t="shared" si="142"/>
      </c>
      <c r="CR93" s="235">
        <f t="shared" si="142"/>
      </c>
      <c r="CS93" s="235">
        <f t="shared" si="142"/>
      </c>
      <c r="CT93" s="235">
        <f t="shared" si="142"/>
      </c>
      <c r="CU93" s="235">
        <f t="shared" si="142"/>
      </c>
      <c r="CV93" s="235">
        <f t="shared" si="142"/>
      </c>
      <c r="CW93" s="236">
        <f t="shared" si="142"/>
      </c>
      <c r="CX93" s="236">
        <f t="shared" si="142"/>
      </c>
      <c r="CY93" s="236">
        <f t="shared" si="142"/>
      </c>
      <c r="CZ93" s="273"/>
    </row>
    <row r="94" spans="1:104" s="276" customFormat="1">
      <c r="A94" s="63" t="s">
        <v>196</v>
      </c>
      <c r="B94" s="238"/>
      <c r="C94" s="238"/>
      <c r="D94" s="238"/>
      <c r="E94" s="238"/>
      <c r="F94" s="238"/>
      <c r="G94" s="238"/>
      <c r="H94" s="238"/>
      <c r="I94" s="238"/>
      <c r="J94" s="238"/>
      <c r="K94" s="238"/>
      <c r="L94" s="238"/>
      <c r="M94" s="238"/>
      <c r="N94" s="238"/>
      <c r="O94" s="238"/>
      <c r="P94" s="238"/>
      <c r="Q94" s="238"/>
      <c r="R94" s="238"/>
      <c r="S94" s="238"/>
      <c r="T94" s="238"/>
      <c r="U94" s="238"/>
      <c r="V94" s="238"/>
      <c r="W94" s="238"/>
      <c r="X94" s="238"/>
      <c r="Y94" s="238"/>
      <c r="Z94" s="238"/>
      <c r="AA94" s="238"/>
      <c r="AB94" s="238"/>
      <c r="AC94" s="238"/>
      <c r="AD94" s="238"/>
      <c r="AE94" s="238"/>
      <c r="AF94" s="238"/>
      <c r="AG94" s="238"/>
      <c r="AH94" s="238"/>
      <c r="AI94" s="238"/>
      <c r="AJ94" s="238">
        <f>AJ93/AI93-1</f>
      </c>
      <c r="AK94" s="238">
        <f t="shared" ref="AK94:AQ94" si="143">AK93/AJ93-1</f>
      </c>
      <c r="AL94" s="238">
        <f t="shared" si="143"/>
      </c>
      <c r="AM94" s="238">
        <f t="shared" si="143"/>
      </c>
      <c r="AN94" s="238">
        <f t="shared" si="143"/>
      </c>
      <c r="AO94" s="238">
        <f t="shared" si="143"/>
      </c>
      <c r="AP94" s="238">
        <f t="shared" si="143"/>
      </c>
      <c r="AQ94" s="238">
        <f t="shared" si="143"/>
      </c>
      <c r="AR94" s="238">
        <f>AR93/AQ93-1</f>
      </c>
      <c r="AS94" s="238">
        <f>AS93/AR93-1</f>
      </c>
      <c r="AT94" s="238">
        <f>AT93/AS93-1</f>
      </c>
      <c r="AU94" s="238">
        <f>AU93/AT93-1</f>
      </c>
      <c r="AV94" s="238">
        <f>AV93/AU93-1</f>
      </c>
      <c r="AW94" s="238">
        <v>0</v>
      </c>
      <c r="AX94" s="238">
        <v>0</v>
      </c>
      <c r="AY94" s="238">
        <v>0</v>
      </c>
      <c r="AZ94" s="238">
        <v>0</v>
      </c>
      <c r="BA94" s="238">
        <v>0</v>
      </c>
      <c r="BB94" s="238">
        <v>0</v>
      </c>
      <c r="BC94" s="238">
        <v>0</v>
      </c>
      <c r="BD94" s="238">
        <v>0</v>
      </c>
      <c r="BE94" s="238">
        <v>0</v>
      </c>
      <c r="BF94" s="238">
        <v>0</v>
      </c>
      <c r="BG94" s="238">
        <v>0</v>
      </c>
      <c r="BH94" s="238">
        <v>0</v>
      </c>
      <c r="BI94" s="238">
        <v>0</v>
      </c>
      <c r="BJ94" s="238">
        <v>0</v>
      </c>
      <c r="BK94" s="238">
        <v>0</v>
      </c>
      <c r="BL94" s="238">
        <v>0</v>
      </c>
      <c r="BM94" s="238">
        <v>0</v>
      </c>
      <c r="BN94" s="238">
        <v>0</v>
      </c>
      <c r="BO94" s="238">
        <v>0</v>
      </c>
      <c r="BP94" s="238">
        <v>0</v>
      </c>
      <c r="BQ94" s="238">
        <v>0</v>
      </c>
      <c r="BR94" s="238">
        <v>0</v>
      </c>
      <c r="BS94" s="238">
        <v>0</v>
      </c>
      <c r="BT94" s="239">
        <v>0</v>
      </c>
      <c r="BU94" s="239">
        <v>0</v>
      </c>
      <c r="BV94" s="239">
        <v>0</v>
      </c>
      <c r="BW94" s="239">
        <v>0</v>
      </c>
      <c r="BX94" s="239">
        <v>0</v>
      </c>
      <c r="BY94" s="239">
        <v>0</v>
      </c>
      <c r="BZ94" s="239">
        <v>0</v>
      </c>
      <c r="CA94" s="239">
        <v>0</v>
      </c>
      <c r="CB94" s="239">
        <v>0</v>
      </c>
      <c r="CC94" s="239">
        <v>0</v>
      </c>
      <c r="CD94" s="275"/>
      <c r="CE94" s="277"/>
      <c r="CF94" s="285"/>
      <c r="CG94" s="285"/>
      <c r="CH94" s="285"/>
      <c r="CI94" s="285"/>
      <c r="CJ94" s="285"/>
      <c r="CK94" s="285"/>
      <c r="CL94" s="285"/>
      <c r="CM94" s="238"/>
      <c r="CN94" s="244"/>
      <c r="CO94" s="244"/>
      <c r="CP94" s="244"/>
      <c r="CQ94" s="244"/>
      <c r="CR94" s="244"/>
      <c r="CS94" s="244"/>
      <c r="CT94" s="244"/>
      <c r="CU94" s="244"/>
      <c r="CV94" s="244"/>
      <c r="CW94" s="247"/>
      <c r="CX94" s="247"/>
      <c r="CY94" s="247"/>
      <c r="CZ94" s="275"/>
    </row>
    <row r="95" spans="1:104" s="276" customFormat="1">
      <c r="A95" s="63" t="s">
        <v>198</v>
      </c>
      <c r="B95" s="238"/>
      <c r="C95" s="238"/>
      <c r="D95" s="238"/>
      <c r="E95" s="238"/>
      <c r="F95" s="238"/>
      <c r="G95" s="238"/>
      <c r="H95" s="238"/>
      <c r="I95" s="238"/>
      <c r="J95" s="238"/>
      <c r="K95" s="238"/>
      <c r="L95" s="238"/>
      <c r="M95" s="238"/>
      <c r="N95" s="238"/>
      <c r="O95" s="238"/>
      <c r="P95" s="238"/>
      <c r="Q95" s="238"/>
      <c r="R95" s="238"/>
      <c r="S95" s="238"/>
      <c r="T95" s="238"/>
      <c r="U95" s="238"/>
      <c r="V95" s="238"/>
      <c r="W95" s="238"/>
      <c r="X95" s="238"/>
      <c r="Y95" s="238"/>
      <c r="Z95" s="238"/>
      <c r="AA95" s="238"/>
      <c r="AB95" s="238"/>
      <c r="AC95" s="238"/>
      <c r="AD95" s="238"/>
      <c r="AE95" s="238"/>
      <c r="AF95" s="238"/>
      <c r="AG95" s="238"/>
      <c r="AH95" s="238"/>
      <c r="AI95" s="238"/>
      <c r="AJ95" s="238"/>
      <c r="AK95" s="238"/>
      <c r="AL95" s="238"/>
      <c r="AM95" s="238">
        <f t="shared" ref="AM95:CC95" si="144">AM93/AI93-1</f>
      </c>
      <c r="AN95" s="238">
        <f t="shared" si="144"/>
      </c>
      <c r="AO95" s="238">
        <f t="shared" si="144"/>
      </c>
      <c r="AP95" s="238">
        <f t="shared" si="144"/>
      </c>
      <c r="AQ95" s="238">
        <f t="shared" si="144"/>
      </c>
      <c r="AR95" s="238">
        <f t="shared" si="144"/>
      </c>
      <c r="AS95" s="238">
        <f t="shared" si="144"/>
      </c>
      <c r="AT95" s="238">
        <f t="shared" si="144"/>
      </c>
      <c r="AU95" s="238">
        <f t="shared" si="144"/>
      </c>
      <c r="AV95" s="238">
        <f t="shared" si="144"/>
      </c>
      <c r="AW95" s="238">
        <f t="shared" si="144"/>
      </c>
      <c r="AX95" s="238">
        <f t="shared" si="144"/>
      </c>
      <c r="AY95" s="238">
        <f>AY93/AU93-1</f>
      </c>
      <c r="AZ95" s="238">
        <f t="shared" si="144"/>
      </c>
      <c r="BA95" s="238">
        <f t="shared" si="144"/>
      </c>
      <c r="BB95" s="238">
        <f t="shared" si="144"/>
      </c>
      <c r="BC95" s="238">
        <f>BC93/AY93-1</f>
      </c>
      <c r="BD95" s="238">
        <f t="shared" si="144"/>
      </c>
      <c r="BE95" s="238">
        <f t="shared" si="144"/>
      </c>
      <c r="BF95" s="238">
        <f t="shared" si="144"/>
      </c>
      <c r="BG95" s="238">
        <f t="shared" si="144"/>
      </c>
      <c r="BH95" s="238">
        <f t="shared" si="144"/>
      </c>
      <c r="BI95" s="238">
        <f t="shared" si="144"/>
      </c>
      <c r="BJ95" s="238">
        <f t="shared" si="144"/>
      </c>
      <c r="BK95" s="238">
        <f t="shared" si="144"/>
      </c>
      <c r="BL95" s="238">
        <f t="shared" si="144"/>
      </c>
      <c r="BM95" s="238">
        <f t="shared" si="144"/>
      </c>
      <c r="BN95" s="238">
        <f t="shared" si="144"/>
      </c>
      <c r="BO95" s="238">
        <f t="shared" si="144"/>
      </c>
      <c r="BP95" s="238">
        <f t="shared" si="144"/>
      </c>
      <c r="BQ95" s="238">
        <f t="shared" si="144"/>
      </c>
      <c r="BR95" s="238">
        <f t="shared" si="144"/>
      </c>
      <c r="BS95" s="238">
        <f t="shared" si="144"/>
      </c>
      <c r="BT95" s="239">
        <f t="shared" si="144"/>
      </c>
      <c r="BU95" s="239">
        <f t="shared" si="144"/>
      </c>
      <c r="BV95" s="239">
        <f t="shared" si="144"/>
      </c>
      <c r="BW95" s="239">
        <f t="shared" si="144"/>
      </c>
      <c r="BX95" s="239">
        <f t="shared" si="144"/>
      </c>
      <c r="BY95" s="239">
        <f t="shared" si="144"/>
      </c>
      <c r="BZ95" s="239">
        <f t="shared" si="144"/>
      </c>
      <c r="CA95" s="239">
        <f t="shared" si="144"/>
      </c>
      <c r="CB95" s="239">
        <f t="shared" si="144"/>
      </c>
      <c r="CC95" s="239">
        <f t="shared" si="144"/>
      </c>
      <c r="CD95" s="275"/>
      <c r="CE95" s="277"/>
      <c r="CF95" s="285"/>
      <c r="CG95" s="285"/>
      <c r="CH95" s="285"/>
      <c r="CI95" s="285"/>
      <c r="CJ95" s="285"/>
      <c r="CK95" s="285"/>
      <c r="CL95" s="285"/>
      <c r="CM95" s="238"/>
      <c r="CN95" s="244"/>
      <c r="CO95" s="238">
        <f t="shared" ref="CO95:CY95" si="145">CO93/CN93-1</f>
      </c>
      <c r="CP95" s="238">
        <f t="shared" si="145"/>
      </c>
      <c r="CQ95" s="238">
        <f t="shared" si="145"/>
      </c>
      <c r="CR95" s="238">
        <f t="shared" si="145"/>
      </c>
      <c r="CS95" s="238">
        <f t="shared" si="145"/>
      </c>
      <c r="CT95" s="238">
        <f t="shared" si="145"/>
      </c>
      <c r="CU95" s="238">
        <f t="shared" si="145"/>
      </c>
      <c r="CV95" s="238">
        <f t="shared" si="145"/>
      </c>
      <c r="CW95" s="239">
        <f t="shared" si="145"/>
      </c>
      <c r="CX95" s="239">
        <f t="shared" si="145"/>
      </c>
      <c r="CY95" s="239">
        <f t="shared" si="145"/>
      </c>
      <c r="CZ95" s="275"/>
    </row>
    <row r="96" spans="1:104" s="235" customFormat="1">
      <c r="A96" s="653" t="s">
        <v>195</v>
      </c>
      <c r="AI96" s="235">
        <f t="shared" ref="AI96:CC96" si="146">AI90*AI93/1000</f>
      </c>
      <c r="AJ96" s="235">
        <f t="shared" si="146"/>
      </c>
      <c r="AK96" s="235">
        <f t="shared" si="146"/>
      </c>
      <c r="AL96" s="235">
        <f t="shared" si="146"/>
      </c>
      <c r="AM96" s="235">
        <f t="shared" si="146"/>
      </c>
      <c r="AN96" s="235">
        <f t="shared" si="146"/>
      </c>
      <c r="AO96" s="235">
        <f t="shared" si="146"/>
      </c>
      <c r="AP96" s="235">
        <f t="shared" si="146"/>
      </c>
      <c r="AQ96" s="235">
        <f t="shared" si="146"/>
      </c>
      <c r="AR96" s="235">
        <f t="shared" si="146"/>
      </c>
      <c r="AS96" s="235">
        <f t="shared" si="146"/>
      </c>
      <c r="AT96" s="235">
        <f t="shared" si="146"/>
      </c>
      <c r="AU96" s="235">
        <f t="shared" si="146"/>
      </c>
      <c r="AV96" s="235">
        <f t="shared" si="146"/>
      </c>
      <c r="AW96" s="235">
        <f t="shared" si="146"/>
      </c>
      <c r="AX96" s="235">
        <f t="shared" si="146"/>
      </c>
      <c r="AY96" s="235">
        <f t="shared" si="146"/>
      </c>
      <c r="AZ96" s="235">
        <f t="shared" si="146"/>
      </c>
      <c r="BA96" s="235">
        <f t="shared" si="146"/>
      </c>
      <c r="BB96" s="235">
        <f t="shared" si="146"/>
      </c>
      <c r="BC96" s="235">
        <f t="shared" si="146"/>
      </c>
      <c r="BD96" s="235">
        <f t="shared" si="146"/>
      </c>
      <c r="BE96" s="235">
        <f t="shared" si="146"/>
      </c>
      <c r="BF96" s="235">
        <f t="shared" si="146"/>
      </c>
      <c r="BG96" s="235">
        <f t="shared" si="146"/>
      </c>
      <c r="BH96" s="235">
        <f t="shared" si="146"/>
      </c>
      <c r="BI96" s="235">
        <f t="shared" si="146"/>
      </c>
      <c r="BJ96" s="235">
        <f t="shared" si="146"/>
      </c>
      <c r="BK96" s="235">
        <f t="shared" si="146"/>
      </c>
      <c r="BL96" s="235">
        <f t="shared" si="146"/>
      </c>
      <c r="BM96" s="235">
        <f t="shared" si="146"/>
      </c>
      <c r="BN96" s="235">
        <f t="shared" si="146"/>
      </c>
      <c r="BO96" s="235">
        <f t="shared" si="146"/>
      </c>
      <c r="BP96" s="235">
        <f t="shared" si="146"/>
      </c>
      <c r="BQ96" s="235">
        <f t="shared" si="146"/>
      </c>
      <c r="BR96" s="235">
        <f t="shared" si="146"/>
      </c>
      <c r="BS96" s="235">
        <f t="shared" si="146"/>
      </c>
      <c r="BT96" s="236">
        <f t="shared" si="146"/>
      </c>
      <c r="BU96" s="236">
        <f t="shared" si="146"/>
      </c>
      <c r="BV96" s="236">
        <f t="shared" si="146"/>
      </c>
      <c r="BW96" s="236">
        <f t="shared" si="146"/>
      </c>
      <c r="BX96" s="236">
        <f t="shared" si="146"/>
      </c>
      <c r="BY96" s="236">
        <f t="shared" si="146"/>
      </c>
      <c r="BZ96" s="236">
        <f t="shared" si="146"/>
      </c>
      <c r="CA96" s="236">
        <f t="shared" si="146"/>
      </c>
      <c r="CB96" s="236">
        <f t="shared" si="146"/>
      </c>
      <c r="CC96" s="236">
        <f t="shared" si="146"/>
      </c>
      <c r="CD96" s="273"/>
      <c r="CE96" s="280"/>
      <c r="CF96" s="654"/>
      <c r="CG96" s="654"/>
      <c r="CH96" s="654"/>
      <c r="CI96" s="654"/>
      <c r="CJ96" s="654"/>
      <c r="CK96" s="654"/>
      <c r="CL96" s="654"/>
      <c r="CN96" s="235">
        <f>SUM(AI96:AK96)</f>
      </c>
      <c r="CO96" s="235">
        <f>SUM(AL96:AO96)</f>
      </c>
      <c r="CP96" s="235">
        <f>SUM(AP96:AS96)</f>
      </c>
      <c r="CQ96" s="235">
        <f>SUM(AT96:AW96)</f>
      </c>
      <c r="CR96" s="235">
        <f>AX96+AY96+AZ96+BA96</f>
      </c>
      <c r="CS96" s="235">
        <f>BB96+BC96+BD96+BE96</f>
      </c>
      <c r="CT96" s="235">
        <f>+SUM(BF96:BI96)</f>
      </c>
      <c r="CU96" s="235">
        <f>+SUM(BJ96:BM96)</f>
      </c>
      <c r="CV96" s="235">
        <f>+SUM(BN96:BQ96)</f>
      </c>
      <c r="CW96" s="236">
        <f>+SUM(BR96:BU96)</f>
      </c>
      <c r="CX96" s="236">
        <f>SUM(BV96:BY96)</f>
      </c>
      <c r="CY96" s="236">
        <f>SUM(BZ96:CC96)</f>
      </c>
      <c r="CZ96" s="273"/>
    </row>
    <row r="97" spans="1:104" s="276" customFormat="1">
      <c r="A97" s="63" t="s">
        <v>196</v>
      </c>
      <c r="B97" s="238"/>
      <c r="C97" s="238"/>
      <c r="D97" s="238"/>
      <c r="E97" s="238"/>
      <c r="F97" s="238"/>
      <c r="G97" s="238"/>
      <c r="H97" s="238"/>
      <c r="I97" s="238"/>
      <c r="J97" s="238"/>
      <c r="K97" s="238"/>
      <c r="L97" s="238"/>
      <c r="M97" s="238"/>
      <c r="N97" s="238"/>
      <c r="O97" s="238"/>
      <c r="P97" s="238"/>
      <c r="Q97" s="238"/>
      <c r="R97" s="238"/>
      <c r="S97" s="238"/>
      <c r="T97" s="238"/>
      <c r="U97" s="238"/>
      <c r="V97" s="238"/>
      <c r="W97" s="238"/>
      <c r="X97" s="238"/>
      <c r="Y97" s="238"/>
      <c r="Z97" s="238"/>
      <c r="AA97" s="238"/>
      <c r="AB97" s="238"/>
      <c r="AC97" s="238"/>
      <c r="AD97" s="238"/>
      <c r="AE97" s="238"/>
      <c r="AF97" s="238"/>
      <c r="AG97" s="238"/>
      <c r="AH97" s="238"/>
      <c r="AI97" s="238"/>
      <c r="AJ97" s="238">
        <f t="shared" ref="AJ97:BD97" si="147">AJ96/AI96-1</f>
      </c>
      <c r="AK97" s="238">
        <f t="shared" si="147"/>
      </c>
      <c r="AL97" s="238">
        <f t="shared" si="147"/>
      </c>
      <c r="AM97" s="238">
        <f t="shared" si="147"/>
      </c>
      <c r="AN97" s="238">
        <f t="shared" si="147"/>
      </c>
      <c r="AO97" s="238">
        <f t="shared" si="147"/>
      </c>
      <c r="AP97" s="238">
        <f t="shared" si="147"/>
      </c>
      <c r="AQ97" s="238">
        <f t="shared" si="147"/>
      </c>
      <c r="AR97" s="238">
        <f t="shared" si="147"/>
      </c>
      <c r="AS97" s="238">
        <f t="shared" si="147"/>
      </c>
      <c r="AT97" s="238">
        <f t="shared" si="147"/>
      </c>
      <c r="AU97" s="238">
        <f t="shared" si="147"/>
      </c>
      <c r="AV97" s="238">
        <f t="shared" si="147"/>
      </c>
      <c r="AW97" s="238">
        <f t="shared" si="147"/>
      </c>
      <c r="AX97" s="238">
        <f t="shared" si="147"/>
      </c>
      <c r="AY97" s="238">
        <f t="shared" si="147"/>
      </c>
      <c r="AZ97" s="238">
        <f t="shared" si="147"/>
      </c>
      <c r="BA97" s="238">
        <f t="shared" si="147"/>
      </c>
      <c r="BB97" s="238">
        <f t="shared" si="147"/>
      </c>
      <c r="BC97" s="238">
        <f t="shared" si="147"/>
      </c>
      <c r="BD97" s="238">
        <f t="shared" si="147"/>
      </c>
      <c r="BE97" s="238">
        <v>-0.1</v>
      </c>
      <c r="BF97" s="238">
        <f t="shared" ref="BF97:CC97" si="148">BF96/BE96-1</f>
      </c>
      <c r="BG97" s="238">
        <f t="shared" si="148"/>
      </c>
      <c r="BH97" s="238">
        <f t="shared" si="148"/>
      </c>
      <c r="BI97" s="238">
        <f t="shared" si="148"/>
      </c>
      <c r="BJ97" s="238">
        <f t="shared" si="148"/>
      </c>
      <c r="BK97" s="238">
        <f t="shared" si="148"/>
      </c>
      <c r="BL97" s="238">
        <f t="shared" si="148"/>
      </c>
      <c r="BM97" s="238">
        <f t="shared" si="148"/>
      </c>
      <c r="BN97" s="238">
        <f t="shared" si="148"/>
      </c>
      <c r="BO97" s="238">
        <f t="shared" si="148"/>
      </c>
      <c r="BP97" s="238">
        <f t="shared" si="148"/>
      </c>
      <c r="BQ97" s="238">
        <f t="shared" si="148"/>
      </c>
      <c r="BR97" s="238">
        <f t="shared" si="148"/>
      </c>
      <c r="BS97" s="238">
        <f t="shared" si="148"/>
      </c>
      <c r="BT97" s="239">
        <f t="shared" si="148"/>
      </c>
      <c r="BU97" s="239">
        <f t="shared" si="148"/>
      </c>
      <c r="BV97" s="239">
        <f t="shared" si="148"/>
      </c>
      <c r="BW97" s="239">
        <f t="shared" si="148"/>
      </c>
      <c r="BX97" s="239">
        <f t="shared" si="148"/>
      </c>
      <c r="BY97" s="239">
        <f t="shared" si="148"/>
      </c>
      <c r="BZ97" s="239">
        <f t="shared" si="148"/>
      </c>
      <c r="CA97" s="239">
        <f t="shared" si="148"/>
      </c>
      <c r="CB97" s="239">
        <f t="shared" si="148"/>
      </c>
      <c r="CC97" s="239">
        <f t="shared" si="148"/>
      </c>
      <c r="CD97" s="275"/>
      <c r="CE97" s="277"/>
      <c r="CF97" s="285"/>
      <c r="CG97" s="285"/>
      <c r="CH97" s="285"/>
      <c r="CI97" s="285"/>
      <c r="CJ97" s="285"/>
      <c r="CK97" s="285"/>
      <c r="CL97" s="285"/>
      <c r="CM97" s="238"/>
      <c r="CN97" s="244"/>
      <c r="CO97" s="244"/>
      <c r="CP97" s="244"/>
      <c r="CQ97" s="244"/>
      <c r="CR97" s="244"/>
      <c r="CS97" s="244"/>
      <c r="CT97" s="244"/>
      <c r="CU97" s="244"/>
      <c r="CV97" s="244"/>
      <c r="CW97" s="247"/>
      <c r="CX97" s="247"/>
      <c r="CY97" s="247"/>
      <c r="CZ97" s="275"/>
    </row>
    <row r="98" spans="1:104" s="276" customFormat="1">
      <c r="A98" s="63" t="s">
        <v>198</v>
      </c>
      <c r="B98" s="238"/>
      <c r="C98" s="238"/>
      <c r="D98" s="238"/>
      <c r="E98" s="238"/>
      <c r="F98" s="238"/>
      <c r="G98" s="238"/>
      <c r="H98" s="238"/>
      <c r="I98" s="238"/>
      <c r="J98" s="238"/>
      <c r="K98" s="238"/>
      <c r="L98" s="238"/>
      <c r="M98" s="238"/>
      <c r="N98" s="238"/>
      <c r="O98" s="238"/>
      <c r="P98" s="238"/>
      <c r="Q98" s="238"/>
      <c r="R98" s="238"/>
      <c r="S98" s="238"/>
      <c r="T98" s="238"/>
      <c r="U98" s="238"/>
      <c r="V98" s="238"/>
      <c r="W98" s="238"/>
      <c r="X98" s="238"/>
      <c r="Y98" s="238"/>
      <c r="Z98" s="238"/>
      <c r="AA98" s="238"/>
      <c r="AB98" s="238"/>
      <c r="AC98" s="238"/>
      <c r="AD98" s="238"/>
      <c r="AE98" s="238"/>
      <c r="AF98" s="238"/>
      <c r="AG98" s="238"/>
      <c r="AH98" s="238"/>
      <c r="AI98" s="238"/>
      <c r="AJ98" s="238"/>
      <c r="AK98" s="238"/>
      <c r="AL98" s="238"/>
      <c r="AM98" s="238">
        <f t="shared" ref="AM98:CC98" si="149">AM96/AI96-1</f>
      </c>
      <c r="AN98" s="238">
        <f t="shared" si="149"/>
      </c>
      <c r="AO98" s="238">
        <f t="shared" si="149"/>
      </c>
      <c r="AP98" s="238">
        <f t="shared" si="149"/>
      </c>
      <c r="AQ98" s="238">
        <f t="shared" si="149"/>
      </c>
      <c r="AR98" s="238">
        <f t="shared" si="149"/>
      </c>
      <c r="AS98" s="238">
        <f t="shared" si="149"/>
      </c>
      <c r="AT98" s="238">
        <f t="shared" si="149"/>
      </c>
      <c r="AU98" s="238">
        <f t="shared" si="149"/>
      </c>
      <c r="AV98" s="238">
        <f t="shared" si="149"/>
      </c>
      <c r="AW98" s="238">
        <f t="shared" si="149"/>
      </c>
      <c r="AX98" s="238">
        <f t="shared" si="149"/>
      </c>
      <c r="AY98" s="238">
        <f t="shared" si="149"/>
      </c>
      <c r="AZ98" s="238">
        <f t="shared" si="149"/>
      </c>
      <c r="BA98" s="238">
        <f t="shared" si="149"/>
      </c>
      <c r="BB98" s="238">
        <f t="shared" si="149"/>
      </c>
      <c r="BC98" s="238">
        <f t="shared" si="149"/>
      </c>
      <c r="BD98" s="238">
        <f t="shared" si="149"/>
      </c>
      <c r="BE98" s="238">
        <f t="shared" si="149"/>
      </c>
      <c r="BF98" s="238">
        <f t="shared" si="149"/>
      </c>
      <c r="BG98" s="238">
        <f t="shared" si="149"/>
      </c>
      <c r="BH98" s="238">
        <f t="shared" si="149"/>
      </c>
      <c r="BI98" s="238">
        <f t="shared" si="149"/>
      </c>
      <c r="BJ98" s="238">
        <f t="shared" si="149"/>
      </c>
      <c r="BK98" s="238">
        <f t="shared" si="149"/>
      </c>
      <c r="BL98" s="238">
        <f t="shared" si="149"/>
      </c>
      <c r="BM98" s="238">
        <f t="shared" si="149"/>
      </c>
      <c r="BN98" s="238">
        <f t="shared" si="149"/>
      </c>
      <c r="BO98" s="238">
        <f t="shared" si="149"/>
      </c>
      <c r="BP98" s="238">
        <f t="shared" si="149"/>
      </c>
      <c r="BQ98" s="238">
        <f t="shared" si="149"/>
      </c>
      <c r="BR98" s="238">
        <f t="shared" si="149"/>
      </c>
      <c r="BS98" s="238">
        <f t="shared" si="149"/>
      </c>
      <c r="BT98" s="239">
        <f t="shared" si="149"/>
      </c>
      <c r="BU98" s="239">
        <f t="shared" si="149"/>
      </c>
      <c r="BV98" s="239">
        <f t="shared" si="149"/>
      </c>
      <c r="BW98" s="239">
        <f t="shared" si="149"/>
      </c>
      <c r="BX98" s="239">
        <f t="shared" si="149"/>
      </c>
      <c r="BY98" s="239">
        <f t="shared" si="149"/>
      </c>
      <c r="BZ98" s="239">
        <f t="shared" si="149"/>
      </c>
      <c r="CA98" s="239">
        <f t="shared" si="149"/>
      </c>
      <c r="CB98" s="239">
        <f t="shared" si="149"/>
      </c>
      <c r="CC98" s="239">
        <f t="shared" si="149"/>
      </c>
      <c r="CD98" s="275"/>
      <c r="CE98" s="277"/>
      <c r="CF98" s="285"/>
      <c r="CG98" s="285"/>
      <c r="CH98" s="285"/>
      <c r="CI98" s="285"/>
      <c r="CJ98" s="285"/>
      <c r="CK98" s="285"/>
      <c r="CL98" s="285"/>
      <c r="CM98" s="238"/>
      <c r="CN98" s="244"/>
      <c r="CO98" s="238">
        <f t="shared" ref="CO98:CY98" si="150">CO96/CN96-1</f>
      </c>
      <c r="CP98" s="238">
        <f t="shared" si="150"/>
      </c>
      <c r="CQ98" s="238">
        <f t="shared" si="150"/>
      </c>
      <c r="CR98" s="238">
        <f t="shared" si="150"/>
      </c>
      <c r="CS98" s="238">
        <f t="shared" si="150"/>
      </c>
      <c r="CT98" s="238">
        <f t="shared" si="150"/>
      </c>
      <c r="CU98" s="238">
        <f t="shared" si="150"/>
      </c>
      <c r="CV98" s="238">
        <f t="shared" si="150"/>
      </c>
      <c r="CW98" s="239">
        <f t="shared" si="150"/>
      </c>
      <c r="CX98" s="239">
        <f t="shared" si="150"/>
      </c>
      <c r="CY98" s="239">
        <f t="shared" si="150"/>
      </c>
      <c r="CZ98" s="275"/>
    </row>
    <row r="99" spans="1:104" s="276" customFormat="1">
      <c r="A99" s="660"/>
      <c r="B99" s="244"/>
      <c r="C99" s="244"/>
      <c r="D99" s="244"/>
      <c r="E99" s="244"/>
      <c r="F99" s="244"/>
      <c r="G99" s="244"/>
      <c r="H99" s="244"/>
      <c r="I99" s="244"/>
      <c r="J99" s="244"/>
      <c r="K99" s="244"/>
      <c r="L99" s="244"/>
      <c r="M99" s="244"/>
      <c r="N99" s="244"/>
      <c r="O99" s="244"/>
      <c r="P99" s="244"/>
      <c r="Q99" s="244"/>
      <c r="R99" s="244"/>
      <c r="S99" s="244"/>
      <c r="T99" s="244"/>
      <c r="U99" s="244"/>
      <c r="V99" s="244"/>
      <c r="W99" s="244"/>
      <c r="X99" s="244"/>
      <c r="Y99" s="244"/>
      <c r="Z99" s="244"/>
      <c r="AA99" s="244"/>
      <c r="AB99" s="244"/>
      <c r="AC99" s="244"/>
      <c r="AD99" s="244"/>
      <c r="AE99" s="244"/>
      <c r="AF99" s="244"/>
      <c r="AG99" s="244"/>
      <c r="AH99" s="244"/>
      <c r="AI99" s="661"/>
      <c r="AJ99" s="231"/>
      <c r="AK99" s="231"/>
      <c r="AL99" s="231"/>
      <c r="AM99" s="231"/>
      <c r="AN99" s="231"/>
      <c r="AO99" s="244"/>
      <c r="AP99" s="661"/>
      <c r="AQ99" s="244"/>
      <c r="AR99" s="661"/>
      <c r="AS99" s="661"/>
      <c r="AT99" s="661"/>
      <c r="AU99" s="295">
        <f>Worksheet!BW83-Gaming!AU96</f>
      </c>
      <c r="AV99" s="244"/>
      <c r="AW99" s="244"/>
      <c r="AX99" s="244"/>
      <c r="AY99" s="244"/>
      <c r="AZ99" s="244"/>
      <c r="BA99" s="244"/>
      <c r="BB99" s="244"/>
      <c r="BC99" s="244"/>
      <c r="BD99" s="244"/>
      <c r="BE99" s="244"/>
      <c r="BF99" s="244"/>
      <c r="BG99" s="244"/>
      <c r="BH99" s="244"/>
      <c r="BI99" s="244"/>
      <c r="BJ99" s="244"/>
      <c r="BK99" s="244"/>
      <c r="BL99" s="244"/>
      <c r="BM99" s="244"/>
      <c r="BN99" s="244"/>
      <c r="BO99" s="244"/>
      <c r="BP99" s="244"/>
      <c r="BQ99" s="244"/>
      <c r="BR99" s="244"/>
      <c r="BS99" s="244"/>
      <c r="BT99" s="244"/>
      <c r="BU99" s="244"/>
      <c r="BV99" s="244"/>
      <c r="BW99" s="244"/>
      <c r="BX99" s="244"/>
      <c r="BY99" s="244"/>
      <c r="BZ99" s="244"/>
      <c r="CA99" s="244"/>
      <c r="CB99" s="244"/>
      <c r="CC99" s="244"/>
      <c r="CD99" s="275"/>
      <c r="CE99" s="277"/>
      <c r="CF99" s="662"/>
      <c r="CG99" s="662"/>
      <c r="CH99" s="662"/>
      <c r="CI99" s="662"/>
      <c r="CJ99" s="662"/>
      <c r="CK99" s="662"/>
      <c r="CL99" s="662"/>
      <c r="CM99" s="244"/>
      <c r="CN99" s="663"/>
      <c r="CO99" s="663"/>
      <c r="CP99" s="663"/>
      <c r="CQ99" s="663"/>
      <c r="CR99" s="663"/>
      <c r="CS99" s="663"/>
      <c r="CT99" s="663"/>
      <c r="CU99" s="663"/>
      <c r="CV99" s="663"/>
      <c r="CW99" s="663"/>
      <c r="CX99" s="663"/>
      <c r="CY99" s="663"/>
      <c r="CZ99" s="273"/>
    </row>
    <row r="100" spans="1:104" s="270" customFormat="1" ht="15.6">
      <c r="A100" s="268" t="s">
        <v>549</v>
      </c>
      <c r="B100" s="225"/>
      <c r="C100" s="225"/>
      <c r="D100" s="225"/>
      <c r="E100" s="225"/>
      <c r="F100" s="225"/>
      <c r="G100" s="225"/>
      <c r="H100" s="225"/>
      <c r="I100" s="225"/>
      <c r="J100" s="225"/>
      <c r="K100" s="225"/>
      <c r="L100" s="225"/>
      <c r="M100" s="225"/>
      <c r="N100" s="225"/>
      <c r="O100" s="225"/>
      <c r="P100" s="225"/>
      <c r="Q100" s="225"/>
      <c r="R100" s="225"/>
      <c r="S100" s="225"/>
      <c r="T100" s="225"/>
      <c r="U100" s="225"/>
      <c r="V100" s="225"/>
      <c r="W100" s="225"/>
      <c r="X100" s="225"/>
      <c r="Y100" s="225"/>
      <c r="Z100" s="225"/>
      <c r="AA100" s="225"/>
      <c r="AB100" s="225"/>
      <c r="AC100" s="225"/>
      <c r="AD100" s="225"/>
      <c r="AE100" s="225"/>
      <c r="AF100" s="225"/>
      <c r="AG100" s="225"/>
      <c r="AH100" s="225"/>
      <c r="AI100" s="225"/>
      <c r="AJ100" s="225"/>
      <c r="AK100" s="225"/>
      <c r="AL100" s="300"/>
      <c r="AM100" s="300"/>
      <c r="AN100" s="225"/>
      <c r="AO100" s="225"/>
      <c r="AP100" s="300"/>
      <c r="AQ100" s="225"/>
      <c r="AR100" s="225"/>
      <c r="AS100" s="225"/>
      <c r="AT100" s="300"/>
      <c r="AU100" s="225"/>
      <c r="AV100" s="225"/>
      <c r="AW100" s="225"/>
      <c r="AX100" s="225"/>
      <c r="AY100" s="225"/>
      <c r="AZ100" s="225"/>
      <c r="BA100" s="225"/>
      <c r="BB100" s="225"/>
      <c r="BC100" s="225"/>
      <c r="BD100" s="225"/>
      <c r="BE100" s="225"/>
      <c r="BF100" s="225"/>
      <c r="BG100" s="225"/>
      <c r="BH100" s="225"/>
      <c r="BI100" s="225"/>
      <c r="BJ100" s="225"/>
      <c r="BK100" s="225"/>
      <c r="BL100" s="225"/>
      <c r="BM100" s="225"/>
      <c r="BN100" s="225"/>
      <c r="BO100" s="225"/>
      <c r="BP100" s="225"/>
      <c r="BQ100" s="225"/>
      <c r="BR100" s="225"/>
      <c r="BS100" s="225"/>
      <c r="BT100" s="225"/>
      <c r="BU100" s="225"/>
      <c r="BV100" s="225"/>
      <c r="BW100" s="225"/>
      <c r="BX100" s="225"/>
      <c r="BY100" s="225"/>
      <c r="BZ100" s="225"/>
      <c r="CA100" s="225"/>
      <c r="CB100" s="225"/>
      <c r="CC100" s="225"/>
      <c r="CD100" s="227"/>
      <c r="CE100" s="227"/>
      <c r="CF100" s="225"/>
      <c r="CG100" s="225"/>
      <c r="CH100" s="225"/>
      <c r="CI100" s="225"/>
      <c r="CJ100" s="225"/>
      <c r="CK100" s="225"/>
      <c r="CL100" s="225"/>
      <c r="CM100" s="225"/>
      <c r="CN100" s="225"/>
      <c r="CO100" s="225"/>
      <c r="CP100" s="225"/>
      <c r="CQ100" s="225"/>
      <c r="CR100" s="225"/>
      <c r="CS100" s="225"/>
      <c r="CT100" s="225"/>
      <c r="CU100" s="225"/>
      <c r="CV100" s="225"/>
      <c r="CW100" s="225"/>
      <c r="CX100" s="225"/>
      <c r="CY100" s="225"/>
      <c r="CZ100" s="227"/>
    </row>
    <row r="101" spans="1:104">
      <c r="A101" s="302" t="s">
        <v>195</v>
      </c>
      <c r="Z101" s="235">
        <f t="shared" ref="Z101:BE101" si="151">+Z96+Z79</f>
      </c>
      <c r="AA101" s="235">
        <f t="shared" si="151"/>
      </c>
      <c r="AB101" s="235">
        <f t="shared" si="151"/>
      </c>
      <c r="AC101" s="235">
        <f t="shared" si="151"/>
      </c>
      <c r="AD101" s="235">
        <f t="shared" si="151"/>
      </c>
      <c r="AE101" s="235">
        <f t="shared" si="151"/>
      </c>
      <c r="AF101" s="235">
        <f t="shared" si="151"/>
      </c>
      <c r="AG101" s="235">
        <f t="shared" si="151"/>
      </c>
      <c r="AH101" s="235">
        <f t="shared" si="151"/>
      </c>
      <c r="AI101" s="235">
        <f t="shared" si="151"/>
      </c>
      <c r="AJ101" s="235">
        <f t="shared" si="151"/>
      </c>
      <c r="AK101" s="235">
        <f t="shared" si="151"/>
      </c>
      <c r="AL101" s="235">
        <f t="shared" si="151"/>
      </c>
      <c r="AM101" s="235">
        <f t="shared" si="151"/>
      </c>
      <c r="AN101" s="235">
        <f t="shared" si="151"/>
      </c>
      <c r="AO101" s="235">
        <f t="shared" si="151"/>
      </c>
      <c r="AP101" s="235">
        <f t="shared" si="151"/>
      </c>
      <c r="AQ101" s="235">
        <f t="shared" si="151"/>
      </c>
      <c r="AR101" s="235">
        <f t="shared" si="151"/>
      </c>
      <c r="AS101" s="235">
        <f t="shared" si="151"/>
      </c>
      <c r="AT101" s="235">
        <f t="shared" si="151"/>
      </c>
      <c r="AU101" s="235">
        <f t="shared" si="151"/>
      </c>
      <c r="AV101" s="235">
        <f t="shared" si="151"/>
      </c>
      <c r="AW101" s="235">
        <f t="shared" si="151"/>
      </c>
      <c r="AX101" s="235">
        <f t="shared" si="151"/>
      </c>
      <c r="AY101" s="235">
        <f t="shared" si="151"/>
      </c>
      <c r="AZ101" s="235">
        <f t="shared" si="151"/>
      </c>
      <c r="BA101" s="235">
        <f t="shared" si="151"/>
      </c>
      <c r="BB101" s="235">
        <f t="shared" si="151"/>
      </c>
      <c r="BC101" s="235">
        <f t="shared" si="151"/>
      </c>
      <c r="BD101" s="235">
        <f t="shared" si="151"/>
      </c>
      <c r="BE101" s="235">
        <f t="shared" si="151"/>
      </c>
      <c r="BF101" s="235">
        <f t="shared" ref="BF101:CC101" si="152">+BF96+BF79</f>
      </c>
      <c r="BG101" s="235">
        <f t="shared" si="152"/>
      </c>
      <c r="BH101" s="235">
        <f t="shared" si="152"/>
      </c>
      <c r="BI101" s="235">
        <f t="shared" si="152"/>
      </c>
      <c r="BJ101" s="235">
        <f t="shared" si="152"/>
      </c>
      <c r="BK101" s="235">
        <f t="shared" si="152"/>
      </c>
      <c r="BL101" s="235">
        <f t="shared" si="152"/>
      </c>
      <c r="BM101" s="235">
        <f t="shared" si="152"/>
      </c>
      <c r="BN101" s="235">
        <f t="shared" si="152"/>
      </c>
      <c r="BO101" s="235">
        <f t="shared" si="152"/>
      </c>
      <c r="BP101" s="235">
        <f t="shared" si="152"/>
      </c>
      <c r="BQ101" s="235">
        <f t="shared" si="152"/>
      </c>
      <c r="BR101" s="235">
        <f t="shared" si="152"/>
      </c>
      <c r="BS101" s="235">
        <f t="shared" si="152"/>
      </c>
      <c r="BT101" s="236">
        <f t="shared" si="152"/>
      </c>
      <c r="BU101" s="236">
        <f t="shared" si="152"/>
      </c>
      <c r="BV101" s="236">
        <f t="shared" si="152"/>
      </c>
      <c r="BW101" s="236">
        <f t="shared" si="152"/>
      </c>
      <c r="BX101" s="236">
        <f t="shared" si="152"/>
      </c>
      <c r="BY101" s="236">
        <f t="shared" si="152"/>
      </c>
      <c r="BZ101" s="236">
        <f t="shared" si="152"/>
      </c>
      <c r="CA101" s="236">
        <f t="shared" si="152"/>
      </c>
      <c r="CB101" s="236">
        <f t="shared" si="152"/>
      </c>
      <c r="CC101" s="236">
        <f t="shared" si="152"/>
      </c>
      <c r="CE101" s="255"/>
      <c r="CL101" s="235">
        <f>SUM(Z101:AC101)</f>
      </c>
      <c r="CM101" s="235">
        <f>SUM(AD101:AG101)</f>
      </c>
      <c r="CN101" s="235">
        <f>SUM(AH101:AK101)</f>
      </c>
      <c r="CO101" s="235">
        <f>SUM(AL101:AO101)</f>
      </c>
      <c r="CP101" s="235">
        <f>SUM(AP101:AS101)</f>
      </c>
      <c r="CQ101" s="235">
        <f>AT101+AU101+AV101+AW101</f>
      </c>
      <c r="CR101" s="235">
        <f>AX101+AY101+AZ101+BA101</f>
      </c>
      <c r="CS101" s="235">
        <f>BB101+BC101+BD101+BE101</f>
      </c>
      <c r="CT101" s="235">
        <f>+SUM(BF101:BI101)</f>
      </c>
      <c r="CU101" s="235">
        <f>+SUM(BJ101:BM101)</f>
      </c>
      <c r="CV101" s="235">
        <f>+SUM(BN101:BQ101)</f>
      </c>
      <c r="CW101" s="236">
        <f>+SUM(BR101:BU101)</f>
      </c>
      <c r="CX101" s="236">
        <f>SUM(BV101:BY101)</f>
      </c>
      <c r="CY101" s="236">
        <f>SUM(BZ101:CC101)</f>
      </c>
      <c r="CZ101" s="275"/>
    </row>
    <row r="102" spans="1:104">
      <c r="A102" s="303" t="s">
        <v>196</v>
      </c>
      <c r="AA102" s="238">
        <f t="shared" ref="AA102:CC102" si="153">AA101/Z101-1</f>
      </c>
      <c r="AB102" s="238">
        <f t="shared" si="153"/>
      </c>
      <c r="AC102" s="238">
        <f t="shared" si="153"/>
      </c>
      <c r="AD102" s="238">
        <f t="shared" si="153"/>
      </c>
      <c r="AE102" s="238">
        <f t="shared" si="153"/>
      </c>
      <c r="AF102" s="238">
        <f t="shared" si="153"/>
      </c>
      <c r="AG102" s="238">
        <f t="shared" si="153"/>
      </c>
      <c r="AH102" s="238">
        <f t="shared" si="153"/>
      </c>
      <c r="AI102" s="238">
        <f t="shared" si="153"/>
      </c>
      <c r="AJ102" s="238">
        <f t="shared" si="153"/>
      </c>
      <c r="AK102" s="238">
        <f t="shared" si="153"/>
      </c>
      <c r="AL102" s="238">
        <f t="shared" si="153"/>
      </c>
      <c r="AM102" s="238">
        <f t="shared" si="153"/>
      </c>
      <c r="AN102" s="238">
        <f t="shared" si="153"/>
      </c>
      <c r="AO102" s="238">
        <f t="shared" si="153"/>
      </c>
      <c r="AP102" s="238">
        <f t="shared" si="153"/>
      </c>
      <c r="AQ102" s="238">
        <f t="shared" si="153"/>
      </c>
      <c r="AR102" s="238">
        <f t="shared" si="153"/>
      </c>
      <c r="AS102" s="238">
        <f t="shared" si="153"/>
      </c>
      <c r="AT102" s="238">
        <f t="shared" si="153"/>
      </c>
      <c r="AU102" s="238">
        <f t="shared" si="153"/>
      </c>
      <c r="AV102" s="238">
        <f t="shared" si="153"/>
      </c>
      <c r="AW102" s="238">
        <f t="shared" si="153"/>
      </c>
      <c r="AX102" s="238">
        <f t="shared" si="153"/>
      </c>
      <c r="AY102" s="238">
        <f t="shared" si="153"/>
      </c>
      <c r="AZ102" s="238">
        <f t="shared" si="153"/>
      </c>
      <c r="BA102" s="238">
        <f t="shared" si="153"/>
      </c>
      <c r="BB102" s="238">
        <f t="shared" si="153"/>
      </c>
      <c r="BC102" s="238">
        <f t="shared" si="153"/>
      </c>
      <c r="BD102" s="238">
        <f t="shared" si="153"/>
      </c>
      <c r="BE102" s="238">
        <f t="shared" si="153"/>
      </c>
      <c r="BF102" s="238">
        <f t="shared" si="153"/>
      </c>
      <c r="BG102" s="238">
        <f t="shared" si="153"/>
      </c>
      <c r="BH102" s="238">
        <f t="shared" si="153"/>
      </c>
      <c r="BI102" s="238">
        <f t="shared" si="153"/>
      </c>
      <c r="BJ102" s="238">
        <f t="shared" si="153"/>
      </c>
      <c r="BK102" s="238">
        <f t="shared" si="153"/>
      </c>
      <c r="BL102" s="238">
        <f t="shared" si="153"/>
      </c>
      <c r="BM102" s="238">
        <f t="shared" si="153"/>
      </c>
      <c r="BN102" s="238">
        <f t="shared" si="153"/>
      </c>
      <c r="BO102" s="238">
        <f t="shared" si="153"/>
      </c>
      <c r="BP102" s="238">
        <f t="shared" si="153"/>
      </c>
      <c r="BQ102" s="238">
        <f t="shared" si="153"/>
      </c>
      <c r="BR102" s="238">
        <f t="shared" si="153"/>
      </c>
      <c r="BS102" s="238">
        <f t="shared" si="153"/>
      </c>
      <c r="BT102" s="239">
        <f t="shared" si="153"/>
      </c>
      <c r="BU102" s="239">
        <f t="shared" si="153"/>
      </c>
      <c r="BV102" s="239">
        <f t="shared" si="153"/>
      </c>
      <c r="BW102" s="239">
        <f t="shared" si="153"/>
      </c>
      <c r="BX102" s="239">
        <f t="shared" si="153"/>
      </c>
      <c r="BY102" s="239">
        <f t="shared" si="153"/>
      </c>
      <c r="BZ102" s="239">
        <f t="shared" si="153"/>
      </c>
      <c r="CA102" s="239">
        <f t="shared" si="153"/>
      </c>
      <c r="CB102" s="239">
        <f t="shared" si="153"/>
      </c>
      <c r="CC102" s="239">
        <f t="shared" si="153"/>
      </c>
      <c r="CE102" s="255"/>
      <c r="CL102" s="238"/>
      <c r="CM102" s="238"/>
      <c r="CN102" s="238"/>
      <c r="CO102" s="238"/>
      <c r="CP102" s="238"/>
      <c r="CQ102" s="238"/>
      <c r="CR102" s="238"/>
      <c r="CS102" s="238"/>
      <c r="CT102" s="238"/>
      <c r="CU102" s="238"/>
      <c r="CV102" s="238"/>
      <c r="CW102" s="239"/>
      <c r="CX102" s="239"/>
      <c r="CY102" s="239"/>
      <c r="CZ102" s="275"/>
    </row>
    <row r="103" spans="1:104">
      <c r="A103" s="303" t="s">
        <v>198</v>
      </c>
      <c r="AA103" s="238"/>
      <c r="AB103" s="238"/>
      <c r="AC103" s="238"/>
      <c r="AD103" s="238">
        <f t="shared" ref="AD103:CC103" si="154">AD101/Z101-1</f>
      </c>
      <c r="AE103" s="238">
        <f t="shared" si="154"/>
      </c>
      <c r="AF103" s="238">
        <f t="shared" si="154"/>
      </c>
      <c r="AG103" s="238">
        <f t="shared" si="154"/>
      </c>
      <c r="AH103" s="238">
        <f t="shared" si="154"/>
      </c>
      <c r="AI103" s="238">
        <f t="shared" si="154"/>
      </c>
      <c r="AJ103" s="238">
        <f t="shared" si="154"/>
      </c>
      <c r="AK103" s="238">
        <f t="shared" si="154"/>
      </c>
      <c r="AL103" s="238">
        <f t="shared" si="154"/>
      </c>
      <c r="AM103" s="238">
        <f t="shared" si="154"/>
      </c>
      <c r="AN103" s="238">
        <f t="shared" si="154"/>
      </c>
      <c r="AO103" s="238">
        <f t="shared" si="154"/>
      </c>
      <c r="AP103" s="238">
        <f t="shared" si="154"/>
      </c>
      <c r="AQ103" s="238">
        <f t="shared" si="154"/>
      </c>
      <c r="AR103" s="238">
        <f t="shared" si="154"/>
      </c>
      <c r="AS103" s="238">
        <f t="shared" si="154"/>
      </c>
      <c r="AT103" s="238">
        <f t="shared" si="154"/>
      </c>
      <c r="AU103" s="238">
        <f t="shared" si="154"/>
      </c>
      <c r="AV103" s="238">
        <f t="shared" si="154"/>
      </c>
      <c r="AW103" s="238">
        <f t="shared" si="154"/>
      </c>
      <c r="AX103" s="238">
        <f t="shared" si="154"/>
      </c>
      <c r="AY103" s="238">
        <f t="shared" si="154"/>
      </c>
      <c r="AZ103" s="238">
        <f t="shared" si="154"/>
      </c>
      <c r="BA103" s="238">
        <f t="shared" si="154"/>
      </c>
      <c r="BB103" s="238">
        <f t="shared" si="154"/>
      </c>
      <c r="BC103" s="238">
        <f t="shared" si="154"/>
      </c>
      <c r="BD103" s="238">
        <f t="shared" si="154"/>
      </c>
      <c r="BE103" s="238">
        <f t="shared" si="154"/>
      </c>
      <c r="BF103" s="238">
        <f t="shared" si="154"/>
      </c>
      <c r="BG103" s="238">
        <f t="shared" si="154"/>
      </c>
      <c r="BH103" s="238">
        <f t="shared" si="154"/>
      </c>
      <c r="BI103" s="238">
        <f t="shared" si="154"/>
      </c>
      <c r="BJ103" s="238">
        <f t="shared" si="154"/>
      </c>
      <c r="BK103" s="238">
        <f t="shared" si="154"/>
      </c>
      <c r="BL103" s="238">
        <f t="shared" si="154"/>
      </c>
      <c r="BM103" s="238">
        <f t="shared" si="154"/>
      </c>
      <c r="BN103" s="238">
        <f t="shared" si="154"/>
      </c>
      <c r="BO103" s="238">
        <f t="shared" si="154"/>
      </c>
      <c r="BP103" s="238">
        <f t="shared" si="154"/>
      </c>
      <c r="BQ103" s="238">
        <f t="shared" si="154"/>
      </c>
      <c r="BR103" s="238">
        <f t="shared" si="154"/>
      </c>
      <c r="BS103" s="238">
        <f t="shared" si="154"/>
      </c>
      <c r="BT103" s="239">
        <f t="shared" si="154"/>
      </c>
      <c r="BU103" s="239">
        <f t="shared" si="154"/>
      </c>
      <c r="BV103" s="239">
        <f t="shared" si="154"/>
      </c>
      <c r="BW103" s="239">
        <f t="shared" si="154"/>
      </c>
      <c r="BX103" s="239">
        <f t="shared" si="154"/>
      </c>
      <c r="BY103" s="239">
        <f t="shared" si="154"/>
      </c>
      <c r="BZ103" s="239">
        <f t="shared" si="154"/>
      </c>
      <c r="CA103" s="239">
        <f t="shared" si="154"/>
      </c>
      <c r="CB103" s="239">
        <f t="shared" si="154"/>
      </c>
      <c r="CC103" s="239">
        <f t="shared" si="154"/>
      </c>
      <c r="CE103" s="255"/>
      <c r="CL103" s="238"/>
      <c r="CM103" s="238">
        <f t="shared" ref="CM103:CY103" si="155">CM101/CL101-1</f>
      </c>
      <c r="CN103" s="238">
        <f t="shared" si="155"/>
      </c>
      <c r="CO103" s="238">
        <f t="shared" si="155"/>
      </c>
      <c r="CP103" s="238">
        <f t="shared" si="155"/>
      </c>
      <c r="CQ103" s="238">
        <f t="shared" si="155"/>
      </c>
      <c r="CR103" s="238">
        <f t="shared" si="155"/>
      </c>
      <c r="CS103" s="238">
        <f t="shared" si="155"/>
      </c>
      <c r="CT103" s="238">
        <f t="shared" si="155"/>
      </c>
      <c r="CU103" s="238">
        <f t="shared" si="155"/>
      </c>
      <c r="CV103" s="238">
        <f t="shared" si="155"/>
      </c>
      <c r="CW103" s="239">
        <f t="shared" si="155"/>
      </c>
      <c r="CX103" s="239">
        <f t="shared" si="155"/>
      </c>
      <c r="CY103" s="239">
        <f t="shared" si="155"/>
      </c>
      <c r="CZ103" s="275"/>
    </row>
    <row r="104" spans="1:104">
      <c r="A104" s="303"/>
      <c r="CE104" s="255"/>
      <c r="CS104" s="232"/>
      <c r="CT104" s="232"/>
      <c r="CU104" s="232"/>
      <c r="CV104" s="232"/>
      <c r="CZ104" s="275"/>
    </row>
    <row r="105" spans="1:104">
      <c r="A105" s="255"/>
      <c r="CE105" s="255"/>
      <c r="CS105" s="232"/>
      <c r="CT105" s="232"/>
      <c r="CU105" s="232"/>
      <c r="CV105" s="232"/>
      <c r="CZ105" s="275"/>
    </row>
  </sheetData>
  <pageMargins left="0.7" right="0.7" top="0.75" bottom="0.75" header="0.3" footer="0.3"/>
  <pageSetup orientation="portrait" r:id="rId1"/>
  <customProperties>
    <customPr name="Qube.Worksheet.Visibility" r:id="rId2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05C1-5C68-45B7-BD6C-A78A2D4023D6}">
  <sheetPr>
    <tabColor rgb="FF92D050"/>
    <pageSetUpPr autoPageBreaks="0" fitToPage="1"/>
  </sheetPr>
  <dimension ref="A1:CM26"/>
  <sheetViews>
    <sheetView zoomScaleNormal="100" workbookViewId="0">
      <pane xSplit="1" ySplit="2" topLeftCell="AN3" activePane="bottomRight" state="frozen"/>
      <selection activeCell="C22" sqref="C22"/>
      <selection pane="topRight" activeCell="C22" sqref="C22"/>
      <selection pane="bottomLeft" activeCell="C22" sqref="C22"/>
      <selection pane="bottomRight"/>
    </sheetView>
  </sheetViews>
  <sheetFormatPr defaultColWidth="9.109375" defaultRowHeight="13.2" outlineLevelCol="1"/>
  <cols>
    <col min="1" max="1" width="36" style="232" bestFit="1" customWidth="1"/>
    <col min="2" max="8" width="7.44140625" style="232" bestFit="1" customWidth="1"/>
    <col min="9" max="9" width="7.6640625" style="232" bestFit="1" customWidth="1"/>
    <col min="10" max="10" width="6.88671875" style="232" bestFit="1" customWidth="1"/>
    <col min="11" max="11" width="7.6640625" style="232" bestFit="1" customWidth="1"/>
    <col min="12" max="13" width="6.88671875" style="232" bestFit="1" customWidth="1"/>
    <col min="14" max="14" width="8.88671875" style="232" bestFit="1" customWidth="1"/>
    <col min="15" max="17" width="7.6640625" style="232" bestFit="1" customWidth="1"/>
    <col min="18" max="18" width="6.88671875" style="232" bestFit="1" customWidth="1"/>
    <col min="19" max="23" width="7.6640625" style="232" bestFit="1" customWidth="1"/>
    <col min="24" max="27" width="7.33203125" style="232" bestFit="1" customWidth="1"/>
    <col min="28" max="28" width="9.5546875" style="232" bestFit="1" customWidth="1"/>
    <col min="29" max="32" width="6.88671875" style="232" bestFit="1" customWidth="1"/>
    <col min="33" max="33" width="8.44140625" style="232" customWidth="1"/>
    <col min="34" max="34" width="6.88671875" style="232" bestFit="1" customWidth="1"/>
    <col min="35" max="57" width="8.44140625" style="232" customWidth="1"/>
    <col min="58" max="58" width="1.88671875" style="232" customWidth="1"/>
    <col min="59" max="60" width="7.6640625" style="227" hidden="1" customWidth="1" outlineLevel="1"/>
    <col min="61" max="62" width="6.88671875" style="227" hidden="1" customWidth="1" outlineLevel="1"/>
    <col min="63" max="63" width="6.6640625" style="227" bestFit="1" customWidth="1" collapsed="1"/>
    <col min="64" max="64" width="7" style="227" bestFit="1" customWidth="1"/>
    <col min="65" max="65" width="7.33203125" style="227" bestFit="1" customWidth="1"/>
    <col min="66" max="66" width="7" style="227" bestFit="1" customWidth="1"/>
    <col min="67" max="67" width="7.33203125" style="227" bestFit="1" customWidth="1"/>
    <col min="68" max="69" width="7.5546875" style="227" bestFit="1" customWidth="1"/>
    <col min="70" max="72" width="7.33203125" style="227" customWidth="1"/>
    <col min="73" max="73" width="2" style="232" customWidth="1"/>
    <col min="74" max="74" width="8.33203125" style="232" bestFit="1" customWidth="1"/>
    <col min="75" max="75" width="8.109375" style="232" bestFit="1" customWidth="1"/>
    <col min="76" max="76" width="7.109375" style="232" bestFit="1" customWidth="1"/>
    <col min="77" max="77" width="9.33203125" style="232" bestFit="1" customWidth="1"/>
    <col min="78" max="88" width="9.109375" style="232"/>
    <col min="89" max="89" width="27.6640625" style="232" bestFit="1" customWidth="1"/>
    <col min="90" max="16384" width="9.109375" style="232"/>
  </cols>
  <sheetData>
    <row r="1" spans="1:91">
      <c r="J1" s="304"/>
      <c r="K1" s="304"/>
      <c r="L1" s="304"/>
      <c r="M1" s="304"/>
      <c r="N1" s="304"/>
      <c r="O1" s="304"/>
      <c r="P1" s="304"/>
      <c r="Q1" s="304"/>
      <c r="R1" s="304"/>
      <c r="S1" s="304"/>
      <c r="T1" s="304"/>
      <c r="U1" s="304"/>
      <c r="Z1" s="234"/>
      <c r="AA1" s="234"/>
      <c r="AB1" s="234"/>
      <c r="AC1" s="234"/>
      <c r="AD1" s="234"/>
      <c r="AE1" s="234"/>
      <c r="AF1" s="234"/>
      <c r="AG1" s="234"/>
      <c r="AH1" s="234"/>
      <c r="AI1" s="234"/>
      <c r="AJ1" s="234"/>
      <c r="AK1" s="234"/>
      <c r="AL1" s="234"/>
      <c r="AM1" s="234"/>
      <c r="AN1" s="234"/>
      <c r="AO1" s="234"/>
      <c r="AP1" s="234"/>
      <c r="AQ1" s="234"/>
      <c r="AR1" s="234"/>
      <c r="AS1" s="234"/>
      <c r="AT1" s="234"/>
      <c r="AU1" s="234"/>
      <c r="AV1" s="234"/>
      <c r="AW1" s="234"/>
      <c r="AX1" s="234"/>
      <c r="AY1" s="234"/>
      <c r="AZ1" s="234"/>
      <c r="BA1" s="234"/>
      <c r="BB1" s="234"/>
      <c r="BC1" s="234"/>
      <c r="BD1" s="234"/>
      <c r="BE1" s="234"/>
    </row>
    <row r="2" spans="1:91" s="227" customFormat="1">
      <c r="A2" s="305"/>
      <c r="B2" s="306" t="str">
        <f>Worksheet!BB3</f>
      </c>
      <c r="C2" s="306" t="str">
        <f>Worksheet!BC3</f>
      </c>
      <c r="D2" s="306" t="str">
        <f>Worksheet!BD3</f>
      </c>
      <c r="E2" s="306" t="str">
        <f>Worksheet!BE3</f>
      </c>
      <c r="F2" s="306" t="str">
        <f>Worksheet!BF3</f>
      </c>
      <c r="G2" s="306" t="str">
        <f>Worksheet!BG3</f>
      </c>
      <c r="H2" s="306" t="str">
        <f>Worksheet!BH3</f>
      </c>
      <c r="I2" s="306" t="str">
        <f>Worksheet!BI3</f>
      </c>
      <c r="J2" s="306" t="str">
        <f>Worksheet!BJ3</f>
      </c>
      <c r="K2" s="306" t="str">
        <f>Worksheet!BK3</f>
      </c>
      <c r="L2" s="306" t="str">
        <f>Worksheet!BL3</f>
      </c>
      <c r="M2" s="306" t="str">
        <f>Worksheet!BM3</f>
      </c>
      <c r="N2" s="306" t="str">
        <f>Worksheet!BN3</f>
      </c>
      <c r="O2" s="306" t="str">
        <f>Worksheet!BO3</f>
      </c>
      <c r="P2" s="306" t="str">
        <f>Worksheet!BP3</f>
      </c>
      <c r="Q2" s="306" t="str">
        <f>Worksheet!BQ3</f>
      </c>
      <c r="R2" s="306" t="str">
        <f>Worksheet!BR3</f>
      </c>
      <c r="S2" s="306" t="str">
        <f>Worksheet!BS3</f>
      </c>
      <c r="T2" s="306" t="str">
        <f>Worksheet!BT3</f>
      </c>
      <c r="U2" s="306" t="str">
        <f>Worksheet!BU3</f>
      </c>
      <c r="V2" s="306" t="str">
        <f>Worksheet!BV3</f>
      </c>
      <c r="W2" s="306" t="str">
        <f>Worksheet!BW3</f>
      </c>
      <c r="X2" s="306" t="str">
        <f>Worksheet!BX3</f>
      </c>
      <c r="Y2" s="306" t="str">
        <f>Worksheet!BY3</f>
      </c>
      <c r="Z2" s="306" t="str">
        <f>Worksheet!BZ3</f>
      </c>
      <c r="AA2" s="306" t="str">
        <f>Worksheet!CA3</f>
      </c>
      <c r="AB2" s="306" t="str">
        <f>Worksheet!CB3</f>
      </c>
      <c r="AC2" s="306" t="str">
        <f>Worksheet!CC3</f>
      </c>
      <c r="AD2" s="306" t="str">
        <f>Worksheet!CD3</f>
      </c>
      <c r="AE2" s="306" t="str">
        <f>Worksheet!CE3</f>
      </c>
      <c r="AF2" s="306" t="str">
        <f>Worksheet!CF3</f>
      </c>
      <c r="AG2" s="306" t="str">
        <f>Worksheet!CG3</f>
      </c>
      <c r="AH2" s="306" t="str">
        <f>Worksheet!CH3</f>
      </c>
      <c r="AI2" s="306" t="str">
        <f>Worksheet!CI3</f>
      </c>
      <c r="AJ2" s="306" t="str">
        <f>Worksheet!CJ3</f>
      </c>
      <c r="AK2" s="306" t="str">
        <f>Worksheet!CK3</f>
      </c>
      <c r="AL2" s="306" t="str">
        <f>Worksheet!CL3</f>
      </c>
      <c r="AM2" s="306" t="str">
        <f>Worksheet!CM3</f>
      </c>
      <c r="AN2" s="306" t="str">
        <f>Worksheet!CN3</f>
      </c>
      <c r="AO2" s="306" t="str">
        <f>Worksheet!CO3</f>
      </c>
      <c r="AP2" s="306" t="str">
        <f>Worksheet!CP3</f>
      </c>
      <c r="AQ2" s="306" t="str">
        <f>Worksheet!CQ3</f>
      </c>
      <c r="AR2" s="306" t="str">
        <f>Worksheet!CR3</f>
      </c>
      <c r="AS2" s="306" t="str">
        <f>Worksheet!CS3</f>
      </c>
      <c r="AT2" s="306" t="str">
        <f>Worksheet!CT3</f>
      </c>
      <c r="AU2" s="306" t="str">
        <f>Worksheet!CU3</f>
      </c>
      <c r="AV2" s="306" t="str">
        <f>Worksheet!CV3</f>
      </c>
      <c r="AW2" s="306" t="str">
        <f>Worksheet!CW3</f>
      </c>
      <c r="AX2" s="306" t="str">
        <f>Worksheet!CX3</f>
      </c>
      <c r="AY2" s="306" t="str">
        <f>Worksheet!CY3</f>
      </c>
      <c r="AZ2" s="306" t="str">
        <f>Worksheet!CZ3</f>
      </c>
      <c r="BA2" s="306" t="str">
        <f>Worksheet!DA3</f>
      </c>
      <c r="BB2" s="306" t="str">
        <f>Worksheet!DB3</f>
      </c>
      <c r="BC2" s="306" t="str">
        <f>Worksheet!DC3</f>
      </c>
      <c r="BD2" s="306" t="str">
        <f>Worksheet!DD3</f>
      </c>
      <c r="BE2" s="306" t="str">
        <f>Worksheet!DE3</f>
      </c>
      <c r="BF2" s="307"/>
      <c r="BG2" s="306">
        <v>2014</v>
      </c>
      <c r="BH2" s="306">
        <f>BG2+1</f>
      </c>
      <c r="BI2" s="306">
        <v>2016</v>
      </c>
      <c r="BJ2" s="306">
        <v>2017</v>
      </c>
      <c r="BK2" s="306">
        <v>2018</v>
      </c>
      <c r="BL2" s="306">
        <v>2019</v>
      </c>
      <c r="BM2" s="306">
        <v>2020</v>
      </c>
      <c r="BN2" s="306">
        <v>2021</v>
      </c>
      <c r="BO2" s="306">
        <v>2022</v>
      </c>
      <c r="BP2" s="306">
        <v>2023</v>
      </c>
      <c r="BQ2" s="306">
        <v>2024</v>
      </c>
      <c r="BR2" s="306" t="s">
        <v>192</v>
      </c>
      <c r="BS2" s="306" t="s">
        <v>193</v>
      </c>
      <c r="BT2" s="306" t="s">
        <v>194</v>
      </c>
    </row>
    <row r="3" spans="1:91" s="227" customFormat="1">
      <c r="A3" s="308" t="s">
        <v>550</v>
      </c>
      <c r="B3" s="306"/>
      <c r="C3" s="306"/>
      <c r="D3" s="306"/>
      <c r="E3" s="306"/>
      <c r="F3" s="306"/>
      <c r="G3" s="306"/>
      <c r="H3" s="306"/>
      <c r="I3" s="306"/>
      <c r="J3" s="306"/>
      <c r="K3" s="306"/>
      <c r="L3" s="306"/>
      <c r="M3" s="306"/>
      <c r="N3" s="311"/>
      <c r="O3" s="311"/>
      <c r="P3" s="311"/>
      <c r="Q3" s="311"/>
      <c r="R3" s="311"/>
      <c r="S3" s="311"/>
      <c r="T3" s="312"/>
      <c r="U3" s="312"/>
      <c r="V3" s="312"/>
      <c r="W3" s="313"/>
      <c r="X3" s="313"/>
      <c r="Y3" s="313"/>
      <c r="Z3" s="313"/>
      <c r="AA3" s="313"/>
      <c r="AB3" s="313"/>
      <c r="AC3" s="313"/>
      <c r="AD3" s="313"/>
      <c r="AE3" s="313"/>
      <c r="AF3" s="313"/>
      <c r="AG3" s="314"/>
      <c r="AH3" s="314"/>
      <c r="AI3" s="314"/>
      <c r="AJ3" s="314"/>
      <c r="AK3" s="314"/>
      <c r="AL3" s="314"/>
      <c r="AM3" s="314"/>
      <c r="AN3" s="314"/>
      <c r="AO3" s="314"/>
      <c r="AP3" s="314"/>
      <c r="AQ3" s="314"/>
      <c r="AR3" s="314"/>
      <c r="AS3" s="314"/>
      <c r="AT3" s="314"/>
      <c r="AU3" s="314"/>
      <c r="AV3" s="314"/>
      <c r="AW3" s="314"/>
      <c r="AX3" s="314"/>
      <c r="AY3" s="314"/>
      <c r="AZ3" s="314"/>
      <c r="BA3" s="314"/>
      <c r="BB3" s="314"/>
      <c r="BC3" s="314"/>
      <c r="BD3" s="314"/>
      <c r="BE3" s="314"/>
      <c r="BF3" s="307"/>
      <c r="BG3" s="306">
        <f t="shared" ref="BG3:BT3" si="0">BG2</f>
      </c>
      <c r="BH3" s="306">
        <f t="shared" si="0"/>
      </c>
      <c r="BI3" s="306">
        <f t="shared" si="0"/>
      </c>
      <c r="BJ3" s="306">
        <f t="shared" si="0"/>
      </c>
      <c r="BK3" s="306">
        <f t="shared" si="0"/>
      </c>
      <c r="BL3" s="306">
        <f t="shared" si="0"/>
      </c>
      <c r="BM3" s="306">
        <f t="shared" si="0"/>
      </c>
      <c r="BN3" s="306">
        <f t="shared" si="0"/>
      </c>
      <c r="BO3" s="306">
        <f t="shared" si="0"/>
      </c>
      <c r="BP3" s="306">
        <f t="shared" si="0"/>
      </c>
      <c r="BQ3" s="306">
        <f t="shared" si="0"/>
      </c>
      <c r="BR3" s="306" t="str">
        <f t="shared" si="0"/>
      </c>
      <c r="BS3" s="306" t="str">
        <f t="shared" si="0"/>
      </c>
      <c r="BT3" s="306" t="str">
        <f t="shared" si="0"/>
      </c>
    </row>
    <row r="4" spans="1:91" s="231" customFormat="1">
      <c r="A4" s="315" t="s">
        <v>551</v>
      </c>
      <c r="B4" s="315"/>
      <c r="C4" s="315"/>
      <c r="D4" s="315"/>
      <c r="E4" s="315"/>
      <c r="F4" s="315"/>
      <c r="G4" s="315"/>
      <c r="H4" s="315"/>
      <c r="I4" s="315"/>
      <c r="J4" s="315"/>
      <c r="K4" s="315"/>
      <c r="L4" s="315"/>
      <c r="M4" s="315"/>
      <c r="N4" s="315"/>
      <c r="O4" s="315"/>
      <c r="P4" s="315"/>
      <c r="Q4" s="315"/>
      <c r="R4" s="315"/>
      <c r="S4" s="315"/>
      <c r="T4" s="316"/>
      <c r="U4" s="316"/>
      <c r="V4" s="316"/>
      <c r="W4" s="315"/>
      <c r="X4" s="315"/>
      <c r="Y4" s="315"/>
      <c r="Z4" s="315"/>
      <c r="AA4" s="315"/>
      <c r="AB4" s="315"/>
      <c r="AC4" s="315"/>
      <c r="AD4" s="315"/>
      <c r="AE4" s="315"/>
      <c r="AF4" s="315"/>
      <c r="AG4" s="317"/>
      <c r="AH4" s="317"/>
      <c r="AI4" s="317"/>
      <c r="AJ4" s="317"/>
      <c r="AK4" s="317"/>
      <c r="AL4" s="317"/>
      <c r="AM4" s="317"/>
      <c r="AN4" s="317"/>
      <c r="AO4" s="317"/>
      <c r="AP4" s="317"/>
      <c r="AQ4" s="317"/>
      <c r="AR4" s="317"/>
      <c r="AS4" s="317"/>
      <c r="AT4" s="317"/>
      <c r="AU4" s="317"/>
      <c r="AV4" s="317"/>
      <c r="AW4" s="317"/>
      <c r="AX4" s="317"/>
      <c r="AY4" s="317"/>
      <c r="AZ4" s="317"/>
      <c r="BA4" s="317"/>
      <c r="BB4" s="317"/>
      <c r="BC4" s="317"/>
      <c r="BD4" s="317"/>
      <c r="BE4" s="317"/>
      <c r="BG4" s="318"/>
      <c r="BH4" s="318"/>
      <c r="BI4" s="318"/>
      <c r="BJ4" s="318"/>
      <c r="BK4" s="318"/>
      <c r="BL4" s="318"/>
      <c r="BM4" s="318"/>
      <c r="BN4" s="318"/>
      <c r="BO4" s="318"/>
      <c r="BP4" s="318"/>
      <c r="BQ4" s="318"/>
      <c r="BR4" s="318"/>
      <c r="BS4" s="318"/>
      <c r="BT4" s="318"/>
      <c r="BW4" s="232"/>
      <c r="BX4" s="232"/>
      <c r="BY4" s="232"/>
      <c r="BZ4" s="232"/>
      <c r="CA4" s="232"/>
      <c r="CB4" s="232"/>
      <c r="CC4" s="232"/>
    </row>
    <row r="5" spans="1:91" s="234" customFormat="1">
      <c r="A5" s="235" t="s">
        <v>195</v>
      </c>
      <c r="B5" s="235">
        <v>34.875801721500004</v>
      </c>
      <c r="C5" s="235">
        <v>40.102841736249999</v>
      </c>
      <c r="D5" s="235">
        <v>51.981015929999998</v>
      </c>
      <c r="E5" s="235">
        <v>56.054626929000001</v>
      </c>
      <c r="F5" s="235">
        <v>76.699823151000004</v>
      </c>
      <c r="G5" s="235">
        <v>70.696658056499999</v>
      </c>
      <c r="H5" s="235">
        <v>79.052332671000002</v>
      </c>
      <c r="I5" s="235">
        <v>92.878306710000004</v>
      </c>
      <c r="J5" s="235">
        <v>112.06887110400001</v>
      </c>
      <c r="K5" s="235">
        <v>117.1259243999</v>
      </c>
      <c r="L5" s="235">
        <v>124.34427951950001</v>
      </c>
      <c r="M5" s="235">
        <v>124.227158467</v>
      </c>
      <c r="N5" s="235">
        <v>129.53943878749999</v>
      </c>
      <c r="O5" s="235">
        <v>132.76608332650005</v>
      </c>
      <c r="P5" s="235">
        <v>133.41667168838055</v>
      </c>
      <c r="Q5" s="235">
        <v>120.12330160023505</v>
      </c>
      <c r="R5" s="235">
        <v>126.05654792097455</v>
      </c>
      <c r="S5" s="235">
        <v>131.58308831356419</v>
      </c>
      <c r="T5" s="235">
        <v>117.90490046112845</v>
      </c>
      <c r="U5" s="235">
        <v>99.872095552957788</v>
      </c>
      <c r="V5" s="235">
        <v>102.40898771311804</v>
      </c>
      <c r="W5" s="235">
        <v>121.46308029655093</v>
      </c>
      <c r="X5" s="235">
        <v>66.353409385786918</v>
      </c>
      <c r="Y5" s="235">
        <v>52.888257619869108</v>
      </c>
      <c r="Z5" s="235">
        <v>51.476672947572098</v>
      </c>
      <c r="AA5" s="235">
        <v>28.093422987781061</v>
      </c>
      <c r="AB5" s="235">
        <v>45.128412230319313</v>
      </c>
      <c r="AC5" s="235">
        <v>42.66992421732045</v>
      </c>
      <c r="AD5" s="235">
        <v>37.298781469115092</v>
      </c>
      <c r="AE5" s="235">
        <v>23.99436455</v>
      </c>
      <c r="AF5" s="235">
        <v>25.614817867854811</v>
      </c>
      <c r="AG5" s="235">
        <f>AF5*(1+AG6)</f>
      </c>
      <c r="AH5" s="235">
        <f t="shared" ref="AH5:BE5" si="1">AG5*(1+AH6)</f>
      </c>
      <c r="AI5" s="235">
        <f t="shared" si="1"/>
      </c>
      <c r="AJ5" s="235">
        <f t="shared" si="1"/>
      </c>
      <c r="AK5" s="235">
        <f t="shared" si="1"/>
      </c>
      <c r="AL5" s="235">
        <f t="shared" si="1"/>
      </c>
      <c r="AM5" s="235">
        <f t="shared" si="1"/>
      </c>
      <c r="AN5" s="235">
        <f t="shared" si="1"/>
      </c>
      <c r="AO5" s="235">
        <f t="shared" si="1"/>
      </c>
      <c r="AP5" s="235">
        <f t="shared" si="1"/>
      </c>
      <c r="AQ5" s="235">
        <f t="shared" si="1"/>
      </c>
      <c r="AR5" s="235">
        <f t="shared" si="1"/>
      </c>
      <c r="AS5" s="235">
        <f t="shared" si="1"/>
      </c>
      <c r="AT5" s="235">
        <f t="shared" si="1"/>
      </c>
      <c r="AU5" s="235">
        <f t="shared" si="1"/>
      </c>
      <c r="AV5" s="236">
        <f t="shared" si="1"/>
      </c>
      <c r="AW5" s="236">
        <f t="shared" si="1"/>
      </c>
      <c r="AX5" s="236">
        <f t="shared" si="1"/>
      </c>
      <c r="AY5" s="236">
        <f t="shared" si="1"/>
      </c>
      <c r="AZ5" s="236">
        <f t="shared" si="1"/>
      </c>
      <c r="BA5" s="236">
        <f t="shared" si="1"/>
      </c>
      <c r="BB5" s="236">
        <f t="shared" si="1"/>
      </c>
      <c r="BC5" s="236">
        <f t="shared" si="1"/>
      </c>
      <c r="BD5" s="236">
        <f t="shared" si="1"/>
      </c>
      <c r="BE5" s="236">
        <f t="shared" si="1"/>
      </c>
      <c r="BF5" s="235"/>
      <c r="BG5" s="654">
        <f>SUM(B5:E5)</f>
      </c>
      <c r="BH5" s="654">
        <f>SUM(F5:I5)</f>
      </c>
      <c r="BI5" s="654">
        <f>SUM(J5:M5)</f>
      </c>
      <c r="BJ5" s="654">
        <f>SUM(N5:Q5)</f>
      </c>
      <c r="BK5" s="654">
        <f>SUM(R5:U5)</f>
      </c>
      <c r="BL5" s="654">
        <f>SUM(V5:Y5)</f>
      </c>
      <c r="BM5" s="654">
        <f>SUM(Z5:AC5)</f>
      </c>
      <c r="BN5" s="654">
        <f>SUM(AD5:AG5)</f>
      </c>
      <c r="BO5" s="654">
        <f>+SUM(AH5:AK5)</f>
      </c>
      <c r="BP5" s="654">
        <f>+SUM(AL5:AO5)</f>
      </c>
      <c r="BQ5" s="654">
        <f>+SUM(AP5:AS5)</f>
      </c>
      <c r="BR5" s="664">
        <f>+SUM(AT5:AW5)</f>
      </c>
      <c r="BS5" s="664">
        <f>SUM(AX5:BA5)</f>
      </c>
      <c r="BT5" s="664">
        <f>SUM(BB5:BE5)</f>
      </c>
      <c r="BV5" s="665"/>
      <c r="BW5" s="665"/>
      <c r="BX5" s="665"/>
      <c r="BY5" s="232"/>
      <c r="BZ5" s="232"/>
      <c r="CA5" s="232"/>
      <c r="CB5" s="232"/>
      <c r="CC5" s="232"/>
      <c r="CK5" s="232"/>
      <c r="CL5" s="232"/>
      <c r="CM5" s="232"/>
    </row>
    <row r="6" spans="1:91" s="238" customFormat="1">
      <c r="A6" s="63" t="s">
        <v>196</v>
      </c>
      <c r="B6" s="248"/>
      <c r="C6" s="319">
        <f t="shared" ref="C6:AC6" si="2">C5/B5-1</f>
      </c>
      <c r="D6" s="319">
        <f t="shared" si="2"/>
      </c>
      <c r="E6" s="319">
        <f t="shared" si="2"/>
      </c>
      <c r="F6" s="319">
        <f t="shared" si="2"/>
      </c>
      <c r="G6" s="319">
        <f t="shared" si="2"/>
      </c>
      <c r="H6" s="319">
        <f t="shared" si="2"/>
      </c>
      <c r="I6" s="319">
        <f t="shared" si="2"/>
      </c>
      <c r="J6" s="319">
        <f t="shared" si="2"/>
      </c>
      <c r="K6" s="319">
        <f t="shared" si="2"/>
      </c>
      <c r="L6" s="319">
        <f t="shared" si="2"/>
      </c>
      <c r="M6" s="319">
        <f t="shared" si="2"/>
      </c>
      <c r="N6" s="319">
        <f t="shared" si="2"/>
      </c>
      <c r="O6" s="319">
        <f t="shared" si="2"/>
      </c>
      <c r="P6" s="319">
        <f t="shared" si="2"/>
      </c>
      <c r="Q6" s="319">
        <f t="shared" si="2"/>
      </c>
      <c r="R6" s="319">
        <f t="shared" si="2"/>
      </c>
      <c r="S6" s="319">
        <f t="shared" si="2"/>
      </c>
      <c r="T6" s="319">
        <f t="shared" si="2"/>
      </c>
      <c r="U6" s="319">
        <f t="shared" si="2"/>
      </c>
      <c r="V6" s="319">
        <f t="shared" si="2"/>
      </c>
      <c r="W6" s="319">
        <f t="shared" si="2"/>
      </c>
      <c r="X6" s="319">
        <f t="shared" si="2"/>
      </c>
      <c r="Y6" s="319">
        <f t="shared" si="2"/>
      </c>
      <c r="Z6" s="319">
        <f t="shared" si="2"/>
      </c>
      <c r="AA6" s="319">
        <f t="shared" si="2"/>
      </c>
      <c r="AB6" s="319">
        <f t="shared" si="2"/>
      </c>
      <c r="AC6" s="319">
        <f t="shared" si="2"/>
      </c>
      <c r="AD6" s="319">
        <f>AD5/AC5-1</f>
      </c>
      <c r="AE6" s="319">
        <f>AE5/AD5-1</f>
      </c>
      <c r="AF6" s="319">
        <f>AF5/AE5-1</f>
      </c>
      <c r="AG6" s="319">
        <v>-0.25</v>
      </c>
      <c r="AH6" s="319">
        <v>-0.15</v>
      </c>
      <c r="AI6" s="319">
        <v>-0.15</v>
      </c>
      <c r="AJ6" s="319">
        <v>0</v>
      </c>
      <c r="AK6" s="319">
        <v>0</v>
      </c>
      <c r="AL6" s="319">
        <v>0</v>
      </c>
      <c r="AM6" s="319">
        <v>-0.05</v>
      </c>
      <c r="AN6" s="319">
        <v>-0.05</v>
      </c>
      <c r="AO6" s="319">
        <v>0</v>
      </c>
      <c r="AP6" s="319">
        <v>0</v>
      </c>
      <c r="AQ6" s="319">
        <v>0.02</v>
      </c>
      <c r="AR6" s="319">
        <v>0</v>
      </c>
      <c r="AS6" s="319">
        <v>0.1</v>
      </c>
      <c r="AT6" s="320">
        <v>-0.03</v>
      </c>
      <c r="AU6" s="320">
        <v>-0.03</v>
      </c>
      <c r="AV6" s="666">
        <v>-0.02</v>
      </c>
      <c r="AW6" s="666">
        <v>-0.02</v>
      </c>
      <c r="AX6" s="666">
        <v>-0.03</v>
      </c>
      <c r="AY6" s="666">
        <v>-0.03</v>
      </c>
      <c r="AZ6" s="666">
        <v>-0.02</v>
      </c>
      <c r="BA6" s="666">
        <v>-0.02</v>
      </c>
      <c r="BB6" s="666">
        <v>-0.03</v>
      </c>
      <c r="BC6" s="666">
        <v>-0.03</v>
      </c>
      <c r="BD6" s="666">
        <v>-0.02</v>
      </c>
      <c r="BE6" s="666">
        <v>-0.02</v>
      </c>
      <c r="BF6" s="248"/>
      <c r="BG6" s="321"/>
      <c r="BH6" s="321"/>
      <c r="BI6" s="232"/>
      <c r="BJ6" s="232"/>
      <c r="BK6" s="232"/>
      <c r="BL6" s="232"/>
      <c r="BM6" s="232"/>
      <c r="BN6" s="232"/>
      <c r="BO6" s="232"/>
      <c r="BP6" s="232"/>
      <c r="BQ6" s="232"/>
      <c r="BR6" s="667"/>
      <c r="BS6" s="667"/>
      <c r="BT6" s="667"/>
      <c r="BV6" s="665"/>
      <c r="BW6" s="665"/>
      <c r="BX6" s="665"/>
      <c r="CK6" s="232"/>
      <c r="CL6" s="232"/>
      <c r="CM6" s="232"/>
    </row>
    <row r="7" spans="1:91" s="238" customFormat="1">
      <c r="A7" s="63" t="s">
        <v>198</v>
      </c>
      <c r="B7" s="319"/>
      <c r="C7" s="319"/>
      <c r="D7" s="319"/>
      <c r="E7" s="319"/>
      <c r="F7" s="319">
        <f t="shared" ref="F7:BA7" si="3">F5/B5-1</f>
      </c>
      <c r="G7" s="319">
        <f t="shared" si="3"/>
      </c>
      <c r="H7" s="319">
        <f t="shared" si="3"/>
      </c>
      <c r="I7" s="319">
        <f t="shared" si="3"/>
      </c>
      <c r="J7" s="319">
        <f t="shared" si="3"/>
      </c>
      <c r="K7" s="319">
        <f t="shared" si="3"/>
      </c>
      <c r="L7" s="319">
        <f t="shared" si="3"/>
      </c>
      <c r="M7" s="319">
        <f t="shared" si="3"/>
      </c>
      <c r="N7" s="319">
        <f t="shared" si="3"/>
      </c>
      <c r="O7" s="319">
        <f t="shared" si="3"/>
      </c>
      <c r="P7" s="319">
        <f t="shared" si="3"/>
      </c>
      <c r="Q7" s="319">
        <f t="shared" si="3"/>
      </c>
      <c r="R7" s="319">
        <f t="shared" si="3"/>
      </c>
      <c r="S7" s="319">
        <f t="shared" si="3"/>
      </c>
      <c r="T7" s="319">
        <f t="shared" si="3"/>
      </c>
      <c r="U7" s="319">
        <f t="shared" si="3"/>
      </c>
      <c r="V7" s="319">
        <f t="shared" si="3"/>
      </c>
      <c r="W7" s="319">
        <f t="shared" si="3"/>
      </c>
      <c r="X7" s="319">
        <f t="shared" si="3"/>
      </c>
      <c r="Y7" s="319">
        <f t="shared" si="3"/>
      </c>
      <c r="Z7" s="319">
        <f t="shared" si="3"/>
      </c>
      <c r="AA7" s="319">
        <f t="shared" si="3"/>
      </c>
      <c r="AB7" s="319">
        <f t="shared" si="3"/>
      </c>
      <c r="AC7" s="319">
        <f t="shared" si="3"/>
      </c>
      <c r="AD7" s="319">
        <f t="shared" si="3"/>
      </c>
      <c r="AE7" s="319">
        <f t="shared" si="3"/>
      </c>
      <c r="AF7" s="319">
        <f t="shared" si="3"/>
      </c>
      <c r="AG7" s="319">
        <f t="shared" si="3"/>
      </c>
      <c r="AH7" s="319">
        <f t="shared" si="3"/>
      </c>
      <c r="AI7" s="319">
        <f t="shared" si="3"/>
      </c>
      <c r="AJ7" s="319">
        <f t="shared" si="3"/>
      </c>
      <c r="AK7" s="319">
        <f t="shared" si="3"/>
      </c>
      <c r="AL7" s="319">
        <f t="shared" si="3"/>
      </c>
      <c r="AM7" s="319">
        <f t="shared" si="3"/>
      </c>
      <c r="AN7" s="319">
        <f t="shared" si="3"/>
      </c>
      <c r="AO7" s="319">
        <f t="shared" si="3"/>
      </c>
      <c r="AP7" s="319">
        <f t="shared" si="3"/>
      </c>
      <c r="AQ7" s="319">
        <f t="shared" si="3"/>
      </c>
      <c r="AR7" s="319">
        <f t="shared" si="3"/>
      </c>
      <c r="AS7" s="319">
        <f t="shared" si="3"/>
      </c>
      <c r="AT7" s="319">
        <f t="shared" si="3"/>
      </c>
      <c r="AU7" s="319">
        <f t="shared" si="3"/>
      </c>
      <c r="AV7" s="668">
        <f t="shared" si="3"/>
      </c>
      <c r="AW7" s="668">
        <f t="shared" si="3"/>
      </c>
      <c r="AX7" s="668">
        <f t="shared" si="3"/>
      </c>
      <c r="AY7" s="668">
        <f t="shared" si="3"/>
      </c>
      <c r="AZ7" s="668">
        <f t="shared" si="3"/>
      </c>
      <c r="BA7" s="668">
        <f t="shared" si="3"/>
      </c>
      <c r="BB7" s="668">
        <f>BB5/AX5-1</f>
      </c>
      <c r="BC7" s="668">
        <f>BC5/AY5-1</f>
      </c>
      <c r="BD7" s="668">
        <f>BD5/AZ5-1</f>
      </c>
      <c r="BE7" s="668">
        <f>BE5/BA5-1</f>
      </c>
      <c r="BF7" s="319"/>
      <c r="BG7" s="322"/>
      <c r="BH7" s="322">
        <f t="shared" ref="BH7:BT7" si="4">BH5/BG5-1</f>
      </c>
      <c r="BI7" s="322">
        <f t="shared" si="4"/>
      </c>
      <c r="BJ7" s="322">
        <f t="shared" si="4"/>
      </c>
      <c r="BK7" s="321">
        <f t="shared" si="4"/>
      </c>
      <c r="BL7" s="321">
        <f t="shared" si="4"/>
      </c>
      <c r="BM7" s="321">
        <f t="shared" si="4"/>
      </c>
      <c r="BN7" s="321">
        <f t="shared" si="4"/>
      </c>
      <c r="BO7" s="321">
        <f t="shared" si="4"/>
      </c>
      <c r="BP7" s="321">
        <f t="shared" si="4"/>
      </c>
      <c r="BQ7" s="321">
        <f t="shared" si="4"/>
      </c>
      <c r="BR7" s="669">
        <f t="shared" si="4"/>
      </c>
      <c r="BS7" s="669">
        <f t="shared" si="4"/>
      </c>
      <c r="BT7" s="669">
        <f t="shared" si="4"/>
      </c>
      <c r="BV7" s="665"/>
      <c r="BW7" s="665"/>
      <c r="BX7" s="665"/>
      <c r="CK7" s="234"/>
      <c r="CL7" s="234"/>
      <c r="CM7" s="234"/>
    </row>
    <row r="8" spans="1:91" s="238" customFormat="1">
      <c r="A8" s="63" t="s">
        <v>552</v>
      </c>
      <c r="B8" s="238">
        <f t="shared" ref="B8:AC8" si="5">B5/B17</f>
      </c>
      <c r="C8" s="238">
        <f t="shared" si="5"/>
      </c>
      <c r="D8" s="238">
        <f t="shared" si="5"/>
      </c>
      <c r="E8" s="238">
        <f t="shared" si="5"/>
      </c>
      <c r="F8" s="238">
        <f t="shared" si="5"/>
      </c>
      <c r="G8" s="238">
        <f t="shared" si="5"/>
      </c>
      <c r="H8" s="238">
        <f t="shared" si="5"/>
      </c>
      <c r="I8" s="238">
        <f t="shared" si="5"/>
      </c>
      <c r="J8" s="238">
        <f t="shared" si="5"/>
      </c>
      <c r="K8" s="238">
        <f t="shared" si="5"/>
      </c>
      <c r="L8" s="238">
        <f t="shared" si="5"/>
      </c>
      <c r="M8" s="238">
        <f t="shared" si="5"/>
      </c>
      <c r="N8" s="238">
        <f t="shared" si="5"/>
      </c>
      <c r="O8" s="238">
        <f t="shared" si="5"/>
      </c>
      <c r="P8" s="238">
        <f t="shared" si="5"/>
      </c>
      <c r="Q8" s="238">
        <f t="shared" si="5"/>
      </c>
      <c r="R8" s="238">
        <f t="shared" si="5"/>
      </c>
      <c r="S8" s="238">
        <f t="shared" si="5"/>
      </c>
      <c r="T8" s="238">
        <f t="shared" si="5"/>
      </c>
      <c r="U8" s="238">
        <f t="shared" si="5"/>
      </c>
      <c r="V8" s="238">
        <f t="shared" si="5"/>
      </c>
      <c r="W8" s="238">
        <f t="shared" si="5"/>
      </c>
      <c r="X8" s="238">
        <f t="shared" si="5"/>
      </c>
      <c r="Y8" s="238">
        <f t="shared" si="5"/>
      </c>
      <c r="Z8" s="238">
        <f t="shared" si="5"/>
      </c>
      <c r="AA8" s="238">
        <f t="shared" si="5"/>
      </c>
      <c r="AB8" s="238">
        <f t="shared" si="5"/>
      </c>
      <c r="AC8" s="238">
        <f t="shared" si="5"/>
      </c>
      <c r="AD8" s="238">
        <f>AD5/AD$17</f>
      </c>
      <c r="AE8" s="238">
        <f t="shared" ref="AE8:BE8" si="6">AE5/AE17</f>
      </c>
      <c r="AF8" s="238">
        <f t="shared" si="6"/>
      </c>
      <c r="AG8" s="238">
        <f t="shared" si="6"/>
      </c>
      <c r="AH8" s="238">
        <f t="shared" si="6"/>
      </c>
      <c r="AI8" s="238">
        <f t="shared" si="6"/>
      </c>
      <c r="AJ8" s="238">
        <f t="shared" si="6"/>
      </c>
      <c r="AK8" s="238">
        <f t="shared" si="6"/>
      </c>
      <c r="AL8" s="238">
        <f t="shared" si="6"/>
      </c>
      <c r="AM8" s="238">
        <f t="shared" si="6"/>
      </c>
      <c r="AN8" s="238">
        <f t="shared" si="6"/>
      </c>
      <c r="AO8" s="238">
        <f t="shared" si="6"/>
      </c>
      <c r="AP8" s="238">
        <f t="shared" si="6"/>
      </c>
      <c r="AQ8" s="238">
        <f t="shared" si="6"/>
      </c>
      <c r="AR8" s="238">
        <f t="shared" si="6"/>
      </c>
      <c r="AS8" s="238">
        <f t="shared" si="6"/>
      </c>
      <c r="AT8" s="238">
        <f t="shared" si="6"/>
      </c>
      <c r="AU8" s="238">
        <f t="shared" si="6"/>
      </c>
      <c r="AV8" s="239">
        <f t="shared" si="6"/>
      </c>
      <c r="AW8" s="239">
        <f t="shared" si="6"/>
      </c>
      <c r="AX8" s="239">
        <f t="shared" si="6"/>
      </c>
      <c r="AY8" s="239">
        <f t="shared" si="6"/>
      </c>
      <c r="AZ8" s="239">
        <f t="shared" si="6"/>
      </c>
      <c r="BA8" s="239">
        <f t="shared" si="6"/>
      </c>
      <c r="BB8" s="239">
        <f t="shared" si="6"/>
      </c>
      <c r="BC8" s="239">
        <f t="shared" si="6"/>
      </c>
      <c r="BD8" s="239">
        <f t="shared" si="6"/>
      </c>
      <c r="BE8" s="239">
        <f t="shared" si="6"/>
      </c>
      <c r="BG8" s="322">
        <f t="shared" ref="BG8:BT8" si="7">BG5/BG17</f>
      </c>
      <c r="BH8" s="322">
        <f t="shared" si="7"/>
      </c>
      <c r="BI8" s="322">
        <f t="shared" si="7"/>
      </c>
      <c r="BJ8" s="322">
        <f t="shared" si="7"/>
      </c>
      <c r="BK8" s="322">
        <f t="shared" si="7"/>
      </c>
      <c r="BL8" s="322">
        <f t="shared" si="7"/>
      </c>
      <c r="BM8" s="322">
        <f t="shared" si="7"/>
      </c>
      <c r="BN8" s="322">
        <f t="shared" si="7"/>
      </c>
      <c r="BO8" s="322">
        <f t="shared" si="7"/>
      </c>
      <c r="BP8" s="322">
        <f t="shared" si="7"/>
      </c>
      <c r="BQ8" s="322">
        <f t="shared" si="7"/>
      </c>
      <c r="BR8" s="670">
        <f t="shared" si="7"/>
      </c>
      <c r="BS8" s="670">
        <f t="shared" si="7"/>
      </c>
      <c r="BT8" s="670">
        <f t="shared" si="7"/>
      </c>
      <c r="BV8" s="665"/>
      <c r="BW8" s="665"/>
      <c r="BX8" s="665"/>
      <c r="CK8" s="671" t="s">
        <v>553</v>
      </c>
      <c r="CL8" s="671"/>
      <c r="CM8" s="234"/>
    </row>
    <row r="9" spans="1:91" s="238" customFormat="1">
      <c r="A9" s="63"/>
      <c r="AJ9" s="239"/>
      <c r="AK9" s="239"/>
      <c r="AL9" s="239"/>
      <c r="AM9" s="239"/>
      <c r="AN9" s="239"/>
      <c r="AO9" s="239"/>
      <c r="AP9" s="239"/>
      <c r="AQ9" s="239"/>
      <c r="AR9" s="239"/>
      <c r="AS9" s="239"/>
      <c r="AT9" s="239"/>
      <c r="AU9" s="239"/>
      <c r="AV9" s="239"/>
      <c r="AW9" s="239"/>
      <c r="AX9" s="239"/>
      <c r="AY9" s="239"/>
      <c r="AZ9" s="239"/>
      <c r="BA9" s="239"/>
      <c r="BB9" s="239"/>
      <c r="BC9" s="239"/>
      <c r="BD9" s="239"/>
      <c r="BE9" s="239"/>
      <c r="BG9" s="672"/>
      <c r="BH9" s="322"/>
      <c r="BI9" s="322"/>
      <c r="BJ9" s="322"/>
      <c r="BK9" s="321"/>
      <c r="BL9" s="321"/>
      <c r="BM9" s="321"/>
      <c r="BN9" s="321"/>
      <c r="BO9" s="321"/>
      <c r="BP9" s="321"/>
      <c r="BQ9" s="321"/>
      <c r="BR9" s="673"/>
      <c r="BS9" s="673"/>
      <c r="BT9" s="673"/>
      <c r="BV9" s="665"/>
      <c r="BW9" s="665"/>
      <c r="BX9" s="665"/>
    </row>
    <row r="10" spans="1:91" s="231" customFormat="1">
      <c r="A10" s="315" t="s">
        <v>554</v>
      </c>
      <c r="B10" s="315"/>
      <c r="C10" s="315"/>
      <c r="D10" s="315"/>
      <c r="E10" s="315"/>
      <c r="F10" s="315"/>
      <c r="G10" s="315"/>
      <c r="H10" s="315"/>
      <c r="I10" s="315"/>
      <c r="J10" s="323"/>
      <c r="K10" s="323"/>
      <c r="L10" s="323"/>
      <c r="M10" s="323"/>
      <c r="N10" s="323"/>
      <c r="O10" s="323"/>
      <c r="P10" s="323"/>
      <c r="Q10" s="323"/>
      <c r="R10" s="323"/>
      <c r="S10" s="323"/>
      <c r="T10" s="323"/>
      <c r="U10" s="323"/>
      <c r="V10" s="323"/>
      <c r="W10" s="323"/>
      <c r="X10" s="323"/>
      <c r="Y10" s="323"/>
      <c r="Z10" s="323"/>
      <c r="AA10" s="323"/>
      <c r="AB10" s="323"/>
      <c r="AC10" s="323"/>
      <c r="AD10" s="323"/>
      <c r="AE10" s="323"/>
      <c r="AF10" s="323"/>
      <c r="AG10" s="323"/>
      <c r="AH10" s="323"/>
      <c r="AI10" s="323"/>
      <c r="AJ10" s="323"/>
      <c r="AK10" s="323"/>
      <c r="AL10" s="323"/>
      <c r="AM10" s="323"/>
      <c r="AN10" s="323"/>
      <c r="AO10" s="323"/>
      <c r="AP10" s="323"/>
      <c r="AQ10" s="323"/>
      <c r="AR10" s="323"/>
      <c r="AS10" s="323"/>
      <c r="AT10" s="323"/>
      <c r="AU10" s="323"/>
      <c r="AV10" s="323"/>
      <c r="AW10" s="323"/>
      <c r="AX10" s="323"/>
      <c r="AY10" s="323"/>
      <c r="AZ10" s="323"/>
      <c r="BA10" s="323"/>
      <c r="BB10" s="323"/>
      <c r="BC10" s="323"/>
      <c r="BD10" s="323"/>
      <c r="BE10" s="323"/>
      <c r="BG10" s="318"/>
      <c r="BH10" s="318"/>
      <c r="BI10" s="318"/>
      <c r="BJ10" s="318"/>
      <c r="BK10" s="318"/>
      <c r="BL10" s="318"/>
      <c r="BM10" s="318"/>
      <c r="BN10" s="318"/>
      <c r="BO10" s="318"/>
      <c r="BP10" s="318"/>
      <c r="BQ10" s="318"/>
      <c r="BR10" s="324"/>
      <c r="BS10" s="324"/>
      <c r="BT10" s="324"/>
      <c r="BV10" s="309"/>
      <c r="BW10" s="309"/>
      <c r="BX10" s="309"/>
      <c r="BY10" s="232"/>
      <c r="BZ10" s="232"/>
      <c r="CA10" s="232"/>
      <c r="CB10" s="232"/>
      <c r="CC10" s="232"/>
    </row>
    <row r="11" spans="1:91" s="234" customFormat="1">
      <c r="A11" s="235" t="s">
        <v>195</v>
      </c>
      <c r="B11" s="235"/>
      <c r="C11" s="235"/>
      <c r="D11" s="235"/>
      <c r="E11" s="235"/>
      <c r="F11" s="235"/>
      <c r="G11" s="235"/>
      <c r="H11" s="235"/>
      <c r="I11" s="235"/>
      <c r="J11" s="654">
        <v>0.8</v>
      </c>
      <c r="K11" s="654">
        <v>1.6</v>
      </c>
      <c r="L11" s="654">
        <v>2.4</v>
      </c>
      <c r="M11" s="654">
        <v>3.2</v>
      </c>
      <c r="N11" s="654">
        <v>10.0204</v>
      </c>
      <c r="O11" s="654">
        <v>8.8103999999999996</v>
      </c>
      <c r="P11" s="654">
        <v>10.454800000000001</v>
      </c>
      <c r="Q11" s="654">
        <v>11.986800000000001</v>
      </c>
      <c r="R11" s="654">
        <v>18.793583885085052</v>
      </c>
      <c r="S11" s="654">
        <v>29.896767770170108</v>
      </c>
      <c r="T11" s="654">
        <v>54.505882204912808</v>
      </c>
      <c r="U11" s="654">
        <v>63.541074318353907</v>
      </c>
      <c r="V11" s="654">
        <v>64.031593510651163</v>
      </c>
      <c r="W11" s="654">
        <v>87.781906221013287</v>
      </c>
      <c r="X11" s="654">
        <v>95.210252896759627</v>
      </c>
      <c r="Y11" s="654">
        <v>110.00505209950963</v>
      </c>
      <c r="Z11" s="654">
        <v>107.12776329119933</v>
      </c>
      <c r="AA11" s="654">
        <v>84.797850515216425</v>
      </c>
      <c r="AB11" s="654">
        <v>81.766552380671669</v>
      </c>
      <c r="AC11" s="654">
        <v>102.59617699297526</v>
      </c>
      <c r="AD11" s="654">
        <v>117.3675253411369</v>
      </c>
      <c r="AE11" s="654">
        <v>128.59647327634588</v>
      </c>
      <c r="AF11" s="654">
        <v>110.02509571866761</v>
      </c>
      <c r="AG11" s="654">
        <f>AF11*(1+AG12)</f>
      </c>
      <c r="AH11" s="654">
        <f t="shared" ref="AH11:BE11" si="8">AG11*(1+AH12)</f>
      </c>
      <c r="AI11" s="654">
        <f t="shared" si="8"/>
      </c>
      <c r="AJ11" s="654">
        <f t="shared" si="8"/>
      </c>
      <c r="AK11" s="654">
        <f t="shared" si="8"/>
      </c>
      <c r="AL11" s="654">
        <f t="shared" si="8"/>
      </c>
      <c r="AM11" s="654">
        <f t="shared" si="8"/>
      </c>
      <c r="AN11" s="654">
        <f t="shared" si="8"/>
      </c>
      <c r="AO11" s="654">
        <f t="shared" si="8"/>
      </c>
      <c r="AP11" s="654">
        <f t="shared" si="8"/>
      </c>
      <c r="AQ11" s="654">
        <f t="shared" si="8"/>
      </c>
      <c r="AR11" s="654">
        <f t="shared" si="8"/>
      </c>
      <c r="AS11" s="654">
        <f t="shared" si="8"/>
      </c>
      <c r="AT11" s="654">
        <f t="shared" si="8"/>
      </c>
      <c r="AU11" s="654">
        <f t="shared" si="8"/>
      </c>
      <c r="AV11" s="664">
        <f t="shared" si="8"/>
      </c>
      <c r="AW11" s="664">
        <f t="shared" si="8"/>
      </c>
      <c r="AX11" s="664">
        <f t="shared" si="8"/>
      </c>
      <c r="AY11" s="664">
        <f t="shared" si="8"/>
      </c>
      <c r="AZ11" s="664">
        <f t="shared" si="8"/>
      </c>
      <c r="BA11" s="664">
        <f t="shared" si="8"/>
      </c>
      <c r="BB11" s="664">
        <f t="shared" si="8"/>
      </c>
      <c r="BC11" s="664">
        <f t="shared" si="8"/>
      </c>
      <c r="BD11" s="664">
        <f t="shared" si="8"/>
      </c>
      <c r="BE11" s="664">
        <f t="shared" si="8"/>
      </c>
      <c r="BF11" s="235"/>
      <c r="BG11" s="654"/>
      <c r="BH11" s="654"/>
      <c r="BI11" s="654">
        <f>SUM(J11:M11)</f>
      </c>
      <c r="BJ11" s="654">
        <f>SUM(N11:Q11)</f>
      </c>
      <c r="BK11" s="654">
        <f>SUM(R11:U11)</f>
      </c>
      <c r="BL11" s="654">
        <f>SUM(V11:Y11)</f>
      </c>
      <c r="BM11" s="654">
        <f>SUM(Z11:AC11)</f>
      </c>
      <c r="BN11" s="654">
        <f>SUM(AD11:AG11)</f>
      </c>
      <c r="BO11" s="654">
        <f>SUM(AH11:AK11)</f>
      </c>
      <c r="BP11" s="654">
        <f>SUM(AL11:AO11)</f>
      </c>
      <c r="BQ11" s="654">
        <f>+SUM(AP11:AS11)</f>
      </c>
      <c r="BR11" s="664">
        <f>+SUM(AT11:AW11)</f>
      </c>
      <c r="BS11" s="664">
        <f>SUM(AX11:BA11)</f>
      </c>
      <c r="BT11" s="664">
        <f>SUM(BB11:BE11)</f>
      </c>
      <c r="BV11" s="665"/>
      <c r="BW11" s="665"/>
      <c r="BX11" s="665"/>
      <c r="BY11" s="232"/>
      <c r="BZ11" s="232"/>
      <c r="CA11" s="232"/>
      <c r="CB11" s="232"/>
      <c r="CC11" s="232"/>
    </row>
    <row r="12" spans="1:91" s="234" customFormat="1" ht="12" customHeight="1">
      <c r="A12" s="251" t="s">
        <v>196</v>
      </c>
      <c r="B12" s="235"/>
      <c r="C12" s="237"/>
      <c r="D12" s="237"/>
      <c r="E12" s="237"/>
      <c r="F12" s="237"/>
      <c r="G12" s="237"/>
      <c r="H12" s="237"/>
      <c r="I12" s="237"/>
      <c r="J12" s="237"/>
      <c r="K12" s="319">
        <f t="shared" ref="K12:AC12" si="9">K11/J11-1</f>
      </c>
      <c r="L12" s="319">
        <f t="shared" si="9"/>
      </c>
      <c r="M12" s="319">
        <f t="shared" si="9"/>
      </c>
      <c r="N12" s="319">
        <f t="shared" si="9"/>
      </c>
      <c r="O12" s="319">
        <f t="shared" si="9"/>
      </c>
      <c r="P12" s="319">
        <f t="shared" si="9"/>
      </c>
      <c r="Q12" s="319">
        <f t="shared" si="9"/>
      </c>
      <c r="R12" s="319">
        <f t="shared" si="9"/>
      </c>
      <c r="S12" s="319">
        <f t="shared" si="9"/>
      </c>
      <c r="T12" s="319">
        <f t="shared" si="9"/>
      </c>
      <c r="U12" s="319">
        <f t="shared" si="9"/>
      </c>
      <c r="V12" s="319">
        <f t="shared" si="9"/>
      </c>
      <c r="W12" s="319">
        <f t="shared" si="9"/>
      </c>
      <c r="X12" s="319">
        <f t="shared" si="9"/>
      </c>
      <c r="Y12" s="319">
        <f t="shared" si="9"/>
      </c>
      <c r="Z12" s="319">
        <f t="shared" si="9"/>
      </c>
      <c r="AA12" s="319">
        <f t="shared" si="9"/>
      </c>
      <c r="AB12" s="319">
        <f t="shared" si="9"/>
      </c>
      <c r="AC12" s="319">
        <f t="shared" si="9"/>
      </c>
      <c r="AD12" s="319">
        <f>AD11/AC11-1</f>
      </c>
      <c r="AE12" s="319">
        <f>AE11/AD11-1</f>
      </c>
      <c r="AF12" s="319">
        <f>AF11/AE11-1</f>
      </c>
      <c r="AG12" s="319">
        <v>-0.04</v>
      </c>
      <c r="AH12" s="319">
        <v>0.15</v>
      </c>
      <c r="AI12" s="319">
        <v>0.7</v>
      </c>
      <c r="AJ12" s="319">
        <v>0.15</v>
      </c>
      <c r="AK12" s="319">
        <v>0.18</v>
      </c>
      <c r="AL12" s="319">
        <v>8.0000000000000002E-3</v>
      </c>
      <c r="AM12" s="319">
        <v>-0.15</v>
      </c>
      <c r="AN12" s="319">
        <v>3.5000000000000003E-2</v>
      </c>
      <c r="AO12" s="319">
        <v>0.08</v>
      </c>
      <c r="AP12" s="319">
        <v>0.18</v>
      </c>
      <c r="AQ12" s="319">
        <v>5.1999999999999998E-2</v>
      </c>
      <c r="AR12" s="319">
        <v>0.3095</v>
      </c>
      <c r="AS12" s="319">
        <v>0.27500000000000002</v>
      </c>
      <c r="AT12" s="320">
        <v>-5.0000000000000001E-3</v>
      </c>
      <c r="AU12" s="320">
        <v>3.5000000000000003E-2</v>
      </c>
      <c r="AV12" s="666">
        <v>0.06</v>
      </c>
      <c r="AW12" s="666">
        <v>0.1</v>
      </c>
      <c r="AX12" s="666">
        <v>0.15</v>
      </c>
      <c r="AY12" s="666">
        <v>0.1</v>
      </c>
      <c r="AZ12" s="666">
        <v>0.1</v>
      </c>
      <c r="BA12" s="666">
        <v>0.05</v>
      </c>
      <c r="BB12" s="666">
        <v>0.15</v>
      </c>
      <c r="BC12" s="666">
        <v>0.1</v>
      </c>
      <c r="BD12" s="666">
        <v>0.1</v>
      </c>
      <c r="BE12" s="666">
        <v>0.05</v>
      </c>
      <c r="BF12" s="235"/>
      <c r="BG12" s="654"/>
      <c r="BH12" s="654"/>
      <c r="BI12" s="232"/>
      <c r="BJ12" s="232"/>
      <c r="BK12" s="232"/>
      <c r="BL12" s="232"/>
      <c r="BM12" s="232"/>
      <c r="BN12" s="232"/>
      <c r="BO12" s="232"/>
      <c r="BP12" s="232"/>
      <c r="BQ12" s="232"/>
      <c r="BR12" s="667"/>
      <c r="BS12" s="667"/>
      <c r="BT12" s="667"/>
      <c r="BV12" s="665"/>
      <c r="BW12" s="665"/>
      <c r="BX12" s="665"/>
      <c r="BY12" s="232"/>
      <c r="BZ12" s="232"/>
      <c r="CA12" s="232"/>
      <c r="CB12" s="232"/>
      <c r="CC12" s="232"/>
    </row>
    <row r="13" spans="1:91">
      <c r="A13" s="674" t="s">
        <v>198</v>
      </c>
      <c r="F13" s="237"/>
      <c r="G13" s="237"/>
      <c r="H13" s="237"/>
      <c r="I13" s="237"/>
      <c r="J13" s="237"/>
      <c r="K13" s="319"/>
      <c r="L13" s="319"/>
      <c r="M13" s="319"/>
      <c r="N13" s="319">
        <f t="shared" ref="N13:BA13" si="10">N11/J11-1</f>
      </c>
      <c r="O13" s="319">
        <f t="shared" si="10"/>
      </c>
      <c r="P13" s="319">
        <f t="shared" si="10"/>
      </c>
      <c r="Q13" s="319">
        <f t="shared" si="10"/>
      </c>
      <c r="R13" s="319">
        <f t="shared" si="10"/>
      </c>
      <c r="S13" s="319">
        <f t="shared" si="10"/>
      </c>
      <c r="T13" s="319">
        <f t="shared" si="10"/>
      </c>
      <c r="U13" s="319">
        <f t="shared" si="10"/>
      </c>
      <c r="V13" s="319">
        <f t="shared" si="10"/>
      </c>
      <c r="W13" s="319">
        <f t="shared" si="10"/>
      </c>
      <c r="X13" s="319">
        <f t="shared" si="10"/>
      </c>
      <c r="Y13" s="319">
        <f t="shared" si="10"/>
      </c>
      <c r="Z13" s="319">
        <f t="shared" si="10"/>
      </c>
      <c r="AA13" s="319">
        <f t="shared" si="10"/>
      </c>
      <c r="AB13" s="319">
        <f t="shared" si="10"/>
      </c>
      <c r="AC13" s="319">
        <f t="shared" si="10"/>
      </c>
      <c r="AD13" s="319">
        <f t="shared" si="10"/>
      </c>
      <c r="AE13" s="319">
        <f t="shared" si="10"/>
      </c>
      <c r="AF13" s="319">
        <f t="shared" si="10"/>
      </c>
      <c r="AG13" s="319">
        <f t="shared" si="10"/>
      </c>
      <c r="AH13" s="319">
        <f t="shared" si="10"/>
      </c>
      <c r="AI13" s="319">
        <f t="shared" si="10"/>
      </c>
      <c r="AJ13" s="319">
        <f t="shared" si="10"/>
      </c>
      <c r="AK13" s="319">
        <f t="shared" si="10"/>
      </c>
      <c r="AL13" s="319">
        <f t="shared" si="10"/>
      </c>
      <c r="AM13" s="319">
        <f t="shared" si="10"/>
      </c>
      <c r="AN13" s="319">
        <f t="shared" si="10"/>
      </c>
      <c r="AO13" s="319">
        <f t="shared" si="10"/>
      </c>
      <c r="AP13" s="319">
        <f t="shared" si="10"/>
      </c>
      <c r="AQ13" s="319">
        <f t="shared" si="10"/>
      </c>
      <c r="AR13" s="319">
        <f t="shared" si="10"/>
      </c>
      <c r="AS13" s="319">
        <f t="shared" si="10"/>
      </c>
      <c r="AT13" s="319">
        <f t="shared" si="10"/>
      </c>
      <c r="AU13" s="319">
        <f t="shared" si="10"/>
      </c>
      <c r="AV13" s="668">
        <f t="shared" si="10"/>
      </c>
      <c r="AW13" s="668">
        <f t="shared" si="10"/>
      </c>
      <c r="AX13" s="668">
        <f t="shared" si="10"/>
      </c>
      <c r="AY13" s="668">
        <f t="shared" si="10"/>
      </c>
      <c r="AZ13" s="668">
        <f t="shared" si="10"/>
      </c>
      <c r="BA13" s="668">
        <f t="shared" si="10"/>
      </c>
      <c r="BB13" s="668">
        <f>BB11/AX11-1</f>
      </c>
      <c r="BC13" s="668">
        <f>BC11/AY11-1</f>
      </c>
      <c r="BD13" s="668">
        <f>BD11/AZ11-1</f>
      </c>
      <c r="BE13" s="668">
        <f>BE11/BA11-1</f>
      </c>
      <c r="BI13" s="325"/>
      <c r="BJ13" s="104">
        <f t="shared" ref="BJ13:BT13" si="11">BJ11/BI11-1</f>
      </c>
      <c r="BK13" s="104">
        <f t="shared" si="11"/>
      </c>
      <c r="BL13" s="104">
        <f t="shared" si="11"/>
      </c>
      <c r="BM13" s="104">
        <f t="shared" si="11"/>
      </c>
      <c r="BN13" s="104">
        <f t="shared" si="11"/>
      </c>
      <c r="BO13" s="104">
        <f t="shared" si="11"/>
      </c>
      <c r="BP13" s="104">
        <f t="shared" si="11"/>
      </c>
      <c r="BQ13" s="104">
        <f t="shared" si="11"/>
      </c>
      <c r="BR13" s="669">
        <f t="shared" si="11"/>
      </c>
      <c r="BS13" s="669">
        <f t="shared" si="11"/>
      </c>
      <c r="BT13" s="669">
        <f t="shared" si="11"/>
      </c>
      <c r="BV13" s="665"/>
      <c r="BW13" s="665"/>
      <c r="BX13" s="665"/>
    </row>
    <row r="14" spans="1:91">
      <c r="A14" s="674" t="s">
        <v>552</v>
      </c>
      <c r="J14" s="238">
        <f t="shared" ref="J14:BE14" si="12">J11/J$17</f>
      </c>
      <c r="K14" s="238">
        <f t="shared" si="12"/>
      </c>
      <c r="L14" s="238">
        <f t="shared" si="12"/>
      </c>
      <c r="M14" s="238">
        <f t="shared" si="12"/>
      </c>
      <c r="N14" s="238">
        <f t="shared" si="12"/>
      </c>
      <c r="O14" s="238">
        <f t="shared" si="12"/>
      </c>
      <c r="P14" s="238">
        <f t="shared" si="12"/>
      </c>
      <c r="Q14" s="238">
        <f t="shared" si="12"/>
      </c>
      <c r="R14" s="238">
        <f t="shared" si="12"/>
      </c>
      <c r="S14" s="238">
        <f t="shared" si="12"/>
      </c>
      <c r="T14" s="238">
        <f t="shared" si="12"/>
      </c>
      <c r="U14" s="238">
        <f t="shared" si="12"/>
      </c>
      <c r="V14" s="238">
        <f t="shared" si="12"/>
      </c>
      <c r="W14" s="238">
        <f t="shared" si="12"/>
      </c>
      <c r="X14" s="238">
        <f t="shared" si="12"/>
      </c>
      <c r="Y14" s="238">
        <f t="shared" si="12"/>
      </c>
      <c r="Z14" s="238">
        <f t="shared" si="12"/>
      </c>
      <c r="AA14" s="238">
        <f t="shared" si="12"/>
      </c>
      <c r="AB14" s="238">
        <f t="shared" si="12"/>
      </c>
      <c r="AC14" s="238">
        <f t="shared" si="12"/>
      </c>
      <c r="AD14" s="238">
        <f t="shared" si="12"/>
      </c>
      <c r="AE14" s="238">
        <f t="shared" si="12"/>
      </c>
      <c r="AF14" s="238">
        <f t="shared" si="12"/>
      </c>
      <c r="AG14" s="238">
        <f t="shared" si="12"/>
      </c>
      <c r="AH14" s="238">
        <f t="shared" si="12"/>
      </c>
      <c r="AI14" s="238">
        <f t="shared" si="12"/>
      </c>
      <c r="AJ14" s="238">
        <f t="shared" si="12"/>
      </c>
      <c r="AK14" s="319">
        <f t="shared" si="12"/>
      </c>
      <c r="AL14" s="319">
        <f t="shared" si="12"/>
      </c>
      <c r="AM14" s="319">
        <f t="shared" si="12"/>
      </c>
      <c r="AN14" s="319">
        <f t="shared" si="12"/>
      </c>
      <c r="AO14" s="319">
        <f t="shared" si="12"/>
      </c>
      <c r="AP14" s="319">
        <f t="shared" si="12"/>
      </c>
      <c r="AQ14" s="319">
        <f t="shared" si="12"/>
      </c>
      <c r="AR14" s="319">
        <f t="shared" si="12"/>
      </c>
      <c r="AS14" s="319">
        <f t="shared" si="12"/>
      </c>
      <c r="AT14" s="319">
        <f t="shared" si="12"/>
      </c>
      <c r="AU14" s="319">
        <f t="shared" si="12"/>
      </c>
      <c r="AV14" s="668">
        <f t="shared" si="12"/>
      </c>
      <c r="AW14" s="668">
        <f t="shared" si="12"/>
      </c>
      <c r="AX14" s="668">
        <f t="shared" si="12"/>
      </c>
      <c r="AY14" s="668">
        <f t="shared" si="12"/>
      </c>
      <c r="AZ14" s="668">
        <f t="shared" si="12"/>
      </c>
      <c r="BA14" s="668">
        <f t="shared" si="12"/>
      </c>
      <c r="BB14" s="668">
        <f t="shared" si="12"/>
      </c>
      <c r="BC14" s="668">
        <f t="shared" si="12"/>
      </c>
      <c r="BD14" s="668">
        <f t="shared" si="12"/>
      </c>
      <c r="BE14" s="668">
        <f t="shared" si="12"/>
      </c>
      <c r="BG14" s="325"/>
      <c r="BH14" s="325"/>
      <c r="BI14" s="325">
        <f t="shared" ref="BI14:BT14" si="13">BI11/BI17</f>
      </c>
      <c r="BJ14" s="325">
        <f t="shared" si="13"/>
      </c>
      <c r="BK14" s="325">
        <f t="shared" si="13"/>
      </c>
      <c r="BL14" s="325">
        <f t="shared" si="13"/>
      </c>
      <c r="BM14" s="325">
        <f t="shared" si="13"/>
      </c>
      <c r="BN14" s="325">
        <f t="shared" si="13"/>
      </c>
      <c r="BO14" s="325">
        <f t="shared" si="13"/>
      </c>
      <c r="BP14" s="325">
        <f t="shared" si="13"/>
      </c>
      <c r="BQ14" s="325">
        <f t="shared" si="13"/>
      </c>
      <c r="BR14" s="675">
        <f t="shared" si="13"/>
      </c>
      <c r="BS14" s="675">
        <f t="shared" si="13"/>
      </c>
      <c r="BT14" s="675">
        <f t="shared" si="13"/>
      </c>
      <c r="BV14" s="665"/>
      <c r="BW14" s="665"/>
      <c r="BX14" s="665"/>
    </row>
    <row r="15" spans="1:91" s="37" customFormat="1">
      <c r="AK15" s="232"/>
    </row>
    <row r="16" spans="1:91">
      <c r="A16" s="326"/>
      <c r="B16" s="326"/>
      <c r="C16" s="326"/>
      <c r="D16" s="326"/>
      <c r="E16" s="326"/>
      <c r="F16" s="326"/>
      <c r="G16" s="326"/>
      <c r="H16" s="326"/>
      <c r="I16" s="326"/>
      <c r="J16" s="326"/>
      <c r="K16" s="326"/>
      <c r="L16" s="326"/>
      <c r="M16" s="326"/>
      <c r="N16" s="326"/>
      <c r="O16" s="326"/>
      <c r="P16" s="326"/>
      <c r="Q16" s="326"/>
      <c r="R16" s="326"/>
      <c r="S16" s="326"/>
      <c r="T16" s="327"/>
      <c r="U16" s="327"/>
      <c r="V16" s="327"/>
      <c r="W16" s="326"/>
      <c r="X16" s="326"/>
      <c r="Y16" s="326"/>
      <c r="Z16" s="326"/>
      <c r="AA16" s="326"/>
      <c r="AB16" s="326"/>
      <c r="AC16" s="326"/>
      <c r="AD16" s="326"/>
      <c r="AE16" s="326"/>
      <c r="AF16" s="326"/>
      <c r="AG16" s="328"/>
      <c r="AH16" s="328"/>
      <c r="AI16" s="328"/>
      <c r="AJ16" s="328"/>
      <c r="AK16" s="329"/>
      <c r="AL16" s="328"/>
      <c r="AM16" s="328"/>
      <c r="AN16" s="328"/>
      <c r="AO16" s="328"/>
      <c r="AP16" s="328"/>
      <c r="AQ16" s="328"/>
      <c r="AR16" s="328"/>
      <c r="AS16" s="328"/>
      <c r="AT16" s="328"/>
      <c r="AU16" s="328"/>
      <c r="AV16" s="328"/>
      <c r="AW16" s="328"/>
      <c r="AX16" s="328"/>
      <c r="AY16" s="328"/>
      <c r="AZ16" s="328"/>
      <c r="BA16" s="328"/>
      <c r="BB16" s="328"/>
      <c r="BC16" s="328"/>
      <c r="BD16" s="328"/>
      <c r="BE16" s="328"/>
      <c r="BG16" s="330"/>
      <c r="BH16" s="330"/>
      <c r="BI16" s="330"/>
      <c r="BJ16" s="330"/>
      <c r="BK16" s="330"/>
      <c r="BL16" s="330"/>
      <c r="BM16" s="330"/>
      <c r="BN16" s="330"/>
      <c r="BO16" s="330"/>
      <c r="BP16" s="330"/>
      <c r="BQ16" s="330"/>
      <c r="BR16" s="330"/>
      <c r="BS16" s="330"/>
      <c r="BT16" s="330"/>
      <c r="BV16" s="309"/>
      <c r="BW16" s="309"/>
      <c r="BX16" s="309"/>
    </row>
    <row r="17" spans="1:89" s="231" customFormat="1">
      <c r="A17" s="235" t="s">
        <v>555</v>
      </c>
      <c r="B17" s="654">
        <f t="shared" ref="B17:AG17" si="14">B5+B11</f>
      </c>
      <c r="C17" s="654">
        <f t="shared" si="14"/>
      </c>
      <c r="D17" s="654">
        <f t="shared" si="14"/>
      </c>
      <c r="E17" s="654">
        <f t="shared" si="14"/>
      </c>
      <c r="F17" s="654">
        <f t="shared" si="14"/>
      </c>
      <c r="G17" s="654">
        <f t="shared" si="14"/>
      </c>
      <c r="H17" s="654">
        <f t="shared" si="14"/>
      </c>
      <c r="I17" s="654">
        <f t="shared" si="14"/>
      </c>
      <c r="J17" s="654">
        <f t="shared" si="14"/>
      </c>
      <c r="K17" s="654">
        <f t="shared" si="14"/>
      </c>
      <c r="L17" s="654">
        <f t="shared" si="14"/>
      </c>
      <c r="M17" s="654">
        <f t="shared" si="14"/>
      </c>
      <c r="N17" s="654">
        <f t="shared" si="14"/>
      </c>
      <c r="O17" s="654">
        <f t="shared" si="14"/>
      </c>
      <c r="P17" s="654">
        <f t="shared" si="14"/>
      </c>
      <c r="Q17" s="654">
        <f t="shared" si="14"/>
      </c>
      <c r="R17" s="654">
        <f t="shared" si="14"/>
      </c>
      <c r="S17" s="654">
        <f t="shared" si="14"/>
      </c>
      <c r="T17" s="654">
        <f t="shared" si="14"/>
      </c>
      <c r="U17" s="654">
        <f t="shared" si="14"/>
      </c>
      <c r="V17" s="654">
        <f t="shared" si="14"/>
      </c>
      <c r="W17" s="654">
        <f t="shared" si="14"/>
      </c>
      <c r="X17" s="654">
        <f t="shared" si="14"/>
      </c>
      <c r="Y17" s="654">
        <f t="shared" si="14"/>
      </c>
      <c r="Z17" s="654">
        <f t="shared" si="14"/>
      </c>
      <c r="AA17" s="654">
        <f t="shared" si="14"/>
      </c>
      <c r="AB17" s="654">
        <f t="shared" si="14"/>
      </c>
      <c r="AC17" s="654">
        <f t="shared" si="14"/>
      </c>
      <c r="AD17" s="654">
        <f t="shared" si="14"/>
      </c>
      <c r="AE17" s="654">
        <f t="shared" si="14"/>
      </c>
      <c r="AF17" s="654">
        <f t="shared" si="14"/>
      </c>
      <c r="AG17" s="654">
        <f t="shared" si="14"/>
      </c>
      <c r="AH17" s="654">
        <f t="shared" ref="AH17:BE17" si="15">AH5+AH11</f>
      </c>
      <c r="AI17" s="654">
        <f t="shared" si="15"/>
      </c>
      <c r="AJ17" s="654">
        <f t="shared" si="15"/>
      </c>
      <c r="AK17" s="654">
        <f t="shared" si="15"/>
      </c>
      <c r="AL17" s="654">
        <f t="shared" si="15"/>
      </c>
      <c r="AM17" s="654">
        <f t="shared" si="15"/>
      </c>
      <c r="AN17" s="654">
        <f t="shared" si="15"/>
      </c>
      <c r="AO17" s="654">
        <f t="shared" si="15"/>
      </c>
      <c r="AP17" s="654">
        <f t="shared" si="15"/>
      </c>
      <c r="AQ17" s="654">
        <f t="shared" si="15"/>
      </c>
      <c r="AR17" s="654">
        <f t="shared" si="15"/>
      </c>
      <c r="AS17" s="654">
        <f t="shared" si="15"/>
      </c>
      <c r="AT17" s="654">
        <f t="shared" si="15"/>
      </c>
      <c r="AU17" s="654">
        <f t="shared" si="15"/>
      </c>
      <c r="AV17" s="664">
        <f t="shared" si="15"/>
      </c>
      <c r="AW17" s="664">
        <f t="shared" si="15"/>
      </c>
      <c r="AX17" s="664">
        <f t="shared" si="15"/>
      </c>
      <c r="AY17" s="664">
        <f t="shared" si="15"/>
      </c>
      <c r="AZ17" s="664">
        <f t="shared" si="15"/>
      </c>
      <c r="BA17" s="664">
        <f t="shared" si="15"/>
      </c>
      <c r="BB17" s="664">
        <f t="shared" si="15"/>
      </c>
      <c r="BC17" s="664">
        <f t="shared" si="15"/>
      </c>
      <c r="BD17" s="664">
        <f t="shared" si="15"/>
      </c>
      <c r="BE17" s="664">
        <f t="shared" si="15"/>
      </c>
      <c r="BG17" s="654">
        <f t="shared" ref="BG17:BP17" si="16">BG5+BG11</f>
      </c>
      <c r="BH17" s="654">
        <f t="shared" si="16"/>
      </c>
      <c r="BI17" s="654">
        <f t="shared" si="16"/>
      </c>
      <c r="BJ17" s="654">
        <f t="shared" si="16"/>
      </c>
      <c r="BK17" s="654">
        <f t="shared" si="16"/>
      </c>
      <c r="BL17" s="654">
        <f t="shared" si="16"/>
      </c>
      <c r="BM17" s="654">
        <f t="shared" si="16"/>
      </c>
      <c r="BN17" s="654">
        <f t="shared" si="16"/>
      </c>
      <c r="BO17" s="654">
        <f t="shared" si="16"/>
      </c>
      <c r="BP17" s="654">
        <f t="shared" si="16"/>
      </c>
      <c r="BQ17" s="654">
        <f>+SUM(AP17:AS17)</f>
      </c>
      <c r="BR17" s="664">
        <f>+SUM(AT17:AW17)</f>
      </c>
      <c r="BS17" s="664">
        <f>SUM(AX17:BA17)</f>
      </c>
      <c r="BT17" s="664">
        <f>SUM(BB17:BE17)</f>
      </c>
      <c r="BV17" s="665"/>
      <c r="BW17" s="665"/>
      <c r="BX17" s="665"/>
    </row>
    <row r="18" spans="1:89" s="231" customFormat="1">
      <c r="A18" s="674" t="s">
        <v>196</v>
      </c>
      <c r="B18" s="235"/>
      <c r="C18" s="238">
        <f t="shared" ref="C18:BA18" si="17">C17/B17-1</f>
      </c>
      <c r="D18" s="238">
        <f t="shared" si="17"/>
      </c>
      <c r="E18" s="238">
        <f t="shared" si="17"/>
      </c>
      <c r="F18" s="238">
        <f t="shared" si="17"/>
      </c>
      <c r="G18" s="238">
        <f t="shared" si="17"/>
      </c>
      <c r="H18" s="238">
        <f t="shared" si="17"/>
      </c>
      <c r="I18" s="238">
        <f t="shared" si="17"/>
      </c>
      <c r="J18" s="238">
        <f t="shared" si="17"/>
      </c>
      <c r="K18" s="238">
        <f t="shared" si="17"/>
      </c>
      <c r="L18" s="238">
        <f t="shared" si="17"/>
      </c>
      <c r="M18" s="238">
        <f t="shared" si="17"/>
      </c>
      <c r="N18" s="238">
        <f t="shared" si="17"/>
      </c>
      <c r="O18" s="238">
        <f t="shared" si="17"/>
      </c>
      <c r="P18" s="238">
        <f t="shared" si="17"/>
      </c>
      <c r="Q18" s="238">
        <f t="shared" si="17"/>
      </c>
      <c r="R18" s="238">
        <f t="shared" si="17"/>
      </c>
      <c r="S18" s="238">
        <f t="shared" si="17"/>
      </c>
      <c r="T18" s="238">
        <f t="shared" si="17"/>
      </c>
      <c r="U18" s="238">
        <f t="shared" si="17"/>
      </c>
      <c r="V18" s="238">
        <f t="shared" si="17"/>
      </c>
      <c r="W18" s="238">
        <f t="shared" si="17"/>
      </c>
      <c r="X18" s="238">
        <f t="shared" si="17"/>
      </c>
      <c r="Y18" s="238">
        <f t="shared" si="17"/>
      </c>
      <c r="Z18" s="238">
        <f t="shared" si="17"/>
      </c>
      <c r="AA18" s="238">
        <f t="shared" si="17"/>
      </c>
      <c r="AB18" s="238">
        <f t="shared" si="17"/>
      </c>
      <c r="AC18" s="238">
        <f t="shared" si="17"/>
      </c>
      <c r="AD18" s="238">
        <f t="shared" si="17"/>
      </c>
      <c r="AE18" s="238">
        <f t="shared" si="17"/>
      </c>
      <c r="AF18" s="238">
        <f t="shared" si="17"/>
      </c>
      <c r="AG18" s="238">
        <f t="shared" si="17"/>
      </c>
      <c r="AH18" s="238">
        <f t="shared" si="17"/>
      </c>
      <c r="AI18" s="238">
        <f t="shared" si="17"/>
      </c>
      <c r="AJ18" s="238">
        <f t="shared" si="17"/>
      </c>
      <c r="AK18" s="238">
        <f t="shared" si="17"/>
      </c>
      <c r="AL18" s="238">
        <f t="shared" si="17"/>
      </c>
      <c r="AM18" s="238">
        <f t="shared" si="17"/>
      </c>
      <c r="AN18" s="238">
        <f t="shared" si="17"/>
      </c>
      <c r="AO18" s="238">
        <f t="shared" si="17"/>
      </c>
      <c r="AP18" s="238">
        <f t="shared" si="17"/>
      </c>
      <c r="AQ18" s="238">
        <f t="shared" si="17"/>
      </c>
      <c r="AR18" s="238">
        <f t="shared" si="17"/>
      </c>
      <c r="AS18" s="238">
        <f t="shared" si="17"/>
      </c>
      <c r="AT18" s="238">
        <f t="shared" si="17"/>
      </c>
      <c r="AU18" s="238">
        <f t="shared" si="17"/>
      </c>
      <c r="AV18" s="239">
        <f t="shared" si="17"/>
      </c>
      <c r="AW18" s="239">
        <f t="shared" si="17"/>
      </c>
      <c r="AX18" s="239">
        <f t="shared" si="17"/>
      </c>
      <c r="AY18" s="239">
        <f t="shared" si="17"/>
      </c>
      <c r="AZ18" s="239">
        <f t="shared" si="17"/>
      </c>
      <c r="BA18" s="239">
        <f t="shared" si="17"/>
      </c>
      <c r="BB18" s="239">
        <f>BB17/BA17-1</f>
      </c>
      <c r="BC18" s="239">
        <f>BC17/BB17-1</f>
      </c>
      <c r="BD18" s="239">
        <f>BD17/BC17-1</f>
      </c>
      <c r="BE18" s="239">
        <f>BE17/BD17-1</f>
      </c>
      <c r="BG18" s="654"/>
      <c r="BH18" s="325"/>
      <c r="BI18" s="232"/>
      <c r="BJ18" s="232"/>
      <c r="BK18" s="232"/>
      <c r="BL18" s="232"/>
      <c r="BM18" s="232"/>
      <c r="BN18" s="232"/>
      <c r="BO18" s="232"/>
      <c r="BP18" s="232"/>
      <c r="BQ18" s="232"/>
      <c r="BR18" s="676"/>
      <c r="BS18" s="676"/>
      <c r="BT18" s="676"/>
      <c r="BV18" s="665"/>
      <c r="BW18" s="665"/>
      <c r="BX18" s="665"/>
    </row>
    <row r="19" spans="1:89" s="231" customFormat="1">
      <c r="A19" s="674" t="s">
        <v>198</v>
      </c>
      <c r="B19" s="232"/>
      <c r="C19" s="238"/>
      <c r="D19" s="238"/>
      <c r="E19" s="238"/>
      <c r="F19" s="238"/>
      <c r="G19" s="238">
        <f t="shared" ref="G19:BA19" si="18">G17/C17-1</f>
      </c>
      <c r="H19" s="238">
        <f t="shared" si="18"/>
      </c>
      <c r="I19" s="238">
        <f t="shared" si="18"/>
      </c>
      <c r="J19" s="238">
        <f t="shared" si="18"/>
      </c>
      <c r="K19" s="238">
        <f t="shared" si="18"/>
      </c>
      <c r="L19" s="238">
        <f t="shared" si="18"/>
      </c>
      <c r="M19" s="238">
        <f t="shared" si="18"/>
      </c>
      <c r="N19" s="238">
        <f t="shared" si="18"/>
      </c>
      <c r="O19" s="238">
        <f t="shared" si="18"/>
      </c>
      <c r="P19" s="238">
        <f t="shared" si="18"/>
      </c>
      <c r="Q19" s="238">
        <f t="shared" si="18"/>
      </c>
      <c r="R19" s="238">
        <f t="shared" si="18"/>
      </c>
      <c r="S19" s="238">
        <f t="shared" si="18"/>
      </c>
      <c r="T19" s="238">
        <f t="shared" si="18"/>
      </c>
      <c r="U19" s="238">
        <f t="shared" si="18"/>
      </c>
      <c r="V19" s="238">
        <f t="shared" si="18"/>
      </c>
      <c r="W19" s="238">
        <f t="shared" si="18"/>
      </c>
      <c r="X19" s="238">
        <f t="shared" si="18"/>
      </c>
      <c r="Y19" s="238">
        <f t="shared" si="18"/>
      </c>
      <c r="Z19" s="238">
        <f t="shared" si="18"/>
      </c>
      <c r="AA19" s="238">
        <f t="shared" si="18"/>
      </c>
      <c r="AB19" s="238">
        <f t="shared" si="18"/>
      </c>
      <c r="AC19" s="238">
        <f t="shared" si="18"/>
      </c>
      <c r="AD19" s="238">
        <f t="shared" si="18"/>
      </c>
      <c r="AE19" s="238">
        <f t="shared" si="18"/>
      </c>
      <c r="AF19" s="238">
        <f t="shared" si="18"/>
      </c>
      <c r="AG19" s="238">
        <f t="shared" si="18"/>
      </c>
      <c r="AH19" s="238">
        <f t="shared" si="18"/>
      </c>
      <c r="AI19" s="238">
        <f t="shared" si="18"/>
      </c>
      <c r="AJ19" s="238">
        <f t="shared" si="18"/>
      </c>
      <c r="AK19" s="238">
        <f t="shared" si="18"/>
      </c>
      <c r="AL19" s="238">
        <f t="shared" si="18"/>
      </c>
      <c r="AM19" s="238">
        <f t="shared" si="18"/>
      </c>
      <c r="AN19" s="238">
        <f t="shared" si="18"/>
      </c>
      <c r="AO19" s="238">
        <f t="shared" si="18"/>
      </c>
      <c r="AP19" s="238">
        <f t="shared" si="18"/>
      </c>
      <c r="AQ19" s="238">
        <f t="shared" si="18"/>
      </c>
      <c r="AR19" s="238">
        <f t="shared" si="18"/>
      </c>
      <c r="AS19" s="238">
        <f t="shared" si="18"/>
      </c>
      <c r="AT19" s="238">
        <f t="shared" si="18"/>
      </c>
      <c r="AU19" s="238">
        <f t="shared" si="18"/>
      </c>
      <c r="AV19" s="239">
        <f t="shared" si="18"/>
      </c>
      <c r="AW19" s="239">
        <f t="shared" si="18"/>
      </c>
      <c r="AX19" s="239">
        <f t="shared" si="18"/>
      </c>
      <c r="AY19" s="239">
        <f t="shared" si="18"/>
      </c>
      <c r="AZ19" s="239">
        <f t="shared" si="18"/>
      </c>
      <c r="BA19" s="239">
        <f t="shared" si="18"/>
      </c>
      <c r="BB19" s="239">
        <f>BB17/AX17-1</f>
      </c>
      <c r="BC19" s="239">
        <f>BC17/AY17-1</f>
      </c>
      <c r="BD19" s="239">
        <f>BD17/AZ17-1</f>
      </c>
      <c r="BE19" s="239">
        <f>BE17/BA17-1</f>
      </c>
      <c r="BG19" s="654"/>
      <c r="BH19" s="325">
        <f t="shared" ref="BH19:BT19" si="19">BH17/BG17-1</f>
      </c>
      <c r="BI19" s="325">
        <f t="shared" si="19"/>
      </c>
      <c r="BJ19" s="325">
        <f t="shared" si="19"/>
      </c>
      <c r="BK19" s="321">
        <f t="shared" si="19"/>
      </c>
      <c r="BL19" s="321">
        <f t="shared" si="19"/>
      </c>
      <c r="BM19" s="321">
        <f t="shared" si="19"/>
      </c>
      <c r="BN19" s="321">
        <f t="shared" si="19"/>
      </c>
      <c r="BO19" s="321">
        <f t="shared" si="19"/>
      </c>
      <c r="BP19" s="321">
        <f t="shared" si="19"/>
      </c>
      <c r="BQ19" s="321">
        <f t="shared" si="19"/>
      </c>
      <c r="BR19" s="673">
        <f t="shared" si="19"/>
      </c>
      <c r="BS19" s="673">
        <f t="shared" si="19"/>
      </c>
      <c r="BT19" s="673">
        <f t="shared" si="19"/>
      </c>
      <c r="BV19" s="665"/>
      <c r="BW19" s="665"/>
      <c r="BX19" s="665"/>
    </row>
    <row r="20" spans="1:89" s="37" customFormat="1">
      <c r="AK20" s="232"/>
    </row>
    <row r="21" spans="1:89">
      <c r="A21" s="331"/>
      <c r="B21" s="332"/>
      <c r="C21" s="332"/>
      <c r="D21" s="332"/>
      <c r="E21" s="332"/>
      <c r="F21" s="332"/>
      <c r="G21" s="332"/>
      <c r="H21" s="332"/>
      <c r="I21" s="332"/>
      <c r="J21" s="332"/>
      <c r="K21" s="332"/>
      <c r="L21" s="332"/>
      <c r="M21" s="332"/>
      <c r="N21" s="332"/>
      <c r="O21" s="332"/>
      <c r="P21" s="332"/>
      <c r="Q21" s="332"/>
      <c r="R21" s="332"/>
      <c r="S21" s="332"/>
      <c r="T21" s="332"/>
      <c r="U21" s="332"/>
      <c r="V21" s="332"/>
      <c r="W21" s="333"/>
      <c r="X21" s="333"/>
      <c r="Y21" s="333"/>
      <c r="Z21" s="333"/>
      <c r="AA21" s="333"/>
      <c r="AB21" s="333"/>
      <c r="AC21" s="333"/>
      <c r="AD21" s="333"/>
      <c r="AE21" s="333"/>
      <c r="AF21" s="333"/>
      <c r="AG21" s="333"/>
      <c r="AH21" s="333"/>
      <c r="AI21" s="333"/>
      <c r="AJ21" s="333"/>
      <c r="AK21" s="332"/>
      <c r="AL21" s="333"/>
      <c r="AM21" s="333"/>
      <c r="AN21" s="333"/>
      <c r="AO21" s="333"/>
      <c r="AP21" s="333"/>
      <c r="AQ21" s="333"/>
      <c r="AR21" s="333"/>
      <c r="AS21" s="333"/>
      <c r="AT21" s="333"/>
      <c r="AU21" s="333"/>
      <c r="AV21" s="333"/>
      <c r="AW21" s="333"/>
      <c r="AX21" s="333"/>
      <c r="AY21" s="333"/>
      <c r="AZ21" s="333"/>
      <c r="BA21" s="333"/>
      <c r="BB21" s="333"/>
      <c r="BC21" s="333"/>
      <c r="BD21" s="333"/>
      <c r="BE21" s="333"/>
      <c r="BF21" s="237"/>
      <c r="BG21" s="334"/>
      <c r="BH21" s="334"/>
      <c r="BI21" s="334"/>
      <c r="BJ21" s="334"/>
      <c r="BK21" s="334"/>
      <c r="BL21" s="334"/>
      <c r="BM21" s="334"/>
      <c r="BN21" s="334"/>
      <c r="BO21" s="334"/>
      <c r="BP21" s="334"/>
      <c r="BQ21" s="334"/>
      <c r="BR21" s="335"/>
      <c r="BS21" s="335"/>
      <c r="BT21" s="335"/>
      <c r="BV21" s="309"/>
      <c r="BW21" s="309"/>
      <c r="BX21" s="309"/>
      <c r="CK21" s="310"/>
    </row>
    <row r="22" spans="1:89" s="679" customFormat="1">
      <c r="A22" s="677" t="s">
        <v>556</v>
      </c>
      <c r="B22" s="677">
        <f>Worksheet!BB107</f>
      </c>
      <c r="C22" s="677">
        <f>Worksheet!BC107</f>
      </c>
      <c r="D22" s="677">
        <f>Worksheet!BD107</f>
      </c>
      <c r="E22" s="677">
        <f>Worksheet!BE107</f>
      </c>
      <c r="F22" s="677">
        <f>Worksheet!BF107</f>
      </c>
      <c r="G22" s="677">
        <f>Worksheet!BG107</f>
      </c>
      <c r="H22" s="677">
        <f>Worksheet!BH107</f>
      </c>
      <c r="I22" s="677">
        <f>Worksheet!BI107</f>
      </c>
      <c r="J22" s="677">
        <f>Worksheet!BJ107</f>
      </c>
      <c r="K22" s="677">
        <f>Worksheet!BK107</f>
      </c>
      <c r="L22" s="677">
        <f>Worksheet!BL107</f>
      </c>
      <c r="M22" s="677">
        <f>Worksheet!BM107</f>
      </c>
      <c r="N22" s="235">
        <f>Worksheet!BN107</f>
      </c>
      <c r="O22" s="235">
        <f>Worksheet!BO107</f>
      </c>
      <c r="P22" s="235">
        <f>Worksheet!BP107</f>
      </c>
      <c r="Q22" s="235">
        <f>Worksheet!BQ107</f>
      </c>
      <c r="R22" s="235">
        <f>Worksheet!BR107</f>
      </c>
      <c r="S22" s="235">
        <f>Worksheet!BS107</f>
      </c>
      <c r="T22" s="235">
        <f>Worksheet!BT107</f>
      </c>
      <c r="U22" s="235">
        <f>Worksheet!BU107</f>
      </c>
      <c r="V22" s="235">
        <f>Worksheet!BV107</f>
      </c>
      <c r="W22" s="235">
        <f>Worksheet!BW107</f>
      </c>
      <c r="X22" s="235">
        <f>Worksheet!BX107</f>
      </c>
      <c r="Y22" s="235">
        <f>Worksheet!BY107</f>
      </c>
      <c r="Z22" s="235">
        <f>Worksheet!BZ107</f>
      </c>
      <c r="AA22" s="235">
        <f>Worksheet!CA107</f>
      </c>
      <c r="AB22" s="235">
        <f>Worksheet!CB107</f>
      </c>
      <c r="AC22" s="235">
        <f>Worksheet!CC107</f>
      </c>
      <c r="AD22" s="235">
        <f>Worksheet!CD107</f>
      </c>
      <c r="AE22" s="235">
        <f>Worksheet!CE107</f>
      </c>
      <c r="AF22" s="235">
        <f>Worksheet!CF107</f>
      </c>
      <c r="AG22" s="235">
        <f>Worksheet!CG107</f>
      </c>
      <c r="AH22" s="235">
        <f>Worksheet!CH107</f>
      </c>
      <c r="AI22" s="235">
        <f>Worksheet!CI107</f>
      </c>
      <c r="AJ22" s="235">
        <f>Worksheet!CJ107</f>
      </c>
      <c r="AK22" s="235">
        <f>Worksheet!CK107</f>
      </c>
      <c r="AL22" s="235">
        <f>Worksheet!CL107</f>
      </c>
      <c r="AM22" s="235">
        <f>Worksheet!CM107</f>
      </c>
      <c r="AN22" s="235">
        <f>Worksheet!CN107</f>
      </c>
      <c r="AO22" s="235">
        <f>Worksheet!CO107</f>
      </c>
      <c r="AP22" s="235">
        <f>Worksheet!CP107</f>
      </c>
      <c r="AQ22" s="235">
        <f>Worksheet!CQ107</f>
      </c>
      <c r="AR22" s="235">
        <f>Worksheet!CR107</f>
      </c>
      <c r="AS22" s="235">
        <f>Worksheet!CS107</f>
      </c>
      <c r="AT22" s="235">
        <f>Worksheet!CT107</f>
      </c>
      <c r="AU22" s="235">
        <f>Worksheet!CU107</f>
      </c>
      <c r="AV22" s="236">
        <f>Worksheet!CV107</f>
      </c>
      <c r="AW22" s="236">
        <f>Worksheet!CW107</f>
      </c>
      <c r="AX22" s="236">
        <f>Worksheet!CX107</f>
      </c>
      <c r="AY22" s="236">
        <f>Worksheet!CY107</f>
      </c>
      <c r="AZ22" s="236">
        <f>Worksheet!CZ107</f>
      </c>
      <c r="BA22" s="236">
        <f>Worksheet!DA107</f>
      </c>
      <c r="BB22" s="236">
        <f>Worksheet!DB107</f>
      </c>
      <c r="BC22" s="236">
        <f>Worksheet!DC107</f>
      </c>
      <c r="BD22" s="236">
        <f>Worksheet!DD107</f>
      </c>
      <c r="BE22" s="236">
        <f>Worksheet!DE107</f>
      </c>
      <c r="BF22" s="236"/>
      <c r="BG22" s="678">
        <f>SUM(B22:E22)</f>
      </c>
      <c r="BH22" s="678">
        <f>SUM(F22:I22)</f>
      </c>
      <c r="BI22" s="678">
        <f>SUM(J22:M22)</f>
      </c>
      <c r="BJ22" s="678">
        <f>SUM(N22:Q22)</f>
      </c>
      <c r="BK22" s="678">
        <f>SUM(R22:U22)</f>
      </c>
      <c r="BL22" s="678">
        <f>SUM(V22:Y22)</f>
      </c>
      <c r="BM22" s="678">
        <f>SUM(Z22:AC22)</f>
      </c>
      <c r="BN22" s="678">
        <f>+SUM(AD22:AG22)</f>
      </c>
      <c r="BO22" s="678">
        <f>+SUM(AH22:AK22)</f>
      </c>
      <c r="BP22" s="678">
        <f>+SUM(AL22:AO22)</f>
      </c>
      <c r="BQ22" s="678">
        <f>+SUM(AP22:AS22)</f>
      </c>
      <c r="BR22" s="664">
        <f>+SUM(AT22:AW22)</f>
      </c>
      <c r="BS22" s="664">
        <f>SUM(AX22:BA22)</f>
      </c>
      <c r="BT22" s="664">
        <f>SUM(BB22:BE22)</f>
      </c>
      <c r="BV22" s="665"/>
      <c r="BW22" s="665"/>
      <c r="BX22" s="665"/>
    </row>
    <row r="23" spans="1:89" s="238" customFormat="1">
      <c r="A23" s="63" t="s">
        <v>196</v>
      </c>
      <c r="C23" s="238">
        <f t="shared" ref="C23:BA23" si="20">C22/B22-1</f>
      </c>
      <c r="D23" s="238">
        <f t="shared" si="20"/>
      </c>
      <c r="E23" s="238">
        <f t="shared" si="20"/>
      </c>
      <c r="F23" s="238">
        <f t="shared" si="20"/>
      </c>
      <c r="G23" s="238">
        <f t="shared" si="20"/>
      </c>
      <c r="H23" s="238">
        <f t="shared" si="20"/>
      </c>
      <c r="I23" s="238">
        <f t="shared" si="20"/>
      </c>
      <c r="J23" s="238">
        <f t="shared" si="20"/>
      </c>
      <c r="K23" s="238">
        <f t="shared" si="20"/>
      </c>
      <c r="L23" s="238">
        <f t="shared" si="20"/>
      </c>
      <c r="M23" s="238">
        <f t="shared" si="20"/>
      </c>
      <c r="N23" s="238">
        <f t="shared" si="20"/>
      </c>
      <c r="O23" s="238">
        <f>O22/N22-1</f>
      </c>
      <c r="P23" s="238">
        <f t="shared" si="20"/>
      </c>
      <c r="Q23" s="238">
        <f t="shared" si="20"/>
      </c>
      <c r="R23" s="238">
        <f t="shared" si="20"/>
      </c>
      <c r="S23" s="238">
        <f t="shared" si="20"/>
      </c>
      <c r="T23" s="238">
        <f t="shared" si="20"/>
      </c>
      <c r="U23" s="238">
        <f t="shared" si="20"/>
      </c>
      <c r="V23" s="238">
        <f t="shared" si="20"/>
      </c>
      <c r="W23" s="238">
        <f t="shared" si="20"/>
      </c>
      <c r="X23" s="238">
        <f t="shared" si="20"/>
      </c>
      <c r="Y23" s="238">
        <f t="shared" si="20"/>
      </c>
      <c r="Z23" s="238">
        <f t="shared" si="20"/>
      </c>
      <c r="AA23" s="238">
        <f t="shared" si="20"/>
      </c>
      <c r="AB23" s="238">
        <f t="shared" si="20"/>
      </c>
      <c r="AC23" s="238">
        <f t="shared" si="20"/>
      </c>
      <c r="AD23" s="238">
        <f t="shared" si="20"/>
      </c>
      <c r="AE23" s="238">
        <f t="shared" si="20"/>
      </c>
      <c r="AF23" s="238">
        <f t="shared" si="20"/>
      </c>
      <c r="AG23" s="238">
        <f t="shared" si="20"/>
      </c>
      <c r="AH23" s="238">
        <f t="shared" si="20"/>
      </c>
      <c r="AI23" s="238">
        <f t="shared" si="20"/>
      </c>
      <c r="AJ23" s="238">
        <f t="shared" si="20"/>
      </c>
      <c r="AK23" s="238">
        <f t="shared" si="20"/>
      </c>
      <c r="AL23" s="238">
        <f t="shared" si="20"/>
      </c>
      <c r="AM23" s="238">
        <f t="shared" si="20"/>
      </c>
      <c r="AN23" s="238">
        <f t="shared" si="20"/>
      </c>
      <c r="AO23" s="238">
        <f t="shared" si="20"/>
      </c>
      <c r="AP23" s="238">
        <f t="shared" si="20"/>
      </c>
      <c r="AQ23" s="238">
        <f t="shared" si="20"/>
      </c>
      <c r="AR23" s="238">
        <f t="shared" si="20"/>
      </c>
      <c r="AS23" s="238">
        <f t="shared" si="20"/>
      </c>
      <c r="AT23" s="238">
        <f t="shared" si="20"/>
      </c>
      <c r="AU23" s="238">
        <f t="shared" si="20"/>
      </c>
      <c r="AV23" s="239">
        <f t="shared" si="20"/>
      </c>
      <c r="AW23" s="239">
        <f t="shared" si="20"/>
      </c>
      <c r="AX23" s="239">
        <f t="shared" si="20"/>
      </c>
      <c r="AY23" s="239">
        <f t="shared" si="20"/>
      </c>
      <c r="AZ23" s="239">
        <f t="shared" si="20"/>
      </c>
      <c r="BA23" s="239">
        <f t="shared" si="20"/>
      </c>
      <c r="BB23" s="239">
        <f>BB22/BA22-1</f>
      </c>
      <c r="BC23" s="239">
        <f>BC22/BB22-1</f>
      </c>
      <c r="BD23" s="239">
        <f>BD22/BC22-1</f>
      </c>
      <c r="BE23" s="239">
        <f>BE22/BD22-1</f>
      </c>
      <c r="BI23" s="232"/>
      <c r="BJ23" s="232"/>
      <c r="BK23" s="232"/>
      <c r="BL23" s="232"/>
      <c r="BM23" s="232"/>
      <c r="BN23" s="232"/>
      <c r="BO23" s="232"/>
      <c r="BP23" s="232"/>
      <c r="BQ23" s="232"/>
      <c r="BR23" s="676"/>
      <c r="BS23" s="676"/>
      <c r="BT23" s="676"/>
      <c r="BV23" s="665"/>
      <c r="BW23" s="665"/>
      <c r="BX23" s="665"/>
    </row>
    <row r="24" spans="1:89" s="238" customFormat="1">
      <c r="A24" s="63" t="s">
        <v>198</v>
      </c>
      <c r="F24" s="238">
        <f t="shared" ref="F24:BA24" si="21">F22/B22-1</f>
      </c>
      <c r="G24" s="238">
        <f t="shared" si="21"/>
      </c>
      <c r="H24" s="238">
        <f t="shared" si="21"/>
      </c>
      <c r="I24" s="238">
        <f t="shared" si="21"/>
      </c>
      <c r="J24" s="238">
        <f t="shared" si="21"/>
      </c>
      <c r="K24" s="238">
        <f t="shared" si="21"/>
      </c>
      <c r="L24" s="238">
        <f>L22/H22-1</f>
      </c>
      <c r="M24" s="238">
        <f t="shared" si="21"/>
      </c>
      <c r="N24" s="238">
        <f t="shared" si="21"/>
      </c>
      <c r="O24" s="238">
        <f>O22/K22-1</f>
      </c>
      <c r="P24" s="238">
        <f>P22/L22-1</f>
      </c>
      <c r="Q24" s="238">
        <f>Q22/M22-1</f>
      </c>
      <c r="R24" s="238">
        <f>R22/N22-1</f>
      </c>
      <c r="S24" s="238">
        <f t="shared" si="21"/>
      </c>
      <c r="T24" s="238">
        <f t="shared" si="21"/>
      </c>
      <c r="U24" s="238">
        <f t="shared" si="21"/>
      </c>
      <c r="V24" s="238">
        <f t="shared" si="21"/>
      </c>
      <c r="W24" s="238">
        <f t="shared" si="21"/>
      </c>
      <c r="X24" s="238">
        <f t="shared" si="21"/>
      </c>
      <c r="Y24" s="238">
        <f t="shared" si="21"/>
      </c>
      <c r="Z24" s="238">
        <f t="shared" si="21"/>
      </c>
      <c r="AA24" s="238">
        <f t="shared" si="21"/>
      </c>
      <c r="AB24" s="238">
        <f t="shared" si="21"/>
      </c>
      <c r="AC24" s="238">
        <f t="shared" si="21"/>
      </c>
      <c r="AD24" s="238">
        <f t="shared" si="21"/>
      </c>
      <c r="AE24" s="238">
        <f t="shared" si="21"/>
      </c>
      <c r="AF24" s="238">
        <f t="shared" si="21"/>
      </c>
      <c r="AG24" s="238">
        <f t="shared" si="21"/>
      </c>
      <c r="AH24" s="238">
        <f t="shared" si="21"/>
      </c>
      <c r="AI24" s="238">
        <f t="shared" si="21"/>
      </c>
      <c r="AJ24" s="238">
        <f t="shared" si="21"/>
      </c>
      <c r="AK24" s="238">
        <f t="shared" si="21"/>
      </c>
      <c r="AL24" s="238">
        <f t="shared" si="21"/>
      </c>
      <c r="AM24" s="238">
        <f t="shared" si="21"/>
      </c>
      <c r="AN24" s="238">
        <f t="shared" si="21"/>
      </c>
      <c r="AO24" s="238">
        <f t="shared" si="21"/>
      </c>
      <c r="AP24" s="238">
        <f t="shared" si="21"/>
      </c>
      <c r="AQ24" s="238">
        <f t="shared" si="21"/>
      </c>
      <c r="AR24" s="238">
        <f t="shared" si="21"/>
      </c>
      <c r="AS24" s="238">
        <f t="shared" si="21"/>
      </c>
      <c r="AT24" s="238">
        <f t="shared" si="21"/>
      </c>
      <c r="AU24" s="238">
        <f t="shared" si="21"/>
      </c>
      <c r="AV24" s="239">
        <f t="shared" si="21"/>
      </c>
      <c r="AW24" s="239">
        <f t="shared" si="21"/>
      </c>
      <c r="AX24" s="239">
        <f t="shared" si="21"/>
      </c>
      <c r="AY24" s="239">
        <f t="shared" si="21"/>
      </c>
      <c r="AZ24" s="239">
        <f t="shared" si="21"/>
      </c>
      <c r="BA24" s="239">
        <f t="shared" si="21"/>
      </c>
      <c r="BB24" s="239">
        <f>BB22/AX22-1</f>
      </c>
      <c r="BC24" s="239">
        <f>BC22/AY22-1</f>
      </c>
      <c r="BD24" s="239">
        <f>BD22/AZ22-1</f>
      </c>
      <c r="BE24" s="239">
        <f>BE22/BA22-1</f>
      </c>
      <c r="BG24" s="672"/>
      <c r="BH24" s="672">
        <f t="shared" ref="BH24:BT24" si="22">BH22/BG22-1</f>
      </c>
      <c r="BI24" s="672">
        <f t="shared" si="22"/>
      </c>
      <c r="BJ24" s="672">
        <f t="shared" si="22"/>
      </c>
      <c r="BK24" s="662">
        <f t="shared" si="22"/>
      </c>
      <c r="BL24" s="662">
        <f t="shared" si="22"/>
      </c>
      <c r="BM24" s="662">
        <f t="shared" si="22"/>
      </c>
      <c r="BN24" s="662">
        <f t="shared" si="22"/>
      </c>
      <c r="BO24" s="662">
        <f t="shared" si="22"/>
      </c>
      <c r="BP24" s="662">
        <f t="shared" si="22"/>
      </c>
      <c r="BQ24" s="662">
        <f t="shared" si="22"/>
      </c>
      <c r="BR24" s="669">
        <f t="shared" si="22"/>
      </c>
      <c r="BS24" s="669">
        <f t="shared" si="22"/>
      </c>
      <c r="BT24" s="669">
        <f t="shared" si="22"/>
      </c>
      <c r="BV24" s="665"/>
      <c r="BW24" s="665"/>
      <c r="BX24" s="665"/>
    </row>
    <row r="26" spans="1:89">
      <c r="B26" s="309"/>
      <c r="C26" s="309"/>
      <c r="D26" s="309"/>
      <c r="E26" s="309"/>
      <c r="F26" s="309"/>
      <c r="G26" s="309"/>
      <c r="H26" s="309"/>
      <c r="I26" s="309"/>
      <c r="J26" s="309"/>
      <c r="K26" s="309"/>
      <c r="L26" s="309"/>
      <c r="M26" s="309"/>
      <c r="N26" s="309"/>
      <c r="O26" s="309"/>
      <c r="P26" s="309"/>
      <c r="Q26" s="309"/>
      <c r="R26" s="309"/>
      <c r="S26" s="309"/>
      <c r="T26" s="309"/>
      <c r="U26" s="309"/>
      <c r="V26" s="309"/>
      <c r="W26" s="309"/>
      <c r="X26" s="309"/>
      <c r="Y26" s="309"/>
      <c r="Z26" s="309"/>
      <c r="AA26" s="309"/>
      <c r="AB26" s="309"/>
      <c r="AC26" s="309"/>
      <c r="AD26" s="309"/>
      <c r="AE26" s="309"/>
      <c r="AF26" s="309"/>
      <c r="AG26" s="309"/>
      <c r="AH26" s="309"/>
      <c r="AI26" s="309"/>
      <c r="AJ26" s="309"/>
      <c r="AK26" s="309"/>
      <c r="AL26" s="309"/>
      <c r="AM26" s="309"/>
      <c r="AN26" s="309"/>
      <c r="AO26" s="309"/>
      <c r="AP26" s="309"/>
      <c r="AQ26" s="309"/>
      <c r="AR26" s="309"/>
      <c r="AS26" s="309"/>
      <c r="AT26" s="309"/>
      <c r="AU26" s="309"/>
      <c r="AV26" s="309"/>
      <c r="AW26" s="309"/>
      <c r="AX26" s="309"/>
      <c r="AY26" s="309"/>
      <c r="AZ26" s="309"/>
      <c r="BA26" s="309"/>
      <c r="BB26" s="309"/>
      <c r="BC26" s="309"/>
      <c r="BD26" s="309"/>
      <c r="BE26" s="309"/>
    </row>
  </sheetData>
  <pageMargins left="0.7" right="0.7" top="0.75" bottom="0.75" header="0.3" footer="0.3"/>
  <pageSetup scale="10" orientation="landscape" r:id="rId1"/>
  <customProperties>
    <customPr name="Qube.Worksheet.Visibility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Cover</vt:lpstr>
      <vt:lpstr>Worksheet</vt:lpstr>
      <vt:lpstr>Ticker0027</vt:lpstr>
      <vt:lpstr>Datacenter</vt:lpstr>
      <vt:lpstr>Gaming</vt:lpstr>
      <vt:lpstr>Automotive</vt:lpstr>
      <vt:lpstr>Automotive!Print_Area</vt:lpstr>
      <vt:lpstr>Ticker0027!Print_Area</vt:lpstr>
      <vt:lpstr>Worksheet!Print_Area</vt:lpstr>
      <vt:lpstr>Ticker0027!Print_Titles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